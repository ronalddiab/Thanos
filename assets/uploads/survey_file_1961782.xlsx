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Share_All\HYGIENE\FS DJB Sustainability Documentation\17 Purchasing Management Plan\Used Cooking Oil\"/>
    </mc:Choice>
  </mc:AlternateContent>
  <bookViews>
    <workbookView xWindow="0" yWindow="0" windowWidth="21570" windowHeight="8160" firstSheet="6" activeTab="9"/>
  </bookViews>
  <sheets>
    <sheet name="A.K.CORPORATION " sheetId="7" r:id="rId1"/>
    <sheet name="Sheet1" sheetId="1" r:id="rId2"/>
    <sheet name="FEB to JUNE" sheetId="2" r:id="rId3"/>
    <sheet name="JULY to NOV. " sheetId="3" r:id="rId4"/>
    <sheet name="NOV(17) to MAR(19)" sheetId="4" r:id="rId5"/>
    <sheet name="EKO OIL(NEW SUPP.)" sheetId="5" r:id="rId6"/>
    <sheet name="UVD 2020" sheetId="6" r:id="rId7"/>
    <sheet name="UVD 2021" sheetId="8" r:id="rId8"/>
    <sheet name="UVD 2022 " sheetId="11" r:id="rId9"/>
    <sheet name="UVD 2023  " sheetId="12" r:id="rId10"/>
    <sheet name="Used oil final summary" sheetId="9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9" l="1"/>
  <c r="D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36" i="12" l="1"/>
  <c r="D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N11" i="9"/>
  <c r="F36" i="11" l="1"/>
  <c r="M5" i="9"/>
  <c r="J5" i="9" l="1"/>
  <c r="G5" i="9" l="1"/>
  <c r="N5" i="9" l="1"/>
  <c r="F8" i="8" l="1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7" i="8"/>
  <c r="D36" i="8"/>
  <c r="F36" i="8" l="1"/>
  <c r="F37" i="7"/>
  <c r="D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8" i="7"/>
  <c r="F7" i="7"/>
  <c r="D36" i="6" l="1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36" i="6" l="1"/>
  <c r="F12" i="5"/>
  <c r="F14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15" i="5"/>
  <c r="F10" i="5"/>
  <c r="F7" i="5"/>
  <c r="F8" i="5" l="1"/>
  <c r="F9" i="5"/>
  <c r="F11" i="5"/>
  <c r="F37" i="5" l="1"/>
  <c r="D37" i="5"/>
  <c r="F37" i="4" l="1"/>
  <c r="F17" i="4"/>
  <c r="F16" i="4"/>
  <c r="F9" i="4" l="1"/>
  <c r="F8" i="4"/>
  <c r="F10" i="4"/>
  <c r="F11" i="4"/>
  <c r="F12" i="4"/>
  <c r="F13" i="4"/>
  <c r="F14" i="4"/>
  <c r="F15" i="4"/>
  <c r="F7" i="4"/>
  <c r="D37" i="4"/>
  <c r="D36" i="3" l="1"/>
  <c r="E9" i="3"/>
  <c r="E8" i="3"/>
  <c r="F36" i="3" s="1"/>
  <c r="F36" i="2" l="1"/>
  <c r="D36" i="2" l="1"/>
  <c r="E9" i="2"/>
  <c r="E8" i="2"/>
  <c r="F59" i="1" l="1"/>
  <c r="F58" i="1"/>
  <c r="F56" i="1"/>
  <c r="F2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8" i="1"/>
  <c r="D59" i="1"/>
</calcChain>
</file>

<file path=xl/comments1.xml><?xml version="1.0" encoding="utf-8"?>
<comments xmlns="http://schemas.openxmlformats.org/spreadsheetml/2006/main">
  <authors>
    <author>Paul Robles</author>
  </authors>
  <commentList>
    <comment ref="F10" authorId="0" shapeId="0">
      <text>
        <r>
          <rPr>
            <b/>
            <sz val="9"/>
            <color indexed="81"/>
            <rFont val="Tahoma"/>
            <charset val="1"/>
          </rPr>
          <t>Paul Robles:</t>
        </r>
        <r>
          <rPr>
            <sz val="9"/>
            <color indexed="81"/>
            <rFont val="Tahoma"/>
            <charset val="1"/>
          </rPr>
          <t xml:space="preserve">
AK Corporation</t>
        </r>
      </text>
    </comment>
  </commentList>
</comments>
</file>

<file path=xl/comments2.xml><?xml version="1.0" encoding="utf-8"?>
<comments xmlns="http://schemas.openxmlformats.org/spreadsheetml/2006/main">
  <authors>
    <author>Paul Robles</author>
  </authors>
  <commentList>
    <comment ref="F10" authorId="0" shapeId="0">
      <text>
        <r>
          <rPr>
            <b/>
            <sz val="9"/>
            <color indexed="81"/>
            <rFont val="Tahoma"/>
            <charset val="1"/>
          </rPr>
          <t>Paul Robles:</t>
        </r>
        <r>
          <rPr>
            <sz val="9"/>
            <color indexed="81"/>
            <rFont val="Tahoma"/>
            <charset val="1"/>
          </rPr>
          <t xml:space="preserve">
AK Corporation</t>
        </r>
      </text>
    </comment>
  </commentList>
</comments>
</file>

<file path=xl/comments3.xml><?xml version="1.0" encoding="utf-8"?>
<comments xmlns="http://schemas.openxmlformats.org/spreadsheetml/2006/main">
  <authors>
    <author>Paul Robles</author>
  </authors>
  <commentList>
    <comment ref="F10" authorId="0" shapeId="0">
      <text>
        <r>
          <rPr>
            <b/>
            <sz val="9"/>
            <color indexed="81"/>
            <rFont val="Tahoma"/>
            <charset val="1"/>
          </rPr>
          <t>Paul Robles:</t>
        </r>
        <r>
          <rPr>
            <sz val="9"/>
            <color indexed="81"/>
            <rFont val="Tahoma"/>
            <charset val="1"/>
          </rPr>
          <t xml:space="preserve">
AK Corporation</t>
        </r>
      </text>
    </comment>
  </commentList>
</comments>
</file>

<file path=xl/sharedStrings.xml><?xml version="1.0" encoding="utf-8"?>
<sst xmlns="http://schemas.openxmlformats.org/spreadsheetml/2006/main" count="214" uniqueCount="134">
  <si>
    <t xml:space="preserve">Date </t>
  </si>
  <si>
    <t xml:space="preserve">Price ( ) </t>
  </si>
  <si>
    <t xml:space="preserve">Amount </t>
  </si>
  <si>
    <t>Receipt.Num.</t>
  </si>
  <si>
    <t>20/07/2015</t>
  </si>
  <si>
    <t>23/07/2015</t>
  </si>
  <si>
    <t>13/08/2015</t>
  </si>
  <si>
    <t>Qty . Barrels</t>
  </si>
  <si>
    <t>16/08/2015</t>
  </si>
  <si>
    <t>16/09/2015</t>
  </si>
  <si>
    <t>26/09/2015</t>
  </si>
  <si>
    <t>30/09/2015</t>
  </si>
  <si>
    <t>21/10/2015</t>
  </si>
  <si>
    <t>17/11/2015</t>
  </si>
  <si>
    <t>22/11/2015</t>
  </si>
  <si>
    <t>26/11/2015</t>
  </si>
  <si>
    <t>21/01/2016</t>
  </si>
  <si>
    <t>31/01/2016</t>
  </si>
  <si>
    <t>24/02/2016</t>
  </si>
  <si>
    <t>15/03/2016</t>
  </si>
  <si>
    <t>22/03/2016</t>
  </si>
  <si>
    <t>23/04/2016</t>
  </si>
  <si>
    <t>21/05/2016</t>
  </si>
  <si>
    <t>14/06/2016</t>
  </si>
  <si>
    <t>25/06/2016</t>
  </si>
  <si>
    <t>19/07/2016</t>
  </si>
  <si>
    <t>17/10/2016</t>
  </si>
  <si>
    <t>19/10/2016</t>
  </si>
  <si>
    <t>15/12/2016</t>
  </si>
  <si>
    <t>24/12/2016</t>
  </si>
  <si>
    <t>Total</t>
  </si>
  <si>
    <t>Used Oil (Cooking Oil+Engine Oil )</t>
  </si>
  <si>
    <t>CLEAN EARTH EST Suppler</t>
  </si>
  <si>
    <t>NO</t>
  </si>
  <si>
    <t>18/01/2017</t>
  </si>
  <si>
    <t>15/02/2017</t>
  </si>
  <si>
    <t>22/02/2017</t>
  </si>
  <si>
    <t>14/03/2017</t>
  </si>
  <si>
    <t>20/03/2017</t>
  </si>
  <si>
    <t>26/03/2017</t>
  </si>
  <si>
    <t>18/04/2017</t>
  </si>
  <si>
    <t>27/04/2017</t>
  </si>
  <si>
    <t>16/05/2017</t>
  </si>
  <si>
    <t>25/06/2017</t>
  </si>
  <si>
    <t>FEB to JUNE</t>
  </si>
  <si>
    <t>JULY to NOV:</t>
  </si>
  <si>
    <t>22/07/2017</t>
  </si>
  <si>
    <t>22/08/2017</t>
  </si>
  <si>
    <t>19/09/2017</t>
  </si>
  <si>
    <t>21/10/2017</t>
  </si>
  <si>
    <t>31/10/2017</t>
  </si>
  <si>
    <t>15/11/2017</t>
  </si>
  <si>
    <t>NOV to MAR:</t>
  </si>
  <si>
    <t>28/11/2017</t>
  </si>
  <si>
    <t>30/11/2017</t>
  </si>
  <si>
    <t xml:space="preserve">Price (per 1 barrel) </t>
  </si>
  <si>
    <t>25/12/2017</t>
  </si>
  <si>
    <t>26/12/2017</t>
  </si>
  <si>
    <t>18/02/2018</t>
  </si>
  <si>
    <t>12/012/2017</t>
  </si>
  <si>
    <t>19/03/2018</t>
  </si>
  <si>
    <t>EKO OIL TRADING L.L.C.</t>
  </si>
  <si>
    <t>APRIL-2018:</t>
  </si>
  <si>
    <t>21/04/2018</t>
  </si>
  <si>
    <t>29/05/2018</t>
  </si>
  <si>
    <t>28/06/2018</t>
  </si>
  <si>
    <t>18/08/2018</t>
  </si>
  <si>
    <t>18/09/2018</t>
  </si>
  <si>
    <t>28/10/2018</t>
  </si>
  <si>
    <t>23/12/2019</t>
  </si>
  <si>
    <t>29/01/2019</t>
  </si>
  <si>
    <t>16/02/2019</t>
  </si>
  <si>
    <t>15/04/2019</t>
  </si>
  <si>
    <t>30/04/2019</t>
  </si>
  <si>
    <t>19/05/2019</t>
  </si>
  <si>
    <t>25/06/2019</t>
  </si>
  <si>
    <t>25/07/2019</t>
  </si>
  <si>
    <t>18/09/2019</t>
  </si>
  <si>
    <t>27/11/2019</t>
  </si>
  <si>
    <t>14/01/2020</t>
  </si>
  <si>
    <t>65LTR</t>
  </si>
  <si>
    <t>70LTR</t>
  </si>
  <si>
    <t>20/9/2020</t>
  </si>
  <si>
    <t>100 ltr</t>
  </si>
  <si>
    <t>18/7/2020</t>
  </si>
  <si>
    <t>22/12/2020</t>
  </si>
  <si>
    <t>Qty . Liters</t>
  </si>
  <si>
    <t xml:space="preserve">Price (per ltr) </t>
  </si>
  <si>
    <t>18/3/2021</t>
  </si>
  <si>
    <t>31/3/2021</t>
  </si>
  <si>
    <t>17/4/2021</t>
  </si>
  <si>
    <t>28/4/2021</t>
  </si>
  <si>
    <t>17/5/2021</t>
  </si>
  <si>
    <t>May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</si>
  <si>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</si>
  <si>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</si>
  <si>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</si>
  <si>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</si>
  <si>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</si>
  <si>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</si>
  <si>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</si>
  <si>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</si>
  <si>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</si>
  <si>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</si>
  <si>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</si>
  <si>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Used Oil l iter</t>
  </si>
  <si>
    <t>USED OIL COLLECTION REPORT</t>
  </si>
  <si>
    <t>Used Oil (liters)</t>
  </si>
  <si>
    <t>30/5/2021</t>
  </si>
  <si>
    <t>24/6/2021</t>
  </si>
  <si>
    <t>AL AKDHAR USED VEG. OIL</t>
  </si>
  <si>
    <t>26/7/2021</t>
  </si>
  <si>
    <t>22/9/2021</t>
  </si>
  <si>
    <t>20/10/2021</t>
  </si>
  <si>
    <t>30/10/2021</t>
  </si>
  <si>
    <t>13/11/2021</t>
  </si>
  <si>
    <t>21/11/2021</t>
  </si>
  <si>
    <t>30/11/2021</t>
  </si>
  <si>
    <t>19/12/2021</t>
  </si>
  <si>
    <t>26/12/2021</t>
  </si>
  <si>
    <t>23/2/2022</t>
  </si>
  <si>
    <t>21/3/2022</t>
  </si>
  <si>
    <t>31/03/2022</t>
  </si>
  <si>
    <t>19/04/2022</t>
  </si>
  <si>
    <t>30/6/2022</t>
  </si>
  <si>
    <t>16/6/2022</t>
  </si>
  <si>
    <t>23/6/2022</t>
  </si>
  <si>
    <t>29/7/2022</t>
  </si>
  <si>
    <t>27/8/2022</t>
  </si>
  <si>
    <t>14/9/2022</t>
  </si>
  <si>
    <t>29/9/2022</t>
  </si>
  <si>
    <t>17/10/2022</t>
  </si>
  <si>
    <t>16/12/2022</t>
  </si>
  <si>
    <t>16/1/2023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</si>
</sst>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u/>
      <sz val="16"/>
      <color theme="5" tint="-0.249977111117893"/>
      <name val="Calibri"/>
      <family val="2"/>
      <scheme val="minor"/>
    </font>
    <font>
      <b/>
      <u/>
      <sz val="11"/>
      <color theme="5" tint="-0.249977111117893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1"/>
      <color rgb="FFFF99FF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6" fillId="2" borderId="1" xfId="0" applyFont="1" applyFill="1" applyBorder="1"/>
    <xf numFmtId="0" fontId="0" fillId="2" borderId="1" xfId="0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7" fillId="2" borderId="1" xfId="0" applyFont="1" applyFill="1" applyBorder="1"/>
    <xf numFmtId="0" fontId="1" fillId="0" borderId="1" xfId="0" applyFont="1" applyBorder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8" fillId="2" borderId="1" xfId="0" applyFont="1" applyFill="1" applyBorder="1"/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right"/>
    </xf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6" fillId="4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2" fillId="4" borderId="1" xfId="0" applyFont="1" applyFill="1" applyBorder="1"/>
    <xf numFmtId="0" fontId="8" fillId="4" borderId="1" xfId="0" applyFont="1" applyFill="1" applyBorder="1"/>
    <xf numFmtId="0" fontId="0" fillId="4" borderId="1" xfId="0" applyFill="1" applyBorder="1"/>
    <xf numFmtId="0" fontId="7" fillId="4" borderId="1" xfId="0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3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2" fillId="3" borderId="0" xfId="0" applyFont="1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F37"/>
  <sheetViews>
    <sheetView workbookViewId="0">
      <selection activeCell="J29" sqref="J29"/>
    </sheetView>
  </sheetViews>
  <sheetFormatPr defaultRowHeight="15" x14ac:dyDescent="0.25"/>
  <cols>
    <col min="2" max="2" width="13.5703125" customWidth="1"/>
    <col min="3" max="3" width="12.5703125" customWidth="1"/>
    <col min="4" max="4" width="12.28515625" customWidth="1"/>
    <col min="5" max="5" width="17.140625" customWidth="1"/>
    <col min="6" max="6" width="12.42578125" customWidth="1"/>
  </cols>
  <sheetData>
    <row r="2" spans="1:6" ht="21" x14ac:dyDescent="0.35">
      <c r="A2" s="24"/>
      <c r="B2" s="25" t="s">
        <v>31</v>
      </c>
      <c r="C2" s="25"/>
      <c r="D2" s="25"/>
      <c r="E2" s="26"/>
      <c r="F2" s="24"/>
    </row>
    <row r="3" spans="1:6" ht="18.75" x14ac:dyDescent="0.3">
      <c r="A3" s="24"/>
      <c r="B3" s="27" t="s">
        <v>61</v>
      </c>
      <c r="C3" s="27"/>
      <c r="D3" s="28"/>
      <c r="E3" s="29" t="s">
        <v>62</v>
      </c>
      <c r="F3" s="24"/>
    </row>
    <row r="4" spans="1:6" x14ac:dyDescent="0.25">
      <c r="A4" s="30"/>
      <c r="B4" s="30"/>
      <c r="C4" s="30"/>
      <c r="D4" s="30"/>
      <c r="E4" s="30"/>
      <c r="F4" s="30"/>
    </row>
    <row r="5" spans="1:6" x14ac:dyDescent="0.25">
      <c r="A5" s="30"/>
      <c r="B5" s="30"/>
      <c r="C5" s="30"/>
      <c r="D5" s="30"/>
      <c r="E5" s="30"/>
      <c r="F5" s="30"/>
    </row>
    <row r="6" spans="1:6" x14ac:dyDescent="0.25">
      <c r="A6" s="31" t="s">
        <v>33</v>
      </c>
      <c r="B6" s="31" t="s">
        <v>0</v>
      </c>
      <c r="C6" s="31" t="s">
        <v>3</v>
      </c>
      <c r="D6" s="31" t="s">
        <v>7</v>
      </c>
      <c r="E6" s="31" t="s">
        <v>55</v>
      </c>
      <c r="F6" s="31" t="s">
        <v>2</v>
      </c>
    </row>
    <row r="7" spans="1:6" x14ac:dyDescent="0.25">
      <c r="A7" s="2">
        <v>1</v>
      </c>
      <c r="B7" s="32">
        <v>44013</v>
      </c>
      <c r="C7" s="2">
        <v>1512</v>
      </c>
      <c r="D7" s="2">
        <v>2.0857142856999999</v>
      </c>
      <c r="E7" s="2">
        <v>350</v>
      </c>
      <c r="F7" s="2">
        <f>E7*D7</f>
        <v>729.99999999499994</v>
      </c>
    </row>
    <row r="8" spans="1:6" x14ac:dyDescent="0.25">
      <c r="A8" s="2">
        <v>2</v>
      </c>
      <c r="B8" s="32" t="s">
        <v>79</v>
      </c>
      <c r="C8" s="2">
        <v>14012020</v>
      </c>
      <c r="D8" s="2">
        <v>0.92857142856999997</v>
      </c>
      <c r="E8" s="2">
        <v>350</v>
      </c>
      <c r="F8" s="2">
        <f t="shared" ref="F8:F14" si="0">E8*D8</f>
        <v>324.99999999950001</v>
      </c>
    </row>
    <row r="9" spans="1:6" x14ac:dyDescent="0.25">
      <c r="A9" s="2">
        <v>3</v>
      </c>
      <c r="B9" s="32">
        <v>43928</v>
      </c>
      <c r="C9" s="2">
        <v>2491</v>
      </c>
      <c r="D9" s="2" t="s">
        <v>80</v>
      </c>
      <c r="E9" s="2">
        <v>115</v>
      </c>
      <c r="F9" s="2">
        <v>115</v>
      </c>
    </row>
    <row r="10" spans="1:6" x14ac:dyDescent="0.25">
      <c r="A10" s="2">
        <v>4</v>
      </c>
      <c r="B10" s="32"/>
      <c r="C10" s="2"/>
      <c r="D10" s="2"/>
      <c r="E10" s="2"/>
      <c r="F10" s="2">
        <f t="shared" si="0"/>
        <v>0</v>
      </c>
    </row>
    <row r="11" spans="1:6" x14ac:dyDescent="0.25">
      <c r="A11" s="2">
        <v>5</v>
      </c>
      <c r="B11" s="32"/>
      <c r="C11" s="2"/>
      <c r="D11" s="2"/>
      <c r="E11" s="2"/>
      <c r="F11" s="2">
        <f t="shared" si="0"/>
        <v>0</v>
      </c>
    </row>
    <row r="12" spans="1:6" x14ac:dyDescent="0.25">
      <c r="A12" s="2">
        <v>6</v>
      </c>
      <c r="B12" s="32"/>
      <c r="C12" s="2"/>
      <c r="D12" s="34"/>
      <c r="E12" s="2"/>
      <c r="F12" s="33">
        <f>E12*D12</f>
        <v>0</v>
      </c>
    </row>
    <row r="13" spans="1:6" x14ac:dyDescent="0.25">
      <c r="A13" s="2">
        <v>7</v>
      </c>
      <c r="B13" s="32"/>
      <c r="C13" s="2"/>
      <c r="D13" s="34"/>
      <c r="E13" s="2"/>
      <c r="F13" s="33">
        <f>E13*D13</f>
        <v>0</v>
      </c>
    </row>
    <row r="14" spans="1:6" x14ac:dyDescent="0.25">
      <c r="A14" s="2">
        <v>8</v>
      </c>
      <c r="B14" s="32"/>
      <c r="C14" s="2"/>
      <c r="D14" s="34"/>
      <c r="E14" s="2"/>
      <c r="F14" s="2">
        <f t="shared" si="0"/>
        <v>0</v>
      </c>
    </row>
    <row r="15" spans="1:6" x14ac:dyDescent="0.25">
      <c r="A15" s="2">
        <v>9</v>
      </c>
      <c r="B15" s="32"/>
      <c r="C15" s="2"/>
      <c r="D15" s="2"/>
      <c r="E15" s="2"/>
      <c r="F15" s="2">
        <f>E15*D15</f>
        <v>0</v>
      </c>
    </row>
    <row r="16" spans="1:6" x14ac:dyDescent="0.25">
      <c r="A16" s="2">
        <v>10</v>
      </c>
      <c r="B16" s="32"/>
      <c r="C16" s="2"/>
      <c r="D16" s="2"/>
      <c r="E16" s="2"/>
      <c r="F16" s="2">
        <f t="shared" ref="F16:F36" si="1">E16*D16</f>
        <v>0</v>
      </c>
    </row>
    <row r="17" spans="1:6" x14ac:dyDescent="0.25">
      <c r="A17" s="2">
        <v>11</v>
      </c>
      <c r="B17" s="32"/>
      <c r="C17" s="2"/>
      <c r="D17" s="2"/>
      <c r="E17" s="2"/>
      <c r="F17" s="2">
        <f t="shared" si="1"/>
        <v>0</v>
      </c>
    </row>
    <row r="18" spans="1:6" x14ac:dyDescent="0.25">
      <c r="A18" s="2">
        <v>12</v>
      </c>
      <c r="B18" s="32"/>
      <c r="C18" s="2"/>
      <c r="D18" s="2"/>
      <c r="E18" s="2"/>
      <c r="F18" s="2">
        <f t="shared" si="1"/>
        <v>0</v>
      </c>
    </row>
    <row r="19" spans="1:6" x14ac:dyDescent="0.25">
      <c r="A19" s="2">
        <v>13</v>
      </c>
      <c r="B19" s="32"/>
      <c r="C19" s="2"/>
      <c r="D19" s="2"/>
      <c r="E19" s="2"/>
      <c r="F19" s="2">
        <f t="shared" si="1"/>
        <v>0</v>
      </c>
    </row>
    <row r="20" spans="1:6" x14ac:dyDescent="0.25">
      <c r="A20" s="2">
        <v>14</v>
      </c>
      <c r="B20" s="32"/>
      <c r="C20" s="2"/>
      <c r="D20" s="2"/>
      <c r="E20" s="2"/>
      <c r="F20" s="2">
        <f t="shared" si="1"/>
        <v>0</v>
      </c>
    </row>
    <row r="21" spans="1:6" x14ac:dyDescent="0.25">
      <c r="A21" s="2">
        <v>15</v>
      </c>
      <c r="B21" s="2"/>
      <c r="C21" s="2"/>
      <c r="D21" s="2"/>
      <c r="E21" s="2"/>
      <c r="F21" s="2">
        <f t="shared" si="1"/>
        <v>0</v>
      </c>
    </row>
    <row r="22" spans="1:6" x14ac:dyDescent="0.25">
      <c r="A22" s="2">
        <v>16</v>
      </c>
      <c r="B22" s="32"/>
      <c r="C22" s="2"/>
      <c r="D22" s="2"/>
      <c r="E22" s="2"/>
      <c r="F22" s="2">
        <f t="shared" si="1"/>
        <v>0</v>
      </c>
    </row>
    <row r="23" spans="1:6" x14ac:dyDescent="0.25">
      <c r="A23" s="2">
        <v>17</v>
      </c>
      <c r="B23" s="32"/>
      <c r="C23" s="2"/>
      <c r="D23" s="2"/>
      <c r="E23" s="2"/>
      <c r="F23" s="2">
        <f t="shared" si="1"/>
        <v>0</v>
      </c>
    </row>
    <row r="24" spans="1:6" x14ac:dyDescent="0.25">
      <c r="A24" s="2">
        <v>18</v>
      </c>
      <c r="B24" s="32"/>
      <c r="C24" s="2"/>
      <c r="D24" s="2"/>
      <c r="E24" s="2"/>
      <c r="F24" s="2">
        <f t="shared" si="1"/>
        <v>0</v>
      </c>
    </row>
    <row r="25" spans="1:6" x14ac:dyDescent="0.25">
      <c r="A25" s="2">
        <v>19</v>
      </c>
      <c r="B25" s="2"/>
      <c r="C25" s="2"/>
      <c r="D25" s="2"/>
      <c r="E25" s="2"/>
      <c r="F25" s="2">
        <f t="shared" si="1"/>
        <v>0</v>
      </c>
    </row>
    <row r="26" spans="1:6" x14ac:dyDescent="0.25">
      <c r="A26" s="2">
        <v>20</v>
      </c>
      <c r="B26" s="2"/>
      <c r="C26" s="2"/>
      <c r="D26" s="2"/>
      <c r="E26" s="2"/>
      <c r="F26" s="2">
        <f t="shared" si="1"/>
        <v>0</v>
      </c>
    </row>
    <row r="27" spans="1:6" x14ac:dyDescent="0.25">
      <c r="A27" s="2">
        <v>21</v>
      </c>
      <c r="B27" s="32"/>
      <c r="C27" s="2"/>
      <c r="D27" s="2"/>
      <c r="E27" s="2"/>
      <c r="F27" s="2">
        <f t="shared" si="1"/>
        <v>0</v>
      </c>
    </row>
    <row r="28" spans="1:6" x14ac:dyDescent="0.25">
      <c r="A28" s="2">
        <v>22</v>
      </c>
      <c r="B28" s="32"/>
      <c r="C28" s="2"/>
      <c r="D28" s="2"/>
      <c r="E28" s="2"/>
      <c r="F28" s="2">
        <f t="shared" si="1"/>
        <v>0</v>
      </c>
    </row>
    <row r="29" spans="1:6" x14ac:dyDescent="0.25">
      <c r="A29" s="2">
        <v>23</v>
      </c>
      <c r="B29" s="2"/>
      <c r="C29" s="2"/>
      <c r="D29" s="2"/>
      <c r="E29" s="2"/>
      <c r="F29" s="2">
        <f t="shared" si="1"/>
        <v>0</v>
      </c>
    </row>
    <row r="30" spans="1:6" x14ac:dyDescent="0.25">
      <c r="A30" s="2">
        <v>24</v>
      </c>
      <c r="B30" s="32"/>
      <c r="C30" s="2"/>
      <c r="D30" s="2"/>
      <c r="E30" s="2"/>
      <c r="F30" s="2">
        <f t="shared" si="1"/>
        <v>0</v>
      </c>
    </row>
    <row r="31" spans="1:6" x14ac:dyDescent="0.25">
      <c r="A31" s="2">
        <v>25</v>
      </c>
      <c r="B31" s="32"/>
      <c r="C31" s="2"/>
      <c r="D31" s="2"/>
      <c r="E31" s="2"/>
      <c r="F31" s="2">
        <f t="shared" si="1"/>
        <v>0</v>
      </c>
    </row>
    <row r="32" spans="1:6" x14ac:dyDescent="0.25">
      <c r="A32" s="2">
        <v>26</v>
      </c>
      <c r="B32" s="32"/>
      <c r="C32" s="2"/>
      <c r="D32" s="2"/>
      <c r="E32" s="2"/>
      <c r="F32" s="2">
        <f t="shared" si="1"/>
        <v>0</v>
      </c>
    </row>
    <row r="33" spans="1:6" x14ac:dyDescent="0.25">
      <c r="A33" s="2">
        <v>27</v>
      </c>
      <c r="B33" s="32"/>
      <c r="C33" s="2"/>
      <c r="D33" s="2"/>
      <c r="E33" s="2"/>
      <c r="F33" s="2">
        <f t="shared" si="1"/>
        <v>0</v>
      </c>
    </row>
    <row r="34" spans="1:6" x14ac:dyDescent="0.25">
      <c r="A34" s="19">
        <v>28</v>
      </c>
      <c r="B34" s="19"/>
      <c r="C34" s="19"/>
      <c r="D34" s="19"/>
      <c r="E34" s="19"/>
      <c r="F34" s="2">
        <f t="shared" si="1"/>
        <v>0</v>
      </c>
    </row>
    <row r="35" spans="1:6" x14ac:dyDescent="0.25">
      <c r="A35" s="19"/>
      <c r="B35" s="35"/>
      <c r="C35" s="19"/>
      <c r="D35" s="19"/>
      <c r="E35" s="19"/>
      <c r="F35" s="2">
        <f t="shared" si="1"/>
        <v>0</v>
      </c>
    </row>
    <row r="36" spans="1:6" x14ac:dyDescent="0.25">
      <c r="A36" s="19"/>
      <c r="B36" s="35"/>
      <c r="C36" s="19"/>
      <c r="D36" s="19"/>
      <c r="E36" s="19"/>
      <c r="F36" s="2">
        <f t="shared" si="1"/>
        <v>0</v>
      </c>
    </row>
    <row r="37" spans="1:6" x14ac:dyDescent="0.25">
      <c r="A37" s="1" t="s">
        <v>30</v>
      </c>
      <c r="B37" s="1"/>
      <c r="C37" s="1"/>
      <c r="D37" s="5">
        <f>SUM(D7:D36)</f>
        <v>3.0142857142699997</v>
      </c>
      <c r="E37" s="1"/>
      <c r="F37" s="5">
        <f>SUM(F7:F36)</f>
        <v>1169.9999999944998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9"/>
  <sheetViews>
    <sheetView topLeftCell="A19" workbookViewId="0">
      <selection activeCell="H50" sqref="H50"/>
    </sheetView>
  </sheetViews>
  <sheetFormatPr defaultRowHeight="15" x14ac:dyDescent="0.25"/>
  <cols>
    <col min="2" max="2" width="11.7109375" customWidth="1"/>
    <col min="3" max="3" width="12.5703125" customWidth="1"/>
    <col min="4" max="4" width="12.28515625" customWidth="1"/>
    <col min="5" max="5" width="17.140625" customWidth="1"/>
    <col min="6" max="6" width="11.42578125" customWidth="1"/>
  </cols>
  <sheetData>
    <row r="2" spans="1:6" ht="21" x14ac:dyDescent="0.35">
      <c r="A2" s="6"/>
      <c r="B2" s="9" t="s">
        <v>31</v>
      </c>
      <c r="C2" s="9"/>
      <c r="D2" s="9"/>
      <c r="E2" s="10"/>
      <c r="F2" s="6"/>
    </row>
    <row r="3" spans="1:6" ht="18.75" x14ac:dyDescent="0.3">
      <c r="A3" s="6"/>
      <c r="B3" s="11" t="s">
        <v>32</v>
      </c>
      <c r="C3" s="11"/>
      <c r="D3" s="8"/>
      <c r="E3" s="8"/>
      <c r="F3" s="6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12" t="s">
        <v>33</v>
      </c>
      <c r="B6" s="12" t="s">
        <v>0</v>
      </c>
      <c r="C6" s="12" t="s">
        <v>3</v>
      </c>
      <c r="D6" s="12" t="s">
        <v>7</v>
      </c>
      <c r="E6" s="12" t="s">
        <v>1</v>
      </c>
      <c r="F6" s="12" t="s">
        <v>2</v>
      </c>
    </row>
    <row r="7" spans="1:6" x14ac:dyDescent="0.25">
      <c r="A7" s="2">
        <v>1</v>
      </c>
      <c r="B7" s="3">
        <v>42070</v>
      </c>
      <c r="C7" s="2">
        <v>69143</v>
      </c>
      <c r="D7" s="2">
        <v>1</v>
      </c>
      <c r="E7" s="1">
        <v>300</v>
      </c>
      <c r="F7" s="1"/>
    </row>
    <row r="8" spans="1:6" x14ac:dyDescent="0.25">
      <c r="A8" s="2">
        <v>2</v>
      </c>
      <c r="B8" s="3">
        <v>42223</v>
      </c>
      <c r="C8" s="2">
        <v>66952</v>
      </c>
      <c r="D8" s="2">
        <v>1</v>
      </c>
      <c r="E8" s="1">
        <f>(D8*300)</f>
        <v>300</v>
      </c>
      <c r="F8" s="1"/>
    </row>
    <row r="9" spans="1:6" x14ac:dyDescent="0.25">
      <c r="A9" s="2">
        <v>3</v>
      </c>
      <c r="B9" s="3">
        <v>42345</v>
      </c>
      <c r="C9" s="2">
        <v>66980</v>
      </c>
      <c r="D9" s="2">
        <v>1</v>
      </c>
      <c r="E9" s="1">
        <f t="shared" ref="E9:E58" si="0">(D9*300)</f>
        <v>300</v>
      </c>
      <c r="F9" s="1"/>
    </row>
    <row r="10" spans="1:6" x14ac:dyDescent="0.25">
      <c r="A10" s="2">
        <v>4</v>
      </c>
      <c r="B10" s="4" t="s">
        <v>4</v>
      </c>
      <c r="C10" s="2">
        <v>67742</v>
      </c>
      <c r="D10" s="2">
        <v>1</v>
      </c>
      <c r="E10" s="1">
        <f t="shared" si="0"/>
        <v>300</v>
      </c>
      <c r="F10" s="1"/>
    </row>
    <row r="11" spans="1:6" x14ac:dyDescent="0.25">
      <c r="A11" s="2">
        <v>5</v>
      </c>
      <c r="B11" s="4" t="s">
        <v>5</v>
      </c>
      <c r="C11" s="2">
        <v>67874</v>
      </c>
      <c r="D11" s="2">
        <v>1</v>
      </c>
      <c r="E11" s="1">
        <f t="shared" si="0"/>
        <v>300</v>
      </c>
      <c r="F11" s="1"/>
    </row>
    <row r="12" spans="1:6" x14ac:dyDescent="0.25">
      <c r="A12" s="2">
        <v>6</v>
      </c>
      <c r="B12" s="4" t="s">
        <v>6</v>
      </c>
      <c r="C12" s="2">
        <v>68522</v>
      </c>
      <c r="D12" s="2">
        <v>1</v>
      </c>
      <c r="E12" s="1">
        <f t="shared" si="0"/>
        <v>300</v>
      </c>
      <c r="F12" s="1"/>
    </row>
    <row r="13" spans="1:6" x14ac:dyDescent="0.25">
      <c r="A13" s="2">
        <v>7</v>
      </c>
      <c r="B13" s="4" t="s">
        <v>8</v>
      </c>
      <c r="C13" s="2">
        <v>68542</v>
      </c>
      <c r="D13" s="2">
        <v>1</v>
      </c>
      <c r="E13" s="1">
        <f t="shared" si="0"/>
        <v>300</v>
      </c>
      <c r="F13" s="1"/>
    </row>
    <row r="14" spans="1:6" x14ac:dyDescent="0.25">
      <c r="A14" s="2">
        <v>8</v>
      </c>
      <c r="B14" s="3">
        <v>42164</v>
      </c>
      <c r="C14" s="2">
        <v>69267</v>
      </c>
      <c r="D14" s="2">
        <v>1</v>
      </c>
      <c r="E14" s="1">
        <f t="shared" si="0"/>
        <v>300</v>
      </c>
      <c r="F14" s="1"/>
    </row>
    <row r="15" spans="1:6" x14ac:dyDescent="0.25">
      <c r="A15" s="2">
        <v>9</v>
      </c>
      <c r="B15" s="3">
        <v>42286</v>
      </c>
      <c r="C15" s="2">
        <v>69289</v>
      </c>
      <c r="D15" s="2">
        <v>2</v>
      </c>
      <c r="E15" s="1">
        <f t="shared" si="0"/>
        <v>600</v>
      </c>
      <c r="F15" s="1"/>
    </row>
    <row r="16" spans="1:6" x14ac:dyDescent="0.25">
      <c r="A16" s="2">
        <v>10</v>
      </c>
      <c r="B16" s="4" t="s">
        <v>9</v>
      </c>
      <c r="C16" s="2">
        <v>69308</v>
      </c>
      <c r="D16" s="2">
        <v>1</v>
      </c>
      <c r="E16" s="1">
        <f t="shared" si="0"/>
        <v>300</v>
      </c>
      <c r="F16" s="1"/>
    </row>
    <row r="17" spans="1:6" x14ac:dyDescent="0.25">
      <c r="A17" s="2">
        <v>11</v>
      </c>
      <c r="B17" s="4" t="s">
        <v>10</v>
      </c>
      <c r="C17" s="2">
        <v>69324</v>
      </c>
      <c r="D17" s="2">
        <v>2</v>
      </c>
      <c r="E17" s="1">
        <f t="shared" si="0"/>
        <v>600</v>
      </c>
      <c r="F17" s="1"/>
    </row>
    <row r="18" spans="1:6" x14ac:dyDescent="0.25">
      <c r="A18" s="2">
        <v>12</v>
      </c>
      <c r="B18" s="4" t="s">
        <v>11</v>
      </c>
      <c r="C18" s="2">
        <v>69353</v>
      </c>
      <c r="D18" s="2">
        <v>2</v>
      </c>
      <c r="E18" s="1">
        <f t="shared" si="0"/>
        <v>600</v>
      </c>
      <c r="F18" s="1"/>
    </row>
    <row r="19" spans="1:6" x14ac:dyDescent="0.25">
      <c r="A19" s="2">
        <v>13</v>
      </c>
      <c r="B19" s="3">
        <v>42318</v>
      </c>
      <c r="C19" s="2">
        <v>69507</v>
      </c>
      <c r="D19" s="2">
        <v>3</v>
      </c>
      <c r="E19" s="1">
        <f t="shared" si="0"/>
        <v>900</v>
      </c>
      <c r="F19" s="1"/>
    </row>
    <row r="20" spans="1:6" x14ac:dyDescent="0.25">
      <c r="A20" s="2">
        <v>14</v>
      </c>
      <c r="B20" s="4" t="s">
        <v>12</v>
      </c>
      <c r="C20" s="2">
        <v>69663</v>
      </c>
      <c r="D20" s="2">
        <v>2</v>
      </c>
      <c r="E20" s="1">
        <f t="shared" si="0"/>
        <v>600</v>
      </c>
      <c r="F20" s="1"/>
    </row>
    <row r="21" spans="1:6" x14ac:dyDescent="0.25">
      <c r="A21" s="2">
        <v>15</v>
      </c>
      <c r="B21" s="3">
        <v>42074</v>
      </c>
      <c r="C21" s="2">
        <v>69797</v>
      </c>
      <c r="D21" s="2">
        <v>2</v>
      </c>
      <c r="E21" s="1">
        <f t="shared" si="0"/>
        <v>600</v>
      </c>
      <c r="F21" s="1"/>
    </row>
    <row r="22" spans="1:6" x14ac:dyDescent="0.25">
      <c r="A22" s="2">
        <v>16</v>
      </c>
      <c r="B22" s="3">
        <v>42196</v>
      </c>
      <c r="C22" s="2">
        <v>69832</v>
      </c>
      <c r="D22" s="2">
        <v>2</v>
      </c>
      <c r="E22" s="1">
        <f t="shared" si="0"/>
        <v>600</v>
      </c>
      <c r="F22" s="1"/>
    </row>
    <row r="23" spans="1:6" x14ac:dyDescent="0.25">
      <c r="A23" s="2">
        <v>17</v>
      </c>
      <c r="B23" s="3">
        <v>42288</v>
      </c>
      <c r="C23" s="2">
        <v>69967</v>
      </c>
      <c r="D23" s="2">
        <v>1</v>
      </c>
      <c r="E23" s="1">
        <f t="shared" si="0"/>
        <v>300</v>
      </c>
      <c r="F23" s="1"/>
    </row>
    <row r="24" spans="1:6" x14ac:dyDescent="0.25">
      <c r="A24" s="2">
        <v>18</v>
      </c>
      <c r="B24" s="4" t="s">
        <v>13</v>
      </c>
      <c r="C24" s="2">
        <v>69993</v>
      </c>
      <c r="D24" s="2">
        <v>2</v>
      </c>
      <c r="E24" s="1">
        <f t="shared" si="0"/>
        <v>600</v>
      </c>
      <c r="F24" s="1"/>
    </row>
    <row r="25" spans="1:6" x14ac:dyDescent="0.25">
      <c r="A25" s="2">
        <v>19</v>
      </c>
      <c r="B25" s="4" t="s">
        <v>14</v>
      </c>
      <c r="C25" s="2">
        <v>70091</v>
      </c>
      <c r="D25" s="2">
        <v>2</v>
      </c>
      <c r="E25" s="1">
        <f t="shared" si="0"/>
        <v>600</v>
      </c>
      <c r="F25" s="1"/>
    </row>
    <row r="26" spans="1:6" x14ac:dyDescent="0.25">
      <c r="A26" s="2">
        <v>20</v>
      </c>
      <c r="B26" s="4" t="s">
        <v>15</v>
      </c>
      <c r="C26" s="2">
        <v>70219</v>
      </c>
      <c r="D26" s="2">
        <v>1</v>
      </c>
      <c r="E26" s="1">
        <f t="shared" si="0"/>
        <v>300</v>
      </c>
      <c r="F26" s="1"/>
    </row>
    <row r="27" spans="1:6" x14ac:dyDescent="0.25">
      <c r="A27" s="2">
        <v>21</v>
      </c>
      <c r="B27" s="3">
        <v>42016</v>
      </c>
      <c r="C27" s="2">
        <v>70411</v>
      </c>
      <c r="D27" s="2">
        <v>1</v>
      </c>
      <c r="E27" s="1">
        <f t="shared" si="0"/>
        <v>300</v>
      </c>
      <c r="F27" s="1"/>
    </row>
    <row r="28" spans="1:6" x14ac:dyDescent="0.25">
      <c r="A28" s="14">
        <v>22</v>
      </c>
      <c r="B28" s="15">
        <v>42136</v>
      </c>
      <c r="C28" s="14">
        <v>70437</v>
      </c>
      <c r="D28" s="14">
        <v>2</v>
      </c>
      <c r="E28" s="16">
        <f t="shared" si="0"/>
        <v>600</v>
      </c>
      <c r="F28" s="16">
        <f>SUM(E7:E28)</f>
        <v>9900</v>
      </c>
    </row>
    <row r="29" spans="1:6" x14ac:dyDescent="0.25">
      <c r="A29" s="2">
        <v>23</v>
      </c>
      <c r="B29" s="3">
        <v>42461</v>
      </c>
      <c r="C29" s="2">
        <v>71146</v>
      </c>
      <c r="D29" s="2">
        <v>1</v>
      </c>
      <c r="E29" s="1">
        <f t="shared" si="0"/>
        <v>300</v>
      </c>
      <c r="F29" s="1"/>
    </row>
    <row r="30" spans="1:6" x14ac:dyDescent="0.25">
      <c r="A30" s="2">
        <v>24</v>
      </c>
      <c r="B30" s="3">
        <v>42675</v>
      </c>
      <c r="C30" s="2">
        <v>71359</v>
      </c>
      <c r="D30" s="2">
        <v>1</v>
      </c>
      <c r="E30" s="1">
        <f t="shared" si="0"/>
        <v>300</v>
      </c>
      <c r="F30" s="1"/>
    </row>
    <row r="31" spans="1:6" x14ac:dyDescent="0.25">
      <c r="A31" s="2">
        <v>25</v>
      </c>
      <c r="B31" s="3" t="s">
        <v>16</v>
      </c>
      <c r="C31" s="2">
        <v>71443</v>
      </c>
      <c r="D31" s="2">
        <v>1</v>
      </c>
      <c r="E31" s="1">
        <f t="shared" si="0"/>
        <v>300</v>
      </c>
      <c r="F31" s="1"/>
    </row>
    <row r="32" spans="1:6" x14ac:dyDescent="0.25">
      <c r="A32" s="2">
        <v>26</v>
      </c>
      <c r="B32" s="4" t="s">
        <v>17</v>
      </c>
      <c r="C32" s="2">
        <v>71726</v>
      </c>
      <c r="D32" s="2">
        <v>1</v>
      </c>
      <c r="E32" s="1">
        <f t="shared" si="0"/>
        <v>300</v>
      </c>
      <c r="F32" s="1"/>
    </row>
    <row r="33" spans="1:6" x14ac:dyDescent="0.25">
      <c r="A33" s="2">
        <v>27</v>
      </c>
      <c r="B33" s="3">
        <v>42553</v>
      </c>
      <c r="C33" s="2">
        <v>71840</v>
      </c>
      <c r="D33" s="2">
        <v>1</v>
      </c>
      <c r="E33" s="1">
        <f t="shared" si="0"/>
        <v>300</v>
      </c>
      <c r="F33" s="1"/>
    </row>
    <row r="34" spans="1:6" x14ac:dyDescent="0.25">
      <c r="A34" s="2">
        <v>28</v>
      </c>
      <c r="B34" s="3">
        <v>42645</v>
      </c>
      <c r="C34" s="2">
        <v>71966</v>
      </c>
      <c r="D34" s="2">
        <v>1</v>
      </c>
      <c r="E34" s="1">
        <f t="shared" si="0"/>
        <v>300</v>
      </c>
      <c r="F34" s="1"/>
    </row>
    <row r="35" spans="1:6" x14ac:dyDescent="0.25">
      <c r="A35" s="2">
        <v>29</v>
      </c>
      <c r="B35" s="4" t="s">
        <v>18</v>
      </c>
      <c r="C35" s="2">
        <v>72236</v>
      </c>
      <c r="D35" s="2">
        <v>1</v>
      </c>
      <c r="E35" s="1">
        <f t="shared" si="0"/>
        <v>300</v>
      </c>
      <c r="F35" s="1"/>
    </row>
    <row r="36" spans="1:6" x14ac:dyDescent="0.25">
      <c r="A36" s="2">
        <v>30</v>
      </c>
      <c r="B36" s="3">
        <v>42646</v>
      </c>
      <c r="C36" s="2">
        <v>72593</v>
      </c>
      <c r="D36" s="2">
        <v>1</v>
      </c>
      <c r="E36" s="1">
        <f t="shared" si="0"/>
        <v>300</v>
      </c>
      <c r="F36" s="1"/>
    </row>
    <row r="37" spans="1:6" x14ac:dyDescent="0.25">
      <c r="A37" s="2">
        <v>31</v>
      </c>
      <c r="B37" s="4" t="s">
        <v>19</v>
      </c>
      <c r="C37" s="2">
        <v>78456</v>
      </c>
      <c r="D37" s="2">
        <v>1</v>
      </c>
      <c r="E37" s="1">
        <f t="shared" si="0"/>
        <v>300</v>
      </c>
      <c r="F37" s="1"/>
    </row>
    <row r="38" spans="1:6" x14ac:dyDescent="0.25">
      <c r="A38" s="2">
        <v>32</v>
      </c>
      <c r="B38" s="4" t="s">
        <v>20</v>
      </c>
      <c r="C38" s="2">
        <v>73028</v>
      </c>
      <c r="D38" s="2">
        <v>1</v>
      </c>
      <c r="E38" s="1">
        <f t="shared" si="0"/>
        <v>300</v>
      </c>
      <c r="F38" s="1"/>
    </row>
    <row r="39" spans="1:6" x14ac:dyDescent="0.25">
      <c r="A39" s="2">
        <v>33</v>
      </c>
      <c r="B39" s="3">
        <v>42708</v>
      </c>
      <c r="C39" s="2">
        <v>73656</v>
      </c>
      <c r="D39" s="2">
        <v>1</v>
      </c>
      <c r="E39" s="1">
        <f t="shared" si="0"/>
        <v>300</v>
      </c>
      <c r="F39" s="1"/>
    </row>
    <row r="40" spans="1:6" x14ac:dyDescent="0.25">
      <c r="A40" s="2">
        <v>34</v>
      </c>
      <c r="B40" s="4" t="s">
        <v>21</v>
      </c>
      <c r="C40" s="2">
        <v>73844</v>
      </c>
      <c r="D40" s="2">
        <v>1</v>
      </c>
      <c r="E40" s="1">
        <f t="shared" si="0"/>
        <v>300</v>
      </c>
      <c r="F40" s="1"/>
    </row>
    <row r="41" spans="1:6" x14ac:dyDescent="0.25">
      <c r="A41" s="2">
        <v>35</v>
      </c>
      <c r="B41" s="3">
        <v>42374</v>
      </c>
      <c r="C41" s="2">
        <v>74125</v>
      </c>
      <c r="D41" s="2">
        <v>1</v>
      </c>
      <c r="E41" s="1">
        <f t="shared" si="0"/>
        <v>300</v>
      </c>
      <c r="F41" s="1"/>
    </row>
    <row r="42" spans="1:6" x14ac:dyDescent="0.25">
      <c r="A42" s="2">
        <v>36</v>
      </c>
      <c r="B42" s="3">
        <v>42648</v>
      </c>
      <c r="C42" s="2">
        <v>74557</v>
      </c>
      <c r="D42" s="2">
        <v>1</v>
      </c>
      <c r="E42" s="1">
        <f t="shared" si="0"/>
        <v>300</v>
      </c>
      <c r="F42" s="1"/>
    </row>
    <row r="43" spans="1:6" x14ac:dyDescent="0.25">
      <c r="A43" s="2">
        <v>37</v>
      </c>
      <c r="B43" s="4" t="s">
        <v>22</v>
      </c>
      <c r="C43" s="2">
        <v>74792</v>
      </c>
      <c r="D43" s="2">
        <v>1</v>
      </c>
      <c r="E43" s="1">
        <f t="shared" si="0"/>
        <v>300</v>
      </c>
      <c r="F43" s="1"/>
    </row>
    <row r="44" spans="1:6" x14ac:dyDescent="0.25">
      <c r="A44" s="2">
        <v>38</v>
      </c>
      <c r="B44" s="3">
        <v>42406</v>
      </c>
      <c r="C44" s="2">
        <v>75321</v>
      </c>
      <c r="D44" s="2">
        <v>1</v>
      </c>
      <c r="E44" s="1">
        <f t="shared" si="0"/>
        <v>300</v>
      </c>
      <c r="F44" s="1"/>
    </row>
    <row r="45" spans="1:6" x14ac:dyDescent="0.25">
      <c r="A45" s="2">
        <v>39</v>
      </c>
      <c r="B45" s="4" t="s">
        <v>23</v>
      </c>
      <c r="C45" s="2">
        <v>75812</v>
      </c>
      <c r="D45" s="2">
        <v>1</v>
      </c>
      <c r="E45" s="1">
        <f t="shared" si="0"/>
        <v>300</v>
      </c>
      <c r="F45" s="1"/>
    </row>
    <row r="46" spans="1:6" x14ac:dyDescent="0.25">
      <c r="A46" s="2">
        <v>40</v>
      </c>
      <c r="B46" s="4" t="s">
        <v>24</v>
      </c>
      <c r="C46" s="2">
        <v>75989</v>
      </c>
      <c r="D46" s="2">
        <v>1</v>
      </c>
      <c r="E46" s="1">
        <f t="shared" si="0"/>
        <v>300</v>
      </c>
      <c r="F46" s="1"/>
    </row>
    <row r="47" spans="1:6" x14ac:dyDescent="0.25">
      <c r="A47" s="2">
        <v>41</v>
      </c>
      <c r="B47" s="3">
        <v>42620</v>
      </c>
      <c r="C47" s="2">
        <v>76363</v>
      </c>
      <c r="D47" s="2">
        <v>1</v>
      </c>
      <c r="E47" s="1">
        <f t="shared" si="0"/>
        <v>300</v>
      </c>
      <c r="F47" s="1"/>
    </row>
    <row r="48" spans="1:6" x14ac:dyDescent="0.25">
      <c r="A48" s="2">
        <v>42</v>
      </c>
      <c r="B48" s="4" t="s">
        <v>25</v>
      </c>
      <c r="C48" s="2">
        <v>76594</v>
      </c>
      <c r="D48" s="2">
        <v>1</v>
      </c>
      <c r="E48" s="1">
        <f t="shared" si="0"/>
        <v>300</v>
      </c>
      <c r="F48" s="1"/>
    </row>
    <row r="49" spans="1:6" x14ac:dyDescent="0.25">
      <c r="A49" s="2">
        <v>43</v>
      </c>
      <c r="B49" s="3">
        <v>42379</v>
      </c>
      <c r="C49" s="2">
        <v>78780</v>
      </c>
      <c r="D49" s="2">
        <v>1</v>
      </c>
      <c r="E49" s="1">
        <f t="shared" si="0"/>
        <v>300</v>
      </c>
      <c r="F49" s="1"/>
    </row>
    <row r="50" spans="1:6" x14ac:dyDescent="0.25">
      <c r="A50" s="2">
        <v>44</v>
      </c>
      <c r="B50" s="3">
        <v>42623</v>
      </c>
      <c r="C50" s="2">
        <v>79045</v>
      </c>
      <c r="D50" s="2">
        <v>1</v>
      </c>
      <c r="E50" s="1">
        <f t="shared" si="0"/>
        <v>300</v>
      </c>
      <c r="F50" s="1"/>
    </row>
    <row r="51" spans="1:6" x14ac:dyDescent="0.25">
      <c r="A51" s="2">
        <v>45</v>
      </c>
      <c r="B51" s="4" t="s">
        <v>26</v>
      </c>
      <c r="C51" s="2">
        <v>79262</v>
      </c>
      <c r="D51" s="2">
        <v>1</v>
      </c>
      <c r="E51" s="1">
        <f t="shared" si="0"/>
        <v>300</v>
      </c>
      <c r="F51" s="1"/>
    </row>
    <row r="52" spans="1:6" x14ac:dyDescent="0.25">
      <c r="A52" s="2">
        <v>46</v>
      </c>
      <c r="B52" s="4" t="s">
        <v>27</v>
      </c>
      <c r="C52" s="2">
        <v>79602</v>
      </c>
      <c r="D52" s="2">
        <v>1</v>
      </c>
      <c r="E52" s="1">
        <f t="shared" si="0"/>
        <v>300</v>
      </c>
      <c r="F52" s="1"/>
    </row>
    <row r="53" spans="1:6" x14ac:dyDescent="0.25">
      <c r="A53" s="2">
        <v>47</v>
      </c>
      <c r="B53" s="3">
        <v>42654</v>
      </c>
      <c r="C53" s="2">
        <v>79957</v>
      </c>
      <c r="D53" s="2">
        <v>2</v>
      </c>
      <c r="E53" s="1">
        <f t="shared" si="0"/>
        <v>600</v>
      </c>
      <c r="F53" s="1"/>
    </row>
    <row r="54" spans="1:6" x14ac:dyDescent="0.25">
      <c r="A54" s="2">
        <v>48</v>
      </c>
      <c r="B54" s="3">
        <v>42441</v>
      </c>
      <c r="C54" s="2">
        <v>80443</v>
      </c>
      <c r="D54" s="2">
        <v>1</v>
      </c>
      <c r="E54" s="1">
        <f t="shared" si="0"/>
        <v>300</v>
      </c>
      <c r="F54" s="1"/>
    </row>
    <row r="55" spans="1:6" x14ac:dyDescent="0.25">
      <c r="A55" s="2">
        <v>49</v>
      </c>
      <c r="B55" s="4" t="s">
        <v>28</v>
      </c>
      <c r="C55" s="2">
        <v>80845</v>
      </c>
      <c r="D55" s="2">
        <v>1</v>
      </c>
      <c r="E55" s="1">
        <f t="shared" si="0"/>
        <v>300</v>
      </c>
      <c r="F55" s="1"/>
    </row>
    <row r="56" spans="1:6" x14ac:dyDescent="0.25">
      <c r="A56" s="14">
        <v>50</v>
      </c>
      <c r="B56" s="17" t="s">
        <v>29</v>
      </c>
      <c r="C56" s="14">
        <v>70856</v>
      </c>
      <c r="D56" s="14">
        <v>1</v>
      </c>
      <c r="E56" s="16">
        <f t="shared" si="0"/>
        <v>300</v>
      </c>
      <c r="F56" s="16">
        <f>SUM(E29:E56)</f>
        <v>8700</v>
      </c>
    </row>
    <row r="57" spans="1:6" x14ac:dyDescent="0.25">
      <c r="A57" s="2">
        <v>51</v>
      </c>
      <c r="B57" s="3">
        <v>42826</v>
      </c>
      <c r="C57" s="2">
        <v>81553</v>
      </c>
      <c r="D57" s="2">
        <v>1</v>
      </c>
      <c r="E57" s="1">
        <f t="shared" si="0"/>
        <v>300</v>
      </c>
      <c r="F57" s="1"/>
    </row>
    <row r="58" spans="1:6" x14ac:dyDescent="0.25">
      <c r="A58" s="14">
        <v>52</v>
      </c>
      <c r="B58" s="15" t="s">
        <v>34</v>
      </c>
      <c r="C58" s="14">
        <v>81912</v>
      </c>
      <c r="D58" s="14">
        <v>1</v>
      </c>
      <c r="E58" s="16">
        <f t="shared" si="0"/>
        <v>300</v>
      </c>
      <c r="F58" s="16">
        <f>SUM(E57:E58)</f>
        <v>600</v>
      </c>
    </row>
    <row r="59" spans="1:6" x14ac:dyDescent="0.25">
      <c r="A59" s="1" t="s">
        <v>30</v>
      </c>
      <c r="B59" s="1"/>
      <c r="C59" s="1"/>
      <c r="D59" s="5">
        <f>SUM(D7:D58)</f>
        <v>64</v>
      </c>
      <c r="E59" s="1"/>
      <c r="F59" s="13">
        <f>SUM(F7:F58)</f>
        <v>19200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6"/>
  <sheetViews>
    <sheetView workbookViewId="0">
      <selection activeCell="F37" sqref="F37"/>
    </sheetView>
  </sheetViews>
  <sheetFormatPr defaultRowHeight="15" x14ac:dyDescent="0.25"/>
  <cols>
    <col min="2" max="2" width="11.7109375" customWidth="1"/>
    <col min="3" max="3" width="12.5703125" customWidth="1"/>
    <col min="4" max="4" width="12.28515625" customWidth="1"/>
    <col min="5" max="5" width="17.140625" customWidth="1"/>
    <col min="6" max="6" width="11.42578125" customWidth="1"/>
  </cols>
  <sheetData>
    <row r="2" spans="1:6" ht="21" x14ac:dyDescent="0.35">
      <c r="A2" s="6"/>
      <c r="B2" s="9" t="s">
        <v>31</v>
      </c>
      <c r="C2" s="9"/>
      <c r="D2" s="9"/>
      <c r="E2" s="10"/>
      <c r="F2" s="6"/>
    </row>
    <row r="3" spans="1:6" ht="18.75" x14ac:dyDescent="0.3">
      <c r="A3" s="6"/>
      <c r="B3" s="11" t="s">
        <v>32</v>
      </c>
      <c r="C3" s="11"/>
      <c r="D3" s="8"/>
      <c r="E3" s="18" t="s">
        <v>44</v>
      </c>
      <c r="F3" s="6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12" t="s">
        <v>33</v>
      </c>
      <c r="B6" s="12" t="s">
        <v>0</v>
      </c>
      <c r="C6" s="12" t="s">
        <v>3</v>
      </c>
      <c r="D6" s="12" t="s">
        <v>7</v>
      </c>
      <c r="E6" s="12" t="s">
        <v>1</v>
      </c>
      <c r="F6" s="12" t="s">
        <v>2</v>
      </c>
    </row>
    <row r="7" spans="1:6" x14ac:dyDescent="0.25">
      <c r="A7" s="2">
        <v>1</v>
      </c>
      <c r="B7" s="3">
        <v>42888</v>
      </c>
      <c r="C7" s="2">
        <v>82160</v>
      </c>
      <c r="D7" s="2">
        <v>1</v>
      </c>
      <c r="E7" s="2">
        <v>300</v>
      </c>
      <c r="F7" s="1"/>
    </row>
    <row r="8" spans="1:6" x14ac:dyDescent="0.25">
      <c r="A8" s="2">
        <v>2</v>
      </c>
      <c r="B8" s="3" t="s">
        <v>35</v>
      </c>
      <c r="C8" s="2">
        <v>82628</v>
      </c>
      <c r="D8" s="2">
        <v>1</v>
      </c>
      <c r="E8" s="2">
        <f>(D8*300)</f>
        <v>300</v>
      </c>
      <c r="F8" s="1"/>
    </row>
    <row r="9" spans="1:6" x14ac:dyDescent="0.25">
      <c r="A9" s="2">
        <v>3</v>
      </c>
      <c r="B9" s="3" t="s">
        <v>36</v>
      </c>
      <c r="C9" s="2">
        <v>82784</v>
      </c>
      <c r="D9" s="2">
        <v>1</v>
      </c>
      <c r="E9" s="2">
        <f t="shared" ref="E9" si="0">(D9*300)</f>
        <v>300</v>
      </c>
      <c r="F9" s="1"/>
    </row>
    <row r="10" spans="1:6" x14ac:dyDescent="0.25">
      <c r="A10" s="2">
        <v>4</v>
      </c>
      <c r="B10" s="3">
        <v>42950</v>
      </c>
      <c r="C10" s="2">
        <v>83181</v>
      </c>
      <c r="D10" s="2">
        <v>2</v>
      </c>
      <c r="E10" s="2">
        <v>600</v>
      </c>
      <c r="F10" s="1"/>
    </row>
    <row r="11" spans="1:6" x14ac:dyDescent="0.25">
      <c r="A11" s="2">
        <v>5</v>
      </c>
      <c r="B11" s="4" t="s">
        <v>37</v>
      </c>
      <c r="C11" s="2">
        <v>83380</v>
      </c>
      <c r="D11" s="2">
        <v>1</v>
      </c>
      <c r="E11" s="2">
        <v>300</v>
      </c>
      <c r="F11" s="1"/>
    </row>
    <row r="12" spans="1:6" x14ac:dyDescent="0.25">
      <c r="A12" s="2">
        <v>6</v>
      </c>
      <c r="B12" s="4" t="s">
        <v>38</v>
      </c>
      <c r="C12" s="2">
        <v>83476</v>
      </c>
      <c r="D12" s="2">
        <v>1</v>
      </c>
      <c r="E12" s="2">
        <v>300</v>
      </c>
      <c r="F12" s="1"/>
    </row>
    <row r="13" spans="1:6" x14ac:dyDescent="0.25">
      <c r="A13" s="2">
        <v>7</v>
      </c>
      <c r="B13" s="4" t="s">
        <v>39</v>
      </c>
      <c r="C13" s="2">
        <v>83668</v>
      </c>
      <c r="D13" s="2">
        <v>1</v>
      </c>
      <c r="E13" s="2">
        <v>300</v>
      </c>
      <c r="F13" s="1"/>
    </row>
    <row r="14" spans="1:6" x14ac:dyDescent="0.25">
      <c r="A14" s="2">
        <v>8</v>
      </c>
      <c r="B14" s="3">
        <v>42798</v>
      </c>
      <c r="C14" s="2">
        <v>83930</v>
      </c>
      <c r="D14" s="2">
        <v>1</v>
      </c>
      <c r="E14" s="2">
        <v>300</v>
      </c>
      <c r="F14" s="1"/>
    </row>
    <row r="15" spans="1:6" x14ac:dyDescent="0.25">
      <c r="A15" s="2">
        <v>9</v>
      </c>
      <c r="B15" s="3">
        <v>43012</v>
      </c>
      <c r="C15" s="2">
        <v>84078</v>
      </c>
      <c r="D15" s="2">
        <v>1</v>
      </c>
      <c r="E15" s="2">
        <v>300</v>
      </c>
      <c r="F15" s="1"/>
    </row>
    <row r="16" spans="1:6" x14ac:dyDescent="0.25">
      <c r="A16" s="2">
        <v>10</v>
      </c>
      <c r="B16" s="4" t="s">
        <v>40</v>
      </c>
      <c r="C16" s="2">
        <v>84291</v>
      </c>
      <c r="D16" s="2">
        <v>1</v>
      </c>
      <c r="E16" s="2">
        <v>300</v>
      </c>
      <c r="F16" s="1"/>
    </row>
    <row r="17" spans="1:6" x14ac:dyDescent="0.25">
      <c r="A17" s="2">
        <v>11</v>
      </c>
      <c r="B17" s="4" t="s">
        <v>41</v>
      </c>
      <c r="C17" s="2">
        <v>84554</v>
      </c>
      <c r="D17" s="2">
        <v>1</v>
      </c>
      <c r="E17" s="2">
        <v>300</v>
      </c>
      <c r="F17" s="1"/>
    </row>
    <row r="18" spans="1:6" x14ac:dyDescent="0.25">
      <c r="A18" s="2">
        <v>12</v>
      </c>
      <c r="B18" s="3">
        <v>42983</v>
      </c>
      <c r="C18" s="2">
        <v>84920</v>
      </c>
      <c r="D18" s="2">
        <v>1</v>
      </c>
      <c r="E18" s="2">
        <v>300</v>
      </c>
      <c r="F18" s="1"/>
    </row>
    <row r="19" spans="1:6" x14ac:dyDescent="0.25">
      <c r="A19" s="2">
        <v>13</v>
      </c>
      <c r="B19" s="3" t="s">
        <v>42</v>
      </c>
      <c r="C19" s="2">
        <v>85092</v>
      </c>
      <c r="D19" s="2">
        <v>1</v>
      </c>
      <c r="E19" s="2">
        <v>300</v>
      </c>
      <c r="F19" s="1"/>
    </row>
    <row r="20" spans="1:6" x14ac:dyDescent="0.25">
      <c r="A20" s="2">
        <v>14</v>
      </c>
      <c r="B20" s="4" t="s">
        <v>43</v>
      </c>
      <c r="C20" s="2">
        <v>85798</v>
      </c>
      <c r="D20" s="2">
        <v>1</v>
      </c>
      <c r="E20" s="2">
        <v>300</v>
      </c>
      <c r="F20" s="1"/>
    </row>
    <row r="21" spans="1:6" x14ac:dyDescent="0.25">
      <c r="A21" s="2"/>
      <c r="B21" s="3"/>
      <c r="C21" s="2"/>
      <c r="D21" s="2"/>
      <c r="E21" s="1"/>
      <c r="F21" s="1"/>
    </row>
    <row r="22" spans="1:6" x14ac:dyDescent="0.25">
      <c r="A22" s="2"/>
      <c r="B22" s="3"/>
      <c r="C22" s="2"/>
      <c r="D22" s="2"/>
      <c r="E22" s="1"/>
      <c r="F22" s="1"/>
    </row>
    <row r="23" spans="1:6" x14ac:dyDescent="0.25">
      <c r="A23" s="2"/>
      <c r="B23" s="3"/>
      <c r="C23" s="2"/>
      <c r="D23" s="2"/>
      <c r="E23" s="1"/>
      <c r="F23" s="1"/>
    </row>
    <row r="24" spans="1:6" x14ac:dyDescent="0.25">
      <c r="A24" s="2"/>
      <c r="B24" s="4"/>
      <c r="C24" s="2"/>
      <c r="D24" s="2"/>
      <c r="E24" s="1"/>
      <c r="F24" s="1"/>
    </row>
    <row r="25" spans="1:6" x14ac:dyDescent="0.25">
      <c r="A25" s="2"/>
      <c r="B25" s="4"/>
      <c r="C25" s="2"/>
      <c r="D25" s="2"/>
      <c r="E25" s="1"/>
      <c r="F25" s="1"/>
    </row>
    <row r="26" spans="1:6" x14ac:dyDescent="0.25">
      <c r="A26" s="2"/>
      <c r="B26" s="3"/>
      <c r="C26" s="2"/>
      <c r="D26" s="2"/>
      <c r="E26" s="1"/>
      <c r="F26" s="1"/>
    </row>
    <row r="27" spans="1:6" x14ac:dyDescent="0.25">
      <c r="A27" s="2"/>
      <c r="B27" s="3"/>
      <c r="C27" s="2"/>
      <c r="D27" s="2"/>
      <c r="E27" s="1"/>
      <c r="F27" s="1"/>
    </row>
    <row r="28" spans="1:6" x14ac:dyDescent="0.25">
      <c r="A28" s="2"/>
      <c r="B28" s="4"/>
      <c r="C28" s="2"/>
      <c r="D28" s="2"/>
      <c r="E28" s="1"/>
      <c r="F28" s="1"/>
    </row>
    <row r="29" spans="1:6" x14ac:dyDescent="0.25">
      <c r="A29" s="2"/>
      <c r="B29" s="4"/>
      <c r="C29" s="2"/>
      <c r="D29" s="2"/>
      <c r="E29" s="1"/>
      <c r="F29" s="1"/>
    </row>
    <row r="30" spans="1:6" x14ac:dyDescent="0.25">
      <c r="A30" s="2"/>
      <c r="B30" s="3"/>
      <c r="C30" s="2"/>
      <c r="D30" s="2"/>
      <c r="E30" s="1"/>
      <c r="F30" s="1"/>
    </row>
    <row r="31" spans="1:6" x14ac:dyDescent="0.25">
      <c r="A31" s="2"/>
      <c r="B31" s="3"/>
      <c r="C31" s="2"/>
      <c r="D31" s="2"/>
      <c r="E31" s="1"/>
      <c r="F31" s="1"/>
    </row>
    <row r="32" spans="1:6" x14ac:dyDescent="0.25">
      <c r="A32" s="2"/>
      <c r="B32" s="4"/>
      <c r="C32" s="2"/>
      <c r="D32" s="2"/>
      <c r="E32" s="1"/>
      <c r="F32" s="1"/>
    </row>
    <row r="33" spans="1:6" x14ac:dyDescent="0.25">
      <c r="A33" s="19"/>
      <c r="B33" s="22"/>
      <c r="C33" s="19"/>
      <c r="D33" s="19"/>
      <c r="E33" s="21"/>
      <c r="F33" s="21"/>
    </row>
    <row r="34" spans="1:6" x14ac:dyDescent="0.25">
      <c r="A34" s="19"/>
      <c r="B34" s="20"/>
      <c r="C34" s="19"/>
      <c r="D34" s="19"/>
      <c r="E34" s="21"/>
      <c r="F34" s="21"/>
    </row>
    <row r="35" spans="1:6" x14ac:dyDescent="0.25">
      <c r="A35" s="19"/>
      <c r="B35" s="20"/>
      <c r="C35" s="19"/>
      <c r="D35" s="19"/>
      <c r="E35" s="21"/>
      <c r="F35" s="21"/>
    </row>
    <row r="36" spans="1:6" x14ac:dyDescent="0.25">
      <c r="A36" s="1" t="s">
        <v>30</v>
      </c>
      <c r="B36" s="1"/>
      <c r="C36" s="1"/>
      <c r="D36" s="5">
        <f>SUM(D7:D35)</f>
        <v>15</v>
      </c>
      <c r="E36" s="1"/>
      <c r="F36" s="13">
        <f>SUM(E7:E35)</f>
        <v>4500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6"/>
  <sheetViews>
    <sheetView workbookViewId="0">
      <selection activeCell="E22" sqref="E22"/>
    </sheetView>
  </sheetViews>
  <sheetFormatPr defaultRowHeight="15" x14ac:dyDescent="0.25"/>
  <cols>
    <col min="2" max="2" width="11.7109375" customWidth="1"/>
    <col min="3" max="3" width="12.5703125" customWidth="1"/>
    <col min="4" max="4" width="12.28515625" customWidth="1"/>
    <col min="5" max="5" width="17.140625" customWidth="1"/>
    <col min="6" max="6" width="11.42578125" customWidth="1"/>
  </cols>
  <sheetData>
    <row r="2" spans="1:6" ht="21" x14ac:dyDescent="0.35">
      <c r="A2" s="6"/>
      <c r="B2" s="9" t="s">
        <v>31</v>
      </c>
      <c r="C2" s="9"/>
      <c r="D2" s="9"/>
      <c r="E2" s="10"/>
      <c r="F2" s="6"/>
    </row>
    <row r="3" spans="1:6" ht="18.75" x14ac:dyDescent="0.3">
      <c r="A3" s="6"/>
      <c r="B3" s="11" t="s">
        <v>32</v>
      </c>
      <c r="C3" s="11"/>
      <c r="D3" s="8"/>
      <c r="E3" s="18" t="s">
        <v>45</v>
      </c>
      <c r="F3" s="6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12" t="s">
        <v>33</v>
      </c>
      <c r="B6" s="12" t="s">
        <v>0</v>
      </c>
      <c r="C6" s="12" t="s">
        <v>3</v>
      </c>
      <c r="D6" s="12" t="s">
        <v>7</v>
      </c>
      <c r="E6" s="12" t="s">
        <v>1</v>
      </c>
      <c r="F6" s="12" t="s">
        <v>2</v>
      </c>
    </row>
    <row r="7" spans="1:6" x14ac:dyDescent="0.25">
      <c r="A7" s="2">
        <v>1</v>
      </c>
      <c r="B7" s="3">
        <v>42862</v>
      </c>
      <c r="C7" s="2">
        <v>86219</v>
      </c>
      <c r="D7" s="2">
        <v>1</v>
      </c>
      <c r="E7" s="2">
        <v>300</v>
      </c>
      <c r="F7" s="1"/>
    </row>
    <row r="8" spans="1:6" x14ac:dyDescent="0.25">
      <c r="A8" s="2">
        <v>2</v>
      </c>
      <c r="B8" s="3" t="s">
        <v>46</v>
      </c>
      <c r="C8" s="2">
        <v>86882</v>
      </c>
      <c r="D8" s="2">
        <v>1</v>
      </c>
      <c r="E8" s="2">
        <f>(D8*300)</f>
        <v>300</v>
      </c>
      <c r="F8" s="1"/>
    </row>
    <row r="9" spans="1:6" x14ac:dyDescent="0.25">
      <c r="A9" s="2">
        <v>3</v>
      </c>
      <c r="B9" s="3">
        <v>42955</v>
      </c>
      <c r="C9" s="2">
        <v>86542</v>
      </c>
      <c r="D9" s="2">
        <v>1</v>
      </c>
      <c r="E9" s="2">
        <f t="shared" ref="E9" si="0">(D9*300)</f>
        <v>300</v>
      </c>
      <c r="F9" s="1"/>
    </row>
    <row r="10" spans="1:6" x14ac:dyDescent="0.25">
      <c r="A10" s="2">
        <v>4</v>
      </c>
      <c r="B10" s="3" t="s">
        <v>47</v>
      </c>
      <c r="C10" s="2">
        <v>87642</v>
      </c>
      <c r="D10" s="2">
        <v>1</v>
      </c>
      <c r="E10" s="2">
        <v>300</v>
      </c>
      <c r="F10" s="1"/>
    </row>
    <row r="11" spans="1:6" x14ac:dyDescent="0.25">
      <c r="A11" s="2">
        <v>5</v>
      </c>
      <c r="B11" s="3">
        <v>42864</v>
      </c>
      <c r="C11" s="2">
        <v>87341</v>
      </c>
      <c r="D11" s="2">
        <v>1</v>
      </c>
      <c r="E11" s="2">
        <v>300</v>
      </c>
      <c r="F11" s="1"/>
    </row>
    <row r="12" spans="1:6" x14ac:dyDescent="0.25">
      <c r="A12" s="2">
        <v>6</v>
      </c>
      <c r="B12" s="4" t="s">
        <v>48</v>
      </c>
      <c r="C12" s="2">
        <v>88061</v>
      </c>
      <c r="D12" s="2">
        <v>1</v>
      </c>
      <c r="E12" s="2">
        <v>300</v>
      </c>
      <c r="F12" s="1"/>
    </row>
    <row r="13" spans="1:6" x14ac:dyDescent="0.25">
      <c r="A13" s="2">
        <v>7</v>
      </c>
      <c r="B13" s="3">
        <v>42745</v>
      </c>
      <c r="C13" s="2">
        <v>88288</v>
      </c>
      <c r="D13" s="2">
        <v>1</v>
      </c>
      <c r="E13" s="2">
        <v>300</v>
      </c>
      <c r="F13" s="1"/>
    </row>
    <row r="14" spans="1:6" x14ac:dyDescent="0.25">
      <c r="A14" s="2">
        <v>8</v>
      </c>
      <c r="B14" s="3" t="s">
        <v>49</v>
      </c>
      <c r="C14" s="2">
        <v>88794</v>
      </c>
      <c r="D14" s="2">
        <v>2</v>
      </c>
      <c r="E14" s="2">
        <v>600</v>
      </c>
      <c r="F14" s="1"/>
    </row>
    <row r="15" spans="1:6" x14ac:dyDescent="0.25">
      <c r="A15" s="2">
        <v>9</v>
      </c>
      <c r="B15" s="3" t="s">
        <v>50</v>
      </c>
      <c r="C15" s="2">
        <v>89921</v>
      </c>
      <c r="D15" s="2">
        <v>1</v>
      </c>
      <c r="E15" s="2">
        <v>300</v>
      </c>
      <c r="F15" s="1"/>
    </row>
    <row r="16" spans="1:6" x14ac:dyDescent="0.25">
      <c r="A16" s="2">
        <v>10</v>
      </c>
      <c r="B16" s="4" t="s">
        <v>51</v>
      </c>
      <c r="C16" s="2">
        <v>89590</v>
      </c>
      <c r="D16" s="2">
        <v>1</v>
      </c>
      <c r="E16" s="2">
        <v>300</v>
      </c>
      <c r="F16" s="1"/>
    </row>
    <row r="17" spans="1:6" x14ac:dyDescent="0.25">
      <c r="A17" s="2"/>
      <c r="B17" s="4"/>
      <c r="C17" s="2"/>
      <c r="D17" s="2"/>
      <c r="E17" s="2"/>
      <c r="F17" s="1"/>
    </row>
    <row r="18" spans="1:6" x14ac:dyDescent="0.25">
      <c r="A18" s="2"/>
      <c r="B18" s="3"/>
      <c r="C18" s="2"/>
      <c r="D18" s="2"/>
      <c r="E18" s="2"/>
      <c r="F18" s="1"/>
    </row>
    <row r="19" spans="1:6" x14ac:dyDescent="0.25">
      <c r="A19" s="2"/>
      <c r="B19" s="3"/>
      <c r="C19" s="2"/>
      <c r="D19" s="2"/>
      <c r="E19" s="2"/>
      <c r="F19" s="1"/>
    </row>
    <row r="20" spans="1:6" x14ac:dyDescent="0.25">
      <c r="A20" s="2"/>
      <c r="B20" s="4"/>
      <c r="C20" s="2"/>
      <c r="D20" s="2"/>
      <c r="E20" s="2"/>
      <c r="F20" s="1"/>
    </row>
    <row r="21" spans="1:6" x14ac:dyDescent="0.25">
      <c r="A21" s="2"/>
      <c r="B21" s="3"/>
      <c r="C21" s="2"/>
      <c r="D21" s="2"/>
      <c r="E21" s="1"/>
      <c r="F21" s="1"/>
    </row>
    <row r="22" spans="1:6" x14ac:dyDescent="0.25">
      <c r="A22" s="2"/>
      <c r="B22" s="3"/>
      <c r="C22" s="2"/>
      <c r="D22" s="2"/>
      <c r="E22" s="1"/>
      <c r="F22" s="1"/>
    </row>
    <row r="23" spans="1:6" x14ac:dyDescent="0.25">
      <c r="A23" s="2"/>
      <c r="B23" s="3"/>
      <c r="C23" s="2"/>
      <c r="D23" s="2"/>
      <c r="E23" s="1"/>
      <c r="F23" s="1"/>
    </row>
    <row r="24" spans="1:6" x14ac:dyDescent="0.25">
      <c r="A24" s="2"/>
      <c r="B24" s="4"/>
      <c r="C24" s="2"/>
      <c r="D24" s="2"/>
      <c r="E24" s="1"/>
      <c r="F24" s="1"/>
    </row>
    <row r="25" spans="1:6" x14ac:dyDescent="0.25">
      <c r="A25" s="2"/>
      <c r="B25" s="4"/>
      <c r="C25" s="2"/>
      <c r="D25" s="2"/>
      <c r="E25" s="1"/>
      <c r="F25" s="1"/>
    </row>
    <row r="26" spans="1:6" x14ac:dyDescent="0.25">
      <c r="A26" s="2"/>
      <c r="B26" s="3"/>
      <c r="C26" s="2"/>
      <c r="D26" s="2"/>
      <c r="E26" s="1"/>
      <c r="F26" s="1"/>
    </row>
    <row r="27" spans="1:6" x14ac:dyDescent="0.25">
      <c r="A27" s="2"/>
      <c r="B27" s="3"/>
      <c r="C27" s="2"/>
      <c r="D27" s="2"/>
      <c r="E27" s="1"/>
      <c r="F27" s="1"/>
    </row>
    <row r="28" spans="1:6" x14ac:dyDescent="0.25">
      <c r="A28" s="2"/>
      <c r="B28" s="4"/>
      <c r="C28" s="2"/>
      <c r="D28" s="2"/>
      <c r="E28" s="1"/>
      <c r="F28" s="1"/>
    </row>
    <row r="29" spans="1:6" x14ac:dyDescent="0.25">
      <c r="A29" s="2"/>
      <c r="B29" s="4"/>
      <c r="C29" s="2"/>
      <c r="D29" s="2"/>
      <c r="E29" s="1"/>
      <c r="F29" s="1"/>
    </row>
    <row r="30" spans="1:6" x14ac:dyDescent="0.25">
      <c r="A30" s="2"/>
      <c r="B30" s="3"/>
      <c r="C30" s="2"/>
      <c r="D30" s="2"/>
      <c r="E30" s="1"/>
      <c r="F30" s="1"/>
    </row>
    <row r="31" spans="1:6" x14ac:dyDescent="0.25">
      <c r="A31" s="2"/>
      <c r="B31" s="3"/>
      <c r="C31" s="2"/>
      <c r="D31" s="2"/>
      <c r="E31" s="1"/>
      <c r="F31" s="1"/>
    </row>
    <row r="32" spans="1:6" x14ac:dyDescent="0.25">
      <c r="A32" s="2"/>
      <c r="B32" s="4"/>
      <c r="C32" s="2"/>
      <c r="D32" s="2"/>
      <c r="E32" s="1"/>
      <c r="F32" s="1"/>
    </row>
    <row r="33" spans="1:6" x14ac:dyDescent="0.25">
      <c r="A33" s="19"/>
      <c r="B33" s="22"/>
      <c r="C33" s="19"/>
      <c r="D33" s="19"/>
      <c r="E33" s="21"/>
      <c r="F33" s="21"/>
    </row>
    <row r="34" spans="1:6" x14ac:dyDescent="0.25">
      <c r="A34" s="19"/>
      <c r="B34" s="20"/>
      <c r="C34" s="19"/>
      <c r="D34" s="19"/>
      <c r="E34" s="21"/>
      <c r="F34" s="21"/>
    </row>
    <row r="35" spans="1:6" x14ac:dyDescent="0.25">
      <c r="A35" s="19"/>
      <c r="B35" s="20"/>
      <c r="C35" s="19"/>
      <c r="D35" s="19"/>
      <c r="E35" s="21"/>
      <c r="F35" s="21"/>
    </row>
    <row r="36" spans="1:6" x14ac:dyDescent="0.25">
      <c r="A36" s="1" t="s">
        <v>30</v>
      </c>
      <c r="B36" s="1"/>
      <c r="C36" s="1"/>
      <c r="D36" s="5">
        <f>SUM(D7:D35)</f>
        <v>11</v>
      </c>
      <c r="E36" s="1"/>
      <c r="F36" s="13">
        <f>SUM(E7:E35)</f>
        <v>3300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7"/>
  <sheetViews>
    <sheetView workbookViewId="0">
      <selection activeCell="M7" sqref="L7:M7"/>
    </sheetView>
  </sheetViews>
  <sheetFormatPr defaultRowHeight="15" x14ac:dyDescent="0.25"/>
  <cols>
    <col min="2" max="2" width="11.7109375" customWidth="1"/>
    <col min="3" max="3" width="12.5703125" customWidth="1"/>
    <col min="4" max="4" width="12.28515625" customWidth="1"/>
    <col min="5" max="5" width="17.140625" customWidth="1"/>
    <col min="6" max="6" width="11.42578125" customWidth="1"/>
  </cols>
  <sheetData>
    <row r="2" spans="1:6" ht="21" x14ac:dyDescent="0.35">
      <c r="A2" s="6"/>
      <c r="B2" s="9" t="s">
        <v>31</v>
      </c>
      <c r="C2" s="9"/>
      <c r="D2" s="9"/>
      <c r="E2" s="10"/>
      <c r="F2" s="6"/>
    </row>
    <row r="3" spans="1:6" ht="18.75" x14ac:dyDescent="0.3">
      <c r="A3" s="6"/>
      <c r="B3" s="11" t="s">
        <v>32</v>
      </c>
      <c r="C3" s="11"/>
      <c r="D3" s="8"/>
      <c r="E3" s="18" t="s">
        <v>52</v>
      </c>
      <c r="F3" s="6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12" t="s">
        <v>33</v>
      </c>
      <c r="B6" s="12" t="s">
        <v>0</v>
      </c>
      <c r="C6" s="12" t="s">
        <v>3</v>
      </c>
      <c r="D6" s="12" t="s">
        <v>7</v>
      </c>
      <c r="E6" s="12" t="s">
        <v>55</v>
      </c>
      <c r="F6" s="12" t="s">
        <v>2</v>
      </c>
    </row>
    <row r="7" spans="1:6" x14ac:dyDescent="0.25">
      <c r="A7" s="2">
        <v>1</v>
      </c>
      <c r="B7" s="3" t="s">
        <v>53</v>
      </c>
      <c r="C7" s="2">
        <v>89151</v>
      </c>
      <c r="D7" s="2">
        <v>1</v>
      </c>
      <c r="E7" s="2">
        <v>300</v>
      </c>
      <c r="F7" s="2">
        <f>(D7*E7)</f>
        <v>300</v>
      </c>
    </row>
    <row r="8" spans="1:6" x14ac:dyDescent="0.25">
      <c r="A8" s="2">
        <v>2</v>
      </c>
      <c r="B8" s="3" t="s">
        <v>54</v>
      </c>
      <c r="C8" s="2">
        <v>89167</v>
      </c>
      <c r="D8" s="2">
        <v>1</v>
      </c>
      <c r="E8" s="2">
        <v>300</v>
      </c>
      <c r="F8" s="2">
        <f t="shared" ref="F8:F17" si="0">(D8*E8)</f>
        <v>300</v>
      </c>
    </row>
    <row r="9" spans="1:6" x14ac:dyDescent="0.25">
      <c r="A9" s="2">
        <v>3</v>
      </c>
      <c r="B9" s="3" t="s">
        <v>59</v>
      </c>
      <c r="C9" s="2">
        <v>90161</v>
      </c>
      <c r="D9" s="2">
        <v>1</v>
      </c>
      <c r="E9" s="2">
        <v>300</v>
      </c>
      <c r="F9" s="2">
        <f t="shared" si="0"/>
        <v>300</v>
      </c>
    </row>
    <row r="10" spans="1:6" x14ac:dyDescent="0.25">
      <c r="A10" s="2">
        <v>4</v>
      </c>
      <c r="B10" s="3" t="s">
        <v>56</v>
      </c>
      <c r="C10" s="2">
        <v>90514</v>
      </c>
      <c r="D10" s="2">
        <v>1</v>
      </c>
      <c r="E10" s="2">
        <v>300</v>
      </c>
      <c r="F10" s="2">
        <f t="shared" si="0"/>
        <v>300</v>
      </c>
    </row>
    <row r="11" spans="1:6" x14ac:dyDescent="0.25">
      <c r="A11" s="2">
        <v>5</v>
      </c>
      <c r="B11" s="3" t="s">
        <v>57</v>
      </c>
      <c r="C11" s="2">
        <v>91788</v>
      </c>
      <c r="D11" s="2">
        <v>1</v>
      </c>
      <c r="E11" s="2">
        <v>300</v>
      </c>
      <c r="F11" s="2">
        <f t="shared" si="0"/>
        <v>300</v>
      </c>
    </row>
    <row r="12" spans="1:6" x14ac:dyDescent="0.25">
      <c r="A12" s="2">
        <v>6</v>
      </c>
      <c r="B12" s="3">
        <v>43282</v>
      </c>
      <c r="C12" s="2">
        <v>90916</v>
      </c>
      <c r="D12" s="2">
        <v>2</v>
      </c>
      <c r="E12" s="2">
        <v>300</v>
      </c>
      <c r="F12" s="2">
        <f t="shared" si="0"/>
        <v>600</v>
      </c>
    </row>
    <row r="13" spans="1:6" x14ac:dyDescent="0.25">
      <c r="A13" s="2">
        <v>7</v>
      </c>
      <c r="B13" s="3">
        <v>43253</v>
      </c>
      <c r="C13" s="2">
        <v>91531</v>
      </c>
      <c r="D13" s="2">
        <v>2</v>
      </c>
      <c r="E13" s="2">
        <v>300</v>
      </c>
      <c r="F13" s="2">
        <f t="shared" si="0"/>
        <v>600</v>
      </c>
    </row>
    <row r="14" spans="1:6" x14ac:dyDescent="0.25">
      <c r="A14" s="2">
        <v>8</v>
      </c>
      <c r="B14" s="3" t="s">
        <v>58</v>
      </c>
      <c r="C14" s="2">
        <v>91724</v>
      </c>
      <c r="D14" s="2">
        <v>1</v>
      </c>
      <c r="E14" s="2">
        <v>300</v>
      </c>
      <c r="F14" s="2">
        <f t="shared" si="0"/>
        <v>300</v>
      </c>
    </row>
    <row r="15" spans="1:6" x14ac:dyDescent="0.25">
      <c r="A15" s="2">
        <v>9</v>
      </c>
      <c r="B15" s="3">
        <v>43284</v>
      </c>
      <c r="C15" s="2">
        <v>95703</v>
      </c>
      <c r="D15" s="2">
        <v>2</v>
      </c>
      <c r="E15" s="2">
        <v>300</v>
      </c>
      <c r="F15" s="2">
        <f t="shared" si="0"/>
        <v>600</v>
      </c>
    </row>
    <row r="16" spans="1:6" x14ac:dyDescent="0.25">
      <c r="A16" s="2">
        <v>10</v>
      </c>
      <c r="B16" s="3">
        <v>43407</v>
      </c>
      <c r="C16" s="2">
        <v>95730</v>
      </c>
      <c r="D16" s="2">
        <v>1</v>
      </c>
      <c r="E16" s="2">
        <v>300</v>
      </c>
      <c r="F16" s="23">
        <f t="shared" si="0"/>
        <v>300</v>
      </c>
    </row>
    <row r="17" spans="1:6" x14ac:dyDescent="0.25">
      <c r="A17" s="2">
        <v>11</v>
      </c>
      <c r="B17" s="4" t="s">
        <v>60</v>
      </c>
      <c r="C17" s="2">
        <v>95548</v>
      </c>
      <c r="D17" s="2">
        <v>2</v>
      </c>
      <c r="E17" s="2">
        <v>300</v>
      </c>
      <c r="F17" s="23">
        <f t="shared" si="0"/>
        <v>600</v>
      </c>
    </row>
    <row r="18" spans="1:6" x14ac:dyDescent="0.25">
      <c r="A18" s="2"/>
      <c r="B18" s="4"/>
      <c r="C18" s="2"/>
      <c r="D18" s="2"/>
      <c r="E18" s="2"/>
      <c r="F18" s="1"/>
    </row>
    <row r="19" spans="1:6" x14ac:dyDescent="0.25">
      <c r="A19" s="2"/>
      <c r="B19" s="3"/>
      <c r="C19" s="2"/>
      <c r="D19" s="2"/>
      <c r="E19" s="2"/>
      <c r="F19" s="1"/>
    </row>
    <row r="20" spans="1:6" x14ac:dyDescent="0.25">
      <c r="A20" s="2"/>
      <c r="B20" s="3"/>
      <c r="C20" s="2"/>
      <c r="D20" s="2"/>
      <c r="E20" s="2"/>
      <c r="F20" s="1"/>
    </row>
    <row r="21" spans="1:6" x14ac:dyDescent="0.25">
      <c r="A21" s="2"/>
      <c r="B21" s="4"/>
      <c r="C21" s="2"/>
      <c r="D21" s="2"/>
      <c r="E21" s="2"/>
      <c r="F21" s="1"/>
    </row>
    <row r="22" spans="1:6" x14ac:dyDescent="0.25">
      <c r="A22" s="2"/>
      <c r="B22" s="3"/>
      <c r="C22" s="2"/>
      <c r="D22" s="2"/>
      <c r="E22" s="1"/>
      <c r="F22" s="1"/>
    </row>
    <row r="23" spans="1:6" x14ac:dyDescent="0.25">
      <c r="A23" s="2"/>
      <c r="B23" s="3"/>
      <c r="C23" s="2"/>
      <c r="D23" s="2"/>
      <c r="E23" s="1"/>
      <c r="F23" s="1"/>
    </row>
    <row r="24" spans="1:6" x14ac:dyDescent="0.25">
      <c r="A24" s="2"/>
      <c r="B24" s="3"/>
      <c r="C24" s="2"/>
      <c r="D24" s="2"/>
      <c r="E24" s="1"/>
      <c r="F24" s="1"/>
    </row>
    <row r="25" spans="1:6" x14ac:dyDescent="0.25">
      <c r="A25" s="2"/>
      <c r="B25" s="4"/>
      <c r="C25" s="2"/>
      <c r="D25" s="2"/>
      <c r="E25" s="1"/>
      <c r="F25" s="1"/>
    </row>
    <row r="26" spans="1:6" x14ac:dyDescent="0.25">
      <c r="A26" s="2"/>
      <c r="B26" s="4"/>
      <c r="C26" s="2"/>
      <c r="D26" s="2"/>
      <c r="E26" s="1"/>
      <c r="F26" s="1"/>
    </row>
    <row r="27" spans="1:6" x14ac:dyDescent="0.25">
      <c r="A27" s="2"/>
      <c r="B27" s="3"/>
      <c r="C27" s="2"/>
      <c r="D27" s="2"/>
      <c r="E27" s="1"/>
      <c r="F27" s="1"/>
    </row>
    <row r="28" spans="1:6" x14ac:dyDescent="0.25">
      <c r="A28" s="2"/>
      <c r="B28" s="3"/>
      <c r="C28" s="2"/>
      <c r="D28" s="2"/>
      <c r="E28" s="1"/>
      <c r="F28" s="1"/>
    </row>
    <row r="29" spans="1:6" x14ac:dyDescent="0.25">
      <c r="A29" s="2"/>
      <c r="B29" s="4"/>
      <c r="C29" s="2"/>
      <c r="D29" s="2"/>
      <c r="E29" s="1"/>
      <c r="F29" s="1"/>
    </row>
    <row r="30" spans="1:6" x14ac:dyDescent="0.25">
      <c r="A30" s="2"/>
      <c r="B30" s="4"/>
      <c r="C30" s="2"/>
      <c r="D30" s="2"/>
      <c r="E30" s="1"/>
      <c r="F30" s="1"/>
    </row>
    <row r="31" spans="1:6" x14ac:dyDescent="0.25">
      <c r="A31" s="2"/>
      <c r="B31" s="3"/>
      <c r="C31" s="2"/>
      <c r="D31" s="2"/>
      <c r="E31" s="1"/>
      <c r="F31" s="1"/>
    </row>
    <row r="32" spans="1:6" x14ac:dyDescent="0.25">
      <c r="A32" s="2"/>
      <c r="B32" s="3"/>
      <c r="C32" s="2"/>
      <c r="D32" s="2"/>
      <c r="E32" s="1"/>
      <c r="F32" s="1"/>
    </row>
    <row r="33" spans="1:6" x14ac:dyDescent="0.25">
      <c r="A33" s="2"/>
      <c r="B33" s="4"/>
      <c r="C33" s="2"/>
      <c r="D33" s="2"/>
      <c r="E33" s="1"/>
      <c r="F33" s="1"/>
    </row>
    <row r="34" spans="1:6" x14ac:dyDescent="0.25">
      <c r="A34" s="19"/>
      <c r="B34" s="22"/>
      <c r="C34" s="19"/>
      <c r="D34" s="19"/>
      <c r="E34" s="21"/>
      <c r="F34" s="21"/>
    </row>
    <row r="35" spans="1:6" x14ac:dyDescent="0.25">
      <c r="A35" s="19"/>
      <c r="B35" s="20"/>
      <c r="C35" s="19"/>
      <c r="D35" s="19"/>
      <c r="E35" s="21"/>
      <c r="F35" s="21"/>
    </row>
    <row r="36" spans="1:6" x14ac:dyDescent="0.25">
      <c r="A36" s="19"/>
      <c r="B36" s="20"/>
      <c r="C36" s="19"/>
      <c r="D36" s="19"/>
      <c r="E36" s="21"/>
      <c r="F36" s="21"/>
    </row>
    <row r="37" spans="1:6" x14ac:dyDescent="0.25">
      <c r="A37" s="1" t="s">
        <v>30</v>
      </c>
      <c r="B37" s="1"/>
      <c r="C37" s="1"/>
      <c r="D37" s="5">
        <f>SUM(D7:D36)</f>
        <v>15</v>
      </c>
      <c r="E37" s="1"/>
      <c r="F37" s="5">
        <f>SUM(F7:F36)</f>
        <v>4500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F37"/>
  <sheetViews>
    <sheetView topLeftCell="A7" workbookViewId="0">
      <selection activeCell="L34" sqref="L34"/>
    </sheetView>
  </sheetViews>
  <sheetFormatPr defaultRowHeight="15" x14ac:dyDescent="0.25"/>
  <cols>
    <col min="2" max="2" width="13.5703125" customWidth="1"/>
    <col min="3" max="3" width="12.5703125" customWidth="1"/>
    <col min="4" max="4" width="12.28515625" customWidth="1"/>
    <col min="5" max="5" width="17.140625" customWidth="1"/>
    <col min="6" max="6" width="12.42578125" customWidth="1"/>
  </cols>
  <sheetData>
    <row r="2" spans="1:6" ht="21" x14ac:dyDescent="0.35">
      <c r="A2" s="24"/>
      <c r="B2" s="25" t="s">
        <v>31</v>
      </c>
      <c r="C2" s="25"/>
      <c r="D2" s="25"/>
      <c r="E2" s="26"/>
      <c r="F2" s="24"/>
    </row>
    <row r="3" spans="1:6" ht="18.75" x14ac:dyDescent="0.3">
      <c r="A3" s="24"/>
      <c r="B3" s="27" t="s">
        <v>61</v>
      </c>
      <c r="C3" s="27"/>
      <c r="D3" s="28"/>
      <c r="E3" s="29" t="s">
        <v>62</v>
      </c>
      <c r="F3" s="24"/>
    </row>
    <row r="4" spans="1:6" x14ac:dyDescent="0.25">
      <c r="A4" s="30"/>
      <c r="B4" s="30"/>
      <c r="C4" s="30"/>
      <c r="D4" s="30"/>
      <c r="E4" s="30"/>
      <c r="F4" s="30"/>
    </row>
    <row r="5" spans="1:6" x14ac:dyDescent="0.25">
      <c r="A5" s="30"/>
      <c r="B5" s="30"/>
      <c r="C5" s="30"/>
      <c r="D5" s="30"/>
      <c r="E5" s="30"/>
      <c r="F5" s="30"/>
    </row>
    <row r="6" spans="1:6" x14ac:dyDescent="0.25">
      <c r="A6" s="31" t="s">
        <v>33</v>
      </c>
      <c r="B6" s="31" t="s">
        <v>0</v>
      </c>
      <c r="C6" s="31" t="s">
        <v>3</v>
      </c>
      <c r="D6" s="31" t="s">
        <v>7</v>
      </c>
      <c r="E6" s="31" t="s">
        <v>55</v>
      </c>
      <c r="F6" s="31" t="s">
        <v>2</v>
      </c>
    </row>
    <row r="7" spans="1:6" x14ac:dyDescent="0.25">
      <c r="A7" s="2">
        <v>1</v>
      </c>
      <c r="B7" s="32">
        <v>43347</v>
      </c>
      <c r="C7" s="2">
        <v>13210</v>
      </c>
      <c r="D7" s="2">
        <v>2</v>
      </c>
      <c r="E7" s="2">
        <v>320</v>
      </c>
      <c r="F7" s="2">
        <f>E7*D7</f>
        <v>640</v>
      </c>
    </row>
    <row r="8" spans="1:6" x14ac:dyDescent="0.25">
      <c r="A8" s="2">
        <v>2</v>
      </c>
      <c r="B8" s="32" t="s">
        <v>63</v>
      </c>
      <c r="C8" s="2">
        <v>13627</v>
      </c>
      <c r="D8" s="2">
        <v>2</v>
      </c>
      <c r="E8" s="2">
        <v>320</v>
      </c>
      <c r="F8" s="2">
        <f t="shared" ref="F8:F14" si="0">E8*D8</f>
        <v>640</v>
      </c>
    </row>
    <row r="9" spans="1:6" x14ac:dyDescent="0.25">
      <c r="A9" s="2">
        <v>3</v>
      </c>
      <c r="B9" s="32">
        <v>43378</v>
      </c>
      <c r="C9" s="2">
        <v>14373</v>
      </c>
      <c r="D9" s="2">
        <v>1.7281249999999999</v>
      </c>
      <c r="E9" s="2">
        <v>320</v>
      </c>
      <c r="F9" s="2">
        <f t="shared" si="0"/>
        <v>553</v>
      </c>
    </row>
    <row r="10" spans="1:6" x14ac:dyDescent="0.25">
      <c r="A10" s="2">
        <v>4</v>
      </c>
      <c r="B10" s="32" t="s">
        <v>64</v>
      </c>
      <c r="C10" s="2">
        <v>7399</v>
      </c>
      <c r="D10" s="2">
        <v>1</v>
      </c>
      <c r="E10" s="2">
        <v>325</v>
      </c>
      <c r="F10" s="2">
        <f t="shared" si="0"/>
        <v>325</v>
      </c>
    </row>
    <row r="11" spans="1:6" x14ac:dyDescent="0.25">
      <c r="A11" s="2">
        <v>5</v>
      </c>
      <c r="B11" s="32" t="s">
        <v>65</v>
      </c>
      <c r="C11" s="2">
        <v>15012</v>
      </c>
      <c r="D11" s="2">
        <v>2</v>
      </c>
      <c r="E11" s="2">
        <v>325</v>
      </c>
      <c r="F11" s="2">
        <f t="shared" si="0"/>
        <v>650</v>
      </c>
    </row>
    <row r="12" spans="1:6" x14ac:dyDescent="0.25">
      <c r="A12" s="2">
        <v>6</v>
      </c>
      <c r="B12" s="32" t="s">
        <v>66</v>
      </c>
      <c r="C12" s="2">
        <v>9500</v>
      </c>
      <c r="D12" s="34">
        <v>1.2</v>
      </c>
      <c r="E12" s="2">
        <v>325</v>
      </c>
      <c r="F12" s="33">
        <f>E12*D12</f>
        <v>390</v>
      </c>
    </row>
    <row r="13" spans="1:6" x14ac:dyDescent="0.25">
      <c r="A13" s="2">
        <v>7</v>
      </c>
      <c r="B13" s="32" t="s">
        <v>67</v>
      </c>
      <c r="C13" s="2">
        <v>18761</v>
      </c>
      <c r="D13" s="34">
        <v>1.5</v>
      </c>
      <c r="E13" s="2">
        <v>320</v>
      </c>
      <c r="F13" s="2">
        <v>480</v>
      </c>
    </row>
    <row r="14" spans="1:6" x14ac:dyDescent="0.25">
      <c r="A14" s="2">
        <v>8</v>
      </c>
      <c r="B14" s="32">
        <v>43261</v>
      </c>
      <c r="C14" s="2">
        <v>19390</v>
      </c>
      <c r="D14" s="34">
        <v>2</v>
      </c>
      <c r="E14" s="2">
        <v>320</v>
      </c>
      <c r="F14" s="2">
        <f t="shared" si="0"/>
        <v>640</v>
      </c>
    </row>
    <row r="15" spans="1:6" x14ac:dyDescent="0.25">
      <c r="A15" s="2">
        <v>9</v>
      </c>
      <c r="B15" s="32" t="s">
        <v>68</v>
      </c>
      <c r="C15" s="2">
        <v>20490</v>
      </c>
      <c r="D15" s="2">
        <v>2</v>
      </c>
      <c r="E15" s="2">
        <v>320</v>
      </c>
      <c r="F15" s="2">
        <f>E15*D15</f>
        <v>640</v>
      </c>
    </row>
    <row r="16" spans="1:6" x14ac:dyDescent="0.25">
      <c r="A16" s="2">
        <v>10</v>
      </c>
      <c r="B16" s="32">
        <v>43445</v>
      </c>
      <c r="C16" s="2">
        <v>20671</v>
      </c>
      <c r="D16" s="2">
        <v>1.5</v>
      </c>
      <c r="E16" s="2">
        <v>320</v>
      </c>
      <c r="F16" s="2">
        <f t="shared" ref="F16:F36" si="1">E16*D16</f>
        <v>480</v>
      </c>
    </row>
    <row r="17" spans="1:6" x14ac:dyDescent="0.25">
      <c r="A17" s="2">
        <v>11</v>
      </c>
      <c r="B17" s="32">
        <v>43232</v>
      </c>
      <c r="C17" s="2">
        <v>21008</v>
      </c>
      <c r="D17" s="2">
        <v>1.5</v>
      </c>
      <c r="E17" s="2">
        <v>320</v>
      </c>
      <c r="F17" s="2">
        <f t="shared" si="1"/>
        <v>480</v>
      </c>
    </row>
    <row r="18" spans="1:6" x14ac:dyDescent="0.25">
      <c r="A18" s="2">
        <v>12</v>
      </c>
      <c r="B18" s="32" t="s">
        <v>69</v>
      </c>
      <c r="C18" s="2"/>
      <c r="D18" s="2">
        <v>1</v>
      </c>
      <c r="E18" s="2">
        <v>320</v>
      </c>
      <c r="F18" s="2">
        <f t="shared" si="1"/>
        <v>320</v>
      </c>
    </row>
    <row r="19" spans="1:6" x14ac:dyDescent="0.25">
      <c r="A19" s="2">
        <v>13</v>
      </c>
      <c r="B19" s="32">
        <v>43678</v>
      </c>
      <c r="C19" s="2">
        <v>22364</v>
      </c>
      <c r="D19" s="2">
        <v>2</v>
      </c>
      <c r="E19" s="2">
        <v>320</v>
      </c>
      <c r="F19" s="2">
        <f t="shared" si="1"/>
        <v>640</v>
      </c>
    </row>
    <row r="20" spans="1:6" x14ac:dyDescent="0.25">
      <c r="A20" s="2">
        <v>14</v>
      </c>
      <c r="B20" s="32" t="s">
        <v>70</v>
      </c>
      <c r="C20" s="2">
        <v>23156</v>
      </c>
      <c r="D20" s="2">
        <v>1.5</v>
      </c>
      <c r="E20" s="2">
        <v>320</v>
      </c>
      <c r="F20" s="2">
        <f t="shared" si="1"/>
        <v>480</v>
      </c>
    </row>
    <row r="21" spans="1:6" x14ac:dyDescent="0.25">
      <c r="A21" s="2">
        <v>15</v>
      </c>
      <c r="B21" s="2" t="s">
        <v>71</v>
      </c>
      <c r="C21" s="2">
        <v>23836</v>
      </c>
      <c r="D21" s="2">
        <v>2</v>
      </c>
      <c r="E21" s="2">
        <v>320</v>
      </c>
      <c r="F21" s="2">
        <f t="shared" si="1"/>
        <v>640</v>
      </c>
    </row>
    <row r="22" spans="1:6" x14ac:dyDescent="0.25">
      <c r="A22" s="2">
        <v>16</v>
      </c>
      <c r="B22" s="32">
        <v>43558</v>
      </c>
      <c r="C22" s="2">
        <v>24191</v>
      </c>
      <c r="D22" s="2">
        <v>2</v>
      </c>
      <c r="E22" s="2">
        <v>320</v>
      </c>
      <c r="F22" s="2">
        <f t="shared" si="1"/>
        <v>640</v>
      </c>
    </row>
    <row r="23" spans="1:6" x14ac:dyDescent="0.25">
      <c r="A23" s="2">
        <v>17</v>
      </c>
      <c r="B23" s="32">
        <v>43802</v>
      </c>
      <c r="C23" s="2">
        <v>24904</v>
      </c>
      <c r="D23" s="2">
        <v>1</v>
      </c>
      <c r="E23" s="2">
        <v>320</v>
      </c>
      <c r="F23" s="2">
        <f t="shared" si="1"/>
        <v>320</v>
      </c>
    </row>
    <row r="24" spans="1:6" x14ac:dyDescent="0.25">
      <c r="A24" s="2">
        <v>18</v>
      </c>
      <c r="B24" s="32">
        <v>43528</v>
      </c>
      <c r="C24" s="2">
        <v>25148</v>
      </c>
      <c r="D24" s="2">
        <v>2</v>
      </c>
      <c r="E24" s="2">
        <v>320</v>
      </c>
      <c r="F24" s="2">
        <f t="shared" si="1"/>
        <v>640</v>
      </c>
    </row>
    <row r="25" spans="1:6" x14ac:dyDescent="0.25">
      <c r="A25" s="2">
        <v>19</v>
      </c>
      <c r="B25" s="2" t="s">
        <v>72</v>
      </c>
      <c r="C25" s="2">
        <v>25536</v>
      </c>
      <c r="D25" s="2">
        <v>1</v>
      </c>
      <c r="E25" s="2">
        <v>320</v>
      </c>
      <c r="F25" s="2">
        <f t="shared" si="1"/>
        <v>320</v>
      </c>
    </row>
    <row r="26" spans="1:6" x14ac:dyDescent="0.25">
      <c r="A26" s="2">
        <v>20</v>
      </c>
      <c r="B26" s="2" t="s">
        <v>73</v>
      </c>
      <c r="C26" s="2">
        <v>26094</v>
      </c>
      <c r="D26" s="2">
        <v>1</v>
      </c>
      <c r="E26" s="2">
        <v>320</v>
      </c>
      <c r="F26" s="2">
        <f t="shared" si="1"/>
        <v>320</v>
      </c>
    </row>
    <row r="27" spans="1:6" x14ac:dyDescent="0.25">
      <c r="A27" s="2">
        <v>21</v>
      </c>
      <c r="B27" s="32" t="s">
        <v>74</v>
      </c>
      <c r="C27" s="2">
        <v>26906</v>
      </c>
      <c r="D27" s="2">
        <v>1</v>
      </c>
      <c r="E27" s="2">
        <v>320</v>
      </c>
      <c r="F27" s="2">
        <f t="shared" si="1"/>
        <v>320</v>
      </c>
    </row>
    <row r="28" spans="1:6" x14ac:dyDescent="0.25">
      <c r="A28" s="2">
        <v>22</v>
      </c>
      <c r="B28" s="32" t="s">
        <v>75</v>
      </c>
      <c r="C28" s="2">
        <v>27868</v>
      </c>
      <c r="D28" s="2">
        <v>2</v>
      </c>
      <c r="E28" s="2">
        <v>320</v>
      </c>
      <c r="F28" s="2">
        <f t="shared" si="1"/>
        <v>640</v>
      </c>
    </row>
    <row r="29" spans="1:6" x14ac:dyDescent="0.25">
      <c r="A29" s="2">
        <v>23</v>
      </c>
      <c r="B29" s="2" t="s">
        <v>76</v>
      </c>
      <c r="C29" s="2">
        <v>28858</v>
      </c>
      <c r="D29" s="2">
        <v>1</v>
      </c>
      <c r="E29" s="2">
        <v>320</v>
      </c>
      <c r="F29" s="2">
        <f t="shared" si="1"/>
        <v>320</v>
      </c>
    </row>
    <row r="30" spans="1:6" x14ac:dyDescent="0.25">
      <c r="A30" s="2">
        <v>24</v>
      </c>
      <c r="B30" s="32">
        <v>43474</v>
      </c>
      <c r="C30" s="2">
        <v>30226</v>
      </c>
      <c r="D30" s="2">
        <v>2</v>
      </c>
      <c r="E30" s="2">
        <v>320</v>
      </c>
      <c r="F30" s="2">
        <f t="shared" si="1"/>
        <v>640</v>
      </c>
    </row>
    <row r="31" spans="1:6" x14ac:dyDescent="0.25">
      <c r="A31" s="2">
        <v>25</v>
      </c>
      <c r="B31" s="32" t="s">
        <v>77</v>
      </c>
      <c r="C31" s="2">
        <v>30855</v>
      </c>
      <c r="D31" s="2">
        <v>1</v>
      </c>
      <c r="E31" s="2">
        <v>320</v>
      </c>
      <c r="F31" s="2">
        <f t="shared" si="1"/>
        <v>320</v>
      </c>
    </row>
    <row r="32" spans="1:6" x14ac:dyDescent="0.25">
      <c r="A32" s="2">
        <v>26</v>
      </c>
      <c r="B32" s="32">
        <v>43748</v>
      </c>
      <c r="C32" s="2">
        <v>31346</v>
      </c>
      <c r="D32" s="2">
        <v>1</v>
      </c>
      <c r="E32" s="2">
        <v>320</v>
      </c>
      <c r="F32" s="2">
        <f t="shared" si="1"/>
        <v>320</v>
      </c>
    </row>
    <row r="33" spans="1:6" x14ac:dyDescent="0.25">
      <c r="A33" s="2">
        <v>27</v>
      </c>
      <c r="B33" s="32">
        <v>43626</v>
      </c>
      <c r="C33" s="2">
        <v>33346</v>
      </c>
      <c r="D33" s="2">
        <v>2</v>
      </c>
      <c r="E33" s="2">
        <v>320</v>
      </c>
      <c r="F33" s="2">
        <f t="shared" si="1"/>
        <v>640</v>
      </c>
    </row>
    <row r="34" spans="1:6" x14ac:dyDescent="0.25">
      <c r="A34" s="19">
        <v>28</v>
      </c>
      <c r="B34" s="19" t="s">
        <v>78</v>
      </c>
      <c r="C34" s="19">
        <v>33581</v>
      </c>
      <c r="D34" s="19">
        <v>1</v>
      </c>
      <c r="E34" s="19">
        <v>320</v>
      </c>
      <c r="F34" s="2">
        <f t="shared" si="1"/>
        <v>320</v>
      </c>
    </row>
    <row r="35" spans="1:6" x14ac:dyDescent="0.25">
      <c r="A35" s="19"/>
      <c r="B35" s="35"/>
      <c r="C35" s="19"/>
      <c r="D35" s="19"/>
      <c r="E35" s="19"/>
      <c r="F35" s="2">
        <f t="shared" si="1"/>
        <v>0</v>
      </c>
    </row>
    <row r="36" spans="1:6" x14ac:dyDescent="0.25">
      <c r="A36" s="19"/>
      <c r="B36" s="35"/>
      <c r="C36" s="19"/>
      <c r="D36" s="19"/>
      <c r="E36" s="19"/>
      <c r="F36" s="2">
        <f t="shared" si="1"/>
        <v>0</v>
      </c>
    </row>
    <row r="37" spans="1:6" x14ac:dyDescent="0.25">
      <c r="A37" s="1" t="s">
        <v>30</v>
      </c>
      <c r="B37" s="1"/>
      <c r="C37" s="1"/>
      <c r="D37" s="5">
        <f>SUM(D7:D36)</f>
        <v>42.928125000000001</v>
      </c>
      <c r="E37" s="1"/>
      <c r="F37" s="5">
        <f>SUM(F7:F36)</f>
        <v>13758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F36"/>
  <sheetViews>
    <sheetView workbookViewId="0">
      <selection activeCell="I35" sqref="I35"/>
    </sheetView>
  </sheetViews>
  <sheetFormatPr defaultRowHeight="15" x14ac:dyDescent="0.25"/>
  <cols>
    <col min="2" max="2" width="13.5703125" customWidth="1"/>
    <col min="3" max="3" width="12.5703125" customWidth="1"/>
    <col min="4" max="4" width="12.28515625" customWidth="1"/>
    <col min="5" max="5" width="17.140625" customWidth="1"/>
    <col min="6" max="6" width="12.42578125" customWidth="1"/>
  </cols>
  <sheetData>
    <row r="2" spans="1:6" ht="21" x14ac:dyDescent="0.35">
      <c r="A2" s="24"/>
      <c r="B2" s="25" t="s">
        <v>31</v>
      </c>
      <c r="C2" s="25"/>
      <c r="D2" s="25"/>
      <c r="E2" s="26"/>
      <c r="F2" s="24"/>
    </row>
    <row r="3" spans="1:6" ht="18.75" x14ac:dyDescent="0.3">
      <c r="A3" s="24"/>
      <c r="B3" s="27" t="s">
        <v>61</v>
      </c>
      <c r="C3" s="27"/>
      <c r="D3" s="28"/>
      <c r="E3" s="36">
        <v>2020</v>
      </c>
      <c r="F3" s="24"/>
    </row>
    <row r="4" spans="1:6" x14ac:dyDescent="0.25">
      <c r="A4" s="30"/>
      <c r="B4" s="30"/>
      <c r="C4" s="30"/>
      <c r="D4" s="30"/>
      <c r="E4" s="30"/>
      <c r="F4" s="30"/>
    </row>
    <row r="5" spans="1:6" x14ac:dyDescent="0.25">
      <c r="A5" s="30"/>
      <c r="B5" s="30"/>
      <c r="C5" s="30"/>
      <c r="D5" s="30"/>
      <c r="E5" s="30"/>
      <c r="F5" s="30"/>
    </row>
    <row r="6" spans="1:6" x14ac:dyDescent="0.25">
      <c r="A6" s="31" t="s">
        <v>33</v>
      </c>
      <c r="B6" s="31" t="s">
        <v>0</v>
      </c>
      <c r="C6" s="31" t="s">
        <v>3</v>
      </c>
      <c r="D6" s="31" t="s">
        <v>7</v>
      </c>
      <c r="E6" s="31" t="s">
        <v>55</v>
      </c>
      <c r="F6" s="31" t="s">
        <v>2</v>
      </c>
    </row>
    <row r="7" spans="1:6" x14ac:dyDescent="0.25">
      <c r="A7" s="2">
        <v>1</v>
      </c>
      <c r="B7" s="32">
        <v>43928</v>
      </c>
      <c r="C7" s="2">
        <v>1</v>
      </c>
      <c r="D7" s="2" t="s">
        <v>81</v>
      </c>
      <c r="E7" s="2"/>
      <c r="F7" s="2">
        <v>125</v>
      </c>
    </row>
    <row r="8" spans="1:6" x14ac:dyDescent="0.25">
      <c r="A8" s="2">
        <v>3</v>
      </c>
      <c r="B8" s="32" t="s">
        <v>84</v>
      </c>
      <c r="C8" s="2">
        <v>1</v>
      </c>
      <c r="D8" s="2">
        <v>65</v>
      </c>
      <c r="E8" s="2"/>
      <c r="F8" s="2">
        <v>115</v>
      </c>
    </row>
    <row r="9" spans="1:6" x14ac:dyDescent="0.25">
      <c r="A9" s="2">
        <v>4</v>
      </c>
      <c r="B9" s="32" t="s">
        <v>82</v>
      </c>
      <c r="C9" s="2">
        <v>1</v>
      </c>
      <c r="D9" s="2" t="s">
        <v>83</v>
      </c>
      <c r="E9" s="2"/>
      <c r="F9" s="2">
        <v>175</v>
      </c>
    </row>
    <row r="10" spans="1:6" x14ac:dyDescent="0.25">
      <c r="A10" s="2">
        <v>5</v>
      </c>
      <c r="B10" s="32">
        <v>44175</v>
      </c>
      <c r="C10" s="2">
        <v>1</v>
      </c>
      <c r="D10" s="2">
        <v>250</v>
      </c>
      <c r="E10" s="2"/>
      <c r="F10" s="2">
        <v>440</v>
      </c>
    </row>
    <row r="11" spans="1:6" x14ac:dyDescent="0.25">
      <c r="A11" s="2">
        <v>6</v>
      </c>
      <c r="B11" s="32">
        <v>44115</v>
      </c>
      <c r="C11" s="2">
        <v>1</v>
      </c>
      <c r="D11" s="34">
        <v>230</v>
      </c>
      <c r="E11" s="2"/>
      <c r="F11" s="33">
        <v>391</v>
      </c>
    </row>
    <row r="12" spans="1:6" x14ac:dyDescent="0.25">
      <c r="A12" s="2">
        <v>7</v>
      </c>
      <c r="B12" s="32">
        <v>44024</v>
      </c>
      <c r="C12" s="2">
        <v>1</v>
      </c>
      <c r="D12" s="34">
        <v>410</v>
      </c>
      <c r="E12" s="2"/>
      <c r="F12" s="33">
        <v>700</v>
      </c>
    </row>
    <row r="13" spans="1:6" x14ac:dyDescent="0.25">
      <c r="A13" s="2">
        <v>8</v>
      </c>
      <c r="B13" s="32" t="s">
        <v>85</v>
      </c>
      <c r="C13" s="2">
        <v>1</v>
      </c>
      <c r="D13" s="34">
        <v>215</v>
      </c>
      <c r="E13" s="2"/>
      <c r="F13" s="2">
        <v>377</v>
      </c>
    </row>
    <row r="14" spans="1:6" x14ac:dyDescent="0.25">
      <c r="A14" s="2">
        <v>9</v>
      </c>
      <c r="B14" s="32"/>
      <c r="C14" s="2"/>
      <c r="D14" s="2"/>
      <c r="E14" s="2"/>
      <c r="F14" s="2">
        <f>E14*D14</f>
        <v>0</v>
      </c>
    </row>
    <row r="15" spans="1:6" x14ac:dyDescent="0.25">
      <c r="A15" s="2">
        <v>10</v>
      </c>
      <c r="B15" s="32"/>
      <c r="C15" s="2"/>
      <c r="D15" s="2"/>
      <c r="E15" s="2"/>
      <c r="F15" s="2">
        <f t="shared" ref="F15:F35" si="0">E15*D15</f>
        <v>0</v>
      </c>
    </row>
    <row r="16" spans="1:6" x14ac:dyDescent="0.25">
      <c r="A16" s="2">
        <v>11</v>
      </c>
      <c r="B16" s="32"/>
      <c r="C16" s="2"/>
      <c r="D16" s="2"/>
      <c r="E16" s="2"/>
      <c r="F16" s="2">
        <f t="shared" si="0"/>
        <v>0</v>
      </c>
    </row>
    <row r="17" spans="1:6" x14ac:dyDescent="0.25">
      <c r="A17" s="2">
        <v>12</v>
      </c>
      <c r="B17" s="32"/>
      <c r="C17" s="2"/>
      <c r="D17" s="2"/>
      <c r="E17" s="2"/>
      <c r="F17" s="2">
        <f t="shared" si="0"/>
        <v>0</v>
      </c>
    </row>
    <row r="18" spans="1:6" x14ac:dyDescent="0.25">
      <c r="A18" s="2">
        <v>13</v>
      </c>
      <c r="B18" s="32"/>
      <c r="C18" s="2"/>
      <c r="D18" s="2"/>
      <c r="E18" s="2"/>
      <c r="F18" s="2">
        <f t="shared" si="0"/>
        <v>0</v>
      </c>
    </row>
    <row r="19" spans="1:6" x14ac:dyDescent="0.25">
      <c r="A19" s="2">
        <v>14</v>
      </c>
      <c r="B19" s="32"/>
      <c r="C19" s="2"/>
      <c r="D19" s="2"/>
      <c r="E19" s="2"/>
      <c r="F19" s="2">
        <f t="shared" si="0"/>
        <v>0</v>
      </c>
    </row>
    <row r="20" spans="1:6" x14ac:dyDescent="0.25">
      <c r="A20" s="2">
        <v>15</v>
      </c>
      <c r="B20" s="2"/>
      <c r="C20" s="2"/>
      <c r="D20" s="2"/>
      <c r="E20" s="2"/>
      <c r="F20" s="2">
        <f t="shared" si="0"/>
        <v>0</v>
      </c>
    </row>
    <row r="21" spans="1:6" x14ac:dyDescent="0.25">
      <c r="A21" s="2">
        <v>16</v>
      </c>
      <c r="B21" s="32"/>
      <c r="C21" s="2"/>
      <c r="D21" s="2"/>
      <c r="E21" s="2"/>
      <c r="F21" s="2">
        <f t="shared" si="0"/>
        <v>0</v>
      </c>
    </row>
    <row r="22" spans="1:6" x14ac:dyDescent="0.25">
      <c r="A22" s="2">
        <v>17</v>
      </c>
      <c r="B22" s="32"/>
      <c r="C22" s="2"/>
      <c r="D22" s="2"/>
      <c r="E22" s="2"/>
      <c r="F22" s="2">
        <f t="shared" si="0"/>
        <v>0</v>
      </c>
    </row>
    <row r="23" spans="1:6" x14ac:dyDescent="0.25">
      <c r="A23" s="2">
        <v>18</v>
      </c>
      <c r="B23" s="32"/>
      <c r="C23" s="2"/>
      <c r="D23" s="2"/>
      <c r="E23" s="2"/>
      <c r="F23" s="2">
        <f t="shared" si="0"/>
        <v>0</v>
      </c>
    </row>
    <row r="24" spans="1:6" x14ac:dyDescent="0.25">
      <c r="A24" s="2">
        <v>19</v>
      </c>
      <c r="B24" s="2"/>
      <c r="C24" s="2"/>
      <c r="D24" s="2"/>
      <c r="E24" s="2"/>
      <c r="F24" s="2">
        <f t="shared" si="0"/>
        <v>0</v>
      </c>
    </row>
    <row r="25" spans="1:6" x14ac:dyDescent="0.25">
      <c r="A25" s="2">
        <v>20</v>
      </c>
      <c r="B25" s="2"/>
      <c r="C25" s="2"/>
      <c r="D25" s="2"/>
      <c r="E25" s="2"/>
      <c r="F25" s="2">
        <f t="shared" si="0"/>
        <v>0</v>
      </c>
    </row>
    <row r="26" spans="1:6" x14ac:dyDescent="0.25">
      <c r="A26" s="2">
        <v>21</v>
      </c>
      <c r="B26" s="32"/>
      <c r="C26" s="2"/>
      <c r="D26" s="2"/>
      <c r="E26" s="2"/>
      <c r="F26" s="2">
        <f t="shared" si="0"/>
        <v>0</v>
      </c>
    </row>
    <row r="27" spans="1:6" x14ac:dyDescent="0.25">
      <c r="A27" s="2">
        <v>22</v>
      </c>
      <c r="B27" s="32"/>
      <c r="C27" s="2"/>
      <c r="D27" s="2"/>
      <c r="E27" s="2"/>
      <c r="F27" s="2">
        <f t="shared" si="0"/>
        <v>0</v>
      </c>
    </row>
    <row r="28" spans="1:6" x14ac:dyDescent="0.25">
      <c r="A28" s="2">
        <v>23</v>
      </c>
      <c r="B28" s="2"/>
      <c r="C28" s="2"/>
      <c r="D28" s="2"/>
      <c r="E28" s="2"/>
      <c r="F28" s="2">
        <f t="shared" si="0"/>
        <v>0</v>
      </c>
    </row>
    <row r="29" spans="1:6" x14ac:dyDescent="0.25">
      <c r="A29" s="2">
        <v>24</v>
      </c>
      <c r="B29" s="32"/>
      <c r="C29" s="2"/>
      <c r="D29" s="2"/>
      <c r="E29" s="2"/>
      <c r="F29" s="2">
        <f t="shared" si="0"/>
        <v>0</v>
      </c>
    </row>
    <row r="30" spans="1:6" x14ac:dyDescent="0.25">
      <c r="A30" s="2">
        <v>25</v>
      </c>
      <c r="B30" s="32"/>
      <c r="C30" s="2"/>
      <c r="D30" s="2"/>
      <c r="E30" s="2"/>
      <c r="F30" s="2">
        <f t="shared" si="0"/>
        <v>0</v>
      </c>
    </row>
    <row r="31" spans="1:6" x14ac:dyDescent="0.25">
      <c r="A31" s="2">
        <v>26</v>
      </c>
      <c r="B31" s="32"/>
      <c r="C31" s="2"/>
      <c r="D31" s="2"/>
      <c r="E31" s="2"/>
      <c r="F31" s="2">
        <f t="shared" si="0"/>
        <v>0</v>
      </c>
    </row>
    <row r="32" spans="1:6" x14ac:dyDescent="0.25">
      <c r="A32" s="2">
        <v>27</v>
      </c>
      <c r="B32" s="32"/>
      <c r="C32" s="2"/>
      <c r="D32" s="2"/>
      <c r="E32" s="2"/>
      <c r="F32" s="2">
        <f t="shared" si="0"/>
        <v>0</v>
      </c>
    </row>
    <row r="33" spans="1:6" x14ac:dyDescent="0.25">
      <c r="A33" s="19">
        <v>28</v>
      </c>
      <c r="B33" s="19"/>
      <c r="C33" s="19"/>
      <c r="D33" s="19"/>
      <c r="E33" s="19"/>
      <c r="F33" s="2">
        <f t="shared" si="0"/>
        <v>0</v>
      </c>
    </row>
    <row r="34" spans="1:6" x14ac:dyDescent="0.25">
      <c r="A34" s="19"/>
      <c r="B34" s="35"/>
      <c r="C34" s="19"/>
      <c r="D34" s="19"/>
      <c r="E34" s="19"/>
      <c r="F34" s="2">
        <f t="shared" si="0"/>
        <v>0</v>
      </c>
    </row>
    <row r="35" spans="1:6" x14ac:dyDescent="0.25">
      <c r="A35" s="19"/>
      <c r="B35" s="35"/>
      <c r="C35" s="19"/>
      <c r="D35" s="19"/>
      <c r="E35" s="19"/>
      <c r="F35" s="2">
        <f t="shared" si="0"/>
        <v>0</v>
      </c>
    </row>
    <row r="36" spans="1:6" x14ac:dyDescent="0.25">
      <c r="A36" s="1" t="s">
        <v>30</v>
      </c>
      <c r="B36" s="1"/>
      <c r="C36" s="1"/>
      <c r="D36" s="5">
        <f>SUM(D7:D35)</f>
        <v>1170</v>
      </c>
      <c r="E36" s="1"/>
      <c r="F36" s="5">
        <f>SUM(F7:F35)</f>
        <v>2323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F36"/>
  <sheetViews>
    <sheetView topLeftCell="A21" workbookViewId="0">
      <selection activeCell="D34" sqref="D34"/>
    </sheetView>
  </sheetViews>
  <sheetFormatPr defaultRowHeight="15" x14ac:dyDescent="0.25"/>
  <cols>
    <col min="2" max="2" width="13.5703125" customWidth="1"/>
    <col min="3" max="3" width="12.5703125" customWidth="1"/>
    <col min="4" max="4" width="12.28515625" customWidth="1"/>
    <col min="5" max="5" width="17.140625" customWidth="1"/>
    <col min="6" max="6" width="12.42578125" customWidth="1"/>
  </cols>
  <sheetData>
    <row r="2" spans="1:6" ht="21" x14ac:dyDescent="0.35">
      <c r="A2" s="24"/>
      <c r="B2" s="25" t="s">
        <v>31</v>
      </c>
      <c r="C2" s="25"/>
      <c r="D2" s="25"/>
      <c r="E2" s="26"/>
      <c r="F2" s="24"/>
    </row>
    <row r="3" spans="1:6" ht="18.75" x14ac:dyDescent="0.3">
      <c r="A3" s="24"/>
      <c r="B3" s="27" t="s">
        <v>110</v>
      </c>
      <c r="C3" s="27"/>
      <c r="D3" s="28"/>
      <c r="E3" s="36">
        <v>2021</v>
      </c>
      <c r="F3" s="24"/>
    </row>
    <row r="4" spans="1:6" x14ac:dyDescent="0.25">
      <c r="A4" s="30"/>
      <c r="B4" s="30"/>
      <c r="C4" s="30"/>
      <c r="D4" s="30"/>
      <c r="E4" s="30"/>
      <c r="F4" s="30"/>
    </row>
    <row r="5" spans="1:6" x14ac:dyDescent="0.25">
      <c r="A5" s="30"/>
      <c r="B5" s="30"/>
      <c r="C5" s="30"/>
      <c r="D5" s="30"/>
      <c r="E5" s="30"/>
      <c r="F5" s="30"/>
    </row>
    <row r="6" spans="1:6" x14ac:dyDescent="0.25">
      <c r="A6" s="31" t="s">
        <v>33</v>
      </c>
      <c r="B6" s="31" t="s">
        <v>0</v>
      </c>
      <c r="C6" s="31" t="s">
        <v>3</v>
      </c>
      <c r="D6" s="31" t="s">
        <v>86</v>
      </c>
      <c r="E6" s="31" t="s">
        <v>87</v>
      </c>
      <c r="F6" s="31" t="s">
        <v>2</v>
      </c>
    </row>
    <row r="7" spans="1:6" x14ac:dyDescent="0.25">
      <c r="A7" s="2">
        <v>1</v>
      </c>
      <c r="B7" s="32">
        <v>44440</v>
      </c>
      <c r="C7" s="2">
        <v>1</v>
      </c>
      <c r="D7" s="2">
        <v>370</v>
      </c>
      <c r="E7" s="2">
        <v>1.75</v>
      </c>
      <c r="F7" s="34">
        <f>E7*D7</f>
        <v>647.5</v>
      </c>
    </row>
    <row r="8" spans="1:6" x14ac:dyDescent="0.25">
      <c r="A8" s="2">
        <v>3</v>
      </c>
      <c r="B8" s="32">
        <v>44198</v>
      </c>
      <c r="C8" s="2">
        <v>1</v>
      </c>
      <c r="D8" s="2">
        <v>150</v>
      </c>
      <c r="E8" s="2">
        <v>1.75</v>
      </c>
      <c r="F8" s="34">
        <f t="shared" ref="F8:F35" si="0">E8*D8</f>
        <v>262.5</v>
      </c>
    </row>
    <row r="9" spans="1:6" x14ac:dyDescent="0.25">
      <c r="A9" s="2">
        <v>4</v>
      </c>
      <c r="B9" s="32">
        <v>44502</v>
      </c>
      <c r="C9" s="2">
        <v>1</v>
      </c>
      <c r="D9" s="2">
        <v>180</v>
      </c>
      <c r="E9" s="34">
        <v>1.7</v>
      </c>
      <c r="F9" s="34">
        <f t="shared" si="0"/>
        <v>306</v>
      </c>
    </row>
    <row r="10" spans="1:6" x14ac:dyDescent="0.25">
      <c r="A10" s="2">
        <v>5</v>
      </c>
      <c r="B10" s="32" t="s">
        <v>88</v>
      </c>
      <c r="C10" s="2">
        <v>1</v>
      </c>
      <c r="D10" s="2">
        <v>320</v>
      </c>
      <c r="E10" s="2">
        <v>1.75</v>
      </c>
      <c r="F10" s="34">
        <f t="shared" si="0"/>
        <v>560</v>
      </c>
    </row>
    <row r="11" spans="1:6" x14ac:dyDescent="0.25">
      <c r="A11" s="2">
        <v>6</v>
      </c>
      <c r="B11" s="32" t="s">
        <v>89</v>
      </c>
      <c r="C11" s="2">
        <v>1</v>
      </c>
      <c r="D11" s="37">
        <v>150</v>
      </c>
      <c r="E11" s="2">
        <v>1.75</v>
      </c>
      <c r="F11" s="34">
        <f t="shared" si="0"/>
        <v>262.5</v>
      </c>
    </row>
    <row r="12" spans="1:6" x14ac:dyDescent="0.25">
      <c r="A12" s="2">
        <v>7</v>
      </c>
      <c r="B12" s="32" t="s">
        <v>90</v>
      </c>
      <c r="C12" s="2">
        <v>1</v>
      </c>
      <c r="D12" s="37">
        <v>205</v>
      </c>
      <c r="E12" s="2">
        <v>1.75</v>
      </c>
      <c r="F12" s="34">
        <f t="shared" si="0"/>
        <v>358.75</v>
      </c>
    </row>
    <row r="13" spans="1:6" x14ac:dyDescent="0.25">
      <c r="A13" s="2">
        <v>8</v>
      </c>
      <c r="B13" s="32" t="s">
        <v>91</v>
      </c>
      <c r="C13" s="2">
        <v>1</v>
      </c>
      <c r="D13" s="34">
        <v>115</v>
      </c>
      <c r="E13" s="2">
        <v>1.75</v>
      </c>
      <c r="F13" s="34">
        <f t="shared" si="0"/>
        <v>201.25</v>
      </c>
    </row>
    <row r="14" spans="1:6" x14ac:dyDescent="0.25">
      <c r="A14" s="2">
        <v>9</v>
      </c>
      <c r="B14" s="32" t="s">
        <v>92</v>
      </c>
      <c r="C14" s="2">
        <v>1</v>
      </c>
      <c r="D14" s="2">
        <v>400</v>
      </c>
      <c r="E14" s="2">
        <v>1.75</v>
      </c>
      <c r="F14" s="34">
        <f t="shared" si="0"/>
        <v>700</v>
      </c>
    </row>
    <row r="15" spans="1:6" x14ac:dyDescent="0.25">
      <c r="A15" s="2">
        <v>10</v>
      </c>
      <c r="B15" s="32" t="s">
        <v>108</v>
      </c>
      <c r="C15" s="2">
        <v>1</v>
      </c>
      <c r="D15" s="2">
        <v>350</v>
      </c>
      <c r="E15" s="2">
        <v>1.75</v>
      </c>
      <c r="F15" s="34">
        <f t="shared" si="0"/>
        <v>612.5</v>
      </c>
    </row>
    <row r="16" spans="1:6" x14ac:dyDescent="0.25">
      <c r="A16" s="2">
        <v>11</v>
      </c>
      <c r="B16" s="32">
        <v>44475</v>
      </c>
      <c r="C16" s="2">
        <v>1</v>
      </c>
      <c r="D16" s="2">
        <v>220</v>
      </c>
      <c r="E16" s="2">
        <v>1.75</v>
      </c>
      <c r="F16" s="34">
        <f t="shared" si="0"/>
        <v>385</v>
      </c>
    </row>
    <row r="17" spans="1:6" x14ac:dyDescent="0.25">
      <c r="A17" s="2">
        <v>12</v>
      </c>
      <c r="B17" s="32" t="s">
        <v>109</v>
      </c>
      <c r="C17" s="2">
        <v>1</v>
      </c>
      <c r="D17" s="2">
        <v>205</v>
      </c>
      <c r="E17" s="2">
        <v>1.75</v>
      </c>
      <c r="F17" s="34">
        <f t="shared" si="0"/>
        <v>358.75</v>
      </c>
    </row>
    <row r="18" spans="1:6" x14ac:dyDescent="0.25">
      <c r="A18" s="2">
        <v>13</v>
      </c>
      <c r="B18" s="32">
        <v>44476</v>
      </c>
      <c r="C18" s="2">
        <v>1</v>
      </c>
      <c r="D18" s="2">
        <v>220</v>
      </c>
      <c r="E18" s="2">
        <v>1.75</v>
      </c>
      <c r="F18" s="34">
        <f t="shared" si="0"/>
        <v>385</v>
      </c>
    </row>
    <row r="19" spans="1:6" x14ac:dyDescent="0.25">
      <c r="A19" s="2">
        <v>14</v>
      </c>
      <c r="B19" s="32" t="s">
        <v>111</v>
      </c>
      <c r="C19" s="2">
        <v>1</v>
      </c>
      <c r="D19" s="2">
        <v>200</v>
      </c>
      <c r="E19" s="2">
        <v>1.75</v>
      </c>
      <c r="F19" s="34">
        <f t="shared" si="0"/>
        <v>350</v>
      </c>
    </row>
    <row r="20" spans="1:6" x14ac:dyDescent="0.25">
      <c r="A20" s="2">
        <v>15</v>
      </c>
      <c r="B20" s="32">
        <v>44416</v>
      </c>
      <c r="C20" s="2">
        <v>1</v>
      </c>
      <c r="D20" s="2">
        <v>100</v>
      </c>
      <c r="E20" s="2">
        <v>1.75</v>
      </c>
      <c r="F20" s="34">
        <f t="shared" si="0"/>
        <v>175</v>
      </c>
    </row>
    <row r="21" spans="1:6" x14ac:dyDescent="0.25">
      <c r="A21" s="2">
        <v>16</v>
      </c>
      <c r="B21" s="32">
        <v>44433</v>
      </c>
      <c r="C21" s="2">
        <v>1</v>
      </c>
      <c r="D21" s="2">
        <v>180</v>
      </c>
      <c r="E21" s="2">
        <v>1.75</v>
      </c>
      <c r="F21" s="34">
        <f t="shared" si="0"/>
        <v>315</v>
      </c>
    </row>
    <row r="22" spans="1:6" x14ac:dyDescent="0.25">
      <c r="A22" s="2">
        <v>17</v>
      </c>
      <c r="B22" s="32">
        <v>44386</v>
      </c>
      <c r="C22" s="2">
        <v>1</v>
      </c>
      <c r="D22" s="2">
        <v>160</v>
      </c>
      <c r="E22" s="2">
        <v>1.75</v>
      </c>
      <c r="F22" s="34">
        <f t="shared" si="0"/>
        <v>280</v>
      </c>
    </row>
    <row r="23" spans="1:6" x14ac:dyDescent="0.25">
      <c r="A23" s="2">
        <v>18</v>
      </c>
      <c r="B23" s="32" t="s">
        <v>112</v>
      </c>
      <c r="C23" s="2">
        <v>1</v>
      </c>
      <c r="D23" s="2">
        <v>200</v>
      </c>
      <c r="E23" s="2">
        <v>1.75</v>
      </c>
      <c r="F23" s="34">
        <f t="shared" si="0"/>
        <v>350</v>
      </c>
    </row>
    <row r="24" spans="1:6" x14ac:dyDescent="0.25">
      <c r="A24" s="2">
        <v>19</v>
      </c>
      <c r="B24" s="32">
        <v>44326</v>
      </c>
      <c r="C24" s="2">
        <v>1</v>
      </c>
      <c r="D24" s="2">
        <v>200</v>
      </c>
      <c r="E24" s="2">
        <v>1.75</v>
      </c>
      <c r="F24" s="34">
        <f t="shared" si="0"/>
        <v>350</v>
      </c>
    </row>
    <row r="25" spans="1:6" x14ac:dyDescent="0.25">
      <c r="A25" s="2">
        <v>20</v>
      </c>
      <c r="B25" s="2" t="s">
        <v>113</v>
      </c>
      <c r="C25" s="2">
        <v>1</v>
      </c>
      <c r="D25" s="2">
        <v>300</v>
      </c>
      <c r="E25" s="2">
        <v>1.75</v>
      </c>
      <c r="F25" s="34">
        <f t="shared" si="0"/>
        <v>525</v>
      </c>
    </row>
    <row r="26" spans="1:6" x14ac:dyDescent="0.25">
      <c r="A26" s="2">
        <v>21</v>
      </c>
      <c r="B26" s="32" t="s">
        <v>114</v>
      </c>
      <c r="C26" s="2">
        <v>1</v>
      </c>
      <c r="D26" s="2">
        <v>200</v>
      </c>
      <c r="E26" s="2">
        <v>1.75</v>
      </c>
      <c r="F26" s="34">
        <f t="shared" si="0"/>
        <v>350</v>
      </c>
    </row>
    <row r="27" spans="1:6" x14ac:dyDescent="0.25">
      <c r="A27" s="2">
        <v>22</v>
      </c>
      <c r="B27" s="32">
        <v>44358</v>
      </c>
      <c r="C27" s="2">
        <v>1</v>
      </c>
      <c r="D27" s="2">
        <v>200</v>
      </c>
      <c r="E27" s="2">
        <v>1.75</v>
      </c>
      <c r="F27" s="34">
        <f t="shared" si="0"/>
        <v>350</v>
      </c>
    </row>
    <row r="28" spans="1:6" x14ac:dyDescent="0.25">
      <c r="A28" s="2">
        <v>23</v>
      </c>
      <c r="B28" s="2" t="s">
        <v>115</v>
      </c>
      <c r="C28" s="2">
        <v>1</v>
      </c>
      <c r="D28" s="2">
        <v>200</v>
      </c>
      <c r="E28" s="2">
        <v>1.75</v>
      </c>
      <c r="F28" s="34">
        <f t="shared" si="0"/>
        <v>350</v>
      </c>
    </row>
    <row r="29" spans="1:6" x14ac:dyDescent="0.25">
      <c r="A29" s="2">
        <v>24</v>
      </c>
      <c r="B29" s="32" t="s">
        <v>116</v>
      </c>
      <c r="C29" s="2">
        <v>1</v>
      </c>
      <c r="D29" s="2">
        <v>200</v>
      </c>
      <c r="E29" s="2">
        <v>1.75</v>
      </c>
      <c r="F29" s="34">
        <f t="shared" si="0"/>
        <v>350</v>
      </c>
    </row>
    <row r="30" spans="1:6" x14ac:dyDescent="0.25">
      <c r="A30" s="2">
        <v>25</v>
      </c>
      <c r="B30" s="32" t="s">
        <v>117</v>
      </c>
      <c r="C30" s="2">
        <v>1</v>
      </c>
      <c r="D30" s="2">
        <v>220</v>
      </c>
      <c r="E30" s="2">
        <v>1.75</v>
      </c>
      <c r="F30" s="34">
        <f t="shared" si="0"/>
        <v>385</v>
      </c>
    </row>
    <row r="31" spans="1:6" x14ac:dyDescent="0.25">
      <c r="A31" s="2">
        <v>26</v>
      </c>
      <c r="B31" s="32">
        <v>44389</v>
      </c>
      <c r="C31" s="2">
        <v>1</v>
      </c>
      <c r="D31" s="2">
        <v>200</v>
      </c>
      <c r="E31" s="2">
        <v>1.75</v>
      </c>
      <c r="F31" s="34">
        <f t="shared" si="0"/>
        <v>350</v>
      </c>
    </row>
    <row r="32" spans="1:6" x14ac:dyDescent="0.25">
      <c r="A32" s="2">
        <v>27</v>
      </c>
      <c r="B32" s="32">
        <v>44542</v>
      </c>
      <c r="C32" s="2">
        <v>1</v>
      </c>
      <c r="D32" s="2">
        <v>230</v>
      </c>
      <c r="E32" s="2">
        <v>1.75</v>
      </c>
      <c r="F32" s="34">
        <f t="shared" si="0"/>
        <v>402.5</v>
      </c>
    </row>
    <row r="33" spans="1:6" x14ac:dyDescent="0.25">
      <c r="A33" s="19">
        <v>28</v>
      </c>
      <c r="B33" s="19" t="s">
        <v>118</v>
      </c>
      <c r="C33" s="19">
        <v>1</v>
      </c>
      <c r="D33" s="19">
        <v>220</v>
      </c>
      <c r="E33" s="19">
        <v>1.75</v>
      </c>
      <c r="F33" s="34">
        <f t="shared" si="0"/>
        <v>385</v>
      </c>
    </row>
    <row r="34" spans="1:6" x14ac:dyDescent="0.25">
      <c r="A34" s="19">
        <v>29</v>
      </c>
      <c r="B34" s="35" t="s">
        <v>119</v>
      </c>
      <c r="C34" s="19">
        <v>1</v>
      </c>
      <c r="D34" s="19">
        <v>200</v>
      </c>
      <c r="E34" s="19">
        <v>1.75</v>
      </c>
      <c r="F34" s="34">
        <f t="shared" si="0"/>
        <v>350</v>
      </c>
    </row>
    <row r="35" spans="1:6" x14ac:dyDescent="0.25">
      <c r="A35" s="19"/>
      <c r="B35" s="35"/>
      <c r="C35" s="19"/>
      <c r="D35" s="19"/>
      <c r="E35" s="19"/>
      <c r="F35" s="34">
        <f t="shared" si="0"/>
        <v>0</v>
      </c>
    </row>
    <row r="36" spans="1:6" x14ac:dyDescent="0.25">
      <c r="A36" s="1" t="s">
        <v>30</v>
      </c>
      <c r="B36" s="1"/>
      <c r="C36" s="1"/>
      <c r="D36" s="5">
        <f>SUM(D7:D35)</f>
        <v>6095</v>
      </c>
      <c r="E36" s="1"/>
      <c r="F36" s="38">
        <f>SUM(F7:F35)</f>
        <v>10657.25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F36"/>
  <sheetViews>
    <sheetView topLeftCell="A4" workbookViewId="0">
      <selection activeCell="B15" sqref="B15"/>
    </sheetView>
  </sheetViews>
  <sheetFormatPr defaultRowHeight="15" x14ac:dyDescent="0.25"/>
  <cols>
    <col min="2" max="2" width="13.5703125" customWidth="1"/>
    <col min="3" max="3" width="12.5703125" customWidth="1"/>
    <col min="4" max="4" width="12.28515625" customWidth="1"/>
    <col min="5" max="5" width="17.140625" customWidth="1"/>
    <col min="6" max="6" width="12.42578125" customWidth="1"/>
  </cols>
  <sheetData>
    <row r="2" spans="1:6" ht="21" x14ac:dyDescent="0.35">
      <c r="A2" s="24"/>
      <c r="B2" s="25" t="s">
        <v>31</v>
      </c>
      <c r="C2" s="25"/>
      <c r="D2" s="25"/>
      <c r="E2" s="26"/>
      <c r="F2" s="24"/>
    </row>
    <row r="3" spans="1:6" ht="18.75" x14ac:dyDescent="0.3">
      <c r="A3" s="24"/>
      <c r="B3" s="27" t="s">
        <v>110</v>
      </c>
      <c r="C3" s="27"/>
      <c r="D3" s="28"/>
      <c r="E3" s="36">
        <v>2022</v>
      </c>
      <c r="F3" s="24"/>
    </row>
    <row r="4" spans="1:6" x14ac:dyDescent="0.25">
      <c r="A4" s="30"/>
      <c r="B4" s="30"/>
      <c r="C4" s="30"/>
      <c r="D4" s="30"/>
      <c r="E4" s="30"/>
      <c r="F4" s="30"/>
    </row>
    <row r="5" spans="1:6" x14ac:dyDescent="0.25">
      <c r="A5" s="30"/>
      <c r="B5" s="30"/>
      <c r="C5" s="30"/>
      <c r="D5" s="30"/>
      <c r="E5" s="30"/>
      <c r="F5" s="30"/>
    </row>
    <row r="6" spans="1:6" x14ac:dyDescent="0.25">
      <c r="A6" s="31" t="s">
        <v>33</v>
      </c>
      <c r="B6" s="31" t="s">
        <v>0</v>
      </c>
      <c r="C6" s="31" t="s">
        <v>3</v>
      </c>
      <c r="D6" s="31" t="s">
        <v>86</v>
      </c>
      <c r="E6" s="31" t="s">
        <v>87</v>
      </c>
      <c r="F6" s="31" t="s">
        <v>2</v>
      </c>
    </row>
    <row r="7" spans="1:6" x14ac:dyDescent="0.25">
      <c r="A7" s="2">
        <v>1</v>
      </c>
      <c r="B7" s="32">
        <v>44896</v>
      </c>
      <c r="C7" s="2">
        <v>1</v>
      </c>
      <c r="D7" s="2">
        <v>235</v>
      </c>
      <c r="E7" s="2">
        <v>1.75</v>
      </c>
      <c r="F7" s="34">
        <f>E7*D7</f>
        <v>411.25</v>
      </c>
    </row>
    <row r="8" spans="1:6" x14ac:dyDescent="0.25">
      <c r="A8" s="2">
        <v>3</v>
      </c>
      <c r="B8" s="32">
        <v>44622</v>
      </c>
      <c r="C8" s="2">
        <v>1</v>
      </c>
      <c r="D8" s="2">
        <v>400</v>
      </c>
      <c r="E8" s="2">
        <v>1.75</v>
      </c>
      <c r="F8" s="34">
        <f t="shared" ref="F8:F35" si="0">E8*D8</f>
        <v>700</v>
      </c>
    </row>
    <row r="9" spans="1:6" x14ac:dyDescent="0.25">
      <c r="A9" s="2">
        <v>4</v>
      </c>
      <c r="B9" s="32">
        <v>44897</v>
      </c>
      <c r="C9" s="2">
        <v>1</v>
      </c>
      <c r="D9" s="2">
        <v>200</v>
      </c>
      <c r="E9" s="34">
        <v>1.7</v>
      </c>
      <c r="F9" s="34">
        <f t="shared" si="0"/>
        <v>340</v>
      </c>
    </row>
    <row r="10" spans="1:6" x14ac:dyDescent="0.25">
      <c r="A10" s="2">
        <v>5</v>
      </c>
      <c r="B10" s="32" t="s">
        <v>120</v>
      </c>
      <c r="C10" s="2">
        <v>1</v>
      </c>
      <c r="D10" s="2">
        <v>250</v>
      </c>
      <c r="E10" s="2">
        <v>1.75</v>
      </c>
      <c r="F10" s="34">
        <f t="shared" si="0"/>
        <v>437.5</v>
      </c>
    </row>
    <row r="11" spans="1:6" x14ac:dyDescent="0.25">
      <c r="A11" s="2">
        <v>6</v>
      </c>
      <c r="B11" s="32">
        <v>44654</v>
      </c>
      <c r="C11" s="2">
        <v>1</v>
      </c>
      <c r="D11" s="37">
        <v>200</v>
      </c>
      <c r="E11" s="2">
        <v>1.75</v>
      </c>
      <c r="F11" s="34">
        <f t="shared" si="0"/>
        <v>350</v>
      </c>
    </row>
    <row r="12" spans="1:6" x14ac:dyDescent="0.25">
      <c r="A12" s="2">
        <v>7</v>
      </c>
      <c r="B12" s="32" t="s">
        <v>121</v>
      </c>
      <c r="C12" s="2">
        <v>1</v>
      </c>
      <c r="D12" s="37">
        <v>200</v>
      </c>
      <c r="E12" s="2">
        <v>1.75</v>
      </c>
      <c r="F12" s="34">
        <f t="shared" si="0"/>
        <v>350</v>
      </c>
    </row>
    <row r="13" spans="1:6" x14ac:dyDescent="0.25">
      <c r="A13" s="2">
        <v>8</v>
      </c>
      <c r="B13" s="32" t="s">
        <v>122</v>
      </c>
      <c r="C13" s="2">
        <v>1</v>
      </c>
      <c r="D13" s="37">
        <v>200</v>
      </c>
      <c r="E13" s="2">
        <v>1.75</v>
      </c>
      <c r="F13" s="34">
        <f t="shared" si="0"/>
        <v>350</v>
      </c>
    </row>
    <row r="14" spans="1:6" x14ac:dyDescent="0.25">
      <c r="A14" s="2">
        <v>9</v>
      </c>
      <c r="B14" s="32" t="s">
        <v>123</v>
      </c>
      <c r="C14" s="2">
        <v>1</v>
      </c>
      <c r="D14" s="2">
        <v>200</v>
      </c>
      <c r="E14" s="2">
        <v>1.75</v>
      </c>
      <c r="F14" s="34">
        <f t="shared" si="0"/>
        <v>350</v>
      </c>
    </row>
    <row r="15" spans="1:6" x14ac:dyDescent="0.25">
      <c r="A15" s="2">
        <v>10</v>
      </c>
      <c r="B15" s="32">
        <v>44626</v>
      </c>
      <c r="C15" s="2">
        <v>1</v>
      </c>
      <c r="D15" s="2">
        <v>150</v>
      </c>
      <c r="E15" s="2">
        <v>2.25</v>
      </c>
      <c r="F15" s="34">
        <f t="shared" si="0"/>
        <v>337.5</v>
      </c>
    </row>
    <row r="16" spans="1:6" x14ac:dyDescent="0.25">
      <c r="A16" s="2">
        <v>11</v>
      </c>
      <c r="B16" s="32" t="s">
        <v>125</v>
      </c>
      <c r="C16" s="2">
        <v>1</v>
      </c>
      <c r="D16" s="2">
        <v>150</v>
      </c>
      <c r="E16" s="2">
        <v>2.25</v>
      </c>
      <c r="F16" s="34">
        <f t="shared" si="0"/>
        <v>337.5</v>
      </c>
    </row>
    <row r="17" spans="1:6" x14ac:dyDescent="0.25">
      <c r="A17" s="2">
        <v>12</v>
      </c>
      <c r="B17" s="32" t="s">
        <v>126</v>
      </c>
      <c r="C17" s="2">
        <v>1</v>
      </c>
      <c r="D17" s="2">
        <v>100</v>
      </c>
      <c r="E17" s="2">
        <v>2.25</v>
      </c>
      <c r="F17" s="34">
        <f t="shared" si="0"/>
        <v>225</v>
      </c>
    </row>
    <row r="18" spans="1:6" x14ac:dyDescent="0.25">
      <c r="A18" s="2">
        <v>13</v>
      </c>
      <c r="B18" s="32" t="s">
        <v>124</v>
      </c>
      <c r="C18" s="2">
        <v>1</v>
      </c>
      <c r="D18" s="2">
        <v>138</v>
      </c>
      <c r="E18" s="2">
        <v>2.25</v>
      </c>
      <c r="F18" s="34">
        <f t="shared" si="0"/>
        <v>310.5</v>
      </c>
    </row>
    <row r="19" spans="1:6" x14ac:dyDescent="0.25">
      <c r="A19" s="2">
        <v>14</v>
      </c>
      <c r="B19" s="32" t="s">
        <v>127</v>
      </c>
      <c r="C19" s="2">
        <v>1</v>
      </c>
      <c r="D19" s="2">
        <v>162</v>
      </c>
      <c r="E19" s="2">
        <v>3.5</v>
      </c>
      <c r="F19" s="34">
        <f t="shared" si="0"/>
        <v>567</v>
      </c>
    </row>
    <row r="20" spans="1:6" x14ac:dyDescent="0.25">
      <c r="A20" s="2">
        <v>15</v>
      </c>
      <c r="B20" s="32" t="s">
        <v>128</v>
      </c>
      <c r="C20" s="2">
        <v>1</v>
      </c>
      <c r="D20" s="2">
        <v>100</v>
      </c>
      <c r="E20" s="2">
        <v>3.5</v>
      </c>
      <c r="F20" s="34">
        <f t="shared" si="0"/>
        <v>350</v>
      </c>
    </row>
    <row r="21" spans="1:6" x14ac:dyDescent="0.25">
      <c r="A21" s="2">
        <v>16</v>
      </c>
      <c r="B21" s="32" t="s">
        <v>129</v>
      </c>
      <c r="C21" s="2">
        <v>1</v>
      </c>
      <c r="D21" s="2">
        <v>200</v>
      </c>
      <c r="E21" s="2">
        <v>3.5</v>
      </c>
      <c r="F21" s="34">
        <f t="shared" si="0"/>
        <v>700</v>
      </c>
    </row>
    <row r="22" spans="1:6" x14ac:dyDescent="0.25">
      <c r="A22" s="2">
        <v>17</v>
      </c>
      <c r="B22" s="32" t="s">
        <v>130</v>
      </c>
      <c r="C22" s="2">
        <v>1</v>
      </c>
      <c r="D22" s="2">
        <v>200</v>
      </c>
      <c r="E22" s="2">
        <v>3.5</v>
      </c>
      <c r="F22" s="34">
        <f t="shared" si="0"/>
        <v>700</v>
      </c>
    </row>
    <row r="23" spans="1:6" x14ac:dyDescent="0.25">
      <c r="A23" s="2">
        <v>18</v>
      </c>
      <c r="B23" s="32">
        <v>44661</v>
      </c>
      <c r="C23" s="2">
        <v>1</v>
      </c>
      <c r="D23" s="2">
        <v>200</v>
      </c>
      <c r="E23" s="2">
        <v>3.5</v>
      </c>
      <c r="F23" s="34">
        <f t="shared" si="0"/>
        <v>700</v>
      </c>
    </row>
    <row r="24" spans="1:6" x14ac:dyDescent="0.25">
      <c r="A24" s="2">
        <v>19</v>
      </c>
      <c r="B24" s="32" t="s">
        <v>131</v>
      </c>
      <c r="C24" s="2">
        <v>1</v>
      </c>
      <c r="D24" s="2">
        <v>360</v>
      </c>
      <c r="E24" s="2">
        <v>3.5</v>
      </c>
      <c r="F24" s="34">
        <f t="shared" si="0"/>
        <v>1260</v>
      </c>
    </row>
    <row r="25" spans="1:6" x14ac:dyDescent="0.25">
      <c r="A25" s="2">
        <v>20</v>
      </c>
      <c r="B25" s="32">
        <v>44906</v>
      </c>
      <c r="C25" s="2">
        <v>1</v>
      </c>
      <c r="D25" s="2">
        <v>400</v>
      </c>
      <c r="E25" s="2">
        <v>3</v>
      </c>
      <c r="F25" s="34">
        <f t="shared" si="0"/>
        <v>1200</v>
      </c>
    </row>
    <row r="26" spans="1:6" x14ac:dyDescent="0.25">
      <c r="A26" s="2">
        <v>21</v>
      </c>
      <c r="B26" s="32" t="s">
        <v>132</v>
      </c>
      <c r="C26" s="2">
        <v>1</v>
      </c>
      <c r="D26" s="2">
        <v>400</v>
      </c>
      <c r="E26" s="2">
        <v>3</v>
      </c>
      <c r="F26" s="34">
        <f t="shared" si="0"/>
        <v>1200</v>
      </c>
    </row>
    <row r="27" spans="1:6" x14ac:dyDescent="0.25">
      <c r="A27" s="2">
        <v>22</v>
      </c>
      <c r="B27" s="32"/>
      <c r="C27" s="2"/>
      <c r="D27" s="2"/>
      <c r="E27" s="2">
        <v>1.75</v>
      </c>
      <c r="F27" s="34">
        <f t="shared" si="0"/>
        <v>0</v>
      </c>
    </row>
    <row r="28" spans="1:6" x14ac:dyDescent="0.25">
      <c r="A28" s="2">
        <v>23</v>
      </c>
      <c r="B28" s="2"/>
      <c r="C28" s="2"/>
      <c r="D28" s="2"/>
      <c r="E28" s="2">
        <v>1.75</v>
      </c>
      <c r="F28" s="34">
        <f t="shared" si="0"/>
        <v>0</v>
      </c>
    </row>
    <row r="29" spans="1:6" x14ac:dyDescent="0.25">
      <c r="A29" s="2">
        <v>24</v>
      </c>
      <c r="B29" s="32"/>
      <c r="C29" s="2"/>
      <c r="D29" s="2"/>
      <c r="E29" s="2">
        <v>1.75</v>
      </c>
      <c r="F29" s="34">
        <f t="shared" si="0"/>
        <v>0</v>
      </c>
    </row>
    <row r="30" spans="1:6" x14ac:dyDescent="0.25">
      <c r="A30" s="2">
        <v>25</v>
      </c>
      <c r="B30" s="32"/>
      <c r="C30" s="2"/>
      <c r="D30" s="2"/>
      <c r="E30" s="2">
        <v>1.75</v>
      </c>
      <c r="F30" s="34">
        <f t="shared" si="0"/>
        <v>0</v>
      </c>
    </row>
    <row r="31" spans="1:6" x14ac:dyDescent="0.25">
      <c r="A31" s="2">
        <v>26</v>
      </c>
      <c r="B31" s="32"/>
      <c r="C31" s="2"/>
      <c r="D31" s="2"/>
      <c r="E31" s="2">
        <v>1.75</v>
      </c>
      <c r="F31" s="34">
        <f t="shared" si="0"/>
        <v>0</v>
      </c>
    </row>
    <row r="32" spans="1:6" x14ac:dyDescent="0.25">
      <c r="A32" s="2">
        <v>27</v>
      </c>
      <c r="B32" s="32"/>
      <c r="C32" s="2"/>
      <c r="D32" s="2"/>
      <c r="E32" s="2">
        <v>1.75</v>
      </c>
      <c r="F32" s="34">
        <f t="shared" si="0"/>
        <v>0</v>
      </c>
    </row>
    <row r="33" spans="1:6" x14ac:dyDescent="0.25">
      <c r="A33" s="19">
        <v>28</v>
      </c>
      <c r="B33" s="19"/>
      <c r="C33" s="19"/>
      <c r="D33" s="19"/>
      <c r="E33" s="19">
        <v>1.75</v>
      </c>
      <c r="F33" s="34">
        <f t="shared" si="0"/>
        <v>0</v>
      </c>
    </row>
    <row r="34" spans="1:6" x14ac:dyDescent="0.25">
      <c r="A34" s="19">
        <v>29</v>
      </c>
      <c r="B34" s="35"/>
      <c r="C34" s="19"/>
      <c r="D34" s="19"/>
      <c r="E34" s="19">
        <v>1.75</v>
      </c>
      <c r="F34" s="34">
        <f t="shared" si="0"/>
        <v>0</v>
      </c>
    </row>
    <row r="35" spans="1:6" x14ac:dyDescent="0.25">
      <c r="A35" s="19"/>
      <c r="B35" s="35"/>
      <c r="C35" s="19"/>
      <c r="D35" s="19"/>
      <c r="E35" s="19"/>
      <c r="F35" s="34">
        <f t="shared" si="0"/>
        <v>0</v>
      </c>
    </row>
    <row r="36" spans="1:6" x14ac:dyDescent="0.25">
      <c r="A36" s="1" t="s">
        <v>30</v>
      </c>
      <c r="B36" s="1"/>
      <c r="C36" s="1"/>
      <c r="D36" s="5">
        <f>SUM(D7:D35)</f>
        <v>4445</v>
      </c>
      <c r="E36" s="1"/>
      <c r="F36" s="38">
        <f>SUM(F7:F35)</f>
        <v>11176.25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F36"/>
  <sheetViews>
    <sheetView tabSelected="1" workbookViewId="0">
      <selection activeCell="J20" sqref="J20"/>
    </sheetView>
  </sheetViews>
  <sheetFormatPr defaultRowHeight="15" x14ac:dyDescent="0.25"/>
  <cols>
    <col min="2" max="2" width="13.5703125" customWidth="1"/>
    <col min="3" max="3" width="12.5703125" customWidth="1"/>
    <col min="4" max="4" width="12.28515625" customWidth="1"/>
    <col min="5" max="5" width="17.140625" customWidth="1"/>
    <col min="6" max="6" width="12.42578125" customWidth="1"/>
  </cols>
  <sheetData>
    <row r="2" spans="1:6" ht="21" x14ac:dyDescent="0.35">
      <c r="A2" s="24"/>
      <c r="B2" s="25" t="s">
        <v>31</v>
      </c>
      <c r="C2" s="25"/>
      <c r="D2" s="25"/>
      <c r="E2" s="26"/>
      <c r="F2" s="24"/>
    </row>
    <row r="3" spans="1:6" ht="18.75" x14ac:dyDescent="0.3">
      <c r="A3" s="24"/>
      <c r="B3" s="27" t="s">
        <v>110</v>
      </c>
      <c r="C3" s="27"/>
      <c r="D3" s="28"/>
      <c r="E3" s="36">
        <v>2023</v>
      </c>
      <c r="F3" s="24"/>
    </row>
    <row r="4" spans="1:6" x14ac:dyDescent="0.25">
      <c r="A4" s="30"/>
      <c r="B4" s="30"/>
      <c r="C4" s="30"/>
      <c r="D4" s="30"/>
      <c r="E4" s="30"/>
      <c r="F4" s="30"/>
    </row>
    <row r="5" spans="1:6" x14ac:dyDescent="0.25">
      <c r="A5" s="30"/>
      <c r="B5" s="30"/>
      <c r="C5" s="30"/>
      <c r="D5" s="30"/>
      <c r="E5" s="30"/>
      <c r="F5" s="30"/>
    </row>
    <row r="6" spans="1:6" x14ac:dyDescent="0.25">
      <c r="A6" s="31" t="s">
        <v>33</v>
      </c>
      <c r="B6" s="31" t="s">
        <v>0</v>
      </c>
      <c r="C6" s="31" t="s">
        <v>3</v>
      </c>
      <c r="D6" s="31" t="s">
        <v>86</v>
      </c>
      <c r="E6" s="31" t="s">
        <v>87</v>
      </c>
      <c r="F6" s="31" t="s">
        <v>2</v>
      </c>
    </row>
    <row r="7" spans="1:6" x14ac:dyDescent="0.25">
      <c r="A7" s="2">
        <v>1</v>
      </c>
      <c r="B7" s="32">
        <v>44986</v>
      </c>
      <c r="C7" s="2">
        <v>1</v>
      </c>
      <c r="D7" s="2">
        <v>310</v>
      </c>
      <c r="E7" s="2">
        <v>3</v>
      </c>
      <c r="F7" s="34">
        <f>E7*D7</f>
        <v>930</v>
      </c>
    </row>
    <row r="8" spans="1:6" x14ac:dyDescent="0.25">
      <c r="A8" s="2">
        <v>3</v>
      </c>
      <c r="B8" s="32" t="s">
        <v>133</v>
      </c>
      <c r="C8" s="2">
        <v>1</v>
      </c>
      <c r="D8" s="2">
        <v>200</v>
      </c>
      <c r="E8" s="2">
        <v>3</v>
      </c>
      <c r="F8" s="34">
        <f t="shared" ref="F8:F35" si="0">E8*D8</f>
        <v>600</v>
      </c>
    </row>
    <row r="9" spans="1:6" x14ac:dyDescent="0.25">
      <c r="A9" s="2">
        <v>4</v>
      </c>
      <c r="B9" s="32">
        <v>44959</v>
      </c>
      <c r="C9" s="2">
        <v>1</v>
      </c>
      <c r="D9" s="2">
        <v>200</v>
      </c>
      <c r="E9" s="34">
        <v>3</v>
      </c>
      <c r="F9" s="34">
        <f t="shared" si="0"/>
        <v>600</v>
      </c>
    </row>
    <row r="10" spans="1:6" x14ac:dyDescent="0.25">
      <c r="A10" s="2">
        <v>5</v>
      </c>
      <c r="B10" s="32"/>
      <c r="C10" s="2"/>
      <c r="D10" s="2"/>
      <c r="E10" s="2"/>
      <c r="F10" s="34">
        <f t="shared" si="0"/>
        <v>0</v>
      </c>
    </row>
    <row r="11" spans="1:6" x14ac:dyDescent="0.25">
      <c r="A11" s="2">
        <v>6</v>
      </c>
      <c r="B11" s="32"/>
      <c r="C11" s="2"/>
      <c r="D11" s="37"/>
      <c r="E11" s="2"/>
      <c r="F11" s="34">
        <f t="shared" si="0"/>
        <v>0</v>
      </c>
    </row>
    <row r="12" spans="1:6" x14ac:dyDescent="0.25">
      <c r="A12" s="2">
        <v>7</v>
      </c>
      <c r="B12" s="32"/>
      <c r="C12" s="2"/>
      <c r="D12" s="37"/>
      <c r="E12" s="2"/>
      <c r="F12" s="34">
        <f t="shared" si="0"/>
        <v>0</v>
      </c>
    </row>
    <row r="13" spans="1:6" x14ac:dyDescent="0.25">
      <c r="A13" s="2">
        <v>8</v>
      </c>
      <c r="B13" s="32"/>
      <c r="C13" s="2"/>
      <c r="D13" s="37"/>
      <c r="E13" s="2"/>
      <c r="F13" s="34">
        <f t="shared" si="0"/>
        <v>0</v>
      </c>
    </row>
    <row r="14" spans="1:6" x14ac:dyDescent="0.25">
      <c r="A14" s="2">
        <v>9</v>
      </c>
      <c r="B14" s="32"/>
      <c r="C14" s="2"/>
      <c r="D14" s="2"/>
      <c r="E14" s="2"/>
      <c r="F14" s="34">
        <f t="shared" si="0"/>
        <v>0</v>
      </c>
    </row>
    <row r="15" spans="1:6" x14ac:dyDescent="0.25">
      <c r="A15" s="2">
        <v>10</v>
      </c>
      <c r="B15" s="32"/>
      <c r="C15" s="2"/>
      <c r="D15" s="2"/>
      <c r="E15" s="2"/>
      <c r="F15" s="34">
        <f t="shared" si="0"/>
        <v>0</v>
      </c>
    </row>
    <row r="16" spans="1:6" x14ac:dyDescent="0.25">
      <c r="A16" s="2">
        <v>11</v>
      </c>
      <c r="B16" s="32"/>
      <c r="C16" s="2"/>
      <c r="D16" s="2"/>
      <c r="E16" s="2"/>
      <c r="F16" s="34">
        <f t="shared" si="0"/>
        <v>0</v>
      </c>
    </row>
    <row r="17" spans="1:6" x14ac:dyDescent="0.25">
      <c r="A17" s="2">
        <v>12</v>
      </c>
      <c r="B17" s="32"/>
      <c r="C17" s="2"/>
      <c r="D17" s="2"/>
      <c r="E17" s="2"/>
      <c r="F17" s="34">
        <f t="shared" si="0"/>
        <v>0</v>
      </c>
    </row>
    <row r="18" spans="1:6" x14ac:dyDescent="0.25">
      <c r="A18" s="2">
        <v>13</v>
      </c>
      <c r="B18" s="32"/>
      <c r="C18" s="2"/>
      <c r="D18" s="2"/>
      <c r="E18" s="2"/>
      <c r="F18" s="34">
        <f t="shared" si="0"/>
        <v>0</v>
      </c>
    </row>
    <row r="19" spans="1:6" x14ac:dyDescent="0.25">
      <c r="A19" s="2">
        <v>14</v>
      </c>
      <c r="B19" s="32"/>
      <c r="C19" s="2"/>
      <c r="D19" s="2"/>
      <c r="E19" s="2"/>
      <c r="F19" s="34">
        <f t="shared" si="0"/>
        <v>0</v>
      </c>
    </row>
    <row r="20" spans="1:6" x14ac:dyDescent="0.25">
      <c r="A20" s="2">
        <v>15</v>
      </c>
      <c r="B20" s="32"/>
      <c r="C20" s="2"/>
      <c r="D20" s="2"/>
      <c r="E20" s="2"/>
      <c r="F20" s="34">
        <f t="shared" si="0"/>
        <v>0</v>
      </c>
    </row>
    <row r="21" spans="1:6" x14ac:dyDescent="0.25">
      <c r="A21" s="2">
        <v>16</v>
      </c>
      <c r="B21" s="32"/>
      <c r="C21" s="2"/>
      <c r="D21" s="2"/>
      <c r="E21" s="2"/>
      <c r="F21" s="34">
        <f t="shared" si="0"/>
        <v>0</v>
      </c>
    </row>
    <row r="22" spans="1:6" x14ac:dyDescent="0.25">
      <c r="A22" s="2">
        <v>17</v>
      </c>
      <c r="B22" s="32"/>
      <c r="C22" s="2"/>
      <c r="D22" s="2"/>
      <c r="E22" s="2"/>
      <c r="F22" s="34">
        <f t="shared" si="0"/>
        <v>0</v>
      </c>
    </row>
    <row r="23" spans="1:6" x14ac:dyDescent="0.25">
      <c r="A23" s="2">
        <v>18</v>
      </c>
      <c r="B23" s="32"/>
      <c r="C23" s="2"/>
      <c r="D23" s="2"/>
      <c r="E23" s="2"/>
      <c r="F23" s="34">
        <f t="shared" si="0"/>
        <v>0</v>
      </c>
    </row>
    <row r="24" spans="1:6" x14ac:dyDescent="0.25">
      <c r="A24" s="2">
        <v>19</v>
      </c>
      <c r="B24" s="32"/>
      <c r="C24" s="2"/>
      <c r="D24" s="2"/>
      <c r="E24" s="2"/>
      <c r="F24" s="34">
        <f t="shared" si="0"/>
        <v>0</v>
      </c>
    </row>
    <row r="25" spans="1:6" x14ac:dyDescent="0.25">
      <c r="A25" s="2">
        <v>20</v>
      </c>
      <c r="B25" s="32"/>
      <c r="C25" s="2"/>
      <c r="D25" s="2"/>
      <c r="E25" s="2"/>
      <c r="F25" s="34">
        <f t="shared" si="0"/>
        <v>0</v>
      </c>
    </row>
    <row r="26" spans="1:6" x14ac:dyDescent="0.25">
      <c r="A26" s="2">
        <v>21</v>
      </c>
      <c r="B26" s="32"/>
      <c r="C26" s="2"/>
      <c r="D26" s="2"/>
      <c r="E26" s="2"/>
      <c r="F26" s="34">
        <f t="shared" si="0"/>
        <v>0</v>
      </c>
    </row>
    <row r="27" spans="1:6" x14ac:dyDescent="0.25">
      <c r="A27" s="2">
        <v>22</v>
      </c>
      <c r="B27" s="32"/>
      <c r="C27" s="2"/>
      <c r="D27" s="2"/>
      <c r="E27" s="2"/>
      <c r="F27" s="34">
        <f t="shared" si="0"/>
        <v>0</v>
      </c>
    </row>
    <row r="28" spans="1:6" x14ac:dyDescent="0.25">
      <c r="A28" s="2">
        <v>23</v>
      </c>
      <c r="B28" s="2"/>
      <c r="C28" s="2"/>
      <c r="D28" s="2"/>
      <c r="E28" s="2"/>
      <c r="F28" s="34">
        <f t="shared" si="0"/>
        <v>0</v>
      </c>
    </row>
    <row r="29" spans="1:6" x14ac:dyDescent="0.25">
      <c r="A29" s="2">
        <v>24</v>
      </c>
      <c r="B29" s="32"/>
      <c r="C29" s="2"/>
      <c r="D29" s="2"/>
      <c r="E29" s="2"/>
      <c r="F29" s="34">
        <f t="shared" si="0"/>
        <v>0</v>
      </c>
    </row>
    <row r="30" spans="1:6" x14ac:dyDescent="0.25">
      <c r="A30" s="2">
        <v>25</v>
      </c>
      <c r="B30" s="32"/>
      <c r="C30" s="2"/>
      <c r="D30" s="2"/>
      <c r="E30" s="2"/>
      <c r="F30" s="34">
        <f t="shared" si="0"/>
        <v>0</v>
      </c>
    </row>
    <row r="31" spans="1:6" x14ac:dyDescent="0.25">
      <c r="A31" s="2">
        <v>26</v>
      </c>
      <c r="B31" s="32"/>
      <c r="C31" s="2"/>
      <c r="D31" s="2"/>
      <c r="E31" s="2"/>
      <c r="F31" s="34">
        <f t="shared" si="0"/>
        <v>0</v>
      </c>
    </row>
    <row r="32" spans="1:6" x14ac:dyDescent="0.25">
      <c r="A32" s="2">
        <v>27</v>
      </c>
      <c r="B32" s="32"/>
      <c r="C32" s="2"/>
      <c r="D32" s="2"/>
      <c r="E32" s="2"/>
      <c r="F32" s="34">
        <f t="shared" si="0"/>
        <v>0</v>
      </c>
    </row>
    <row r="33" spans="1:6" x14ac:dyDescent="0.25">
      <c r="A33" s="19">
        <v>28</v>
      </c>
      <c r="B33" s="19"/>
      <c r="C33" s="19"/>
      <c r="D33" s="19"/>
      <c r="E33" s="19"/>
      <c r="F33" s="34">
        <f t="shared" si="0"/>
        <v>0</v>
      </c>
    </row>
    <row r="34" spans="1:6" x14ac:dyDescent="0.25">
      <c r="A34" s="19">
        <v>29</v>
      </c>
      <c r="B34" s="35"/>
      <c r="C34" s="19"/>
      <c r="D34" s="19"/>
      <c r="E34" s="19"/>
      <c r="F34" s="34">
        <f t="shared" si="0"/>
        <v>0</v>
      </c>
    </row>
    <row r="35" spans="1:6" x14ac:dyDescent="0.25">
      <c r="A35" s="19"/>
      <c r="B35" s="35"/>
      <c r="C35" s="19"/>
      <c r="D35" s="19"/>
      <c r="E35" s="19"/>
      <c r="F35" s="34">
        <f t="shared" si="0"/>
        <v>0</v>
      </c>
    </row>
    <row r="36" spans="1:6" x14ac:dyDescent="0.25">
      <c r="A36" s="1" t="s">
        <v>30</v>
      </c>
      <c r="B36" s="1"/>
      <c r="C36" s="1"/>
      <c r="D36" s="5">
        <f>SUM(D7:D35)</f>
        <v>710</v>
      </c>
      <c r="E36" s="1"/>
      <c r="F36" s="38">
        <f>SUM(F7:F35)</f>
        <v>2130</v>
      </c>
    </row>
  </sheetData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8"/>
  <sheetViews>
    <sheetView topLeftCell="A4" workbookViewId="0">
      <selection activeCell="D18" sqref="D18"/>
    </sheetView>
  </sheetViews>
  <sheetFormatPr defaultRowHeight="15" x14ac:dyDescent="0.25"/>
  <cols>
    <col min="1" max="1" width="15.7109375" style="41" customWidth="1"/>
    <col min="2" max="13" width="15.7109375" customWidth="1"/>
    <col min="14" max="14" width="14.42578125" style="40" customWidth="1"/>
  </cols>
  <sheetData>
    <row r="2" spans="1:14" ht="18.75" x14ac:dyDescent="0.3">
      <c r="B2" s="42" t="s">
        <v>106</v>
      </c>
      <c r="C2" s="42"/>
      <c r="D2" s="42"/>
      <c r="E2" s="42"/>
      <c r="F2" s="42"/>
      <c r="G2" s="42"/>
      <c r="H2" s="42"/>
      <c r="I2" s="42"/>
      <c r="J2" s="42"/>
    </row>
    <row r="3" spans="1:14" x14ac:dyDescent="0.25">
      <c r="A3" s="5">
        <v>2021</v>
      </c>
      <c r="B3" s="5" t="s">
        <v>94</v>
      </c>
      <c r="C3" s="5" t="s">
        <v>95</v>
      </c>
      <c r="D3" s="5" t="s">
        <v>96</v>
      </c>
      <c r="E3" s="5" t="s">
        <v>97</v>
      </c>
      <c r="F3" s="5" t="s">
        <v>93</v>
      </c>
      <c r="G3" s="5" t="s">
        <v>98</v>
      </c>
      <c r="H3" s="5" t="s">
        <v>99</v>
      </c>
      <c r="I3" s="5" t="s">
        <v>100</v>
      </c>
      <c r="J3" s="5" t="s">
        <v>101</v>
      </c>
      <c r="K3" s="5" t="s">
        <v>102</v>
      </c>
      <c r="L3" s="5" t="s">
        <v>103</v>
      </c>
      <c r="M3" s="5" t="s">
        <v>104</v>
      </c>
      <c r="N3" s="5" t="s">
        <v>30</v>
      </c>
    </row>
    <row r="4" spans="1:14" x14ac:dyDescent="0.25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5"/>
    </row>
    <row r="5" spans="1:14" ht="20.100000000000001" customHeight="1" x14ac:dyDescent="0.25">
      <c r="A5" s="5" t="s">
        <v>107</v>
      </c>
      <c r="B5" s="2">
        <v>370</v>
      </c>
      <c r="C5" s="2">
        <v>330</v>
      </c>
      <c r="D5" s="2">
        <v>470</v>
      </c>
      <c r="E5" s="2">
        <v>320</v>
      </c>
      <c r="F5" s="2">
        <v>750</v>
      </c>
      <c r="G5" s="2">
        <f>220+205</f>
        <v>425</v>
      </c>
      <c r="H5" s="2">
        <v>420</v>
      </c>
      <c r="I5" s="2">
        <v>280</v>
      </c>
      <c r="J5" s="2">
        <f>280+350</f>
        <v>630</v>
      </c>
      <c r="K5" s="2">
        <v>700</v>
      </c>
      <c r="L5" s="2">
        <v>820</v>
      </c>
      <c r="M5" s="2">
        <f>200+230+220+200</f>
        <v>850</v>
      </c>
      <c r="N5" s="5">
        <f>SUM(B5:M5)</f>
        <v>6365</v>
      </c>
    </row>
    <row r="6" spans="1:14" ht="20.100000000000001" customHeight="1" x14ac:dyDescent="0.25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/>
    </row>
    <row r="7" spans="1:14" ht="20.100000000000001" customHeight="1" x14ac:dyDescent="0.2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5"/>
    </row>
    <row r="8" spans="1:14" ht="20.100000000000001" customHeight="1" x14ac:dyDescent="0.25">
      <c r="A8" s="5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5"/>
    </row>
    <row r="9" spans="1:14" ht="20.100000000000001" customHeight="1" x14ac:dyDescent="0.25">
      <c r="A9" s="5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5"/>
    </row>
    <row r="10" spans="1:14" ht="20.100000000000001" customHeight="1" x14ac:dyDescent="0.25">
      <c r="A10" s="5">
        <v>2022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</row>
    <row r="11" spans="1:14" ht="20.100000000000001" customHeight="1" x14ac:dyDescent="0.25">
      <c r="A11" s="5" t="s">
        <v>105</v>
      </c>
      <c r="B11" s="2">
        <v>235</v>
      </c>
      <c r="C11" s="2">
        <v>850</v>
      </c>
      <c r="D11" s="2">
        <v>600</v>
      </c>
      <c r="E11" s="2">
        <v>200</v>
      </c>
      <c r="F11" s="2">
        <v>0</v>
      </c>
      <c r="G11" s="2">
        <v>538</v>
      </c>
      <c r="H11" s="2">
        <v>162</v>
      </c>
      <c r="I11" s="2">
        <v>100</v>
      </c>
      <c r="J11" s="2">
        <v>400</v>
      </c>
      <c r="K11" s="2">
        <v>560</v>
      </c>
      <c r="L11" s="2">
        <v>400</v>
      </c>
      <c r="M11" s="2">
        <v>400</v>
      </c>
      <c r="N11" s="5">
        <f>SUM(B11:M11)</f>
        <v>4445</v>
      </c>
    </row>
    <row r="12" spans="1:14" ht="20.100000000000001" customHeight="1" x14ac:dyDescent="0.25">
      <c r="A12" s="5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5"/>
    </row>
    <row r="13" spans="1:14" ht="20.100000000000001" customHeight="1" x14ac:dyDescent="0.25">
      <c r="A13" s="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</row>
    <row r="14" spans="1:14" ht="20.100000000000001" customHeight="1" x14ac:dyDescent="0.25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5"/>
    </row>
    <row r="15" spans="1:14" ht="20.100000000000001" customHeight="1" x14ac:dyDescent="0.25">
      <c r="A15" s="5">
        <v>2023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"/>
    </row>
    <row r="16" spans="1:14" ht="20.100000000000001" customHeight="1" x14ac:dyDescent="0.25">
      <c r="A16" s="5" t="s">
        <v>105</v>
      </c>
      <c r="B16" s="2">
        <v>510</v>
      </c>
      <c r="C16" s="2">
        <v>600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5">
        <f>SUM(B16:M16)</f>
        <v>1110</v>
      </c>
    </row>
    <row r="17" spans="1:14" ht="20.100000000000001" customHeight="1" x14ac:dyDescent="0.25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5"/>
    </row>
    <row r="18" spans="1:14" ht="20.100000000000001" customHeight="1" x14ac:dyDescent="0.25">
      <c r="A18" s="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5"/>
    </row>
    <row r="19" spans="1:14" ht="20.100000000000001" customHeight="1" x14ac:dyDescent="0.25">
      <c r="A19" s="5">
        <v>2024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5"/>
    </row>
    <row r="20" spans="1:14" ht="20.100000000000001" customHeight="1" x14ac:dyDescent="0.25">
      <c r="A20" s="5" t="s">
        <v>105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5"/>
    </row>
    <row r="21" spans="1:14" ht="20.100000000000001" customHeight="1" x14ac:dyDescent="0.25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5"/>
    </row>
    <row r="22" spans="1:14" ht="20.100000000000001" customHeight="1" x14ac:dyDescent="0.25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5"/>
    </row>
    <row r="23" spans="1:14" x14ac:dyDescent="0.25">
      <c r="A23" s="40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</row>
    <row r="24" spans="1:14" x14ac:dyDescent="0.25">
      <c r="A24" s="40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</row>
    <row r="25" spans="1:14" x14ac:dyDescent="0.25">
      <c r="A25" s="40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spans="1:14" x14ac:dyDescent="0.25">
      <c r="A26" s="4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</row>
    <row r="27" spans="1:14" x14ac:dyDescent="0.25">
      <c r="A27" s="40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spans="1:14" x14ac:dyDescent="0.25">
      <c r="A28" s="40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</sheetData>
  <mergeCells count="2">
    <mergeCell ref="B2:J2"/>
    <mergeCell ref="A4:N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A.K.CORPORATION </vt:lpstr>
      <vt:lpstr>Sheet1</vt:lpstr>
      <vt:lpstr>FEB to JUNE</vt:lpstr>
      <vt:lpstr>JULY to NOV. </vt:lpstr>
      <vt:lpstr>NOV(17) to MAR(19)</vt:lpstr>
      <vt:lpstr>EKO OIL(NEW SUPP.)</vt:lpstr>
      <vt:lpstr>UVD 2020</vt:lpstr>
      <vt:lpstr>UVD 2021</vt:lpstr>
      <vt:lpstr>UVD 2022 </vt:lpstr>
      <vt:lpstr>UVD 2023  </vt:lpstr>
      <vt:lpstr>Used oil final summary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Chandima Jayantha</dc:creator>
  <cp:lastModifiedBy>Jasper Radin</cp:lastModifiedBy>
  <cp:lastPrinted>2018-03-20T12:39:58Z</cp:lastPrinted>
  <dcterms:created xsi:type="dcterms:W3CDTF">2017-01-21T07:09:55Z</dcterms:created>
  <dcterms:modified xsi:type="dcterms:W3CDTF">2023-02-03T05:52:50Z</dcterms:modified>
</cp:coreProperties>
</file>