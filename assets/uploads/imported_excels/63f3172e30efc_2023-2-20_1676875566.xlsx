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D10" i="119" l="1"/>
  <c r="J30" i="119" l="1"/>
  <c r="J31" i="119"/>
  <c r="J32" i="119"/>
  <c r="J33" i="119"/>
  <c r="J34" i="119"/>
  <c r="H30" i="119"/>
  <c r="H31" i="119"/>
  <c r="H32" i="119"/>
  <c r="H33" i="119"/>
  <c r="H34" i="119"/>
  <c r="D30" i="119"/>
  <c r="D31" i="119"/>
  <c r="D32" i="119"/>
  <c r="D33" i="119"/>
  <c r="D34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5" i="119"/>
  <c r="I2" i="117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G26" i="117"/>
  <c r="D29" i="119"/>
  <c r="E26" i="117" s="1"/>
  <c r="J28" i="119"/>
  <c r="K25" i="117" s="1"/>
  <c r="G25" i="117"/>
  <c r="D28" i="119"/>
  <c r="E25" i="117" s="1"/>
  <c r="J27" i="119"/>
  <c r="K24" i="117" s="1"/>
  <c r="G24" i="117"/>
  <c r="D27" i="119"/>
  <c r="E24" i="117" s="1"/>
  <c r="J26" i="119"/>
  <c r="K23" i="117" s="1"/>
  <c r="G23" i="117"/>
  <c r="D26" i="119"/>
  <c r="E23" i="117" s="1"/>
  <c r="J25" i="119"/>
  <c r="K22" i="117" s="1"/>
  <c r="G22" i="117"/>
  <c r="D25" i="119"/>
  <c r="E22" i="117" s="1"/>
  <c r="J24" i="119"/>
  <c r="K21" i="117" s="1"/>
  <c r="G21" i="117"/>
  <c r="D24" i="119"/>
  <c r="E21" i="117" s="1"/>
  <c r="J23" i="119"/>
  <c r="K20" i="117" s="1"/>
  <c r="G20" i="117"/>
  <c r="D23" i="119"/>
  <c r="E20" i="117" s="1"/>
  <c r="J22" i="119"/>
  <c r="K19" i="117" s="1"/>
  <c r="G19" i="117"/>
  <c r="D22" i="119"/>
  <c r="E19" i="117" s="1"/>
  <c r="J21" i="119"/>
  <c r="K18" i="117" s="1"/>
  <c r="G18" i="117"/>
  <c r="D21" i="119"/>
  <c r="E18" i="117" s="1"/>
  <c r="J20" i="119"/>
  <c r="K17" i="117" s="1"/>
  <c r="G17" i="117"/>
  <c r="D20" i="119"/>
  <c r="E17" i="117" s="1"/>
  <c r="J19" i="119"/>
  <c r="K16" i="117" s="1"/>
  <c r="G16" i="117"/>
  <c r="D19" i="119"/>
  <c r="E16" i="117" s="1"/>
  <c r="J18" i="119"/>
  <c r="K15" i="117" s="1"/>
  <c r="G15" i="117"/>
  <c r="D18" i="119"/>
  <c r="E15" i="117" s="1"/>
  <c r="J17" i="119"/>
  <c r="K14" i="117" s="1"/>
  <c r="G14" i="117"/>
  <c r="D17" i="119"/>
  <c r="E14" i="117" s="1"/>
  <c r="J16" i="119"/>
  <c r="K13" i="117" s="1"/>
  <c r="G13" i="117"/>
  <c r="D16" i="119"/>
  <c r="E13" i="117" s="1"/>
  <c r="J15" i="119"/>
  <c r="K12" i="117" s="1"/>
  <c r="G12" i="117"/>
  <c r="D15" i="119"/>
  <c r="E12" i="117" s="1"/>
  <c r="J14" i="119"/>
  <c r="K11" i="117" s="1"/>
  <c r="G11" i="117"/>
  <c r="D14" i="119"/>
  <c r="E11" i="117" s="1"/>
  <c r="J13" i="119"/>
  <c r="K10" i="117" s="1"/>
  <c r="G10" i="117"/>
  <c r="D13" i="119"/>
  <c r="E10" i="117" s="1"/>
  <c r="J12" i="119"/>
  <c r="K9" i="117" s="1"/>
  <c r="G9" i="117"/>
  <c r="D12" i="119"/>
  <c r="E9" i="117" s="1"/>
  <c r="J11" i="119"/>
  <c r="K8" i="117" s="1"/>
  <c r="G8" i="117"/>
  <c r="D11" i="119"/>
  <c r="E8" i="117" s="1"/>
  <c r="J10" i="119"/>
  <c r="K7" i="117" s="1"/>
  <c r="G7" i="117"/>
  <c r="E7" i="117"/>
  <c r="J9" i="119"/>
  <c r="K6" i="117" s="1"/>
  <c r="G6" i="117"/>
  <c r="D9" i="119"/>
  <c r="E6" i="117" s="1"/>
  <c r="J8" i="119"/>
  <c r="K5" i="117" s="1"/>
  <c r="G5" i="117"/>
  <c r="D8" i="119"/>
  <c r="E5" i="117" s="1"/>
  <c r="J7" i="119"/>
  <c r="K4" i="117" s="1"/>
  <c r="G4" i="117"/>
  <c r="D7" i="119"/>
  <c r="E4" i="117" s="1"/>
  <c r="J6" i="119"/>
  <c r="K3" i="117" s="1"/>
  <c r="G3" i="117"/>
  <c r="D6" i="119"/>
  <c r="E3" i="117" s="1"/>
  <c r="J5" i="119"/>
  <c r="K2" i="117" s="1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<sst xmlns="http://schemas.openxmlformats.org/spreadsheetml/2006/main" count="60" uniqueCount="29">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</sst>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165" fontId="2" fillId="0" borderId="0" xfId="11" applyNumberForma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A2" sqref="A2:A31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9" max="9" width="10.5703125" bestFit="1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11</v>
      </c>
      <c r="D2" s="7">
        <v>2021</v>
      </c>
      <c r="E2" s="9">
        <f>'Macao Daily'!D5</f>
        <v>30155</v>
      </c>
      <c r="F2" s="37">
        <v>1.2024999999999999</v>
      </c>
      <c r="G2" s="9">
        <f>'Macao Daily'!F5</f>
        <v>4</v>
      </c>
      <c r="H2" s="37">
        <v>5.0441168441168447</v>
      </c>
      <c r="I2" s="9">
        <f>'Macao Daily'!H5</f>
        <v>51472</v>
      </c>
      <c r="J2" s="37">
        <v>0.24</v>
      </c>
      <c r="K2" s="9">
        <f>'Macao Daily'!J5</f>
        <v>144</v>
      </c>
      <c r="L2" s="37">
        <v>7.7618999999999998</v>
      </c>
      <c r="M2" s="9">
        <f>'Macao Daily'!K5</f>
        <v>109</v>
      </c>
      <c r="N2" s="9">
        <f>'Macao Daily'!L5</f>
        <v>251</v>
      </c>
    </row>
    <row r="3" spans="1:14" ht="15" x14ac:dyDescent="0.25">
      <c r="A3" s="6" t="s">
        <v>28</v>
      </c>
      <c r="B3" s="7">
        <f>B2+1</f>
        <v>2</v>
      </c>
      <c r="C3" s="8">
        <v>11</v>
      </c>
      <c r="D3" s="7">
        <v>2021</v>
      </c>
      <c r="E3" s="9">
        <f>'Macao Daily'!D6</f>
        <v>29858</v>
      </c>
      <c r="F3" s="37">
        <v>1.2024999999999999</v>
      </c>
      <c r="G3" s="9">
        <f>'Macao Daily'!F6</f>
        <v>3</v>
      </c>
      <c r="H3" s="37">
        <v>5.0441168441168447</v>
      </c>
      <c r="I3" s="9">
        <f>'Macao Daily'!H6</f>
        <v>58208</v>
      </c>
      <c r="J3" s="37">
        <v>0.24</v>
      </c>
      <c r="K3" s="9">
        <f>'Macao Daily'!J6</f>
        <v>167</v>
      </c>
      <c r="L3" s="37">
        <v>7.7618999999999998</v>
      </c>
      <c r="M3" s="9">
        <f>'Macao Daily'!K6</f>
        <v>103</v>
      </c>
      <c r="N3" s="9">
        <f>'Macao Daily'!L6</f>
        <v>294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11</v>
      </c>
      <c r="D4" s="7">
        <v>2021</v>
      </c>
      <c r="E4" s="9">
        <f>'Macao Daily'!D7</f>
        <v>28769</v>
      </c>
      <c r="F4" s="37">
        <v>1.2024999999999999</v>
      </c>
      <c r="G4" s="9">
        <f>'Macao Daily'!F7</f>
        <v>2</v>
      </c>
      <c r="H4" s="37">
        <v>5.0441168441168447</v>
      </c>
      <c r="I4" s="9">
        <f>'Macao Daily'!H7</f>
        <v>56240</v>
      </c>
      <c r="J4" s="37">
        <v>0.24</v>
      </c>
      <c r="K4" s="9">
        <f>'Macao Daily'!J7</f>
        <v>136</v>
      </c>
      <c r="L4" s="37">
        <v>7.7618999999999998</v>
      </c>
      <c r="M4" s="9">
        <f>'Macao Daily'!K7</f>
        <v>99</v>
      </c>
      <c r="N4" s="9">
        <f>'Macao Daily'!L7</f>
        <v>175</v>
      </c>
    </row>
    <row r="5" spans="1:14" ht="15" x14ac:dyDescent="0.25">
      <c r="A5" s="6" t="s">
        <v>28</v>
      </c>
      <c r="B5" s="7">
        <f t="shared" si="0"/>
        <v>4</v>
      </c>
      <c r="C5" s="8">
        <v>11</v>
      </c>
      <c r="D5" s="7">
        <v>2021</v>
      </c>
      <c r="E5" s="9">
        <f>'Macao Daily'!D8</f>
        <v>26575</v>
      </c>
      <c r="F5" s="37">
        <v>1.2024999999999999</v>
      </c>
      <c r="G5" s="9">
        <f>'Macao Daily'!F8</f>
        <v>3</v>
      </c>
      <c r="H5" s="37">
        <v>5.0441168441168447</v>
      </c>
      <c r="I5" s="9">
        <f>'Macao Daily'!H8</f>
        <v>56720</v>
      </c>
      <c r="J5" s="37">
        <v>0.24</v>
      </c>
      <c r="K5" s="9">
        <f>'Macao Daily'!J8</f>
        <v>176</v>
      </c>
      <c r="L5" s="37">
        <v>7.7618999999999998</v>
      </c>
      <c r="M5" s="9">
        <f>'Macao Daily'!K8</f>
        <v>119</v>
      </c>
      <c r="N5" s="9">
        <f>'Macao Daily'!L8</f>
        <v>162</v>
      </c>
    </row>
    <row r="6" spans="1:14" ht="15" x14ac:dyDescent="0.25">
      <c r="A6" s="6" t="s">
        <v>28</v>
      </c>
      <c r="B6" s="7">
        <f t="shared" si="0"/>
        <v>5</v>
      </c>
      <c r="C6" s="8">
        <v>11</v>
      </c>
      <c r="D6" s="7">
        <v>2021</v>
      </c>
      <c r="E6" s="9">
        <f>'Macao Daily'!D9</f>
        <v>30613</v>
      </c>
      <c r="F6" s="37">
        <v>1.2024999999999999</v>
      </c>
      <c r="G6" s="9">
        <f>'Macao Daily'!F9</f>
        <v>4</v>
      </c>
      <c r="H6" s="37">
        <v>5.0441168441168447</v>
      </c>
      <c r="I6" s="9">
        <f>'Macao Daily'!H9</f>
        <v>64160</v>
      </c>
      <c r="J6" s="37">
        <v>0.24</v>
      </c>
      <c r="K6" s="9">
        <f>'Macao Daily'!J9</f>
        <v>214</v>
      </c>
      <c r="L6" s="37">
        <v>7.7618999999999998</v>
      </c>
      <c r="M6" s="9">
        <f>'Macao Daily'!K9</f>
        <v>159</v>
      </c>
      <c r="N6" s="9">
        <f>'Macao Daily'!L9</f>
        <v>593</v>
      </c>
    </row>
    <row r="7" spans="1:14" ht="15" x14ac:dyDescent="0.25">
      <c r="A7" s="6" t="s">
        <v>28</v>
      </c>
      <c r="B7" s="7">
        <f t="shared" si="0"/>
        <v>6</v>
      </c>
      <c r="C7" s="8">
        <v>11</v>
      </c>
      <c r="D7" s="7">
        <v>2021</v>
      </c>
      <c r="E7" s="9">
        <f>'Macao Daily'!D10</f>
        <v>28650</v>
      </c>
      <c r="F7" s="37">
        <v>1.2024999999999999</v>
      </c>
      <c r="G7" s="9">
        <f>'Macao Daily'!F10</f>
        <v>4</v>
      </c>
      <c r="H7" s="37">
        <v>5.0441168441168447</v>
      </c>
      <c r="I7" s="9">
        <f>'Macao Daily'!H10</f>
        <v>68112</v>
      </c>
      <c r="J7" s="37">
        <v>0.24</v>
      </c>
      <c r="K7" s="9">
        <f>'Macao Daily'!J10</f>
        <v>159</v>
      </c>
      <c r="L7" s="37">
        <v>7.7618999999999998</v>
      </c>
      <c r="M7" s="9">
        <f>'Macao Daily'!K10</f>
        <v>170</v>
      </c>
      <c r="N7" s="9">
        <f>'Macao Daily'!L10</f>
        <v>382</v>
      </c>
    </row>
    <row r="8" spans="1:14" ht="15" x14ac:dyDescent="0.25">
      <c r="A8" s="6" t="s">
        <v>28</v>
      </c>
      <c r="B8" s="7">
        <f t="shared" si="0"/>
        <v>7</v>
      </c>
      <c r="C8" s="8">
        <v>11</v>
      </c>
      <c r="D8" s="7">
        <v>2021</v>
      </c>
      <c r="E8" s="9">
        <f>'Macao Daily'!D11</f>
        <v>28686</v>
      </c>
      <c r="F8" s="37">
        <v>1.2024999999999999</v>
      </c>
      <c r="G8" s="9">
        <f>'Macao Daily'!F11</f>
        <v>3</v>
      </c>
      <c r="H8" s="37">
        <v>5.0441168441168447</v>
      </c>
      <c r="I8" s="9">
        <f>'Macao Daily'!H11</f>
        <v>68112</v>
      </c>
      <c r="J8" s="37">
        <v>0.24</v>
      </c>
      <c r="K8" s="9">
        <f>'Macao Daily'!J11</f>
        <v>158</v>
      </c>
      <c r="L8" s="37">
        <v>7.7618999999999998</v>
      </c>
      <c r="M8" s="9">
        <f>'Macao Daily'!K11</f>
        <v>124</v>
      </c>
      <c r="N8" s="9">
        <f>'Macao Daily'!L11</f>
        <v>504</v>
      </c>
    </row>
    <row r="9" spans="1:14" ht="15" x14ac:dyDescent="0.25">
      <c r="A9" s="6" t="s">
        <v>28</v>
      </c>
      <c r="B9" s="7">
        <f t="shared" si="0"/>
        <v>8</v>
      </c>
      <c r="C9" s="8">
        <v>11</v>
      </c>
      <c r="D9" s="7">
        <v>2021</v>
      </c>
      <c r="E9" s="9">
        <f>'Macao Daily'!D12</f>
        <v>30639</v>
      </c>
      <c r="F9" s="37">
        <v>1.2024999999999999</v>
      </c>
      <c r="G9" s="9">
        <f>'Macao Daily'!F12</f>
        <v>4</v>
      </c>
      <c r="H9" s="37">
        <v>5.0441168441168447</v>
      </c>
      <c r="I9" s="9">
        <f>'Macao Daily'!H12</f>
        <v>37760</v>
      </c>
      <c r="J9" s="37">
        <v>0.24</v>
      </c>
      <c r="K9" s="9">
        <f>'Macao Daily'!J12</f>
        <v>207</v>
      </c>
      <c r="L9" s="37">
        <v>7.7618999999999998</v>
      </c>
      <c r="M9" s="9">
        <f>'Macao Daily'!K12</f>
        <v>91</v>
      </c>
      <c r="N9" s="9">
        <f>'Macao Daily'!L12</f>
        <v>181</v>
      </c>
    </row>
    <row r="10" spans="1:14" ht="15" x14ac:dyDescent="0.25">
      <c r="A10" s="6" t="s">
        <v>28</v>
      </c>
      <c r="B10" s="7">
        <f t="shared" si="0"/>
        <v>9</v>
      </c>
      <c r="C10" s="8">
        <v>11</v>
      </c>
      <c r="D10" s="7">
        <v>2021</v>
      </c>
      <c r="E10" s="9">
        <f>'Macao Daily'!D13</f>
        <v>31292</v>
      </c>
      <c r="F10" s="37">
        <v>1.2024999999999999</v>
      </c>
      <c r="G10" s="9">
        <f>'Macao Daily'!F13</f>
        <v>4</v>
      </c>
      <c r="H10" s="37">
        <v>5.0441168441168447</v>
      </c>
      <c r="I10" s="9">
        <f>'Macao Daily'!H13</f>
        <v>21568</v>
      </c>
      <c r="J10" s="37">
        <v>0.24</v>
      </c>
      <c r="K10" s="9">
        <f>'Macao Daily'!J13</f>
        <v>204</v>
      </c>
      <c r="L10" s="37">
        <v>7.7618999999999998</v>
      </c>
      <c r="M10" s="9">
        <f>'Macao Daily'!K13</f>
        <v>108</v>
      </c>
      <c r="N10" s="9">
        <f>'Macao Daily'!L13</f>
        <v>213</v>
      </c>
    </row>
    <row r="11" spans="1:14" ht="15" x14ac:dyDescent="0.25">
      <c r="A11" s="6" t="s">
        <v>28</v>
      </c>
      <c r="B11" s="7">
        <f t="shared" si="0"/>
        <v>10</v>
      </c>
      <c r="C11" s="8">
        <v>11</v>
      </c>
      <c r="D11" s="7">
        <v>2021</v>
      </c>
      <c r="E11" s="9">
        <f>'Macao Daily'!D14</f>
        <v>30803</v>
      </c>
      <c r="F11" s="37">
        <v>1.2024999999999999</v>
      </c>
      <c r="G11" s="9">
        <f>'Macao Daily'!F14</f>
        <v>2</v>
      </c>
      <c r="H11" s="37">
        <v>5.0441168441168447</v>
      </c>
      <c r="I11" s="9">
        <f>'Macao Daily'!H14</f>
        <v>23440</v>
      </c>
      <c r="J11" s="37">
        <v>0.24</v>
      </c>
      <c r="K11" s="9">
        <f>'Macao Daily'!J14</f>
        <v>196</v>
      </c>
      <c r="L11" s="37">
        <v>7.7618999999999998</v>
      </c>
      <c r="M11" s="9">
        <f>'Macao Daily'!K14</f>
        <v>111</v>
      </c>
      <c r="N11" s="9">
        <f>'Macao Daily'!L14</f>
        <v>184</v>
      </c>
    </row>
    <row r="12" spans="1:14" ht="15" x14ac:dyDescent="0.25">
      <c r="A12" s="6" t="s">
        <v>28</v>
      </c>
      <c r="B12" s="7">
        <f t="shared" si="0"/>
        <v>11</v>
      </c>
      <c r="C12" s="8">
        <v>11</v>
      </c>
      <c r="D12" s="7">
        <v>2021</v>
      </c>
      <c r="E12" s="9">
        <f>'Macao Daily'!D15</f>
        <v>30602</v>
      </c>
      <c r="F12" s="37">
        <v>1.2024999999999999</v>
      </c>
      <c r="G12" s="9">
        <f>'Macao Daily'!F15</f>
        <v>3</v>
      </c>
      <c r="H12" s="37">
        <v>5.0441168441168447</v>
      </c>
      <c r="I12" s="9">
        <f>'Macao Daily'!H15</f>
        <v>25568</v>
      </c>
      <c r="J12" s="37">
        <v>0.24</v>
      </c>
      <c r="K12" s="9">
        <f>'Macao Daily'!J15</f>
        <v>200</v>
      </c>
      <c r="L12" s="37">
        <v>7.7618999999999998</v>
      </c>
      <c r="M12" s="9">
        <f>'Macao Daily'!K15</f>
        <v>115</v>
      </c>
      <c r="N12" s="9">
        <f>'Macao Daily'!L15</f>
        <v>174</v>
      </c>
    </row>
    <row r="13" spans="1:14" ht="15" x14ac:dyDescent="0.25">
      <c r="A13" s="6" t="s">
        <v>28</v>
      </c>
      <c r="B13" s="7">
        <f t="shared" si="0"/>
        <v>12</v>
      </c>
      <c r="C13" s="8">
        <v>11</v>
      </c>
      <c r="D13" s="7">
        <v>2021</v>
      </c>
      <c r="E13" s="9">
        <f>'Macao Daily'!D16</f>
        <v>32576</v>
      </c>
      <c r="F13" s="37">
        <v>1.2024999999999999</v>
      </c>
      <c r="G13" s="9">
        <f>'Macao Daily'!F16</f>
        <v>2</v>
      </c>
      <c r="H13" s="37">
        <v>5.0441168441168447</v>
      </c>
      <c r="I13" s="9">
        <f>'Macao Daily'!H16</f>
        <v>31264</v>
      </c>
      <c r="J13" s="37">
        <v>0.24</v>
      </c>
      <c r="K13" s="9">
        <f>'Macao Daily'!J16</f>
        <v>199</v>
      </c>
      <c r="L13" s="37">
        <v>7.7618999999999998</v>
      </c>
      <c r="M13" s="9">
        <f>'Macao Daily'!K16</f>
        <v>162</v>
      </c>
      <c r="N13" s="9">
        <f>'Macao Daily'!L16</f>
        <v>463</v>
      </c>
    </row>
    <row r="14" spans="1:14" ht="15" x14ac:dyDescent="0.25">
      <c r="A14" s="6" t="s">
        <v>28</v>
      </c>
      <c r="B14" s="7">
        <f t="shared" si="0"/>
        <v>13</v>
      </c>
      <c r="C14" s="8">
        <v>11</v>
      </c>
      <c r="D14" s="7">
        <v>2021</v>
      </c>
      <c r="E14" s="9">
        <f>'Macao Daily'!D17</f>
        <v>28250</v>
      </c>
      <c r="F14" s="37">
        <v>1.2024999999999999</v>
      </c>
      <c r="G14" s="9">
        <f>'Macao Daily'!F17</f>
        <v>4</v>
      </c>
      <c r="H14" s="37">
        <v>5.0441168441168447</v>
      </c>
      <c r="I14" s="9">
        <f>'Macao Daily'!H17</f>
        <v>24064</v>
      </c>
      <c r="J14" s="37">
        <v>0.24</v>
      </c>
      <c r="K14" s="9">
        <f>'Macao Daily'!J17</f>
        <v>185</v>
      </c>
      <c r="L14" s="37">
        <v>7.7618999999999998</v>
      </c>
      <c r="M14" s="9">
        <f>'Macao Daily'!K17</f>
        <v>175</v>
      </c>
      <c r="N14" s="9">
        <f>'Macao Daily'!L17</f>
        <v>700</v>
      </c>
    </row>
    <row r="15" spans="1:14" ht="15" x14ac:dyDescent="0.25">
      <c r="A15" s="6" t="s">
        <v>28</v>
      </c>
      <c r="B15" s="7">
        <f t="shared" si="0"/>
        <v>14</v>
      </c>
      <c r="C15" s="8">
        <v>11</v>
      </c>
      <c r="D15" s="7">
        <v>2021</v>
      </c>
      <c r="E15" s="9">
        <f>'Macao Daily'!D18</f>
        <v>32441</v>
      </c>
      <c r="F15" s="37">
        <v>1.2024999999999999</v>
      </c>
      <c r="G15" s="9">
        <f>'Macao Daily'!F18</f>
        <v>3</v>
      </c>
      <c r="H15" s="37">
        <v>5.0441168441168447</v>
      </c>
      <c r="I15" s="9">
        <f>'Macao Daily'!H18</f>
        <v>29344</v>
      </c>
      <c r="J15" s="37">
        <v>0.24</v>
      </c>
      <c r="K15" s="9">
        <f>'Macao Daily'!J18</f>
        <v>193</v>
      </c>
      <c r="L15" s="37">
        <v>7.7618999999999998</v>
      </c>
      <c r="M15" s="9">
        <f>'Macao Daily'!K18</f>
        <v>174</v>
      </c>
      <c r="N15" s="9">
        <f>'Macao Daily'!L18</f>
        <v>798</v>
      </c>
    </row>
    <row r="16" spans="1:14" ht="15" x14ac:dyDescent="0.25">
      <c r="A16" s="6" t="s">
        <v>28</v>
      </c>
      <c r="B16" s="7">
        <f t="shared" si="0"/>
        <v>15</v>
      </c>
      <c r="C16" s="8">
        <v>11</v>
      </c>
      <c r="D16" s="7">
        <v>2021</v>
      </c>
      <c r="E16" s="9">
        <f>'Macao Daily'!D19</f>
        <v>30373</v>
      </c>
      <c r="F16" s="37">
        <v>1.2024999999999999</v>
      </c>
      <c r="G16" s="9">
        <f>'Macao Daily'!F19</f>
        <v>3</v>
      </c>
      <c r="H16" s="37">
        <v>5.0441168441168447</v>
      </c>
      <c r="I16" s="9">
        <f>'Macao Daily'!H19</f>
        <v>31216</v>
      </c>
      <c r="J16" s="37">
        <v>0.24</v>
      </c>
      <c r="K16" s="9">
        <f>'Macao Daily'!J19</f>
        <v>187</v>
      </c>
      <c r="L16" s="37">
        <v>7.7618999999999998</v>
      </c>
      <c r="M16" s="9">
        <f>'Macao Daily'!K19</f>
        <v>128</v>
      </c>
      <c r="N16" s="9">
        <f>'Macao Daily'!L19</f>
        <v>490</v>
      </c>
    </row>
    <row r="17" spans="1:14" ht="15" x14ac:dyDescent="0.25">
      <c r="A17" s="6" t="s">
        <v>28</v>
      </c>
      <c r="B17" s="7">
        <f t="shared" si="0"/>
        <v>16</v>
      </c>
      <c r="C17" s="8">
        <v>11</v>
      </c>
      <c r="D17" s="7">
        <v>2021</v>
      </c>
      <c r="E17" s="9">
        <f>'Macao Daily'!D20</f>
        <v>30656</v>
      </c>
      <c r="F17" s="37">
        <v>1.2024999999999999</v>
      </c>
      <c r="G17" s="9">
        <f>'Macao Daily'!F20</f>
        <v>3</v>
      </c>
      <c r="H17" s="37">
        <v>5.0441168441168447</v>
      </c>
      <c r="I17" s="9">
        <f>'Macao Daily'!H20</f>
        <v>33344</v>
      </c>
      <c r="J17" s="37">
        <v>0.24</v>
      </c>
      <c r="K17" s="9">
        <f>'Macao Daily'!J20</f>
        <v>159</v>
      </c>
      <c r="L17" s="37">
        <v>7.7618999999999998</v>
      </c>
      <c r="M17" s="9">
        <f>'Macao Daily'!K20</f>
        <v>130</v>
      </c>
      <c r="N17" s="9">
        <f>'Macao Daily'!L20</f>
        <v>226</v>
      </c>
    </row>
    <row r="18" spans="1:14" ht="15" x14ac:dyDescent="0.25">
      <c r="A18" s="6" t="s">
        <v>28</v>
      </c>
      <c r="B18" s="7">
        <f t="shared" si="0"/>
        <v>17</v>
      </c>
      <c r="C18" s="8">
        <v>11</v>
      </c>
      <c r="D18" s="7">
        <v>2021</v>
      </c>
      <c r="E18" s="9">
        <f>'Macao Daily'!D21</f>
        <v>31091</v>
      </c>
      <c r="F18" s="37">
        <v>1.2024999999999999</v>
      </c>
      <c r="G18" s="9">
        <f>'Macao Daily'!F21</f>
        <v>5</v>
      </c>
      <c r="H18" s="37">
        <v>5.0441168441168447</v>
      </c>
      <c r="I18" s="9">
        <f>'Macao Daily'!H21</f>
        <v>38192</v>
      </c>
      <c r="J18" s="37">
        <v>0.24</v>
      </c>
      <c r="K18" s="9">
        <f>'Macao Daily'!J21</f>
        <v>200</v>
      </c>
      <c r="L18" s="37">
        <v>7.7618999999999998</v>
      </c>
      <c r="M18" s="9">
        <f>'Macao Daily'!K21</f>
        <v>136</v>
      </c>
      <c r="N18" s="9">
        <f>'Macao Daily'!L21</f>
        <v>183</v>
      </c>
    </row>
    <row r="19" spans="1:14" ht="15" x14ac:dyDescent="0.25">
      <c r="A19" s="6" t="s">
        <v>28</v>
      </c>
      <c r="B19" s="7">
        <f t="shared" si="0"/>
        <v>18</v>
      </c>
      <c r="C19" s="8">
        <v>11</v>
      </c>
      <c r="D19" s="7">
        <v>2021</v>
      </c>
      <c r="E19" s="9">
        <f>'Macao Daily'!D22</f>
        <v>30639</v>
      </c>
      <c r="F19" s="37">
        <v>1.2024999999999999</v>
      </c>
      <c r="G19" s="9">
        <f>'Macao Daily'!F22</f>
        <v>2</v>
      </c>
      <c r="H19" s="37">
        <v>5.0441168441168447</v>
      </c>
      <c r="I19" s="9">
        <f>'Macao Daily'!H22</f>
        <v>30304</v>
      </c>
      <c r="J19" s="37">
        <v>0.24</v>
      </c>
      <c r="K19" s="9">
        <f>'Macao Daily'!J22</f>
        <v>159</v>
      </c>
      <c r="L19" s="37">
        <v>7.7618999999999998</v>
      </c>
      <c r="M19" s="9">
        <f>'Macao Daily'!K22</f>
        <v>149</v>
      </c>
      <c r="N19" s="9">
        <f>'Macao Daily'!L22</f>
        <v>165</v>
      </c>
    </row>
    <row r="20" spans="1:14" ht="15" x14ac:dyDescent="0.25">
      <c r="A20" s="6" t="s">
        <v>28</v>
      </c>
      <c r="B20" s="7">
        <f t="shared" si="0"/>
        <v>19</v>
      </c>
      <c r="C20" s="8">
        <v>11</v>
      </c>
      <c r="D20" s="7">
        <v>2021</v>
      </c>
      <c r="E20" s="9">
        <f>'Macao Daily'!D23</f>
        <v>31369</v>
      </c>
      <c r="F20" s="37">
        <v>1.2024999999999999</v>
      </c>
      <c r="G20" s="9">
        <f>'Macao Daily'!F23</f>
        <v>4</v>
      </c>
      <c r="H20" s="37">
        <v>5.0441168441168447</v>
      </c>
      <c r="I20" s="9">
        <f>'Macao Daily'!H23</f>
        <v>36240</v>
      </c>
      <c r="J20" s="37">
        <v>0.24</v>
      </c>
      <c r="K20" s="9">
        <f>'Macao Daily'!J23</f>
        <v>199</v>
      </c>
      <c r="L20" s="37">
        <v>7.7618999999999998</v>
      </c>
      <c r="M20" s="9">
        <f>'Macao Daily'!K23</f>
        <v>242</v>
      </c>
      <c r="N20" s="9">
        <f>'Macao Daily'!L23</f>
        <v>502</v>
      </c>
    </row>
    <row r="21" spans="1:14" ht="15" x14ac:dyDescent="0.25">
      <c r="A21" s="6" t="s">
        <v>28</v>
      </c>
      <c r="B21" s="7">
        <f t="shared" si="0"/>
        <v>20</v>
      </c>
      <c r="C21" s="8">
        <v>11</v>
      </c>
      <c r="D21" s="7">
        <v>2021</v>
      </c>
      <c r="E21" s="9">
        <f>'Macao Daily'!D24</f>
        <v>32087</v>
      </c>
      <c r="F21" s="37">
        <v>1.2024999999999999</v>
      </c>
      <c r="G21" s="9">
        <f>'Macao Daily'!F24</f>
        <v>6</v>
      </c>
      <c r="H21" s="37">
        <v>5.0441168441168447</v>
      </c>
      <c r="I21" s="9">
        <f>'Macao Daily'!H24</f>
        <v>49824</v>
      </c>
      <c r="J21" s="37">
        <v>0.24</v>
      </c>
      <c r="K21" s="9">
        <f>'Macao Daily'!J24</f>
        <v>200</v>
      </c>
      <c r="L21" s="37">
        <v>7.7618999999999998</v>
      </c>
      <c r="M21" s="9">
        <f>'Macao Daily'!K24</f>
        <v>281</v>
      </c>
      <c r="N21" s="9">
        <f>'Macao Daily'!L24</f>
        <v>733</v>
      </c>
    </row>
    <row r="22" spans="1:14" ht="15" x14ac:dyDescent="0.25">
      <c r="A22" s="6" t="s">
        <v>28</v>
      </c>
      <c r="B22" s="7">
        <f t="shared" si="0"/>
        <v>21</v>
      </c>
      <c r="C22" s="8">
        <v>11</v>
      </c>
      <c r="D22" s="7">
        <v>2021</v>
      </c>
      <c r="E22" s="9">
        <f>'Macao Daily'!D25</f>
        <v>32466</v>
      </c>
      <c r="F22" s="37">
        <v>1.2024999999999999</v>
      </c>
      <c r="G22" s="9">
        <f>'Macao Daily'!F25</f>
        <v>5</v>
      </c>
      <c r="H22" s="37">
        <v>5.0441168441168447</v>
      </c>
      <c r="I22" s="9">
        <f>'Macao Daily'!H25</f>
        <v>53696</v>
      </c>
      <c r="J22" s="37">
        <v>0.24</v>
      </c>
      <c r="K22" s="9">
        <f>'Macao Daily'!J25</f>
        <v>243</v>
      </c>
      <c r="L22" s="37">
        <v>7.7618999999999998</v>
      </c>
      <c r="M22" s="9">
        <f>'Macao Daily'!K25</f>
        <v>223</v>
      </c>
      <c r="N22" s="9">
        <f>'Macao Daily'!L25</f>
        <v>1022</v>
      </c>
    </row>
    <row r="23" spans="1:14" ht="15" x14ac:dyDescent="0.25">
      <c r="A23" s="6" t="s">
        <v>28</v>
      </c>
      <c r="B23" s="7">
        <f t="shared" si="0"/>
        <v>22</v>
      </c>
      <c r="C23" s="8">
        <v>11</v>
      </c>
      <c r="D23" s="7">
        <v>2021</v>
      </c>
      <c r="E23" s="9">
        <f>'Macao Daily'!D26</f>
        <v>32631</v>
      </c>
      <c r="F23" s="37">
        <v>1.2024999999999999</v>
      </c>
      <c r="G23" s="9">
        <f>'Macao Daily'!F26</f>
        <v>3</v>
      </c>
      <c r="H23" s="37">
        <v>5.0441168441168447</v>
      </c>
      <c r="I23" s="9">
        <f>'Macao Daily'!H26</f>
        <v>35136</v>
      </c>
      <c r="J23" s="37">
        <v>0.24</v>
      </c>
      <c r="K23" s="9">
        <f>'Macao Daily'!J26</f>
        <v>223</v>
      </c>
      <c r="L23" s="37">
        <v>7.7618999999999998</v>
      </c>
      <c r="M23" s="9">
        <f>'Macao Daily'!K26</f>
        <v>140</v>
      </c>
      <c r="N23" s="9">
        <f>'Macao Daily'!L26</f>
        <v>412</v>
      </c>
    </row>
    <row r="24" spans="1:14" ht="15" x14ac:dyDescent="0.25">
      <c r="A24" s="6" t="s">
        <v>28</v>
      </c>
      <c r="B24" s="7">
        <f t="shared" si="0"/>
        <v>23</v>
      </c>
      <c r="C24" s="8">
        <v>11</v>
      </c>
      <c r="D24" s="7">
        <v>2021</v>
      </c>
      <c r="E24" s="9">
        <f>'Macao Daily'!D27</f>
        <v>32414</v>
      </c>
      <c r="F24" s="37">
        <v>1.2024999999999999</v>
      </c>
      <c r="G24" s="9">
        <f>'Macao Daily'!F27</f>
        <v>2</v>
      </c>
      <c r="H24" s="37">
        <v>5.0441168441168447</v>
      </c>
      <c r="I24" s="9">
        <f>'Macao Daily'!H27</f>
        <v>5712</v>
      </c>
      <c r="J24" s="37">
        <v>0.24</v>
      </c>
      <c r="K24" s="9">
        <f>'Macao Daily'!J27</f>
        <v>218</v>
      </c>
      <c r="L24" s="37">
        <v>7.7618999999999998</v>
      </c>
      <c r="M24" s="9">
        <f>'Macao Daily'!K27</f>
        <v>158</v>
      </c>
      <c r="N24" s="9">
        <f>'Macao Daily'!L27</f>
        <v>251</v>
      </c>
    </row>
    <row r="25" spans="1:14" ht="15" x14ac:dyDescent="0.25">
      <c r="A25" s="6" t="s">
        <v>28</v>
      </c>
      <c r="B25" s="7">
        <f t="shared" si="0"/>
        <v>24</v>
      </c>
      <c r="C25" s="8">
        <v>11</v>
      </c>
      <c r="D25" s="7">
        <v>2021</v>
      </c>
      <c r="E25" s="9">
        <f>'Macao Daily'!D28</f>
        <v>32523</v>
      </c>
      <c r="F25" s="37">
        <v>1.2024999999999999</v>
      </c>
      <c r="G25" s="9">
        <f>'Macao Daily'!F28</f>
        <v>6</v>
      </c>
      <c r="H25" s="37">
        <v>5.0441168441168447</v>
      </c>
      <c r="I25" s="9">
        <f>'Macao Daily'!H28</f>
        <v>12384</v>
      </c>
      <c r="J25" s="37">
        <v>0.24</v>
      </c>
      <c r="K25" s="9">
        <f>'Macao Daily'!J28</f>
        <v>206</v>
      </c>
      <c r="L25" s="37">
        <v>7.7618999999999998</v>
      </c>
      <c r="M25" s="9">
        <f>'Macao Daily'!K28</f>
        <v>154</v>
      </c>
      <c r="N25" s="9">
        <f>'Macao Daily'!L28</f>
        <v>243</v>
      </c>
    </row>
    <row r="26" spans="1:14" ht="15" x14ac:dyDescent="0.25">
      <c r="A26" s="6" t="s">
        <v>28</v>
      </c>
      <c r="B26" s="7">
        <f>B25+1</f>
        <v>25</v>
      </c>
      <c r="C26" s="8">
        <v>11</v>
      </c>
      <c r="D26" s="7">
        <v>2021</v>
      </c>
      <c r="E26" s="9">
        <f>'Macao Daily'!D29</f>
        <v>31486</v>
      </c>
      <c r="F26" s="37">
        <v>1.2024999999999999</v>
      </c>
      <c r="G26" s="9">
        <f>'Macao Daily'!F29</f>
        <v>2</v>
      </c>
      <c r="H26" s="37">
        <v>5.0441168441168447</v>
      </c>
      <c r="I26" s="9">
        <f>'Macao Daily'!H29</f>
        <v>17904</v>
      </c>
      <c r="J26" s="37">
        <v>0.24</v>
      </c>
      <c r="K26" s="9">
        <f>'Macao Daily'!J29</f>
        <v>202</v>
      </c>
      <c r="L26" s="37">
        <v>7.7618999999999998</v>
      </c>
      <c r="M26" s="9">
        <f>'Macao Daily'!K29</f>
        <v>160</v>
      </c>
      <c r="N26" s="9">
        <f>'Macao Daily'!L29</f>
        <v>212</v>
      </c>
    </row>
    <row r="27" spans="1:14" ht="15" x14ac:dyDescent="0.25">
      <c r="A27" s="6" t="s">
        <v>28</v>
      </c>
      <c r="B27" s="7">
        <f t="shared" si="0"/>
        <v>26</v>
      </c>
      <c r="C27" s="8">
        <v>11</v>
      </c>
      <c r="D27" s="7">
        <v>2021</v>
      </c>
      <c r="E27" s="9">
        <f>'Macao Daily'!D30</f>
        <v>31167</v>
      </c>
      <c r="F27" s="37">
        <v>1.2024999999999999</v>
      </c>
      <c r="G27" s="9">
        <f>'Macao Daily'!F30</f>
        <v>4</v>
      </c>
      <c r="H27" s="37">
        <v>5.0441168441168447</v>
      </c>
      <c r="I27" s="9">
        <f>'Macao Daily'!H30</f>
        <v>22112</v>
      </c>
      <c r="J27" s="37">
        <v>0.24</v>
      </c>
      <c r="K27" s="9">
        <f>'Macao Daily'!J30</f>
        <v>177</v>
      </c>
      <c r="L27" s="37">
        <v>7.7618999999999998</v>
      </c>
      <c r="M27" s="9">
        <f>'Macao Daily'!K30</f>
        <v>238</v>
      </c>
      <c r="N27" s="9">
        <f>'Macao Daily'!L30</f>
        <v>427</v>
      </c>
    </row>
    <row r="28" spans="1:14" ht="15" x14ac:dyDescent="0.25">
      <c r="A28" s="6" t="s">
        <v>28</v>
      </c>
      <c r="B28" s="7">
        <f t="shared" si="0"/>
        <v>27</v>
      </c>
      <c r="C28" s="8">
        <v>11</v>
      </c>
      <c r="D28" s="7">
        <v>2021</v>
      </c>
      <c r="E28" s="9">
        <f>'Macao Daily'!D31</f>
        <v>31278</v>
      </c>
      <c r="F28" s="37">
        <v>1.2024999999999999</v>
      </c>
      <c r="G28" s="9">
        <f>'Macao Daily'!F31</f>
        <v>3</v>
      </c>
      <c r="H28" s="37">
        <v>5.0441168441168447</v>
      </c>
      <c r="I28" s="9">
        <f>'Macao Daily'!H31</f>
        <v>26144</v>
      </c>
      <c r="J28" s="37">
        <v>0.24</v>
      </c>
      <c r="K28" s="9">
        <f>'Macao Daily'!J31</f>
        <v>201</v>
      </c>
      <c r="L28" s="37">
        <v>7.7618999999999998</v>
      </c>
      <c r="M28" s="9">
        <f>'Macao Daily'!K31</f>
        <v>273</v>
      </c>
      <c r="N28" s="9">
        <f>'Macao Daily'!L31</f>
        <v>1047</v>
      </c>
    </row>
    <row r="29" spans="1:14" ht="15" x14ac:dyDescent="0.25">
      <c r="A29" s="6" t="s">
        <v>28</v>
      </c>
      <c r="B29" s="7">
        <f t="shared" si="0"/>
        <v>28</v>
      </c>
      <c r="C29" s="8">
        <v>11</v>
      </c>
      <c r="D29" s="7">
        <v>2021</v>
      </c>
      <c r="E29" s="9">
        <f>'Macao Daily'!D32</f>
        <v>31642</v>
      </c>
      <c r="F29" s="37">
        <v>1.2024999999999999</v>
      </c>
      <c r="G29" s="9">
        <f>'Macao Daily'!F32</f>
        <v>3</v>
      </c>
      <c r="H29" s="37">
        <v>5.0441168441168447</v>
      </c>
      <c r="I29" s="9">
        <f>'Macao Daily'!H32</f>
        <v>42005</v>
      </c>
      <c r="J29" s="37">
        <v>0.24</v>
      </c>
      <c r="K29" s="9">
        <f>'Macao Daily'!J32</f>
        <v>221</v>
      </c>
      <c r="L29" s="37">
        <v>7.7618999999999998</v>
      </c>
      <c r="M29" s="9">
        <f>'Macao Daily'!K32</f>
        <v>190</v>
      </c>
      <c r="N29" s="9">
        <f>'Macao Daily'!L32</f>
        <v>1025</v>
      </c>
    </row>
    <row r="30" spans="1:14" ht="15" x14ac:dyDescent="0.25">
      <c r="A30" s="6" t="s">
        <v>28</v>
      </c>
      <c r="B30" s="7">
        <f t="shared" si="0"/>
        <v>29</v>
      </c>
      <c r="C30" s="8">
        <v>11</v>
      </c>
      <c r="D30" s="7">
        <v>2021</v>
      </c>
      <c r="E30" s="9">
        <f>'Macao Daily'!D33</f>
        <v>31142</v>
      </c>
      <c r="F30" s="37">
        <v>1.2024999999999999</v>
      </c>
      <c r="G30" s="9">
        <f>'Macao Daily'!F33</f>
        <v>4</v>
      </c>
      <c r="H30" s="37">
        <v>5.0441168441168447</v>
      </c>
      <c r="I30" s="9">
        <f>'Macao Daily'!H33</f>
        <v>9707</v>
      </c>
      <c r="J30" s="37">
        <v>0.24</v>
      </c>
      <c r="K30" s="9">
        <f>'Macao Daily'!J33</f>
        <v>200</v>
      </c>
      <c r="L30" s="37">
        <v>7.7618999999999998</v>
      </c>
      <c r="M30" s="9">
        <f>'Macao Daily'!K33</f>
        <v>131</v>
      </c>
      <c r="N30" s="9">
        <f>'Macao Daily'!L33</f>
        <v>247</v>
      </c>
    </row>
    <row r="31" spans="1:14" ht="15" x14ac:dyDescent="0.25">
      <c r="A31" s="6" t="s">
        <v>28</v>
      </c>
      <c r="B31" s="7">
        <f t="shared" si="0"/>
        <v>30</v>
      </c>
      <c r="C31" s="8">
        <v>11</v>
      </c>
      <c r="D31" s="7">
        <v>2021</v>
      </c>
      <c r="E31" s="9">
        <f>'Macao Daily'!D34</f>
        <v>29841</v>
      </c>
      <c r="F31" s="37">
        <v>1.2024999999999999</v>
      </c>
      <c r="G31" s="9">
        <f>'Macao Daily'!F34</f>
        <v>3</v>
      </c>
      <c r="H31" s="37">
        <v>5.0441168441168447</v>
      </c>
      <c r="I31" s="9">
        <f>'Macao Daily'!H34</f>
        <v>39616</v>
      </c>
      <c r="J31" s="37">
        <v>0.24</v>
      </c>
      <c r="K31" s="9">
        <f>'Macao Daily'!J34</f>
        <v>186</v>
      </c>
      <c r="L31" s="37">
        <v>7.7618999999999998</v>
      </c>
      <c r="M31" s="9">
        <f>'Macao Daily'!K34</f>
        <v>138</v>
      </c>
      <c r="N31" s="9">
        <f>'Macao Daily'!L34</f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4"/>
  <sheetViews>
    <sheetView zoomScale="70" zoomScaleNormal="70" workbookViewId="0">
      <pane xSplit="1" topLeftCell="B1" activePane="topRight" state="frozen"/>
      <selection pane="topRight" activeCell="G32" sqref="G32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.7109375" style="13" bestFit="1" customWidth="1"/>
    <col min="15" max="15" width="9.140625" style="13"/>
    <col min="16" max="16" width="12.425781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4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4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4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4" s="26" customFormat="1" ht="35.25" customHeight="1" x14ac:dyDescent="0.25">
      <c r="A4" s="22">
        <v>44500</v>
      </c>
      <c r="B4" s="39"/>
      <c r="C4" s="23">
        <v>90547713</v>
      </c>
      <c r="D4" s="24"/>
      <c r="E4" s="23">
        <v>2303</v>
      </c>
      <c r="F4" s="25"/>
      <c r="G4" s="23">
        <v>242898080</v>
      </c>
      <c r="H4" s="25"/>
      <c r="I4" s="23">
        <v>372428</v>
      </c>
      <c r="K4" s="27">
        <v>185</v>
      </c>
      <c r="L4" s="27">
        <v>477</v>
      </c>
    </row>
    <row r="5" spans="1:14" ht="33" customHeight="1" x14ac:dyDescent="0.25">
      <c r="A5" s="28">
        <v>44501</v>
      </c>
      <c r="B5" s="39"/>
      <c r="C5" s="29">
        <v>90577868</v>
      </c>
      <c r="D5" s="30">
        <f t="shared" ref="D5:D22" si="0">IF((C5-C4&lt;0), "0",C5-C4)</f>
        <v>30155</v>
      </c>
      <c r="E5" s="29">
        <v>2307</v>
      </c>
      <c r="F5" s="30">
        <f>IF((E5-E4&lt;0), "0",E5-E4)</f>
        <v>4</v>
      </c>
      <c r="G5" s="29">
        <v>242949552</v>
      </c>
      <c r="H5" s="30">
        <f>IF((G5-G4&lt;0), "0",G5-G4)</f>
        <v>51472</v>
      </c>
      <c r="I5" s="29">
        <v>372572</v>
      </c>
      <c r="J5" s="30">
        <f>IF((I5-I4&lt;0), "0",I5-I4)</f>
        <v>144</v>
      </c>
      <c r="K5" s="31">
        <v>109</v>
      </c>
      <c r="L5" s="31">
        <v>251</v>
      </c>
    </row>
    <row r="6" spans="1:14" ht="45" customHeight="1" x14ac:dyDescent="0.25">
      <c r="A6" s="28">
        <v>44502</v>
      </c>
      <c r="B6" s="39"/>
      <c r="C6" s="29">
        <v>90607726</v>
      </c>
      <c r="D6" s="30">
        <f t="shared" si="0"/>
        <v>29858</v>
      </c>
      <c r="E6" s="29">
        <v>2310</v>
      </c>
      <c r="F6" s="30">
        <f t="shared" ref="F6:F34" si="1">IF((E6-E5&lt;0), "0",E6-E5)</f>
        <v>3</v>
      </c>
      <c r="G6" s="29">
        <v>243007760</v>
      </c>
      <c r="H6" s="30">
        <f t="shared" ref="H6:H34" si="2">IF((G6-G5&lt;0), "0",G6-G5)</f>
        <v>58208</v>
      </c>
      <c r="I6" s="29">
        <v>372739</v>
      </c>
      <c r="J6" s="30">
        <f t="shared" ref="J6:J34" si="3">IF((I6-I5&lt;0), "0",I6-I5)</f>
        <v>167</v>
      </c>
      <c r="K6" s="12">
        <v>103</v>
      </c>
      <c r="L6" s="12">
        <v>294</v>
      </c>
    </row>
    <row r="7" spans="1:14" ht="45" customHeight="1" x14ac:dyDescent="0.25">
      <c r="A7" s="28">
        <v>44503</v>
      </c>
      <c r="B7" s="39"/>
      <c r="C7" s="29">
        <v>90636495</v>
      </c>
      <c r="D7" s="30">
        <f t="shared" si="0"/>
        <v>28769</v>
      </c>
      <c r="E7" s="29">
        <v>2312</v>
      </c>
      <c r="F7" s="30">
        <f t="shared" si="1"/>
        <v>2</v>
      </c>
      <c r="G7" s="29">
        <v>243064000</v>
      </c>
      <c r="H7" s="30">
        <f t="shared" si="2"/>
        <v>56240</v>
      </c>
      <c r="I7" s="29">
        <v>372875</v>
      </c>
      <c r="J7" s="30">
        <f t="shared" si="3"/>
        <v>136</v>
      </c>
      <c r="K7" s="12">
        <v>99</v>
      </c>
      <c r="L7" s="12">
        <v>175</v>
      </c>
      <c r="N7" s="15"/>
    </row>
    <row r="8" spans="1:14" ht="45" customHeight="1" x14ac:dyDescent="0.25">
      <c r="A8" s="28">
        <v>44504</v>
      </c>
      <c r="B8" s="39"/>
      <c r="C8" s="29">
        <v>90663070</v>
      </c>
      <c r="D8" s="30">
        <f t="shared" si="0"/>
        <v>26575</v>
      </c>
      <c r="E8" s="29">
        <v>2315</v>
      </c>
      <c r="F8" s="30">
        <f t="shared" si="1"/>
        <v>3</v>
      </c>
      <c r="G8" s="29">
        <v>243120720</v>
      </c>
      <c r="H8" s="30">
        <f t="shared" si="2"/>
        <v>56720</v>
      </c>
      <c r="I8" s="29">
        <v>373051</v>
      </c>
      <c r="J8" s="30">
        <f t="shared" si="3"/>
        <v>176</v>
      </c>
      <c r="K8" s="12">
        <v>119</v>
      </c>
      <c r="L8" s="12">
        <v>162</v>
      </c>
      <c r="N8" s="15"/>
    </row>
    <row r="9" spans="1:14" ht="45" customHeight="1" x14ac:dyDescent="0.25">
      <c r="A9" s="28">
        <v>44505</v>
      </c>
      <c r="B9" s="39"/>
      <c r="C9" s="29">
        <v>90693683</v>
      </c>
      <c r="D9" s="30">
        <f t="shared" si="0"/>
        <v>30613</v>
      </c>
      <c r="E9" s="29">
        <v>2319</v>
      </c>
      <c r="F9" s="30">
        <f t="shared" si="1"/>
        <v>4</v>
      </c>
      <c r="G9" s="29">
        <v>243184880</v>
      </c>
      <c r="H9" s="30">
        <f t="shared" si="2"/>
        <v>64160</v>
      </c>
      <c r="I9" s="29">
        <v>373265</v>
      </c>
      <c r="J9" s="30">
        <f t="shared" si="3"/>
        <v>214</v>
      </c>
      <c r="K9" s="12">
        <v>159</v>
      </c>
      <c r="L9" s="12">
        <v>593</v>
      </c>
      <c r="N9" s="15"/>
    </row>
    <row r="10" spans="1:14" ht="45" customHeight="1" x14ac:dyDescent="0.25">
      <c r="A10" s="28">
        <v>44506</v>
      </c>
      <c r="B10" s="39"/>
      <c r="C10" s="29">
        <v>90722333</v>
      </c>
      <c r="D10" s="30">
        <f t="shared" si="0"/>
        <v>28650</v>
      </c>
      <c r="E10" s="29">
        <v>2323</v>
      </c>
      <c r="F10" s="30">
        <f t="shared" si="1"/>
        <v>4</v>
      </c>
      <c r="G10" s="29">
        <v>243252992</v>
      </c>
      <c r="H10" s="30">
        <f t="shared" si="2"/>
        <v>68112</v>
      </c>
      <c r="I10" s="29">
        <v>373424</v>
      </c>
      <c r="J10" s="30">
        <f t="shared" si="3"/>
        <v>159</v>
      </c>
      <c r="K10" s="12">
        <v>170</v>
      </c>
      <c r="L10" s="12">
        <v>382</v>
      </c>
      <c r="N10" s="15"/>
    </row>
    <row r="11" spans="1:14" ht="45" customHeight="1" x14ac:dyDescent="0.25">
      <c r="A11" s="28">
        <v>44507</v>
      </c>
      <c r="B11" s="39"/>
      <c r="C11" s="29">
        <v>90751019</v>
      </c>
      <c r="D11" s="30">
        <f t="shared" si="0"/>
        <v>28686</v>
      </c>
      <c r="E11" s="29">
        <v>2326</v>
      </c>
      <c r="F11" s="30">
        <f t="shared" si="1"/>
        <v>3</v>
      </c>
      <c r="G11" s="29">
        <v>243321104</v>
      </c>
      <c r="H11" s="30">
        <f t="shared" si="2"/>
        <v>68112</v>
      </c>
      <c r="I11" s="29">
        <v>373582</v>
      </c>
      <c r="J11" s="30">
        <f t="shared" si="3"/>
        <v>158</v>
      </c>
      <c r="K11" s="12">
        <v>124</v>
      </c>
      <c r="L11" s="12">
        <v>504</v>
      </c>
      <c r="N11" s="38"/>
    </row>
    <row r="12" spans="1:14" ht="45" customHeight="1" x14ac:dyDescent="0.25">
      <c r="A12" s="28">
        <v>44508</v>
      </c>
      <c r="B12" s="39"/>
      <c r="C12" s="29">
        <v>90781658</v>
      </c>
      <c r="D12" s="30">
        <f t="shared" si="0"/>
        <v>30639</v>
      </c>
      <c r="E12" s="29">
        <v>2330</v>
      </c>
      <c r="F12" s="30">
        <f t="shared" si="1"/>
        <v>4</v>
      </c>
      <c r="G12" s="29">
        <v>243358864</v>
      </c>
      <c r="H12" s="30">
        <f t="shared" si="2"/>
        <v>37760</v>
      </c>
      <c r="I12" s="29">
        <v>373789</v>
      </c>
      <c r="J12" s="30">
        <f t="shared" si="3"/>
        <v>207</v>
      </c>
      <c r="K12" s="12">
        <v>91</v>
      </c>
      <c r="L12" s="12">
        <v>181</v>
      </c>
    </row>
    <row r="13" spans="1:14" ht="45" customHeight="1" x14ac:dyDescent="0.25">
      <c r="A13" s="28">
        <v>44509</v>
      </c>
      <c r="B13" s="39"/>
      <c r="C13" s="29">
        <v>90812950</v>
      </c>
      <c r="D13" s="30">
        <f t="shared" si="0"/>
        <v>31292</v>
      </c>
      <c r="E13" s="29">
        <v>2334</v>
      </c>
      <c r="F13" s="30">
        <f t="shared" si="1"/>
        <v>4</v>
      </c>
      <c r="G13" s="29">
        <v>243380432</v>
      </c>
      <c r="H13" s="30">
        <f t="shared" si="2"/>
        <v>21568</v>
      </c>
      <c r="I13" s="29">
        <v>373993</v>
      </c>
      <c r="J13" s="30">
        <f t="shared" si="3"/>
        <v>204</v>
      </c>
      <c r="K13" s="12">
        <v>108</v>
      </c>
      <c r="L13" s="12">
        <v>213</v>
      </c>
      <c r="N13" s="15"/>
    </row>
    <row r="14" spans="1:14" ht="45" customHeight="1" x14ac:dyDescent="0.25">
      <c r="A14" s="28">
        <v>44510</v>
      </c>
      <c r="B14" s="39"/>
      <c r="C14" s="29">
        <v>90843753</v>
      </c>
      <c r="D14" s="30">
        <f t="shared" si="0"/>
        <v>30803</v>
      </c>
      <c r="E14" s="29">
        <v>2336</v>
      </c>
      <c r="F14" s="30">
        <f t="shared" si="1"/>
        <v>2</v>
      </c>
      <c r="G14" s="29">
        <v>243403872</v>
      </c>
      <c r="H14" s="30">
        <f t="shared" si="2"/>
        <v>23440</v>
      </c>
      <c r="I14" s="29">
        <v>374189</v>
      </c>
      <c r="J14" s="30">
        <f t="shared" si="3"/>
        <v>196</v>
      </c>
      <c r="K14" s="12">
        <v>111</v>
      </c>
      <c r="L14" s="12">
        <v>184</v>
      </c>
      <c r="N14" s="15"/>
    </row>
    <row r="15" spans="1:14" ht="45" customHeight="1" x14ac:dyDescent="0.25">
      <c r="A15" s="28">
        <v>44511</v>
      </c>
      <c r="B15" s="39"/>
      <c r="C15" s="29">
        <v>90874355</v>
      </c>
      <c r="D15" s="30">
        <f t="shared" si="0"/>
        <v>30602</v>
      </c>
      <c r="E15" s="29">
        <v>2339</v>
      </c>
      <c r="F15" s="30">
        <f t="shared" si="1"/>
        <v>3</v>
      </c>
      <c r="G15" s="29">
        <v>243429440</v>
      </c>
      <c r="H15" s="30">
        <f t="shared" si="2"/>
        <v>25568</v>
      </c>
      <c r="I15" s="29">
        <v>374389</v>
      </c>
      <c r="J15" s="30">
        <f t="shared" si="3"/>
        <v>200</v>
      </c>
      <c r="K15" s="12">
        <v>115</v>
      </c>
      <c r="L15" s="12">
        <v>174</v>
      </c>
      <c r="N15" s="15"/>
    </row>
    <row r="16" spans="1:14" ht="45" customHeight="1" x14ac:dyDescent="0.25">
      <c r="A16" s="28">
        <v>44512</v>
      </c>
      <c r="B16" s="39"/>
      <c r="C16" s="29">
        <v>90906931</v>
      </c>
      <c r="D16" s="30">
        <f t="shared" si="0"/>
        <v>32576</v>
      </c>
      <c r="E16" s="29">
        <v>2341</v>
      </c>
      <c r="F16" s="30">
        <f t="shared" si="1"/>
        <v>2</v>
      </c>
      <c r="G16" s="29">
        <v>243460704</v>
      </c>
      <c r="H16" s="30">
        <f t="shared" si="2"/>
        <v>31264</v>
      </c>
      <c r="I16" s="29">
        <v>374588</v>
      </c>
      <c r="J16" s="30">
        <f t="shared" si="3"/>
        <v>199</v>
      </c>
      <c r="K16" s="12">
        <v>162</v>
      </c>
      <c r="L16" s="12">
        <v>463</v>
      </c>
    </row>
    <row r="17" spans="1:12" ht="45" customHeight="1" x14ac:dyDescent="0.25">
      <c r="A17" s="28">
        <v>44513</v>
      </c>
      <c r="B17" s="39"/>
      <c r="C17" s="29">
        <v>90935181</v>
      </c>
      <c r="D17" s="30">
        <f t="shared" si="0"/>
        <v>28250</v>
      </c>
      <c r="E17" s="29">
        <v>2345</v>
      </c>
      <c r="F17" s="30">
        <f t="shared" si="1"/>
        <v>4</v>
      </c>
      <c r="G17" s="29">
        <v>243484768</v>
      </c>
      <c r="H17" s="30">
        <f t="shared" si="2"/>
        <v>24064</v>
      </c>
      <c r="I17" s="29">
        <v>374773</v>
      </c>
      <c r="J17" s="30">
        <f t="shared" si="3"/>
        <v>185</v>
      </c>
      <c r="K17" s="12">
        <v>175</v>
      </c>
      <c r="L17" s="12">
        <v>700</v>
      </c>
    </row>
    <row r="18" spans="1:12" ht="45" customHeight="1" x14ac:dyDescent="0.25">
      <c r="A18" s="28">
        <v>44514</v>
      </c>
      <c r="B18" s="39"/>
      <c r="C18" s="29">
        <v>90967622</v>
      </c>
      <c r="D18" s="30">
        <f t="shared" si="0"/>
        <v>32441</v>
      </c>
      <c r="E18" s="29">
        <v>2348</v>
      </c>
      <c r="F18" s="30">
        <f t="shared" si="1"/>
        <v>3</v>
      </c>
      <c r="G18" s="29">
        <v>243514112</v>
      </c>
      <c r="H18" s="30">
        <f t="shared" si="2"/>
        <v>29344</v>
      </c>
      <c r="I18" s="29">
        <v>374966</v>
      </c>
      <c r="J18" s="30">
        <f t="shared" si="3"/>
        <v>193</v>
      </c>
      <c r="K18" s="12">
        <v>174</v>
      </c>
      <c r="L18" s="12">
        <v>798</v>
      </c>
    </row>
    <row r="19" spans="1:12" ht="45" customHeight="1" x14ac:dyDescent="0.25">
      <c r="A19" s="28">
        <v>44515</v>
      </c>
      <c r="B19" s="39"/>
      <c r="C19" s="29">
        <v>90997995</v>
      </c>
      <c r="D19" s="30">
        <f t="shared" si="0"/>
        <v>30373</v>
      </c>
      <c r="E19" s="29">
        <v>2351</v>
      </c>
      <c r="F19" s="30">
        <f t="shared" si="1"/>
        <v>3</v>
      </c>
      <c r="G19" s="29">
        <v>243545328</v>
      </c>
      <c r="H19" s="30">
        <f t="shared" si="2"/>
        <v>31216</v>
      </c>
      <c r="I19" s="29">
        <v>375153</v>
      </c>
      <c r="J19" s="30">
        <f t="shared" si="3"/>
        <v>187</v>
      </c>
      <c r="K19" s="12">
        <v>128</v>
      </c>
      <c r="L19" s="12">
        <v>490</v>
      </c>
    </row>
    <row r="20" spans="1:12" ht="45" customHeight="1" x14ac:dyDescent="0.25">
      <c r="A20" s="28">
        <v>44516</v>
      </c>
      <c r="B20" s="39"/>
      <c r="C20" s="29">
        <v>91028651</v>
      </c>
      <c r="D20" s="30">
        <f t="shared" si="0"/>
        <v>30656</v>
      </c>
      <c r="E20" s="29">
        <v>2354</v>
      </c>
      <c r="F20" s="30">
        <f t="shared" si="1"/>
        <v>3</v>
      </c>
      <c r="G20" s="29">
        <v>243578672</v>
      </c>
      <c r="H20" s="30">
        <f t="shared" si="2"/>
        <v>33344</v>
      </c>
      <c r="I20" s="29">
        <v>375312</v>
      </c>
      <c r="J20" s="30">
        <f t="shared" si="3"/>
        <v>159</v>
      </c>
      <c r="K20" s="12">
        <v>130</v>
      </c>
      <c r="L20" s="12">
        <v>226</v>
      </c>
    </row>
    <row r="21" spans="1:12" ht="45" customHeight="1" x14ac:dyDescent="0.25">
      <c r="A21" s="28">
        <v>44517</v>
      </c>
      <c r="B21" s="39"/>
      <c r="C21" s="29">
        <v>91059742</v>
      </c>
      <c r="D21" s="30">
        <f t="shared" si="0"/>
        <v>31091</v>
      </c>
      <c r="E21" s="29">
        <v>2359</v>
      </c>
      <c r="F21" s="30">
        <f t="shared" si="1"/>
        <v>5</v>
      </c>
      <c r="G21" s="29">
        <v>243616864</v>
      </c>
      <c r="H21" s="30">
        <f t="shared" si="2"/>
        <v>38192</v>
      </c>
      <c r="I21" s="29">
        <v>375512</v>
      </c>
      <c r="J21" s="30">
        <f t="shared" si="3"/>
        <v>200</v>
      </c>
      <c r="K21" s="12">
        <v>136</v>
      </c>
      <c r="L21" s="12">
        <v>183</v>
      </c>
    </row>
    <row r="22" spans="1:12" ht="45" customHeight="1" x14ac:dyDescent="0.25">
      <c r="A22" s="28">
        <v>44518</v>
      </c>
      <c r="B22" s="39"/>
      <c r="C22" s="29">
        <v>91090381</v>
      </c>
      <c r="D22" s="30">
        <f t="shared" si="0"/>
        <v>30639</v>
      </c>
      <c r="E22" s="29">
        <v>2361</v>
      </c>
      <c r="F22" s="30">
        <f t="shared" si="1"/>
        <v>2</v>
      </c>
      <c r="G22" s="29">
        <v>243647168</v>
      </c>
      <c r="H22" s="30">
        <f t="shared" si="2"/>
        <v>30304</v>
      </c>
      <c r="I22" s="29">
        <v>375671</v>
      </c>
      <c r="J22" s="30">
        <f t="shared" si="3"/>
        <v>159</v>
      </c>
      <c r="K22" s="12">
        <v>149</v>
      </c>
      <c r="L22" s="12">
        <v>165</v>
      </c>
    </row>
    <row r="23" spans="1:12" ht="45" customHeight="1" x14ac:dyDescent="0.25">
      <c r="A23" s="28">
        <v>44519</v>
      </c>
      <c r="B23" s="39"/>
      <c r="C23" s="29">
        <v>91121750</v>
      </c>
      <c r="D23" s="30">
        <f>IF((C23-C22&lt;0), "0",C23-C22)</f>
        <v>31369</v>
      </c>
      <c r="E23" s="29">
        <v>2365</v>
      </c>
      <c r="F23" s="30">
        <f t="shared" si="1"/>
        <v>4</v>
      </c>
      <c r="G23" s="29">
        <v>243683408</v>
      </c>
      <c r="H23" s="30">
        <f t="shared" si="2"/>
        <v>36240</v>
      </c>
      <c r="I23" s="29">
        <v>375870</v>
      </c>
      <c r="J23" s="30">
        <f t="shared" si="3"/>
        <v>199</v>
      </c>
      <c r="K23" s="12">
        <v>242</v>
      </c>
      <c r="L23" s="12">
        <v>502</v>
      </c>
    </row>
    <row r="24" spans="1:12" ht="45" customHeight="1" x14ac:dyDescent="0.25">
      <c r="A24" s="28">
        <v>44520</v>
      </c>
      <c r="B24" s="39"/>
      <c r="C24" s="29">
        <v>91153837</v>
      </c>
      <c r="D24" s="30">
        <f t="shared" ref="D24:D34" si="4">IF((C24-C23&lt;0), "0",C24-C23)</f>
        <v>32087</v>
      </c>
      <c r="E24" s="29">
        <v>2371</v>
      </c>
      <c r="F24" s="30">
        <f t="shared" si="1"/>
        <v>6</v>
      </c>
      <c r="G24" s="29">
        <v>243733232</v>
      </c>
      <c r="H24" s="30">
        <f t="shared" si="2"/>
        <v>49824</v>
      </c>
      <c r="I24" s="29">
        <v>376070</v>
      </c>
      <c r="J24" s="30">
        <f t="shared" si="3"/>
        <v>200</v>
      </c>
      <c r="K24" s="12">
        <v>281</v>
      </c>
      <c r="L24" s="12">
        <v>733</v>
      </c>
    </row>
    <row r="25" spans="1:12" ht="45" customHeight="1" x14ac:dyDescent="0.25">
      <c r="A25" s="28">
        <v>44521</v>
      </c>
      <c r="B25" s="39"/>
      <c r="C25" s="29">
        <v>91186303</v>
      </c>
      <c r="D25" s="30">
        <f t="shared" si="4"/>
        <v>32466</v>
      </c>
      <c r="E25" s="29">
        <v>2376</v>
      </c>
      <c r="F25" s="30">
        <f t="shared" si="1"/>
        <v>5</v>
      </c>
      <c r="G25" s="29">
        <v>243786928</v>
      </c>
      <c r="H25" s="30">
        <f t="shared" si="2"/>
        <v>53696</v>
      </c>
      <c r="I25" s="29">
        <v>376313</v>
      </c>
      <c r="J25" s="30">
        <f t="shared" si="3"/>
        <v>243</v>
      </c>
      <c r="K25" s="12">
        <v>223</v>
      </c>
      <c r="L25" s="12">
        <v>1022</v>
      </c>
    </row>
    <row r="26" spans="1:12" ht="45" customHeight="1" x14ac:dyDescent="0.25">
      <c r="A26" s="28">
        <v>44522</v>
      </c>
      <c r="B26" s="39"/>
      <c r="C26" s="29">
        <v>91218934</v>
      </c>
      <c r="D26" s="30">
        <f t="shared" si="4"/>
        <v>32631</v>
      </c>
      <c r="E26" s="29">
        <v>2379</v>
      </c>
      <c r="F26" s="30">
        <f t="shared" si="1"/>
        <v>3</v>
      </c>
      <c r="G26" s="29">
        <v>243822064</v>
      </c>
      <c r="H26" s="30">
        <f t="shared" si="2"/>
        <v>35136</v>
      </c>
      <c r="I26" s="29">
        <v>376536</v>
      </c>
      <c r="J26" s="30">
        <f t="shared" si="3"/>
        <v>223</v>
      </c>
      <c r="K26" s="12">
        <v>140</v>
      </c>
      <c r="L26" s="12">
        <v>412</v>
      </c>
    </row>
    <row r="27" spans="1:12" ht="45" customHeight="1" x14ac:dyDescent="0.25">
      <c r="A27" s="28">
        <v>44523</v>
      </c>
      <c r="B27" s="39"/>
      <c r="C27" s="29">
        <v>91251348</v>
      </c>
      <c r="D27" s="30">
        <f t="shared" si="4"/>
        <v>32414</v>
      </c>
      <c r="E27" s="29">
        <v>2381</v>
      </c>
      <c r="F27" s="30">
        <f t="shared" si="1"/>
        <v>2</v>
      </c>
      <c r="G27" s="29">
        <v>243827776</v>
      </c>
      <c r="H27" s="30">
        <f t="shared" si="2"/>
        <v>5712</v>
      </c>
      <c r="I27" s="29">
        <v>376754</v>
      </c>
      <c r="J27" s="30">
        <f t="shared" si="3"/>
        <v>218</v>
      </c>
      <c r="K27" s="12">
        <v>158</v>
      </c>
      <c r="L27" s="12">
        <v>251</v>
      </c>
    </row>
    <row r="28" spans="1:12" ht="45" customHeight="1" x14ac:dyDescent="0.25">
      <c r="A28" s="28">
        <v>44524</v>
      </c>
      <c r="B28" s="39"/>
      <c r="C28" s="29">
        <v>91283871</v>
      </c>
      <c r="D28" s="30">
        <f t="shared" si="4"/>
        <v>32523</v>
      </c>
      <c r="E28" s="29">
        <v>2387</v>
      </c>
      <c r="F28" s="30">
        <f t="shared" si="1"/>
        <v>6</v>
      </c>
      <c r="G28" s="29">
        <v>243840160</v>
      </c>
      <c r="H28" s="30">
        <f t="shared" si="2"/>
        <v>12384</v>
      </c>
      <c r="I28" s="29">
        <v>376960</v>
      </c>
      <c r="J28" s="30">
        <f t="shared" si="3"/>
        <v>206</v>
      </c>
      <c r="K28" s="12">
        <v>154</v>
      </c>
      <c r="L28" s="12">
        <v>243</v>
      </c>
    </row>
    <row r="29" spans="1:12" ht="45" customHeight="1" x14ac:dyDescent="0.25">
      <c r="A29" s="28">
        <v>44525</v>
      </c>
      <c r="B29" s="39"/>
      <c r="C29" s="29">
        <v>91315357</v>
      </c>
      <c r="D29" s="30">
        <f t="shared" si="4"/>
        <v>31486</v>
      </c>
      <c r="E29" s="29">
        <v>2389</v>
      </c>
      <c r="F29" s="30">
        <f t="shared" si="1"/>
        <v>2</v>
      </c>
      <c r="G29" s="29">
        <v>243858064</v>
      </c>
      <c r="H29" s="30">
        <f t="shared" si="2"/>
        <v>17904</v>
      </c>
      <c r="I29" s="29">
        <v>377162</v>
      </c>
      <c r="J29" s="30">
        <f t="shared" si="3"/>
        <v>202</v>
      </c>
      <c r="K29" s="12">
        <v>160</v>
      </c>
      <c r="L29" s="12">
        <v>212</v>
      </c>
    </row>
    <row r="30" spans="1:12" ht="45" customHeight="1" x14ac:dyDescent="0.25">
      <c r="A30" s="28">
        <v>44526</v>
      </c>
      <c r="B30" s="39"/>
      <c r="C30" s="29">
        <v>91346524</v>
      </c>
      <c r="D30" s="30">
        <f t="shared" si="4"/>
        <v>31167</v>
      </c>
      <c r="E30" s="29">
        <v>2393</v>
      </c>
      <c r="F30" s="30">
        <f t="shared" si="1"/>
        <v>4</v>
      </c>
      <c r="G30" s="29">
        <v>243880176</v>
      </c>
      <c r="H30" s="30">
        <f t="shared" si="2"/>
        <v>22112</v>
      </c>
      <c r="I30" s="29">
        <v>377339</v>
      </c>
      <c r="J30" s="30">
        <f t="shared" si="3"/>
        <v>177</v>
      </c>
      <c r="K30" s="12">
        <v>238</v>
      </c>
      <c r="L30" s="12">
        <v>427</v>
      </c>
    </row>
    <row r="31" spans="1:12" ht="45" customHeight="1" x14ac:dyDescent="0.25">
      <c r="A31" s="28">
        <v>44527</v>
      </c>
      <c r="B31" s="39"/>
      <c r="C31" s="29">
        <v>91377802</v>
      </c>
      <c r="D31" s="30">
        <f t="shared" si="4"/>
        <v>31278</v>
      </c>
      <c r="E31" s="29">
        <v>2396</v>
      </c>
      <c r="F31" s="30">
        <f t="shared" si="1"/>
        <v>3</v>
      </c>
      <c r="G31" s="29">
        <v>243906320</v>
      </c>
      <c r="H31" s="30">
        <f t="shared" si="2"/>
        <v>26144</v>
      </c>
      <c r="I31" s="29">
        <v>377540</v>
      </c>
      <c r="J31" s="30">
        <f t="shared" si="3"/>
        <v>201</v>
      </c>
      <c r="K31" s="12">
        <v>273</v>
      </c>
      <c r="L31" s="12">
        <v>1047</v>
      </c>
    </row>
    <row r="32" spans="1:12" ht="45" customHeight="1" x14ac:dyDescent="0.25">
      <c r="A32" s="28">
        <v>44528</v>
      </c>
      <c r="B32" s="39"/>
      <c r="C32" s="29">
        <v>91409444</v>
      </c>
      <c r="D32" s="30">
        <f t="shared" si="4"/>
        <v>31642</v>
      </c>
      <c r="E32" s="29">
        <v>2399</v>
      </c>
      <c r="F32" s="30">
        <f t="shared" si="1"/>
        <v>3</v>
      </c>
      <c r="G32" s="29">
        <v>243948325</v>
      </c>
      <c r="H32" s="30">
        <f t="shared" si="2"/>
        <v>42005</v>
      </c>
      <c r="I32" s="29">
        <v>377761</v>
      </c>
      <c r="J32" s="30">
        <f t="shared" si="3"/>
        <v>221</v>
      </c>
      <c r="K32" s="12">
        <v>190</v>
      </c>
      <c r="L32" s="12">
        <v>1025</v>
      </c>
    </row>
    <row r="33" spans="1:12" ht="36" customHeight="1" x14ac:dyDescent="0.25">
      <c r="A33" s="28">
        <v>44529</v>
      </c>
      <c r="C33" s="29">
        <v>91440586</v>
      </c>
      <c r="D33" s="30">
        <f t="shared" si="4"/>
        <v>31142</v>
      </c>
      <c r="E33" s="29">
        <v>2403</v>
      </c>
      <c r="F33" s="30">
        <f t="shared" si="1"/>
        <v>4</v>
      </c>
      <c r="G33" s="29">
        <v>243958032</v>
      </c>
      <c r="H33" s="30">
        <f t="shared" si="2"/>
        <v>9707</v>
      </c>
      <c r="I33" s="29">
        <v>377961</v>
      </c>
      <c r="J33" s="30">
        <f t="shared" si="3"/>
        <v>200</v>
      </c>
      <c r="K33" s="12">
        <v>131</v>
      </c>
      <c r="L33" s="12">
        <v>247</v>
      </c>
    </row>
    <row r="34" spans="1:12" ht="45.6" customHeight="1" x14ac:dyDescent="0.25">
      <c r="A34" s="28">
        <v>44530</v>
      </c>
      <c r="C34" s="29">
        <v>91470427</v>
      </c>
      <c r="D34" s="30">
        <f t="shared" si="4"/>
        <v>29841</v>
      </c>
      <c r="E34" s="29">
        <v>2406</v>
      </c>
      <c r="F34" s="30">
        <f t="shared" si="1"/>
        <v>3</v>
      </c>
      <c r="G34" s="29">
        <v>243997648</v>
      </c>
      <c r="H34" s="30">
        <f t="shared" si="2"/>
        <v>39616</v>
      </c>
      <c r="I34" s="29">
        <v>378147</v>
      </c>
      <c r="J34" s="30">
        <f t="shared" si="3"/>
        <v>186</v>
      </c>
      <c r="K34" s="12">
        <v>138</v>
      </c>
      <c r="L34" s="12">
        <v>238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2023-02-20T06:44:11Z</dcterms:modified>
  <cp:category/>
  <cp:contentStatus/>
</cp:coreProperties>
</file>