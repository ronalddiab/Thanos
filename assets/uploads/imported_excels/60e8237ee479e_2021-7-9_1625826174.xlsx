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CF8AFCC5-60BD-4E8B-AEBC-B6D1D0F5B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<sst xmlns="http://schemas.openxmlformats.org/spreadsheetml/2006/main" count="201" uniqueCount="128">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</sst>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183450.00000000026</v>
      </c>
      <c r="F33" s="104">
        <v>0</v>
      </c>
      <c r="G33" s="101">
        <f>SUM(G2:G32)</f>
        <v>49661</v>
      </c>
      <c r="H33" s="102">
        <v>0</v>
      </c>
      <c r="I33" s="103">
        <f>SUM(I2:I32)</f>
        <v>1908</v>
      </c>
      <c r="J33" s="104">
        <v>0</v>
      </c>
      <c r="K33" s="105">
        <v>0</v>
      </c>
      <c r="L33" s="102">
        <v>0</v>
      </c>
      <c r="M33" s="106">
        <f t="shared" ref="M33:O33" si="1">SUM(M2:M32)</f>
        <v>100</v>
      </c>
      <c r="N33" s="106">
        <f t="shared" si="1"/>
        <v>283</v>
      </c>
      <c r="O33" s="106">
        <f t="shared" si="1"/>
        <v>770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2" sqref="T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166.24</v>
      </c>
      <c r="S12" s="1">
        <v>116.11</v>
      </c>
      <c r="T12" s="1">
        <v>424.26</v>
      </c>
      <c r="V12" s="71"/>
      <c r="W12" s="71"/>
      <c r="X12" s="71"/>
      <c r="Y12" s="17"/>
    </row>
    <row r="13" spans="1:25" ht="21" customHeight="1" x14ac:dyDescent="0.25">
      <c r="A13" s="8">
        <v>44387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44389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44395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100</v>
      </c>
      <c r="W35" s="78">
        <f>SUM(W4:W34)</f>
        <v>283</v>
      </c>
      <c r="X35" s="78">
        <f>SUM(X4:X34)</f>
        <v>770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6300.0000000000109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633.37000000041735</v>
      </c>
    </row>
    <row r="12" spans="1:22" x14ac:dyDescent="0.25">
      <c r="A12" s="3">
        <f>'Kwh Reading'!A12</f>
        <v>44386</v>
      </c>
      <c r="B12" s="26">
        <f>TOTAL!E10</f>
        <v>0</v>
      </c>
      <c r="C12" s="4">
        <f>('Kwh Reading'!T13-'Kwh Reading'!T12)*1000</f>
        <v>-424260</v>
      </c>
      <c r="D12" s="2">
        <f>('Kwh Reading'!F13-'Kwh Reading'!F12)*1000000</f>
        <v>-2399600</v>
      </c>
      <c r="E12" s="2">
        <f>('Kwh Reading'!C13-'Kwh Reading'!C12)*1000</f>
        <v>-231270</v>
      </c>
      <c r="F12" s="2">
        <f>('Kwh Reading'!J13-'Kwh Reading'!J12)*1000</f>
        <v>-318000</v>
      </c>
      <c r="G12" s="2">
        <f>('Kwh Reading'!K13-'Kwh Reading'!K12)*1000</f>
        <v>-342770</v>
      </c>
      <c r="H12" s="2">
        <f>('Kwh Reading'!L13-'Kwh Reading'!L12)*1000</f>
        <v>-235380</v>
      </c>
      <c r="I12" s="2">
        <f>('Kwh Reading'!R13-'Kwh Reading'!R12)*1000</f>
        <v>-166240</v>
      </c>
      <c r="J12" s="2">
        <f>('Kwh Reading'!S13-'Kwh Reading'!S12)*1000</f>
        <v>-116110</v>
      </c>
      <c r="K12" s="2">
        <f>('Kwh Reading'!I13-'Kwh Reading'!I12)*1000</f>
        <v>-238730</v>
      </c>
      <c r="L12" s="2">
        <f>('Kwh Reading'!B13-'Kwh Reading'!B12)*1000</f>
        <v>-991810</v>
      </c>
      <c r="M12" s="2">
        <f>('Kwh Reading'!M13-'Kwh Reading'!M12)*1000</f>
        <v>-524850</v>
      </c>
      <c r="N12" s="2">
        <f>('Kwh Reading'!H13-'Kwh Reading'!H12)*1000</f>
        <v>-626000</v>
      </c>
      <c r="O12" s="2">
        <f>('Kwh Reading'!P13-'Kwh Reading'!P12)*1000</f>
        <v>-627510</v>
      </c>
      <c r="P12" s="2">
        <f>('Kwh Reading'!G13-'Kwh Reading'!G12)*1000</f>
        <v>-752510</v>
      </c>
      <c r="Q12" s="2">
        <f>('Kwh Reading'!Q13-'Kwh Reading'!Q12)*1000</f>
        <v>-466800</v>
      </c>
      <c r="R12" s="2">
        <f>('Kwh Reading'!N13-'Kwh Reading'!N12)*1000</f>
        <v>-478760</v>
      </c>
      <c r="S12" s="34">
        <f>'Kwh Reading'!E13-'Kwh Reading'!E12</f>
        <v>-8211331</v>
      </c>
      <c r="T12" s="34">
        <f>'Kwh Reading'!D13-'Kwh Reading'!D12</f>
        <v>-7500214.96</v>
      </c>
      <c r="U12" s="27">
        <f>('Kwh Reading'!O13-'Kwh Reading'!O12)*1000</f>
        <v>-153070</v>
      </c>
      <c r="V12" s="16">
        <f t="shared" si="1"/>
        <v>24805215.960000001</v>
      </c>
    </row>
    <row r="13" spans="1:22" x14ac:dyDescent="0.25">
      <c r="A13" s="3">
        <f>'Kwh Reading'!A13</f>
        <v>44387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44388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44389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44390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44391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44392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44393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44394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44395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186650.00000000012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-316460</v>
      </c>
      <c r="G35" s="75">
        <f t="shared" ref="G35:U35" si="6">SUM(G4:G34)</f>
        <v>-340800.00000000006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-115160</v>
      </c>
      <c r="K35" s="75">
        <f t="shared" si="6"/>
        <v>-236040</v>
      </c>
      <c r="L35" s="75">
        <f t="shared" si="6"/>
        <v>-981180</v>
      </c>
      <c r="M35" s="75">
        <f t="shared" si="6"/>
        <v>-518450</v>
      </c>
      <c r="N35" s="75">
        <f t="shared" si="6"/>
        <v>-622150</v>
      </c>
      <c r="O35" s="75">
        <f t="shared" si="6"/>
        <v>-618580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24854631.440000001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6420.0000000000155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633.37000000041235</v>
      </c>
    </row>
    <row r="11" spans="1:12" x14ac:dyDescent="0.25">
      <c r="A11" s="14">
        <f>'Kwh Reading'!A12</f>
        <v>44386</v>
      </c>
      <c r="B11" s="83">
        <f>TOTAL!E10</f>
        <v>0</v>
      </c>
      <c r="C11" s="1">
        <f>'Kwh Consumption'!C12</f>
        <v>-424260</v>
      </c>
      <c r="D11" s="1">
        <f>'Kwh Consumption'!D12</f>
        <v>-2399600</v>
      </c>
      <c r="E11" s="1">
        <f>'Kwh Consumption'!E12</f>
        <v>-231270</v>
      </c>
      <c r="F11" s="1">
        <f>('Kwh Consumption'!F12+'Kwh Consumption'!G12+'Kwh Consumption'!H12)</f>
        <v>-896150</v>
      </c>
      <c r="G11" s="16">
        <f>('Kwh Consumption'!I12+'Kwh Consumption'!J12)</f>
        <v>-282350</v>
      </c>
      <c r="H11" s="1">
        <f>('Kwh Consumption'!K12+'Kwh Consumption'!L12)</f>
        <v>-1230540</v>
      </c>
      <c r="I11" s="1">
        <f>('Kwh Consumption'!M12+'Kwh Consumption'!N12+'Kwh Consumption'!O12+'Kwh Consumption'!P12+'Kwh Consumption'!Q12+'Kwh Consumption'!R12)</f>
        <v>-3476430</v>
      </c>
      <c r="J11" s="1">
        <f>('Kwh Consumption'!S12+'Kwh Consumption'!T12)</f>
        <v>-15711545.960000001</v>
      </c>
      <c r="K11" s="1">
        <f>'Kwh Consumption'!U12</f>
        <v>-153070</v>
      </c>
      <c r="L11" s="32">
        <f t="shared" si="0"/>
        <v>24805215.960000001</v>
      </c>
    </row>
    <row r="12" spans="1:12" x14ac:dyDescent="0.25">
      <c r="A12" s="14">
        <f>'Kwh Reading'!A13</f>
        <v>44387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44388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44389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44390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44391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44392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44393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44394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44395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183450.00000000026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-15665211.440000001</v>
      </c>
      <c r="K34" s="75">
        <f t="shared" si="1"/>
        <v>-151380</v>
      </c>
      <c r="L34" s="75">
        <f t="shared" si="1"/>
        <v>24851431.440000001</v>
      </c>
      <c r="M34" s="84">
        <f>C34+D34+E34+F34+G34+H34+I34+J34+K34+L34</f>
        <v>183450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3479200.4016000004</v>
      </c>
      <c r="M36" s="84">
        <f>C36+D36+E36+F36+G36+H36+I36+J36+K36+L36</f>
        <v>25683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898.80000000000223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88.67180000005844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-59396.400000000009</v>
      </c>
      <c r="E11" s="1">
        <f>'Kwh Consumption'!D12*' Kwh area wise $ '!B11</f>
        <v>-335944.00000000006</v>
      </c>
      <c r="F11" s="1">
        <f>'Kwh Consumption'!E12*' Kwh area wise $ '!B11</f>
        <v>-32377.800000000003</v>
      </c>
      <c r="G11" s="1">
        <f>('Kwh Consumption'!F12+'Kwh Consumption'!G12+'Kwh Consumption'!H12)*' Kwh area wise $ '!B11</f>
        <v>-125461.00000000001</v>
      </c>
      <c r="H11" s="16">
        <f>('Kwh Consumption'!I12+'Kwh Consumption'!J12)*' Kwh area wise $ '!B11</f>
        <v>-39529.000000000007</v>
      </c>
      <c r="I11" s="1">
        <f>('Kwh Consumption'!K12+'Kwh Consumption'!L12)*' Kwh area wise $ '!B11</f>
        <v>-172275.6</v>
      </c>
      <c r="J11" s="1">
        <f>('Kwh Consumption'!M12+'Kwh Consumption'!N12+'Kwh Consumption'!O12+'Kwh Consumption'!P12+'Kwh Consumption'!Q12+'Kwh Consumption'!R12)*' Kwh area wise $ '!B11</f>
        <v>-486700.20000000007</v>
      </c>
      <c r="K11" s="1">
        <f>('Kwh Consumption'!S12+'Kwh Consumption'!T12)*' Kwh area wise $ '!B11</f>
        <v>-2199616.4344000001</v>
      </c>
      <c r="L11" s="1">
        <f>'Kwh Consumption'!U12*' Kwh area wise $ '!B11</f>
        <v>-21429.800000000003</v>
      </c>
      <c r="M11" s="1">
        <f>'Kwh Consumption'!V12*' Kwh area wise $ '!B11</f>
        <v>3472730.2344000004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26131.000000000018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-124762.40000000002</v>
      </c>
      <c r="H34" s="75">
        <f t="shared" si="0"/>
        <v>-38204.600000000006</v>
      </c>
      <c r="I34" s="75">
        <f t="shared" si="0"/>
        <v>-170410.80000000002</v>
      </c>
      <c r="J34" s="75">
        <f t="shared" si="0"/>
        <v>-481465.60000000009</v>
      </c>
      <c r="K34" s="75">
        <f t="shared" si="0"/>
        <v>-2193129.6016000002</v>
      </c>
      <c r="L34" s="75">
        <f t="shared" si="0"/>
        <v>-21193.200000000004</v>
      </c>
      <c r="M34" s="75">
        <f>SUM(M3:M33)</f>
        <v>3479648.4016000004</v>
      </c>
      <c r="N34" s="84">
        <f>D34+E34+F34+G34+H34+I34+J34+K34+L34+M34</f>
        <v>26131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1" sqref="R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170693</v>
      </c>
      <c r="C8" s="56">
        <v>129774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33"/>
      <c r="C9" s="33">
        <v>129774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/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33"/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44388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44389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44390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44391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44392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44393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44394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44395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44396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7" sqref="C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737</v>
      </c>
      <c r="D8" s="67">
        <f t="shared" si="2"/>
        <v>3.0081632653061225</v>
      </c>
      <c r="E8" s="88">
        <f>'Water Reading'!H8-'Water Reading'!H7</f>
        <v>33</v>
      </c>
      <c r="F8" s="89">
        <f t="shared" si="3"/>
        <v>4.4776119402985072E-2</v>
      </c>
      <c r="G8" s="93">
        <f>('Water Reading'!D8-'Water Reading'!D7)-('Water Reading'!R8-'Water Reading'!R7)-('Water Reading'!Q8-'Water Reading'!Q7)</f>
        <v>105</v>
      </c>
      <c r="H8" s="89">
        <f t="shared" si="4"/>
        <v>0.14246947082767977</v>
      </c>
      <c r="I8" s="90">
        <f>'Water Reading'!P8-'Water Reading'!P7</f>
        <v>12</v>
      </c>
      <c r="J8" s="68">
        <f t="shared" si="5"/>
        <v>1.6282225237449117E-2</v>
      </c>
      <c r="K8" s="91">
        <f>('Water Reading'!I8-'Water Reading'!I7)-('Water Reading'!P8-'Water Reading'!P7)</f>
        <v>13</v>
      </c>
      <c r="L8" s="68">
        <f t="shared" si="6"/>
        <v>1.7639077340569877E-2</v>
      </c>
      <c r="M8" s="90">
        <f>'Water Reading'!R8-'Water Reading'!R7</f>
        <v>3</v>
      </c>
      <c r="N8" s="92">
        <f t="shared" si="7"/>
        <v>4.0705563093622792E-3</v>
      </c>
      <c r="O8" s="90">
        <f>'Water Reading'!Q8-'Water Reading'!Q7</f>
        <v>10</v>
      </c>
      <c r="P8" s="99">
        <f t="shared" si="8"/>
        <v>1.3568521031207599E-2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8.4124830393487116E-2</v>
      </c>
      <c r="U8" s="90">
        <f>'Water Reading'!G8-'Water Reading'!G7</f>
        <v>16</v>
      </c>
      <c r="V8" s="100">
        <f t="shared" si="11"/>
        <v>2.1709633649932156E-2</v>
      </c>
      <c r="W8" s="90">
        <f>'Water Reading'!J8-'Water Reading'!J7</f>
        <v>11</v>
      </c>
      <c r="X8" s="100">
        <f t="shared" si="12"/>
        <v>1.4925373134328358E-2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-170693</v>
      </c>
      <c r="D9" s="67">
        <f t="shared" si="2"/>
        <v>-711.2208333333333</v>
      </c>
      <c r="E9" s="88">
        <f>'Water Reading'!H9-'Water Reading'!H8</f>
        <v>39</v>
      </c>
      <c r="F9" s="89">
        <f t="shared" si="3"/>
        <v>-2.2848037119272611E-4</v>
      </c>
      <c r="G9" s="93">
        <f>('Water Reading'!D9-'Water Reading'!D8)-('Water Reading'!R9-'Water Reading'!R8)-('Water Reading'!Q9-'Water Reading'!Q8)</f>
        <v>88</v>
      </c>
      <c r="H9" s="89">
        <f t="shared" si="4"/>
        <v>-5.1554545294768973E-4</v>
      </c>
      <c r="I9" s="90">
        <f>'Water Reading'!P9-'Water Reading'!P8</f>
        <v>14</v>
      </c>
      <c r="J9" s="68">
        <f t="shared" si="5"/>
        <v>-8.2018594787132456E-5</v>
      </c>
      <c r="K9" s="91">
        <f>('Water Reading'!I9-'Water Reading'!I8)-('Water Reading'!P9-'Water Reading'!P8)</f>
        <v>16</v>
      </c>
      <c r="L9" s="68">
        <f t="shared" si="6"/>
        <v>-9.3735536899579953E-5</v>
      </c>
      <c r="M9" s="90">
        <f>'Water Reading'!R9-'Water Reading'!R8</f>
        <v>4</v>
      </c>
      <c r="N9" s="92">
        <f t="shared" si="7"/>
        <v>-2.3433884224894988E-5</v>
      </c>
      <c r="O9" s="90">
        <f>'Water Reading'!Q9-'Water Reading'!Q8</f>
        <v>5</v>
      </c>
      <c r="P9" s="99">
        <f t="shared" si="8"/>
        <v>-2.9292355281118734E-5</v>
      </c>
      <c r="Q9" s="91">
        <f>'Water Reading'!F9-'Water Reading'!F8</f>
        <v>3</v>
      </c>
      <c r="R9" s="100">
        <f t="shared" si="9"/>
        <v>-1.757541316867124E-5</v>
      </c>
      <c r="S9" s="90">
        <f>'Water Reading'!E9-'Water Reading'!E8</f>
        <v>67</v>
      </c>
      <c r="T9" s="100">
        <f t="shared" si="10"/>
        <v>-3.9251756076699105E-4</v>
      </c>
      <c r="U9" s="90">
        <f>'Water Reading'!G9-'Water Reading'!G8</f>
        <v>13</v>
      </c>
      <c r="V9" s="100">
        <f t="shared" si="11"/>
        <v>-7.6160123730908714E-5</v>
      </c>
      <c r="W9" s="90">
        <f>'Water Reading'!J9-'Water Reading'!J8</f>
        <v>11</v>
      </c>
      <c r="X9" s="100">
        <f t="shared" si="12"/>
        <v>-6.4443181618461216E-5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-332</v>
      </c>
      <c r="D10" s="67">
        <f t="shared" si="2"/>
        <v>-1.4690265486725664</v>
      </c>
      <c r="E10" s="88">
        <f>'Water Reading'!H10-'Water Reading'!H9</f>
        <v>26</v>
      </c>
      <c r="F10" s="89">
        <f t="shared" si="3"/>
        <v>-7.8313253012048195E-2</v>
      </c>
      <c r="G10" s="93">
        <f>('Water Reading'!D10-'Water Reading'!D9)-('Water Reading'!R10-'Water Reading'!R9)-('Water Reading'!Q10-'Water Reading'!Q9)</f>
        <v>78</v>
      </c>
      <c r="H10" s="89">
        <f t="shared" si="4"/>
        <v>-0.23493975903614459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-3.313253012048193E-2</v>
      </c>
      <c r="M10" s="90">
        <f>'Water Reading'!R10-'Water Reading'!R9</f>
        <v>4</v>
      </c>
      <c r="N10" s="92">
        <f t="shared" si="7"/>
        <v>-1.2048192771084338E-2</v>
      </c>
      <c r="O10" s="90">
        <f>'Water Reading'!Q10-'Water Reading'!Q9</f>
        <v>12</v>
      </c>
      <c r="P10" s="99">
        <f t="shared" si="8"/>
        <v>-3.614457831325301E-2</v>
      </c>
      <c r="Q10" s="91">
        <f>'Water Reading'!F10-'Water Reading'!F9</f>
        <v>1</v>
      </c>
      <c r="R10" s="100">
        <f t="shared" si="9"/>
        <v>-3.0120481927710845E-3</v>
      </c>
      <c r="S10" s="90">
        <f>'Water Reading'!E10-'Water Reading'!E9</f>
        <v>63</v>
      </c>
      <c r="T10" s="100">
        <f t="shared" si="10"/>
        <v>-0.18975903614457831</v>
      </c>
      <c r="U10" s="90">
        <f>'Water Reading'!G10-'Water Reading'!G9</f>
        <v>15</v>
      </c>
      <c r="V10" s="100">
        <f t="shared" si="11"/>
        <v>-4.5180722891566265E-2</v>
      </c>
      <c r="W10" s="90">
        <f>'Water Reading'!J10-'Water Reading'!J9</f>
        <v>12</v>
      </c>
      <c r="X10" s="100">
        <f t="shared" si="12"/>
        <v>-3.614457831325301E-2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0</v>
      </c>
      <c r="C12" s="66">
        <f>('Water Reading'!B12-'Water Reading'!B11)+('Water Reading'!C12-'Water Reading'!C11)</f>
        <v>-129507</v>
      </c>
      <c r="D12" s="67" t="e">
        <f t="shared" si="2"/>
        <v>#DIV/0!</v>
      </c>
      <c r="E12" s="88">
        <f>'Water Reading'!H12-'Water Reading'!H11</f>
        <v>-53197</v>
      </c>
      <c r="F12" s="89">
        <f t="shared" si="3"/>
        <v>0.41076544125027992</v>
      </c>
      <c r="G12" s="93">
        <f>('Water Reading'!D12-'Water Reading'!D11)-('Water Reading'!R12-'Water Reading'!R11)-('Water Reading'!Q12-'Water Reading'!Q11)</f>
        <v>-203332</v>
      </c>
      <c r="H12" s="89">
        <f t="shared" si="4"/>
        <v>1.5700464067579358</v>
      </c>
      <c r="I12" s="90">
        <f>'Water Reading'!P12-'Water Reading'!P11</f>
        <v>-27092</v>
      </c>
      <c r="J12" s="68">
        <f t="shared" si="5"/>
        <v>0.20919332545731117</v>
      </c>
      <c r="K12" s="91">
        <f>('Water Reading'!I12-'Water Reading'!I11)-('Water Reading'!P12-'Water Reading'!P11)</f>
        <v>-36711</v>
      </c>
      <c r="L12" s="68">
        <f t="shared" si="6"/>
        <v>0.2834673029257106</v>
      </c>
      <c r="M12" s="90">
        <f>'Water Reading'!R12-'Water Reading'!R11</f>
        <v>-6258</v>
      </c>
      <c r="N12" s="92">
        <f t="shared" si="7"/>
        <v>4.8321712339873521E-2</v>
      </c>
      <c r="O12" s="98">
        <f>'Water Reading'!Q12-'Water Reading'!Q11</f>
        <v>-695</v>
      </c>
      <c r="P12" s="99">
        <f t="shared" si="8"/>
        <v>5.3665052854285867E-3</v>
      </c>
      <c r="Q12" s="91">
        <f>'Water Reading'!F12-'Water Reading'!F11</f>
        <v>-66939</v>
      </c>
      <c r="R12" s="100">
        <f t="shared" si="9"/>
        <v>0.51687553568532973</v>
      </c>
      <c r="S12" s="90">
        <f>'Water Reading'!E12-'Water Reading'!E11</f>
        <v>-248332</v>
      </c>
      <c r="T12" s="100">
        <f t="shared" si="10"/>
        <v>1.9175179720015134</v>
      </c>
      <c r="U12" s="90">
        <f>'Water Reading'!G12-'Water Reading'!G11</f>
        <v>-111759</v>
      </c>
      <c r="V12" s="100">
        <f t="shared" si="11"/>
        <v>0.86295721466793296</v>
      </c>
      <c r="W12" s="90">
        <f>'Water Reading'!J12-'Water Reading'!J11</f>
        <v>-20402</v>
      </c>
      <c r="X12" s="100">
        <f t="shared" si="12"/>
        <v>0.15753588609109934</v>
      </c>
      <c r="Y12" s="66">
        <f t="shared" si="0"/>
        <v>-774717</v>
      </c>
      <c r="Z12" s="67" t="e">
        <f t="shared" si="1"/>
        <v>#DIV/0!</v>
      </c>
    </row>
    <row r="13" spans="1:26" x14ac:dyDescent="0.25">
      <c r="A13" s="8">
        <f>'Water Reading'!A12</f>
        <v>44387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44388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44389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44390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44391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44392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44393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44394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44395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2150</v>
      </c>
      <c r="C35" s="75">
        <f>SUM(C4:C34)</f>
        <v>-297465</v>
      </c>
      <c r="D35" s="96">
        <f>C35/B35</f>
        <v>-138.35581395348837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-359.33441860465115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2021-07-09T10:22:02Z</dcterms:modified>
  <cp:category/>
  <cp:contentStatus/>
</cp:coreProperties>
</file>