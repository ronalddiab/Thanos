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8" activeTab="8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2" l="1"/>
  <c r="X27" i="1" l="1"/>
  <c r="X31" i="1" s="1"/>
  <c r="X32" i="1" s="1"/>
  <c r="X33" i="1" s="1"/>
  <c r="Z27" i="1"/>
  <c r="AB26" i="1"/>
  <c r="AB27" i="1" s="1"/>
  <c r="AC25" i="1"/>
  <c r="AB28" i="1" l="1"/>
  <c r="AC27" i="1"/>
  <c r="AC26" i="1"/>
  <c r="D18" i="4"/>
  <c r="Z31" i="1" l="1"/>
  <c r="Z32" i="1" s="1"/>
  <c r="Z33" i="1" s="1"/>
  <c r="AA30" i="1"/>
  <c r="AC28" i="1"/>
  <c r="AB29" i="1"/>
  <c r="AC3" i="1"/>
  <c r="AC4" i="1"/>
  <c r="AC5" i="1"/>
  <c r="AC6" i="1"/>
  <c r="AC7" i="1"/>
  <c r="AC8" i="1"/>
  <c r="AC29" i="1" l="1"/>
  <c r="C11" i="5"/>
  <c r="AC30" i="1" l="1"/>
  <c r="AB31" i="1"/>
  <c r="C9" i="5"/>
  <c r="O10" i="1"/>
  <c r="AC31" i="1" l="1"/>
  <c r="AB32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9" i="1"/>
  <c r="Z3" i="1"/>
  <c r="AA3" i="1" s="1"/>
  <c r="X3" i="1"/>
  <c r="Y4" i="1" s="1"/>
  <c r="AA6" i="1"/>
  <c r="AB33" i="1" l="1"/>
  <c r="AC32" i="1"/>
  <c r="Y3" i="1"/>
  <c r="AA4" i="1"/>
  <c r="J31" i="4"/>
  <c r="J32" i="4" s="1"/>
  <c r="J33" i="4" s="1"/>
  <c r="T11" i="2"/>
  <c r="T17" i="2" s="1"/>
  <c r="T18" i="2" s="1"/>
  <c r="T31" i="2" s="1"/>
  <c r="T32" i="2" s="1"/>
  <c r="T33" i="2" s="1"/>
  <c r="P27" i="2"/>
  <c r="P29" i="2" s="1"/>
  <c r="P30" i="2" s="1"/>
  <c r="P31" i="2" s="1"/>
  <c r="P32" i="2" s="1"/>
  <c r="P33" i="2" s="1"/>
  <c r="N31" i="2"/>
  <c r="N32" i="2" s="1"/>
  <c r="N33" i="2" s="1"/>
  <c r="L31" i="2"/>
  <c r="L32" i="2" s="1"/>
  <c r="L33" i="2" s="1"/>
  <c r="J3" i="2"/>
  <c r="H31" i="2"/>
  <c r="H32" i="2" s="1"/>
  <c r="H33" i="2" s="1"/>
  <c r="B31" i="2"/>
  <c r="B32" i="2" s="1"/>
  <c r="B33" i="2" s="1"/>
  <c r="R2" i="2"/>
  <c r="V31" i="4"/>
  <c r="V32" i="4" s="1"/>
  <c r="V33" i="4" s="1"/>
  <c r="R31" i="4"/>
  <c r="R32" i="4" s="1"/>
  <c r="R33" i="4" s="1"/>
  <c r="P31" i="4"/>
  <c r="P32" i="4" s="1"/>
  <c r="P33" i="4" s="1"/>
  <c r="N31" i="4"/>
  <c r="N32" i="4" s="1"/>
  <c r="N33" i="4" s="1"/>
  <c r="L31" i="4"/>
  <c r="L32" i="4" s="1"/>
  <c r="L33" i="4" s="1"/>
  <c r="G31" i="4"/>
  <c r="G32" i="4" s="1"/>
  <c r="G33" i="4" s="1"/>
  <c r="E31" i="4"/>
  <c r="E32" i="4" s="1"/>
  <c r="E33" i="4" s="1"/>
  <c r="C8" i="4"/>
  <c r="C31" i="4" s="1"/>
  <c r="C32" i="4" s="1"/>
  <c r="C33" i="4" s="1"/>
  <c r="AA2" i="4"/>
  <c r="Z2" i="4"/>
  <c r="X2" i="4"/>
  <c r="I2" i="4"/>
  <c r="H16" i="3"/>
  <c r="H31" i="3" s="1"/>
  <c r="H32" i="3" s="1"/>
  <c r="H33" i="3" s="1"/>
  <c r="F31" i="3"/>
  <c r="F32" i="3" s="1"/>
  <c r="F33" i="3" s="1"/>
  <c r="B31" i="3"/>
  <c r="B32" i="3" s="1"/>
  <c r="B33" i="3" s="1"/>
  <c r="J2" i="3"/>
  <c r="K2" i="3" s="1"/>
  <c r="B31" i="5"/>
  <c r="B32" i="5" s="1"/>
  <c r="B33" i="5" s="1"/>
  <c r="Q31" i="1"/>
  <c r="Q32" i="1" s="1"/>
  <c r="Q33" i="1" s="1"/>
  <c r="K31" i="1"/>
  <c r="K32" i="1" s="1"/>
  <c r="K33" i="1" s="1"/>
  <c r="H31" i="1"/>
  <c r="H32" i="1" s="1"/>
  <c r="H33" i="1" s="1"/>
  <c r="E31" i="1"/>
  <c r="E32" i="1" s="1"/>
  <c r="E33" i="1" s="1"/>
  <c r="B31" i="1"/>
  <c r="B32" i="1" s="1"/>
  <c r="B33" i="1" s="1"/>
  <c r="AA2" i="1"/>
  <c r="Y2" i="1"/>
  <c r="S2" i="1"/>
  <c r="P2" i="1"/>
  <c r="M2" i="1"/>
  <c r="J2" i="1"/>
  <c r="G2" i="1"/>
  <c r="T2" i="1"/>
  <c r="U2" i="1" s="1"/>
  <c r="AC33" i="1" l="1"/>
  <c r="N31" i="1"/>
  <c r="N32" i="1" s="1"/>
  <c r="N33" i="1" s="1"/>
  <c r="O14" i="1"/>
  <c r="G15" i="3"/>
  <c r="G14" i="3"/>
  <c r="I15" i="2"/>
  <c r="I14" i="2"/>
  <c r="U14" i="2"/>
  <c r="O15" i="2"/>
  <c r="O14" i="2"/>
  <c r="O13" i="2"/>
  <c r="M14" i="2"/>
  <c r="M15" i="2"/>
  <c r="F31" i="2"/>
  <c r="F32" i="2" s="1"/>
  <c r="F33" i="2" s="1"/>
  <c r="G14" i="2"/>
  <c r="E14" i="2"/>
  <c r="C15" i="2"/>
  <c r="C14" i="2"/>
  <c r="Y2" i="4"/>
  <c r="D2" i="1"/>
  <c r="G25" i="3"/>
  <c r="G26" i="3"/>
  <c r="G27" i="3"/>
  <c r="D31" i="2" l="1"/>
  <c r="D32" i="2" s="1"/>
  <c r="D33" i="2" s="1"/>
  <c r="E15" i="2"/>
  <c r="G25" i="2"/>
  <c r="R14" i="2" l="1"/>
  <c r="R17" i="2" s="1"/>
  <c r="R18" i="2" s="1"/>
  <c r="R21" i="2" s="1"/>
  <c r="R24" i="2" s="1"/>
  <c r="R25" i="2" s="1"/>
  <c r="R26" i="2" s="1"/>
  <c r="R27" i="2" s="1"/>
  <c r="R31" i="2" s="1"/>
  <c r="R32" i="2" s="1"/>
  <c r="R33" i="2" s="1"/>
  <c r="M26" i="2" l="1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2" i="1" l="1"/>
  <c r="T22" i="1"/>
  <c r="D24" i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H13" i="4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3" i="1" l="1"/>
  <c r="M32" i="1"/>
  <c r="C33" i="1"/>
  <c r="D33" i="1" s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<sst xmlns="http://schemas.openxmlformats.org/spreadsheetml/2006/main" count="442" uniqueCount="147">
  <si>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</si>
  <si>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</si>
  <si>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</si>
  <si>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</si>
  <si>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</si>
  <si>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</si>
  <si>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</si>
  <si>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</si>
  <si>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</si>
  <si>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</si>
  <si>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</si>
  <si>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</si>
  <si>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</si>
  <si>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</si>
  <si>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</si>
  <si>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</si>
  <si>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</si>
  <si>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</si>
  <si>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</si>
  <si>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</si>
  <si>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</si>
  <si>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</si>
  <si>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</si>
  <si>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</si>
  <si>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</si>
  <si>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</si>
  <si>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</si>
  <si>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</si>
  <si>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</si>
  <si>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</si>
  <si>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</si>
  <si>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</si>
  <si>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</si>
  <si>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</si>
  <si>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</si>
  <si>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</si>
  <si>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</si>
  <si>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</si>
  <si>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</si>
  <si>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</si>
  <si>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</si>
  <si>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</si>
  <si>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</si>
  <si>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</si>
  <si>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</si>
  <si>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</si>
  <si>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</si>
  <si>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</si>
  <si>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</si>
  <si>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</si>
  <si>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</si>
  <si>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</si>
  <si>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</si>
  <si>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</si>
  <si>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</si>
  <si>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</si>
  <si>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</si>
  <si>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</si>
  <si>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</si>
  <si>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</si>
  <si>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</si>
  <si>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</si>
  <si>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</si>
  <si>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</si>
  <si>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</si>
  <si>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</si>
  <si>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</si>
  <si>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</si>
  <si>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</si>
  <si>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</si>
  <si>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</si>
  <si>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</si>
  <si>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</si>
  <si>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</si>
  <si>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</si>
  <si>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</si>
  <si>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</si>
  <si>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</si>
  <si>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</si>
  <si>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</si>
  <si>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</si>
  <si>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</si>
  <si>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</si>
  <si>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</si>
  <si>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</si>
  <si>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</si>
  <si>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</si>
  <si>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</si>
  <si>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</si>
  <si>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</si>
  <si>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</si>
  <si>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</si>
  <si>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</si>
  <si>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</si>
  <si>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</si>
  <si>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</si>
  <si>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</si>
  <si>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</si>
  <si>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</si>
  <si>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</si>
  <si>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</si>
  <si>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</si>
  <si>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</si>
  <si>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</si>
  <si>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</si>
  <si>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</si>
  <si>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</si>
  <si>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</si>
  <si>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</si>
  <si>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</si>
  <si>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</si>
  <si>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</si>
  <si>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</si>
  <si>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</si>
  <si>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</si>
  <si>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</si>
  <si>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</si>
  <si>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</si>
  <si>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</si>
  <si>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</si>
  <si>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</si>
  <si>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</si>
  <si>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</si>
  <si>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</si>
  <si>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</si>
  <si>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</si>
  <si>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</si>
  <si>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</si>
  <si>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</si>
  <si>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</si>
  <si>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</si>
  <si>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</si>
  <si>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</si>
  <si>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</si>
  <si>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</si>
  <si>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</si>
  <si>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</si>
  <si>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</si>
  <si>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</si>
  <si>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</si>
  <si>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</si>
  <si>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</si>
  <si>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</si>
  <si>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Water consumption for cooling towers</t>
  </si>
  <si>
    <t>Total cons.</t>
  </si>
  <si>
    <t>Energy Monthly Statement  October 2021</t>
  </si>
  <si>
    <t>Chilled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</si>
</sst>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13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O11" sqref="O1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10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55017.594855999996</v>
      </c>
      <c r="F2" s="146">
        <v>1.27</v>
      </c>
      <c r="G2" s="42">
        <f>Gas!C3*0.9147</f>
        <v>1925.4434999999999</v>
      </c>
      <c r="H2" s="147">
        <v>3.65</v>
      </c>
      <c r="I2" s="148">
        <f>Submetering!H2+Submetering!AD2+Submetering!AE2</f>
        <v>885.99999999999989</v>
      </c>
      <c r="J2" s="149">
        <v>10.029999999999999</v>
      </c>
      <c r="K2" s="42">
        <f>ELECT.!B3</f>
        <v>299</v>
      </c>
    </row>
    <row r="3" spans="1:14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53117.440119999999</v>
      </c>
      <c r="F3" s="146">
        <v>1.27</v>
      </c>
      <c r="G3" s="42">
        <f>Gas!C4*0.9147</f>
        <v>2003.193</v>
      </c>
      <c r="H3" s="147">
        <v>3.65</v>
      </c>
      <c r="I3" s="149">
        <f>Submetering!H3+Submetering!AD3+Submetering!AE3</f>
        <v>896</v>
      </c>
      <c r="J3" s="149">
        <v>10.029999999999999</v>
      </c>
      <c r="K3" s="42">
        <f>ELECT.!B4</f>
        <v>143</v>
      </c>
    </row>
    <row r="4" spans="1:14" x14ac:dyDescent="0.2">
      <c r="A4" s="53" t="s">
        <v>53</v>
      </c>
      <c r="B4" s="58">
        <f t="shared" ref="B4:B31" si="0">B3+1</f>
        <v>3</v>
      </c>
      <c r="C4" s="58">
        <v>10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81175.251932000014</v>
      </c>
      <c r="F4" s="146">
        <v>1.27</v>
      </c>
      <c r="G4" s="42">
        <f>Gas!C5*0.9147</f>
        <v>1876.9643999999998</v>
      </c>
      <c r="H4" s="147">
        <v>3.65</v>
      </c>
      <c r="I4" s="149">
        <f>Submetering!H4+Submetering!AD4+Submetering!AE4</f>
        <v>826.00000000000011</v>
      </c>
      <c r="J4" s="149">
        <v>10.029999999999999</v>
      </c>
      <c r="K4" s="42">
        <f>ELECT.!B5</f>
        <v>249</v>
      </c>
    </row>
    <row r="5" spans="1:14" x14ac:dyDescent="0.2">
      <c r="A5" s="53" t="s">
        <v>53</v>
      </c>
      <c r="B5" s="58">
        <f t="shared" si="0"/>
        <v>4</v>
      </c>
      <c r="C5" s="58">
        <v>10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57433.51902</v>
      </c>
      <c r="F5" s="146">
        <v>1.27</v>
      </c>
      <c r="G5" s="42">
        <f>Gas!C6*0.9147</f>
        <v>1885.1967</v>
      </c>
      <c r="H5" s="147">
        <v>3.65</v>
      </c>
      <c r="I5" s="149">
        <f>Submetering!H5+Submetering!AD5+Submetering!AE5</f>
        <v>826.00000000000011</v>
      </c>
      <c r="J5" s="149">
        <v>10.029999999999999</v>
      </c>
      <c r="K5" s="42">
        <f>ELECT.!B6</f>
        <v>162</v>
      </c>
    </row>
    <row r="6" spans="1:14" x14ac:dyDescent="0.2">
      <c r="A6" s="53" t="s">
        <v>53</v>
      </c>
      <c r="B6" s="58">
        <f t="shared" si="0"/>
        <v>5</v>
      </c>
      <c r="C6" s="58">
        <v>10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54128.178227999997</v>
      </c>
      <c r="F6" s="146">
        <v>1.27</v>
      </c>
      <c r="G6" s="42">
        <f>Gas!C7*0.9147</f>
        <v>1828.4852999999998</v>
      </c>
      <c r="H6" s="147">
        <v>3.65</v>
      </c>
      <c r="I6" s="149">
        <f>Submetering!H6+Submetering!AD6+Submetering!AE6</f>
        <v>906</v>
      </c>
      <c r="J6" s="149">
        <v>10.029999999999999</v>
      </c>
      <c r="K6" s="42">
        <f>ELECT.!B7</f>
        <v>281</v>
      </c>
    </row>
    <row r="7" spans="1:14" x14ac:dyDescent="0.2">
      <c r="A7" s="53" t="s">
        <v>53</v>
      </c>
      <c r="B7" s="58">
        <f t="shared" si="0"/>
        <v>6</v>
      </c>
      <c r="C7" s="58">
        <v>10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69833.935811999996</v>
      </c>
      <c r="F7" s="146">
        <v>1.27</v>
      </c>
      <c r="G7" s="42">
        <f>Gas!C8*0.9147</f>
        <v>2033.3780999999999</v>
      </c>
      <c r="H7" s="147">
        <v>3.65</v>
      </c>
      <c r="I7" s="149">
        <f>Submetering!H7+Submetering!AD7+Submetering!AE7</f>
        <v>906</v>
      </c>
      <c r="J7" s="149">
        <v>10.029999999999999</v>
      </c>
      <c r="K7" s="42">
        <f>ELECT.!B8</f>
        <v>226</v>
      </c>
    </row>
    <row r="8" spans="1:14" x14ac:dyDescent="0.2">
      <c r="A8" s="53" t="s">
        <v>53</v>
      </c>
      <c r="B8" s="58">
        <f t="shared" si="0"/>
        <v>7</v>
      </c>
      <c r="C8" s="58">
        <v>10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52762.627635999997</v>
      </c>
      <c r="F8" s="146">
        <v>1.27</v>
      </c>
      <c r="G8" s="42">
        <f>Gas!C9*0.9147</f>
        <v>1930.0169999999998</v>
      </c>
      <c r="H8" s="147">
        <v>3.65</v>
      </c>
      <c r="I8" s="149">
        <f>Submetering!H8+Submetering!AD8+Submetering!AE8</f>
        <v>736</v>
      </c>
      <c r="J8" s="149">
        <v>10.029999999999999</v>
      </c>
      <c r="K8" s="42">
        <f>ELECT.!B9</f>
        <v>207</v>
      </c>
    </row>
    <row r="9" spans="1:14" x14ac:dyDescent="0.2">
      <c r="A9" s="53" t="s">
        <v>53</v>
      </c>
      <c r="B9" s="58">
        <f t="shared" si="0"/>
        <v>8</v>
      </c>
      <c r="C9" s="58">
        <v>10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60791.167543999989</v>
      </c>
      <c r="F9" s="146">
        <v>1.27</v>
      </c>
      <c r="G9" s="42">
        <f>Gas!C10*0.9147</f>
        <v>1855.9262999999999</v>
      </c>
      <c r="H9" s="147">
        <v>3.65</v>
      </c>
      <c r="I9" s="149">
        <f>Submetering!H9+Submetering!AD9+Submetering!AE9</f>
        <v>745.99999999999989</v>
      </c>
      <c r="J9" s="149">
        <v>10.029999999999999</v>
      </c>
      <c r="K9" s="42">
        <f>ELECT.!B10</f>
        <v>273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10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57594.446032</v>
      </c>
      <c r="F10" s="146">
        <v>1.27</v>
      </c>
      <c r="G10" s="42">
        <f>Gas!C11*0.9147</f>
        <v>1977.5813999999998</v>
      </c>
      <c r="H10" s="147">
        <v>3.65</v>
      </c>
      <c r="I10" s="149">
        <f>Submetering!H10+Submetering!AD10+Submetering!AE10</f>
        <v>745.99999999999989</v>
      </c>
      <c r="J10" s="149">
        <v>10.029999999999999</v>
      </c>
      <c r="K10" s="42">
        <f>ELECT.!B11</f>
        <v>270</v>
      </c>
    </row>
    <row r="11" spans="1:14" x14ac:dyDescent="0.2">
      <c r="A11" s="53" t="s">
        <v>53</v>
      </c>
      <c r="B11" s="58">
        <f t="shared" si="0"/>
        <v>10</v>
      </c>
      <c r="C11" s="58">
        <v>10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61109.925311999999</v>
      </c>
      <c r="F11" s="146">
        <v>1.27</v>
      </c>
      <c r="G11" s="42">
        <f>Gas!C12*0.9147</f>
        <v>3910.3424999999997</v>
      </c>
      <c r="H11" s="147">
        <v>3.65</v>
      </c>
      <c r="I11" s="149">
        <f>Submetering!H11+Submetering!AD11+Submetering!AE11</f>
        <v>1325.9999999999998</v>
      </c>
      <c r="J11" s="149">
        <v>10.029999999999999</v>
      </c>
      <c r="K11" s="42">
        <f>ELECT.!B12</f>
        <v>294</v>
      </c>
    </row>
    <row r="12" spans="1:14" x14ac:dyDescent="0.2">
      <c r="A12" s="53" t="s">
        <v>53</v>
      </c>
      <c r="B12" s="58">
        <f t="shared" si="0"/>
        <v>11</v>
      </c>
      <c r="C12" s="58">
        <v>10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79502.508071999997</v>
      </c>
      <c r="F12" s="146">
        <v>1.27</v>
      </c>
      <c r="G12" s="42">
        <f>Gas!C13*0.9147</f>
        <v>2062.6484999999998</v>
      </c>
      <c r="H12" s="147">
        <v>3.65</v>
      </c>
      <c r="I12" s="149">
        <f>Submetering!H12+Submetering!AD12+Submetering!AE12</f>
        <v>986.00000000000011</v>
      </c>
      <c r="J12" s="149">
        <v>10.029999999999999</v>
      </c>
      <c r="K12" s="42">
        <f>ELECT.!B13</f>
        <v>317</v>
      </c>
    </row>
    <row r="13" spans="1:14" x14ac:dyDescent="0.2">
      <c r="A13" s="53" t="s">
        <v>53</v>
      </c>
      <c r="B13" s="58">
        <f t="shared" si="0"/>
        <v>12</v>
      </c>
      <c r="C13" s="58">
        <v>10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44117.706515999998</v>
      </c>
      <c r="F13" s="146">
        <v>1.27</v>
      </c>
      <c r="G13" s="42">
        <f>Gas!C14*0.9147</f>
        <v>2010.5105999999998</v>
      </c>
      <c r="H13" s="147">
        <v>3.65</v>
      </c>
      <c r="I13" s="149">
        <f>Submetering!H13+Submetering!AD13+Submetering!AE13</f>
        <v>796</v>
      </c>
      <c r="J13" s="149">
        <v>10.029999999999999</v>
      </c>
      <c r="K13" s="42">
        <f>ELECT.!B14</f>
        <v>308</v>
      </c>
    </row>
    <row r="14" spans="1:14" x14ac:dyDescent="0.2">
      <c r="A14" s="53" t="s">
        <v>53</v>
      </c>
      <c r="B14" s="58">
        <f t="shared" si="0"/>
        <v>13</v>
      </c>
      <c r="C14" s="58">
        <v>10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55639.88545200001</v>
      </c>
      <c r="F14" s="146">
        <v>1.27</v>
      </c>
      <c r="G14" s="42">
        <f>Gas!C15*0.9147</f>
        <v>2373.6464999999998</v>
      </c>
      <c r="H14" s="147">
        <v>3.65</v>
      </c>
      <c r="I14" s="149">
        <f>Submetering!H14+Submetering!AD14+Submetering!AE14</f>
        <v>1046</v>
      </c>
      <c r="J14" s="149">
        <v>10.029999999999999</v>
      </c>
      <c r="K14" s="42">
        <f>ELECT.!B15</f>
        <v>288</v>
      </c>
    </row>
    <row r="15" spans="1:14" x14ac:dyDescent="0.2">
      <c r="A15" s="53" t="s">
        <v>53</v>
      </c>
      <c r="B15" s="58">
        <f t="shared" si="0"/>
        <v>14</v>
      </c>
      <c r="C15" s="58">
        <v>10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77513.236432000005</v>
      </c>
      <c r="F15" s="146">
        <v>1.27</v>
      </c>
      <c r="G15" s="42">
        <f>Gas!C16*0.9147</f>
        <v>1755.3092999999999</v>
      </c>
      <c r="H15" s="147">
        <v>3.65</v>
      </c>
      <c r="I15" s="149">
        <f>Submetering!H15+Submetering!AD15+Submetering!AE15</f>
        <v>976</v>
      </c>
      <c r="J15" s="149">
        <v>10.029999999999999</v>
      </c>
      <c r="K15" s="42">
        <f>ELECT.!B16</f>
        <v>281</v>
      </c>
    </row>
    <row r="16" spans="1:14" x14ac:dyDescent="0.2">
      <c r="A16" s="53" t="s">
        <v>53</v>
      </c>
      <c r="B16" s="58">
        <f t="shared" si="0"/>
        <v>15</v>
      </c>
      <c r="C16" s="58">
        <v>10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62563.968672000003</v>
      </c>
      <c r="F16" s="146">
        <v>1.27</v>
      </c>
      <c r="G16" s="42">
        <f>Gas!C17*0.9147</f>
        <v>2367.2435999999998</v>
      </c>
      <c r="H16" s="147">
        <v>3.65</v>
      </c>
      <c r="I16" s="149">
        <f>Submetering!H16+Submetering!AD16+Submetering!AE16</f>
        <v>845.99999999999989</v>
      </c>
      <c r="J16" s="149">
        <v>10.029999999999999</v>
      </c>
      <c r="K16" s="42">
        <f>ELECT.!B17</f>
        <v>317</v>
      </c>
    </row>
    <row r="17" spans="1:13" x14ac:dyDescent="0.2">
      <c r="A17" s="53" t="s">
        <v>53</v>
      </c>
      <c r="B17" s="58">
        <f t="shared" si="0"/>
        <v>16</v>
      </c>
      <c r="C17" s="58">
        <v>10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53943.388743999996</v>
      </c>
      <c r="F17" s="146">
        <v>1.27</v>
      </c>
      <c r="G17" s="42">
        <f>Gas!C18*0.9147</f>
        <v>2333.3996999999999</v>
      </c>
      <c r="H17" s="147">
        <v>3.65</v>
      </c>
      <c r="I17" s="149">
        <f>Submetering!H17+Submetering!AD17+Submetering!AE17</f>
        <v>995.99999999999989</v>
      </c>
      <c r="J17" s="149">
        <v>10.029999999999999</v>
      </c>
      <c r="K17" s="42">
        <f>ELECT.!B18</f>
        <v>312</v>
      </c>
    </row>
    <row r="18" spans="1:13" x14ac:dyDescent="0.2">
      <c r="A18" s="53" t="s">
        <v>53</v>
      </c>
      <c r="B18" s="58">
        <f t="shared" si="0"/>
        <v>17</v>
      </c>
      <c r="C18" s="58">
        <v>10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58483.279503999998</v>
      </c>
      <c r="F18" s="146">
        <v>1.27</v>
      </c>
      <c r="G18" s="42">
        <f>Gas!C19*0.9147</f>
        <v>2337.9731999999999</v>
      </c>
      <c r="H18" s="147">
        <v>3.65</v>
      </c>
      <c r="I18" s="149">
        <f>Submetering!H18+Submetering!AD18+Submetering!AE18</f>
        <v>865.99999999999989</v>
      </c>
      <c r="J18" s="149">
        <v>10.029999999999999</v>
      </c>
      <c r="K18" s="42">
        <f>ELECT.!B19</f>
        <v>303</v>
      </c>
    </row>
    <row r="19" spans="1:13" x14ac:dyDescent="0.2">
      <c r="A19" s="53" t="s">
        <v>53</v>
      </c>
      <c r="B19" s="58">
        <f t="shared" si="0"/>
        <v>18</v>
      </c>
      <c r="C19" s="58">
        <v>10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49628.888195999993</v>
      </c>
      <c r="F19" s="146">
        <v>1.27</v>
      </c>
      <c r="G19" s="42">
        <f>Gas!C20*0.9147</f>
        <v>2291.3235</v>
      </c>
      <c r="H19" s="147">
        <v>3.65</v>
      </c>
      <c r="I19" s="149">
        <f>Submetering!H19+Submetering!AD19+Submetering!AE19</f>
        <v>776</v>
      </c>
      <c r="J19" s="149">
        <v>10.029999999999999</v>
      </c>
      <c r="K19" s="42">
        <f>ELECT.!B20</f>
        <v>300</v>
      </c>
    </row>
    <row r="20" spans="1:13" x14ac:dyDescent="0.2">
      <c r="A20" s="53" t="s">
        <v>53</v>
      </c>
      <c r="B20" s="58">
        <f t="shared" si="0"/>
        <v>19</v>
      </c>
      <c r="C20" s="58">
        <v>10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63795.39639200001</v>
      </c>
      <c r="F20" s="146">
        <v>1.27</v>
      </c>
      <c r="G20" s="42">
        <f>Gas!C21*0.9147</f>
        <v>2165.0949000000001</v>
      </c>
      <c r="H20" s="147">
        <v>3.65</v>
      </c>
      <c r="I20" s="149">
        <f>Submetering!H20+Submetering!AD20+Submetering!AE20</f>
        <v>896.00000000000011</v>
      </c>
      <c r="J20" s="149">
        <v>10.029999999999999</v>
      </c>
      <c r="K20" s="42">
        <f>ELECT.!B21</f>
        <v>307</v>
      </c>
    </row>
    <row r="21" spans="1:13" x14ac:dyDescent="0.2">
      <c r="A21" s="53" t="s">
        <v>53</v>
      </c>
      <c r="B21" s="58">
        <f t="shared" si="0"/>
        <v>20</v>
      </c>
      <c r="C21" s="58">
        <v>10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65601.751948000005</v>
      </c>
      <c r="F21" s="146">
        <v>1.27</v>
      </c>
      <c r="G21" s="42">
        <f>Gas!C22*0.9147</f>
        <v>2092.8335999999999</v>
      </c>
      <c r="H21" s="147">
        <v>3.65</v>
      </c>
      <c r="I21" s="149">
        <f>Submetering!H21+Submetering!AD21+Submetering!AE21</f>
        <v>696</v>
      </c>
      <c r="J21" s="149">
        <v>10.029999999999999</v>
      </c>
      <c r="K21" s="42">
        <f>ELECT.!B22</f>
        <v>254</v>
      </c>
    </row>
    <row r="22" spans="1:13" x14ac:dyDescent="0.2">
      <c r="A22" s="53" t="s">
        <v>53</v>
      </c>
      <c r="B22" s="58">
        <f t="shared" si="0"/>
        <v>21</v>
      </c>
      <c r="C22" s="58">
        <v>10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47768.654920000001</v>
      </c>
      <c r="F22" s="146">
        <v>1.27</v>
      </c>
      <c r="G22" s="42">
        <f>Gas!C23*0.9147</f>
        <v>1961.1168</v>
      </c>
      <c r="H22" s="147">
        <v>3.65</v>
      </c>
      <c r="I22" s="149">
        <f>Submetering!H22+Submetering!AD22+Submetering!AE22</f>
        <v>616.00000000000011</v>
      </c>
      <c r="J22" s="149">
        <v>10.029999999999999</v>
      </c>
      <c r="K22" s="42">
        <f>ELECT.!B23</f>
        <v>306</v>
      </c>
    </row>
    <row r="23" spans="1:13" x14ac:dyDescent="0.2">
      <c r="A23" s="53" t="s">
        <v>53</v>
      </c>
      <c r="B23" s="58">
        <f t="shared" si="0"/>
        <v>22</v>
      </c>
      <c r="C23" s="58">
        <v>10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66692.062487999996</v>
      </c>
      <c r="F23" s="146">
        <v>1.27</v>
      </c>
      <c r="G23" s="42">
        <f>Gas!C24*0.9147</f>
        <v>2014.1694</v>
      </c>
      <c r="H23" s="147">
        <v>3.65</v>
      </c>
      <c r="I23" s="149">
        <f>Submetering!H23+Submetering!AD23+Submetering!AE23</f>
        <v>776</v>
      </c>
      <c r="J23" s="149">
        <v>10.029999999999999</v>
      </c>
      <c r="K23" s="42">
        <f>ELECT.!B24</f>
        <v>278</v>
      </c>
    </row>
    <row r="24" spans="1:13" x14ac:dyDescent="0.2">
      <c r="A24" s="53" t="s">
        <v>53</v>
      </c>
      <c r="B24" s="58">
        <f t="shared" si="0"/>
        <v>23</v>
      </c>
      <c r="C24" s="58">
        <v>10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52373.188619999994</v>
      </c>
      <c r="F24" s="146">
        <v>1.27</v>
      </c>
      <c r="G24" s="42">
        <f>Gas!C25*0.9147</f>
        <v>1961.1168</v>
      </c>
      <c r="H24" s="147">
        <v>3.65</v>
      </c>
      <c r="I24" s="149">
        <f>Submetering!H24+Submetering!AD24+Submetering!AE24</f>
        <v>1816</v>
      </c>
      <c r="J24" s="149">
        <v>10.029999999999999</v>
      </c>
      <c r="K24" s="42">
        <f>ELECT.!B25</f>
        <v>227</v>
      </c>
    </row>
    <row r="25" spans="1:13" x14ac:dyDescent="0.2">
      <c r="A25" s="53" t="s">
        <v>53</v>
      </c>
      <c r="B25" s="58">
        <f t="shared" si="0"/>
        <v>24</v>
      </c>
      <c r="C25" s="58">
        <v>10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73022.212339999998</v>
      </c>
      <c r="F25" s="146">
        <v>1.27</v>
      </c>
      <c r="G25" s="42">
        <f>Gas!C26*0.9147</f>
        <v>2123.9333999999999</v>
      </c>
      <c r="H25" s="147">
        <v>3.65</v>
      </c>
      <c r="I25" s="149">
        <f>Submetering!H25+Submetering!AD25+Submetering!AE25</f>
        <v>1166</v>
      </c>
      <c r="J25" s="149">
        <v>10.029999999999999</v>
      </c>
      <c r="K25" s="42">
        <f>ELECT.!B26</f>
        <v>231</v>
      </c>
    </row>
    <row r="26" spans="1:13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37948.576695999996</v>
      </c>
      <c r="F26" s="146">
        <v>1.27</v>
      </c>
      <c r="G26" s="42">
        <f>Gas!C27*0.9147</f>
        <v>2916.9782999999998</v>
      </c>
      <c r="H26" s="147">
        <v>3.65</v>
      </c>
      <c r="I26" s="149">
        <f>Submetering!H26+Submetering!AD26+Submetering!AE26</f>
        <v>1016</v>
      </c>
      <c r="J26" s="149">
        <v>10.029999999999999</v>
      </c>
      <c r="K26" s="42">
        <f>ELECT.!B27</f>
        <v>185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10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66120.178192000007</v>
      </c>
      <c r="F27" s="146">
        <v>1.27</v>
      </c>
      <c r="G27" s="42">
        <f>Gas!C28*0.9147</f>
        <v>2172.4124999999999</v>
      </c>
      <c r="H27" s="147">
        <v>3.65</v>
      </c>
      <c r="I27" s="149">
        <f>Submetering!H27+Submetering!AD27+Submetering!AE27</f>
        <v>956</v>
      </c>
      <c r="J27" s="149">
        <v>10.029999999999999</v>
      </c>
      <c r="K27" s="42">
        <f>ELECT.!B28</f>
        <v>292</v>
      </c>
    </row>
    <row r="28" spans="1:13" x14ac:dyDescent="0.2">
      <c r="A28" s="53" t="s">
        <v>53</v>
      </c>
      <c r="B28" s="58">
        <f t="shared" si="0"/>
        <v>27</v>
      </c>
      <c r="C28" s="58">
        <v>10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47332.898615999999</v>
      </c>
      <c r="F28" s="146">
        <v>1.27</v>
      </c>
      <c r="G28" s="42">
        <f>Gas!C29*0.9147</f>
        <v>2166.0095999999999</v>
      </c>
      <c r="H28" s="147">
        <v>3.65</v>
      </c>
      <c r="I28" s="149">
        <f>Submetering!H28+Submetering!AD28+Submetering!AE28</f>
        <v>1046</v>
      </c>
      <c r="J28" s="149">
        <v>10.029999999999999</v>
      </c>
      <c r="K28" s="42">
        <f>ELECT.!B29</f>
        <v>213</v>
      </c>
    </row>
    <row r="29" spans="1:13" x14ac:dyDescent="0.2">
      <c r="A29" s="53" t="s">
        <v>53</v>
      </c>
      <c r="B29" s="58">
        <f t="shared" si="0"/>
        <v>28</v>
      </c>
      <c r="C29" s="58">
        <v>10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71715.040439999982</v>
      </c>
      <c r="F29" s="146">
        <v>1.27</v>
      </c>
      <c r="G29" s="42">
        <f>Gas!C30*0.9147</f>
        <v>2051.6720999999998</v>
      </c>
      <c r="H29" s="147">
        <v>3.65</v>
      </c>
      <c r="I29" s="149">
        <f>Submetering!H29+Submetering!AD29+Submetering!AE29</f>
        <v>1096</v>
      </c>
      <c r="J29" s="149">
        <v>10.029999999999999</v>
      </c>
      <c r="K29" s="42">
        <f>ELECT.!B30</f>
        <v>220</v>
      </c>
    </row>
    <row r="30" spans="1:13" x14ac:dyDescent="0.2">
      <c r="A30" s="53" t="s">
        <v>53</v>
      </c>
      <c r="B30" s="58">
        <f t="shared" si="0"/>
        <v>29</v>
      </c>
      <c r="C30" s="58">
        <v>10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10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24" sqref="I24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10</v>
      </c>
      <c r="D2" s="58">
        <v>2021</v>
      </c>
      <c r="E2" s="42">
        <f>Water!C3</f>
        <v>1080</v>
      </c>
      <c r="F2" s="42">
        <f>Water!E3</f>
        <v>0</v>
      </c>
      <c r="G2" s="42">
        <f>Water!G3</f>
        <v>550.79999999999995</v>
      </c>
      <c r="H2" s="42">
        <f>Water!I3</f>
        <v>4.4009999999999998</v>
      </c>
      <c r="I2" s="42">
        <f>ELECT.!F3</f>
        <v>12666</v>
      </c>
      <c r="J2" s="42">
        <f>ELECT.!H3</f>
        <v>45890</v>
      </c>
      <c r="K2" s="42">
        <f>ELECT.!K3</f>
        <v>4342</v>
      </c>
      <c r="L2" s="42">
        <f>ELECT.!M3</f>
        <v>3978</v>
      </c>
      <c r="M2" s="42">
        <f>ELECT.!O3</f>
        <v>8450</v>
      </c>
      <c r="N2" s="42">
        <f>ELECT.!Q3</f>
        <v>9867</v>
      </c>
      <c r="O2" s="42">
        <f>ELECT.!S3</f>
        <v>9854</v>
      </c>
      <c r="P2" s="42">
        <f>ELECT.!W3*2</f>
        <v>20280</v>
      </c>
      <c r="Q2" s="42">
        <f>ELECT.!D3</f>
        <v>1120</v>
      </c>
      <c r="R2" s="43">
        <f>BTU!C3</f>
        <v>9.0279999999984284</v>
      </c>
      <c r="S2" s="43">
        <f>BTU!F3</f>
        <v>1.6010000000001128</v>
      </c>
      <c r="T2" s="43">
        <f>BTU!I3</f>
        <v>5</v>
      </c>
      <c r="U2" s="43">
        <f>BTU!O3</f>
        <v>1.7100000000000364</v>
      </c>
      <c r="V2" s="43">
        <f>BTU!L3</f>
        <v>2.4599999999991269</v>
      </c>
      <c r="W2" s="43">
        <f>BTU!R3</f>
        <v>1.9600000000000364</v>
      </c>
      <c r="X2" s="40">
        <f>ELECT.!B3</f>
        <v>299</v>
      </c>
      <c r="Y2" s="40">
        <f>I2+J2-(K2+L2+M2+N2+O2+P2)</f>
        <v>1785</v>
      </c>
      <c r="Z2">
        <f>'Mall, Citadel, Rotana'!C3+'Mall, Citadel, Rotana'!E3+'Mall, Citadel, Rotana'!G3+'Mall, Citadel, Rotana'!I3</f>
        <v>2125</v>
      </c>
      <c r="AA2">
        <f>'Mall, Citadel, Rotana'!K3+'Mall, Citadel, Rotana'!M3</f>
        <v>640</v>
      </c>
      <c r="AB2">
        <f>'Mall, Citadel, Rotana'!O3</f>
        <v>4</v>
      </c>
      <c r="AC2">
        <f>'Mall, Citadel, Rotana'!Q3+'Mall, Citadel, Rotana'!S3</f>
        <v>0</v>
      </c>
      <c r="AD2" s="40">
        <f>(E2-H2-194)*0.1318</f>
        <v>116.19474819999999</v>
      </c>
      <c r="AE2" s="40">
        <f>E2-H2-AD2-194</f>
        <v>765.40425179999988</v>
      </c>
    </row>
    <row r="3" spans="1:31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Water!C4</f>
        <v>1090</v>
      </c>
      <c r="F3" s="42">
        <f>Water!E4</f>
        <v>0</v>
      </c>
      <c r="G3" s="42">
        <f>Water!G4</f>
        <v>513</v>
      </c>
      <c r="H3" s="42">
        <f>Water!I4</f>
        <v>4.6710000000000003</v>
      </c>
      <c r="I3" s="42">
        <f>ELECT.!F4</f>
        <v>11777</v>
      </c>
      <c r="J3" s="42">
        <f>ELECT.!H4</f>
        <v>44132</v>
      </c>
      <c r="K3" s="42">
        <f>ELECT.!K4</f>
        <v>4538</v>
      </c>
      <c r="L3" s="42">
        <f>ELECT.!M4</f>
        <v>3623</v>
      </c>
      <c r="M3" s="42">
        <f>ELECT.!O4</f>
        <v>8068</v>
      </c>
      <c r="N3" s="42">
        <f>ELECT.!Q4</f>
        <v>9265</v>
      </c>
      <c r="O3" s="42">
        <f>ELECT.!S4</f>
        <v>9218</v>
      </c>
      <c r="P3" s="42">
        <f>ELECT.!W4*2</f>
        <v>20112</v>
      </c>
      <c r="Q3" s="42">
        <f>ELECT.!D4</f>
        <v>480</v>
      </c>
      <c r="R3" s="43">
        <f>BTU!C4</f>
        <v>8.727999999999156</v>
      </c>
      <c r="S3" s="43">
        <f>BTU!F4</f>
        <v>1.7440000000001419</v>
      </c>
      <c r="T3" s="43">
        <f>BTU!I4</f>
        <v>5</v>
      </c>
      <c r="U3" s="43">
        <f>BTU!O4</f>
        <v>1.6179999999999382</v>
      </c>
      <c r="V3" s="43">
        <f>BTU!L4</f>
        <v>2.5500000000010914</v>
      </c>
      <c r="W3" s="43">
        <f>BTU!R4</f>
        <v>1.3799999999991996</v>
      </c>
      <c r="X3" s="40">
        <f>ELECT.!B4</f>
        <v>143</v>
      </c>
      <c r="Y3" s="40">
        <f t="shared" ref="Y3:Y31" si="0">I3+J3-(K3+L3+M3+N3+O3+P3)</f>
        <v>1085</v>
      </c>
      <c r="Z3">
        <f>'Mall, Citadel, Rotana'!C4+'Mall, Citadel, Rotana'!E4+'Mall, Citadel, Rotana'!G4+'Mall, Citadel, Rotana'!I4</f>
        <v>1397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109</v>
      </c>
      <c r="AD3" s="40">
        <f t="shared" ref="AD3:AD31" si="1">(E3-H3-194)*0.1318</f>
        <v>117.4771622</v>
      </c>
      <c r="AE3" s="40">
        <f t="shared" ref="AE3:AE31" si="2">E3-H3-AD3-194</f>
        <v>773.8518378</v>
      </c>
    </row>
    <row r="4" spans="1:31" x14ac:dyDescent="0.2">
      <c r="A4" s="53" t="s">
        <v>53</v>
      </c>
      <c r="B4" s="58">
        <f t="shared" ref="B4:B31" si="3">B3+1</f>
        <v>3</v>
      </c>
      <c r="C4" s="58">
        <v>10</v>
      </c>
      <c r="D4" s="58">
        <v>2021</v>
      </c>
      <c r="E4" s="42">
        <f>Water!C5</f>
        <v>1020</v>
      </c>
      <c r="F4" s="42">
        <f>Water!E5</f>
        <v>8.1</v>
      </c>
      <c r="G4" s="42">
        <f>Water!G5</f>
        <v>494.1</v>
      </c>
      <c r="H4" s="42">
        <f>Water!I5</f>
        <v>5.1029999999999998</v>
      </c>
      <c r="I4" s="42">
        <f>ELECT.!F5</f>
        <v>18357</v>
      </c>
      <c r="J4" s="42">
        <f>ELECT.!H5</f>
        <v>65840</v>
      </c>
      <c r="K4" s="42">
        <f>ELECT.!K5</f>
        <v>7158</v>
      </c>
      <c r="L4" s="42">
        <f>ELECT.!M5</f>
        <v>6029</v>
      </c>
      <c r="M4" s="42">
        <f>ELECT.!O5</f>
        <v>12078</v>
      </c>
      <c r="N4" s="42">
        <f>ELECT.!Q5</f>
        <v>13465</v>
      </c>
      <c r="O4" s="42">
        <f>ELECT.!S5</f>
        <v>13749</v>
      </c>
      <c r="P4" s="42">
        <f>ELECT.!W5*2</f>
        <v>29124</v>
      </c>
      <c r="Q4" s="42">
        <f>ELECT.!D5</f>
        <v>1120</v>
      </c>
      <c r="R4" s="43">
        <f>BTU!C5</f>
        <v>7.3209999999999127</v>
      </c>
      <c r="S4" s="43">
        <f>BTU!F5</f>
        <v>2.0149999999998727</v>
      </c>
      <c r="T4" s="43">
        <f>BTU!I5</f>
        <v>6</v>
      </c>
      <c r="U4" s="43">
        <f>BTU!O5</f>
        <v>1.4619999999999891</v>
      </c>
      <c r="V4" s="43">
        <f>BTU!L5</f>
        <v>2.0499999999992724</v>
      </c>
      <c r="W4" s="43">
        <f>BTU!R5</f>
        <v>2.5400000000008731</v>
      </c>
      <c r="X4" s="40">
        <f>ELECT.!B5</f>
        <v>249</v>
      </c>
      <c r="Y4" s="40">
        <f t="shared" si="0"/>
        <v>2594</v>
      </c>
      <c r="Z4">
        <f>'Mall, Citadel, Rotana'!C5+'Mall, Citadel, Rotana'!E5+'Mall, Citadel, Rotana'!G5+'Mall, Citadel, Rotana'!I5</f>
        <v>956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113</v>
      </c>
      <c r="AD4" s="40">
        <f t="shared" si="1"/>
        <v>108.19422460000001</v>
      </c>
      <c r="AE4" s="40">
        <f t="shared" si="2"/>
        <v>712.70277540000006</v>
      </c>
    </row>
    <row r="5" spans="1:31" x14ac:dyDescent="0.2">
      <c r="A5" s="53" t="s">
        <v>53</v>
      </c>
      <c r="B5" s="58">
        <f t="shared" si="3"/>
        <v>4</v>
      </c>
      <c r="C5" s="58">
        <v>10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477.9</v>
      </c>
      <c r="H5" s="42">
        <f>Water!I6</f>
        <v>5.1029999999999998</v>
      </c>
      <c r="I5" s="42">
        <f>ELECT.!F6</f>
        <v>12953</v>
      </c>
      <c r="J5" s="42">
        <f>ELECT.!H6</f>
        <v>47616</v>
      </c>
      <c r="K5" s="42">
        <f>ELECT.!K6</f>
        <v>5581</v>
      </c>
      <c r="L5" s="42">
        <f>ELECT.!M6</f>
        <v>4276</v>
      </c>
      <c r="M5" s="42">
        <f>ELECT.!O6</f>
        <v>8558</v>
      </c>
      <c r="N5" s="42">
        <f>ELECT.!Q6</f>
        <v>10181</v>
      </c>
      <c r="O5" s="42">
        <f>ELECT.!S6</f>
        <v>9847</v>
      </c>
      <c r="P5" s="42">
        <f>ELECT.!W6*2</f>
        <v>21158</v>
      </c>
      <c r="Q5" s="42">
        <f>ELECT.!D6</f>
        <v>640</v>
      </c>
      <c r="R5" s="43">
        <f>BTU!C6</f>
        <v>7.114000000001397</v>
      </c>
      <c r="S5" s="43">
        <f>BTU!F6</f>
        <v>2.3869999999997162</v>
      </c>
      <c r="T5" s="43">
        <f>BTU!I6</f>
        <v>6</v>
      </c>
      <c r="U5" s="43">
        <f>BTU!O6</f>
        <v>1.4830000000001746</v>
      </c>
      <c r="V5" s="43">
        <f>BTU!L6</f>
        <v>2.2600000000002183</v>
      </c>
      <c r="W5" s="43">
        <f>BTU!R6</f>
        <v>2.1299999999991996</v>
      </c>
      <c r="X5" s="40">
        <f>ELECT.!B6</f>
        <v>162</v>
      </c>
      <c r="Y5" s="40">
        <f t="shared" si="0"/>
        <v>968</v>
      </c>
      <c r="Z5">
        <f>'Mall, Citadel, Rotana'!C6+'Mall, Citadel, Rotana'!E6+'Mall, Citadel, Rotana'!G6+'Mall, Citadel, Rotana'!I6</f>
        <v>1865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112</v>
      </c>
      <c r="AD5" s="40">
        <f t="shared" si="1"/>
        <v>108.19422460000001</v>
      </c>
      <c r="AE5" s="40">
        <f t="shared" si="2"/>
        <v>712.70277540000006</v>
      </c>
    </row>
    <row r="6" spans="1:31" x14ac:dyDescent="0.2">
      <c r="A6" s="53" t="s">
        <v>53</v>
      </c>
      <c r="B6" s="58">
        <f t="shared" si="3"/>
        <v>5</v>
      </c>
      <c r="C6" s="58">
        <v>10</v>
      </c>
      <c r="D6" s="58">
        <v>2021</v>
      </c>
      <c r="E6" s="42">
        <f>Water!C7</f>
        <v>1100</v>
      </c>
      <c r="F6" s="42">
        <f>Water!E7</f>
        <v>0</v>
      </c>
      <c r="G6" s="42">
        <f>Water!G7</f>
        <v>486</v>
      </c>
      <c r="H6" s="42">
        <f>Water!I7</f>
        <v>5.1840000000000002</v>
      </c>
      <c r="I6" s="42">
        <f>ELECT.!F7</f>
        <v>11609</v>
      </c>
      <c r="J6" s="42">
        <f>ELECT.!H7</f>
        <v>45134</v>
      </c>
      <c r="K6" s="42">
        <f>ELECT.!K7</f>
        <v>5076</v>
      </c>
      <c r="L6" s="42">
        <f>ELECT.!M7</f>
        <v>4052</v>
      </c>
      <c r="M6" s="42">
        <f>ELECT.!O7</f>
        <v>7394</v>
      </c>
      <c r="N6" s="42">
        <f>ELECT.!Q7</f>
        <v>9169</v>
      </c>
      <c r="O6" s="42">
        <f>ELECT.!S7</f>
        <v>9075</v>
      </c>
      <c r="P6" s="42">
        <f>ELECT.!W7*2</f>
        <v>20292</v>
      </c>
      <c r="Q6" s="42">
        <f>ELECT.!D7</f>
        <v>960</v>
      </c>
      <c r="R6" s="43">
        <f>BTU!C7</f>
        <v>7.1310000000012224</v>
      </c>
      <c r="S6" s="43">
        <f>BTU!F7</f>
        <v>3.0380000000000109</v>
      </c>
      <c r="T6" s="43">
        <f>BTU!I7</f>
        <v>6</v>
      </c>
      <c r="U6" s="43">
        <f>BTU!O7</f>
        <v>1.6509999999998399</v>
      </c>
      <c r="V6" s="43">
        <f>BTU!L7</f>
        <v>2.7600000000002183</v>
      </c>
      <c r="W6" s="43">
        <f>BTU!R7</f>
        <v>0.92000000000007276</v>
      </c>
      <c r="X6" s="40">
        <f>ELECT.!B7</f>
        <v>281</v>
      </c>
      <c r="Y6" s="40">
        <f t="shared" si="0"/>
        <v>1685</v>
      </c>
      <c r="Z6">
        <f>'Mall, Citadel, Rotana'!C7+'Mall, Citadel, Rotana'!E7+'Mall, Citadel, Rotana'!G7+'Mall, Citadel, Rotana'!I7</f>
        <v>1566</v>
      </c>
      <c r="AA6">
        <f>'Mall, Citadel, Rotana'!K7+'Mall, Citadel, Rotana'!M7</f>
        <v>320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118.72754880000001</v>
      </c>
      <c r="AE6" s="40">
        <f t="shared" si="2"/>
        <v>782.08845120000001</v>
      </c>
    </row>
    <row r="7" spans="1:31" x14ac:dyDescent="0.2">
      <c r="A7" s="53" t="s">
        <v>53</v>
      </c>
      <c r="B7" s="58">
        <f t="shared" si="3"/>
        <v>6</v>
      </c>
      <c r="C7" s="58">
        <v>10</v>
      </c>
      <c r="D7" s="58">
        <v>2021</v>
      </c>
      <c r="E7" s="42">
        <f>Water!C8</f>
        <v>1100</v>
      </c>
      <c r="F7" s="42">
        <f>Water!E8</f>
        <v>0</v>
      </c>
      <c r="G7" s="42">
        <f>Water!G8</f>
        <v>464.4</v>
      </c>
      <c r="H7" s="42">
        <f>Water!I8</f>
        <v>5.2379999999999995</v>
      </c>
      <c r="I7" s="42">
        <f>ELECT.!F8</f>
        <v>15097</v>
      </c>
      <c r="J7" s="42">
        <f>ELECT.!H8</f>
        <v>59323</v>
      </c>
      <c r="K7" s="42">
        <f>ELECT.!K8</f>
        <v>6720</v>
      </c>
      <c r="L7" s="42">
        <f>ELECT.!M8</f>
        <v>5444</v>
      </c>
      <c r="M7" s="42">
        <f>ELECT.!O8</f>
        <v>9490</v>
      </c>
      <c r="N7" s="42">
        <f>ELECT.!Q8</f>
        <v>12240</v>
      </c>
      <c r="O7" s="42">
        <f>ELECT.!S8</f>
        <v>11723</v>
      </c>
      <c r="P7" s="42">
        <f>ELECT.!W8*2</f>
        <v>27020</v>
      </c>
      <c r="Q7" s="42">
        <f>ELECT.!D8</f>
        <v>0</v>
      </c>
      <c r="R7" s="43">
        <f>BTU!C8</f>
        <v>6.2710000000006403</v>
      </c>
      <c r="S7" s="43">
        <f>BTU!F8</f>
        <v>2.3150000000000546</v>
      </c>
      <c r="T7" s="43">
        <f>BTU!I8</f>
        <v>5</v>
      </c>
      <c r="U7" s="43">
        <f>BTU!O8</f>
        <v>1.4010000000002947</v>
      </c>
      <c r="V7" s="43">
        <f>BTU!L8</f>
        <v>2.0599999999994907</v>
      </c>
      <c r="W7" s="43">
        <f>BTU!R8</f>
        <v>1.1500000000005457</v>
      </c>
      <c r="X7" s="40">
        <f>ELECT.!B8</f>
        <v>226</v>
      </c>
      <c r="Y7" s="40">
        <f t="shared" si="0"/>
        <v>1783</v>
      </c>
      <c r="Z7">
        <f>'Mall, Citadel, Rotana'!C8+'Mall, Citadel, Rotana'!E8+'Mall, Citadel, Rotana'!G8+'Mall, Citadel, Rotana'!I8</f>
        <v>1425</v>
      </c>
      <c r="AA7">
        <f>'Mall, Citadel, Rotana'!K8+'Mall, Citadel, Rotana'!M8</f>
        <v>1920</v>
      </c>
      <c r="AB7">
        <f>'Mall, Citadel, Rotana'!O8</f>
        <v>3</v>
      </c>
      <c r="AC7">
        <f>'Mall, Citadel, Rotana'!Q8+'Mall, Citadel, Rotana'!S8</f>
        <v>112</v>
      </c>
      <c r="AD7" s="40">
        <f t="shared" si="1"/>
        <v>118.7204316</v>
      </c>
      <c r="AE7" s="40">
        <f t="shared" si="2"/>
        <v>782.04156839999996</v>
      </c>
    </row>
    <row r="8" spans="1:31" x14ac:dyDescent="0.2">
      <c r="A8" s="53" t="s">
        <v>53</v>
      </c>
      <c r="B8" s="58">
        <f t="shared" si="3"/>
        <v>7</v>
      </c>
      <c r="C8" s="58">
        <v>10</v>
      </c>
      <c r="D8" s="58">
        <v>2021</v>
      </c>
      <c r="E8" s="42">
        <f>Water!C9</f>
        <v>930</v>
      </c>
      <c r="F8" s="42">
        <f>Water!E9</f>
        <v>0</v>
      </c>
      <c r="G8" s="42">
        <f>Water!G9</f>
        <v>526.5</v>
      </c>
      <c r="H8" s="42">
        <f>Water!I9</f>
        <v>4.9950000000000001</v>
      </c>
      <c r="I8" s="42">
        <f>ELECT.!F9</f>
        <v>11362</v>
      </c>
      <c r="J8" s="42">
        <f>ELECT.!H9</f>
        <v>43687</v>
      </c>
      <c r="K8" s="42">
        <f>ELECT.!K9</f>
        <v>4600</v>
      </c>
      <c r="L8" s="42">
        <f>ELECT.!M9</f>
        <v>32</v>
      </c>
      <c r="M8" s="42">
        <f>ELECT.!O9</f>
        <v>7272</v>
      </c>
      <c r="N8" s="42">
        <f>ELECT.!Q9</f>
        <v>9426</v>
      </c>
      <c r="O8" s="42">
        <f>ELECT.!S9</f>
        <v>9209</v>
      </c>
      <c r="P8" s="42">
        <f>ELECT.!W9*2</f>
        <v>19270</v>
      </c>
      <c r="Q8" s="42">
        <f>ELECT.!D9</f>
        <v>1760</v>
      </c>
      <c r="R8" s="43">
        <f>BTU!C9</f>
        <v>7.1509999999980209</v>
      </c>
      <c r="S8" s="43">
        <f>BTU!F9</f>
        <v>1.7010000000000218</v>
      </c>
      <c r="T8" s="43">
        <f>BTU!I9</f>
        <v>6</v>
      </c>
      <c r="U8" s="43">
        <f>BTU!O9</f>
        <v>1.6529999999997926</v>
      </c>
      <c r="V8" s="43">
        <f>BTU!L9</f>
        <v>1.9200000000000728</v>
      </c>
      <c r="W8" s="43">
        <f>BTU!R9</f>
        <v>0.90999999999985448</v>
      </c>
      <c r="X8" s="40">
        <f>ELECT.!B9</f>
        <v>207</v>
      </c>
      <c r="Y8" s="40">
        <f t="shared" si="0"/>
        <v>5240</v>
      </c>
      <c r="Z8">
        <f>'Mall, Citadel, Rotana'!C9+'Mall, Citadel, Rotana'!E9+'Mall, Citadel, Rotana'!G9+'Mall, Citadel, Rotana'!I9</f>
        <v>1405</v>
      </c>
      <c r="AA8">
        <f>'Mall, Citadel, Rotana'!K9+'Mall, Citadel, Rotana'!M9</f>
        <v>0</v>
      </c>
      <c r="AB8">
        <f>'Mall, Citadel, Rotana'!O9</f>
        <v>4</v>
      </c>
      <c r="AC8">
        <f>'Mall, Citadel, Rotana'!Q9+'Mall, Citadel, Rotana'!S9</f>
        <v>157</v>
      </c>
      <c r="AD8" s="40">
        <f t="shared" si="1"/>
        <v>96.346458999999996</v>
      </c>
      <c r="AE8" s="40">
        <f t="shared" si="2"/>
        <v>634.65854100000001</v>
      </c>
    </row>
    <row r="9" spans="1:31" x14ac:dyDescent="0.2">
      <c r="A9" s="53" t="s">
        <v>53</v>
      </c>
      <c r="B9" s="58">
        <f t="shared" si="3"/>
        <v>8</v>
      </c>
      <c r="C9" s="58">
        <v>10</v>
      </c>
      <c r="D9" s="58">
        <v>2021</v>
      </c>
      <c r="E9" s="42">
        <f>Water!C10</f>
        <v>940</v>
      </c>
      <c r="F9" s="42">
        <f>Water!E10</f>
        <v>0</v>
      </c>
      <c r="G9" s="42">
        <f>Water!G10</f>
        <v>513</v>
      </c>
      <c r="H9" s="42">
        <f>Water!I10</f>
        <v>4.1040000000000001</v>
      </c>
      <c r="I9" s="42">
        <f>ELECT.!F10</f>
        <v>13459</v>
      </c>
      <c r="J9" s="42">
        <f>ELECT.!H10</f>
        <v>49659</v>
      </c>
      <c r="K9" s="42">
        <f>ELECT.!K10</f>
        <v>5015</v>
      </c>
      <c r="L9" s="42">
        <f>ELECT.!M10</f>
        <v>8684</v>
      </c>
      <c r="M9" s="42">
        <f>ELECT.!O10</f>
        <v>8484</v>
      </c>
      <c r="N9" s="42">
        <f>ELECT.!Q10</f>
        <v>10996</v>
      </c>
      <c r="O9" s="42">
        <f>ELECT.!S10</f>
        <v>10102</v>
      </c>
      <c r="P9" s="42">
        <f>ELECT.!W10*2</f>
        <v>21864</v>
      </c>
      <c r="Q9" s="42">
        <f>ELECT.!D10</f>
        <v>320</v>
      </c>
      <c r="R9" s="43">
        <f>BTU!C10</f>
        <v>5.5570000000006985</v>
      </c>
      <c r="S9" s="43">
        <f>BTU!F10</f>
        <v>1.0940000000000509</v>
      </c>
      <c r="T9" s="43">
        <f>BTU!I10</f>
        <v>5</v>
      </c>
      <c r="U9" s="43">
        <f>BTU!O10</f>
        <v>1.2870000000002619</v>
      </c>
      <c r="V9" s="43">
        <f>BTU!L10</f>
        <v>2.0100000000002183</v>
      </c>
      <c r="W9" s="43">
        <f>BTU!R10</f>
        <v>1.8499999999994543</v>
      </c>
      <c r="X9" s="40">
        <f>ELECT.!B10</f>
        <v>273</v>
      </c>
      <c r="Y9" s="40">
        <f t="shared" si="0"/>
        <v>-2027</v>
      </c>
      <c r="Z9">
        <f>'Mall, Citadel, Rotana'!C10+'Mall, Citadel, Rotana'!E10+'Mall, Citadel, Rotana'!G10+'Mall, Citadel, Rotana'!I10</f>
        <v>1258</v>
      </c>
      <c r="AA9">
        <f>'Mall, Citadel, Rotana'!K10+'Mall, Citadel, Rotana'!M10</f>
        <v>160</v>
      </c>
      <c r="AB9">
        <f>'Mall, Citadel, Rotana'!O10</f>
        <v>2</v>
      </c>
      <c r="AC9">
        <f>'Mall, Citadel, Rotana'!Q10+'Mall, Citadel, Rotana'!S10</f>
        <v>90</v>
      </c>
      <c r="AD9" s="40">
        <f t="shared" si="1"/>
        <v>97.781892799999994</v>
      </c>
      <c r="AE9" s="40">
        <f t="shared" si="2"/>
        <v>644.11410719999992</v>
      </c>
    </row>
    <row r="10" spans="1:31" x14ac:dyDescent="0.2">
      <c r="A10" s="53" t="s">
        <v>53</v>
      </c>
      <c r="B10" s="58">
        <f t="shared" si="3"/>
        <v>9</v>
      </c>
      <c r="C10" s="58">
        <v>10</v>
      </c>
      <c r="D10" s="58">
        <v>2021</v>
      </c>
      <c r="E10" s="42">
        <f>Water!C11</f>
        <v>940</v>
      </c>
      <c r="F10" s="42">
        <f>Water!E11</f>
        <v>0</v>
      </c>
      <c r="G10" s="42">
        <f>Water!G11</f>
        <v>580.5</v>
      </c>
      <c r="H10" s="42">
        <f>Water!I11</f>
        <v>4.7249999999999996</v>
      </c>
      <c r="I10" s="42">
        <f>ELECT.!F11</f>
        <v>11820</v>
      </c>
      <c r="J10" s="42">
        <f>ELECT.!H11</f>
        <v>46913</v>
      </c>
      <c r="K10" s="42">
        <f>ELECT.!K11</f>
        <v>5142</v>
      </c>
      <c r="L10" s="42">
        <f>ELECT.!M11</f>
        <v>34558</v>
      </c>
      <c r="M10" s="42">
        <f>ELECT.!O11</f>
        <v>7870</v>
      </c>
      <c r="N10" s="42">
        <f>ELECT.!Q11</f>
        <v>10379</v>
      </c>
      <c r="O10" s="42">
        <f>ELECT.!S11</f>
        <v>9486</v>
      </c>
      <c r="P10" s="42">
        <f>ELECT.!W11*2</f>
        <v>20562</v>
      </c>
      <c r="Q10" s="42">
        <f>ELECT.!D11</f>
        <v>1120</v>
      </c>
      <c r="R10" s="43">
        <f>BTU!C11</f>
        <v>7.3950000000004366</v>
      </c>
      <c r="S10" s="43">
        <f>BTU!F11</f>
        <v>1.9819999999999709</v>
      </c>
      <c r="T10" s="43">
        <f>BTU!I11</f>
        <v>6</v>
      </c>
      <c r="U10" s="43">
        <f>BTU!O11</f>
        <v>1.6709999999998217</v>
      </c>
      <c r="V10" s="43">
        <f>BTU!L11</f>
        <v>2.9099999999998545</v>
      </c>
      <c r="W10" s="43">
        <f>BTU!R11</f>
        <v>1.0400000000008731</v>
      </c>
      <c r="X10" s="40">
        <f>ELECT.!B11</f>
        <v>270</v>
      </c>
      <c r="Y10" s="40">
        <f t="shared" si="0"/>
        <v>-29264</v>
      </c>
      <c r="Z10">
        <f>'Mall, Citadel, Rotana'!C11+'Mall, Citadel, Rotana'!E11+'Mall, Citadel, Rotana'!G11+'Mall, Citadel, Rotana'!I11</f>
        <v>1240</v>
      </c>
      <c r="AA10">
        <f>'Mall, Citadel, Rotana'!K11+'Mall, Citadel, Rotana'!M11</f>
        <v>160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97.700045000000003</v>
      </c>
      <c r="AE10" s="40">
        <f t="shared" si="2"/>
        <v>643.57495499999993</v>
      </c>
    </row>
    <row r="11" spans="1:31" x14ac:dyDescent="0.2">
      <c r="A11" s="53" t="s">
        <v>53</v>
      </c>
      <c r="B11" s="58">
        <f t="shared" si="3"/>
        <v>10</v>
      </c>
      <c r="C11" s="58">
        <v>10</v>
      </c>
      <c r="D11" s="58">
        <v>2021</v>
      </c>
      <c r="E11" s="42">
        <f>Water!C12</f>
        <v>1520</v>
      </c>
      <c r="F11" s="42">
        <f>Water!E12</f>
        <v>0</v>
      </c>
      <c r="G11" s="42">
        <f>Water!G12</f>
        <v>637.20000000000005</v>
      </c>
      <c r="H11" s="42">
        <f>Water!I12</f>
        <v>6.1020000000000003</v>
      </c>
      <c r="I11" s="42">
        <f>ELECT.!F12</f>
        <v>13645</v>
      </c>
      <c r="J11" s="42">
        <f>ELECT.!H12</f>
        <v>48917</v>
      </c>
      <c r="K11" s="42">
        <f>ELECT.!K12</f>
        <v>5402</v>
      </c>
      <c r="L11" s="42" t="str">
        <f>ELECT.!M12</f>
        <v>0</v>
      </c>
      <c r="M11" s="42">
        <f>ELECT.!O12</f>
        <v>7938</v>
      </c>
      <c r="N11" s="42">
        <f>ELECT.!Q12</f>
        <v>10621</v>
      </c>
      <c r="O11" s="42">
        <f>ELECT.!S12</f>
        <v>9916</v>
      </c>
      <c r="P11" s="42">
        <f>ELECT.!W12*2</f>
        <v>21652</v>
      </c>
      <c r="Q11" s="42">
        <f>ELECT.!D12</f>
        <v>800</v>
      </c>
      <c r="R11" s="43">
        <f>BTU!C12</f>
        <v>7.8129999999982829</v>
      </c>
      <c r="S11" s="43">
        <f>BTU!F12</f>
        <v>2.6069999999999709</v>
      </c>
      <c r="T11" s="43">
        <f>BTU!I12</f>
        <v>6</v>
      </c>
      <c r="U11" s="43">
        <f>BTU!O12</f>
        <v>1.5670000000000073</v>
      </c>
      <c r="V11" s="43">
        <f>BTU!L12</f>
        <v>2.75</v>
      </c>
      <c r="W11" s="43">
        <f>BTU!R12</f>
        <v>1.6199999999998909</v>
      </c>
      <c r="X11" s="40">
        <f>ELECT.!B12</f>
        <v>294</v>
      </c>
      <c r="Y11" s="40">
        <f t="shared" si="0"/>
        <v>7033</v>
      </c>
      <c r="Z11">
        <f>'Mall, Citadel, Rotana'!C12+'Mall, Citadel, Rotana'!E12+'Mall, Citadel, Rotana'!G12+'Mall, Citadel, Rotana'!I12</f>
        <v>-203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173.96255639999998</v>
      </c>
      <c r="AE11" s="40">
        <f t="shared" si="2"/>
        <v>1145.9354435999999</v>
      </c>
    </row>
    <row r="12" spans="1:31" x14ac:dyDescent="0.2">
      <c r="A12" s="53" t="s">
        <v>53</v>
      </c>
      <c r="B12" s="58">
        <f t="shared" si="3"/>
        <v>11</v>
      </c>
      <c r="C12" s="58">
        <v>10</v>
      </c>
      <c r="D12" s="58">
        <v>2021</v>
      </c>
      <c r="E12" s="42">
        <f>Water!C13</f>
        <v>1180</v>
      </c>
      <c r="F12" s="42">
        <f>Water!E13</f>
        <v>0</v>
      </c>
      <c r="G12" s="42">
        <f>Water!G13</f>
        <v>486</v>
      </c>
      <c r="H12" s="42">
        <f>Water!I13</f>
        <v>5.7240000000000002</v>
      </c>
      <c r="I12" s="42">
        <f>ELECT.!F13</f>
        <v>17031</v>
      </c>
      <c r="J12" s="42">
        <f>ELECT.!H13</f>
        <v>65567</v>
      </c>
      <c r="K12" s="42">
        <f>ELECT.!K13</f>
        <v>7518</v>
      </c>
      <c r="L12" s="42">
        <f>ELECT.!M13</f>
        <v>6088</v>
      </c>
      <c r="M12" s="42">
        <f>ELECT.!O13</f>
        <v>10754</v>
      </c>
      <c r="N12" s="42">
        <f>ELECT.!Q13</f>
        <v>14539</v>
      </c>
      <c r="O12" s="42">
        <f>ELECT.!S13</f>
        <v>13066</v>
      </c>
      <c r="P12" s="42">
        <f>ELECT.!W13*2</f>
        <v>28492</v>
      </c>
      <c r="Q12" s="42">
        <f>ELECT.!D13</f>
        <v>960</v>
      </c>
      <c r="R12" s="43">
        <f>BTU!C13</f>
        <v>6.5580000000009022</v>
      </c>
      <c r="S12" s="43">
        <f>BTU!F13</f>
        <v>2.8840000000000146</v>
      </c>
      <c r="T12" s="43">
        <f>BTU!I13</f>
        <v>6</v>
      </c>
      <c r="U12" s="43">
        <f>BTU!O13</f>
        <v>1.4949999999998909</v>
      </c>
      <c r="V12" s="43">
        <f>BTU!L13</f>
        <v>1.9799999999995634</v>
      </c>
      <c r="W12" s="43">
        <f>BTU!R13</f>
        <v>1.3899999999994179</v>
      </c>
      <c r="X12" s="40">
        <f>ELECT.!B13</f>
        <v>317</v>
      </c>
      <c r="Y12" s="40">
        <f t="shared" si="0"/>
        <v>2141</v>
      </c>
      <c r="Z12">
        <f>'Mall, Citadel, Rotana'!C13+'Mall, Citadel, Rotana'!E13+'Mall, Citadel, Rotana'!G13+'Mall, Citadel, Rotana'!I13</f>
        <v>1314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0">
        <f t="shared" si="1"/>
        <v>129.20037680000002</v>
      </c>
      <c r="AE12" s="40">
        <f t="shared" si="2"/>
        <v>851.07562320000011</v>
      </c>
    </row>
    <row r="13" spans="1:31" x14ac:dyDescent="0.2">
      <c r="A13" s="53" t="s">
        <v>53</v>
      </c>
      <c r="B13" s="58">
        <f t="shared" si="3"/>
        <v>12</v>
      </c>
      <c r="C13" s="58">
        <v>10</v>
      </c>
      <c r="D13" s="58">
        <v>2021</v>
      </c>
      <c r="E13" s="42">
        <f>Water!C14</f>
        <v>990</v>
      </c>
      <c r="F13" s="42">
        <f>Water!E14</f>
        <v>0</v>
      </c>
      <c r="G13" s="42">
        <f>Water!G14</f>
        <v>504.9</v>
      </c>
      <c r="H13" s="42">
        <f>Water!I14</f>
        <v>5.9669999999999996</v>
      </c>
      <c r="I13" s="42">
        <f>ELECT.!F14</f>
        <v>10230</v>
      </c>
      <c r="J13" s="42">
        <f>ELECT.!H14</f>
        <v>37915</v>
      </c>
      <c r="K13" s="42">
        <f>ELECT.!K14</f>
        <v>4525</v>
      </c>
      <c r="L13" s="42">
        <f>ELECT.!M14</f>
        <v>3883</v>
      </c>
      <c r="M13" s="42">
        <f>ELECT.!O14</f>
        <v>6220</v>
      </c>
      <c r="N13" s="42">
        <f>ELECT.!Q14</f>
        <v>8449</v>
      </c>
      <c r="O13" s="42">
        <f>ELECT.!S14</f>
        <v>7465</v>
      </c>
      <c r="P13" s="42">
        <f>ELECT.!W14*2</f>
        <v>16334</v>
      </c>
      <c r="Q13" s="42">
        <f>ELECT.!D14</f>
        <v>800</v>
      </c>
      <c r="R13" s="43">
        <f>BTU!C14</f>
        <v>7.6450000000004366</v>
      </c>
      <c r="S13" s="43">
        <f>BTU!F14</f>
        <v>2.81899999999996</v>
      </c>
      <c r="T13" s="43">
        <f>BTU!I14</f>
        <v>5</v>
      </c>
      <c r="U13" s="43">
        <f>BTU!O14</f>
        <v>1.5450000000000728</v>
      </c>
      <c r="V13" s="43">
        <f>BTU!L14</f>
        <v>2.6000000000003638</v>
      </c>
      <c r="W13" s="43">
        <f>BTU!R14</f>
        <v>1.0500000000001819</v>
      </c>
      <c r="X13" s="40">
        <f>ELECT.!B14</f>
        <v>308</v>
      </c>
      <c r="Y13" s="40">
        <f t="shared" si="0"/>
        <v>1269</v>
      </c>
      <c r="Z13">
        <f>'Mall, Citadel, Rotana'!C14+'Mall, Citadel, Rotana'!E14+'Mall, Citadel, Rotana'!G14+'Mall, Citadel, Rotana'!I14</f>
        <v>2922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104.12634940000001</v>
      </c>
      <c r="AE13" s="40">
        <f t="shared" si="2"/>
        <v>685.90665060000003</v>
      </c>
    </row>
    <row r="14" spans="1:31" x14ac:dyDescent="0.2">
      <c r="A14" s="53" t="s">
        <v>53</v>
      </c>
      <c r="B14" s="58">
        <f t="shared" si="3"/>
        <v>13</v>
      </c>
      <c r="C14" s="58">
        <v>10</v>
      </c>
      <c r="D14" s="58">
        <v>2021</v>
      </c>
      <c r="E14" s="42">
        <f>Water!C15</f>
        <v>1240</v>
      </c>
      <c r="F14" s="42">
        <f>Water!E15</f>
        <v>0</v>
      </c>
      <c r="G14" s="42">
        <f>Water!G15</f>
        <v>634.5</v>
      </c>
      <c r="H14" s="42">
        <f>Water!I15</f>
        <v>5.6429999999999998</v>
      </c>
      <c r="I14" s="42">
        <f>ELECT.!F15</f>
        <v>12340</v>
      </c>
      <c r="J14" s="42">
        <f>ELECT.!H15</f>
        <v>46339</v>
      </c>
      <c r="K14" s="42">
        <f>ELECT.!K15</f>
        <v>5546</v>
      </c>
      <c r="L14" s="42">
        <f>ELECT.!M15</f>
        <v>4544</v>
      </c>
      <c r="M14" s="42">
        <f>ELECT.!O15</f>
        <v>7648</v>
      </c>
      <c r="N14" s="42">
        <f>ELECT.!Q15</f>
        <v>10207</v>
      </c>
      <c r="O14" s="42">
        <f>ELECT.!S15</f>
        <v>9513</v>
      </c>
      <c r="P14" s="42">
        <f>ELECT.!W15*2</f>
        <v>19840</v>
      </c>
      <c r="Q14" s="42">
        <f>ELECT.!D15</f>
        <v>640</v>
      </c>
      <c r="R14" s="43">
        <f>BTU!C15</f>
        <v>6.6209999999991851</v>
      </c>
      <c r="S14" s="43">
        <f>BTU!F15</f>
        <v>2.3330000000000837</v>
      </c>
      <c r="T14" s="43">
        <f>BTU!I15</f>
        <v>4</v>
      </c>
      <c r="U14" s="43">
        <f>BTU!O15</f>
        <v>1.4220000000000255</v>
      </c>
      <c r="V14" s="43">
        <f>BTU!L15</f>
        <v>2.5799999999999272</v>
      </c>
      <c r="W14" s="43">
        <f>BTU!R15</f>
        <v>2.2200000000002547</v>
      </c>
      <c r="X14" s="40">
        <f>ELECT.!B15</f>
        <v>288</v>
      </c>
      <c r="Y14" s="40">
        <f t="shared" si="0"/>
        <v>1381</v>
      </c>
      <c r="Z14">
        <f>'Mall, Citadel, Rotana'!C15+'Mall, Citadel, Rotana'!E15+'Mall, Citadel, Rotana'!G15+'Mall, Citadel, Rotana'!I15</f>
        <v>1430</v>
      </c>
      <c r="AA14">
        <f>'Mall, Citadel, Rotana'!K15+'Mall, Citadel, Rotana'!M15</f>
        <v>800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137.1190526</v>
      </c>
      <c r="AE14" s="40">
        <f t="shared" si="2"/>
        <v>903.23794739999994</v>
      </c>
    </row>
    <row r="15" spans="1:31" x14ac:dyDescent="0.2">
      <c r="A15" s="53" t="s">
        <v>53</v>
      </c>
      <c r="B15" s="58">
        <f t="shared" si="3"/>
        <v>14</v>
      </c>
      <c r="C15" s="58">
        <v>10</v>
      </c>
      <c r="D15" s="58">
        <v>2021</v>
      </c>
      <c r="E15" s="42">
        <f>Water!C16</f>
        <v>1170</v>
      </c>
      <c r="F15" s="42">
        <f>Water!E16</f>
        <v>0</v>
      </c>
      <c r="G15" s="42">
        <f>Water!G16</f>
        <v>707.4</v>
      </c>
      <c r="H15" s="42">
        <f>Water!I16</f>
        <v>0</v>
      </c>
      <c r="I15" s="42">
        <f>ELECT.!F16</f>
        <v>17136</v>
      </c>
      <c r="J15" s="42">
        <f>ELECT.!H16</f>
        <v>63419</v>
      </c>
      <c r="K15" s="42">
        <f>ELECT.!K16</f>
        <v>7321</v>
      </c>
      <c r="L15" s="42">
        <f>ELECT.!M16</f>
        <v>6282</v>
      </c>
      <c r="M15" s="42">
        <f>ELECT.!O16</f>
        <v>10658</v>
      </c>
      <c r="N15" s="42">
        <f>ELECT.!Q16</f>
        <v>14290</v>
      </c>
      <c r="O15" s="42">
        <f>ELECT.!S16</f>
        <v>13100</v>
      </c>
      <c r="P15" s="42">
        <f>ELECT.!W16*2</f>
        <v>27248</v>
      </c>
      <c r="Q15" s="42">
        <f>ELECT.!D16</f>
        <v>640</v>
      </c>
      <c r="R15" s="43">
        <f>BTU!C16</f>
        <v>8.5679999999993015</v>
      </c>
      <c r="S15" s="43">
        <f>BTU!F16</f>
        <v>2.3609999999998763</v>
      </c>
      <c r="T15" s="43">
        <f>BTU!I16</f>
        <v>5</v>
      </c>
      <c r="U15" s="43">
        <f>BTU!O16</f>
        <v>1.5219999999999345</v>
      </c>
      <c r="V15" s="43">
        <f>BTU!L16</f>
        <v>3.5100000000002183</v>
      </c>
      <c r="W15" s="43">
        <f>BTU!R16</f>
        <v>2.25</v>
      </c>
      <c r="X15" s="40">
        <f>ELECT.!B16</f>
        <v>281</v>
      </c>
      <c r="Y15" s="40">
        <f t="shared" si="0"/>
        <v>1656</v>
      </c>
      <c r="Z15">
        <f>'Mall, Citadel, Rotana'!C16+'Mall, Citadel, Rotana'!E16+'Mall, Citadel, Rotana'!G16+'Mall, Citadel, Rotana'!I16</f>
        <v>1250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0</v>
      </c>
      <c r="AD15" s="40">
        <f t="shared" si="1"/>
        <v>128.63679999999999</v>
      </c>
      <c r="AE15" s="40">
        <f t="shared" si="2"/>
        <v>847.36320000000001</v>
      </c>
    </row>
    <row r="16" spans="1:31" x14ac:dyDescent="0.2">
      <c r="A16" s="53" t="s">
        <v>53</v>
      </c>
      <c r="B16" s="58">
        <f t="shared" si="3"/>
        <v>15</v>
      </c>
      <c r="C16" s="58">
        <v>10</v>
      </c>
      <c r="D16" s="58">
        <v>2021</v>
      </c>
      <c r="E16" s="42">
        <f>Water!C17</f>
        <v>1040</v>
      </c>
      <c r="F16" s="42">
        <f>Water!E17</f>
        <v>0</v>
      </c>
      <c r="G16" s="42">
        <f>Water!G17</f>
        <v>561.6</v>
      </c>
      <c r="H16" s="42">
        <f>Water!I17</f>
        <v>10.718999999999999</v>
      </c>
      <c r="I16" s="42">
        <f>ELECT.!F17</f>
        <v>13664</v>
      </c>
      <c r="J16" s="42">
        <f>ELECT.!H17</f>
        <v>51539</v>
      </c>
      <c r="K16" s="42">
        <f>ELECT.!K17</f>
        <v>5650</v>
      </c>
      <c r="L16" s="42">
        <f>ELECT.!M17</f>
        <v>4835</v>
      </c>
      <c r="M16" s="42">
        <f>ELECT.!O17</f>
        <v>8616</v>
      </c>
      <c r="N16" s="42">
        <f>ELECT.!Q17</f>
        <v>11564</v>
      </c>
      <c r="O16" s="42">
        <f>ELECT.!S17</f>
        <v>10584</v>
      </c>
      <c r="P16" s="42">
        <f>ELECT.!W17*2</f>
        <v>22424</v>
      </c>
      <c r="Q16" s="42">
        <f>ELECT.!D17</f>
        <v>800</v>
      </c>
      <c r="R16" s="43">
        <f>BTU!C17</f>
        <v>9.7410000000018044</v>
      </c>
      <c r="S16" s="43">
        <f>BTU!F17</f>
        <v>1.875</v>
      </c>
      <c r="T16" s="43">
        <f>BTU!I17</f>
        <v>5</v>
      </c>
      <c r="U16" s="43">
        <f>BTU!O17</f>
        <v>1.5380000000000109</v>
      </c>
      <c r="V16" s="43">
        <f>BTU!L17</f>
        <v>2.9899999999997817</v>
      </c>
      <c r="W16" s="43">
        <f>BTU!R17</f>
        <v>2.3000000000001819</v>
      </c>
      <c r="X16" s="40">
        <f>ELECT.!B17</f>
        <v>317</v>
      </c>
      <c r="Y16" s="40">
        <f t="shared" si="0"/>
        <v>1530</v>
      </c>
      <c r="Z16">
        <f>'Mall, Citadel, Rotana'!C17+'Mall, Citadel, Rotana'!E17+'Mall, Citadel, Rotana'!G17+'Mall, Citadel, Rotana'!I17</f>
        <v>1422</v>
      </c>
      <c r="AA16">
        <f>'Mall, Citadel, Rotana'!K17+'Mall, Citadel, Rotana'!M17</f>
        <v>320</v>
      </c>
      <c r="AB16">
        <f>'Mall, Citadel, Rotana'!O17</f>
        <v>1</v>
      </c>
      <c r="AC16">
        <f>'Mall, Citadel, Rotana'!Q17+'Mall, Citadel, Rotana'!S17</f>
        <v>0</v>
      </c>
      <c r="AD16" s="40">
        <f t="shared" si="1"/>
        <v>110.0900358</v>
      </c>
      <c r="AE16" s="40">
        <f t="shared" si="2"/>
        <v>725.19096419999994</v>
      </c>
    </row>
    <row r="17" spans="1:31" x14ac:dyDescent="0.2">
      <c r="A17" s="53" t="s">
        <v>53</v>
      </c>
      <c r="B17" s="58">
        <f t="shared" si="3"/>
        <v>16</v>
      </c>
      <c r="C17" s="58">
        <v>10</v>
      </c>
      <c r="D17" s="58">
        <v>2021</v>
      </c>
      <c r="E17" s="42">
        <f>Water!C18</f>
        <v>1190</v>
      </c>
      <c r="F17" s="42">
        <f>Water!E18</f>
        <v>0</v>
      </c>
      <c r="G17" s="42">
        <f>Water!G18</f>
        <v>685.8</v>
      </c>
      <c r="H17" s="42">
        <f>Water!I18</f>
        <v>5.67</v>
      </c>
      <c r="I17" s="42">
        <f>ELECT.!F18</f>
        <v>11641</v>
      </c>
      <c r="J17" s="42">
        <f>ELECT.!H18</f>
        <v>45122</v>
      </c>
      <c r="K17" s="42">
        <f>ELECT.!K18</f>
        <v>5097</v>
      </c>
      <c r="L17" s="42">
        <f>ELECT.!M18</f>
        <v>4091</v>
      </c>
      <c r="M17" s="42">
        <f>ELECT.!O18</f>
        <v>7436</v>
      </c>
      <c r="N17" s="42">
        <f>ELECT.!Q18</f>
        <v>10067</v>
      </c>
      <c r="O17" s="42">
        <f>ELECT.!S18</f>
        <v>8888</v>
      </c>
      <c r="P17" s="42">
        <f>ELECT.!W18*2</f>
        <v>20178</v>
      </c>
      <c r="Q17" s="42">
        <f>ELECT.!D18</f>
        <v>800</v>
      </c>
      <c r="R17" s="43">
        <f>BTU!C18</f>
        <v>7.9919999999983702</v>
      </c>
      <c r="S17" s="43">
        <f>BTU!F18</f>
        <v>1.5480000000002292</v>
      </c>
      <c r="T17" s="43">
        <f>BTU!I18</f>
        <v>6</v>
      </c>
      <c r="U17" s="43">
        <f>BTU!O18</f>
        <v>1.8029999999998836</v>
      </c>
      <c r="V17" s="43">
        <f>BTU!L18</f>
        <v>1.7200000000011642</v>
      </c>
      <c r="W17" s="43">
        <f>BTU!R18</f>
        <v>0.90999999999985448</v>
      </c>
      <c r="X17" s="40">
        <f>ELECT.!B18</f>
        <v>312</v>
      </c>
      <c r="Y17" s="40">
        <f t="shared" si="0"/>
        <v>1006</v>
      </c>
      <c r="Z17">
        <f>'Mall, Citadel, Rotana'!C18+'Mall, Citadel, Rotana'!E18+'Mall, Citadel, Rotana'!G18+'Mall, Citadel, Rotana'!I18</f>
        <v>1581</v>
      </c>
      <c r="AA17">
        <f>'Mall, Citadel, Rotana'!K18+'Mall, Citadel, Rotana'!M18</f>
        <v>480</v>
      </c>
      <c r="AB17">
        <f>'Mall, Citadel, Rotana'!O18</f>
        <v>4</v>
      </c>
      <c r="AC17">
        <f>'Mall, Citadel, Rotana'!Q18+'Mall, Citadel, Rotana'!S18</f>
        <v>0</v>
      </c>
      <c r="AD17" s="40">
        <f t="shared" si="1"/>
        <v>130.52549399999998</v>
      </c>
      <c r="AE17" s="40">
        <f t="shared" si="2"/>
        <v>859.80450599999995</v>
      </c>
    </row>
    <row r="18" spans="1:31" x14ac:dyDescent="0.2">
      <c r="A18" s="53" t="s">
        <v>53</v>
      </c>
      <c r="B18" s="58">
        <f t="shared" si="3"/>
        <v>17</v>
      </c>
      <c r="C18" s="58">
        <v>10</v>
      </c>
      <c r="D18" s="58">
        <v>2021</v>
      </c>
      <c r="E18" s="42">
        <f>Water!C19</f>
        <v>1060</v>
      </c>
      <c r="F18" s="42">
        <f>Water!E19</f>
        <v>0</v>
      </c>
      <c r="G18" s="42">
        <f>Water!G19</f>
        <v>545.4</v>
      </c>
      <c r="H18" s="42">
        <f>Water!I19</f>
        <v>5.2649999999999997</v>
      </c>
      <c r="I18" s="42">
        <f>ELECT.!F19</f>
        <v>12622</v>
      </c>
      <c r="J18" s="42">
        <f>ELECT.!H19</f>
        <v>48708</v>
      </c>
      <c r="K18" s="42">
        <f>ELECT.!K19</f>
        <v>5824</v>
      </c>
      <c r="L18" s="42">
        <f>ELECT.!M19</f>
        <v>4652</v>
      </c>
      <c r="M18" s="42">
        <f>ELECT.!O19</f>
        <v>7794</v>
      </c>
      <c r="N18" s="42">
        <f>ELECT.!Q19</f>
        <v>10518</v>
      </c>
      <c r="O18" s="42">
        <f>ELECT.!S19</f>
        <v>9720</v>
      </c>
      <c r="P18" s="42">
        <f>ELECT.!W19*2</f>
        <v>21436</v>
      </c>
      <c r="Q18" s="42">
        <f>ELECT.!D19</f>
        <v>800</v>
      </c>
      <c r="R18" s="43">
        <f>BTU!C19</f>
        <v>8.5450000000018917</v>
      </c>
      <c r="S18" s="43">
        <f>BTU!F19</f>
        <v>1.9650000000001455</v>
      </c>
      <c r="T18" s="43">
        <f>BTU!I19</f>
        <v>5</v>
      </c>
      <c r="U18" s="43">
        <f>BTU!O19</f>
        <v>1.7530000000001564</v>
      </c>
      <c r="V18" s="43">
        <f>BTU!L19</f>
        <v>1.5099999999983993</v>
      </c>
      <c r="W18" s="43">
        <f>BTU!R19</f>
        <v>1.9600000000000364</v>
      </c>
      <c r="X18" s="40">
        <f>ELECT.!B19</f>
        <v>303</v>
      </c>
      <c r="Y18" s="40">
        <f t="shared" si="0"/>
        <v>1386</v>
      </c>
      <c r="Z18">
        <f>'Mall, Citadel, Rotana'!C19+'Mall, Citadel, Rotana'!E19+'Mall, Citadel, Rotana'!G19+'Mall, Citadel, Rotana'!I19</f>
        <v>1392</v>
      </c>
      <c r="AA18">
        <f>'Mall, Citadel, Rotana'!K19+'Mall, Citadel, Rotana'!M19</f>
        <v>640</v>
      </c>
      <c r="AB18">
        <f>'Mall, Citadel, Rotana'!O19</f>
        <v>2</v>
      </c>
      <c r="AC18">
        <f>'Mall, Citadel, Rotana'!Q19+'Mall, Citadel, Rotana'!S19</f>
        <v>0</v>
      </c>
      <c r="AD18" s="40">
        <f t="shared" si="1"/>
        <v>113.44487299999999</v>
      </c>
      <c r="AE18" s="40">
        <f t="shared" si="2"/>
        <v>747.29012699999987</v>
      </c>
    </row>
    <row r="19" spans="1:31" x14ac:dyDescent="0.2">
      <c r="A19" s="53" t="s">
        <v>53</v>
      </c>
      <c r="B19" s="58">
        <f t="shared" si="3"/>
        <v>18</v>
      </c>
      <c r="C19" s="58">
        <v>10</v>
      </c>
      <c r="D19" s="58">
        <v>2021</v>
      </c>
      <c r="E19" s="42">
        <f>Water!C20</f>
        <v>970</v>
      </c>
      <c r="F19" s="42">
        <f>Water!E20</f>
        <v>0</v>
      </c>
      <c r="G19" s="42">
        <f>Water!G20</f>
        <v>491.4</v>
      </c>
      <c r="H19" s="42">
        <f>Water!I20</f>
        <v>5.2110000000000003</v>
      </c>
      <c r="I19" s="42">
        <f>ELECT.!F20</f>
        <v>10848</v>
      </c>
      <c r="J19" s="42">
        <f>ELECT.!H20</f>
        <v>41676</v>
      </c>
      <c r="K19" s="42">
        <f>ELECT.!K20</f>
        <v>4732</v>
      </c>
      <c r="L19" s="42">
        <f>ELECT.!M20</f>
        <v>4040</v>
      </c>
      <c r="M19" s="42">
        <f>ELECT.!O20</f>
        <v>6704</v>
      </c>
      <c r="N19" s="42">
        <f>ELECT.!Q20</f>
        <v>8856</v>
      </c>
      <c r="O19" s="42">
        <f>ELECT.!S20</f>
        <v>8631</v>
      </c>
      <c r="P19" s="42">
        <f>ELECT.!W20*2</f>
        <v>18688</v>
      </c>
      <c r="Q19" s="42">
        <f>ELECT.!D20</f>
        <v>800</v>
      </c>
      <c r="R19" s="43">
        <f>BTU!C20</f>
        <v>7.205999999998312</v>
      </c>
      <c r="S19" s="43">
        <f>BTU!F20</f>
        <v>2.3619999999996253</v>
      </c>
      <c r="T19" s="43">
        <f>BTU!I20</f>
        <v>5</v>
      </c>
      <c r="U19" s="43">
        <f>BTU!O20</f>
        <v>1.7979999999997744</v>
      </c>
      <c r="V19" s="43">
        <f>BTU!L20</f>
        <v>1.2100000000009459</v>
      </c>
      <c r="W19" s="43">
        <f>BTU!R20</f>
        <v>1.569999999999709</v>
      </c>
      <c r="X19" s="40">
        <f>ELECT.!B20</f>
        <v>300</v>
      </c>
      <c r="Y19" s="40">
        <f t="shared" si="0"/>
        <v>873</v>
      </c>
      <c r="Z19">
        <f>'Mall, Citadel, Rotana'!C20+'Mall, Citadel, Rotana'!E20+'Mall, Citadel, Rotana'!G20+'Mall, Citadel, Rotana'!I20</f>
        <v>1582</v>
      </c>
      <c r="AA19">
        <f>'Mall, Citadel, Rotana'!K20+'Mall, Citadel, Rotana'!M20</f>
        <v>640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101.5899902</v>
      </c>
      <c r="AE19" s="40">
        <f t="shared" si="2"/>
        <v>669.1990098</v>
      </c>
    </row>
    <row r="20" spans="1:31" x14ac:dyDescent="0.2">
      <c r="A20" s="53" t="s">
        <v>53</v>
      </c>
      <c r="B20" s="58">
        <f t="shared" si="3"/>
        <v>19</v>
      </c>
      <c r="C20" s="58">
        <v>10</v>
      </c>
      <c r="D20" s="58">
        <v>2021</v>
      </c>
      <c r="E20" s="42">
        <f>Water!C21</f>
        <v>1090</v>
      </c>
      <c r="F20" s="42">
        <f>Water!E21</f>
        <v>0</v>
      </c>
      <c r="G20" s="42">
        <f>Water!G21</f>
        <v>496.8</v>
      </c>
      <c r="H20" s="42">
        <f>Water!I21</f>
        <v>5.5889999999999995</v>
      </c>
      <c r="I20" s="42">
        <f>ELECT.!F21</f>
        <v>14146</v>
      </c>
      <c r="J20" s="42">
        <f>ELECT.!H21</f>
        <v>52433</v>
      </c>
      <c r="K20" s="42">
        <f>ELECT.!K21</f>
        <v>6154</v>
      </c>
      <c r="L20" s="42">
        <f>ELECT.!M21</f>
        <v>5533</v>
      </c>
      <c r="M20" s="42">
        <f>ELECT.!O21</f>
        <v>7570</v>
      </c>
      <c r="N20" s="42">
        <f>ELECT.!Q21</f>
        <v>11073</v>
      </c>
      <c r="O20" s="42">
        <f>ELECT.!S21</f>
        <v>10854</v>
      </c>
      <c r="P20" s="42">
        <f>ELECT.!W21*2</f>
        <v>23184</v>
      </c>
      <c r="Q20" s="42">
        <f>ELECT.!D21</f>
        <v>640</v>
      </c>
      <c r="R20" s="43">
        <f>BTU!C21</f>
        <v>6.7740000000012515</v>
      </c>
      <c r="S20" s="43">
        <f>BTU!F21</f>
        <v>2.5060000000003129</v>
      </c>
      <c r="T20" s="43">
        <f>BTU!I21</f>
        <v>5</v>
      </c>
      <c r="U20" s="43">
        <f>BTU!O21</f>
        <v>1.8900000000003274</v>
      </c>
      <c r="V20" s="43">
        <f>BTU!L21</f>
        <v>2.3999999999996362</v>
      </c>
      <c r="W20" s="43">
        <f>BTU!R21</f>
        <v>1.6000000000003638</v>
      </c>
      <c r="X20" s="40">
        <f>ELECT.!B21</f>
        <v>307</v>
      </c>
      <c r="Y20" s="40">
        <f t="shared" si="0"/>
        <v>2211</v>
      </c>
      <c r="Z20">
        <f>'Mall, Citadel, Rotana'!C21+'Mall, Citadel, Rotana'!E21+'Mall, Citadel, Rotana'!G21+'Mall, Citadel, Rotana'!I21</f>
        <v>1400</v>
      </c>
      <c r="AA20">
        <f>'Mall, Citadel, Rotana'!K21+'Mall, Citadel, Rotana'!M21</f>
        <v>480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117.3561698</v>
      </c>
      <c r="AE20" s="40">
        <f t="shared" si="2"/>
        <v>773.05483020000008</v>
      </c>
    </row>
    <row r="21" spans="1:31" x14ac:dyDescent="0.2">
      <c r="A21" s="53" t="s">
        <v>53</v>
      </c>
      <c r="B21" s="58">
        <f t="shared" si="3"/>
        <v>20</v>
      </c>
      <c r="C21" s="58">
        <v>10</v>
      </c>
      <c r="D21" s="58">
        <v>2021</v>
      </c>
      <c r="E21" s="42">
        <f>Water!C22</f>
        <v>890</v>
      </c>
      <c r="F21" s="42">
        <f>Water!E22</f>
        <v>0</v>
      </c>
      <c r="G21" s="42">
        <f>Water!G22</f>
        <v>380.7</v>
      </c>
      <c r="H21" s="42">
        <f>Water!I22</f>
        <v>4.6440000000000001</v>
      </c>
      <c r="I21" s="42">
        <f>ELECT.!F22</f>
        <v>15050</v>
      </c>
      <c r="J21" s="42">
        <f>ELECT.!H22</f>
        <v>53249</v>
      </c>
      <c r="K21" s="42">
        <f>ELECT.!K22</f>
        <v>6486</v>
      </c>
      <c r="L21" s="42">
        <f>ELECT.!M22</f>
        <v>5793</v>
      </c>
      <c r="M21" s="42">
        <f>ELECT.!O22</f>
        <v>10010</v>
      </c>
      <c r="N21" s="42">
        <f>ELECT.!Q22</f>
        <v>11926</v>
      </c>
      <c r="O21" s="42">
        <f>ELECT.!S22</f>
        <v>11867</v>
      </c>
      <c r="P21" s="42">
        <f>ELECT.!W22*2</f>
        <v>26330</v>
      </c>
      <c r="Q21" s="42">
        <f>ELECT.!D22</f>
        <v>800</v>
      </c>
      <c r="R21" s="43">
        <f>BTU!C22</f>
        <v>5.9249999999992724</v>
      </c>
      <c r="S21" s="43">
        <f>BTU!F22</f>
        <v>2.3669999999997344</v>
      </c>
      <c r="T21" s="43">
        <f>BTU!I22</f>
        <v>6</v>
      </c>
      <c r="U21" s="43">
        <f>BTU!O22</f>
        <v>1.5059999999998581</v>
      </c>
      <c r="V21" s="43">
        <f>BTU!L22</f>
        <v>2.7000000000007276</v>
      </c>
      <c r="W21" s="43">
        <f>BTU!R22</f>
        <v>0.77999999999974534</v>
      </c>
      <c r="X21" s="40">
        <f>ELECT.!B22</f>
        <v>254</v>
      </c>
      <c r="Y21" s="40">
        <f t="shared" si="0"/>
        <v>-4113</v>
      </c>
      <c r="Z21">
        <f>'Mall, Citadel, Rotana'!C22+'Mall, Citadel, Rotana'!E22+'Mall, Citadel, Rotana'!G22+'Mall, Citadel, Rotana'!I22</f>
        <v>1241</v>
      </c>
      <c r="AA21">
        <f>'Mall, Citadel, Rotana'!K22+'Mall, Citadel, Rotana'!M22</f>
        <v>640</v>
      </c>
      <c r="AB21">
        <f>'Mall, Citadel, Rotana'!O22</f>
        <v>3</v>
      </c>
      <c r="AC21">
        <f>'Mall, Citadel, Rotana'!Q22+'Mall, Citadel, Rotana'!S22</f>
        <v>0</v>
      </c>
      <c r="AD21" s="40">
        <f t="shared" si="1"/>
        <v>91.120720800000001</v>
      </c>
      <c r="AE21" s="40">
        <f t="shared" si="2"/>
        <v>600.23527920000004</v>
      </c>
    </row>
    <row r="22" spans="1:31" x14ac:dyDescent="0.2">
      <c r="A22" s="53" t="s">
        <v>53</v>
      </c>
      <c r="B22" s="58">
        <f t="shared" si="3"/>
        <v>21</v>
      </c>
      <c r="C22" s="58">
        <v>10</v>
      </c>
      <c r="D22" s="58">
        <v>2021</v>
      </c>
      <c r="E22" s="42">
        <f>Water!C23</f>
        <v>810</v>
      </c>
      <c r="F22" s="42">
        <f>Water!E23</f>
        <v>0</v>
      </c>
      <c r="G22" s="42">
        <f>Water!G23</f>
        <v>453.6</v>
      </c>
      <c r="H22" s="42">
        <f>Water!I23</f>
        <v>4.968</v>
      </c>
      <c r="I22" s="42">
        <f>ELECT.!F23</f>
        <v>9778</v>
      </c>
      <c r="J22" s="42">
        <f>ELECT.!H23</f>
        <v>42424</v>
      </c>
      <c r="K22" s="42">
        <f>ELECT.!K23</f>
        <v>4138</v>
      </c>
      <c r="L22" s="42">
        <f>ELECT.!M23</f>
        <v>3680</v>
      </c>
      <c r="M22" s="42">
        <f>ELECT.!O23</f>
        <v>5918</v>
      </c>
      <c r="N22" s="42">
        <f>ELECT.!Q23</f>
        <v>7907</v>
      </c>
      <c r="O22" s="42">
        <f>ELECT.!S23</f>
        <v>7840</v>
      </c>
      <c r="P22" s="42">
        <f>ELECT.!W23*2</f>
        <v>16990</v>
      </c>
      <c r="Q22" s="42">
        <f>ELECT.!D23</f>
        <v>640</v>
      </c>
      <c r="R22" s="43">
        <f>BTU!C23</f>
        <v>5.1899999999986903</v>
      </c>
      <c r="S22" s="43">
        <f>BTU!F23</f>
        <v>1.4200000000000728</v>
      </c>
      <c r="T22" s="43">
        <f>BTU!I23</f>
        <v>5</v>
      </c>
      <c r="U22" s="43">
        <f>BTU!O23</f>
        <v>1.5410000000001673</v>
      </c>
      <c r="V22" s="43">
        <f>BTU!L23</f>
        <v>2.6599999999998545</v>
      </c>
      <c r="W22" s="43">
        <f>BTU!R23</f>
        <v>0.76000000000021828</v>
      </c>
      <c r="X22" s="40">
        <f>ELECT.!B23</f>
        <v>306</v>
      </c>
      <c r="Y22" s="40">
        <f t="shared" si="0"/>
        <v>5729</v>
      </c>
      <c r="Z22">
        <f>'Mall, Citadel, Rotana'!C23+'Mall, Citadel, Rotana'!E23+'Mall, Citadel, Rotana'!G23+'Mall, Citadel, Rotana'!I23</f>
        <v>1453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1722</v>
      </c>
      <c r="AD22" s="40">
        <f t="shared" si="1"/>
        <v>80.534017599999999</v>
      </c>
      <c r="AE22" s="40">
        <f t="shared" si="2"/>
        <v>530.49798240000007</v>
      </c>
    </row>
    <row r="23" spans="1:31" x14ac:dyDescent="0.2">
      <c r="A23" s="53" t="s">
        <v>53</v>
      </c>
      <c r="B23" s="58">
        <f t="shared" si="3"/>
        <v>22</v>
      </c>
      <c r="C23" s="58">
        <v>10</v>
      </c>
      <c r="D23" s="58">
        <v>2021</v>
      </c>
      <c r="E23" s="42">
        <f>Water!C24</f>
        <v>970</v>
      </c>
      <c r="F23" s="42">
        <f>Water!E24</f>
        <v>0</v>
      </c>
      <c r="G23" s="42">
        <f>Water!G24</f>
        <v>453.6</v>
      </c>
      <c r="H23" s="42">
        <f>Water!I24</f>
        <v>4.968</v>
      </c>
      <c r="I23" s="42">
        <f>ELECT.!F24</f>
        <v>14183</v>
      </c>
      <c r="J23" s="42">
        <f>ELECT.!H24</f>
        <v>54817</v>
      </c>
      <c r="K23" s="42">
        <f>ELECT.!K24</f>
        <v>5465</v>
      </c>
      <c r="L23" s="42">
        <f>ELECT.!M24</f>
        <v>5236</v>
      </c>
      <c r="M23" s="42">
        <f>ELECT.!O24</f>
        <v>8744</v>
      </c>
      <c r="N23" s="42">
        <f>ELECT.!Q24</f>
        <v>11368</v>
      </c>
      <c r="O23" s="42">
        <f>ELECT.!S24</f>
        <v>11388</v>
      </c>
      <c r="P23" s="42">
        <f>ELECT.!W24*2</f>
        <v>25194</v>
      </c>
      <c r="Q23" s="42">
        <f>ELECT.!D24</f>
        <v>640</v>
      </c>
      <c r="R23" s="43">
        <f>BTU!C24</f>
        <v>4.8410000000003492</v>
      </c>
      <c r="S23" s="43">
        <f>BTU!F24</f>
        <v>1.4549999999999272</v>
      </c>
      <c r="T23" s="43">
        <f>BTU!I24</f>
        <v>4</v>
      </c>
      <c r="U23" s="43">
        <f>BTU!O24</f>
        <v>1.5360000000000582</v>
      </c>
      <c r="V23" s="43">
        <f>BTU!L24</f>
        <v>2.4799999999995634</v>
      </c>
      <c r="W23" s="43">
        <f>BTU!R24</f>
        <v>0.77999999999974534</v>
      </c>
      <c r="X23" s="40">
        <f>ELECT.!B24</f>
        <v>278</v>
      </c>
      <c r="Y23" s="40">
        <f t="shared" si="0"/>
        <v>1605</v>
      </c>
      <c r="Z23">
        <f>'Mall, Citadel, Rotana'!C24+'Mall, Citadel, Rotana'!E24+'Mall, Citadel, Rotana'!G24+'Mall, Citadel, Rotana'!I24</f>
        <v>754</v>
      </c>
      <c r="AA23">
        <f>'Mall, Citadel, Rotana'!K24+'Mall, Citadel, Rotana'!M24</f>
        <v>480</v>
      </c>
      <c r="AB23">
        <f>'Mall, Citadel, Rotana'!O24</f>
        <v>3</v>
      </c>
      <c r="AC23">
        <f>'Mall, Citadel, Rotana'!Q24+'Mall, Citadel, Rotana'!S24</f>
        <v>119</v>
      </c>
      <c r="AD23" s="40">
        <f t="shared" si="1"/>
        <v>101.62201760000001</v>
      </c>
      <c r="AE23" s="40">
        <f t="shared" si="2"/>
        <v>669.40998239999999</v>
      </c>
    </row>
    <row r="24" spans="1:31" x14ac:dyDescent="0.2">
      <c r="A24" s="53" t="s">
        <v>53</v>
      </c>
      <c r="B24" s="58">
        <f t="shared" si="3"/>
        <v>23</v>
      </c>
      <c r="C24" s="58">
        <v>10</v>
      </c>
      <c r="D24" s="58">
        <v>2021</v>
      </c>
      <c r="E24" s="42">
        <f>Water!C25</f>
        <v>2010</v>
      </c>
      <c r="F24" s="42">
        <f>Water!E25</f>
        <v>0</v>
      </c>
      <c r="G24" s="42">
        <f>Water!G25</f>
        <v>410.4</v>
      </c>
      <c r="H24" s="42">
        <f>Water!I25</f>
        <v>3.8340000000000001</v>
      </c>
      <c r="I24" s="42">
        <f>ELECT.!F25</f>
        <v>11717</v>
      </c>
      <c r="J24" s="42">
        <f>ELECT.!H25</f>
        <v>45284</v>
      </c>
      <c r="K24" s="42">
        <f>ELECT.!K25</f>
        <v>4732</v>
      </c>
      <c r="L24" s="42">
        <f>ELECT.!M25</f>
        <v>4331</v>
      </c>
      <c r="M24" s="42">
        <f>ELECT.!O25</f>
        <v>7270</v>
      </c>
      <c r="N24" s="42">
        <f>ELECT.!Q25</f>
        <v>9524</v>
      </c>
      <c r="O24" s="42">
        <f>ELECT.!S25</f>
        <v>9667</v>
      </c>
      <c r="P24" s="42">
        <f>ELECT.!W25*2</f>
        <v>20538</v>
      </c>
      <c r="Q24" s="42">
        <f>ELECT.!D25</f>
        <v>640</v>
      </c>
      <c r="R24" s="43">
        <f>BTU!C25</f>
        <v>5.5850000000027649</v>
      </c>
      <c r="S24" s="43">
        <f>BTU!F25</f>
        <v>1.5070000000000618</v>
      </c>
      <c r="T24" s="43">
        <f>BTU!I25</f>
        <v>5</v>
      </c>
      <c r="U24" s="43">
        <f>BTU!O25</f>
        <v>1.7029999999999745</v>
      </c>
      <c r="V24" s="43">
        <f>BTU!L25</f>
        <v>0.84000000000014552</v>
      </c>
      <c r="W24" s="43">
        <f>BTU!R25</f>
        <v>0.47999999999956344</v>
      </c>
      <c r="X24" s="40">
        <f>ELECT.!B25</f>
        <v>227</v>
      </c>
      <c r="Y24" s="40">
        <f t="shared" si="0"/>
        <v>939</v>
      </c>
      <c r="Z24">
        <f>'Mall, Citadel, Rotana'!C25+'Mall, Citadel, Rotana'!E25+'Mall, Citadel, Rotana'!G25+'Mall, Citadel, Rotana'!I25</f>
        <v>1881</v>
      </c>
      <c r="AA24">
        <f>'Mall, Citadel, Rotana'!K25+'Mall, Citadel, Rotana'!M25</f>
        <v>1920</v>
      </c>
      <c r="AB24">
        <f>'Mall, Citadel, Rotana'!O25</f>
        <v>4</v>
      </c>
      <c r="AC24">
        <f>'Mall, Citadel, Rotana'!Q25+'Mall, Citadel, Rotana'!S25</f>
        <v>60</v>
      </c>
      <c r="AD24" s="40">
        <f t="shared" si="1"/>
        <v>238.84347879999999</v>
      </c>
      <c r="AE24" s="40">
        <f t="shared" si="2"/>
        <v>1573.3225212</v>
      </c>
    </row>
    <row r="25" spans="1:31" x14ac:dyDescent="0.2">
      <c r="A25" s="53" t="s">
        <v>53</v>
      </c>
      <c r="B25" s="58">
        <f t="shared" si="3"/>
        <v>24</v>
      </c>
      <c r="C25" s="58">
        <v>10</v>
      </c>
      <c r="D25" s="58">
        <v>2021</v>
      </c>
      <c r="E25" s="42">
        <f>Water!C26</f>
        <v>1360</v>
      </c>
      <c r="F25" s="42">
        <f>Water!E26</f>
        <v>0</v>
      </c>
      <c r="G25" s="42">
        <f>Water!G26</f>
        <v>483.3</v>
      </c>
      <c r="H25" s="42">
        <f>Water!I26</f>
        <v>5.5620000000000003</v>
      </c>
      <c r="I25" s="42">
        <f>ELECT.!F26</f>
        <v>15520</v>
      </c>
      <c r="J25" s="42">
        <f>ELECT.!H26</f>
        <v>60746</v>
      </c>
      <c r="K25" s="42">
        <f>ELECT.!K26</f>
        <v>6663</v>
      </c>
      <c r="L25" s="42">
        <f>ELECT.!M26</f>
        <v>5788</v>
      </c>
      <c r="M25" s="42">
        <f>ELECT.!O26</f>
        <v>9516</v>
      </c>
      <c r="N25" s="42">
        <f>ELECT.!Q26</f>
        <v>12486</v>
      </c>
      <c r="O25" s="42">
        <f>ELECT.!S26</f>
        <v>12313</v>
      </c>
      <c r="P25" s="42">
        <f>ELECT.!W26*2</f>
        <v>27822</v>
      </c>
      <c r="Q25" s="42">
        <f>ELECT.!D26</f>
        <v>640</v>
      </c>
      <c r="R25" s="43">
        <f>BTU!C26</f>
        <v>4.896999999997206</v>
      </c>
      <c r="S25" s="43">
        <f>BTU!F26</f>
        <v>1.1140000000000327</v>
      </c>
      <c r="T25" s="43">
        <f>BTU!I26</f>
        <v>5</v>
      </c>
      <c r="U25" s="43">
        <f>BTU!O26</f>
        <v>0.18499999999994543</v>
      </c>
      <c r="V25" s="43">
        <f>BTU!L26</f>
        <v>1.0499999999992724</v>
      </c>
      <c r="W25" s="43">
        <f>BTU!R26</f>
        <v>1.6700000000000728</v>
      </c>
      <c r="X25" s="40">
        <f>ELECT.!B26</f>
        <v>231</v>
      </c>
      <c r="Y25" s="40">
        <f t="shared" si="0"/>
        <v>1678</v>
      </c>
      <c r="Z25">
        <f>'Mall, Citadel, Rotana'!C26+'Mall, Citadel, Rotana'!E26+'Mall, Citadel, Rotana'!G26+'Mall, Citadel, Rotana'!I26</f>
        <v>1393</v>
      </c>
      <c r="AA25">
        <f>'Mall, Citadel, Rotana'!K26+'Mall, Citadel, Rotana'!M26</f>
        <v>800</v>
      </c>
      <c r="AB25">
        <f>'Mall, Citadel, Rotana'!O26</f>
        <v>2</v>
      </c>
      <c r="AC25">
        <f>'Mall, Citadel, Rotana'!Q26+'Mall, Citadel, Rotana'!S26</f>
        <v>0</v>
      </c>
      <c r="AD25" s="40">
        <f t="shared" si="1"/>
        <v>152.94572840000001</v>
      </c>
      <c r="AE25" s="40">
        <f t="shared" si="2"/>
        <v>1007.4922716000001</v>
      </c>
    </row>
    <row r="26" spans="1:31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Water!C27</f>
        <v>1210</v>
      </c>
      <c r="F26" s="42">
        <f>Water!E27</f>
        <v>0</v>
      </c>
      <c r="G26" s="42">
        <f>Water!G27</f>
        <v>459</v>
      </c>
      <c r="H26" s="42">
        <f>Water!I27</f>
        <v>5.319</v>
      </c>
      <c r="I26" s="42">
        <f>ELECT.!F27</f>
        <v>8418</v>
      </c>
      <c r="J26" s="42">
        <f>ELECT.!H27</f>
        <v>31899</v>
      </c>
      <c r="K26" s="42">
        <f>ELECT.!K27</f>
        <v>3585</v>
      </c>
      <c r="L26" s="42">
        <f>ELECT.!M27</f>
        <v>3307</v>
      </c>
      <c r="M26" s="42">
        <f>ELECT.!O27</f>
        <v>5038</v>
      </c>
      <c r="N26" s="42">
        <f>ELECT.!Q27</f>
        <v>6017</v>
      </c>
      <c r="O26" s="42">
        <f>ELECT.!S27</f>
        <v>6542</v>
      </c>
      <c r="P26" s="42">
        <f>ELECT.!W27*2</f>
        <v>14552</v>
      </c>
      <c r="Q26" s="42">
        <f>ELECT.!D27</f>
        <v>800</v>
      </c>
      <c r="R26" s="43">
        <f>BTU!C27</f>
        <v>4.7139999999999418</v>
      </c>
      <c r="S26" s="43">
        <f>BTU!F27</f>
        <v>3.1720000000000255</v>
      </c>
      <c r="T26" s="43">
        <f>BTU!I27</f>
        <v>5</v>
      </c>
      <c r="U26" s="43">
        <f>BTU!O27</f>
        <v>2.9039999999999964</v>
      </c>
      <c r="V26" s="43">
        <f>BTU!L27</f>
        <v>3.4600000000009459</v>
      </c>
      <c r="W26" s="43">
        <f>BTU!R27</f>
        <v>2.3299999999999272</v>
      </c>
      <c r="X26" s="40">
        <f>ELECT.!B27</f>
        <v>185</v>
      </c>
      <c r="Y26" s="40">
        <f t="shared" si="0"/>
        <v>1276</v>
      </c>
      <c r="Z26">
        <f>'Mall, Citadel, Rotana'!C27+'Mall, Citadel, Rotana'!E27+'Mall, Citadel, Rotana'!G27+'Mall, Citadel, Rotana'!I27</f>
        <v>1406</v>
      </c>
      <c r="AA26">
        <f>'Mall, Citadel, Rotana'!K27+'Mall, Citadel, Rotana'!M27</f>
        <v>480</v>
      </c>
      <c r="AB26">
        <f>'Mall, Citadel, Rotana'!O27</f>
        <v>4</v>
      </c>
      <c r="AC26">
        <f>'Mall, Citadel, Rotana'!Q27+'Mall, Citadel, Rotana'!S27</f>
        <v>0</v>
      </c>
      <c r="AD26" s="40">
        <f t="shared" si="1"/>
        <v>133.2077558</v>
      </c>
      <c r="AE26" s="40">
        <f t="shared" si="2"/>
        <v>877.47324419999995</v>
      </c>
    </row>
    <row r="27" spans="1:31" x14ac:dyDescent="0.2">
      <c r="A27" s="53" t="s">
        <v>53</v>
      </c>
      <c r="B27" s="58">
        <f t="shared" si="3"/>
        <v>26</v>
      </c>
      <c r="C27" s="58">
        <v>10</v>
      </c>
      <c r="D27" s="58">
        <v>2021</v>
      </c>
      <c r="E27" s="42">
        <f>Water!C28</f>
        <v>1150</v>
      </c>
      <c r="F27" s="42">
        <f>Water!E28</f>
        <v>0</v>
      </c>
      <c r="G27" s="42">
        <f>Water!G28</f>
        <v>464.4</v>
      </c>
      <c r="H27" s="42">
        <f>Water!I28</f>
        <v>4.3469999999999995</v>
      </c>
      <c r="I27" s="42">
        <f>ELECT.!F28</f>
        <v>17331</v>
      </c>
      <c r="J27" s="42">
        <f>ELECT.!H28</f>
        <v>50495</v>
      </c>
      <c r="K27" s="42">
        <f>ELECT.!K28</f>
        <v>6124</v>
      </c>
      <c r="L27" s="42">
        <f>ELECT.!M28</f>
        <v>5762</v>
      </c>
      <c r="M27" s="42">
        <f>ELECT.!O28</f>
        <v>11362</v>
      </c>
      <c r="N27" s="42">
        <f>ELECT.!Q28</f>
        <v>6191</v>
      </c>
      <c r="O27" s="42">
        <f>ELECT.!S28</f>
        <v>11798</v>
      </c>
      <c r="P27" s="42">
        <f>ELECT.!W28*2</f>
        <v>61590</v>
      </c>
      <c r="Q27" s="42">
        <f>ELECT.!D28</f>
        <v>640</v>
      </c>
      <c r="R27" s="43">
        <f>BTU!C28</f>
        <v>4.5050000000010186</v>
      </c>
      <c r="S27" s="43">
        <f>BTU!F28</f>
        <v>1.7390000000000327</v>
      </c>
      <c r="T27" s="43">
        <f>BTU!I28</f>
        <v>4</v>
      </c>
      <c r="U27" s="43">
        <f>BTU!O28</f>
        <v>1.3489999999997053</v>
      </c>
      <c r="V27" s="43">
        <f>BTU!L28</f>
        <v>1.2099999999991269</v>
      </c>
      <c r="W27" s="43">
        <f>BTU!R28</f>
        <v>0.94000000000050932</v>
      </c>
      <c r="X27" s="40">
        <f>ELECT.!B28</f>
        <v>292</v>
      </c>
      <c r="Y27" s="40">
        <f t="shared" si="0"/>
        <v>-35001</v>
      </c>
      <c r="Z27">
        <f>'Mall, Citadel, Rotana'!C28+'Mall, Citadel, Rotana'!E28+'Mall, Citadel, Rotana'!G28+'Mall, Citadel, Rotana'!I28</f>
        <v>1403</v>
      </c>
      <c r="AA27">
        <f>'Mall, Citadel, Rotana'!K28+'Mall, Citadel, Rotana'!M28</f>
        <v>320</v>
      </c>
      <c r="AB27">
        <f>'Mall, Citadel, Rotana'!O28</f>
        <v>3</v>
      </c>
      <c r="AC27">
        <f>'Mall, Citadel, Rotana'!Q28+'Mall, Citadel, Rotana'!S28</f>
        <v>0</v>
      </c>
      <c r="AD27" s="40">
        <f t="shared" si="1"/>
        <v>125.4278654</v>
      </c>
      <c r="AE27" s="40">
        <f t="shared" si="2"/>
        <v>826.22513460000005</v>
      </c>
    </row>
    <row r="28" spans="1:31" x14ac:dyDescent="0.2">
      <c r="A28" s="53" t="s">
        <v>53</v>
      </c>
      <c r="B28" s="58">
        <f t="shared" si="3"/>
        <v>27</v>
      </c>
      <c r="C28" s="58">
        <v>10</v>
      </c>
      <c r="D28" s="58">
        <v>2021</v>
      </c>
      <c r="E28" s="42">
        <f>Water!C29</f>
        <v>1240</v>
      </c>
      <c r="F28" s="42">
        <f>Water!E29</f>
        <v>0</v>
      </c>
      <c r="G28" s="42">
        <f>Water!G29</f>
        <v>472.5</v>
      </c>
      <c r="H28" s="42">
        <f>Water!I29</f>
        <v>4.5090000000000003</v>
      </c>
      <c r="I28" s="42">
        <f>ELECT.!F29</f>
        <v>14585</v>
      </c>
      <c r="J28" s="42">
        <f>ELECT.!H29</f>
        <v>35334</v>
      </c>
      <c r="K28" s="42">
        <f>ELECT.!K29</f>
        <v>4755</v>
      </c>
      <c r="L28" s="42">
        <f>ELECT.!M29</f>
        <v>3788</v>
      </c>
      <c r="M28" s="42">
        <f>ELECT.!O29</f>
        <v>10644</v>
      </c>
      <c r="N28" s="42">
        <f>ELECT.!Q29</f>
        <v>3192</v>
      </c>
      <c r="O28" s="42">
        <f>ELECT.!S29</f>
        <v>8274</v>
      </c>
      <c r="P28" s="42">
        <f>ELECT.!W29*2</f>
        <v>0</v>
      </c>
      <c r="Q28" s="42">
        <f>ELECT.!D29</f>
        <v>1120</v>
      </c>
      <c r="R28" s="43">
        <f>BTU!C29</f>
        <v>4.7560000000012224</v>
      </c>
      <c r="S28" s="43">
        <f>BTU!F29</f>
        <v>2</v>
      </c>
      <c r="T28" s="43">
        <f>BTU!I29</f>
        <v>4</v>
      </c>
      <c r="U28" s="43">
        <f>BTU!O29</f>
        <v>1.5470000000000255</v>
      </c>
      <c r="V28" s="43">
        <f>BTU!L29</f>
        <v>0.19000000000050932</v>
      </c>
      <c r="W28" s="43">
        <f>BTU!R29</f>
        <v>0.8999999999996362</v>
      </c>
      <c r="X28" s="40">
        <f>ELECT.!B29</f>
        <v>213</v>
      </c>
      <c r="Y28" s="40">
        <f t="shared" si="0"/>
        <v>19266</v>
      </c>
      <c r="Z28">
        <f>'Mall, Citadel, Rotana'!C29+'Mall, Citadel, Rotana'!E29+'Mall, Citadel, Rotana'!G29+'Mall, Citadel, Rotana'!I29</f>
        <v>1417</v>
      </c>
      <c r="AA28">
        <f>'Mall, Citadel, Rotana'!K29+'Mall, Citadel, Rotana'!M29</f>
        <v>160</v>
      </c>
      <c r="AB28">
        <f>'Mall, Citadel, Rotana'!O29</f>
        <v>3</v>
      </c>
      <c r="AC28">
        <f>'Mall, Citadel, Rotana'!Q29+'Mall, Citadel, Rotana'!S29</f>
        <v>0</v>
      </c>
      <c r="AD28" s="40">
        <f t="shared" si="1"/>
        <v>137.26851379999999</v>
      </c>
      <c r="AE28" s="40">
        <f t="shared" si="2"/>
        <v>904.22248620000005</v>
      </c>
    </row>
    <row r="29" spans="1:31" x14ac:dyDescent="0.2">
      <c r="A29" s="53" t="s">
        <v>53</v>
      </c>
      <c r="B29" s="58">
        <f t="shared" si="3"/>
        <v>28</v>
      </c>
      <c r="C29" s="58">
        <v>10</v>
      </c>
      <c r="D29" s="58">
        <v>2021</v>
      </c>
      <c r="E29" s="42">
        <f>Water!C30</f>
        <v>1290</v>
      </c>
      <c r="F29" s="42">
        <f>Water!E30</f>
        <v>0</v>
      </c>
      <c r="G29" s="42">
        <f>Water!G30</f>
        <v>537.29999999999995</v>
      </c>
      <c r="H29" s="42">
        <f>Water!I30</f>
        <v>4.1849999999999996</v>
      </c>
      <c r="I29" s="42">
        <f>ELECT.!F30</f>
        <v>21960</v>
      </c>
      <c r="J29" s="42">
        <f>ELECT.!H30</f>
        <v>53049</v>
      </c>
      <c r="K29" s="42">
        <f>ELECT.!K30</f>
        <v>6220</v>
      </c>
      <c r="L29" s="42">
        <f>ELECT.!M30</f>
        <v>5882</v>
      </c>
      <c r="M29" s="42">
        <f>ELECT.!O30</f>
        <v>15814</v>
      </c>
      <c r="N29" s="42">
        <f>ELECT.!Q30</f>
        <v>4521</v>
      </c>
      <c r="O29" s="42">
        <f>ELECT.!S30</f>
        <v>12866</v>
      </c>
      <c r="P29" s="42">
        <f>ELECT.!W30*2</f>
        <v>27644</v>
      </c>
      <c r="Q29" s="42">
        <f>ELECT.!D30</f>
        <v>160</v>
      </c>
      <c r="R29" s="43">
        <f>BTU!C30</f>
        <v>5.8999999999978172</v>
      </c>
      <c r="S29" s="43">
        <f>BTU!F30</f>
        <v>2.0239999999998872</v>
      </c>
      <c r="T29" s="43">
        <f>BTU!I30</f>
        <v>4</v>
      </c>
      <c r="U29" s="43">
        <f>BTU!O30</f>
        <v>1.4210000000002765</v>
      </c>
      <c r="V29" s="43">
        <f>BTU!L30</f>
        <v>3.5400000000008731</v>
      </c>
      <c r="W29" s="43">
        <f>BTU!R30</f>
        <v>1.1199999999998909</v>
      </c>
      <c r="X29" s="40">
        <f>ELECT.!B30</f>
        <v>220</v>
      </c>
      <c r="Y29" s="40">
        <f t="shared" si="0"/>
        <v>2062</v>
      </c>
      <c r="Z29">
        <f>'Mall, Citadel, Rotana'!C30+'Mall, Citadel, Rotana'!E30+'Mall, Citadel, Rotana'!G30+'Mall, Citadel, Rotana'!I30</f>
        <v>2371</v>
      </c>
      <c r="AA29">
        <f>'Mall, Citadel, Rotana'!K30+'Mall, Citadel, Rotana'!M30</f>
        <v>-160</v>
      </c>
      <c r="AB29">
        <f>'Mall, Citadel, Rotana'!O30</f>
        <v>2</v>
      </c>
      <c r="AC29">
        <f>'Mall, Citadel, Rotana'!Q30+'Mall, Citadel, Rotana'!S30</f>
        <v>0</v>
      </c>
      <c r="AD29" s="40">
        <f t="shared" si="1"/>
        <v>143.901217</v>
      </c>
      <c r="AE29" s="40">
        <f t="shared" si="2"/>
        <v>947.91378299999997</v>
      </c>
    </row>
    <row r="30" spans="1:31" x14ac:dyDescent="0.2">
      <c r="A30" s="53" t="s">
        <v>53</v>
      </c>
      <c r="B30" s="58">
        <f t="shared" si="3"/>
        <v>29</v>
      </c>
      <c r="C30" s="58">
        <v>10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10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D1" zoomScale="110" zoomScaleNormal="110" workbookViewId="0">
      <pane ySplit="1" topLeftCell="A2" activePane="bottomLeft" state="frozen"/>
      <selection pane="bottomLeft" activeCell="AA30" sqref="AA3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44469</v>
      </c>
      <c r="B2" s="37">
        <v>45982</v>
      </c>
      <c r="C2" s="16">
        <v>0</v>
      </c>
      <c r="D2" s="37">
        <v>39892</v>
      </c>
      <c r="E2" s="16">
        <v>0</v>
      </c>
      <c r="F2" s="37">
        <v>20840</v>
      </c>
      <c r="G2" s="16">
        <v>0</v>
      </c>
      <c r="H2" s="37">
        <v>249062</v>
      </c>
      <c r="I2" s="16">
        <v>0</v>
      </c>
      <c r="J2" s="37">
        <v>303517</v>
      </c>
      <c r="K2" s="16">
        <v>0</v>
      </c>
      <c r="L2" s="37">
        <v>25431</v>
      </c>
      <c r="M2" s="16">
        <v>0</v>
      </c>
      <c r="N2" s="37">
        <v>215931</v>
      </c>
      <c r="O2" s="16">
        <v>0</v>
      </c>
      <c r="P2" s="37">
        <v>122812</v>
      </c>
      <c r="Q2" s="16">
        <v>0</v>
      </c>
      <c r="R2" s="1" t="str">
        <f t="shared" ref="R2" si="0">R1</f>
        <v>CIB. E</v>
      </c>
      <c r="S2" s="16">
        <v>0</v>
      </c>
      <c r="T2" s="37">
        <v>3788</v>
      </c>
      <c r="U2" s="16">
        <v>0</v>
      </c>
      <c r="V2" t="s">
        <v>12</v>
      </c>
    </row>
    <row r="3" spans="1:24" ht="13.5" thickBot="1" x14ac:dyDescent="0.25">
      <c r="A3" s="10">
        <v>44470</v>
      </c>
      <c r="B3" s="37">
        <v>45989</v>
      </c>
      <c r="C3" s="16">
        <f>(B3-B2)*800/5</f>
        <v>1120</v>
      </c>
      <c r="D3" s="37">
        <v>39897</v>
      </c>
      <c r="E3" s="16">
        <f>(D3-D2)*800/5</f>
        <v>800</v>
      </c>
      <c r="F3" s="37">
        <v>20845</v>
      </c>
      <c r="G3" s="16">
        <f>(F3-F2)*100/5</f>
        <v>100</v>
      </c>
      <c r="H3" s="37">
        <v>249167</v>
      </c>
      <c r="I3" s="16">
        <f>(H3-H2)</f>
        <v>105</v>
      </c>
      <c r="J3" s="37">
        <f>J2</f>
        <v>303517</v>
      </c>
      <c r="K3" s="16">
        <f>(J3-J2)*800/5</f>
        <v>0</v>
      </c>
      <c r="L3" s="37">
        <v>25435</v>
      </c>
      <c r="M3" s="16">
        <f>(L3-L2)*800/5</f>
        <v>640</v>
      </c>
      <c r="N3" s="37">
        <v>215935</v>
      </c>
      <c r="O3" s="16">
        <f>N3-N2</f>
        <v>4</v>
      </c>
      <c r="P3" s="37">
        <v>125199</v>
      </c>
      <c r="Q3" s="16">
        <v>0</v>
      </c>
      <c r="R3" s="1">
        <v>55047</v>
      </c>
      <c r="S3" s="16">
        <v>0</v>
      </c>
      <c r="T3" s="37">
        <v>3789</v>
      </c>
      <c r="U3" s="16">
        <f>(T3-T2)*800/5</f>
        <v>160</v>
      </c>
    </row>
    <row r="4" spans="1:24" ht="13.5" thickBot="1" x14ac:dyDescent="0.25">
      <c r="A4" s="10">
        <v>44471</v>
      </c>
      <c r="B4" s="37">
        <v>45994</v>
      </c>
      <c r="C4" s="16">
        <f t="shared" ref="C4:C33" si="1">(B4-B3)*800/5</f>
        <v>800</v>
      </c>
      <c r="D4" s="37">
        <v>39900</v>
      </c>
      <c r="E4" s="16">
        <f t="shared" ref="E4:E33" si="2">(D4-D3)*800/5</f>
        <v>480</v>
      </c>
      <c r="F4" s="37">
        <v>20848</v>
      </c>
      <c r="G4" s="16">
        <f t="shared" ref="G4:G33" si="3">(F4-F3)*100/5</f>
        <v>60</v>
      </c>
      <c r="H4" s="37">
        <v>249224</v>
      </c>
      <c r="I4" s="16">
        <f t="shared" ref="I4:I33" si="4">(H4-H3)</f>
        <v>57</v>
      </c>
      <c r="J4" s="37">
        <v>303517</v>
      </c>
      <c r="K4" s="16">
        <f t="shared" ref="K4:K33" si="5">(J4-J3)*800/5</f>
        <v>0</v>
      </c>
      <c r="L4" s="37">
        <v>25438</v>
      </c>
      <c r="M4" s="16">
        <f t="shared" ref="M4:M33" si="6">(L4-L3)*800/5</f>
        <v>480</v>
      </c>
      <c r="N4" s="37">
        <v>215939</v>
      </c>
      <c r="O4" s="16">
        <f t="shared" ref="O4:O33" si="7">N4-N3</f>
        <v>4</v>
      </c>
      <c r="P4" s="37">
        <v>125308</v>
      </c>
      <c r="Q4" s="16">
        <f t="shared" ref="Q4:Q33" si="8">P4-P3</f>
        <v>109</v>
      </c>
      <c r="R4" s="1">
        <v>55047</v>
      </c>
      <c r="S4" s="16">
        <f t="shared" ref="S4:S31" si="9">R4-R3</f>
        <v>0</v>
      </c>
      <c r="T4" s="37">
        <v>3790</v>
      </c>
      <c r="U4" s="16">
        <f t="shared" ref="U4:U33" si="10">(T4-T3)*800/5</f>
        <v>160</v>
      </c>
    </row>
    <row r="5" spans="1:24" ht="13.5" thickBot="1" x14ac:dyDescent="0.25">
      <c r="A5" s="10">
        <v>44472</v>
      </c>
      <c r="B5" s="37">
        <v>45995</v>
      </c>
      <c r="C5" s="16">
        <f t="shared" si="1"/>
        <v>160</v>
      </c>
      <c r="D5" s="37">
        <v>39904</v>
      </c>
      <c r="E5" s="16">
        <f t="shared" si="2"/>
        <v>640</v>
      </c>
      <c r="F5" s="37">
        <v>20853</v>
      </c>
      <c r="G5" s="16">
        <f t="shared" si="3"/>
        <v>100</v>
      </c>
      <c r="H5" s="37">
        <v>249280</v>
      </c>
      <c r="I5" s="16">
        <f t="shared" si="4"/>
        <v>56</v>
      </c>
      <c r="J5" s="37">
        <v>303517</v>
      </c>
      <c r="K5" s="16">
        <f t="shared" si="5"/>
        <v>0</v>
      </c>
      <c r="L5" s="37">
        <v>25443</v>
      </c>
      <c r="M5" s="16">
        <f t="shared" si="6"/>
        <v>800</v>
      </c>
      <c r="N5" s="37">
        <v>215942</v>
      </c>
      <c r="O5" s="16">
        <f t="shared" si="7"/>
        <v>3</v>
      </c>
      <c r="P5" s="37">
        <v>125421</v>
      </c>
      <c r="Q5" s="16">
        <f t="shared" si="8"/>
        <v>113</v>
      </c>
      <c r="R5" s="1">
        <v>55047</v>
      </c>
      <c r="S5" s="16">
        <f t="shared" si="9"/>
        <v>0</v>
      </c>
      <c r="T5" s="37">
        <v>3791</v>
      </c>
      <c r="U5" s="16">
        <f t="shared" si="10"/>
        <v>160</v>
      </c>
    </row>
    <row r="6" spans="1:24" ht="13.5" thickBot="1" x14ac:dyDescent="0.25">
      <c r="A6" s="10">
        <v>44473</v>
      </c>
      <c r="B6" s="37">
        <v>46003</v>
      </c>
      <c r="C6" s="16">
        <f t="shared" si="1"/>
        <v>1280</v>
      </c>
      <c r="D6" s="37">
        <v>39907</v>
      </c>
      <c r="E6" s="16">
        <f t="shared" si="2"/>
        <v>480</v>
      </c>
      <c r="F6" s="37">
        <v>20855</v>
      </c>
      <c r="G6" s="16">
        <f t="shared" si="3"/>
        <v>40</v>
      </c>
      <c r="H6" s="37">
        <v>249345</v>
      </c>
      <c r="I6" s="16">
        <f t="shared" si="4"/>
        <v>65</v>
      </c>
      <c r="J6" s="37">
        <v>303517</v>
      </c>
      <c r="K6" s="16">
        <f t="shared" si="5"/>
        <v>0</v>
      </c>
      <c r="L6" s="37">
        <v>25445</v>
      </c>
      <c r="M6" s="16">
        <f t="shared" si="6"/>
        <v>320</v>
      </c>
      <c r="N6" s="37">
        <v>215945</v>
      </c>
      <c r="O6" s="16">
        <f t="shared" si="7"/>
        <v>3</v>
      </c>
      <c r="P6" s="37">
        <v>125533</v>
      </c>
      <c r="Q6" s="16">
        <f t="shared" si="8"/>
        <v>112</v>
      </c>
      <c r="R6" s="1">
        <v>55047</v>
      </c>
      <c r="S6" s="16">
        <v>0</v>
      </c>
      <c r="T6" s="37">
        <v>3792</v>
      </c>
      <c r="U6" s="16">
        <f t="shared" si="10"/>
        <v>160</v>
      </c>
    </row>
    <row r="7" spans="1:24" ht="13.5" thickBot="1" x14ac:dyDescent="0.25">
      <c r="A7" s="10">
        <v>44474</v>
      </c>
      <c r="B7" s="37">
        <v>46009</v>
      </c>
      <c r="C7" s="16">
        <f t="shared" si="1"/>
        <v>960</v>
      </c>
      <c r="D7" s="37">
        <v>39910</v>
      </c>
      <c r="E7" s="16">
        <f t="shared" si="2"/>
        <v>480</v>
      </c>
      <c r="F7" s="37">
        <v>20859</v>
      </c>
      <c r="G7" s="16">
        <f t="shared" si="3"/>
        <v>80</v>
      </c>
      <c r="H7" s="37">
        <v>249391</v>
      </c>
      <c r="I7" s="16">
        <f t="shared" si="4"/>
        <v>46</v>
      </c>
      <c r="J7" s="37">
        <v>303517</v>
      </c>
      <c r="K7" s="16">
        <f t="shared" si="5"/>
        <v>0</v>
      </c>
      <c r="L7" s="37">
        <v>25447</v>
      </c>
      <c r="M7" s="16">
        <f t="shared" si="6"/>
        <v>320</v>
      </c>
      <c r="N7" s="37">
        <v>215949</v>
      </c>
      <c r="O7" s="16">
        <f t="shared" si="7"/>
        <v>4</v>
      </c>
      <c r="P7" s="37">
        <v>125701</v>
      </c>
      <c r="Q7" s="16">
        <v>0</v>
      </c>
      <c r="R7" s="1">
        <v>55047</v>
      </c>
      <c r="S7" s="16">
        <v>0</v>
      </c>
      <c r="T7" s="37">
        <v>3794</v>
      </c>
      <c r="U7" s="16">
        <f t="shared" si="10"/>
        <v>320</v>
      </c>
    </row>
    <row r="8" spans="1:24" ht="13.5" thickBot="1" x14ac:dyDescent="0.25">
      <c r="A8" s="10">
        <v>44475</v>
      </c>
      <c r="B8" s="37">
        <v>46013</v>
      </c>
      <c r="C8" s="16">
        <f t="shared" si="1"/>
        <v>640</v>
      </c>
      <c r="D8" s="37">
        <v>39914</v>
      </c>
      <c r="E8" s="16">
        <f t="shared" si="2"/>
        <v>640</v>
      </c>
      <c r="F8" s="37">
        <v>20863</v>
      </c>
      <c r="G8" s="16">
        <f t="shared" si="3"/>
        <v>80</v>
      </c>
      <c r="H8" s="37">
        <v>249456</v>
      </c>
      <c r="I8" s="16">
        <f t="shared" si="4"/>
        <v>65</v>
      </c>
      <c r="J8" s="37">
        <v>303517</v>
      </c>
      <c r="K8" s="16">
        <f t="shared" si="5"/>
        <v>0</v>
      </c>
      <c r="L8" s="37">
        <v>25459</v>
      </c>
      <c r="M8" s="16">
        <f t="shared" si="6"/>
        <v>1920</v>
      </c>
      <c r="N8" s="37">
        <v>215952</v>
      </c>
      <c r="O8" s="16">
        <f t="shared" si="7"/>
        <v>3</v>
      </c>
      <c r="P8" s="37">
        <v>125813</v>
      </c>
      <c r="Q8" s="16">
        <f t="shared" si="8"/>
        <v>112</v>
      </c>
      <c r="R8" s="1">
        <v>55047</v>
      </c>
      <c r="S8" s="16">
        <f>R8-R7</f>
        <v>0</v>
      </c>
      <c r="T8" s="37">
        <v>3795</v>
      </c>
      <c r="U8" s="16">
        <f t="shared" si="10"/>
        <v>160</v>
      </c>
    </row>
    <row r="9" spans="1:24" ht="13.5" thickBot="1" x14ac:dyDescent="0.25">
      <c r="A9" s="10">
        <v>44476</v>
      </c>
      <c r="B9" s="37">
        <v>46018</v>
      </c>
      <c r="C9" s="16">
        <f t="shared" si="1"/>
        <v>800</v>
      </c>
      <c r="D9" s="37">
        <v>39917</v>
      </c>
      <c r="E9" s="16">
        <f t="shared" si="2"/>
        <v>480</v>
      </c>
      <c r="F9" s="37">
        <v>20866</v>
      </c>
      <c r="G9" s="16">
        <f t="shared" si="3"/>
        <v>60</v>
      </c>
      <c r="H9" s="37">
        <v>249521</v>
      </c>
      <c r="I9" s="16">
        <f t="shared" si="4"/>
        <v>65</v>
      </c>
      <c r="J9" s="37">
        <v>303517</v>
      </c>
      <c r="K9" s="16">
        <f t="shared" si="5"/>
        <v>0</v>
      </c>
      <c r="L9" s="37">
        <v>25459</v>
      </c>
      <c r="M9" s="16">
        <f t="shared" si="6"/>
        <v>0</v>
      </c>
      <c r="N9" s="37">
        <v>215956</v>
      </c>
      <c r="O9" s="16">
        <f t="shared" si="7"/>
        <v>4</v>
      </c>
      <c r="P9" s="37">
        <v>125970</v>
      </c>
      <c r="Q9" s="16">
        <f>P9-P8</f>
        <v>157</v>
      </c>
      <c r="R9" s="1">
        <v>55047</v>
      </c>
      <c r="S9" s="16">
        <f>R9-R8</f>
        <v>0</v>
      </c>
      <c r="T9" s="37">
        <v>3796</v>
      </c>
      <c r="U9" s="16">
        <f t="shared" si="10"/>
        <v>160</v>
      </c>
    </row>
    <row r="10" spans="1:24" ht="13.5" thickBot="1" x14ac:dyDescent="0.25">
      <c r="A10" s="10">
        <v>44477</v>
      </c>
      <c r="B10" s="37">
        <v>46022</v>
      </c>
      <c r="C10" s="16">
        <f t="shared" si="1"/>
        <v>640</v>
      </c>
      <c r="D10" s="37">
        <v>39920</v>
      </c>
      <c r="E10" s="16">
        <f t="shared" si="2"/>
        <v>480</v>
      </c>
      <c r="F10" s="37">
        <v>20869</v>
      </c>
      <c r="G10" s="16">
        <f t="shared" si="3"/>
        <v>60</v>
      </c>
      <c r="H10" s="37">
        <v>249599</v>
      </c>
      <c r="I10" s="16">
        <f t="shared" si="4"/>
        <v>78</v>
      </c>
      <c r="J10" s="37">
        <v>303517</v>
      </c>
      <c r="K10" s="16">
        <f t="shared" si="5"/>
        <v>0</v>
      </c>
      <c r="L10" s="37">
        <v>25460</v>
      </c>
      <c r="M10" s="16">
        <f t="shared" si="6"/>
        <v>160</v>
      </c>
      <c r="N10" s="37">
        <v>215958</v>
      </c>
      <c r="O10" s="16">
        <f t="shared" si="7"/>
        <v>2</v>
      </c>
      <c r="P10" s="37">
        <v>126060</v>
      </c>
      <c r="Q10" s="16">
        <f>P10-P9</f>
        <v>90</v>
      </c>
      <c r="R10" s="1">
        <v>55047</v>
      </c>
      <c r="S10" s="16">
        <f>R10-R9</f>
        <v>0</v>
      </c>
      <c r="T10" s="37">
        <v>3796</v>
      </c>
      <c r="U10" s="16">
        <f t="shared" si="10"/>
        <v>0</v>
      </c>
    </row>
    <row r="11" spans="1:24" ht="13.5" thickBot="1" x14ac:dyDescent="0.25">
      <c r="A11" s="10">
        <v>44478</v>
      </c>
      <c r="B11" s="37">
        <v>46026</v>
      </c>
      <c r="C11" s="16">
        <f t="shared" si="1"/>
        <v>640</v>
      </c>
      <c r="D11" s="37">
        <v>39923</v>
      </c>
      <c r="E11" s="16">
        <f t="shared" si="2"/>
        <v>480</v>
      </c>
      <c r="F11" s="37">
        <v>20873</v>
      </c>
      <c r="G11" s="16">
        <f t="shared" si="3"/>
        <v>80</v>
      </c>
      <c r="H11" s="37">
        <v>249639</v>
      </c>
      <c r="I11" s="16">
        <f t="shared" si="4"/>
        <v>40</v>
      </c>
      <c r="J11" s="37">
        <v>303517</v>
      </c>
      <c r="K11" s="16">
        <f t="shared" si="5"/>
        <v>0</v>
      </c>
      <c r="L11" s="37">
        <v>25461</v>
      </c>
      <c r="M11" s="16">
        <f t="shared" si="6"/>
        <v>160</v>
      </c>
      <c r="N11" s="37">
        <v>215961</v>
      </c>
      <c r="O11" s="16">
        <f t="shared" si="7"/>
        <v>3</v>
      </c>
      <c r="P11" s="37">
        <v>126060</v>
      </c>
      <c r="Q11" s="16">
        <f t="shared" si="8"/>
        <v>0</v>
      </c>
      <c r="R11" s="1">
        <v>55047</v>
      </c>
      <c r="S11" s="16">
        <f t="shared" si="9"/>
        <v>0</v>
      </c>
      <c r="T11" s="37">
        <f t="shared" ref="T11:T33" si="11">T10</f>
        <v>3796</v>
      </c>
      <c r="U11" s="16">
        <f t="shared" si="10"/>
        <v>0</v>
      </c>
    </row>
    <row r="12" spans="1:24" ht="13.5" thickBot="1" x14ac:dyDescent="0.25">
      <c r="A12" s="10">
        <v>44479</v>
      </c>
      <c r="B12" s="37">
        <v>46021</v>
      </c>
      <c r="C12" s="16">
        <f t="shared" si="1"/>
        <v>-800</v>
      </c>
      <c r="D12" s="37">
        <v>39926</v>
      </c>
      <c r="E12" s="16">
        <f t="shared" si="2"/>
        <v>480</v>
      </c>
      <c r="F12" s="37">
        <v>20876</v>
      </c>
      <c r="G12" s="16">
        <f t="shared" si="3"/>
        <v>60</v>
      </c>
      <c r="H12" s="37">
        <v>249696</v>
      </c>
      <c r="I12" s="16">
        <f t="shared" si="4"/>
        <v>57</v>
      </c>
      <c r="J12" s="37">
        <v>303517</v>
      </c>
      <c r="K12" s="16">
        <f t="shared" si="5"/>
        <v>0</v>
      </c>
      <c r="L12" s="37">
        <v>25465</v>
      </c>
      <c r="M12" s="16">
        <f t="shared" si="6"/>
        <v>640</v>
      </c>
      <c r="N12" s="37">
        <v>215964</v>
      </c>
      <c r="O12" s="16">
        <f t="shared" si="7"/>
        <v>3</v>
      </c>
      <c r="P12" s="37">
        <v>126060</v>
      </c>
      <c r="Q12" s="16">
        <f t="shared" si="8"/>
        <v>0</v>
      </c>
      <c r="R12" s="1">
        <v>55047</v>
      </c>
      <c r="S12" s="16">
        <f t="shared" si="9"/>
        <v>0</v>
      </c>
      <c r="T12" s="37">
        <v>3798</v>
      </c>
      <c r="U12" s="16">
        <f t="shared" si="10"/>
        <v>320</v>
      </c>
    </row>
    <row r="13" spans="1:24" ht="13.5" thickBot="1" x14ac:dyDescent="0.25">
      <c r="A13" s="10">
        <v>44480</v>
      </c>
      <c r="B13" s="37">
        <v>46025</v>
      </c>
      <c r="C13" s="16">
        <f t="shared" si="1"/>
        <v>640</v>
      </c>
      <c r="D13" s="37">
        <v>39929</v>
      </c>
      <c r="E13" s="16">
        <f t="shared" si="2"/>
        <v>480</v>
      </c>
      <c r="F13" s="37">
        <v>20883</v>
      </c>
      <c r="G13" s="16">
        <f t="shared" si="3"/>
        <v>140</v>
      </c>
      <c r="H13" s="37">
        <v>249750</v>
      </c>
      <c r="I13" s="16">
        <f t="shared" si="4"/>
        <v>54</v>
      </c>
      <c r="J13" s="37">
        <v>303517</v>
      </c>
      <c r="K13" s="16">
        <f t="shared" si="5"/>
        <v>0</v>
      </c>
      <c r="L13" s="37">
        <v>25469</v>
      </c>
      <c r="M13" s="16">
        <f t="shared" si="6"/>
        <v>640</v>
      </c>
      <c r="N13" s="37">
        <v>215967</v>
      </c>
      <c r="O13" s="16">
        <f t="shared" si="7"/>
        <v>3</v>
      </c>
      <c r="P13" s="37">
        <v>126060</v>
      </c>
      <c r="Q13" s="16">
        <f t="shared" si="8"/>
        <v>0</v>
      </c>
      <c r="R13" s="1">
        <v>55047</v>
      </c>
      <c r="S13" s="16">
        <f t="shared" si="9"/>
        <v>0</v>
      </c>
      <c r="T13" s="37">
        <v>3800</v>
      </c>
      <c r="U13" s="16">
        <f t="shared" si="10"/>
        <v>320</v>
      </c>
    </row>
    <row r="14" spans="1:24" ht="13.5" thickBot="1" x14ac:dyDescent="0.25">
      <c r="A14" s="10">
        <v>44481</v>
      </c>
      <c r="B14" s="37">
        <v>46040</v>
      </c>
      <c r="C14" s="16">
        <f t="shared" si="1"/>
        <v>2400</v>
      </c>
      <c r="D14" s="37">
        <v>39932</v>
      </c>
      <c r="E14" s="16">
        <f t="shared" si="2"/>
        <v>480</v>
      </c>
      <c r="F14" s="37">
        <v>20882</v>
      </c>
      <c r="G14" s="16">
        <f t="shared" si="3"/>
        <v>-20</v>
      </c>
      <c r="H14" s="37">
        <v>249812</v>
      </c>
      <c r="I14" s="16">
        <f t="shared" si="4"/>
        <v>62</v>
      </c>
      <c r="J14" s="37">
        <v>303517</v>
      </c>
      <c r="K14" s="16">
        <v>0</v>
      </c>
      <c r="L14" s="37">
        <v>25472</v>
      </c>
      <c r="M14" s="16">
        <f t="shared" si="6"/>
        <v>480</v>
      </c>
      <c r="N14" s="37">
        <v>215970</v>
      </c>
      <c r="O14" s="16">
        <f t="shared" si="7"/>
        <v>3</v>
      </c>
      <c r="P14" s="37">
        <v>126060</v>
      </c>
      <c r="Q14" s="16">
        <f t="shared" si="8"/>
        <v>0</v>
      </c>
      <c r="R14" s="1">
        <f t="shared" ref="R14:R33" si="12">R13</f>
        <v>55047</v>
      </c>
      <c r="S14" s="16">
        <v>0</v>
      </c>
      <c r="T14" s="37">
        <v>3801</v>
      </c>
      <c r="U14" s="16">
        <f t="shared" si="10"/>
        <v>160</v>
      </c>
    </row>
    <row r="15" spans="1:24" ht="13.5" thickBot="1" x14ac:dyDescent="0.25">
      <c r="A15" s="10">
        <v>44482</v>
      </c>
      <c r="B15" s="37">
        <v>46045</v>
      </c>
      <c r="C15" s="16">
        <f t="shared" si="1"/>
        <v>800</v>
      </c>
      <c r="D15" s="37">
        <v>39935</v>
      </c>
      <c r="E15" s="16">
        <f t="shared" si="2"/>
        <v>480</v>
      </c>
      <c r="F15" s="37">
        <v>20886</v>
      </c>
      <c r="G15" s="16">
        <f t="shared" si="3"/>
        <v>80</v>
      </c>
      <c r="H15" s="37">
        <v>249882</v>
      </c>
      <c r="I15" s="16">
        <f t="shared" si="4"/>
        <v>70</v>
      </c>
      <c r="J15" s="37">
        <v>303517</v>
      </c>
      <c r="K15" s="16">
        <f t="shared" si="5"/>
        <v>0</v>
      </c>
      <c r="L15" s="37">
        <v>25477</v>
      </c>
      <c r="M15" s="16">
        <f t="shared" si="6"/>
        <v>800</v>
      </c>
      <c r="N15" s="37">
        <v>215974</v>
      </c>
      <c r="O15" s="16">
        <f t="shared" si="7"/>
        <v>4</v>
      </c>
      <c r="P15" s="37">
        <v>126060</v>
      </c>
      <c r="Q15" s="16">
        <f t="shared" si="8"/>
        <v>0</v>
      </c>
      <c r="R15" s="1">
        <v>55047</v>
      </c>
      <c r="S15" s="16">
        <f t="shared" si="9"/>
        <v>0</v>
      </c>
      <c r="T15" s="37">
        <v>3802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44483</v>
      </c>
      <c r="B16" s="37">
        <v>46049</v>
      </c>
      <c r="C16" s="16">
        <f t="shared" si="1"/>
        <v>640</v>
      </c>
      <c r="D16" s="37">
        <v>39938</v>
      </c>
      <c r="E16" s="16">
        <f t="shared" si="2"/>
        <v>480</v>
      </c>
      <c r="F16" s="37">
        <v>20889</v>
      </c>
      <c r="G16" s="16">
        <f t="shared" si="3"/>
        <v>60</v>
      </c>
      <c r="H16" s="37">
        <v>249952</v>
      </c>
      <c r="I16" s="16">
        <f t="shared" si="4"/>
        <v>70</v>
      </c>
      <c r="J16" s="37">
        <v>303517</v>
      </c>
      <c r="K16" s="16">
        <f t="shared" si="5"/>
        <v>0</v>
      </c>
      <c r="L16" s="37">
        <v>25481</v>
      </c>
      <c r="M16" s="16">
        <f t="shared" si="6"/>
        <v>640</v>
      </c>
      <c r="N16" s="37">
        <v>215978</v>
      </c>
      <c r="O16" s="16">
        <f t="shared" si="7"/>
        <v>4</v>
      </c>
      <c r="P16" s="37">
        <v>126060</v>
      </c>
      <c r="Q16" s="16">
        <f t="shared" si="8"/>
        <v>0</v>
      </c>
      <c r="R16" s="1">
        <v>55047</v>
      </c>
      <c r="S16" s="16">
        <f t="shared" si="9"/>
        <v>0</v>
      </c>
      <c r="T16" s="37">
        <v>3803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44484</v>
      </c>
      <c r="B17" s="37">
        <v>46054</v>
      </c>
      <c r="C17" s="16">
        <f t="shared" si="1"/>
        <v>800</v>
      </c>
      <c r="D17" s="37">
        <v>39941</v>
      </c>
      <c r="E17" s="16">
        <f t="shared" si="2"/>
        <v>480</v>
      </c>
      <c r="F17" s="37">
        <v>20893</v>
      </c>
      <c r="G17" s="16">
        <f t="shared" si="3"/>
        <v>80</v>
      </c>
      <c r="H17" s="37">
        <v>250014</v>
      </c>
      <c r="I17" s="16">
        <f t="shared" si="4"/>
        <v>62</v>
      </c>
      <c r="J17" s="37">
        <v>303517</v>
      </c>
      <c r="K17" s="16">
        <f t="shared" si="5"/>
        <v>0</v>
      </c>
      <c r="L17" s="37">
        <v>25483</v>
      </c>
      <c r="M17" s="16">
        <f t="shared" si="6"/>
        <v>320</v>
      </c>
      <c r="N17" s="37">
        <v>215979</v>
      </c>
      <c r="O17" s="16">
        <f t="shared" si="7"/>
        <v>1</v>
      </c>
      <c r="P17" s="37">
        <v>126060</v>
      </c>
      <c r="Q17" s="16">
        <f t="shared" si="8"/>
        <v>0</v>
      </c>
      <c r="R17" s="1">
        <f t="shared" si="12"/>
        <v>55047</v>
      </c>
      <c r="S17" s="16">
        <f>S16</f>
        <v>0</v>
      </c>
      <c r="T17" s="37">
        <f t="shared" si="11"/>
        <v>3803</v>
      </c>
      <c r="U17" s="16">
        <f t="shared" si="10"/>
        <v>0</v>
      </c>
    </row>
    <row r="18" spans="1:23" ht="13.5" thickBot="1" x14ac:dyDescent="0.25">
      <c r="A18" s="10">
        <v>44485</v>
      </c>
      <c r="B18" s="37">
        <v>46060</v>
      </c>
      <c r="C18" s="16">
        <f t="shared" si="1"/>
        <v>960</v>
      </c>
      <c r="D18" s="37">
        <v>39944</v>
      </c>
      <c r="E18" s="16">
        <f t="shared" si="2"/>
        <v>480</v>
      </c>
      <c r="F18" s="37">
        <v>20897</v>
      </c>
      <c r="G18" s="16">
        <f t="shared" si="3"/>
        <v>80</v>
      </c>
      <c r="H18" s="37">
        <v>250075</v>
      </c>
      <c r="I18" s="16">
        <f t="shared" si="4"/>
        <v>61</v>
      </c>
      <c r="J18" s="37">
        <v>303517</v>
      </c>
      <c r="K18" s="16">
        <f t="shared" si="5"/>
        <v>0</v>
      </c>
      <c r="L18" s="37">
        <v>25486</v>
      </c>
      <c r="M18" s="16">
        <f t="shared" si="6"/>
        <v>480</v>
      </c>
      <c r="N18" s="37">
        <v>215983</v>
      </c>
      <c r="O18" s="16">
        <f t="shared" si="7"/>
        <v>4</v>
      </c>
      <c r="P18" s="37">
        <v>126060</v>
      </c>
      <c r="Q18" s="16">
        <f t="shared" si="8"/>
        <v>0</v>
      </c>
      <c r="R18" s="1">
        <f t="shared" si="12"/>
        <v>55047</v>
      </c>
      <c r="S18" s="16">
        <f t="shared" si="9"/>
        <v>0</v>
      </c>
      <c r="T18" s="37">
        <f t="shared" si="11"/>
        <v>3803</v>
      </c>
      <c r="U18" s="16">
        <f t="shared" si="10"/>
        <v>0</v>
      </c>
    </row>
    <row r="19" spans="1:23" ht="13.5" thickBot="1" x14ac:dyDescent="0.25">
      <c r="A19" s="10">
        <v>44486</v>
      </c>
      <c r="B19" s="37">
        <v>46065</v>
      </c>
      <c r="C19" s="16">
        <f t="shared" si="1"/>
        <v>800</v>
      </c>
      <c r="D19" s="37">
        <v>39947</v>
      </c>
      <c r="E19" s="16">
        <f t="shared" si="2"/>
        <v>480</v>
      </c>
      <c r="F19" s="37">
        <v>20900</v>
      </c>
      <c r="G19" s="16">
        <f t="shared" si="3"/>
        <v>60</v>
      </c>
      <c r="H19" s="37">
        <v>250127</v>
      </c>
      <c r="I19" s="16">
        <f t="shared" si="4"/>
        <v>52</v>
      </c>
      <c r="J19" s="37">
        <v>303517</v>
      </c>
      <c r="K19" s="16">
        <f t="shared" si="5"/>
        <v>0</v>
      </c>
      <c r="L19" s="37">
        <v>25490</v>
      </c>
      <c r="M19" s="16">
        <f t="shared" si="6"/>
        <v>640</v>
      </c>
      <c r="N19" s="37">
        <v>215985</v>
      </c>
      <c r="O19" s="16">
        <f t="shared" si="7"/>
        <v>2</v>
      </c>
      <c r="P19" s="37">
        <v>126060</v>
      </c>
      <c r="Q19" s="16">
        <f t="shared" si="8"/>
        <v>0</v>
      </c>
      <c r="R19" s="1">
        <v>55047</v>
      </c>
      <c r="S19" s="16">
        <f t="shared" si="9"/>
        <v>0</v>
      </c>
      <c r="T19" s="37">
        <v>3806</v>
      </c>
      <c r="U19" s="16">
        <f t="shared" si="10"/>
        <v>480</v>
      </c>
      <c r="W19" t="s">
        <v>12</v>
      </c>
    </row>
    <row r="20" spans="1:23" ht="13.5" thickBot="1" x14ac:dyDescent="0.25">
      <c r="A20" s="10">
        <v>44487</v>
      </c>
      <c r="B20" s="37">
        <v>46070</v>
      </c>
      <c r="C20" s="16">
        <f t="shared" si="1"/>
        <v>800</v>
      </c>
      <c r="D20" s="37">
        <v>39951</v>
      </c>
      <c r="E20" s="16">
        <f t="shared" si="2"/>
        <v>640</v>
      </c>
      <c r="F20" s="37">
        <v>20904</v>
      </c>
      <c r="G20" s="16">
        <f t="shared" si="3"/>
        <v>80</v>
      </c>
      <c r="H20" s="37">
        <v>250189</v>
      </c>
      <c r="I20" s="16">
        <f t="shared" si="4"/>
        <v>62</v>
      </c>
      <c r="J20" s="37">
        <v>303517</v>
      </c>
      <c r="K20" s="16">
        <v>0</v>
      </c>
      <c r="L20" s="37">
        <v>25494</v>
      </c>
      <c r="M20" s="16">
        <f t="shared" si="6"/>
        <v>640</v>
      </c>
      <c r="N20" s="37">
        <v>215988</v>
      </c>
      <c r="O20" s="16">
        <f t="shared" si="7"/>
        <v>3</v>
      </c>
      <c r="P20" s="37">
        <v>126060</v>
      </c>
      <c r="Q20" s="16">
        <f>P20-P19</f>
        <v>0</v>
      </c>
      <c r="R20" s="1">
        <v>55047</v>
      </c>
      <c r="S20" s="16">
        <f t="shared" si="9"/>
        <v>0</v>
      </c>
      <c r="T20" s="37">
        <v>3807</v>
      </c>
      <c r="U20" s="16">
        <f t="shared" si="10"/>
        <v>160</v>
      </c>
    </row>
    <row r="21" spans="1:23" ht="13.5" thickBot="1" x14ac:dyDescent="0.25">
      <c r="A21" s="10">
        <v>44488</v>
      </c>
      <c r="B21" s="37">
        <v>46075</v>
      </c>
      <c r="C21" s="16">
        <f t="shared" si="1"/>
        <v>800</v>
      </c>
      <c r="D21" s="37">
        <v>39954</v>
      </c>
      <c r="E21" s="16">
        <f t="shared" si="2"/>
        <v>480</v>
      </c>
      <c r="F21" s="37">
        <v>20907</v>
      </c>
      <c r="G21" s="16">
        <f t="shared" si="3"/>
        <v>60</v>
      </c>
      <c r="H21" s="37">
        <v>250249</v>
      </c>
      <c r="I21" s="16">
        <f t="shared" si="4"/>
        <v>60</v>
      </c>
      <c r="J21" s="37">
        <v>303517</v>
      </c>
      <c r="K21" s="16">
        <f t="shared" si="5"/>
        <v>0</v>
      </c>
      <c r="L21" s="37">
        <v>25497</v>
      </c>
      <c r="M21" s="16">
        <f t="shared" si="6"/>
        <v>480</v>
      </c>
      <c r="N21" s="37">
        <v>215991</v>
      </c>
      <c r="O21" s="16">
        <f t="shared" si="7"/>
        <v>3</v>
      </c>
      <c r="P21" s="37">
        <v>126060</v>
      </c>
      <c r="Q21" s="16">
        <f t="shared" si="8"/>
        <v>0</v>
      </c>
      <c r="R21" s="1">
        <f t="shared" si="12"/>
        <v>55047</v>
      </c>
      <c r="S21" s="16">
        <f t="shared" si="9"/>
        <v>0</v>
      </c>
      <c r="T21" s="37">
        <v>3808</v>
      </c>
      <c r="U21" s="16">
        <f t="shared" si="10"/>
        <v>160</v>
      </c>
    </row>
    <row r="22" spans="1:23" ht="13.5" thickBot="1" x14ac:dyDescent="0.25">
      <c r="A22" s="10">
        <v>44489</v>
      </c>
      <c r="B22" s="37">
        <v>46080</v>
      </c>
      <c r="C22" s="16">
        <f t="shared" si="1"/>
        <v>800</v>
      </c>
      <c r="D22" s="37">
        <v>39956</v>
      </c>
      <c r="E22" s="16">
        <f t="shared" si="2"/>
        <v>320</v>
      </c>
      <c r="F22" s="37">
        <v>20910</v>
      </c>
      <c r="G22" s="16">
        <f t="shared" si="3"/>
        <v>60</v>
      </c>
      <c r="H22" s="37">
        <v>250310</v>
      </c>
      <c r="I22" s="16">
        <f t="shared" si="4"/>
        <v>61</v>
      </c>
      <c r="J22" s="37">
        <v>303517</v>
      </c>
      <c r="K22" s="16">
        <f t="shared" si="5"/>
        <v>0</v>
      </c>
      <c r="L22" s="37">
        <v>25501</v>
      </c>
      <c r="M22" s="16">
        <f t="shared" si="6"/>
        <v>640</v>
      </c>
      <c r="N22" s="37">
        <v>215994</v>
      </c>
      <c r="O22" s="16">
        <f t="shared" si="7"/>
        <v>3</v>
      </c>
      <c r="P22" s="37">
        <v>126060</v>
      </c>
      <c r="Q22" s="16">
        <f>P22-P21</f>
        <v>0</v>
      </c>
      <c r="R22" s="1">
        <v>55047</v>
      </c>
      <c r="S22" s="16">
        <f t="shared" si="9"/>
        <v>0</v>
      </c>
      <c r="T22" s="37">
        <v>3809</v>
      </c>
      <c r="U22" s="16">
        <f t="shared" si="10"/>
        <v>160</v>
      </c>
    </row>
    <row r="23" spans="1:23" ht="13.5" thickBot="1" x14ac:dyDescent="0.25">
      <c r="A23" s="10">
        <v>44490</v>
      </c>
      <c r="B23" s="37">
        <v>46085</v>
      </c>
      <c r="C23" s="16">
        <f t="shared" si="1"/>
        <v>800</v>
      </c>
      <c r="D23" s="37">
        <v>39959</v>
      </c>
      <c r="E23" s="16">
        <f t="shared" si="2"/>
        <v>480</v>
      </c>
      <c r="F23" s="37">
        <v>20915</v>
      </c>
      <c r="G23" s="16">
        <f t="shared" si="3"/>
        <v>100</v>
      </c>
      <c r="H23" s="37">
        <v>250383</v>
      </c>
      <c r="I23" s="16">
        <f t="shared" si="4"/>
        <v>73</v>
      </c>
      <c r="J23" s="37">
        <v>303517</v>
      </c>
      <c r="K23" s="16">
        <f t="shared" si="5"/>
        <v>0</v>
      </c>
      <c r="L23" s="37">
        <v>25504</v>
      </c>
      <c r="M23" s="16">
        <f t="shared" si="6"/>
        <v>480</v>
      </c>
      <c r="N23" s="37">
        <v>215997</v>
      </c>
      <c r="O23" s="16">
        <f t="shared" si="7"/>
        <v>3</v>
      </c>
      <c r="P23" s="37">
        <v>127782</v>
      </c>
      <c r="Q23" s="16">
        <f t="shared" si="8"/>
        <v>1722</v>
      </c>
      <c r="R23" s="1">
        <v>55047</v>
      </c>
      <c r="S23" s="16">
        <f t="shared" si="9"/>
        <v>0</v>
      </c>
      <c r="T23" s="37">
        <v>3810</v>
      </c>
      <c r="U23" s="16">
        <f t="shared" si="10"/>
        <v>160</v>
      </c>
    </row>
    <row r="24" spans="1:23" s="138" customFormat="1" ht="13.5" thickBot="1" x14ac:dyDescent="0.25">
      <c r="A24" s="10">
        <v>44491</v>
      </c>
      <c r="B24" s="37">
        <v>46086</v>
      </c>
      <c r="C24" s="16">
        <f t="shared" si="1"/>
        <v>160</v>
      </c>
      <c r="D24" s="37">
        <v>39962</v>
      </c>
      <c r="E24" s="16">
        <f t="shared" si="2"/>
        <v>480</v>
      </c>
      <c r="F24" s="37">
        <v>20918</v>
      </c>
      <c r="G24" s="16">
        <f t="shared" si="3"/>
        <v>60</v>
      </c>
      <c r="H24" s="37">
        <v>250437</v>
      </c>
      <c r="I24" s="16">
        <f t="shared" si="4"/>
        <v>54</v>
      </c>
      <c r="J24" s="37">
        <v>303517</v>
      </c>
      <c r="K24" s="16">
        <f t="shared" si="5"/>
        <v>0</v>
      </c>
      <c r="L24" s="37">
        <v>25507</v>
      </c>
      <c r="M24" s="16">
        <f t="shared" si="6"/>
        <v>480</v>
      </c>
      <c r="N24" s="37">
        <v>216000</v>
      </c>
      <c r="O24" s="16">
        <f t="shared" si="7"/>
        <v>3</v>
      </c>
      <c r="P24" s="37">
        <v>127901</v>
      </c>
      <c r="Q24" s="16">
        <f t="shared" si="8"/>
        <v>119</v>
      </c>
      <c r="R24" s="1">
        <f t="shared" si="12"/>
        <v>55047</v>
      </c>
      <c r="S24" s="16">
        <f t="shared" si="9"/>
        <v>0</v>
      </c>
      <c r="T24" s="37">
        <v>3811</v>
      </c>
      <c r="U24" s="16">
        <f t="shared" si="10"/>
        <v>160</v>
      </c>
    </row>
    <row r="25" spans="1:23" ht="13.5" thickBot="1" x14ac:dyDescent="0.25">
      <c r="A25" s="10">
        <v>44492</v>
      </c>
      <c r="B25" s="37">
        <v>46094</v>
      </c>
      <c r="C25" s="16">
        <f t="shared" si="1"/>
        <v>1280</v>
      </c>
      <c r="D25" s="37">
        <v>39965</v>
      </c>
      <c r="E25" s="16">
        <f t="shared" si="2"/>
        <v>480</v>
      </c>
      <c r="F25" s="37">
        <v>20922</v>
      </c>
      <c r="G25" s="16">
        <f t="shared" si="3"/>
        <v>80</v>
      </c>
      <c r="H25" s="37">
        <v>250478</v>
      </c>
      <c r="I25" s="16">
        <f t="shared" si="4"/>
        <v>41</v>
      </c>
      <c r="J25" s="37">
        <v>303517</v>
      </c>
      <c r="K25" s="16">
        <f t="shared" si="5"/>
        <v>0</v>
      </c>
      <c r="L25" s="37">
        <v>25519</v>
      </c>
      <c r="M25" s="16">
        <f t="shared" si="6"/>
        <v>1920</v>
      </c>
      <c r="N25" s="37">
        <v>216004</v>
      </c>
      <c r="O25" s="16">
        <f t="shared" si="7"/>
        <v>4</v>
      </c>
      <c r="P25" s="37">
        <v>127961</v>
      </c>
      <c r="Q25" s="16">
        <f t="shared" si="8"/>
        <v>60</v>
      </c>
      <c r="R25" s="1">
        <f t="shared" si="12"/>
        <v>55047</v>
      </c>
      <c r="S25" s="16">
        <f t="shared" si="9"/>
        <v>0</v>
      </c>
      <c r="T25" s="37">
        <v>3812</v>
      </c>
      <c r="U25" s="16">
        <f t="shared" si="10"/>
        <v>160</v>
      </c>
      <c r="V25" t="s">
        <v>12</v>
      </c>
    </row>
    <row r="26" spans="1:23" ht="12.75" customHeight="1" thickBot="1" x14ac:dyDescent="0.25">
      <c r="A26" s="10">
        <v>44493</v>
      </c>
      <c r="B26" s="37">
        <v>46099</v>
      </c>
      <c r="C26" s="16">
        <f t="shared" si="1"/>
        <v>800</v>
      </c>
      <c r="D26" s="37">
        <v>39968</v>
      </c>
      <c r="E26" s="16">
        <f t="shared" si="2"/>
        <v>480</v>
      </c>
      <c r="F26" s="37">
        <v>20925</v>
      </c>
      <c r="G26" s="16">
        <f t="shared" si="3"/>
        <v>60</v>
      </c>
      <c r="H26" s="37">
        <v>250531</v>
      </c>
      <c r="I26" s="16">
        <f t="shared" si="4"/>
        <v>53</v>
      </c>
      <c r="J26" s="37">
        <v>303517</v>
      </c>
      <c r="K26" s="16">
        <f t="shared" si="5"/>
        <v>0</v>
      </c>
      <c r="L26" s="37">
        <v>25524</v>
      </c>
      <c r="M26" s="16">
        <f t="shared" si="6"/>
        <v>800</v>
      </c>
      <c r="N26" s="37">
        <v>216006</v>
      </c>
      <c r="O26" s="16">
        <f t="shared" si="7"/>
        <v>2</v>
      </c>
      <c r="P26" s="37">
        <f t="shared" ref="P26:P33" si="13">P25</f>
        <v>127961</v>
      </c>
      <c r="Q26" s="16">
        <f t="shared" si="8"/>
        <v>0</v>
      </c>
      <c r="R26" s="1">
        <f t="shared" si="12"/>
        <v>55047</v>
      </c>
      <c r="S26" s="16">
        <f t="shared" si="9"/>
        <v>0</v>
      </c>
      <c r="T26" s="37">
        <v>3813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44494</v>
      </c>
      <c r="B27" s="37">
        <v>46104</v>
      </c>
      <c r="C27" s="16">
        <f t="shared" si="1"/>
        <v>800</v>
      </c>
      <c r="D27" s="37">
        <v>39971</v>
      </c>
      <c r="E27" s="16">
        <f t="shared" si="2"/>
        <v>480</v>
      </c>
      <c r="F27" s="37">
        <v>20929</v>
      </c>
      <c r="G27" s="16">
        <f t="shared" si="3"/>
        <v>80</v>
      </c>
      <c r="H27" s="37">
        <v>250577</v>
      </c>
      <c r="I27" s="16">
        <f t="shared" si="4"/>
        <v>46</v>
      </c>
      <c r="J27" s="37">
        <v>303517</v>
      </c>
      <c r="K27" s="16">
        <f t="shared" si="5"/>
        <v>0</v>
      </c>
      <c r="L27" s="37">
        <v>25527</v>
      </c>
      <c r="M27" s="16">
        <f t="shared" si="6"/>
        <v>480</v>
      </c>
      <c r="N27" s="37">
        <v>216010</v>
      </c>
      <c r="O27" s="16">
        <f t="shared" si="7"/>
        <v>4</v>
      </c>
      <c r="P27" s="37">
        <f t="shared" si="13"/>
        <v>127961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v>3814</v>
      </c>
      <c r="U27" s="16">
        <f t="shared" si="10"/>
        <v>160</v>
      </c>
    </row>
    <row r="28" spans="1:23" ht="13.5" thickBot="1" x14ac:dyDescent="0.25">
      <c r="A28" s="10">
        <v>44495</v>
      </c>
      <c r="B28" s="37">
        <v>46109</v>
      </c>
      <c r="C28" s="16">
        <f t="shared" si="1"/>
        <v>800</v>
      </c>
      <c r="D28" s="37">
        <v>39974</v>
      </c>
      <c r="E28" s="16">
        <f t="shared" si="2"/>
        <v>480</v>
      </c>
      <c r="F28" s="37">
        <v>20933</v>
      </c>
      <c r="G28" s="16">
        <f t="shared" si="3"/>
        <v>80</v>
      </c>
      <c r="H28" s="37">
        <v>250620</v>
      </c>
      <c r="I28" s="16">
        <f t="shared" si="4"/>
        <v>43</v>
      </c>
      <c r="J28" s="37">
        <v>303517</v>
      </c>
      <c r="K28" s="16">
        <f t="shared" si="5"/>
        <v>0</v>
      </c>
      <c r="L28" s="37">
        <v>25529</v>
      </c>
      <c r="M28" s="16">
        <f t="shared" si="6"/>
        <v>320</v>
      </c>
      <c r="N28" s="37">
        <v>216013</v>
      </c>
      <c r="O28" s="16">
        <f t="shared" si="7"/>
        <v>3</v>
      </c>
      <c r="P28" s="37">
        <v>127961</v>
      </c>
      <c r="Q28" s="17">
        <f t="shared" si="8"/>
        <v>0</v>
      </c>
      <c r="R28" s="1">
        <v>55047</v>
      </c>
      <c r="S28" s="17">
        <f t="shared" si="9"/>
        <v>0</v>
      </c>
      <c r="T28" s="37">
        <v>3815</v>
      </c>
      <c r="U28" s="16">
        <f t="shared" si="10"/>
        <v>160</v>
      </c>
    </row>
    <row r="29" spans="1:23" ht="13.5" thickBot="1" x14ac:dyDescent="0.25">
      <c r="A29" s="10">
        <v>44496</v>
      </c>
      <c r="B29" s="37">
        <v>46114</v>
      </c>
      <c r="C29" s="16">
        <f t="shared" si="1"/>
        <v>800</v>
      </c>
      <c r="D29" s="37">
        <v>39977</v>
      </c>
      <c r="E29" s="16">
        <f t="shared" si="2"/>
        <v>480</v>
      </c>
      <c r="F29" s="37">
        <v>20936</v>
      </c>
      <c r="G29" s="16">
        <f t="shared" si="3"/>
        <v>60</v>
      </c>
      <c r="H29" s="37">
        <v>250697</v>
      </c>
      <c r="I29" s="16">
        <f t="shared" si="4"/>
        <v>77</v>
      </c>
      <c r="J29" s="37">
        <v>303517</v>
      </c>
      <c r="K29" s="16">
        <f t="shared" si="5"/>
        <v>0</v>
      </c>
      <c r="L29" s="37">
        <v>25530</v>
      </c>
      <c r="M29" s="16">
        <f t="shared" si="6"/>
        <v>160</v>
      </c>
      <c r="N29" s="37">
        <v>216016</v>
      </c>
      <c r="O29" s="16">
        <f t="shared" si="7"/>
        <v>3</v>
      </c>
      <c r="P29" s="37">
        <f t="shared" si="13"/>
        <v>127961</v>
      </c>
      <c r="Q29" s="16">
        <f t="shared" si="8"/>
        <v>0</v>
      </c>
      <c r="R29" s="1">
        <v>55047</v>
      </c>
      <c r="S29" s="16">
        <f t="shared" si="9"/>
        <v>0</v>
      </c>
      <c r="T29" s="37">
        <v>3816</v>
      </c>
      <c r="U29" s="16">
        <f t="shared" si="10"/>
        <v>160</v>
      </c>
    </row>
    <row r="30" spans="1:23" ht="13.5" thickBot="1" x14ac:dyDescent="0.25">
      <c r="A30" s="10">
        <v>44497</v>
      </c>
      <c r="B30" s="37">
        <v>46119</v>
      </c>
      <c r="C30" s="16">
        <f t="shared" si="1"/>
        <v>800</v>
      </c>
      <c r="D30" s="37">
        <v>39986</v>
      </c>
      <c r="E30" s="16">
        <f t="shared" si="2"/>
        <v>1440</v>
      </c>
      <c r="F30" s="37">
        <v>20939</v>
      </c>
      <c r="G30" s="16">
        <f t="shared" si="3"/>
        <v>60</v>
      </c>
      <c r="H30" s="37">
        <v>250768</v>
      </c>
      <c r="I30" s="16">
        <f t="shared" si="4"/>
        <v>71</v>
      </c>
      <c r="J30" s="37">
        <v>303517</v>
      </c>
      <c r="K30" s="16">
        <f t="shared" si="5"/>
        <v>0</v>
      </c>
      <c r="L30" s="37">
        <v>25529</v>
      </c>
      <c r="M30" s="16">
        <f t="shared" si="6"/>
        <v>-160</v>
      </c>
      <c r="N30" s="37">
        <v>216018</v>
      </c>
      <c r="O30" s="16">
        <f t="shared" si="7"/>
        <v>2</v>
      </c>
      <c r="P30" s="37">
        <f t="shared" si="13"/>
        <v>127961</v>
      </c>
      <c r="Q30" s="16">
        <f t="shared" si="8"/>
        <v>0</v>
      </c>
      <c r="R30" s="1">
        <v>55047</v>
      </c>
      <c r="S30" s="16">
        <f t="shared" si="9"/>
        <v>0</v>
      </c>
      <c r="T30" s="37">
        <v>3817</v>
      </c>
      <c r="U30" s="16">
        <f t="shared" si="10"/>
        <v>160</v>
      </c>
    </row>
    <row r="31" spans="1:23" ht="13.5" thickBot="1" x14ac:dyDescent="0.25">
      <c r="A31" s="10">
        <v>44498</v>
      </c>
      <c r="B31" s="37">
        <f t="shared" ref="B30:B33" si="14">B30</f>
        <v>46119</v>
      </c>
      <c r="C31" s="16">
        <f t="shared" si="1"/>
        <v>0</v>
      </c>
      <c r="D31" s="37">
        <f t="shared" ref="D30:D33" si="15">D30</f>
        <v>39986</v>
      </c>
      <c r="E31" s="16">
        <f t="shared" si="2"/>
        <v>0</v>
      </c>
      <c r="F31" s="37">
        <f t="shared" ref="F30:F33" si="16">F30</f>
        <v>20939</v>
      </c>
      <c r="G31" s="16">
        <f t="shared" si="3"/>
        <v>0</v>
      </c>
      <c r="H31" s="37">
        <f t="shared" ref="H30:H33" si="17">H30</f>
        <v>250768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ref="L30:L33" si="18">L30</f>
        <v>25529</v>
      </c>
      <c r="M31" s="16">
        <f t="shared" si="6"/>
        <v>0</v>
      </c>
      <c r="N31" s="37">
        <f t="shared" ref="N30:N33" si="19">N30</f>
        <v>216018</v>
      </c>
      <c r="O31" s="16">
        <f t="shared" si="7"/>
        <v>0</v>
      </c>
      <c r="P31" s="37">
        <f t="shared" si="13"/>
        <v>127961</v>
      </c>
      <c r="Q31" s="16">
        <f t="shared" si="8"/>
        <v>0</v>
      </c>
      <c r="R31" s="1">
        <f t="shared" si="12"/>
        <v>55047</v>
      </c>
      <c r="S31" s="16">
        <f t="shared" si="9"/>
        <v>0</v>
      </c>
      <c r="T31" s="37">
        <f t="shared" si="11"/>
        <v>3817</v>
      </c>
      <c r="U31" s="16">
        <f t="shared" si="10"/>
        <v>0</v>
      </c>
    </row>
    <row r="32" spans="1:23" ht="15" customHeight="1" thickBot="1" x14ac:dyDescent="0.25">
      <c r="A32" s="10">
        <v>44499</v>
      </c>
      <c r="B32" s="37">
        <f t="shared" si="14"/>
        <v>46119</v>
      </c>
      <c r="C32" s="16">
        <f t="shared" si="1"/>
        <v>0</v>
      </c>
      <c r="D32" s="37">
        <f t="shared" si="15"/>
        <v>39986</v>
      </c>
      <c r="E32" s="16">
        <f t="shared" si="2"/>
        <v>0</v>
      </c>
      <c r="F32" s="37">
        <f t="shared" si="16"/>
        <v>20939</v>
      </c>
      <c r="G32" s="16">
        <f t="shared" si="3"/>
        <v>0</v>
      </c>
      <c r="H32" s="37">
        <f t="shared" si="17"/>
        <v>250768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18"/>
        <v>25529</v>
      </c>
      <c r="M32" s="16">
        <f t="shared" si="6"/>
        <v>0</v>
      </c>
      <c r="N32" s="37">
        <f t="shared" si="19"/>
        <v>216018</v>
      </c>
      <c r="O32" s="16">
        <f t="shared" si="7"/>
        <v>0</v>
      </c>
      <c r="P32" s="37">
        <f t="shared" si="13"/>
        <v>127961</v>
      </c>
      <c r="Q32" s="16">
        <f t="shared" si="8"/>
        <v>0</v>
      </c>
      <c r="R32" s="1">
        <f t="shared" si="12"/>
        <v>55047</v>
      </c>
      <c r="S32" s="16">
        <v>0</v>
      </c>
      <c r="T32" s="37">
        <f t="shared" si="11"/>
        <v>3817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44500</v>
      </c>
      <c r="B33" s="37">
        <f t="shared" si="14"/>
        <v>46119</v>
      </c>
      <c r="C33" s="16">
        <f t="shared" si="1"/>
        <v>0</v>
      </c>
      <c r="D33" s="37">
        <f t="shared" si="15"/>
        <v>39986</v>
      </c>
      <c r="E33" s="16">
        <f t="shared" si="2"/>
        <v>0</v>
      </c>
      <c r="F33" s="37">
        <f t="shared" si="16"/>
        <v>20939</v>
      </c>
      <c r="G33" s="16">
        <f t="shared" si="3"/>
        <v>0</v>
      </c>
      <c r="H33" s="37">
        <f t="shared" si="17"/>
        <v>250768</v>
      </c>
      <c r="I33" s="16">
        <f t="shared" si="4"/>
        <v>0</v>
      </c>
      <c r="J33" s="37">
        <v>303517</v>
      </c>
      <c r="K33" s="16">
        <f t="shared" si="5"/>
        <v>0</v>
      </c>
      <c r="L33" s="37">
        <f t="shared" si="18"/>
        <v>25529</v>
      </c>
      <c r="M33" s="16">
        <f t="shared" si="6"/>
        <v>0</v>
      </c>
      <c r="N33" s="37">
        <f t="shared" si="19"/>
        <v>216018</v>
      </c>
      <c r="O33" s="16">
        <f t="shared" si="7"/>
        <v>0</v>
      </c>
      <c r="P33" s="37">
        <f t="shared" si="13"/>
        <v>127961</v>
      </c>
      <c r="Q33" s="16">
        <f t="shared" si="8"/>
        <v>0</v>
      </c>
      <c r="R33" s="1">
        <f t="shared" si="12"/>
        <v>55047</v>
      </c>
      <c r="S33" s="16">
        <v>0</v>
      </c>
      <c r="T33" s="37">
        <f t="shared" si="11"/>
        <v>3817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SUM(C3:C33)</f>
        <v>21920</v>
      </c>
      <c r="D34" s="13"/>
      <c r="E34" s="11">
        <f>SUM(E3:E33)</f>
        <v>15040</v>
      </c>
      <c r="F34" s="13"/>
      <c r="G34" s="11">
        <f>SUM(G3:G33)</f>
        <v>1980</v>
      </c>
      <c r="H34" s="13"/>
      <c r="I34" s="11">
        <f>SUM(I3:I33)</f>
        <v>1706</v>
      </c>
      <c r="J34" s="13"/>
      <c r="K34" s="11">
        <f>SUM(K3:K33)</f>
        <v>0</v>
      </c>
      <c r="L34" s="13"/>
      <c r="M34" s="11">
        <f>SUM(M3:M33)</f>
        <v>15680</v>
      </c>
      <c r="N34" s="38"/>
      <c r="O34" s="11">
        <f>SUM(O3:O33)</f>
        <v>87</v>
      </c>
      <c r="P34" s="13"/>
      <c r="Q34" s="11">
        <f>SUM(Q3:Q33)</f>
        <v>2594</v>
      </c>
      <c r="R34" s="1"/>
      <c r="S34" s="11">
        <f>SUM(S3:S33)</f>
        <v>0</v>
      </c>
      <c r="T34" s="1"/>
      <c r="U34" s="11">
        <f>SUM(U3:U33)</f>
        <v>4640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zoomScaleNormal="100" zoomScaleSheetLayoutView="110" workbookViewId="0">
      <pane ySplit="1" topLeftCell="A2" activePane="bottomLeft" state="frozen"/>
      <selection pane="bottomLeft" activeCell="B30" sqref="B30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44469</v>
      </c>
      <c r="B2" s="44">
        <v>0</v>
      </c>
      <c r="C2" s="152">
        <v>18921</v>
      </c>
      <c r="D2" s="44">
        <v>0</v>
      </c>
      <c r="E2" s="153">
        <v>28169755</v>
      </c>
      <c r="F2" s="44">
        <v>0</v>
      </c>
      <c r="G2" s="154">
        <v>89251722</v>
      </c>
      <c r="H2" s="44">
        <v>0</v>
      </c>
      <c r="I2" s="22">
        <f>F2+H2</f>
        <v>0</v>
      </c>
      <c r="J2" s="153">
        <v>8778888</v>
      </c>
      <c r="K2" s="44">
        <v>0</v>
      </c>
      <c r="L2" s="156">
        <v>8728564</v>
      </c>
      <c r="M2" s="44">
        <v>0</v>
      </c>
      <c r="N2" s="153">
        <v>5883838</v>
      </c>
      <c r="O2" s="44">
        <v>0</v>
      </c>
      <c r="P2" s="156">
        <v>5083775</v>
      </c>
      <c r="Q2" s="44">
        <v>0</v>
      </c>
      <c r="R2" s="153">
        <v>18831293</v>
      </c>
      <c r="S2" s="44">
        <v>0</v>
      </c>
      <c r="T2" s="153">
        <v>0</v>
      </c>
      <c r="U2" s="11"/>
      <c r="V2" s="153">
        <v>6635928</v>
      </c>
      <c r="W2" s="44">
        <v>0</v>
      </c>
      <c r="X2" s="22">
        <f t="shared" ref="X2" si="0">K2+M2+O2+Q2+S2+U2+W2</f>
        <v>0</v>
      </c>
      <c r="Y2" s="158">
        <f t="shared" ref="Y2" si="1">I2-X2</f>
        <v>0</v>
      </c>
      <c r="Z2" s="3">
        <f t="shared" ref="Z2" si="2">(0.93352*(W2+S2)+0.5568*(Q2+O2))*0.26</f>
        <v>0</v>
      </c>
      <c r="AA2" s="3" t="e">
        <f t="shared" ref="AA2" si="3">SUM(#REF!)</f>
        <v>#REF!</v>
      </c>
    </row>
    <row r="3" spans="1:27" ht="16.5" thickBot="1" x14ac:dyDescent="0.3">
      <c r="A3" s="10">
        <v>44470</v>
      </c>
      <c r="B3" s="44">
        <v>299</v>
      </c>
      <c r="C3" s="152">
        <v>18928</v>
      </c>
      <c r="D3" s="44">
        <f>IF((C3-C2)&lt;0,"0",(C3-C2))*160</f>
        <v>1120</v>
      </c>
      <c r="E3" s="153">
        <v>28182421</v>
      </c>
      <c r="F3" s="44">
        <f>IF((E3-E2)&lt;0,"0",(E3-E2))</f>
        <v>12666</v>
      </c>
      <c r="G3" s="154">
        <v>89297612</v>
      </c>
      <c r="H3" s="44">
        <f>IF((G3-G2)&lt;0,"0",(G3-G2))</f>
        <v>45890</v>
      </c>
      <c r="I3" s="22">
        <f>F3+H3</f>
        <v>58556</v>
      </c>
      <c r="J3" s="153">
        <v>8783230</v>
      </c>
      <c r="K3" s="44">
        <v>4342</v>
      </c>
      <c r="L3" s="156">
        <v>8732542</v>
      </c>
      <c r="M3" s="44">
        <f>IF((L3-L2)&lt;0,"0",(L3-L2))</f>
        <v>3978</v>
      </c>
      <c r="N3" s="153">
        <v>5888063</v>
      </c>
      <c r="O3" s="44">
        <f>(IF((N3-N2)&lt;P92,"0",(N3-N2)))*2</f>
        <v>8450</v>
      </c>
      <c r="P3" s="156">
        <v>5093642</v>
      </c>
      <c r="Q3" s="44">
        <f>IF((P3-P2)&lt;0,"0",(P3-P2))</f>
        <v>9867</v>
      </c>
      <c r="R3" s="153">
        <v>18841147</v>
      </c>
      <c r="S3" s="44">
        <f>IF((R3-R2)&lt;0,"0",(R3-R2))</f>
        <v>9854</v>
      </c>
      <c r="T3" s="153">
        <v>0</v>
      </c>
      <c r="U3" s="157"/>
      <c r="V3" s="153">
        <v>6646068</v>
      </c>
      <c r="W3" s="44">
        <f>IF((V3-V2)&lt;0,"0",(V3-V2))</f>
        <v>10140</v>
      </c>
      <c r="X3" s="22">
        <f>K3+M3+O3+Q3+S3+U3+W3</f>
        <v>46631</v>
      </c>
      <c r="Y3" s="158">
        <f>I3-X3</f>
        <v>11925</v>
      </c>
      <c r="Z3" s="3">
        <f>(0.93352*(W3+S3)+0.5568*(Q3+O3))*0.26</f>
        <v>7504.5631648000008</v>
      </c>
      <c r="AA3" s="3">
        <f>SUM(Z1:Z3)</f>
        <v>7504.5631648000008</v>
      </c>
    </row>
    <row r="4" spans="1:27" ht="16.5" thickBot="1" x14ac:dyDescent="0.3">
      <c r="A4" s="10">
        <v>44471</v>
      </c>
      <c r="B4" s="44">
        <v>143</v>
      </c>
      <c r="C4" s="152">
        <v>18931</v>
      </c>
      <c r="D4" s="44">
        <f t="shared" ref="D4:D33" si="4">IF((C4-C3)&lt;0,"0",(C4-C3))*160</f>
        <v>480</v>
      </c>
      <c r="E4" s="153">
        <v>28194198</v>
      </c>
      <c r="F4" s="44">
        <f t="shared" ref="F4:F33" si="5">IF((E4-E3)&lt;0,"0",(E4-E3))</f>
        <v>11777</v>
      </c>
      <c r="G4" s="154">
        <v>89341744</v>
      </c>
      <c r="H4" s="44">
        <f t="shared" ref="H4:H33" si="6">IF((G4-G3)&lt;0,"0",(G4-G3))</f>
        <v>44132</v>
      </c>
      <c r="I4" s="155">
        <f t="shared" ref="I4:I31" si="7">F4+H4</f>
        <v>55909</v>
      </c>
      <c r="J4" s="153">
        <v>8787768</v>
      </c>
      <c r="K4" s="44">
        <f t="shared" ref="K4:K33" si="8">IF((J4-J3)&lt;0,"0",(J4-J3))</f>
        <v>4538</v>
      </c>
      <c r="L4" s="156">
        <v>8736165</v>
      </c>
      <c r="M4" s="44">
        <f t="shared" ref="M4:M33" si="9">IF((L4-L3)&lt;0,"0",(L4-L3))</f>
        <v>3623</v>
      </c>
      <c r="N4" s="153">
        <v>5892097</v>
      </c>
      <c r="O4" s="44">
        <f>(IF((N4-N3)&lt;P94,"0",(N4-N3)))*2</f>
        <v>8068</v>
      </c>
      <c r="P4" s="156">
        <v>5102907</v>
      </c>
      <c r="Q4" s="44">
        <f t="shared" ref="Q4:Q33" si="10">IF((P4-P3)&lt;0,"0",(P4-P3))</f>
        <v>9265</v>
      </c>
      <c r="R4" s="153">
        <v>18850365</v>
      </c>
      <c r="S4" s="44">
        <f t="shared" ref="S4:S33" si="11">IF((R4-R3)&lt;0,"0",(R4-R3))</f>
        <v>9218</v>
      </c>
      <c r="T4" s="153">
        <v>0</v>
      </c>
      <c r="U4" s="157"/>
      <c r="V4" s="153">
        <v>6656124</v>
      </c>
      <c r="W4" s="44">
        <f t="shared" ref="W4:W33" si="12">IF((V4-V3)&lt;0,"0",(V4-V3))</f>
        <v>10056</v>
      </c>
      <c r="X4" s="22">
        <f t="shared" ref="X4:X33" si="13">K4+M4+O4+Q4+S4+U4+W4</f>
        <v>44768</v>
      </c>
      <c r="Y4" s="158">
        <f t="shared" ref="Y4:Y33" si="14">I4-X4</f>
        <v>11141</v>
      </c>
      <c r="Z4" s="3">
        <f t="shared" ref="Z4:Z33" si="15">(0.93352*(W4+S4)+0.5568*(Q4+O4))*0.26</f>
        <v>7187.3565088000005</v>
      </c>
      <c r="AA4" s="3">
        <f>SUM(Z2:Z4)</f>
        <v>14691.919673600001</v>
      </c>
    </row>
    <row r="5" spans="1:27" ht="16.5" thickBot="1" x14ac:dyDescent="0.3">
      <c r="A5" s="10">
        <v>44472</v>
      </c>
      <c r="B5" s="44">
        <v>249</v>
      </c>
      <c r="C5" s="152">
        <v>18938</v>
      </c>
      <c r="D5" s="44">
        <f t="shared" si="4"/>
        <v>1120</v>
      </c>
      <c r="E5" s="153">
        <v>28212555</v>
      </c>
      <c r="F5" s="44">
        <f t="shared" si="5"/>
        <v>18357</v>
      </c>
      <c r="G5" s="154">
        <v>89407584</v>
      </c>
      <c r="H5" s="44">
        <f t="shared" si="6"/>
        <v>65840</v>
      </c>
      <c r="I5" s="155">
        <f t="shared" si="7"/>
        <v>84197</v>
      </c>
      <c r="J5" s="153">
        <v>8794926</v>
      </c>
      <c r="K5" s="44">
        <f t="shared" si="8"/>
        <v>7158</v>
      </c>
      <c r="L5" s="156">
        <v>8742194</v>
      </c>
      <c r="M5" s="44">
        <f t="shared" si="9"/>
        <v>6029</v>
      </c>
      <c r="N5" s="153">
        <v>5898136</v>
      </c>
      <c r="O5" s="44">
        <f t="shared" ref="O5:O33" si="16">(IF((N5-N4)&lt;0,"0",(N5-N4)))*2</f>
        <v>12078</v>
      </c>
      <c r="P5" s="156">
        <v>5116372</v>
      </c>
      <c r="Q5" s="44">
        <f t="shared" si="10"/>
        <v>13465</v>
      </c>
      <c r="R5" s="153">
        <v>18864114</v>
      </c>
      <c r="S5" s="44">
        <f t="shared" si="11"/>
        <v>13749</v>
      </c>
      <c r="T5" s="153">
        <v>0</v>
      </c>
      <c r="U5" s="157"/>
      <c r="V5" s="153">
        <v>6670686</v>
      </c>
      <c r="W5" s="44">
        <f t="shared" si="12"/>
        <v>14562</v>
      </c>
      <c r="X5" s="22">
        <f t="shared" si="13"/>
        <v>67041</v>
      </c>
      <c r="Y5" s="158">
        <f t="shared" si="14"/>
        <v>17156</v>
      </c>
      <c r="Z5" s="3">
        <f t="shared" si="15"/>
        <v>10569.319051200002</v>
      </c>
      <c r="AA5" s="3">
        <f>SUM(Z3:Z5)</f>
        <v>25261.238724800001</v>
      </c>
    </row>
    <row r="6" spans="1:27" ht="16.5" thickBot="1" x14ac:dyDescent="0.3">
      <c r="A6" s="10">
        <v>44473</v>
      </c>
      <c r="B6" s="44">
        <v>162</v>
      </c>
      <c r="C6" s="152">
        <v>18942</v>
      </c>
      <c r="D6" s="44">
        <f t="shared" si="4"/>
        <v>640</v>
      </c>
      <c r="E6" s="153">
        <v>28225508</v>
      </c>
      <c r="F6" s="44">
        <f t="shared" si="5"/>
        <v>12953</v>
      </c>
      <c r="G6" s="154">
        <v>89455200</v>
      </c>
      <c r="H6" s="44">
        <f t="shared" si="6"/>
        <v>47616</v>
      </c>
      <c r="I6" s="155">
        <f t="shared" si="7"/>
        <v>60569</v>
      </c>
      <c r="J6" s="153">
        <v>8800507</v>
      </c>
      <c r="K6" s="44">
        <f t="shared" si="8"/>
        <v>5581</v>
      </c>
      <c r="L6" s="156">
        <v>8746470</v>
      </c>
      <c r="M6" s="44">
        <f t="shared" si="9"/>
        <v>4276</v>
      </c>
      <c r="N6" s="153">
        <v>5902415</v>
      </c>
      <c r="O6" s="44">
        <f t="shared" si="16"/>
        <v>8558</v>
      </c>
      <c r="P6" s="156">
        <v>5126553</v>
      </c>
      <c r="Q6" s="44">
        <f t="shared" si="10"/>
        <v>10181</v>
      </c>
      <c r="R6" s="153">
        <v>18873961</v>
      </c>
      <c r="S6" s="44">
        <f t="shared" si="11"/>
        <v>9847</v>
      </c>
      <c r="T6" s="153">
        <v>0</v>
      </c>
      <c r="U6" s="157"/>
      <c r="V6" s="153">
        <v>6681265</v>
      </c>
      <c r="W6" s="44">
        <f t="shared" si="12"/>
        <v>10579</v>
      </c>
      <c r="X6" s="22">
        <f t="shared" si="13"/>
        <v>49022</v>
      </c>
      <c r="Y6" s="158">
        <f t="shared" si="14"/>
        <v>11547</v>
      </c>
      <c r="Z6" s="3">
        <f t="shared" si="15"/>
        <v>7670.5082272</v>
      </c>
      <c r="AA6" s="3">
        <f>SUM(Z4:Z6)</f>
        <v>25427.183787200003</v>
      </c>
    </row>
    <row r="7" spans="1:27" ht="16.5" thickBot="1" x14ac:dyDescent="0.3">
      <c r="A7" s="10">
        <v>44474</v>
      </c>
      <c r="B7" s="44">
        <v>281</v>
      </c>
      <c r="C7" s="152">
        <v>18948</v>
      </c>
      <c r="D7" s="44">
        <f t="shared" si="4"/>
        <v>960</v>
      </c>
      <c r="E7" s="153">
        <v>28237117</v>
      </c>
      <c r="F7" s="44">
        <f t="shared" si="5"/>
        <v>11609</v>
      </c>
      <c r="G7" s="154">
        <v>89500334</v>
      </c>
      <c r="H7" s="44">
        <f t="shared" si="6"/>
        <v>45134</v>
      </c>
      <c r="I7" s="155">
        <f t="shared" si="7"/>
        <v>56743</v>
      </c>
      <c r="J7" s="153">
        <v>8805583</v>
      </c>
      <c r="K7" s="44">
        <f t="shared" si="8"/>
        <v>5076</v>
      </c>
      <c r="L7" s="156">
        <v>8750522</v>
      </c>
      <c r="M7" s="44">
        <f t="shared" si="9"/>
        <v>4052</v>
      </c>
      <c r="N7" s="153">
        <v>5906112</v>
      </c>
      <c r="O7" s="44">
        <f t="shared" si="16"/>
        <v>7394</v>
      </c>
      <c r="P7" s="156">
        <v>5135722</v>
      </c>
      <c r="Q7" s="44">
        <f t="shared" si="10"/>
        <v>9169</v>
      </c>
      <c r="R7" s="153">
        <v>18883036</v>
      </c>
      <c r="S7" s="44">
        <f t="shared" si="11"/>
        <v>9075</v>
      </c>
      <c r="T7" s="153">
        <v>0</v>
      </c>
      <c r="U7" s="157"/>
      <c r="V7" s="153">
        <v>6691411</v>
      </c>
      <c r="W7" s="44">
        <f t="shared" si="12"/>
        <v>10146</v>
      </c>
      <c r="X7" s="22">
        <f t="shared" si="13"/>
        <v>44912</v>
      </c>
      <c r="Y7" s="158">
        <f t="shared" si="14"/>
        <v>11831</v>
      </c>
      <c r="Z7" s="3">
        <f t="shared" si="15"/>
        <v>7063.0212431999998</v>
      </c>
      <c r="AA7" s="3">
        <f t="shared" ref="AA7:AA33" si="17">SUM(Z4:Z7)</f>
        <v>32490.205030400004</v>
      </c>
    </row>
    <row r="8" spans="1:27" ht="16.5" thickBot="1" x14ac:dyDescent="0.3">
      <c r="A8" s="10">
        <v>44475</v>
      </c>
      <c r="B8" s="44">
        <v>226</v>
      </c>
      <c r="C8" s="152">
        <f t="shared" ref="C8:C33" si="18">C7</f>
        <v>18948</v>
      </c>
      <c r="D8" s="44">
        <f t="shared" si="4"/>
        <v>0</v>
      </c>
      <c r="E8" s="153">
        <v>28252214</v>
      </c>
      <c r="F8" s="44">
        <f t="shared" si="5"/>
        <v>15097</v>
      </c>
      <c r="G8" s="154">
        <v>89559657</v>
      </c>
      <c r="H8" s="44">
        <f t="shared" si="6"/>
        <v>59323</v>
      </c>
      <c r="I8" s="155">
        <f t="shared" si="7"/>
        <v>74420</v>
      </c>
      <c r="J8" s="153">
        <v>8812303</v>
      </c>
      <c r="K8" s="44">
        <f t="shared" si="8"/>
        <v>6720</v>
      </c>
      <c r="L8" s="156">
        <v>8755966</v>
      </c>
      <c r="M8" s="44">
        <f t="shared" si="9"/>
        <v>5444</v>
      </c>
      <c r="N8" s="153">
        <v>5910857</v>
      </c>
      <c r="O8" s="44">
        <f t="shared" si="16"/>
        <v>9490</v>
      </c>
      <c r="P8" s="156">
        <v>5147962</v>
      </c>
      <c r="Q8" s="44">
        <f t="shared" si="10"/>
        <v>12240</v>
      </c>
      <c r="R8" s="153">
        <v>18894759</v>
      </c>
      <c r="S8" s="44">
        <f t="shared" si="11"/>
        <v>11723</v>
      </c>
      <c r="T8" s="153">
        <v>0</v>
      </c>
      <c r="U8" s="157"/>
      <c r="V8" s="153">
        <v>6704921</v>
      </c>
      <c r="W8" s="44">
        <f t="shared" si="12"/>
        <v>13510</v>
      </c>
      <c r="X8" s="22">
        <f t="shared" si="13"/>
        <v>59127</v>
      </c>
      <c r="Y8" s="158">
        <f t="shared" si="14"/>
        <v>15293</v>
      </c>
      <c r="Z8" s="3">
        <f t="shared" si="15"/>
        <v>9270.2412815999996</v>
      </c>
      <c r="AA8" s="3">
        <f t="shared" si="17"/>
        <v>34573.089803199997</v>
      </c>
    </row>
    <row r="9" spans="1:27" ht="16.5" thickBot="1" x14ac:dyDescent="0.3">
      <c r="A9" s="10">
        <v>44476</v>
      </c>
      <c r="B9" s="44">
        <v>207</v>
      </c>
      <c r="C9" s="152">
        <v>18959</v>
      </c>
      <c r="D9" s="44">
        <f t="shared" si="4"/>
        <v>1760</v>
      </c>
      <c r="E9" s="153">
        <v>28263576</v>
      </c>
      <c r="F9" s="44">
        <f t="shared" si="5"/>
        <v>11362</v>
      </c>
      <c r="G9" s="154">
        <v>89603344</v>
      </c>
      <c r="H9" s="44">
        <f t="shared" si="6"/>
        <v>43687</v>
      </c>
      <c r="I9" s="155">
        <f t="shared" si="7"/>
        <v>55049</v>
      </c>
      <c r="J9" s="153">
        <v>8816903</v>
      </c>
      <c r="K9" s="44">
        <f t="shared" si="8"/>
        <v>4600</v>
      </c>
      <c r="L9" s="156">
        <v>8755998</v>
      </c>
      <c r="M9" s="44">
        <f t="shared" si="9"/>
        <v>32</v>
      </c>
      <c r="N9" s="153">
        <v>5914493</v>
      </c>
      <c r="O9" s="44">
        <f t="shared" si="16"/>
        <v>7272</v>
      </c>
      <c r="P9" s="156">
        <v>5157388</v>
      </c>
      <c r="Q9" s="44">
        <f t="shared" si="10"/>
        <v>9426</v>
      </c>
      <c r="R9" s="153">
        <v>18903968</v>
      </c>
      <c r="S9" s="44">
        <f t="shared" si="11"/>
        <v>9209</v>
      </c>
      <c r="T9" s="153">
        <v>0</v>
      </c>
      <c r="U9" s="157"/>
      <c r="V9" s="153">
        <v>6714556</v>
      </c>
      <c r="W9" s="44">
        <f t="shared" si="12"/>
        <v>9635</v>
      </c>
      <c r="X9" s="22">
        <f t="shared" si="13"/>
        <v>40174</v>
      </c>
      <c r="Y9" s="158">
        <f t="shared" si="14"/>
        <v>14875</v>
      </c>
      <c r="Z9" s="3">
        <f t="shared" si="15"/>
        <v>6991.0612928</v>
      </c>
      <c r="AA9" s="3">
        <f t="shared" si="17"/>
        <v>30994.832044800001</v>
      </c>
    </row>
    <row r="10" spans="1:27" ht="16.5" thickBot="1" x14ac:dyDescent="0.3">
      <c r="A10" s="10">
        <v>44477</v>
      </c>
      <c r="B10" s="44">
        <v>273</v>
      </c>
      <c r="C10" s="152">
        <v>18961</v>
      </c>
      <c r="D10" s="44">
        <f t="shared" si="4"/>
        <v>320</v>
      </c>
      <c r="E10" s="153">
        <v>28277035</v>
      </c>
      <c r="F10" s="44">
        <f t="shared" si="5"/>
        <v>13459</v>
      </c>
      <c r="G10" s="154">
        <v>89653003</v>
      </c>
      <c r="H10" s="44">
        <f t="shared" si="6"/>
        <v>49659</v>
      </c>
      <c r="I10" s="155">
        <f t="shared" si="7"/>
        <v>63118</v>
      </c>
      <c r="J10" s="153">
        <v>8821918</v>
      </c>
      <c r="K10" s="44">
        <f t="shared" si="8"/>
        <v>5015</v>
      </c>
      <c r="L10" s="156">
        <v>8764682</v>
      </c>
      <c r="M10" s="44">
        <f t="shared" si="9"/>
        <v>8684</v>
      </c>
      <c r="N10" s="153">
        <v>5918735</v>
      </c>
      <c r="O10" s="44">
        <f t="shared" si="16"/>
        <v>8484</v>
      </c>
      <c r="P10" s="156">
        <v>5168384</v>
      </c>
      <c r="Q10" s="44">
        <f t="shared" si="10"/>
        <v>10996</v>
      </c>
      <c r="R10" s="153">
        <v>18914070</v>
      </c>
      <c r="S10" s="44">
        <f t="shared" si="11"/>
        <v>10102</v>
      </c>
      <c r="T10" s="153">
        <v>0</v>
      </c>
      <c r="U10" s="157"/>
      <c r="V10" s="153">
        <v>6725488</v>
      </c>
      <c r="W10" s="44">
        <f t="shared" si="12"/>
        <v>10932</v>
      </c>
      <c r="X10" s="22">
        <f t="shared" si="13"/>
        <v>54213</v>
      </c>
      <c r="Y10" s="158">
        <f t="shared" si="14"/>
        <v>8905</v>
      </c>
      <c r="Z10" s="3">
        <f t="shared" si="15"/>
        <v>7925.3521568000006</v>
      </c>
      <c r="AA10" s="3">
        <f t="shared" si="17"/>
        <v>31249.675974400001</v>
      </c>
    </row>
    <row r="11" spans="1:27" ht="15.75" customHeight="1" thickBot="1" x14ac:dyDescent="0.3">
      <c r="A11" s="10">
        <v>44478</v>
      </c>
      <c r="B11" s="44">
        <v>270</v>
      </c>
      <c r="C11" s="152">
        <v>18968</v>
      </c>
      <c r="D11" s="44">
        <f t="shared" si="4"/>
        <v>1120</v>
      </c>
      <c r="E11" s="153">
        <v>28288855</v>
      </c>
      <c r="F11" s="44">
        <f t="shared" si="5"/>
        <v>11820</v>
      </c>
      <c r="G11" s="154">
        <v>89699916</v>
      </c>
      <c r="H11" s="44">
        <f t="shared" si="6"/>
        <v>46913</v>
      </c>
      <c r="I11" s="155">
        <f t="shared" si="7"/>
        <v>58733</v>
      </c>
      <c r="J11" s="153">
        <v>8827060</v>
      </c>
      <c r="K11" s="44">
        <f t="shared" si="8"/>
        <v>5142</v>
      </c>
      <c r="L11" s="156">
        <v>8799240</v>
      </c>
      <c r="M11" s="44">
        <f t="shared" si="9"/>
        <v>34558</v>
      </c>
      <c r="N11" s="153">
        <v>5922670</v>
      </c>
      <c r="O11" s="44">
        <f t="shared" si="16"/>
        <v>7870</v>
      </c>
      <c r="P11" s="156">
        <v>5178763</v>
      </c>
      <c r="Q11" s="44">
        <f t="shared" si="10"/>
        <v>10379</v>
      </c>
      <c r="R11" s="153">
        <v>18923556</v>
      </c>
      <c r="S11" s="44">
        <f t="shared" si="11"/>
        <v>9486</v>
      </c>
      <c r="T11" s="153">
        <v>0</v>
      </c>
      <c r="U11" s="157"/>
      <c r="V11" s="153">
        <v>6735769</v>
      </c>
      <c r="W11" s="44">
        <f t="shared" si="12"/>
        <v>10281</v>
      </c>
      <c r="X11" s="22">
        <f t="shared" si="13"/>
        <v>77716</v>
      </c>
      <c r="Y11" s="158">
        <f t="shared" si="14"/>
        <v>-18983</v>
      </c>
      <c r="Z11" s="3">
        <f t="shared" si="15"/>
        <v>7439.6225904000003</v>
      </c>
      <c r="AA11" s="3">
        <f t="shared" si="17"/>
        <v>31626.277321599999</v>
      </c>
    </row>
    <row r="12" spans="1:27" ht="16.5" thickBot="1" x14ac:dyDescent="0.3">
      <c r="A12" s="10">
        <v>44479</v>
      </c>
      <c r="B12" s="44">
        <v>294</v>
      </c>
      <c r="C12" s="152">
        <v>18973</v>
      </c>
      <c r="D12" s="44">
        <f t="shared" si="4"/>
        <v>800</v>
      </c>
      <c r="E12" s="153">
        <v>28302500</v>
      </c>
      <c r="F12" s="44">
        <f t="shared" si="5"/>
        <v>13645</v>
      </c>
      <c r="G12" s="154">
        <v>89748833</v>
      </c>
      <c r="H12" s="44">
        <f t="shared" si="6"/>
        <v>48917</v>
      </c>
      <c r="I12" s="155">
        <f t="shared" si="7"/>
        <v>62562</v>
      </c>
      <c r="J12" s="153">
        <v>8832462</v>
      </c>
      <c r="K12" s="44">
        <f t="shared" si="8"/>
        <v>5402</v>
      </c>
      <c r="L12" s="156">
        <v>8774073</v>
      </c>
      <c r="M12" s="44" t="str">
        <f t="shared" si="9"/>
        <v>0</v>
      </c>
      <c r="N12" s="153">
        <v>5926639</v>
      </c>
      <c r="O12" s="44">
        <f t="shared" si="16"/>
        <v>7938</v>
      </c>
      <c r="P12" s="156">
        <v>5189384</v>
      </c>
      <c r="Q12" s="44">
        <f t="shared" si="10"/>
        <v>10621</v>
      </c>
      <c r="R12" s="153">
        <v>18933472</v>
      </c>
      <c r="S12" s="44">
        <f t="shared" si="11"/>
        <v>9916</v>
      </c>
      <c r="T12" s="153">
        <v>0</v>
      </c>
      <c r="U12" s="157"/>
      <c r="V12" s="153">
        <v>6746595</v>
      </c>
      <c r="W12" s="44">
        <f t="shared" si="12"/>
        <v>10826</v>
      </c>
      <c r="X12" s="22">
        <f t="shared" si="13"/>
        <v>44703</v>
      </c>
      <c r="Y12" s="158">
        <f t="shared" si="14"/>
        <v>17859</v>
      </c>
      <c r="Z12" s="3">
        <f t="shared" si="15"/>
        <v>7721.1479903999998</v>
      </c>
      <c r="AA12" s="3">
        <f t="shared" si="17"/>
        <v>30077.1840304</v>
      </c>
    </row>
    <row r="13" spans="1:27" ht="16.5" thickBot="1" x14ac:dyDescent="0.3">
      <c r="A13" s="10">
        <v>44480</v>
      </c>
      <c r="B13" s="44">
        <v>317</v>
      </c>
      <c r="C13" s="152">
        <v>18979</v>
      </c>
      <c r="D13" s="44">
        <f t="shared" si="4"/>
        <v>960</v>
      </c>
      <c r="E13" s="153">
        <v>28319531</v>
      </c>
      <c r="F13" s="44">
        <f t="shared" si="5"/>
        <v>17031</v>
      </c>
      <c r="G13" s="154">
        <v>89814400</v>
      </c>
      <c r="H13" s="44">
        <f t="shared" si="6"/>
        <v>65567</v>
      </c>
      <c r="I13" s="155">
        <f t="shared" si="7"/>
        <v>82598</v>
      </c>
      <c r="J13" s="153">
        <v>8839980</v>
      </c>
      <c r="K13" s="44">
        <f t="shared" si="8"/>
        <v>7518</v>
      </c>
      <c r="L13" s="156">
        <v>8780161</v>
      </c>
      <c r="M13" s="44">
        <f t="shared" si="9"/>
        <v>6088</v>
      </c>
      <c r="N13" s="153">
        <v>5932016</v>
      </c>
      <c r="O13" s="44">
        <f t="shared" si="16"/>
        <v>10754</v>
      </c>
      <c r="P13" s="156">
        <v>5203923</v>
      </c>
      <c r="Q13" s="44">
        <f t="shared" si="10"/>
        <v>14539</v>
      </c>
      <c r="R13" s="153">
        <v>18946538</v>
      </c>
      <c r="S13" s="44">
        <f>IF((R13-R12)&lt;0,"0",(R13-R12))</f>
        <v>13066</v>
      </c>
      <c r="T13" s="153">
        <v>0</v>
      </c>
      <c r="U13" s="157"/>
      <c r="V13" s="153">
        <v>6760841</v>
      </c>
      <c r="W13" s="44">
        <f t="shared" si="12"/>
        <v>14246</v>
      </c>
      <c r="X13" s="22">
        <f t="shared" si="13"/>
        <v>66211</v>
      </c>
      <c r="Y13" s="158">
        <f t="shared" si="14"/>
        <v>16387</v>
      </c>
      <c r="Z13" s="3">
        <f t="shared" si="15"/>
        <v>10290.6545664</v>
      </c>
      <c r="AA13" s="3">
        <f t="shared" si="17"/>
        <v>33376.777304000003</v>
      </c>
    </row>
    <row r="14" spans="1:27" ht="16.5" thickBot="1" x14ac:dyDescent="0.3">
      <c r="A14" s="10">
        <v>44481</v>
      </c>
      <c r="B14" s="44">
        <v>308</v>
      </c>
      <c r="C14" s="152">
        <v>18984</v>
      </c>
      <c r="D14" s="44">
        <f t="shared" si="4"/>
        <v>800</v>
      </c>
      <c r="E14" s="153">
        <v>28329761</v>
      </c>
      <c r="F14" s="44">
        <f t="shared" si="5"/>
        <v>10230</v>
      </c>
      <c r="G14" s="154">
        <v>89852315</v>
      </c>
      <c r="H14" s="44">
        <f t="shared" si="6"/>
        <v>37915</v>
      </c>
      <c r="I14" s="155">
        <f t="shared" si="7"/>
        <v>48145</v>
      </c>
      <c r="J14" s="153">
        <v>8844505</v>
      </c>
      <c r="K14" s="44">
        <f t="shared" si="8"/>
        <v>4525</v>
      </c>
      <c r="L14" s="156">
        <v>8784044</v>
      </c>
      <c r="M14" s="44">
        <f t="shared" si="9"/>
        <v>3883</v>
      </c>
      <c r="N14" s="153">
        <v>5935126</v>
      </c>
      <c r="O14" s="44">
        <f t="shared" si="16"/>
        <v>6220</v>
      </c>
      <c r="P14" s="156">
        <v>5212372</v>
      </c>
      <c r="Q14" s="44">
        <f t="shared" si="10"/>
        <v>8449</v>
      </c>
      <c r="R14" s="153">
        <v>18954003</v>
      </c>
      <c r="S14" s="44">
        <f>IF((R14-R13)&lt;0,"0",(R14-R13))</f>
        <v>7465</v>
      </c>
      <c r="T14" s="153">
        <v>0</v>
      </c>
      <c r="U14" s="157"/>
      <c r="V14" s="153">
        <v>6769008</v>
      </c>
      <c r="W14" s="44">
        <f t="shared" si="12"/>
        <v>8167</v>
      </c>
      <c r="X14" s="22">
        <f t="shared" si="13"/>
        <v>38709</v>
      </c>
      <c r="Y14" s="158">
        <f t="shared" si="14"/>
        <v>9436</v>
      </c>
      <c r="Z14" s="3">
        <f t="shared" si="15"/>
        <v>5917.7257984000007</v>
      </c>
      <c r="AA14" s="3">
        <f t="shared" si="17"/>
        <v>31369.150945599999</v>
      </c>
    </row>
    <row r="15" spans="1:27" ht="16.5" thickBot="1" x14ac:dyDescent="0.3">
      <c r="A15" s="10">
        <v>44482</v>
      </c>
      <c r="B15" s="44">
        <v>288</v>
      </c>
      <c r="C15" s="152">
        <v>18988</v>
      </c>
      <c r="D15" s="44">
        <f t="shared" si="4"/>
        <v>640</v>
      </c>
      <c r="E15" s="153">
        <v>28342101</v>
      </c>
      <c r="F15" s="44">
        <f t="shared" si="5"/>
        <v>12340</v>
      </c>
      <c r="G15" s="154">
        <v>89898654</v>
      </c>
      <c r="H15" s="44">
        <f t="shared" si="6"/>
        <v>46339</v>
      </c>
      <c r="I15" s="155">
        <f t="shared" si="7"/>
        <v>58679</v>
      </c>
      <c r="J15" s="153">
        <v>8850051</v>
      </c>
      <c r="K15" s="44">
        <f t="shared" si="8"/>
        <v>5546</v>
      </c>
      <c r="L15" s="156">
        <v>8788588</v>
      </c>
      <c r="M15" s="44">
        <f t="shared" si="9"/>
        <v>4544</v>
      </c>
      <c r="N15" s="153">
        <v>5938950</v>
      </c>
      <c r="O15" s="44">
        <f t="shared" si="16"/>
        <v>7648</v>
      </c>
      <c r="P15" s="156">
        <v>5222579</v>
      </c>
      <c r="Q15" s="44">
        <f t="shared" si="10"/>
        <v>10207</v>
      </c>
      <c r="R15" s="153">
        <v>18963516</v>
      </c>
      <c r="S15" s="44">
        <f>IF((R15-R14)&lt;0,"0",(R15-R14))</f>
        <v>9513</v>
      </c>
      <c r="T15" s="153">
        <v>0</v>
      </c>
      <c r="U15" s="157"/>
      <c r="V15" s="153">
        <v>6778928</v>
      </c>
      <c r="W15" s="44">
        <f t="shared" si="12"/>
        <v>9920</v>
      </c>
      <c r="X15" s="22">
        <f t="shared" si="13"/>
        <v>47378</v>
      </c>
      <c r="Y15" s="158">
        <f t="shared" si="14"/>
        <v>11301</v>
      </c>
      <c r="Z15" s="3">
        <f t="shared" si="15"/>
        <v>7301.5171215999999</v>
      </c>
      <c r="AA15" s="3">
        <f t="shared" si="17"/>
        <v>31231.045476800005</v>
      </c>
    </row>
    <row r="16" spans="1:27" ht="16.5" thickBot="1" x14ac:dyDescent="0.3">
      <c r="A16" s="10">
        <v>44483</v>
      </c>
      <c r="B16" s="44">
        <v>281</v>
      </c>
      <c r="C16" s="152">
        <v>18992</v>
      </c>
      <c r="D16" s="44">
        <f t="shared" si="4"/>
        <v>640</v>
      </c>
      <c r="E16" s="153">
        <v>28359237</v>
      </c>
      <c r="F16" s="44">
        <f t="shared" si="5"/>
        <v>17136</v>
      </c>
      <c r="G16" s="154">
        <v>89962073</v>
      </c>
      <c r="H16" s="44">
        <f t="shared" si="6"/>
        <v>63419</v>
      </c>
      <c r="I16" s="155">
        <f t="shared" si="7"/>
        <v>80555</v>
      </c>
      <c r="J16" s="153">
        <v>8857372</v>
      </c>
      <c r="K16" s="44">
        <f t="shared" si="8"/>
        <v>7321</v>
      </c>
      <c r="L16" s="156">
        <v>8794870</v>
      </c>
      <c r="M16" s="44">
        <f t="shared" si="9"/>
        <v>6282</v>
      </c>
      <c r="N16" s="153">
        <v>5944279</v>
      </c>
      <c r="O16" s="44">
        <f t="shared" si="16"/>
        <v>10658</v>
      </c>
      <c r="P16" s="156">
        <v>5236869</v>
      </c>
      <c r="Q16" s="44">
        <f t="shared" si="10"/>
        <v>14290</v>
      </c>
      <c r="R16" s="153">
        <v>18976616</v>
      </c>
      <c r="S16" s="44">
        <f t="shared" si="11"/>
        <v>13100</v>
      </c>
      <c r="T16" s="153">
        <v>0</v>
      </c>
      <c r="U16" s="157"/>
      <c r="V16" s="153">
        <v>6792552</v>
      </c>
      <c r="W16" s="44">
        <f t="shared" si="12"/>
        <v>13624</v>
      </c>
      <c r="X16" s="22">
        <f t="shared" si="13"/>
        <v>65275</v>
      </c>
      <c r="Y16" s="158">
        <f t="shared" si="14"/>
        <v>15280</v>
      </c>
      <c r="Z16" s="3">
        <f t="shared" si="15"/>
        <v>10097.9930688</v>
      </c>
      <c r="AA16" s="3">
        <f t="shared" si="17"/>
        <v>33607.8905552</v>
      </c>
    </row>
    <row r="17" spans="1:27" s="136" customFormat="1" ht="16.5" thickBot="1" x14ac:dyDescent="0.3">
      <c r="A17" s="10">
        <v>44484</v>
      </c>
      <c r="B17" s="44">
        <v>317</v>
      </c>
      <c r="C17" s="152">
        <v>18997</v>
      </c>
      <c r="D17" s="44">
        <f t="shared" si="4"/>
        <v>800</v>
      </c>
      <c r="E17" s="153">
        <v>28372901</v>
      </c>
      <c r="F17" s="44">
        <f t="shared" si="5"/>
        <v>13664</v>
      </c>
      <c r="G17" s="154">
        <v>90013612</v>
      </c>
      <c r="H17" s="44">
        <f t="shared" si="6"/>
        <v>51539</v>
      </c>
      <c r="I17" s="159">
        <f t="shared" si="7"/>
        <v>65203</v>
      </c>
      <c r="J17" s="153">
        <v>8863022</v>
      </c>
      <c r="K17" s="44">
        <f t="shared" si="8"/>
        <v>5650</v>
      </c>
      <c r="L17" s="156">
        <v>8799705</v>
      </c>
      <c r="M17" s="135">
        <f t="shared" si="9"/>
        <v>4835</v>
      </c>
      <c r="N17" s="153">
        <v>5948587</v>
      </c>
      <c r="O17" s="135">
        <f t="shared" si="16"/>
        <v>8616</v>
      </c>
      <c r="P17" s="156">
        <v>5248433</v>
      </c>
      <c r="Q17" s="135">
        <f t="shared" si="10"/>
        <v>11564</v>
      </c>
      <c r="R17" s="153">
        <v>18987200</v>
      </c>
      <c r="S17" s="135">
        <f t="shared" si="11"/>
        <v>10584</v>
      </c>
      <c r="T17" s="160">
        <v>0</v>
      </c>
      <c r="U17" s="157"/>
      <c r="V17" s="153">
        <v>6803764</v>
      </c>
      <c r="W17" s="135">
        <f t="shared" si="12"/>
        <v>11212</v>
      </c>
      <c r="X17" s="22">
        <f t="shared" si="13"/>
        <v>52461</v>
      </c>
      <c r="Y17" s="161">
        <f t="shared" si="14"/>
        <v>12742</v>
      </c>
      <c r="Z17" s="162">
        <f t="shared" si="15"/>
        <v>8211.6387391999997</v>
      </c>
      <c r="AA17" s="162">
        <f t="shared" si="17"/>
        <v>31528.874727999999</v>
      </c>
    </row>
    <row r="18" spans="1:27" s="136" customFormat="1" ht="16.5" thickBot="1" x14ac:dyDescent="0.3">
      <c r="A18" s="10">
        <v>44485</v>
      </c>
      <c r="B18" s="44">
        <v>312</v>
      </c>
      <c r="C18" s="152">
        <v>19002</v>
      </c>
      <c r="D18" s="44">
        <f t="shared" si="4"/>
        <v>800</v>
      </c>
      <c r="E18" s="153">
        <v>28384542</v>
      </c>
      <c r="F18" s="44">
        <f t="shared" si="5"/>
        <v>11641</v>
      </c>
      <c r="G18" s="154">
        <v>90058734</v>
      </c>
      <c r="H18" s="44">
        <f t="shared" si="6"/>
        <v>45122</v>
      </c>
      <c r="I18" s="159">
        <f t="shared" si="7"/>
        <v>56763</v>
      </c>
      <c r="J18" s="153">
        <v>8868119</v>
      </c>
      <c r="K18" s="44">
        <f t="shared" si="8"/>
        <v>5097</v>
      </c>
      <c r="L18" s="156">
        <v>8803796</v>
      </c>
      <c r="M18" s="135">
        <f t="shared" si="9"/>
        <v>4091</v>
      </c>
      <c r="N18" s="153">
        <v>5952305</v>
      </c>
      <c r="O18" s="135">
        <f t="shared" si="16"/>
        <v>7436</v>
      </c>
      <c r="P18" s="156">
        <v>5258500</v>
      </c>
      <c r="Q18" s="135">
        <f t="shared" si="10"/>
        <v>10067</v>
      </c>
      <c r="R18" s="153">
        <v>18996088</v>
      </c>
      <c r="S18" s="135">
        <f t="shared" si="11"/>
        <v>8888</v>
      </c>
      <c r="T18" s="160">
        <v>0</v>
      </c>
      <c r="U18" s="157"/>
      <c r="V18" s="153">
        <v>6813853</v>
      </c>
      <c r="W18" s="135">
        <f t="shared" si="12"/>
        <v>10089</v>
      </c>
      <c r="X18" s="22">
        <f t="shared" si="13"/>
        <v>45668</v>
      </c>
      <c r="Y18" s="161">
        <f t="shared" si="14"/>
        <v>11095</v>
      </c>
      <c r="Z18" s="162">
        <f t="shared" si="15"/>
        <v>7139.8806543999999</v>
      </c>
      <c r="AA18" s="162">
        <f t="shared" si="17"/>
        <v>32751.029584</v>
      </c>
    </row>
    <row r="19" spans="1:27" s="136" customFormat="1" ht="16.5" thickBot="1" x14ac:dyDescent="0.3">
      <c r="A19" s="10">
        <v>44486</v>
      </c>
      <c r="B19" s="44">
        <v>303</v>
      </c>
      <c r="C19" s="152">
        <v>19007</v>
      </c>
      <c r="D19" s="44">
        <f t="shared" si="4"/>
        <v>800</v>
      </c>
      <c r="E19" s="153">
        <v>28397164</v>
      </c>
      <c r="F19" s="44">
        <f t="shared" si="5"/>
        <v>12622</v>
      </c>
      <c r="G19" s="154">
        <v>90107442</v>
      </c>
      <c r="H19" s="44">
        <f t="shared" si="6"/>
        <v>48708</v>
      </c>
      <c r="I19" s="159">
        <f t="shared" si="7"/>
        <v>61330</v>
      </c>
      <c r="J19" s="153">
        <v>8873943</v>
      </c>
      <c r="K19" s="44">
        <f t="shared" si="8"/>
        <v>5824</v>
      </c>
      <c r="L19" s="156">
        <v>8808448</v>
      </c>
      <c r="M19" s="135">
        <f t="shared" si="9"/>
        <v>4652</v>
      </c>
      <c r="N19" s="153">
        <v>5956202</v>
      </c>
      <c r="O19" s="135">
        <f t="shared" si="16"/>
        <v>7794</v>
      </c>
      <c r="P19" s="156">
        <v>5269018</v>
      </c>
      <c r="Q19" s="135">
        <f t="shared" si="10"/>
        <v>10518</v>
      </c>
      <c r="R19" s="153">
        <v>19005808</v>
      </c>
      <c r="S19" s="135">
        <f t="shared" si="11"/>
        <v>9720</v>
      </c>
      <c r="T19" s="160">
        <v>0</v>
      </c>
      <c r="U19" s="157"/>
      <c r="V19" s="153">
        <v>6824571</v>
      </c>
      <c r="W19" s="135">
        <f t="shared" si="12"/>
        <v>10718</v>
      </c>
      <c r="X19" s="22">
        <f t="shared" si="13"/>
        <v>49226</v>
      </c>
      <c r="Y19" s="161">
        <f t="shared" si="14"/>
        <v>12104</v>
      </c>
      <c r="Z19" s="162">
        <f t="shared" si="15"/>
        <v>7611.6048736000002</v>
      </c>
      <c r="AA19" s="162">
        <f t="shared" si="17"/>
        <v>33061.117335999996</v>
      </c>
    </row>
    <row r="20" spans="1:27" s="136" customFormat="1" ht="16.5" thickBot="1" x14ac:dyDescent="0.3">
      <c r="A20" s="10">
        <v>44487</v>
      </c>
      <c r="B20" s="44">
        <v>300</v>
      </c>
      <c r="C20" s="152">
        <v>19012</v>
      </c>
      <c r="D20" s="44">
        <f t="shared" si="4"/>
        <v>800</v>
      </c>
      <c r="E20" s="153">
        <v>28408012</v>
      </c>
      <c r="F20" s="44">
        <f t="shared" si="5"/>
        <v>10848</v>
      </c>
      <c r="G20" s="154">
        <v>90149118</v>
      </c>
      <c r="H20" s="44">
        <f t="shared" si="6"/>
        <v>41676</v>
      </c>
      <c r="I20" s="159">
        <f t="shared" si="7"/>
        <v>52524</v>
      </c>
      <c r="J20" s="153">
        <v>8878675</v>
      </c>
      <c r="K20" s="44">
        <f t="shared" si="8"/>
        <v>4732</v>
      </c>
      <c r="L20" s="156">
        <v>8812488</v>
      </c>
      <c r="M20" s="135">
        <f t="shared" si="9"/>
        <v>4040</v>
      </c>
      <c r="N20" s="153">
        <v>5959554</v>
      </c>
      <c r="O20" s="135">
        <f t="shared" si="16"/>
        <v>6704</v>
      </c>
      <c r="P20" s="156">
        <v>5277874</v>
      </c>
      <c r="Q20" s="135">
        <f t="shared" si="10"/>
        <v>8856</v>
      </c>
      <c r="R20" s="153">
        <v>19014439</v>
      </c>
      <c r="S20" s="135">
        <f t="shared" si="11"/>
        <v>8631</v>
      </c>
      <c r="T20" s="160">
        <v>0</v>
      </c>
      <c r="U20" s="157"/>
      <c r="V20" s="153">
        <v>6833915</v>
      </c>
      <c r="W20" s="135">
        <f t="shared" si="12"/>
        <v>9344</v>
      </c>
      <c r="X20" s="22">
        <f t="shared" si="13"/>
        <v>42307</v>
      </c>
      <c r="Y20" s="161">
        <f t="shared" si="14"/>
        <v>10217</v>
      </c>
      <c r="Z20" s="162">
        <f t="shared" si="15"/>
        <v>6615.3958000000002</v>
      </c>
      <c r="AA20" s="162">
        <f t="shared" si="17"/>
        <v>29578.520067199999</v>
      </c>
    </row>
    <row r="21" spans="1:27" s="136" customFormat="1" ht="16.5" thickBot="1" x14ac:dyDescent="0.3">
      <c r="A21" s="10">
        <v>44488</v>
      </c>
      <c r="B21" s="44">
        <v>307</v>
      </c>
      <c r="C21" s="152">
        <v>19016</v>
      </c>
      <c r="D21" s="44">
        <f t="shared" si="4"/>
        <v>640</v>
      </c>
      <c r="E21" s="153">
        <v>28422158</v>
      </c>
      <c r="F21" s="44">
        <f t="shared" si="5"/>
        <v>14146</v>
      </c>
      <c r="G21" s="154">
        <v>90201551</v>
      </c>
      <c r="H21" s="44">
        <f t="shared" si="6"/>
        <v>52433</v>
      </c>
      <c r="I21" s="159">
        <f t="shared" si="7"/>
        <v>66579</v>
      </c>
      <c r="J21" s="153">
        <v>8884829</v>
      </c>
      <c r="K21" s="44">
        <f t="shared" si="8"/>
        <v>6154</v>
      </c>
      <c r="L21" s="156">
        <v>8818021</v>
      </c>
      <c r="M21" s="135">
        <f t="shared" si="9"/>
        <v>5533</v>
      </c>
      <c r="N21" s="153">
        <v>5963339</v>
      </c>
      <c r="O21" s="135">
        <f t="shared" si="16"/>
        <v>7570</v>
      </c>
      <c r="P21" s="156">
        <v>5288947</v>
      </c>
      <c r="Q21" s="135">
        <f t="shared" si="10"/>
        <v>11073</v>
      </c>
      <c r="R21" s="153">
        <v>19025293</v>
      </c>
      <c r="S21" s="135">
        <f t="shared" si="11"/>
        <v>10854</v>
      </c>
      <c r="T21" s="160">
        <v>0</v>
      </c>
      <c r="U21" s="157"/>
      <c r="V21" s="153">
        <v>6845507</v>
      </c>
      <c r="W21" s="135">
        <f t="shared" si="12"/>
        <v>11592</v>
      </c>
      <c r="X21" s="22">
        <f t="shared" si="13"/>
        <v>52776</v>
      </c>
      <c r="Y21" s="161">
        <f t="shared" si="14"/>
        <v>13803</v>
      </c>
      <c r="Z21" s="162">
        <f t="shared" si="15"/>
        <v>8146.8952031999997</v>
      </c>
      <c r="AA21" s="162">
        <f t="shared" si="17"/>
        <v>29513.776531200005</v>
      </c>
    </row>
    <row r="22" spans="1:27" ht="16.5" thickBot="1" x14ac:dyDescent="0.3">
      <c r="A22" s="10">
        <v>44489</v>
      </c>
      <c r="B22" s="44">
        <v>254</v>
      </c>
      <c r="C22" s="152">
        <v>19021</v>
      </c>
      <c r="D22" s="44">
        <f t="shared" si="4"/>
        <v>800</v>
      </c>
      <c r="E22" s="153">
        <v>28437208</v>
      </c>
      <c r="F22" s="44">
        <f t="shared" si="5"/>
        <v>15050</v>
      </c>
      <c r="G22" s="154">
        <v>90254800</v>
      </c>
      <c r="H22" s="44">
        <f t="shared" si="6"/>
        <v>53249</v>
      </c>
      <c r="I22" s="155">
        <f t="shared" si="7"/>
        <v>68299</v>
      </c>
      <c r="J22" s="153">
        <v>8891315</v>
      </c>
      <c r="K22" s="44">
        <f t="shared" si="8"/>
        <v>6486</v>
      </c>
      <c r="L22" s="156">
        <v>8823814</v>
      </c>
      <c r="M22" s="44">
        <f t="shared" si="9"/>
        <v>5793</v>
      </c>
      <c r="N22" s="153">
        <v>5968344</v>
      </c>
      <c r="O22" s="44">
        <f t="shared" si="16"/>
        <v>10010</v>
      </c>
      <c r="P22" s="156">
        <v>5300873</v>
      </c>
      <c r="Q22" s="44">
        <f t="shared" si="10"/>
        <v>11926</v>
      </c>
      <c r="R22" s="153">
        <v>19037160</v>
      </c>
      <c r="S22" s="44">
        <f t="shared" si="11"/>
        <v>11867</v>
      </c>
      <c r="T22" s="153">
        <v>0</v>
      </c>
      <c r="U22" s="157"/>
      <c r="V22" s="153">
        <v>6858672</v>
      </c>
      <c r="W22" s="44">
        <f t="shared" si="12"/>
        <v>13165</v>
      </c>
      <c r="X22" s="22">
        <f t="shared" si="13"/>
        <v>59247</v>
      </c>
      <c r="Y22" s="158">
        <f t="shared" si="14"/>
        <v>9052</v>
      </c>
      <c r="Z22" s="3">
        <f t="shared" si="15"/>
        <v>9251.2777344000006</v>
      </c>
      <c r="AA22" s="3">
        <f t="shared" si="17"/>
        <v>31625.1736112</v>
      </c>
    </row>
    <row r="23" spans="1:27" ht="16.5" thickBot="1" x14ac:dyDescent="0.3">
      <c r="A23" s="10">
        <v>44490</v>
      </c>
      <c r="B23" s="44">
        <v>306</v>
      </c>
      <c r="C23" s="152">
        <v>19025</v>
      </c>
      <c r="D23" s="44">
        <f t="shared" si="4"/>
        <v>640</v>
      </c>
      <c r="E23" s="153">
        <v>28446986</v>
      </c>
      <c r="F23" s="44">
        <f t="shared" si="5"/>
        <v>9778</v>
      </c>
      <c r="G23" s="154">
        <v>90297224</v>
      </c>
      <c r="H23" s="44">
        <f t="shared" si="6"/>
        <v>42424</v>
      </c>
      <c r="I23" s="155">
        <f t="shared" si="7"/>
        <v>52202</v>
      </c>
      <c r="J23" s="153">
        <v>8895453</v>
      </c>
      <c r="K23" s="44">
        <f t="shared" si="8"/>
        <v>4138</v>
      </c>
      <c r="L23" s="156">
        <v>8827494</v>
      </c>
      <c r="M23" s="44">
        <f t="shared" si="9"/>
        <v>3680</v>
      </c>
      <c r="N23" s="153">
        <v>5971303</v>
      </c>
      <c r="O23" s="44">
        <f t="shared" si="16"/>
        <v>5918</v>
      </c>
      <c r="P23" s="156">
        <v>5308780</v>
      </c>
      <c r="Q23" s="44">
        <f t="shared" si="10"/>
        <v>7907</v>
      </c>
      <c r="R23" s="153">
        <v>19045000</v>
      </c>
      <c r="S23" s="44">
        <f t="shared" si="11"/>
        <v>7840</v>
      </c>
      <c r="T23" s="153">
        <v>0</v>
      </c>
      <c r="U23" s="157"/>
      <c r="V23" s="153">
        <v>6867167</v>
      </c>
      <c r="W23" s="44">
        <f t="shared" si="12"/>
        <v>8495</v>
      </c>
      <c r="X23" s="22">
        <f t="shared" si="13"/>
        <v>37978</v>
      </c>
      <c r="Y23" s="158">
        <f t="shared" si="14"/>
        <v>14224</v>
      </c>
      <c r="Z23" s="3">
        <f t="shared" si="15"/>
        <v>5966.170392</v>
      </c>
      <c r="AA23" s="3">
        <f t="shared" si="17"/>
        <v>29979.739129599999</v>
      </c>
    </row>
    <row r="24" spans="1:27" ht="16.5" thickBot="1" x14ac:dyDescent="0.3">
      <c r="A24" s="10">
        <v>44491</v>
      </c>
      <c r="B24" s="44">
        <v>278</v>
      </c>
      <c r="C24" s="152">
        <v>19029</v>
      </c>
      <c r="D24" s="44">
        <f t="shared" si="4"/>
        <v>640</v>
      </c>
      <c r="E24" s="153">
        <v>28461169</v>
      </c>
      <c r="F24" s="44">
        <f t="shared" si="5"/>
        <v>14183</v>
      </c>
      <c r="G24" s="154">
        <v>90352041</v>
      </c>
      <c r="H24" s="44">
        <f t="shared" si="6"/>
        <v>54817</v>
      </c>
      <c r="I24" s="155">
        <f t="shared" si="7"/>
        <v>69000</v>
      </c>
      <c r="J24" s="153">
        <v>8900918</v>
      </c>
      <c r="K24" s="44">
        <f t="shared" si="8"/>
        <v>5465</v>
      </c>
      <c r="L24" s="156">
        <v>8832730</v>
      </c>
      <c r="M24" s="44">
        <f t="shared" si="9"/>
        <v>5236</v>
      </c>
      <c r="N24" s="153">
        <v>5975675</v>
      </c>
      <c r="O24" s="44">
        <f t="shared" si="16"/>
        <v>8744</v>
      </c>
      <c r="P24" s="156">
        <v>5320148</v>
      </c>
      <c r="Q24" s="44">
        <f t="shared" si="10"/>
        <v>11368</v>
      </c>
      <c r="R24" s="153">
        <v>19056388</v>
      </c>
      <c r="S24" s="44">
        <f t="shared" si="11"/>
        <v>11388</v>
      </c>
      <c r="T24" s="153">
        <v>0</v>
      </c>
      <c r="U24" s="157"/>
      <c r="V24" s="153">
        <v>6879764</v>
      </c>
      <c r="W24" s="44">
        <f t="shared" si="12"/>
        <v>12597</v>
      </c>
      <c r="X24" s="22">
        <f t="shared" si="13"/>
        <v>54798</v>
      </c>
      <c r="Y24" s="158">
        <f t="shared" si="14"/>
        <v>14202</v>
      </c>
      <c r="Z24" s="3">
        <f t="shared" si="15"/>
        <v>8733.0980879999988</v>
      </c>
      <c r="AA24" s="3">
        <f t="shared" si="17"/>
        <v>32097.441417599999</v>
      </c>
    </row>
    <row r="25" spans="1:27" ht="16.5" thickBot="1" x14ac:dyDescent="0.3">
      <c r="A25" s="10">
        <v>44492</v>
      </c>
      <c r="B25" s="44">
        <v>227</v>
      </c>
      <c r="C25" s="152">
        <v>19033</v>
      </c>
      <c r="D25" s="44">
        <f t="shared" si="4"/>
        <v>640</v>
      </c>
      <c r="E25" s="153">
        <v>28472886</v>
      </c>
      <c r="F25" s="44">
        <f t="shared" si="5"/>
        <v>11717</v>
      </c>
      <c r="G25" s="154">
        <v>90397325</v>
      </c>
      <c r="H25" s="44">
        <f t="shared" si="6"/>
        <v>45284</v>
      </c>
      <c r="I25" s="155">
        <f t="shared" si="7"/>
        <v>57001</v>
      </c>
      <c r="J25" s="153">
        <v>8905650</v>
      </c>
      <c r="K25" s="44">
        <f t="shared" si="8"/>
        <v>4732</v>
      </c>
      <c r="L25" s="156">
        <v>8837061</v>
      </c>
      <c r="M25" s="44">
        <f t="shared" si="9"/>
        <v>4331</v>
      </c>
      <c r="N25" s="153">
        <v>5979310</v>
      </c>
      <c r="O25" s="44">
        <f t="shared" si="16"/>
        <v>7270</v>
      </c>
      <c r="P25" s="156">
        <v>5329672</v>
      </c>
      <c r="Q25" s="44">
        <f t="shared" si="10"/>
        <v>9524</v>
      </c>
      <c r="R25" s="153">
        <v>19066055</v>
      </c>
      <c r="S25" s="44">
        <f t="shared" si="11"/>
        <v>9667</v>
      </c>
      <c r="T25" s="153">
        <v>0</v>
      </c>
      <c r="U25" s="157"/>
      <c r="V25" s="153">
        <v>6890033</v>
      </c>
      <c r="W25" s="44">
        <f t="shared" si="12"/>
        <v>10269</v>
      </c>
      <c r="X25" s="22">
        <f t="shared" si="13"/>
        <v>45793</v>
      </c>
      <c r="Y25" s="158">
        <f t="shared" si="14"/>
        <v>11208</v>
      </c>
      <c r="Z25" s="3">
        <f t="shared" si="15"/>
        <v>7270.0040191999997</v>
      </c>
      <c r="AA25" s="3">
        <f t="shared" si="17"/>
        <v>31220.550233599999</v>
      </c>
    </row>
    <row r="26" spans="1:27" ht="16.5" thickBot="1" x14ac:dyDescent="0.3">
      <c r="A26" s="10">
        <v>44493</v>
      </c>
      <c r="B26" s="44">
        <v>231</v>
      </c>
      <c r="C26" s="152">
        <v>19037</v>
      </c>
      <c r="D26" s="44">
        <f t="shared" si="4"/>
        <v>640</v>
      </c>
      <c r="E26" s="153">
        <v>28488406</v>
      </c>
      <c r="F26" s="44">
        <f t="shared" si="5"/>
        <v>15520</v>
      </c>
      <c r="G26" s="154">
        <v>90458071</v>
      </c>
      <c r="H26" s="44">
        <f t="shared" si="6"/>
        <v>60746</v>
      </c>
      <c r="I26" s="155">
        <f t="shared" si="7"/>
        <v>76266</v>
      </c>
      <c r="J26" s="153">
        <v>8912313</v>
      </c>
      <c r="K26" s="44">
        <f t="shared" si="8"/>
        <v>6663</v>
      </c>
      <c r="L26" s="156">
        <v>8842849</v>
      </c>
      <c r="M26" s="44">
        <f t="shared" si="9"/>
        <v>5788</v>
      </c>
      <c r="N26" s="153">
        <v>5984068</v>
      </c>
      <c r="O26" s="44">
        <f t="shared" si="16"/>
        <v>9516</v>
      </c>
      <c r="P26" s="156">
        <v>5342158</v>
      </c>
      <c r="Q26" s="44">
        <f t="shared" si="10"/>
        <v>12486</v>
      </c>
      <c r="R26" s="153">
        <v>19078368</v>
      </c>
      <c r="S26" s="44">
        <f t="shared" si="11"/>
        <v>12313</v>
      </c>
      <c r="T26" s="153">
        <v>0</v>
      </c>
      <c r="U26" s="157"/>
      <c r="V26" s="153">
        <v>6903944</v>
      </c>
      <c r="W26" s="44">
        <f t="shared" si="12"/>
        <v>13911</v>
      </c>
      <c r="X26" s="22">
        <f t="shared" si="13"/>
        <v>60677</v>
      </c>
      <c r="Y26" s="158">
        <f t="shared" si="14"/>
        <v>15589</v>
      </c>
      <c r="Z26" s="3">
        <f t="shared" si="15"/>
        <v>9550.1489408000016</v>
      </c>
      <c r="AA26" s="3">
        <f t="shared" si="17"/>
        <v>31519.421440000002</v>
      </c>
    </row>
    <row r="27" spans="1:27" ht="16.5" thickBot="1" x14ac:dyDescent="0.3">
      <c r="A27" s="10">
        <v>44494</v>
      </c>
      <c r="B27" s="44">
        <v>185</v>
      </c>
      <c r="C27" s="152">
        <v>19042</v>
      </c>
      <c r="D27" s="44">
        <f t="shared" si="4"/>
        <v>800</v>
      </c>
      <c r="E27" s="153">
        <v>28496824</v>
      </c>
      <c r="F27" s="44">
        <f t="shared" si="5"/>
        <v>8418</v>
      </c>
      <c r="G27" s="154">
        <v>90489970</v>
      </c>
      <c r="H27" s="44">
        <f t="shared" si="6"/>
        <v>31899</v>
      </c>
      <c r="I27" s="155">
        <f t="shared" si="7"/>
        <v>40317</v>
      </c>
      <c r="J27" s="153">
        <v>8915898</v>
      </c>
      <c r="K27" s="44">
        <f t="shared" si="8"/>
        <v>3585</v>
      </c>
      <c r="L27" s="156">
        <v>8846156</v>
      </c>
      <c r="M27" s="44">
        <f t="shared" si="9"/>
        <v>3307</v>
      </c>
      <c r="N27" s="153">
        <v>5986587</v>
      </c>
      <c r="O27" s="44">
        <f t="shared" si="16"/>
        <v>5038</v>
      </c>
      <c r="P27" s="156">
        <v>5348175</v>
      </c>
      <c r="Q27" s="44">
        <f t="shared" si="10"/>
        <v>6017</v>
      </c>
      <c r="R27" s="153">
        <v>19084910</v>
      </c>
      <c r="S27" s="44">
        <f t="shared" si="11"/>
        <v>6542</v>
      </c>
      <c r="T27" s="153">
        <v>0</v>
      </c>
      <c r="U27" s="157"/>
      <c r="V27" s="153">
        <v>6911220</v>
      </c>
      <c r="W27" s="44">
        <f t="shared" si="12"/>
        <v>7276</v>
      </c>
      <c r="X27" s="22">
        <f t="shared" si="13"/>
        <v>31765</v>
      </c>
      <c r="Y27" s="158">
        <f t="shared" si="14"/>
        <v>8552</v>
      </c>
      <c r="Z27" s="3">
        <f t="shared" si="15"/>
        <v>4954.2488736000005</v>
      </c>
      <c r="AA27" s="3">
        <f t="shared" si="17"/>
        <v>30507.4999216</v>
      </c>
    </row>
    <row r="28" spans="1:27" ht="16.5" thickBot="1" x14ac:dyDescent="0.3">
      <c r="A28" s="10">
        <v>44495</v>
      </c>
      <c r="B28" s="44">
        <v>292</v>
      </c>
      <c r="C28" s="152">
        <v>19046</v>
      </c>
      <c r="D28" s="44">
        <f t="shared" si="4"/>
        <v>640</v>
      </c>
      <c r="E28" s="153">
        <v>28514155</v>
      </c>
      <c r="F28" s="44">
        <f t="shared" si="5"/>
        <v>17331</v>
      </c>
      <c r="G28" s="154">
        <v>90540465</v>
      </c>
      <c r="H28" s="44">
        <f t="shared" si="6"/>
        <v>50495</v>
      </c>
      <c r="I28" s="155">
        <f t="shared" si="7"/>
        <v>67826</v>
      </c>
      <c r="J28" s="153">
        <v>8922022</v>
      </c>
      <c r="K28" s="44">
        <f t="shared" si="8"/>
        <v>6124</v>
      </c>
      <c r="L28" s="156">
        <v>8851918</v>
      </c>
      <c r="M28" s="44">
        <f t="shared" si="9"/>
        <v>5762</v>
      </c>
      <c r="N28" s="153">
        <v>5992268</v>
      </c>
      <c r="O28" s="44">
        <f t="shared" si="16"/>
        <v>11362</v>
      </c>
      <c r="P28" s="156">
        <v>5354366</v>
      </c>
      <c r="Q28" s="44">
        <f t="shared" si="10"/>
        <v>6191</v>
      </c>
      <c r="R28" s="153">
        <v>19096708</v>
      </c>
      <c r="S28" s="44">
        <f t="shared" si="11"/>
        <v>11798</v>
      </c>
      <c r="T28" s="153">
        <v>0</v>
      </c>
      <c r="U28" s="157"/>
      <c r="V28" s="153">
        <v>6942015</v>
      </c>
      <c r="W28" s="44">
        <f t="shared" si="12"/>
        <v>30795</v>
      </c>
      <c r="X28" s="22">
        <f t="shared" si="13"/>
        <v>72032</v>
      </c>
      <c r="Y28" s="158">
        <f t="shared" si="14"/>
        <v>-4206</v>
      </c>
      <c r="Z28" s="3">
        <f t="shared" si="15"/>
        <v>12879.0812176</v>
      </c>
      <c r="AA28" s="3">
        <f t="shared" si="17"/>
        <v>34653.483051200004</v>
      </c>
    </row>
    <row r="29" spans="1:27" ht="16.5" thickBot="1" x14ac:dyDescent="0.3">
      <c r="A29" s="10">
        <v>44496</v>
      </c>
      <c r="B29" s="44">
        <v>213</v>
      </c>
      <c r="C29" s="152">
        <v>19053</v>
      </c>
      <c r="D29" s="44">
        <f t="shared" si="4"/>
        <v>1120</v>
      </c>
      <c r="E29" s="153">
        <v>28528740</v>
      </c>
      <c r="F29" s="44">
        <f t="shared" si="5"/>
        <v>14585</v>
      </c>
      <c r="G29" s="154">
        <v>90575799</v>
      </c>
      <c r="H29" s="44">
        <f t="shared" si="6"/>
        <v>35334</v>
      </c>
      <c r="I29" s="155">
        <f t="shared" si="7"/>
        <v>49919</v>
      </c>
      <c r="J29" s="153">
        <v>8926777</v>
      </c>
      <c r="K29" s="44">
        <f t="shared" si="8"/>
        <v>4755</v>
      </c>
      <c r="L29" s="156">
        <v>8855706</v>
      </c>
      <c r="M29" s="44">
        <f t="shared" si="9"/>
        <v>3788</v>
      </c>
      <c r="N29" s="153">
        <v>5997590</v>
      </c>
      <c r="O29" s="44">
        <f t="shared" si="16"/>
        <v>10644</v>
      </c>
      <c r="P29" s="156">
        <v>5357558</v>
      </c>
      <c r="Q29" s="44">
        <f t="shared" si="10"/>
        <v>3192</v>
      </c>
      <c r="R29" s="153">
        <v>19104982</v>
      </c>
      <c r="S29" s="44">
        <f t="shared" si="11"/>
        <v>8274</v>
      </c>
      <c r="T29" s="153">
        <v>0</v>
      </c>
      <c r="U29" s="157"/>
      <c r="V29" s="153">
        <v>6933394</v>
      </c>
      <c r="W29" s="44" t="str">
        <f t="shared" si="12"/>
        <v>0</v>
      </c>
      <c r="X29" s="22">
        <f t="shared" si="13"/>
        <v>30653</v>
      </c>
      <c r="Y29" s="158">
        <f t="shared" si="14"/>
        <v>19266</v>
      </c>
      <c r="Z29" s="3">
        <f t="shared" si="15"/>
        <v>4011.2356128000001</v>
      </c>
      <c r="AA29" s="3">
        <f t="shared" si="17"/>
        <v>31394.714644800002</v>
      </c>
    </row>
    <row r="30" spans="1:27" ht="16.5" thickBot="1" x14ac:dyDescent="0.3">
      <c r="A30" s="10">
        <v>44497</v>
      </c>
      <c r="B30" s="44">
        <v>220</v>
      </c>
      <c r="C30" s="152">
        <v>19054</v>
      </c>
      <c r="D30" s="44">
        <f t="shared" si="4"/>
        <v>160</v>
      </c>
      <c r="E30" s="153">
        <v>28550700</v>
      </c>
      <c r="F30" s="44">
        <f t="shared" si="5"/>
        <v>21960</v>
      </c>
      <c r="G30" s="154">
        <v>90628848</v>
      </c>
      <c r="H30" s="44">
        <f t="shared" si="6"/>
        <v>53049</v>
      </c>
      <c r="I30" s="155">
        <f t="shared" si="7"/>
        <v>75009</v>
      </c>
      <c r="J30" s="153">
        <v>8932997</v>
      </c>
      <c r="K30" s="44">
        <f t="shared" si="8"/>
        <v>6220</v>
      </c>
      <c r="L30" s="156">
        <v>8861588</v>
      </c>
      <c r="M30" s="44">
        <f t="shared" si="9"/>
        <v>5882</v>
      </c>
      <c r="N30" s="153">
        <v>6005497</v>
      </c>
      <c r="O30" s="44">
        <f t="shared" si="16"/>
        <v>15814</v>
      </c>
      <c r="P30" s="156">
        <v>5362079</v>
      </c>
      <c r="Q30" s="44">
        <f t="shared" si="10"/>
        <v>4521</v>
      </c>
      <c r="R30" s="153">
        <v>19117848</v>
      </c>
      <c r="S30" s="44">
        <f t="shared" si="11"/>
        <v>12866</v>
      </c>
      <c r="T30" s="153">
        <v>0</v>
      </c>
      <c r="U30" s="157"/>
      <c r="V30" s="153">
        <v>6947216</v>
      </c>
      <c r="W30" s="44">
        <f t="shared" si="12"/>
        <v>13822</v>
      </c>
      <c r="X30" s="22">
        <f t="shared" si="13"/>
        <v>59125</v>
      </c>
      <c r="Y30" s="158">
        <f t="shared" si="14"/>
        <v>15884</v>
      </c>
      <c r="Z30" s="3">
        <f t="shared" si="15"/>
        <v>9421.4405376000013</v>
      </c>
      <c r="AA30" s="3">
        <f t="shared" si="17"/>
        <v>31266.0062416</v>
      </c>
    </row>
    <row r="31" spans="1:27" ht="16.5" thickBot="1" x14ac:dyDescent="0.3">
      <c r="A31" s="10">
        <v>44498</v>
      </c>
      <c r="B31" s="44">
        <v>0</v>
      </c>
      <c r="C31" s="152">
        <f t="shared" si="18"/>
        <v>19054</v>
      </c>
      <c r="D31" s="44">
        <f t="shared" si="4"/>
        <v>0</v>
      </c>
      <c r="E31" s="153">
        <f t="shared" ref="E30:E33" si="19">E30</f>
        <v>28550700</v>
      </c>
      <c r="F31" s="44">
        <f t="shared" si="5"/>
        <v>0</v>
      </c>
      <c r="G31" s="154">
        <f t="shared" ref="G30:G33" si="20">G30</f>
        <v>90628848</v>
      </c>
      <c r="H31" s="44">
        <f t="shared" si="6"/>
        <v>0</v>
      </c>
      <c r="I31" s="155">
        <f t="shared" si="7"/>
        <v>0</v>
      </c>
      <c r="J31" s="153">
        <f t="shared" ref="J30:J33" si="21">J30</f>
        <v>8932997</v>
      </c>
      <c r="K31" s="44">
        <f t="shared" si="8"/>
        <v>0</v>
      </c>
      <c r="L31" s="156">
        <f t="shared" ref="L30:L33" si="22">L30</f>
        <v>8861588</v>
      </c>
      <c r="M31" s="44">
        <f t="shared" si="9"/>
        <v>0</v>
      </c>
      <c r="N31" s="153">
        <f t="shared" ref="N30:N33" si="23">N30</f>
        <v>6005497</v>
      </c>
      <c r="O31" s="44">
        <f t="shared" si="16"/>
        <v>0</v>
      </c>
      <c r="P31" s="156">
        <f t="shared" ref="P30:P33" si="24">P30</f>
        <v>5362079</v>
      </c>
      <c r="Q31" s="44">
        <f t="shared" si="10"/>
        <v>0</v>
      </c>
      <c r="R31" s="153">
        <f t="shared" ref="R30:R33" si="25">R30</f>
        <v>19117848</v>
      </c>
      <c r="S31" s="44">
        <f t="shared" si="11"/>
        <v>0</v>
      </c>
      <c r="T31" s="153">
        <v>0</v>
      </c>
      <c r="U31" s="11"/>
      <c r="V31" s="153">
        <f t="shared" ref="V30:V33" si="26">V30</f>
        <v>6947216</v>
      </c>
      <c r="W31" s="44">
        <f t="shared" si="12"/>
        <v>0</v>
      </c>
      <c r="X31" s="22">
        <f t="shared" si="13"/>
        <v>0</v>
      </c>
      <c r="Y31" s="158">
        <f t="shared" si="14"/>
        <v>0</v>
      </c>
      <c r="Z31" s="3">
        <f t="shared" si="15"/>
        <v>0</v>
      </c>
      <c r="AA31" s="3">
        <f t="shared" si="17"/>
        <v>26311.757367999999</v>
      </c>
    </row>
    <row r="32" spans="1:27" ht="16.5" thickBot="1" x14ac:dyDescent="0.3">
      <c r="A32" s="10">
        <v>44499</v>
      </c>
      <c r="B32" s="44">
        <v>0</v>
      </c>
      <c r="C32" s="152">
        <f t="shared" si="18"/>
        <v>19054</v>
      </c>
      <c r="D32" s="44">
        <f t="shared" si="4"/>
        <v>0</v>
      </c>
      <c r="E32" s="153">
        <f t="shared" si="19"/>
        <v>28550700</v>
      </c>
      <c r="F32" s="44">
        <f t="shared" si="5"/>
        <v>0</v>
      </c>
      <c r="G32" s="154">
        <f t="shared" si="20"/>
        <v>90628848</v>
      </c>
      <c r="H32" s="44">
        <f t="shared" si="6"/>
        <v>0</v>
      </c>
      <c r="I32" s="22">
        <f>F32+H32</f>
        <v>0</v>
      </c>
      <c r="J32" s="153">
        <f t="shared" si="21"/>
        <v>8932997</v>
      </c>
      <c r="K32" s="44">
        <f t="shared" si="8"/>
        <v>0</v>
      </c>
      <c r="L32" s="156">
        <f t="shared" si="22"/>
        <v>8861588</v>
      </c>
      <c r="M32" s="44">
        <f t="shared" si="9"/>
        <v>0</v>
      </c>
      <c r="N32" s="153">
        <f t="shared" si="23"/>
        <v>6005497</v>
      </c>
      <c r="O32" s="44">
        <f t="shared" si="16"/>
        <v>0</v>
      </c>
      <c r="P32" s="156">
        <f t="shared" si="24"/>
        <v>5362079</v>
      </c>
      <c r="Q32" s="44">
        <f t="shared" si="10"/>
        <v>0</v>
      </c>
      <c r="R32" s="153">
        <f t="shared" si="25"/>
        <v>19117848</v>
      </c>
      <c r="S32" s="44">
        <f t="shared" si="11"/>
        <v>0</v>
      </c>
      <c r="T32" s="153">
        <v>0</v>
      </c>
      <c r="U32" s="11"/>
      <c r="V32" s="153">
        <f t="shared" si="26"/>
        <v>6947216</v>
      </c>
      <c r="W32" s="44">
        <f t="shared" si="12"/>
        <v>0</v>
      </c>
      <c r="X32" s="22">
        <f t="shared" si="13"/>
        <v>0</v>
      </c>
      <c r="Y32" s="158">
        <f t="shared" si="14"/>
        <v>0</v>
      </c>
      <c r="Z32" s="3">
        <f t="shared" si="15"/>
        <v>0</v>
      </c>
      <c r="AA32" s="3">
        <f t="shared" si="17"/>
        <v>13432.676150400002</v>
      </c>
    </row>
    <row r="33" spans="1:27" ht="16.5" thickBot="1" x14ac:dyDescent="0.3">
      <c r="A33" s="10">
        <v>44500</v>
      </c>
      <c r="B33" s="44">
        <v>0</v>
      </c>
      <c r="C33" s="152">
        <f t="shared" si="18"/>
        <v>19054</v>
      </c>
      <c r="D33" s="44">
        <f t="shared" si="4"/>
        <v>0</v>
      </c>
      <c r="E33" s="153">
        <f t="shared" si="19"/>
        <v>28550700</v>
      </c>
      <c r="F33" s="44">
        <f t="shared" si="5"/>
        <v>0</v>
      </c>
      <c r="G33" s="154">
        <f t="shared" si="20"/>
        <v>90628848</v>
      </c>
      <c r="H33" s="44">
        <f t="shared" si="6"/>
        <v>0</v>
      </c>
      <c r="I33" s="22">
        <f>F33+H33</f>
        <v>0</v>
      </c>
      <c r="J33" s="153">
        <f t="shared" si="21"/>
        <v>8932997</v>
      </c>
      <c r="K33" s="44">
        <f t="shared" si="8"/>
        <v>0</v>
      </c>
      <c r="L33" s="156">
        <f t="shared" si="22"/>
        <v>8861588</v>
      </c>
      <c r="M33" s="44">
        <f t="shared" si="9"/>
        <v>0</v>
      </c>
      <c r="N33" s="153">
        <f t="shared" si="23"/>
        <v>6005497</v>
      </c>
      <c r="O33" s="44">
        <f t="shared" si="16"/>
        <v>0</v>
      </c>
      <c r="P33" s="156">
        <f t="shared" si="24"/>
        <v>5362079</v>
      </c>
      <c r="Q33" s="44">
        <f t="shared" si="10"/>
        <v>0</v>
      </c>
      <c r="R33" s="153">
        <f t="shared" si="25"/>
        <v>19117848</v>
      </c>
      <c r="S33" s="44">
        <f t="shared" si="11"/>
        <v>0</v>
      </c>
      <c r="T33" s="153">
        <v>0</v>
      </c>
      <c r="U33" s="11"/>
      <c r="V33" s="153">
        <f t="shared" si="26"/>
        <v>6947216</v>
      </c>
      <c r="W33" s="44">
        <f t="shared" si="12"/>
        <v>0</v>
      </c>
      <c r="X33" s="22">
        <f t="shared" si="13"/>
        <v>0</v>
      </c>
      <c r="Y33" s="158">
        <f t="shared" si="14"/>
        <v>0</v>
      </c>
      <c r="Z33" s="3">
        <f t="shared" si="15"/>
        <v>0</v>
      </c>
      <c r="AA33" s="3">
        <f t="shared" si="17"/>
        <v>9421.4405376000013</v>
      </c>
    </row>
    <row r="34" spans="1:27" ht="16.5" thickBot="1" x14ac:dyDescent="0.3">
      <c r="A34" s="6" t="s">
        <v>23</v>
      </c>
      <c r="B34" s="144">
        <f>SUM(B2:B33)</f>
        <v>7343</v>
      </c>
      <c r="C34" s="144"/>
      <c r="D34" s="144">
        <f>SUM(D2:D33)</f>
        <v>21280</v>
      </c>
      <c r="E34" s="61">
        <v>0</v>
      </c>
      <c r="F34" s="61">
        <f>SUM(F2:F33)</f>
        <v>380945</v>
      </c>
      <c r="G34" s="61">
        <v>0</v>
      </c>
      <c r="H34" s="61">
        <f>SUM(H2:H33)</f>
        <v>1377126</v>
      </c>
      <c r="I34" s="61">
        <f>SUM(I5:I33)</f>
        <v>1643606</v>
      </c>
      <c r="J34" s="61">
        <v>0</v>
      </c>
      <c r="K34" s="61">
        <f>SUM(K2:K33)</f>
        <v>154109</v>
      </c>
      <c r="L34" s="61">
        <v>0</v>
      </c>
      <c r="M34" s="61">
        <f>SUM(M2:M33)</f>
        <v>158191</v>
      </c>
      <c r="N34" s="61">
        <v>0</v>
      </c>
      <c r="O34" s="61">
        <f>SUM(O2:O33)</f>
        <v>243318</v>
      </c>
      <c r="P34" s="61">
        <v>0</v>
      </c>
      <c r="Q34" s="61">
        <f>SUM(Q2:Q33)</f>
        <v>278304</v>
      </c>
      <c r="R34" s="61">
        <v>0</v>
      </c>
      <c r="S34" s="61">
        <f>SUM(S2:S33)</f>
        <v>286555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319909</v>
      </c>
      <c r="X34" s="61">
        <f>SUM(X5:X33)</f>
        <v>1348987</v>
      </c>
      <c r="Y34" s="61">
        <f>SUM(Y2:Y33)</f>
        <v>317685</v>
      </c>
      <c r="Z34" s="61">
        <f>SUM(Z2:Z33)</f>
        <v>222712.20474879997</v>
      </c>
      <c r="AA34" s="61" t="e">
        <f>SUM(AA2:AA33)</f>
        <v>#REF!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L30" sqref="L3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44469</v>
      </c>
      <c r="B2" s="3">
        <v>426643</v>
      </c>
      <c r="C2" s="44">
        <v>0</v>
      </c>
      <c r="D2" s="3">
        <v>4377000</v>
      </c>
      <c r="E2" s="44">
        <v>0</v>
      </c>
      <c r="F2" s="3">
        <v>5798600</v>
      </c>
      <c r="G2" s="44">
        <v>0</v>
      </c>
      <c r="H2" s="3">
        <v>750150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44470</v>
      </c>
      <c r="B3" s="3">
        <v>426751</v>
      </c>
      <c r="C3" s="44">
        <f t="shared" ref="C3:C8" si="2">(IF((B3-B2)&lt;0,"0",(B3-B2)))*10</f>
        <v>1080</v>
      </c>
      <c r="D3" s="3">
        <v>4377000</v>
      </c>
      <c r="E3" s="44">
        <f>(IF((D3-D2)&lt;0,"0",(D3-D2)))*0.027</f>
        <v>0</v>
      </c>
      <c r="F3" s="3">
        <v>5819000</v>
      </c>
      <c r="G3" s="44">
        <f>(IF((F3-F2)&lt;0,"0",(F3-F2)))*0.027</f>
        <v>550.79999999999995</v>
      </c>
      <c r="H3" s="3">
        <v>750313</v>
      </c>
      <c r="I3" s="49">
        <f>(IF((H3-H2)&lt;0,"0",(H3-H2)))*0.027</f>
        <v>4.4009999999999998</v>
      </c>
      <c r="J3" s="22">
        <f>C3+E3+G3+I3</f>
        <v>1635.201</v>
      </c>
      <c r="K3" s="23">
        <f>J3*5.86</f>
        <v>9582.2778600000001</v>
      </c>
    </row>
    <row r="4" spans="1:14" ht="16.5" thickBot="1" x14ac:dyDescent="0.3">
      <c r="A4" s="10">
        <v>44471</v>
      </c>
      <c r="B4" s="3">
        <v>426860</v>
      </c>
      <c r="C4" s="44">
        <f t="shared" si="2"/>
        <v>1090</v>
      </c>
      <c r="D4" s="3">
        <v>4377000</v>
      </c>
      <c r="E4" s="44">
        <f t="shared" ref="E4:E33" si="3">(IF((D4-D3)&lt;0,"0",(D4-D3)))*0.027</f>
        <v>0</v>
      </c>
      <c r="F4" s="3">
        <v>5838000</v>
      </c>
      <c r="G4" s="44">
        <f>(IF((F4-F3)&lt;0,"0",(F4-F3)))*0.027</f>
        <v>513</v>
      </c>
      <c r="H4" s="3">
        <v>750486</v>
      </c>
      <c r="I4" s="49">
        <f>(IF((H4-H3)&lt;0,"0",(H4-H3)))*0.027</f>
        <v>4.6710000000000003</v>
      </c>
      <c r="J4" s="22">
        <f t="shared" ref="J4:J33" si="4">C4+E4+G4+I4</f>
        <v>1607.671</v>
      </c>
      <c r="K4" s="23">
        <f t="shared" ref="K4:K33" si="5">J4*5.86</f>
        <v>9420.9520600000014</v>
      </c>
    </row>
    <row r="5" spans="1:14" ht="16.5" thickBot="1" x14ac:dyDescent="0.3">
      <c r="A5" s="10">
        <v>44472</v>
      </c>
      <c r="B5" s="3">
        <v>426962</v>
      </c>
      <c r="C5" s="44">
        <f t="shared" si="2"/>
        <v>1020</v>
      </c>
      <c r="D5" s="3">
        <v>4377300</v>
      </c>
      <c r="E5" s="44">
        <f t="shared" si="3"/>
        <v>8.1</v>
      </c>
      <c r="F5" s="3">
        <v>5856300</v>
      </c>
      <c r="G5" s="44">
        <f t="shared" ref="G5:G33" si="6">(IF((F5-F4)&lt;0,"0",(F5-F4)))*0.027</f>
        <v>494.1</v>
      </c>
      <c r="H5" s="3">
        <v>750675</v>
      </c>
      <c r="I5" s="49">
        <f t="shared" ref="I5:I33" si="7">(IF((H5-H4)&lt;0,"0",(H5-H4)))*0.027</f>
        <v>5.1029999999999998</v>
      </c>
      <c r="J5" s="22">
        <f t="shared" si="4"/>
        <v>1527.3029999999999</v>
      </c>
      <c r="K5" s="23">
        <f t="shared" si="5"/>
        <v>8949.9955800000007</v>
      </c>
    </row>
    <row r="6" spans="1:14" ht="16.5" thickBot="1" x14ac:dyDescent="0.3">
      <c r="A6" s="10">
        <v>44473</v>
      </c>
      <c r="B6" s="3">
        <v>427064</v>
      </c>
      <c r="C6" s="44">
        <f t="shared" si="2"/>
        <v>1020</v>
      </c>
      <c r="D6" s="3">
        <v>4377000</v>
      </c>
      <c r="E6" s="44">
        <f t="shared" si="3"/>
        <v>0</v>
      </c>
      <c r="F6" s="3">
        <v>5874000</v>
      </c>
      <c r="G6" s="44">
        <f t="shared" si="6"/>
        <v>477.9</v>
      </c>
      <c r="H6" s="3">
        <v>750864</v>
      </c>
      <c r="I6" s="49">
        <f t="shared" si="7"/>
        <v>5.1029999999999998</v>
      </c>
      <c r="J6" s="22">
        <f t="shared" si="4"/>
        <v>1503.0030000000002</v>
      </c>
      <c r="K6" s="23">
        <f t="shared" si="5"/>
        <v>8807.5975800000015</v>
      </c>
    </row>
    <row r="7" spans="1:14" ht="16.5" thickBot="1" x14ac:dyDescent="0.3">
      <c r="A7" s="10">
        <v>44474</v>
      </c>
      <c r="B7" s="3">
        <v>427174</v>
      </c>
      <c r="C7" s="44">
        <f t="shared" si="2"/>
        <v>1100</v>
      </c>
      <c r="D7" s="3">
        <v>4377000</v>
      </c>
      <c r="E7" s="44">
        <f t="shared" si="3"/>
        <v>0</v>
      </c>
      <c r="F7" s="3">
        <v>5892000</v>
      </c>
      <c r="G7" s="44">
        <f t="shared" si="6"/>
        <v>486</v>
      </c>
      <c r="H7" s="3">
        <v>751056</v>
      </c>
      <c r="I7" s="49">
        <f t="shared" si="7"/>
        <v>5.1840000000000002</v>
      </c>
      <c r="J7" s="22">
        <f t="shared" si="4"/>
        <v>1591.184</v>
      </c>
      <c r="K7" s="23">
        <f t="shared" si="5"/>
        <v>9324.338240000001</v>
      </c>
      <c r="L7" t="s">
        <v>12</v>
      </c>
      <c r="N7" t="s">
        <v>12</v>
      </c>
    </row>
    <row r="8" spans="1:14" ht="16.5" thickBot="1" x14ac:dyDescent="0.3">
      <c r="A8" s="10">
        <v>44475</v>
      </c>
      <c r="B8" s="3">
        <v>427284</v>
      </c>
      <c r="C8" s="44">
        <f t="shared" si="2"/>
        <v>1100</v>
      </c>
      <c r="D8" s="3">
        <v>4377000</v>
      </c>
      <c r="E8" s="44">
        <f t="shared" si="3"/>
        <v>0</v>
      </c>
      <c r="F8" s="3">
        <v>5909200</v>
      </c>
      <c r="G8" s="44">
        <f t="shared" si="6"/>
        <v>464.4</v>
      </c>
      <c r="H8" s="3">
        <v>751250</v>
      </c>
      <c r="I8" s="49">
        <f t="shared" si="7"/>
        <v>5.2379999999999995</v>
      </c>
      <c r="J8" s="22">
        <f t="shared" si="4"/>
        <v>1569.6380000000001</v>
      </c>
      <c r="K8" s="23">
        <f t="shared" si="5"/>
        <v>9198.0786800000005</v>
      </c>
    </row>
    <row r="9" spans="1:14" ht="16.5" thickBot="1" x14ac:dyDescent="0.3">
      <c r="A9" s="10">
        <v>44476</v>
      </c>
      <c r="B9" s="3">
        <v>427377</v>
      </c>
      <c r="C9" s="44">
        <f t="shared" ref="C9:C33" si="8">(IF((B9-B8)&lt;0,"0",(B9-B8)))*10</f>
        <v>930</v>
      </c>
      <c r="D9" s="3">
        <v>4377000</v>
      </c>
      <c r="E9" s="44">
        <f t="shared" si="3"/>
        <v>0</v>
      </c>
      <c r="F9" s="3">
        <v>5928700</v>
      </c>
      <c r="G9" s="44">
        <f t="shared" si="6"/>
        <v>526.5</v>
      </c>
      <c r="H9" s="3">
        <v>751435</v>
      </c>
      <c r="I9" s="49">
        <f t="shared" si="7"/>
        <v>4.9950000000000001</v>
      </c>
      <c r="J9" s="22">
        <f t="shared" si="4"/>
        <v>1461.4949999999999</v>
      </c>
      <c r="K9" s="23">
        <f t="shared" si="5"/>
        <v>8564.3606999999993</v>
      </c>
    </row>
    <row r="10" spans="1:14" ht="16.5" thickBot="1" x14ac:dyDescent="0.3">
      <c r="A10" s="10">
        <v>44477</v>
      </c>
      <c r="B10" s="3">
        <v>427471</v>
      </c>
      <c r="C10" s="44">
        <f>(IF((B10-B9)&lt;0,"0",(B10-B9)))*10</f>
        <v>940</v>
      </c>
      <c r="D10" s="3">
        <v>4377000</v>
      </c>
      <c r="E10" s="44">
        <f t="shared" si="3"/>
        <v>0</v>
      </c>
      <c r="F10" s="3">
        <v>5947700</v>
      </c>
      <c r="G10" s="44">
        <f t="shared" si="6"/>
        <v>513</v>
      </c>
      <c r="H10" s="3">
        <v>751587</v>
      </c>
      <c r="I10" s="49">
        <f t="shared" si="7"/>
        <v>4.1040000000000001</v>
      </c>
      <c r="J10" s="22">
        <f t="shared" si="4"/>
        <v>1457.104</v>
      </c>
      <c r="K10" s="23">
        <f t="shared" si="5"/>
        <v>8538.6294400000006</v>
      </c>
    </row>
    <row r="11" spans="1:14" ht="16.5" thickBot="1" x14ac:dyDescent="0.3">
      <c r="A11" s="10">
        <v>44478</v>
      </c>
      <c r="B11" s="3">
        <v>427565</v>
      </c>
      <c r="C11" s="44">
        <f t="shared" si="8"/>
        <v>940</v>
      </c>
      <c r="D11" s="3">
        <v>4377000</v>
      </c>
      <c r="E11" s="44">
        <f t="shared" si="3"/>
        <v>0</v>
      </c>
      <c r="F11" s="3">
        <v>5969200</v>
      </c>
      <c r="G11" s="44">
        <f t="shared" si="6"/>
        <v>580.5</v>
      </c>
      <c r="H11" s="3">
        <v>751762</v>
      </c>
      <c r="I11" s="49">
        <f t="shared" si="7"/>
        <v>4.7249999999999996</v>
      </c>
      <c r="J11" s="22">
        <f t="shared" si="4"/>
        <v>1525.2249999999999</v>
      </c>
      <c r="K11" s="23">
        <f t="shared" si="5"/>
        <v>8937.8184999999994</v>
      </c>
      <c r="N11" t="s">
        <v>12</v>
      </c>
    </row>
    <row r="12" spans="1:14" ht="16.5" thickBot="1" x14ac:dyDescent="0.3">
      <c r="A12" s="10">
        <v>44479</v>
      </c>
      <c r="B12" s="3">
        <v>427717</v>
      </c>
      <c r="C12" s="44">
        <f t="shared" si="8"/>
        <v>1520</v>
      </c>
      <c r="D12" s="3">
        <v>4377000</v>
      </c>
      <c r="E12" s="44">
        <f t="shared" si="3"/>
        <v>0</v>
      </c>
      <c r="F12" s="3">
        <v>5992800</v>
      </c>
      <c r="G12" s="44">
        <f t="shared" si="6"/>
        <v>637.20000000000005</v>
      </c>
      <c r="H12" s="3">
        <v>751988</v>
      </c>
      <c r="I12" s="49">
        <f t="shared" si="7"/>
        <v>6.1020000000000003</v>
      </c>
      <c r="J12" s="22">
        <f t="shared" si="4"/>
        <v>2163.3019999999997</v>
      </c>
      <c r="K12" s="23">
        <f t="shared" si="5"/>
        <v>12676.949719999999</v>
      </c>
    </row>
    <row r="13" spans="1:14" ht="16.5" thickBot="1" x14ac:dyDescent="0.3">
      <c r="A13" s="10">
        <v>44480</v>
      </c>
      <c r="B13" s="3">
        <v>427835</v>
      </c>
      <c r="C13" s="44">
        <f t="shared" si="8"/>
        <v>1180</v>
      </c>
      <c r="D13" s="3">
        <v>4377000</v>
      </c>
      <c r="E13" s="44">
        <f t="shared" si="3"/>
        <v>0</v>
      </c>
      <c r="F13" s="3">
        <v>6010800</v>
      </c>
      <c r="G13" s="44">
        <f t="shared" si="6"/>
        <v>486</v>
      </c>
      <c r="H13" s="3">
        <v>752200</v>
      </c>
      <c r="I13" s="49">
        <f t="shared" si="7"/>
        <v>5.7240000000000002</v>
      </c>
      <c r="J13" s="22">
        <f t="shared" si="4"/>
        <v>1671.7239999999999</v>
      </c>
      <c r="K13" s="23">
        <f t="shared" si="5"/>
        <v>9796.3026399999999</v>
      </c>
    </row>
    <row r="14" spans="1:14" ht="16.5" thickBot="1" x14ac:dyDescent="0.3">
      <c r="A14" s="10">
        <v>44481</v>
      </c>
      <c r="B14" s="3">
        <v>427934</v>
      </c>
      <c r="C14" s="44">
        <f t="shared" si="8"/>
        <v>990</v>
      </c>
      <c r="D14" s="3">
        <v>4377000</v>
      </c>
      <c r="E14" s="44">
        <f t="shared" si="3"/>
        <v>0</v>
      </c>
      <c r="F14" s="3">
        <v>6029500</v>
      </c>
      <c r="G14" s="44">
        <f t="shared" si="6"/>
        <v>504.9</v>
      </c>
      <c r="H14" s="3">
        <v>752421</v>
      </c>
      <c r="I14" s="49">
        <f t="shared" si="7"/>
        <v>5.9669999999999996</v>
      </c>
      <c r="J14" s="22">
        <f t="shared" si="4"/>
        <v>1500.8670000000002</v>
      </c>
      <c r="K14" s="23">
        <f t="shared" si="5"/>
        <v>8795.0806200000025</v>
      </c>
    </row>
    <row r="15" spans="1:14" ht="16.5" thickBot="1" x14ac:dyDescent="0.3">
      <c r="A15" s="10">
        <v>44482</v>
      </c>
      <c r="B15" s="3">
        <v>428058</v>
      </c>
      <c r="C15" s="44">
        <f t="shared" si="8"/>
        <v>1240</v>
      </c>
      <c r="D15" s="3">
        <v>4377000</v>
      </c>
      <c r="E15" s="44">
        <f t="shared" si="3"/>
        <v>0</v>
      </c>
      <c r="F15" s="3">
        <v>6053000</v>
      </c>
      <c r="G15" s="44">
        <f t="shared" si="6"/>
        <v>634.5</v>
      </c>
      <c r="H15" s="3">
        <v>752630</v>
      </c>
      <c r="I15" s="49">
        <f t="shared" si="7"/>
        <v>5.6429999999999998</v>
      </c>
      <c r="J15" s="22">
        <f t="shared" si="4"/>
        <v>1880.143</v>
      </c>
      <c r="K15" s="23">
        <f t="shared" si="5"/>
        <v>11017.637980000001</v>
      </c>
    </row>
    <row r="16" spans="1:14" ht="16.5" thickBot="1" x14ac:dyDescent="0.3">
      <c r="A16" s="10">
        <v>44483</v>
      </c>
      <c r="B16" s="3">
        <v>428175</v>
      </c>
      <c r="C16" s="44">
        <f t="shared" si="8"/>
        <v>1170</v>
      </c>
      <c r="D16" s="3">
        <v>4377000</v>
      </c>
      <c r="E16" s="44">
        <f t="shared" si="3"/>
        <v>0</v>
      </c>
      <c r="F16" s="3">
        <v>6079200</v>
      </c>
      <c r="G16" s="44">
        <f t="shared" si="6"/>
        <v>707.4</v>
      </c>
      <c r="H16" s="3">
        <f t="shared" ref="H16:H33" si="9">H15</f>
        <v>752630</v>
      </c>
      <c r="I16" s="49">
        <f t="shared" si="7"/>
        <v>0</v>
      </c>
      <c r="J16" s="22">
        <f t="shared" si="4"/>
        <v>1877.4</v>
      </c>
      <c r="K16" s="23">
        <f t="shared" si="5"/>
        <v>11001.564</v>
      </c>
    </row>
    <row r="17" spans="1:25" ht="16.5" thickBot="1" x14ac:dyDescent="0.3">
      <c r="A17" s="10">
        <v>44484</v>
      </c>
      <c r="B17" s="3">
        <v>428279</v>
      </c>
      <c r="C17" s="44">
        <f t="shared" si="8"/>
        <v>1040</v>
      </c>
      <c r="D17" s="3">
        <v>4377000</v>
      </c>
      <c r="E17" s="44">
        <f t="shared" si="3"/>
        <v>0</v>
      </c>
      <c r="F17" s="3">
        <v>6100000</v>
      </c>
      <c r="G17" s="44">
        <f t="shared" si="6"/>
        <v>561.6</v>
      </c>
      <c r="H17" s="3">
        <v>753027</v>
      </c>
      <c r="I17" s="49">
        <f t="shared" si="7"/>
        <v>10.718999999999999</v>
      </c>
      <c r="J17" s="22">
        <f t="shared" si="4"/>
        <v>1612.319</v>
      </c>
      <c r="K17" s="23">
        <f t="shared" si="5"/>
        <v>9448.1893400000008</v>
      </c>
      <c r="P17" t="s">
        <v>12</v>
      </c>
      <c r="R17" t="s">
        <v>12</v>
      </c>
    </row>
    <row r="18" spans="1:25" ht="16.5" thickBot="1" x14ac:dyDescent="0.3">
      <c r="A18" s="10">
        <v>44485</v>
      </c>
      <c r="B18" s="3">
        <v>428398</v>
      </c>
      <c r="C18" s="44">
        <f t="shared" si="8"/>
        <v>1190</v>
      </c>
      <c r="D18" s="3">
        <v>4377000</v>
      </c>
      <c r="E18" s="44">
        <f t="shared" si="3"/>
        <v>0</v>
      </c>
      <c r="F18" s="3">
        <v>6125400</v>
      </c>
      <c r="G18" s="44">
        <f t="shared" si="6"/>
        <v>685.8</v>
      </c>
      <c r="H18" s="3">
        <v>753237</v>
      </c>
      <c r="I18" s="49">
        <f t="shared" si="7"/>
        <v>5.67</v>
      </c>
      <c r="J18" s="22">
        <f t="shared" si="4"/>
        <v>1881.47</v>
      </c>
      <c r="K18" s="23">
        <f t="shared" si="5"/>
        <v>11025.414200000001</v>
      </c>
      <c r="Q18" t="s">
        <v>43</v>
      </c>
    </row>
    <row r="19" spans="1:25" ht="16.5" thickBot="1" x14ac:dyDescent="0.3">
      <c r="A19" s="10">
        <v>44486</v>
      </c>
      <c r="B19" s="3">
        <v>428504</v>
      </c>
      <c r="C19" s="44">
        <f t="shared" si="8"/>
        <v>1060</v>
      </c>
      <c r="D19" s="3">
        <v>4377000</v>
      </c>
      <c r="E19" s="44">
        <f t="shared" si="3"/>
        <v>0</v>
      </c>
      <c r="F19" s="3">
        <v>6145600</v>
      </c>
      <c r="G19" s="44">
        <f t="shared" si="6"/>
        <v>545.4</v>
      </c>
      <c r="H19" s="3">
        <v>753432</v>
      </c>
      <c r="I19" s="49">
        <f t="shared" si="7"/>
        <v>5.2649999999999997</v>
      </c>
      <c r="J19" s="22">
        <f t="shared" si="4"/>
        <v>1610.6650000000002</v>
      </c>
      <c r="K19" s="23">
        <f t="shared" si="5"/>
        <v>9438.4969000000019</v>
      </c>
      <c r="Q19" t="s">
        <v>12</v>
      </c>
    </row>
    <row r="20" spans="1:25" ht="16.5" thickBot="1" x14ac:dyDescent="0.3">
      <c r="A20" s="10">
        <v>44487</v>
      </c>
      <c r="B20" s="3">
        <v>428601</v>
      </c>
      <c r="C20" s="44">
        <f t="shared" si="8"/>
        <v>970</v>
      </c>
      <c r="D20" s="3">
        <v>4377000</v>
      </c>
      <c r="E20" s="44">
        <f t="shared" si="3"/>
        <v>0</v>
      </c>
      <c r="F20" s="3">
        <v>6163800</v>
      </c>
      <c r="G20" s="44">
        <f t="shared" si="6"/>
        <v>491.4</v>
      </c>
      <c r="H20" s="3">
        <v>753625</v>
      </c>
      <c r="I20" s="49">
        <f t="shared" si="7"/>
        <v>5.2110000000000003</v>
      </c>
      <c r="J20" s="22">
        <f t="shared" si="4"/>
        <v>1466.6110000000001</v>
      </c>
      <c r="K20" s="23">
        <f t="shared" si="5"/>
        <v>8594.3404600000013</v>
      </c>
    </row>
    <row r="21" spans="1:25" ht="16.5" thickBot="1" x14ac:dyDescent="0.3">
      <c r="A21" s="10">
        <v>44488</v>
      </c>
      <c r="B21" s="3">
        <v>428710</v>
      </c>
      <c r="C21" s="44">
        <f t="shared" si="8"/>
        <v>1090</v>
      </c>
      <c r="D21" s="3">
        <v>4377000</v>
      </c>
      <c r="E21" s="44">
        <f t="shared" si="3"/>
        <v>0</v>
      </c>
      <c r="F21" s="3">
        <v>6182200</v>
      </c>
      <c r="G21" s="44">
        <f t="shared" si="6"/>
        <v>496.8</v>
      </c>
      <c r="H21" s="3">
        <v>753832</v>
      </c>
      <c r="I21" s="49">
        <f t="shared" si="7"/>
        <v>5.5889999999999995</v>
      </c>
      <c r="J21" s="22">
        <f t="shared" si="4"/>
        <v>1592.3889999999999</v>
      </c>
      <c r="K21" s="23">
        <f t="shared" si="5"/>
        <v>9331.3995400000003</v>
      </c>
    </row>
    <row r="22" spans="1:25" ht="16.5" thickBot="1" x14ac:dyDescent="0.3">
      <c r="A22" s="10">
        <v>44489</v>
      </c>
      <c r="B22" s="3">
        <v>428799</v>
      </c>
      <c r="C22" s="44">
        <f t="shared" si="8"/>
        <v>890</v>
      </c>
      <c r="D22" s="3">
        <v>4377000</v>
      </c>
      <c r="E22" s="44">
        <f t="shared" si="3"/>
        <v>0</v>
      </c>
      <c r="F22" s="3">
        <v>6196300</v>
      </c>
      <c r="G22" s="44">
        <f t="shared" si="6"/>
        <v>380.7</v>
      </c>
      <c r="H22" s="3">
        <v>754004</v>
      </c>
      <c r="I22" s="49">
        <f t="shared" si="7"/>
        <v>4.6440000000000001</v>
      </c>
      <c r="J22" s="22">
        <f t="shared" si="4"/>
        <v>1275.3440000000001</v>
      </c>
      <c r="K22" s="23">
        <f t="shared" si="5"/>
        <v>7473.5158400000009</v>
      </c>
      <c r="P22" t="s">
        <v>12</v>
      </c>
      <c r="S22" s="31" t="s">
        <v>12</v>
      </c>
    </row>
    <row r="23" spans="1:25" ht="16.5" thickBot="1" x14ac:dyDescent="0.3">
      <c r="A23" s="10">
        <v>44490</v>
      </c>
      <c r="B23" s="3">
        <v>428880</v>
      </c>
      <c r="C23" s="44">
        <f t="shared" si="8"/>
        <v>810</v>
      </c>
      <c r="D23" s="3">
        <v>4377000</v>
      </c>
      <c r="E23" s="44">
        <f t="shared" si="3"/>
        <v>0</v>
      </c>
      <c r="F23" s="3">
        <v>6213100</v>
      </c>
      <c r="G23" s="44">
        <f t="shared" si="6"/>
        <v>453.6</v>
      </c>
      <c r="H23" s="3">
        <v>754188</v>
      </c>
      <c r="I23" s="49">
        <f t="shared" si="7"/>
        <v>4.968</v>
      </c>
      <c r="J23" s="22">
        <f t="shared" si="4"/>
        <v>1268.568</v>
      </c>
      <c r="K23" s="23">
        <f t="shared" si="5"/>
        <v>7433.8084800000006</v>
      </c>
      <c r="Q23" t="s">
        <v>12</v>
      </c>
    </row>
    <row r="24" spans="1:25" ht="16.5" thickBot="1" x14ac:dyDescent="0.3">
      <c r="A24" s="10">
        <v>44491</v>
      </c>
      <c r="B24" s="3">
        <v>428977</v>
      </c>
      <c r="C24" s="44">
        <f t="shared" si="8"/>
        <v>970</v>
      </c>
      <c r="D24" s="3">
        <v>4377000</v>
      </c>
      <c r="E24" s="44">
        <f t="shared" si="3"/>
        <v>0</v>
      </c>
      <c r="F24" s="3">
        <v>6229900</v>
      </c>
      <c r="G24" s="44">
        <f t="shared" si="6"/>
        <v>453.6</v>
      </c>
      <c r="H24" s="3">
        <v>754372</v>
      </c>
      <c r="I24" s="49">
        <f t="shared" si="7"/>
        <v>4.968</v>
      </c>
      <c r="J24" s="22">
        <f t="shared" si="4"/>
        <v>1428.568</v>
      </c>
      <c r="K24" s="23">
        <f t="shared" si="5"/>
        <v>8371.4084800000001</v>
      </c>
    </row>
    <row r="25" spans="1:25" ht="17.25" customHeight="1" thickBot="1" x14ac:dyDescent="0.4">
      <c r="A25" s="10">
        <v>44492</v>
      </c>
      <c r="B25" s="3">
        <v>429178</v>
      </c>
      <c r="C25" s="44">
        <f t="shared" si="8"/>
        <v>2010</v>
      </c>
      <c r="D25" s="3">
        <v>4377000</v>
      </c>
      <c r="E25" s="44">
        <f t="shared" si="3"/>
        <v>0</v>
      </c>
      <c r="F25" s="3">
        <v>6245100</v>
      </c>
      <c r="G25" s="44">
        <f t="shared" si="6"/>
        <v>410.4</v>
      </c>
      <c r="H25" s="3">
        <v>754514</v>
      </c>
      <c r="I25" s="49">
        <f t="shared" si="7"/>
        <v>3.8340000000000001</v>
      </c>
      <c r="J25" s="22">
        <f t="shared" si="4"/>
        <v>2424.2339999999999</v>
      </c>
      <c r="K25" s="23">
        <f t="shared" si="5"/>
        <v>14206.01124</v>
      </c>
      <c r="Y25" s="60"/>
    </row>
    <row r="26" spans="1:25" ht="16.5" thickBot="1" x14ac:dyDescent="0.3">
      <c r="A26" s="10">
        <v>44493</v>
      </c>
      <c r="B26" s="3">
        <v>429314</v>
      </c>
      <c r="C26" s="44">
        <f t="shared" si="8"/>
        <v>1360</v>
      </c>
      <c r="D26" s="3">
        <v>4377000</v>
      </c>
      <c r="E26" s="44">
        <f t="shared" si="3"/>
        <v>0</v>
      </c>
      <c r="F26" s="3">
        <v>6263000</v>
      </c>
      <c r="G26" s="44">
        <f t="shared" si="6"/>
        <v>483.3</v>
      </c>
      <c r="H26" s="3">
        <v>754720</v>
      </c>
      <c r="I26" s="49">
        <f t="shared" si="7"/>
        <v>5.5620000000000003</v>
      </c>
      <c r="J26" s="22">
        <f t="shared" si="4"/>
        <v>1848.8619999999999</v>
      </c>
      <c r="K26" s="23">
        <f t="shared" si="5"/>
        <v>10834.331319999999</v>
      </c>
      <c r="L26" t="s">
        <v>12</v>
      </c>
    </row>
    <row r="27" spans="1:25" ht="16.5" thickBot="1" x14ac:dyDescent="0.3">
      <c r="A27" s="10">
        <v>44494</v>
      </c>
      <c r="B27" s="3">
        <v>429435</v>
      </c>
      <c r="C27" s="44">
        <f t="shared" si="8"/>
        <v>1210</v>
      </c>
      <c r="D27" s="3">
        <v>4377000</v>
      </c>
      <c r="E27" s="44">
        <f t="shared" si="3"/>
        <v>0</v>
      </c>
      <c r="F27" s="3">
        <v>6280000</v>
      </c>
      <c r="G27" s="44">
        <f t="shared" si="6"/>
        <v>459</v>
      </c>
      <c r="H27" s="3">
        <v>754917</v>
      </c>
      <c r="I27" s="49">
        <f t="shared" si="7"/>
        <v>5.319</v>
      </c>
      <c r="J27" s="22">
        <f t="shared" si="4"/>
        <v>1674.319</v>
      </c>
      <c r="K27" s="23">
        <f t="shared" si="5"/>
        <v>9811.5093400000005</v>
      </c>
      <c r="O27" t="s">
        <v>12</v>
      </c>
    </row>
    <row r="28" spans="1:25" ht="16.5" thickBot="1" x14ac:dyDescent="0.3">
      <c r="A28" s="10">
        <v>44495</v>
      </c>
      <c r="B28" s="3">
        <v>429550</v>
      </c>
      <c r="C28" s="44">
        <f t="shared" si="8"/>
        <v>1150</v>
      </c>
      <c r="D28" s="3">
        <v>4377000</v>
      </c>
      <c r="E28" s="44">
        <f t="shared" si="3"/>
        <v>0</v>
      </c>
      <c r="F28" s="3">
        <v>6297200</v>
      </c>
      <c r="G28" s="44">
        <f t="shared" si="6"/>
        <v>464.4</v>
      </c>
      <c r="H28" s="3">
        <v>755078</v>
      </c>
      <c r="I28" s="49">
        <f t="shared" si="7"/>
        <v>4.3469999999999995</v>
      </c>
      <c r="J28" s="22">
        <f t="shared" si="4"/>
        <v>1618.7470000000001</v>
      </c>
      <c r="K28" s="23">
        <f t="shared" si="5"/>
        <v>9485.8574200000003</v>
      </c>
    </row>
    <row r="29" spans="1:25" ht="16.5" thickBot="1" x14ac:dyDescent="0.3">
      <c r="A29" s="10">
        <v>44496</v>
      </c>
      <c r="B29" s="3">
        <v>429674</v>
      </c>
      <c r="C29" s="44">
        <f t="shared" si="8"/>
        <v>1240</v>
      </c>
      <c r="D29" s="3">
        <v>4377000</v>
      </c>
      <c r="E29" s="44">
        <f t="shared" si="3"/>
        <v>0</v>
      </c>
      <c r="F29" s="3">
        <v>6314700</v>
      </c>
      <c r="G29" s="44">
        <f t="shared" si="6"/>
        <v>472.5</v>
      </c>
      <c r="H29" s="3">
        <v>755245</v>
      </c>
      <c r="I29" s="49">
        <f t="shared" si="7"/>
        <v>4.5090000000000003</v>
      </c>
      <c r="J29" s="22">
        <f t="shared" si="4"/>
        <v>1717.009</v>
      </c>
      <c r="K29" s="23">
        <f t="shared" si="5"/>
        <v>10061.67274</v>
      </c>
    </row>
    <row r="30" spans="1:25" ht="16.5" thickBot="1" x14ac:dyDescent="0.3">
      <c r="A30" s="10">
        <v>44497</v>
      </c>
      <c r="B30" s="3">
        <v>429803</v>
      </c>
      <c r="C30" s="44">
        <f t="shared" si="8"/>
        <v>1290</v>
      </c>
      <c r="D30" s="3">
        <v>4377000</v>
      </c>
      <c r="E30" s="44">
        <f t="shared" si="3"/>
        <v>0</v>
      </c>
      <c r="F30" s="3">
        <v>6334600</v>
      </c>
      <c r="G30" s="44">
        <f t="shared" si="6"/>
        <v>537.29999999999995</v>
      </c>
      <c r="H30" s="3">
        <v>755400</v>
      </c>
      <c r="I30" s="49">
        <f t="shared" si="7"/>
        <v>4.1849999999999996</v>
      </c>
      <c r="J30" s="22">
        <f t="shared" si="4"/>
        <v>1831.4849999999999</v>
      </c>
      <c r="K30" s="23">
        <f t="shared" si="5"/>
        <v>10732.5021</v>
      </c>
    </row>
    <row r="31" spans="1:25" ht="16.5" thickBot="1" x14ac:dyDescent="0.3">
      <c r="A31" s="10">
        <v>44498</v>
      </c>
      <c r="B31" s="3">
        <f t="shared" ref="B30:B33" si="10">B30</f>
        <v>429803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ref="F30:F33" si="11">F30</f>
        <v>6334600</v>
      </c>
      <c r="G31" s="44">
        <f t="shared" si="6"/>
        <v>0</v>
      </c>
      <c r="H31" s="3">
        <f t="shared" si="9"/>
        <v>755400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44499</v>
      </c>
      <c r="B32" s="3">
        <f t="shared" si="10"/>
        <v>429803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6334600</v>
      </c>
      <c r="G32" s="44">
        <f t="shared" si="6"/>
        <v>0</v>
      </c>
      <c r="H32" s="3">
        <f t="shared" si="9"/>
        <v>755400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16.5" thickBot="1" x14ac:dyDescent="0.3">
      <c r="A33" s="10">
        <v>44500</v>
      </c>
      <c r="B33" s="3">
        <f t="shared" si="10"/>
        <v>429803</v>
      </c>
      <c r="C33" s="44">
        <f t="shared" si="8"/>
        <v>0</v>
      </c>
      <c r="D33" s="3">
        <v>4377000</v>
      </c>
      <c r="E33" s="44">
        <f t="shared" si="3"/>
        <v>0</v>
      </c>
      <c r="F33" s="3">
        <f t="shared" si="11"/>
        <v>6334600</v>
      </c>
      <c r="G33" s="44">
        <f t="shared" si="6"/>
        <v>0</v>
      </c>
      <c r="H33" s="3">
        <f t="shared" si="9"/>
        <v>755400</v>
      </c>
      <c r="I33" s="49">
        <f t="shared" si="7"/>
        <v>0</v>
      </c>
      <c r="J33" s="22">
        <f t="shared" si="4"/>
        <v>0</v>
      </c>
      <c r="K33" s="23">
        <f t="shared" si="5"/>
        <v>0</v>
      </c>
    </row>
    <row r="34" spans="1:11" ht="21" thickBot="1" x14ac:dyDescent="0.3">
      <c r="A34" s="9" t="s">
        <v>23</v>
      </c>
      <c r="B34" s="3"/>
      <c r="C34" s="61">
        <f>SUM(C3:C33)</f>
        <v>31600</v>
      </c>
      <c r="D34" s="3"/>
      <c r="E34" s="61">
        <f>SUM(E3:E33)</f>
        <v>8.1</v>
      </c>
      <c r="F34" s="3"/>
      <c r="G34" s="61">
        <f>SUM(G3:G33)</f>
        <v>14471.999999999998</v>
      </c>
      <c r="H34" s="3"/>
      <c r="I34" s="61">
        <f>SUM(I3:I33)</f>
        <v>141.75</v>
      </c>
      <c r="J34" s="61">
        <f>SUM(J3:J33)</f>
        <v>46221.850000000006</v>
      </c>
      <c r="K34" s="61">
        <f>SUM(K3:K33)</f>
        <v>270860.04100000003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7" zoomScale="80" zoomScaleNormal="55" zoomScaleSheetLayoutView="80" workbookViewId="0">
      <pane xSplit="1" topLeftCell="B1" activePane="topRight" state="frozen"/>
      <selection pane="topRight" activeCell="C32" sqref="C3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44469</v>
      </c>
      <c r="B2" s="139">
        <v>17637581</v>
      </c>
      <c r="C2" s="50">
        <v>0</v>
      </c>
    </row>
    <row r="3" spans="1:9" ht="24" thickBot="1" x14ac:dyDescent="0.4">
      <c r="A3" s="10">
        <v>44470</v>
      </c>
      <c r="B3" s="139">
        <v>17639686</v>
      </c>
      <c r="C3" s="50">
        <f>IF((B3-B2)&lt;0,"0",(B3-B2))</f>
        <v>2105</v>
      </c>
    </row>
    <row r="4" spans="1:9" ht="24" thickBot="1" x14ac:dyDescent="0.4">
      <c r="A4" s="10">
        <v>44471</v>
      </c>
      <c r="B4" s="139">
        <v>17641876</v>
      </c>
      <c r="C4" s="50">
        <f t="shared" ref="C4:C30" si="0">IF((B4-B3)&lt;0,"0",(B4-B3))</f>
        <v>2190</v>
      </c>
    </row>
    <row r="5" spans="1:9" ht="24" thickBot="1" x14ac:dyDescent="0.4">
      <c r="A5" s="10">
        <v>44472</v>
      </c>
      <c r="B5" s="139">
        <v>17643928</v>
      </c>
      <c r="C5" s="50">
        <f t="shared" si="0"/>
        <v>2052</v>
      </c>
    </row>
    <row r="6" spans="1:9" ht="24" thickBot="1" x14ac:dyDescent="0.4">
      <c r="A6" s="10">
        <v>44473</v>
      </c>
      <c r="B6" s="139">
        <v>17645989</v>
      </c>
      <c r="C6" s="50">
        <f>IF((B6-B5)&lt;0,"0",(B6-B5))</f>
        <v>2061</v>
      </c>
    </row>
    <row r="7" spans="1:9" ht="24" thickBot="1" x14ac:dyDescent="0.4">
      <c r="A7" s="10">
        <v>44474</v>
      </c>
      <c r="B7" s="139">
        <v>17647988</v>
      </c>
      <c r="C7" s="50">
        <f>IF((B7-B6)&lt;0,"0",(B7-B6))</f>
        <v>1999</v>
      </c>
    </row>
    <row r="8" spans="1:9" ht="24" thickBot="1" x14ac:dyDescent="0.4">
      <c r="A8" s="10">
        <v>44475</v>
      </c>
      <c r="B8" s="139">
        <v>17650211</v>
      </c>
      <c r="C8" s="50">
        <f>IF((B8-B7)&lt;0,"0",(B8-B7))</f>
        <v>2223</v>
      </c>
    </row>
    <row r="9" spans="1:9" ht="24" thickBot="1" x14ac:dyDescent="0.4">
      <c r="A9" s="10">
        <v>44476</v>
      </c>
      <c r="B9" s="139">
        <v>17652321</v>
      </c>
      <c r="C9" s="50">
        <f>IF((B9-B8)&lt;0,"0",(B9-B8))</f>
        <v>2110</v>
      </c>
    </row>
    <row r="10" spans="1:9" ht="24" thickBot="1" x14ac:dyDescent="0.4">
      <c r="A10" s="10">
        <v>44477</v>
      </c>
      <c r="B10" s="139">
        <v>17654350</v>
      </c>
      <c r="C10" s="50">
        <f t="shared" si="0"/>
        <v>2029</v>
      </c>
    </row>
    <row r="11" spans="1:9" ht="24" thickBot="1" x14ac:dyDescent="0.4">
      <c r="A11" s="10">
        <v>44478</v>
      </c>
      <c r="B11" s="139">
        <v>17656512</v>
      </c>
      <c r="C11" s="50">
        <f>IF((B11-B10)&lt;0,"0",(B11-B10))</f>
        <v>2162</v>
      </c>
    </row>
    <row r="12" spans="1:9" ht="24" thickBot="1" x14ac:dyDescent="0.4">
      <c r="A12" s="10">
        <v>44479</v>
      </c>
      <c r="B12" s="139">
        <v>17660787</v>
      </c>
      <c r="C12" s="50">
        <f t="shared" si="0"/>
        <v>4275</v>
      </c>
    </row>
    <row r="13" spans="1:9" ht="24" thickBot="1" x14ac:dyDescent="0.4">
      <c r="A13" s="10">
        <v>44480</v>
      </c>
      <c r="B13" s="139">
        <v>17663042</v>
      </c>
      <c r="C13" s="50">
        <f t="shared" si="0"/>
        <v>2255</v>
      </c>
    </row>
    <row r="14" spans="1:9" ht="24" thickBot="1" x14ac:dyDescent="0.4">
      <c r="A14" s="10">
        <v>44481</v>
      </c>
      <c r="B14" s="139">
        <v>17665240</v>
      </c>
      <c r="C14" s="50">
        <f t="shared" si="0"/>
        <v>2198</v>
      </c>
    </row>
    <row r="15" spans="1:9" ht="24" thickBot="1" x14ac:dyDescent="0.4">
      <c r="A15" s="10">
        <v>44482</v>
      </c>
      <c r="B15" s="139">
        <v>17667835</v>
      </c>
      <c r="C15" s="50">
        <f t="shared" si="0"/>
        <v>2595</v>
      </c>
      <c r="I15" t="s">
        <v>12</v>
      </c>
    </row>
    <row r="16" spans="1:9" ht="26.25" customHeight="1" thickBot="1" x14ac:dyDescent="0.4">
      <c r="A16" s="10">
        <v>44483</v>
      </c>
      <c r="B16" s="139">
        <v>17669754</v>
      </c>
      <c r="C16" s="50">
        <f t="shared" si="0"/>
        <v>1919</v>
      </c>
    </row>
    <row r="17" spans="1:9" ht="25.5" customHeight="1" thickBot="1" x14ac:dyDescent="0.4">
      <c r="A17" s="10">
        <v>44484</v>
      </c>
      <c r="B17" s="139">
        <v>17672342</v>
      </c>
      <c r="C17" s="50">
        <f t="shared" si="0"/>
        <v>2588</v>
      </c>
      <c r="F17" s="137"/>
    </row>
    <row r="18" spans="1:9" ht="24" thickBot="1" x14ac:dyDescent="0.4">
      <c r="A18" s="10">
        <v>44485</v>
      </c>
      <c r="B18" s="139">
        <v>17674893</v>
      </c>
      <c r="C18" s="50">
        <f t="shared" si="0"/>
        <v>2551</v>
      </c>
    </row>
    <row r="19" spans="1:9" ht="24" thickBot="1" x14ac:dyDescent="0.4">
      <c r="A19" s="10">
        <v>44486</v>
      </c>
      <c r="B19" s="139">
        <v>17677449</v>
      </c>
      <c r="C19" s="50">
        <f t="shared" si="0"/>
        <v>2556</v>
      </c>
      <c r="F19" s="139"/>
    </row>
    <row r="20" spans="1:9" ht="24" thickBot="1" x14ac:dyDescent="0.4">
      <c r="A20" s="10">
        <v>44487</v>
      </c>
      <c r="B20" s="139">
        <v>17679954</v>
      </c>
      <c r="C20" s="50">
        <f t="shared" si="0"/>
        <v>2505</v>
      </c>
    </row>
    <row r="21" spans="1:9" ht="24" thickBot="1" x14ac:dyDescent="0.4">
      <c r="A21" s="10">
        <v>44488</v>
      </c>
      <c r="B21" s="139">
        <v>17682321</v>
      </c>
      <c r="C21" s="50">
        <f t="shared" si="0"/>
        <v>2367</v>
      </c>
    </row>
    <row r="22" spans="1:9" ht="24" thickBot="1" x14ac:dyDescent="0.4">
      <c r="A22" s="10">
        <v>44489</v>
      </c>
      <c r="B22" s="139">
        <v>17684609</v>
      </c>
      <c r="C22" s="50">
        <f t="shared" si="0"/>
        <v>2288</v>
      </c>
    </row>
    <row r="23" spans="1:9" ht="24" thickBot="1" x14ac:dyDescent="0.4">
      <c r="A23" s="10">
        <v>44490</v>
      </c>
      <c r="B23" s="139">
        <v>17686753</v>
      </c>
      <c r="C23" s="50">
        <f t="shared" si="0"/>
        <v>2144</v>
      </c>
      <c r="F23" t="s">
        <v>12</v>
      </c>
    </row>
    <row r="24" spans="1:9" ht="24" thickBot="1" x14ac:dyDescent="0.4">
      <c r="A24" s="10">
        <v>44491</v>
      </c>
      <c r="B24" s="139">
        <v>17688955</v>
      </c>
      <c r="C24" s="50">
        <f t="shared" si="0"/>
        <v>2202</v>
      </c>
      <c r="E24" t="s">
        <v>12</v>
      </c>
    </row>
    <row r="25" spans="1:9" ht="24" thickBot="1" x14ac:dyDescent="0.4">
      <c r="A25" s="10">
        <v>44492</v>
      </c>
      <c r="B25" s="139">
        <v>17691099</v>
      </c>
      <c r="C25" s="50">
        <f t="shared" si="0"/>
        <v>2144</v>
      </c>
    </row>
    <row r="26" spans="1:9" ht="24" thickBot="1" x14ac:dyDescent="0.4">
      <c r="A26" s="10">
        <v>44493</v>
      </c>
      <c r="B26" s="139">
        <v>17693421</v>
      </c>
      <c r="C26" s="50">
        <f t="shared" si="0"/>
        <v>2322</v>
      </c>
    </row>
    <row r="27" spans="1:9" ht="24" thickBot="1" x14ac:dyDescent="0.4">
      <c r="A27" s="10">
        <v>44494</v>
      </c>
      <c r="B27" s="139">
        <v>17696610</v>
      </c>
      <c r="C27" s="50">
        <f t="shared" si="0"/>
        <v>3189</v>
      </c>
    </row>
    <row r="28" spans="1:9" ht="24" thickBot="1" x14ac:dyDescent="0.4">
      <c r="A28" s="10">
        <v>44495</v>
      </c>
      <c r="B28" s="139">
        <v>17698985</v>
      </c>
      <c r="C28" s="50">
        <f t="shared" si="0"/>
        <v>2375</v>
      </c>
      <c r="I28" t="s">
        <v>12</v>
      </c>
    </row>
    <row r="29" spans="1:9" ht="24" thickBot="1" x14ac:dyDescent="0.4">
      <c r="A29" s="10">
        <v>44496</v>
      </c>
      <c r="B29" s="139">
        <v>17701353</v>
      </c>
      <c r="C29" s="50">
        <f t="shared" si="0"/>
        <v>2368</v>
      </c>
    </row>
    <row r="30" spans="1:9" ht="24" thickBot="1" x14ac:dyDescent="0.4">
      <c r="A30" s="10">
        <v>44497</v>
      </c>
      <c r="B30" s="139">
        <v>17703596</v>
      </c>
      <c r="C30" s="50">
        <f t="shared" si="0"/>
        <v>2243</v>
      </c>
    </row>
    <row r="31" spans="1:9" ht="24" thickBot="1" x14ac:dyDescent="0.4">
      <c r="A31" s="10">
        <v>44498</v>
      </c>
      <c r="B31" s="139">
        <f t="shared" ref="B30:B33" si="1">B30</f>
        <v>17703596</v>
      </c>
      <c r="C31" s="50">
        <f>IF((B31-B30)&lt;0,"0",(B31-B30))</f>
        <v>0</v>
      </c>
    </row>
    <row r="32" spans="1:9" ht="24" thickBot="1" x14ac:dyDescent="0.4">
      <c r="A32" s="10">
        <v>44499</v>
      </c>
      <c r="B32" s="139">
        <f t="shared" si="1"/>
        <v>17703596</v>
      </c>
      <c r="C32" s="50">
        <f>IF((B32-B31)&lt;0,"0",(B32-B31))</f>
        <v>0</v>
      </c>
    </row>
    <row r="33" spans="1:3" ht="24" thickBot="1" x14ac:dyDescent="0.4">
      <c r="A33" s="10">
        <v>44500</v>
      </c>
      <c r="B33" s="139">
        <f t="shared" si="1"/>
        <v>17703596</v>
      </c>
      <c r="C33" s="50">
        <f>IF((B33-B32)&lt;0,"0",(B33-B32))</f>
        <v>0</v>
      </c>
    </row>
    <row r="34" spans="1:3" ht="24" thickBot="1" x14ac:dyDescent="0.4">
      <c r="A34" s="174" t="s">
        <v>138</v>
      </c>
      <c r="B34" s="175"/>
      <c r="C34" s="142">
        <f>SUM(C3:C33)</f>
        <v>66015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topLeftCell="J1" zoomScale="87" zoomScaleNormal="87" workbookViewId="0">
      <pane ySplit="1" topLeftCell="A2" activePane="bottomLeft" state="frozen"/>
      <selection pane="bottomLeft" activeCell="AD30" sqref="AD30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29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6" t="s">
        <v>143</v>
      </c>
      <c r="X1" s="177"/>
      <c r="Y1" s="177"/>
      <c r="Z1" s="177"/>
      <c r="AA1" s="178"/>
      <c r="AB1" s="176" t="s">
        <v>146</v>
      </c>
      <c r="AC1" s="177"/>
    </row>
    <row r="2" spans="1:29" ht="16.5" thickBot="1" x14ac:dyDescent="0.25">
      <c r="A2" s="10">
        <v>44469</v>
      </c>
      <c r="B2" s="168">
        <v>22345.933000000001</v>
      </c>
      <c r="C2" s="49">
        <v>0</v>
      </c>
      <c r="D2" s="33">
        <f t="shared" ref="D2" si="0">C2*1.9*1000</f>
        <v>0</v>
      </c>
      <c r="E2" s="1">
        <v>3950.819</v>
      </c>
      <c r="F2" s="49">
        <v>0</v>
      </c>
      <c r="G2" s="33">
        <f t="shared" ref="G2" si="1">F2*1.9*1000</f>
        <v>0</v>
      </c>
      <c r="H2" s="1">
        <v>4127</v>
      </c>
      <c r="I2" s="49">
        <v>0</v>
      </c>
      <c r="J2" s="33">
        <f t="shared" ref="J2" si="2">I2*1.9*1000</f>
        <v>0</v>
      </c>
      <c r="K2" s="7">
        <v>13735.26</v>
      </c>
      <c r="L2" s="49">
        <v>0</v>
      </c>
      <c r="M2" s="33">
        <f t="shared" ref="M2" si="3">L2*1.9*1000</f>
        <v>0</v>
      </c>
      <c r="N2" s="7">
        <v>3242.39</v>
      </c>
      <c r="O2" s="49">
        <v>0</v>
      </c>
      <c r="P2" s="33">
        <f t="shared" ref="P2" si="4">O2*1.9*1000</f>
        <v>0</v>
      </c>
      <c r="Q2" s="7">
        <v>5174.8900000000003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71">
        <v>44469</v>
      </c>
      <c r="X2" s="172">
        <v>147954</v>
      </c>
      <c r="Y2" s="173">
        <f t="shared" ref="Y2:Y3" si="8">X2-X1</f>
        <v>147954</v>
      </c>
      <c r="Z2" s="172">
        <v>7438</v>
      </c>
      <c r="AA2" s="173">
        <f>Z2-Z1</f>
        <v>7438</v>
      </c>
      <c r="AB2" s="172">
        <v>13</v>
      </c>
      <c r="AC2" s="35"/>
    </row>
    <row r="3" spans="1:29" ht="16.5" thickBot="1" x14ac:dyDescent="0.25">
      <c r="A3" s="10">
        <v>44470</v>
      </c>
      <c r="B3" s="168">
        <v>22354.960999999999</v>
      </c>
      <c r="C3" s="49">
        <f>IF((B3-B2)&lt;0,"0",(B3-B2))</f>
        <v>9.0279999999984284</v>
      </c>
      <c r="D3" s="33">
        <f t="shared" ref="D3:D33" si="9">C3*1.9*1000</f>
        <v>17153.199999997014</v>
      </c>
      <c r="E3" s="1">
        <v>3952.42</v>
      </c>
      <c r="F3" s="49">
        <f t="shared" ref="F3:F33" si="10">IF((E3-E2)&lt;0,"0",(E3-E2))</f>
        <v>1.6010000000001128</v>
      </c>
      <c r="G3" s="33">
        <f t="shared" ref="G3:G33" si="11">F3*1.9*1000</f>
        <v>3041.9000000002143</v>
      </c>
      <c r="H3" s="1">
        <v>4132</v>
      </c>
      <c r="I3" s="49">
        <f t="shared" ref="I3:I33" si="12">IF((H3-H2)&lt;0,"0",(H3-H2))</f>
        <v>5</v>
      </c>
      <c r="J3" s="33">
        <f t="shared" ref="J3:J33" si="13">I3*1.9*1000</f>
        <v>9500</v>
      </c>
      <c r="K3" s="7">
        <v>13737.72</v>
      </c>
      <c r="L3" s="49">
        <f t="shared" ref="L3:L33" si="14">IF((K3-K2)&lt;0,"0",(K3-K2))</f>
        <v>2.4599999999991269</v>
      </c>
      <c r="M3" s="33">
        <f t="shared" ref="M3:M33" si="15">L3*1.9*1000</f>
        <v>4673.9999999983411</v>
      </c>
      <c r="N3" s="7">
        <v>3244.1</v>
      </c>
      <c r="O3" s="49">
        <f t="shared" ref="O3:O33" si="16">IF((N3-N2)&lt;0,"0",(N3-N2))</f>
        <v>1.7100000000000364</v>
      </c>
      <c r="P3" s="33">
        <f t="shared" ref="P3:P33" si="17">O3*1.9*1000</f>
        <v>3249.0000000000691</v>
      </c>
      <c r="Q3" s="7">
        <v>5176.8500000000004</v>
      </c>
      <c r="R3" s="49">
        <f t="shared" ref="R3:R33" si="18">IF((Q3-Q2)&lt;0,"0",(Q3-Q2))</f>
        <v>1.9600000000000364</v>
      </c>
      <c r="S3" s="33">
        <f t="shared" ref="S3:S33" si="19">R3*1.9*1000</f>
        <v>3724.0000000000691</v>
      </c>
      <c r="T3" s="8">
        <f>C3+F3+I3+L3+O3+R3</f>
        <v>21.758999999997741</v>
      </c>
      <c r="U3" s="35">
        <f>T3*1.9*1000</f>
        <v>41342.099999995706</v>
      </c>
      <c r="W3" s="165">
        <v>44470</v>
      </c>
      <c r="X3" s="166">
        <f>X2+250</f>
        <v>148204</v>
      </c>
      <c r="Y3" s="173">
        <f t="shared" si="8"/>
        <v>250</v>
      </c>
      <c r="Z3" s="166">
        <f>Z2+9</f>
        <v>7447</v>
      </c>
      <c r="AA3" s="173">
        <f>Z3-Z2</f>
        <v>9</v>
      </c>
      <c r="AB3" s="172">
        <v>13</v>
      </c>
      <c r="AC3" s="35">
        <f t="shared" ref="AC3:AC8" si="20">AB3-AB2</f>
        <v>0</v>
      </c>
    </row>
    <row r="4" spans="1:29" ht="16.5" thickBot="1" x14ac:dyDescent="0.25">
      <c r="A4" s="10">
        <v>44471</v>
      </c>
      <c r="B4" s="168">
        <v>22363.688999999998</v>
      </c>
      <c r="C4" s="49">
        <f t="shared" ref="C4:C32" si="21">IF((B4-B3)&lt;0,"0",(B4-B3))</f>
        <v>8.727999999999156</v>
      </c>
      <c r="D4" s="33">
        <f t="shared" si="9"/>
        <v>16583.199999998396</v>
      </c>
      <c r="E4" s="1">
        <v>3954.1640000000002</v>
      </c>
      <c r="F4" s="49">
        <f t="shared" si="10"/>
        <v>1.7440000000001419</v>
      </c>
      <c r="G4" s="33">
        <f t="shared" si="11"/>
        <v>3313.6000000002691</v>
      </c>
      <c r="H4" s="1">
        <v>4137</v>
      </c>
      <c r="I4" s="49">
        <f t="shared" si="12"/>
        <v>5</v>
      </c>
      <c r="J4" s="33">
        <f t="shared" si="13"/>
        <v>9500</v>
      </c>
      <c r="K4" s="7">
        <v>13740.27</v>
      </c>
      <c r="L4" s="49">
        <f t="shared" si="14"/>
        <v>2.5500000000010914</v>
      </c>
      <c r="M4" s="33">
        <f t="shared" si="15"/>
        <v>4845.0000000020736</v>
      </c>
      <c r="N4" s="7">
        <v>3245.7179999999998</v>
      </c>
      <c r="O4" s="49">
        <f t="shared" si="16"/>
        <v>1.6179999999999382</v>
      </c>
      <c r="P4" s="33">
        <f t="shared" si="17"/>
        <v>3074.199999999882</v>
      </c>
      <c r="Q4" s="7">
        <v>5178.2299999999996</v>
      </c>
      <c r="R4" s="49">
        <f t="shared" si="18"/>
        <v>1.3799999999991996</v>
      </c>
      <c r="S4" s="33">
        <f t="shared" si="19"/>
        <v>2621.9999999984793</v>
      </c>
      <c r="T4" s="8">
        <f>C4+F4+I4+L4+O4+R4</f>
        <v>21.019999999999527</v>
      </c>
      <c r="U4" s="35">
        <f t="shared" ref="U4:U33" si="22">T4*1.9*1000</f>
        <v>39937.999999999098</v>
      </c>
      <c r="W4" s="165">
        <v>44471</v>
      </c>
      <c r="X4" s="166">
        <v>148499</v>
      </c>
      <c r="Y4" s="173">
        <f>X4-X3</f>
        <v>295</v>
      </c>
      <c r="Z4" s="166">
        <v>7449</v>
      </c>
      <c r="AA4" s="173">
        <f>Z4-Z3</f>
        <v>2</v>
      </c>
      <c r="AB4" s="172">
        <v>13</v>
      </c>
      <c r="AC4" s="35">
        <f t="shared" si="20"/>
        <v>0</v>
      </c>
    </row>
    <row r="5" spans="1:29" ht="16.5" thickBot="1" x14ac:dyDescent="0.25">
      <c r="A5" s="10">
        <v>44472</v>
      </c>
      <c r="B5" s="168">
        <v>22371.01</v>
      </c>
      <c r="C5" s="49">
        <f t="shared" si="21"/>
        <v>7.3209999999999127</v>
      </c>
      <c r="D5" s="33">
        <f t="shared" si="9"/>
        <v>13909.899999999834</v>
      </c>
      <c r="E5" s="1">
        <v>3956.1790000000001</v>
      </c>
      <c r="F5" s="49">
        <f t="shared" si="10"/>
        <v>2.0149999999998727</v>
      </c>
      <c r="G5" s="33">
        <f t="shared" si="11"/>
        <v>3828.4999999997581</v>
      </c>
      <c r="H5" s="1">
        <v>4143</v>
      </c>
      <c r="I5" s="49">
        <f t="shared" si="12"/>
        <v>6</v>
      </c>
      <c r="J5" s="33">
        <f t="shared" si="13"/>
        <v>11399.999999999998</v>
      </c>
      <c r="K5" s="7">
        <v>13742.32</v>
      </c>
      <c r="L5" s="49">
        <f t="shared" si="14"/>
        <v>2.0499999999992724</v>
      </c>
      <c r="M5" s="33">
        <f t="shared" si="15"/>
        <v>3894.9999999986176</v>
      </c>
      <c r="N5" s="7">
        <v>3247.18</v>
      </c>
      <c r="O5" s="49">
        <f t="shared" si="16"/>
        <v>1.4619999999999891</v>
      </c>
      <c r="P5" s="33">
        <f t="shared" si="17"/>
        <v>2777.7999999999793</v>
      </c>
      <c r="Q5" s="7">
        <v>5180.7700000000004</v>
      </c>
      <c r="R5" s="49">
        <f t="shared" si="18"/>
        <v>2.5400000000008731</v>
      </c>
      <c r="S5" s="33">
        <f t="shared" si="19"/>
        <v>4826.0000000016589</v>
      </c>
      <c r="T5" s="8">
        <f>C5+F5+I5+L5+O5+R5</f>
        <v>21.38799999999992</v>
      </c>
      <c r="U5" s="35">
        <f t="shared" si="22"/>
        <v>40637.199999999844</v>
      </c>
      <c r="W5" s="165">
        <v>44472</v>
      </c>
      <c r="X5" s="166">
        <v>148752</v>
      </c>
      <c r="Y5" s="35">
        <f t="shared" ref="Y5:Y33" si="23">X5-X4</f>
        <v>253</v>
      </c>
      <c r="Z5" s="166">
        <v>7455</v>
      </c>
      <c r="AA5" s="35">
        <f t="shared" ref="AA5:AA33" si="24">Z5-Z4</f>
        <v>6</v>
      </c>
      <c r="AB5" s="172">
        <v>13</v>
      </c>
      <c r="AC5" s="35">
        <f t="shared" si="20"/>
        <v>0</v>
      </c>
    </row>
    <row r="6" spans="1:29" ht="16.5" thickBot="1" x14ac:dyDescent="0.25">
      <c r="A6" s="10">
        <v>44473</v>
      </c>
      <c r="B6" s="168">
        <v>22378.124</v>
      </c>
      <c r="C6" s="49">
        <f t="shared" si="21"/>
        <v>7.114000000001397</v>
      </c>
      <c r="D6" s="33">
        <f t="shared" si="9"/>
        <v>13516.600000002654</v>
      </c>
      <c r="E6" s="1">
        <v>3958.5659999999998</v>
      </c>
      <c r="F6" s="49">
        <f t="shared" si="10"/>
        <v>2.3869999999997162</v>
      </c>
      <c r="G6" s="33">
        <f t="shared" si="11"/>
        <v>4535.2999999994599</v>
      </c>
      <c r="H6" s="1">
        <v>4149</v>
      </c>
      <c r="I6" s="49">
        <f t="shared" si="12"/>
        <v>6</v>
      </c>
      <c r="J6" s="33">
        <f t="shared" si="13"/>
        <v>11399.999999999998</v>
      </c>
      <c r="K6" s="7">
        <v>13744.58</v>
      </c>
      <c r="L6" s="49">
        <f t="shared" si="14"/>
        <v>2.2600000000002183</v>
      </c>
      <c r="M6" s="33">
        <f t="shared" si="15"/>
        <v>4294.0000000004147</v>
      </c>
      <c r="N6" s="7">
        <v>3248.663</v>
      </c>
      <c r="O6" s="49">
        <f t="shared" si="16"/>
        <v>1.4830000000001746</v>
      </c>
      <c r="P6" s="33">
        <f t="shared" si="17"/>
        <v>2817.7000000003318</v>
      </c>
      <c r="Q6" s="7">
        <v>5182.8999999999996</v>
      </c>
      <c r="R6" s="49">
        <f t="shared" si="18"/>
        <v>2.1299999999991996</v>
      </c>
      <c r="S6" s="33">
        <f t="shared" si="19"/>
        <v>4046.9999999984793</v>
      </c>
      <c r="T6" s="8">
        <f t="shared" ref="T6:T33" si="25">C6+F6+I6+L6+O6+R6</f>
        <v>21.374000000000706</v>
      </c>
      <c r="U6" s="35">
        <f t="shared" si="22"/>
        <v>40610.600000001345</v>
      </c>
      <c r="W6" s="165">
        <v>44473</v>
      </c>
      <c r="X6" s="166">
        <v>148990</v>
      </c>
      <c r="Y6" s="35">
        <f t="shared" si="23"/>
        <v>238</v>
      </c>
      <c r="Z6" s="166">
        <v>7462</v>
      </c>
      <c r="AA6" s="35">
        <f t="shared" si="24"/>
        <v>7</v>
      </c>
      <c r="AB6" s="172">
        <v>13</v>
      </c>
      <c r="AC6" s="35">
        <f t="shared" si="20"/>
        <v>0</v>
      </c>
    </row>
    <row r="7" spans="1:29" ht="16.5" thickBot="1" x14ac:dyDescent="0.25">
      <c r="A7" s="10">
        <v>44474</v>
      </c>
      <c r="B7" s="168">
        <v>22385.255000000001</v>
      </c>
      <c r="C7" s="49">
        <f t="shared" si="21"/>
        <v>7.1310000000012224</v>
      </c>
      <c r="D7" s="33">
        <f t="shared" si="9"/>
        <v>13548.900000002321</v>
      </c>
      <c r="E7" s="1">
        <v>3961.6039999999998</v>
      </c>
      <c r="F7" s="49">
        <f t="shared" si="10"/>
        <v>3.0380000000000109</v>
      </c>
      <c r="G7" s="33">
        <f t="shared" si="11"/>
        <v>5772.2000000000198</v>
      </c>
      <c r="H7" s="1">
        <v>4155</v>
      </c>
      <c r="I7" s="49">
        <f t="shared" si="12"/>
        <v>6</v>
      </c>
      <c r="J7" s="33">
        <f t="shared" si="13"/>
        <v>11399.999999999998</v>
      </c>
      <c r="K7" s="7">
        <v>13747.34</v>
      </c>
      <c r="L7" s="49">
        <f t="shared" si="14"/>
        <v>2.7600000000002183</v>
      </c>
      <c r="M7" s="33">
        <f t="shared" si="15"/>
        <v>5244.0000000004147</v>
      </c>
      <c r="N7" s="7">
        <v>3250.3139999999999</v>
      </c>
      <c r="O7" s="49">
        <f t="shared" si="16"/>
        <v>1.6509999999998399</v>
      </c>
      <c r="P7" s="33">
        <f t="shared" si="17"/>
        <v>3136.8999999996954</v>
      </c>
      <c r="Q7" s="7">
        <v>5183.82</v>
      </c>
      <c r="R7" s="49">
        <f t="shared" si="18"/>
        <v>0.92000000000007276</v>
      </c>
      <c r="S7" s="33">
        <f t="shared" si="19"/>
        <v>1748.000000000138</v>
      </c>
      <c r="T7" s="8">
        <f t="shared" si="25"/>
        <v>21.500000000001364</v>
      </c>
      <c r="U7" s="35">
        <f t="shared" si="22"/>
        <v>40850.00000000259</v>
      </c>
      <c r="W7" s="165">
        <v>44474</v>
      </c>
      <c r="X7" s="166">
        <v>149178</v>
      </c>
      <c r="Y7" s="35">
        <f t="shared" si="23"/>
        <v>188</v>
      </c>
      <c r="Z7" s="166">
        <v>7471</v>
      </c>
      <c r="AA7" s="35">
        <f t="shared" si="24"/>
        <v>9</v>
      </c>
      <c r="AB7" s="172">
        <v>13</v>
      </c>
      <c r="AC7" s="35">
        <f t="shared" si="20"/>
        <v>0</v>
      </c>
    </row>
    <row r="8" spans="1:29" ht="16.5" thickBot="1" x14ac:dyDescent="0.25">
      <c r="A8" s="10">
        <v>44475</v>
      </c>
      <c r="B8" s="168">
        <v>22391.526000000002</v>
      </c>
      <c r="C8" s="49">
        <f t="shared" si="21"/>
        <v>6.2710000000006403</v>
      </c>
      <c r="D8" s="33">
        <f t="shared" si="9"/>
        <v>11914.900000001217</v>
      </c>
      <c r="E8" s="1">
        <v>3963.9189999999999</v>
      </c>
      <c r="F8" s="49">
        <f t="shared" si="10"/>
        <v>2.3150000000000546</v>
      </c>
      <c r="G8" s="33">
        <f t="shared" si="11"/>
        <v>4398.5000000001037</v>
      </c>
      <c r="H8" s="1">
        <v>4160</v>
      </c>
      <c r="I8" s="49">
        <f t="shared" si="12"/>
        <v>5</v>
      </c>
      <c r="J8" s="33">
        <f t="shared" si="13"/>
        <v>9500</v>
      </c>
      <c r="K8" s="7">
        <v>13749.4</v>
      </c>
      <c r="L8" s="49">
        <f t="shared" si="14"/>
        <v>2.0599999999994907</v>
      </c>
      <c r="M8" s="33">
        <f t="shared" si="15"/>
        <v>3913.9999999990318</v>
      </c>
      <c r="N8" s="7">
        <v>3251.7150000000001</v>
      </c>
      <c r="O8" s="49">
        <f t="shared" si="16"/>
        <v>1.4010000000002947</v>
      </c>
      <c r="P8" s="33">
        <f t="shared" si="17"/>
        <v>2661.9000000005599</v>
      </c>
      <c r="Q8" s="7">
        <v>5184.97</v>
      </c>
      <c r="R8" s="49">
        <f t="shared" si="18"/>
        <v>1.1500000000005457</v>
      </c>
      <c r="S8" s="33">
        <f t="shared" si="19"/>
        <v>2185.0000000010364</v>
      </c>
      <c r="T8" s="8">
        <f t="shared" si="25"/>
        <v>18.197000000001026</v>
      </c>
      <c r="U8" s="35">
        <f t="shared" si="22"/>
        <v>34574.300000001946</v>
      </c>
      <c r="W8" s="165">
        <v>44475</v>
      </c>
      <c r="X8" s="166">
        <v>149360</v>
      </c>
      <c r="Y8" s="35">
        <f t="shared" si="23"/>
        <v>182</v>
      </c>
      <c r="Z8" s="166">
        <v>7477</v>
      </c>
      <c r="AA8" s="35">
        <f t="shared" si="24"/>
        <v>6</v>
      </c>
      <c r="AB8" s="172">
        <v>13</v>
      </c>
      <c r="AC8" s="35">
        <f t="shared" si="20"/>
        <v>0</v>
      </c>
    </row>
    <row r="9" spans="1:29" ht="16.5" thickBot="1" x14ac:dyDescent="0.25">
      <c r="A9" s="10">
        <v>44476</v>
      </c>
      <c r="B9" s="168">
        <v>22398.677</v>
      </c>
      <c r="C9" s="49">
        <f t="shared" si="21"/>
        <v>7.1509999999980209</v>
      </c>
      <c r="D9" s="33">
        <f t="shared" si="9"/>
        <v>13586.89999999624</v>
      </c>
      <c r="E9" s="1">
        <v>3965.62</v>
      </c>
      <c r="F9" s="49">
        <f t="shared" si="10"/>
        <v>1.7010000000000218</v>
      </c>
      <c r="G9" s="33">
        <f t="shared" si="11"/>
        <v>3231.9000000000415</v>
      </c>
      <c r="H9" s="1">
        <v>4166</v>
      </c>
      <c r="I9" s="49">
        <f t="shared" si="12"/>
        <v>6</v>
      </c>
      <c r="J9" s="33">
        <f t="shared" si="13"/>
        <v>11399.999999999998</v>
      </c>
      <c r="K9" s="7">
        <v>13751.32</v>
      </c>
      <c r="L9" s="49">
        <f t="shared" si="14"/>
        <v>1.9200000000000728</v>
      </c>
      <c r="M9" s="33">
        <f t="shared" si="15"/>
        <v>3648.0000000001382</v>
      </c>
      <c r="N9" s="7">
        <v>3253.3679999999999</v>
      </c>
      <c r="O9" s="49">
        <f t="shared" si="16"/>
        <v>1.6529999999997926</v>
      </c>
      <c r="P9" s="33">
        <f t="shared" si="17"/>
        <v>3140.699999999606</v>
      </c>
      <c r="Q9" s="7">
        <v>5185.88</v>
      </c>
      <c r="R9" s="49">
        <f t="shared" si="18"/>
        <v>0.90999999999985448</v>
      </c>
      <c r="S9" s="33">
        <f t="shared" si="19"/>
        <v>1728.9999999997235</v>
      </c>
      <c r="T9" s="8">
        <f t="shared" si="25"/>
        <v>19.334999999997763</v>
      </c>
      <c r="U9" s="35">
        <f t="shared" si="22"/>
        <v>36736.499999995751</v>
      </c>
      <c r="W9" s="165">
        <v>44476</v>
      </c>
      <c r="X9" s="166">
        <v>149549</v>
      </c>
      <c r="Y9" s="35">
        <f t="shared" si="23"/>
        <v>189</v>
      </c>
      <c r="Z9" s="166">
        <v>7483</v>
      </c>
      <c r="AA9" s="35">
        <f t="shared" si="24"/>
        <v>6</v>
      </c>
      <c r="AB9" s="166">
        <v>13</v>
      </c>
      <c r="AC9" s="35">
        <f>AB9-AB8</f>
        <v>0</v>
      </c>
    </row>
    <row r="10" spans="1:29" ht="16.5" thickBot="1" x14ac:dyDescent="0.25">
      <c r="A10" s="10">
        <v>44477</v>
      </c>
      <c r="B10" s="168">
        <v>22404.234</v>
      </c>
      <c r="C10" s="49">
        <f t="shared" si="21"/>
        <v>5.5570000000006985</v>
      </c>
      <c r="D10" s="33">
        <f t="shared" si="9"/>
        <v>10558.300000001325</v>
      </c>
      <c r="E10" s="1">
        <v>3966.7139999999999</v>
      </c>
      <c r="F10" s="49">
        <f t="shared" si="10"/>
        <v>1.0940000000000509</v>
      </c>
      <c r="G10" s="33">
        <f t="shared" si="11"/>
        <v>2078.6000000000968</v>
      </c>
      <c r="H10" s="1">
        <v>4171</v>
      </c>
      <c r="I10" s="49">
        <f t="shared" si="12"/>
        <v>5</v>
      </c>
      <c r="J10" s="33">
        <f t="shared" si="13"/>
        <v>9500</v>
      </c>
      <c r="K10" s="7">
        <v>13753.33</v>
      </c>
      <c r="L10" s="49">
        <f t="shared" si="14"/>
        <v>2.0100000000002183</v>
      </c>
      <c r="M10" s="33">
        <f t="shared" si="15"/>
        <v>3819.0000000004147</v>
      </c>
      <c r="N10" s="7">
        <v>3254.6550000000002</v>
      </c>
      <c r="O10" s="49">
        <f>IF((N10-N9)&lt;0,"0",(N10-N9))</f>
        <v>1.2870000000002619</v>
      </c>
      <c r="P10" s="33">
        <f t="shared" si="17"/>
        <v>2445.3000000004972</v>
      </c>
      <c r="Q10" s="7">
        <v>5187.7299999999996</v>
      </c>
      <c r="R10" s="49">
        <f t="shared" si="18"/>
        <v>1.8499999999994543</v>
      </c>
      <c r="S10" s="33">
        <f t="shared" si="19"/>
        <v>3514.9999999989632</v>
      </c>
      <c r="T10" s="8">
        <f t="shared" si="25"/>
        <v>16.798000000000684</v>
      </c>
      <c r="U10" s="35">
        <f t="shared" si="22"/>
        <v>31916.200000001296</v>
      </c>
      <c r="W10" s="165">
        <v>44477</v>
      </c>
      <c r="X10" s="166">
        <v>149739</v>
      </c>
      <c r="Y10" s="35">
        <f t="shared" si="23"/>
        <v>190</v>
      </c>
      <c r="Z10" s="166">
        <v>7496</v>
      </c>
      <c r="AA10" s="35">
        <f t="shared" si="24"/>
        <v>13</v>
      </c>
      <c r="AB10" s="166">
        <v>13</v>
      </c>
      <c r="AC10" s="35">
        <f t="shared" ref="AC10:AC33" si="26">AB10-AB9</f>
        <v>0</v>
      </c>
    </row>
    <row r="11" spans="1:29" ht="16.5" thickBot="1" x14ac:dyDescent="0.25">
      <c r="A11" s="10">
        <v>44478</v>
      </c>
      <c r="B11" s="168">
        <v>22411.629000000001</v>
      </c>
      <c r="C11" s="49">
        <f t="shared" si="21"/>
        <v>7.3950000000004366</v>
      </c>
      <c r="D11" s="33">
        <f t="shared" si="9"/>
        <v>14050.500000000829</v>
      </c>
      <c r="E11" s="1">
        <v>3968.6959999999999</v>
      </c>
      <c r="F11" s="49">
        <f t="shared" si="10"/>
        <v>1.9819999999999709</v>
      </c>
      <c r="G11" s="33">
        <f t="shared" si="11"/>
        <v>3765.7999999999447</v>
      </c>
      <c r="H11" s="1">
        <v>4177</v>
      </c>
      <c r="I11" s="49">
        <f t="shared" si="12"/>
        <v>6</v>
      </c>
      <c r="J11" s="33">
        <f t="shared" si="13"/>
        <v>11399.999999999998</v>
      </c>
      <c r="K11" s="7">
        <v>13756.24</v>
      </c>
      <c r="L11" s="49">
        <f t="shared" si="14"/>
        <v>2.9099999999998545</v>
      </c>
      <c r="M11" s="33">
        <f t="shared" si="15"/>
        <v>5528.9999999997235</v>
      </c>
      <c r="N11" s="7">
        <v>3256.326</v>
      </c>
      <c r="O11" s="49">
        <f t="shared" si="16"/>
        <v>1.6709999999998217</v>
      </c>
      <c r="P11" s="33">
        <f t="shared" si="17"/>
        <v>3174.8999999996613</v>
      </c>
      <c r="Q11" s="7">
        <v>5188.7700000000004</v>
      </c>
      <c r="R11" s="49">
        <f t="shared" si="18"/>
        <v>1.0400000000008731</v>
      </c>
      <c r="S11" s="33">
        <f t="shared" si="19"/>
        <v>1976.0000000016589</v>
      </c>
      <c r="T11" s="8">
        <f t="shared" si="25"/>
        <v>20.998000000000957</v>
      </c>
      <c r="U11" s="35">
        <f t="shared" si="22"/>
        <v>39896.200000001816</v>
      </c>
      <c r="W11" s="165">
        <v>44478</v>
      </c>
      <c r="X11" s="166">
        <v>150023</v>
      </c>
      <c r="Y11" s="35">
        <f t="shared" si="23"/>
        <v>284</v>
      </c>
      <c r="Z11" s="166">
        <v>7501</v>
      </c>
      <c r="AA11" s="35">
        <f t="shared" si="24"/>
        <v>5</v>
      </c>
      <c r="AB11" s="166">
        <v>13</v>
      </c>
      <c r="AC11" s="35">
        <f t="shared" si="26"/>
        <v>0</v>
      </c>
    </row>
    <row r="12" spans="1:29" ht="16.5" thickBot="1" x14ac:dyDescent="0.25">
      <c r="A12" s="10">
        <v>44479</v>
      </c>
      <c r="B12" s="168">
        <v>22419.441999999999</v>
      </c>
      <c r="C12" s="49">
        <f t="shared" si="21"/>
        <v>7.8129999999982829</v>
      </c>
      <c r="D12" s="33">
        <f t="shared" si="9"/>
        <v>14844.699999996736</v>
      </c>
      <c r="E12" s="1">
        <v>3971.3029999999999</v>
      </c>
      <c r="F12" s="49">
        <f t="shared" si="10"/>
        <v>2.6069999999999709</v>
      </c>
      <c r="G12" s="33">
        <f t="shared" si="11"/>
        <v>4953.2999999999447</v>
      </c>
      <c r="H12" s="1">
        <v>4183</v>
      </c>
      <c r="I12" s="49">
        <f t="shared" si="12"/>
        <v>6</v>
      </c>
      <c r="J12" s="33">
        <f t="shared" si="13"/>
        <v>11399.999999999998</v>
      </c>
      <c r="K12" s="7">
        <v>13758.99</v>
      </c>
      <c r="L12" s="49">
        <f t="shared" si="14"/>
        <v>2.75</v>
      </c>
      <c r="M12" s="33">
        <f t="shared" si="15"/>
        <v>5225</v>
      </c>
      <c r="N12" s="7">
        <v>3257.893</v>
      </c>
      <c r="O12" s="49">
        <f t="shared" si="16"/>
        <v>1.5670000000000073</v>
      </c>
      <c r="P12" s="33">
        <f t="shared" si="17"/>
        <v>2977.3000000000138</v>
      </c>
      <c r="Q12" s="7">
        <v>5190.3900000000003</v>
      </c>
      <c r="R12" s="49">
        <f t="shared" si="18"/>
        <v>1.6199999999998909</v>
      </c>
      <c r="S12" s="33">
        <f t="shared" si="19"/>
        <v>3077.9999999997926</v>
      </c>
      <c r="T12" s="8">
        <f t="shared" si="25"/>
        <v>22.356999999998152</v>
      </c>
      <c r="U12" s="35">
        <f t="shared" si="22"/>
        <v>42478.299999996489</v>
      </c>
      <c r="W12" s="165">
        <v>44479</v>
      </c>
      <c r="X12" s="166">
        <v>150280</v>
      </c>
      <c r="Y12" s="35">
        <f t="shared" si="23"/>
        <v>257</v>
      </c>
      <c r="Z12" s="166">
        <v>7502</v>
      </c>
      <c r="AA12" s="35">
        <f t="shared" si="24"/>
        <v>1</v>
      </c>
      <c r="AB12" s="166">
        <v>13</v>
      </c>
      <c r="AC12" s="35">
        <f t="shared" si="26"/>
        <v>0</v>
      </c>
    </row>
    <row r="13" spans="1:29" ht="16.5" thickBot="1" x14ac:dyDescent="0.25">
      <c r="A13" s="10">
        <v>44480</v>
      </c>
      <c r="B13" s="168">
        <v>22426</v>
      </c>
      <c r="C13" s="49">
        <f t="shared" si="21"/>
        <v>6.5580000000009022</v>
      </c>
      <c r="D13" s="33">
        <f t="shared" si="9"/>
        <v>12460.200000001712</v>
      </c>
      <c r="E13" s="1">
        <v>3974.1869999999999</v>
      </c>
      <c r="F13" s="49">
        <f t="shared" si="10"/>
        <v>2.8840000000000146</v>
      </c>
      <c r="G13" s="33">
        <f t="shared" si="11"/>
        <v>5479.6000000000267</v>
      </c>
      <c r="H13" s="1">
        <v>4189</v>
      </c>
      <c r="I13" s="49">
        <f t="shared" si="12"/>
        <v>6</v>
      </c>
      <c r="J13" s="33">
        <f t="shared" si="13"/>
        <v>11399.999999999998</v>
      </c>
      <c r="K13" s="7">
        <v>13760.97</v>
      </c>
      <c r="L13" s="49">
        <f t="shared" si="14"/>
        <v>1.9799999999995634</v>
      </c>
      <c r="M13" s="33">
        <f t="shared" si="15"/>
        <v>3761.9999999991705</v>
      </c>
      <c r="N13" s="7">
        <v>3259.3879999999999</v>
      </c>
      <c r="O13" s="49">
        <f t="shared" si="16"/>
        <v>1.4949999999998909</v>
      </c>
      <c r="P13" s="33">
        <f t="shared" si="17"/>
        <v>2840.4999999997926</v>
      </c>
      <c r="Q13" s="7">
        <v>5191.78</v>
      </c>
      <c r="R13" s="49">
        <f t="shared" si="18"/>
        <v>1.3899999999994179</v>
      </c>
      <c r="S13" s="33">
        <f t="shared" si="19"/>
        <v>2640.9999999988936</v>
      </c>
      <c r="T13" s="8">
        <f t="shared" si="25"/>
        <v>20.306999999999789</v>
      </c>
      <c r="U13" s="35">
        <f t="shared" si="22"/>
        <v>38583.299999999595</v>
      </c>
      <c r="W13" s="165">
        <v>44480</v>
      </c>
      <c r="X13" s="166">
        <v>150529</v>
      </c>
      <c r="Y13" s="35">
        <f t="shared" si="23"/>
        <v>249</v>
      </c>
      <c r="Z13" s="166">
        <v>7512</v>
      </c>
      <c r="AA13" s="35">
        <f t="shared" si="24"/>
        <v>10</v>
      </c>
      <c r="AB13" s="166">
        <v>13</v>
      </c>
      <c r="AC13" s="35">
        <f t="shared" si="26"/>
        <v>0</v>
      </c>
    </row>
    <row r="14" spans="1:29" ht="16.5" thickBot="1" x14ac:dyDescent="0.25">
      <c r="A14" s="10">
        <v>44481</v>
      </c>
      <c r="B14" s="168">
        <v>22433.645</v>
      </c>
      <c r="C14" s="49">
        <f t="shared" si="21"/>
        <v>7.6450000000004366</v>
      </c>
      <c r="D14" s="33">
        <f t="shared" si="9"/>
        <v>14525.500000000829</v>
      </c>
      <c r="E14" s="1">
        <v>3977.0059999999999</v>
      </c>
      <c r="F14" s="49">
        <f t="shared" si="10"/>
        <v>2.81899999999996</v>
      </c>
      <c r="G14" s="33">
        <f t="shared" si="11"/>
        <v>5356.099999999924</v>
      </c>
      <c r="H14" s="1">
        <v>4194</v>
      </c>
      <c r="I14" s="49">
        <f t="shared" si="12"/>
        <v>5</v>
      </c>
      <c r="J14" s="33">
        <f t="shared" si="13"/>
        <v>9500</v>
      </c>
      <c r="K14" s="7">
        <v>13763.57</v>
      </c>
      <c r="L14" s="49">
        <f t="shared" si="14"/>
        <v>2.6000000000003638</v>
      </c>
      <c r="M14" s="33">
        <f t="shared" si="15"/>
        <v>4940.0000000006912</v>
      </c>
      <c r="N14" s="7">
        <v>3260.933</v>
      </c>
      <c r="O14" s="49">
        <f>IF((N14-N13)&lt;0,"0",(N14-N13))</f>
        <v>1.5450000000000728</v>
      </c>
      <c r="P14" s="33">
        <f t="shared" si="17"/>
        <v>2935.5000000001378</v>
      </c>
      <c r="Q14" s="7">
        <v>5192.83</v>
      </c>
      <c r="R14" s="49">
        <f t="shared" si="18"/>
        <v>1.0500000000001819</v>
      </c>
      <c r="S14" s="33">
        <f t="shared" si="19"/>
        <v>1995.0000000003456</v>
      </c>
      <c r="T14" s="8">
        <f t="shared" si="25"/>
        <v>20.659000000001015</v>
      </c>
      <c r="U14" s="35">
        <f t="shared" si="22"/>
        <v>39252.100000001927</v>
      </c>
      <c r="W14" s="165">
        <v>44481</v>
      </c>
      <c r="X14" s="166">
        <v>150769</v>
      </c>
      <c r="Y14" s="35">
        <f t="shared" si="23"/>
        <v>240</v>
      </c>
      <c r="Z14" s="166">
        <v>7526</v>
      </c>
      <c r="AA14" s="35">
        <f t="shared" si="24"/>
        <v>14</v>
      </c>
      <c r="AB14" s="166">
        <v>13</v>
      </c>
      <c r="AC14" s="35">
        <f t="shared" si="26"/>
        <v>0</v>
      </c>
    </row>
    <row r="15" spans="1:29" ht="16.5" thickBot="1" x14ac:dyDescent="0.25">
      <c r="A15" s="10">
        <v>44482</v>
      </c>
      <c r="B15" s="168">
        <v>22440.266</v>
      </c>
      <c r="C15" s="49">
        <f t="shared" si="21"/>
        <v>6.6209999999991851</v>
      </c>
      <c r="D15" s="33">
        <f t="shared" si="9"/>
        <v>12579.899999998452</v>
      </c>
      <c r="E15" s="1">
        <v>3979.3389999999999</v>
      </c>
      <c r="F15" s="49">
        <f t="shared" si="10"/>
        <v>2.3330000000000837</v>
      </c>
      <c r="G15" s="33">
        <f t="shared" si="11"/>
        <v>4432.700000000159</v>
      </c>
      <c r="H15" s="1">
        <v>4198</v>
      </c>
      <c r="I15" s="49">
        <f t="shared" si="12"/>
        <v>4</v>
      </c>
      <c r="J15" s="33">
        <f t="shared" si="13"/>
        <v>7600</v>
      </c>
      <c r="K15" s="7">
        <v>13766.15</v>
      </c>
      <c r="L15" s="49">
        <f t="shared" si="14"/>
        <v>2.5799999999999272</v>
      </c>
      <c r="M15" s="33">
        <f t="shared" si="15"/>
        <v>4901.9999999998618</v>
      </c>
      <c r="N15" s="7">
        <v>3262.355</v>
      </c>
      <c r="O15" s="49">
        <f t="shared" si="16"/>
        <v>1.4220000000000255</v>
      </c>
      <c r="P15" s="33">
        <f t="shared" si="17"/>
        <v>2701.8000000000484</v>
      </c>
      <c r="Q15" s="7">
        <v>5195.05</v>
      </c>
      <c r="R15" s="49">
        <f t="shared" si="18"/>
        <v>2.2200000000002547</v>
      </c>
      <c r="S15" s="33">
        <f t="shared" si="19"/>
        <v>4218.0000000004839</v>
      </c>
      <c r="T15" s="8">
        <f t="shared" si="25"/>
        <v>19.175999999999476</v>
      </c>
      <c r="U15" s="35">
        <f t="shared" si="22"/>
        <v>36434.399999999005</v>
      </c>
      <c r="W15" s="165">
        <v>44482</v>
      </c>
      <c r="X15" s="166">
        <v>151003</v>
      </c>
      <c r="Y15" s="35">
        <f t="shared" si="23"/>
        <v>234</v>
      </c>
      <c r="Z15" s="166">
        <v>7534</v>
      </c>
      <c r="AA15" s="35">
        <f t="shared" si="24"/>
        <v>8</v>
      </c>
      <c r="AB15" s="166">
        <v>13</v>
      </c>
      <c r="AC15" s="35">
        <f t="shared" si="26"/>
        <v>0</v>
      </c>
    </row>
    <row r="16" spans="1:29" ht="16.5" thickBot="1" x14ac:dyDescent="0.25">
      <c r="A16" s="10">
        <v>44483</v>
      </c>
      <c r="B16" s="168">
        <v>22448.833999999999</v>
      </c>
      <c r="C16" s="49">
        <f t="shared" si="21"/>
        <v>8.5679999999993015</v>
      </c>
      <c r="D16" s="33">
        <f t="shared" si="9"/>
        <v>16279.199999998671</v>
      </c>
      <c r="E16" s="1">
        <v>3981.7</v>
      </c>
      <c r="F16" s="49">
        <f t="shared" si="10"/>
        <v>2.3609999999998763</v>
      </c>
      <c r="G16" s="33">
        <f t="shared" si="11"/>
        <v>4485.899999999765</v>
      </c>
      <c r="H16" s="1">
        <v>4203</v>
      </c>
      <c r="I16" s="49">
        <f t="shared" si="12"/>
        <v>5</v>
      </c>
      <c r="J16" s="33">
        <f t="shared" si="13"/>
        <v>9500</v>
      </c>
      <c r="K16" s="7">
        <v>13769.66</v>
      </c>
      <c r="L16" s="49">
        <f t="shared" si="14"/>
        <v>3.5100000000002183</v>
      </c>
      <c r="M16" s="33">
        <f t="shared" si="15"/>
        <v>6669.0000000004147</v>
      </c>
      <c r="N16" s="7">
        <v>3263.877</v>
      </c>
      <c r="O16" s="49">
        <f t="shared" si="16"/>
        <v>1.5219999999999345</v>
      </c>
      <c r="P16" s="33">
        <f t="shared" si="17"/>
        <v>2891.7999999998756</v>
      </c>
      <c r="Q16" s="7">
        <v>5197.3</v>
      </c>
      <c r="R16" s="49">
        <f t="shared" si="18"/>
        <v>2.25</v>
      </c>
      <c r="S16" s="33">
        <f t="shared" si="19"/>
        <v>4274.9999999999991</v>
      </c>
      <c r="T16" s="8">
        <f t="shared" si="25"/>
        <v>23.210999999999331</v>
      </c>
      <c r="U16" s="35">
        <f t="shared" si="22"/>
        <v>44100.899999998721</v>
      </c>
      <c r="W16" s="165">
        <v>44483</v>
      </c>
      <c r="X16" s="166">
        <v>151310</v>
      </c>
      <c r="Y16" s="35">
        <f t="shared" si="23"/>
        <v>307</v>
      </c>
      <c r="Z16" s="166">
        <v>7544</v>
      </c>
      <c r="AA16" s="35">
        <f t="shared" si="24"/>
        <v>10</v>
      </c>
      <c r="AB16" s="166">
        <v>13</v>
      </c>
      <c r="AC16" s="35">
        <f t="shared" si="26"/>
        <v>0</v>
      </c>
    </row>
    <row r="17" spans="1:29" ht="16.5" thickBot="1" x14ac:dyDescent="0.25">
      <c r="A17" s="10">
        <v>44484</v>
      </c>
      <c r="B17" s="168">
        <v>22458.575000000001</v>
      </c>
      <c r="C17" s="49">
        <f t="shared" si="21"/>
        <v>9.7410000000018044</v>
      </c>
      <c r="D17" s="33">
        <f t="shared" si="9"/>
        <v>18507.900000003428</v>
      </c>
      <c r="E17" s="1">
        <v>3983.5749999999998</v>
      </c>
      <c r="F17" s="49">
        <f t="shared" si="10"/>
        <v>1.875</v>
      </c>
      <c r="G17" s="33">
        <f t="shared" si="11"/>
        <v>3562.5</v>
      </c>
      <c r="H17" s="1">
        <v>4208</v>
      </c>
      <c r="I17" s="49">
        <f t="shared" si="12"/>
        <v>5</v>
      </c>
      <c r="J17" s="33">
        <f t="shared" si="13"/>
        <v>9500</v>
      </c>
      <c r="K17" s="7">
        <v>13772.65</v>
      </c>
      <c r="L17" s="49">
        <f t="shared" si="14"/>
        <v>2.9899999999997817</v>
      </c>
      <c r="M17" s="33">
        <f t="shared" si="15"/>
        <v>5680.9999999995853</v>
      </c>
      <c r="N17" s="7">
        <v>3265.415</v>
      </c>
      <c r="O17" s="49">
        <f t="shared" si="16"/>
        <v>1.5380000000000109</v>
      </c>
      <c r="P17" s="33">
        <f t="shared" si="17"/>
        <v>2922.2000000000207</v>
      </c>
      <c r="Q17" s="7">
        <v>5199.6000000000004</v>
      </c>
      <c r="R17" s="49">
        <f t="shared" si="18"/>
        <v>2.3000000000001819</v>
      </c>
      <c r="S17" s="33">
        <f t="shared" si="19"/>
        <v>4370.0000000003456</v>
      </c>
      <c r="T17" s="8">
        <f t="shared" si="25"/>
        <v>23.444000000001779</v>
      </c>
      <c r="U17" s="35">
        <f t="shared" si="22"/>
        <v>44543.600000003382</v>
      </c>
      <c r="W17" s="165">
        <v>44484</v>
      </c>
      <c r="X17" s="166">
        <v>151573</v>
      </c>
      <c r="Y17" s="35">
        <f t="shared" si="23"/>
        <v>263</v>
      </c>
      <c r="Z17" s="166">
        <v>7551</v>
      </c>
      <c r="AA17" s="35">
        <f t="shared" si="24"/>
        <v>7</v>
      </c>
      <c r="AB17" s="166">
        <v>13.2</v>
      </c>
      <c r="AC17" s="35">
        <f t="shared" si="26"/>
        <v>0.19999999999999929</v>
      </c>
    </row>
    <row r="18" spans="1:29" ht="16.5" thickBot="1" x14ac:dyDescent="0.25">
      <c r="A18" s="10">
        <v>44485</v>
      </c>
      <c r="B18" s="168">
        <v>22466.566999999999</v>
      </c>
      <c r="C18" s="49">
        <f t="shared" si="21"/>
        <v>7.9919999999983702</v>
      </c>
      <c r="D18" s="33">
        <f t="shared" si="9"/>
        <v>15184.799999996903</v>
      </c>
      <c r="E18" s="1">
        <v>3985.123</v>
      </c>
      <c r="F18" s="49">
        <f t="shared" si="10"/>
        <v>1.5480000000002292</v>
      </c>
      <c r="G18" s="33">
        <f t="shared" si="11"/>
        <v>2941.2000000004355</v>
      </c>
      <c r="H18" s="1">
        <v>4214</v>
      </c>
      <c r="I18" s="49">
        <f t="shared" si="12"/>
        <v>6</v>
      </c>
      <c r="J18" s="33">
        <f t="shared" si="13"/>
        <v>11399.999999999998</v>
      </c>
      <c r="K18" s="7">
        <v>13774.37</v>
      </c>
      <c r="L18" s="49">
        <f t="shared" si="14"/>
        <v>1.7200000000011642</v>
      </c>
      <c r="M18" s="33">
        <f t="shared" si="15"/>
        <v>3268.0000000022119</v>
      </c>
      <c r="N18" s="7">
        <v>3267.2179999999998</v>
      </c>
      <c r="O18" s="49">
        <f t="shared" si="16"/>
        <v>1.8029999999998836</v>
      </c>
      <c r="P18" s="33">
        <f t="shared" si="17"/>
        <v>3425.6999999997788</v>
      </c>
      <c r="Q18" s="7">
        <v>5200.51</v>
      </c>
      <c r="R18" s="49">
        <f t="shared" si="18"/>
        <v>0.90999999999985448</v>
      </c>
      <c r="S18" s="33">
        <f t="shared" si="19"/>
        <v>1728.9999999997235</v>
      </c>
      <c r="T18" s="8">
        <f t="shared" si="25"/>
        <v>19.972999999999502</v>
      </c>
      <c r="U18" s="35">
        <f t="shared" si="22"/>
        <v>37948.699999999051</v>
      </c>
      <c r="W18" s="165">
        <v>44485</v>
      </c>
      <c r="X18" s="166">
        <v>151868</v>
      </c>
      <c r="Y18" s="35">
        <f t="shared" si="23"/>
        <v>295</v>
      </c>
      <c r="Z18" s="166">
        <v>7560</v>
      </c>
      <c r="AA18" s="35">
        <f t="shared" si="24"/>
        <v>9</v>
      </c>
      <c r="AB18" s="166">
        <v>13.2</v>
      </c>
      <c r="AC18" s="35">
        <f t="shared" si="26"/>
        <v>0</v>
      </c>
    </row>
    <row r="19" spans="1:29" ht="16.5" thickBot="1" x14ac:dyDescent="0.25">
      <c r="A19" s="10">
        <v>44486</v>
      </c>
      <c r="B19" s="168">
        <v>22475.112000000001</v>
      </c>
      <c r="C19" s="49">
        <f t="shared" si="21"/>
        <v>8.5450000000018917</v>
      </c>
      <c r="D19" s="33">
        <f t="shared" si="9"/>
        <v>16235.500000003594</v>
      </c>
      <c r="E19" s="1">
        <v>3987.0880000000002</v>
      </c>
      <c r="F19" s="49">
        <f t="shared" si="10"/>
        <v>1.9650000000001455</v>
      </c>
      <c r="G19" s="33">
        <f t="shared" si="11"/>
        <v>3733.5000000002765</v>
      </c>
      <c r="H19" s="1">
        <v>4219</v>
      </c>
      <c r="I19" s="49">
        <f t="shared" si="12"/>
        <v>5</v>
      </c>
      <c r="J19" s="33">
        <f t="shared" si="13"/>
        <v>9500</v>
      </c>
      <c r="K19" s="7">
        <v>13775.88</v>
      </c>
      <c r="L19" s="49">
        <f t="shared" si="14"/>
        <v>1.5099999999983993</v>
      </c>
      <c r="M19" s="33">
        <f t="shared" si="15"/>
        <v>2868.9999999969586</v>
      </c>
      <c r="N19" s="7">
        <v>3268.971</v>
      </c>
      <c r="O19" s="49">
        <f t="shared" si="16"/>
        <v>1.7530000000001564</v>
      </c>
      <c r="P19" s="33">
        <f t="shared" si="17"/>
        <v>3330.7000000002968</v>
      </c>
      <c r="Q19" s="7">
        <v>5202.47</v>
      </c>
      <c r="R19" s="49">
        <f t="shared" si="18"/>
        <v>1.9600000000000364</v>
      </c>
      <c r="S19" s="33">
        <f t="shared" si="19"/>
        <v>3724.0000000000691</v>
      </c>
      <c r="T19" s="8">
        <f t="shared" si="25"/>
        <v>20.733000000000629</v>
      </c>
      <c r="U19" s="35">
        <f t="shared" si="22"/>
        <v>39392.70000000119</v>
      </c>
      <c r="W19" s="165">
        <v>44486</v>
      </c>
      <c r="X19" s="166">
        <v>152136</v>
      </c>
      <c r="Y19" s="35">
        <f t="shared" si="23"/>
        <v>268</v>
      </c>
      <c r="Z19" s="166">
        <v>7567</v>
      </c>
      <c r="AA19" s="35">
        <f t="shared" si="24"/>
        <v>7</v>
      </c>
      <c r="AB19" s="166">
        <v>13.2</v>
      </c>
      <c r="AC19" s="35">
        <f t="shared" si="26"/>
        <v>0</v>
      </c>
    </row>
    <row r="20" spans="1:29" ht="16.5" thickBot="1" x14ac:dyDescent="0.25">
      <c r="A20" s="10">
        <v>44487</v>
      </c>
      <c r="B20" s="168">
        <v>22482.317999999999</v>
      </c>
      <c r="C20" s="49">
        <f t="shared" si="21"/>
        <v>7.205999999998312</v>
      </c>
      <c r="D20" s="33">
        <f t="shared" si="9"/>
        <v>13691.399999996791</v>
      </c>
      <c r="E20" s="1">
        <v>3989.45</v>
      </c>
      <c r="F20" s="49">
        <f t="shared" si="10"/>
        <v>2.3619999999996253</v>
      </c>
      <c r="G20" s="33">
        <f t="shared" si="11"/>
        <v>4487.799999999288</v>
      </c>
      <c r="H20" s="1">
        <v>4224</v>
      </c>
      <c r="I20" s="49">
        <f t="shared" si="12"/>
        <v>5</v>
      </c>
      <c r="J20" s="33">
        <f t="shared" si="13"/>
        <v>9500</v>
      </c>
      <c r="K20" s="7">
        <v>13777.09</v>
      </c>
      <c r="L20" s="49">
        <f t="shared" si="14"/>
        <v>1.2100000000009459</v>
      </c>
      <c r="M20" s="33">
        <f t="shared" si="15"/>
        <v>2299.0000000017972</v>
      </c>
      <c r="N20" s="7">
        <v>3270.7689999999998</v>
      </c>
      <c r="O20" s="49">
        <f t="shared" si="16"/>
        <v>1.7979999999997744</v>
      </c>
      <c r="P20" s="33">
        <f t="shared" si="17"/>
        <v>3416.1999999995714</v>
      </c>
      <c r="Q20" s="7">
        <v>5204.04</v>
      </c>
      <c r="R20" s="49">
        <f t="shared" si="18"/>
        <v>1.569999999999709</v>
      </c>
      <c r="S20" s="33">
        <f t="shared" si="19"/>
        <v>2982.9999999994466</v>
      </c>
      <c r="T20" s="8">
        <f t="shared" si="25"/>
        <v>19.145999999998367</v>
      </c>
      <c r="U20" s="35">
        <f t="shared" si="22"/>
        <v>36377.399999996895</v>
      </c>
      <c r="W20" s="165">
        <v>44487</v>
      </c>
      <c r="X20" s="166">
        <v>152353</v>
      </c>
      <c r="Y20" s="35">
        <f t="shared" si="23"/>
        <v>217</v>
      </c>
      <c r="Z20" s="166">
        <v>7574</v>
      </c>
      <c r="AA20" s="35">
        <f t="shared" si="24"/>
        <v>7</v>
      </c>
      <c r="AB20" s="166">
        <v>13.2</v>
      </c>
      <c r="AC20" s="35">
        <f t="shared" si="26"/>
        <v>0</v>
      </c>
    </row>
    <row r="21" spans="1:29" ht="16.5" thickBot="1" x14ac:dyDescent="0.25">
      <c r="A21" s="10">
        <v>44488</v>
      </c>
      <c r="B21" s="168">
        <v>22489.092000000001</v>
      </c>
      <c r="C21" s="49">
        <f t="shared" si="21"/>
        <v>6.7740000000012515</v>
      </c>
      <c r="D21" s="33">
        <f t="shared" si="9"/>
        <v>12870.600000002376</v>
      </c>
      <c r="E21" s="1">
        <v>3991.9560000000001</v>
      </c>
      <c r="F21" s="49">
        <f t="shared" si="10"/>
        <v>2.5060000000003129</v>
      </c>
      <c r="G21" s="33">
        <f t="shared" si="11"/>
        <v>4761.4000000005944</v>
      </c>
      <c r="H21" s="1">
        <v>4229</v>
      </c>
      <c r="I21" s="49">
        <f t="shared" si="12"/>
        <v>5</v>
      </c>
      <c r="J21" s="33">
        <f t="shared" si="13"/>
        <v>9500</v>
      </c>
      <c r="K21" s="7">
        <v>13779.49</v>
      </c>
      <c r="L21" s="49">
        <f t="shared" si="14"/>
        <v>2.3999999999996362</v>
      </c>
      <c r="M21" s="33">
        <f t="shared" si="15"/>
        <v>4559.9999999993088</v>
      </c>
      <c r="N21" s="7">
        <v>3272.6590000000001</v>
      </c>
      <c r="O21" s="49">
        <f t="shared" si="16"/>
        <v>1.8900000000003274</v>
      </c>
      <c r="P21" s="33">
        <f t="shared" si="17"/>
        <v>3591.0000000006221</v>
      </c>
      <c r="Q21" s="7">
        <v>5205.6400000000003</v>
      </c>
      <c r="R21" s="49">
        <f t="shared" si="18"/>
        <v>1.6000000000003638</v>
      </c>
      <c r="S21" s="33">
        <f t="shared" si="19"/>
        <v>3040.0000000006912</v>
      </c>
      <c r="T21" s="8">
        <f t="shared" si="25"/>
        <v>20.170000000001892</v>
      </c>
      <c r="U21" s="35">
        <f t="shared" si="22"/>
        <v>38323.000000003594</v>
      </c>
      <c r="W21" s="165">
        <v>44488</v>
      </c>
      <c r="X21" s="166">
        <v>152558</v>
      </c>
      <c r="Y21" s="35">
        <f t="shared" si="23"/>
        <v>205</v>
      </c>
      <c r="Z21" s="166">
        <v>7580</v>
      </c>
      <c r="AA21" s="35">
        <f t="shared" si="24"/>
        <v>6</v>
      </c>
      <c r="AB21" s="166">
        <v>13.2</v>
      </c>
      <c r="AC21" s="35">
        <f t="shared" si="26"/>
        <v>0</v>
      </c>
    </row>
    <row r="22" spans="1:29" ht="16.5" thickBot="1" x14ac:dyDescent="0.25">
      <c r="A22" s="10">
        <v>44489</v>
      </c>
      <c r="B22" s="168">
        <v>22495.017</v>
      </c>
      <c r="C22" s="49">
        <f t="shared" si="21"/>
        <v>5.9249999999992724</v>
      </c>
      <c r="D22" s="33">
        <f t="shared" si="9"/>
        <v>11257.499999998616</v>
      </c>
      <c r="E22" s="1">
        <v>3994.3229999999999</v>
      </c>
      <c r="F22" s="49">
        <f t="shared" si="10"/>
        <v>2.3669999999997344</v>
      </c>
      <c r="G22" s="33">
        <f t="shared" si="11"/>
        <v>4497.2999999994954</v>
      </c>
      <c r="H22" s="1">
        <v>4235</v>
      </c>
      <c r="I22" s="49">
        <f t="shared" si="12"/>
        <v>6</v>
      </c>
      <c r="J22" s="33">
        <f t="shared" si="13"/>
        <v>11399.999999999998</v>
      </c>
      <c r="K22" s="7">
        <v>13782.19</v>
      </c>
      <c r="L22" s="49">
        <f t="shared" si="14"/>
        <v>2.7000000000007276</v>
      </c>
      <c r="M22" s="33">
        <f t="shared" si="15"/>
        <v>5130.0000000013815</v>
      </c>
      <c r="N22" s="7">
        <v>3274.165</v>
      </c>
      <c r="O22" s="49">
        <f t="shared" si="16"/>
        <v>1.5059999999998581</v>
      </c>
      <c r="P22" s="33">
        <f t="shared" si="17"/>
        <v>2861.39999999973</v>
      </c>
      <c r="Q22" s="7">
        <v>5206.42</v>
      </c>
      <c r="R22" s="49">
        <f t="shared" si="18"/>
        <v>0.77999999999974534</v>
      </c>
      <c r="S22" s="33">
        <f t="shared" si="19"/>
        <v>1481.9999999995161</v>
      </c>
      <c r="T22" s="8">
        <f t="shared" si="25"/>
        <v>19.277999999999338</v>
      </c>
      <c r="U22" s="35">
        <f t="shared" si="22"/>
        <v>36628.199999998746</v>
      </c>
      <c r="W22" s="165">
        <v>44489</v>
      </c>
      <c r="X22" s="166">
        <v>152558</v>
      </c>
      <c r="Y22" s="35">
        <f t="shared" si="23"/>
        <v>0</v>
      </c>
      <c r="Z22" s="166">
        <v>7580</v>
      </c>
      <c r="AA22" s="35">
        <f t="shared" si="24"/>
        <v>0</v>
      </c>
      <c r="AB22" s="166">
        <v>13.2</v>
      </c>
      <c r="AC22" s="35">
        <f t="shared" si="26"/>
        <v>0</v>
      </c>
    </row>
    <row r="23" spans="1:29" ht="16.5" thickBot="1" x14ac:dyDescent="0.25">
      <c r="A23" s="10">
        <v>44490</v>
      </c>
      <c r="B23" s="168">
        <v>22500.206999999999</v>
      </c>
      <c r="C23" s="49">
        <f t="shared" si="21"/>
        <v>5.1899999999986903</v>
      </c>
      <c r="D23" s="33">
        <f t="shared" si="9"/>
        <v>9860.9999999975116</v>
      </c>
      <c r="E23" s="1">
        <v>3995.7429999999999</v>
      </c>
      <c r="F23" s="49">
        <f t="shared" si="10"/>
        <v>1.4200000000000728</v>
      </c>
      <c r="G23" s="33">
        <f t="shared" si="11"/>
        <v>2698.0000000001382</v>
      </c>
      <c r="H23" s="1">
        <v>4240</v>
      </c>
      <c r="I23" s="49">
        <f t="shared" si="12"/>
        <v>5</v>
      </c>
      <c r="J23" s="33">
        <f t="shared" si="13"/>
        <v>9500</v>
      </c>
      <c r="K23" s="7">
        <v>13784.85</v>
      </c>
      <c r="L23" s="49">
        <f t="shared" si="14"/>
        <v>2.6599999999998545</v>
      </c>
      <c r="M23" s="33">
        <f t="shared" si="15"/>
        <v>5053.9999999997235</v>
      </c>
      <c r="N23" s="7">
        <v>3275.7060000000001</v>
      </c>
      <c r="O23" s="49">
        <f t="shared" si="16"/>
        <v>1.5410000000001673</v>
      </c>
      <c r="P23" s="33">
        <f t="shared" si="17"/>
        <v>2927.9000000003175</v>
      </c>
      <c r="Q23" s="7">
        <v>5207.18</v>
      </c>
      <c r="R23" s="49">
        <f t="shared" si="18"/>
        <v>0.76000000000021828</v>
      </c>
      <c r="S23" s="33">
        <f t="shared" si="19"/>
        <v>1444.0000000004147</v>
      </c>
      <c r="T23" s="8">
        <f t="shared" si="25"/>
        <v>16.570999999999003</v>
      </c>
      <c r="U23" s="35">
        <f t="shared" si="22"/>
        <v>31484.899999998106</v>
      </c>
      <c r="W23" s="165">
        <v>44490</v>
      </c>
      <c r="X23" s="166">
        <v>152891</v>
      </c>
      <c r="Y23" s="35">
        <f t="shared" si="23"/>
        <v>333</v>
      </c>
      <c r="Z23" s="166">
        <v>7595</v>
      </c>
      <c r="AA23" s="35">
        <f t="shared" si="24"/>
        <v>15</v>
      </c>
      <c r="AB23" s="166">
        <v>13.2</v>
      </c>
      <c r="AC23" s="35">
        <f t="shared" si="26"/>
        <v>0</v>
      </c>
    </row>
    <row r="24" spans="1:29" ht="16.5" thickBot="1" x14ac:dyDescent="0.25">
      <c r="A24" s="10">
        <v>44491</v>
      </c>
      <c r="B24" s="168">
        <v>22505.047999999999</v>
      </c>
      <c r="C24" s="49">
        <f t="shared" si="21"/>
        <v>4.8410000000003492</v>
      </c>
      <c r="D24" s="33">
        <f t="shared" si="9"/>
        <v>9197.9000000006636</v>
      </c>
      <c r="E24" s="1">
        <v>3997.1979999999999</v>
      </c>
      <c r="F24" s="49">
        <f t="shared" si="10"/>
        <v>1.4549999999999272</v>
      </c>
      <c r="G24" s="33">
        <f t="shared" si="11"/>
        <v>2764.4999999998618</v>
      </c>
      <c r="H24" s="1">
        <v>4244</v>
      </c>
      <c r="I24" s="49">
        <f t="shared" si="12"/>
        <v>4</v>
      </c>
      <c r="J24" s="33">
        <f t="shared" si="13"/>
        <v>7600</v>
      </c>
      <c r="K24" s="7">
        <v>13787.33</v>
      </c>
      <c r="L24" s="49">
        <f t="shared" si="14"/>
        <v>2.4799999999995634</v>
      </c>
      <c r="M24" s="33">
        <f t="shared" si="15"/>
        <v>4711.9999999991705</v>
      </c>
      <c r="N24" s="7">
        <v>3277.2420000000002</v>
      </c>
      <c r="O24" s="49">
        <f t="shared" si="16"/>
        <v>1.5360000000000582</v>
      </c>
      <c r="P24" s="33">
        <f t="shared" si="17"/>
        <v>2918.4000000001101</v>
      </c>
      <c r="Q24" s="7">
        <v>5207.96</v>
      </c>
      <c r="R24" s="49">
        <f t="shared" si="18"/>
        <v>0.77999999999974534</v>
      </c>
      <c r="S24" s="33">
        <f t="shared" si="19"/>
        <v>1481.9999999995161</v>
      </c>
      <c r="T24" s="8">
        <f t="shared" si="25"/>
        <v>15.091999999999643</v>
      </c>
      <c r="U24" s="35">
        <f t="shared" si="22"/>
        <v>28674.799999999323</v>
      </c>
      <c r="W24" s="165">
        <v>44491</v>
      </c>
      <c r="X24" s="166">
        <v>153052</v>
      </c>
      <c r="Y24" s="35">
        <f t="shared" si="23"/>
        <v>161</v>
      </c>
      <c r="Z24" s="166">
        <v>7604</v>
      </c>
      <c r="AA24" s="35">
        <f t="shared" si="24"/>
        <v>9</v>
      </c>
      <c r="AB24" s="166">
        <v>13.2</v>
      </c>
      <c r="AC24" s="35">
        <f t="shared" si="26"/>
        <v>0</v>
      </c>
    </row>
    <row r="25" spans="1:29" ht="16.5" thickBot="1" x14ac:dyDescent="0.25">
      <c r="A25" s="10">
        <v>44492</v>
      </c>
      <c r="B25" s="168">
        <v>22510.633000000002</v>
      </c>
      <c r="C25" s="49">
        <f t="shared" si="21"/>
        <v>5.5850000000027649</v>
      </c>
      <c r="D25" s="33">
        <f t="shared" si="9"/>
        <v>10611.500000005251</v>
      </c>
      <c r="E25" s="1">
        <v>3998.7049999999999</v>
      </c>
      <c r="F25" s="49">
        <f t="shared" si="10"/>
        <v>1.5070000000000618</v>
      </c>
      <c r="G25" s="33">
        <f t="shared" si="11"/>
        <v>2863.3000000001175</v>
      </c>
      <c r="H25" s="1">
        <v>4249</v>
      </c>
      <c r="I25" s="49">
        <f t="shared" si="12"/>
        <v>5</v>
      </c>
      <c r="J25" s="33">
        <f t="shared" si="13"/>
        <v>9500</v>
      </c>
      <c r="K25" s="7">
        <v>13788.17</v>
      </c>
      <c r="L25" s="49">
        <f t="shared" si="14"/>
        <v>0.84000000000014552</v>
      </c>
      <c r="M25" s="33">
        <f t="shared" si="15"/>
        <v>1596.0000000002763</v>
      </c>
      <c r="N25" s="7">
        <v>3278.9450000000002</v>
      </c>
      <c r="O25" s="49">
        <f t="shared" si="16"/>
        <v>1.7029999999999745</v>
      </c>
      <c r="P25" s="33">
        <f t="shared" si="17"/>
        <v>3235.6999999999516</v>
      </c>
      <c r="Q25" s="7">
        <v>5208.4399999999996</v>
      </c>
      <c r="R25" s="49">
        <f t="shared" si="18"/>
        <v>0.47999999999956344</v>
      </c>
      <c r="S25" s="33">
        <f t="shared" si="19"/>
        <v>911.99999999917043</v>
      </c>
      <c r="T25" s="8">
        <f t="shared" si="25"/>
        <v>15.11500000000251</v>
      </c>
      <c r="U25" s="35">
        <f t="shared" si="22"/>
        <v>28718.500000004766</v>
      </c>
      <c r="W25" s="165">
        <v>44492</v>
      </c>
      <c r="X25" s="166">
        <v>153211</v>
      </c>
      <c r="Y25" s="35">
        <f t="shared" si="23"/>
        <v>159</v>
      </c>
      <c r="Z25" s="166">
        <v>7612</v>
      </c>
      <c r="AA25" s="35">
        <f t="shared" si="24"/>
        <v>8</v>
      </c>
      <c r="AB25" s="166">
        <v>13.2</v>
      </c>
      <c r="AC25" s="35">
        <f t="shared" si="26"/>
        <v>0</v>
      </c>
    </row>
    <row r="26" spans="1:29" ht="16.5" thickBot="1" x14ac:dyDescent="0.25">
      <c r="A26" s="10">
        <v>44493</v>
      </c>
      <c r="B26" s="168">
        <v>22515.53</v>
      </c>
      <c r="C26" s="49">
        <f t="shared" si="21"/>
        <v>4.896999999997206</v>
      </c>
      <c r="D26" s="33">
        <f t="shared" si="9"/>
        <v>9304.2999999946915</v>
      </c>
      <c r="E26" s="1">
        <v>3999.819</v>
      </c>
      <c r="F26" s="49">
        <f t="shared" si="10"/>
        <v>1.1140000000000327</v>
      </c>
      <c r="G26" s="33">
        <f t="shared" si="11"/>
        <v>2116.6000000000622</v>
      </c>
      <c r="H26" s="1">
        <v>4254</v>
      </c>
      <c r="I26" s="49">
        <f t="shared" si="12"/>
        <v>5</v>
      </c>
      <c r="J26" s="33">
        <f t="shared" si="13"/>
        <v>9500</v>
      </c>
      <c r="K26" s="7">
        <v>13789.22</v>
      </c>
      <c r="L26" s="49">
        <f t="shared" si="14"/>
        <v>1.0499999999992724</v>
      </c>
      <c r="M26" s="33">
        <f t="shared" si="15"/>
        <v>1994.9999999986173</v>
      </c>
      <c r="N26" s="7">
        <v>3279.13</v>
      </c>
      <c r="O26" s="49">
        <f t="shared" si="16"/>
        <v>0.18499999999994543</v>
      </c>
      <c r="P26" s="33">
        <f t="shared" si="17"/>
        <v>351.49999999989626</v>
      </c>
      <c r="Q26" s="7">
        <v>5210.1099999999997</v>
      </c>
      <c r="R26" s="49">
        <f t="shared" si="18"/>
        <v>1.6700000000000728</v>
      </c>
      <c r="S26" s="33">
        <f t="shared" si="19"/>
        <v>3173.0000000001382</v>
      </c>
      <c r="T26" s="8">
        <f t="shared" si="25"/>
        <v>13.915999999996529</v>
      </c>
      <c r="U26" s="35">
        <f t="shared" si="22"/>
        <v>26440.399999993402</v>
      </c>
      <c r="V26" t="s">
        <v>12</v>
      </c>
      <c r="W26" s="165">
        <v>44493</v>
      </c>
      <c r="X26" s="166">
        <v>153423</v>
      </c>
      <c r="Y26" s="35">
        <f t="shared" si="23"/>
        <v>212</v>
      </c>
      <c r="Z26" s="166">
        <v>7620</v>
      </c>
      <c r="AA26" s="35">
        <f t="shared" si="24"/>
        <v>8</v>
      </c>
      <c r="AB26" s="166">
        <f t="shared" ref="AB26:AB33" si="27">AB25</f>
        <v>13.2</v>
      </c>
      <c r="AC26" s="35">
        <f t="shared" si="26"/>
        <v>0</v>
      </c>
    </row>
    <row r="27" spans="1:29" ht="16.5" thickBot="1" x14ac:dyDescent="0.25">
      <c r="A27" s="10">
        <v>44494</v>
      </c>
      <c r="B27" s="168">
        <v>22520.243999999999</v>
      </c>
      <c r="C27" s="49">
        <f t="shared" si="21"/>
        <v>4.7139999999999418</v>
      </c>
      <c r="D27" s="33">
        <f t="shared" si="9"/>
        <v>8956.5999999998894</v>
      </c>
      <c r="E27" s="1">
        <v>4002.991</v>
      </c>
      <c r="F27" s="49">
        <f t="shared" si="10"/>
        <v>3.1720000000000255</v>
      </c>
      <c r="G27" s="33">
        <f t="shared" si="11"/>
        <v>6026.8000000000475</v>
      </c>
      <c r="H27" s="1">
        <v>4259</v>
      </c>
      <c r="I27" s="49">
        <f t="shared" si="12"/>
        <v>5</v>
      </c>
      <c r="J27" s="33">
        <f t="shared" si="13"/>
        <v>9500</v>
      </c>
      <c r="K27" s="7">
        <v>13792.68</v>
      </c>
      <c r="L27" s="49">
        <f t="shared" si="14"/>
        <v>3.4600000000009459</v>
      </c>
      <c r="M27" s="33">
        <f t="shared" si="15"/>
        <v>6574.0000000017963</v>
      </c>
      <c r="N27" s="7">
        <v>3282.0340000000001</v>
      </c>
      <c r="O27" s="49">
        <f t="shared" si="16"/>
        <v>2.9039999999999964</v>
      </c>
      <c r="P27" s="33">
        <f t="shared" si="17"/>
        <v>5517.5999999999931</v>
      </c>
      <c r="Q27" s="7">
        <v>5212.4399999999996</v>
      </c>
      <c r="R27" s="49">
        <f t="shared" si="18"/>
        <v>2.3299999999999272</v>
      </c>
      <c r="S27" s="33">
        <f t="shared" si="19"/>
        <v>4426.9999999998618</v>
      </c>
      <c r="T27" s="8">
        <f t="shared" si="25"/>
        <v>21.580000000000837</v>
      </c>
      <c r="U27" s="35">
        <f t="shared" si="22"/>
        <v>41002.000000001586</v>
      </c>
      <c r="V27" t="s">
        <v>12</v>
      </c>
      <c r="W27" s="165">
        <v>44494</v>
      </c>
      <c r="X27" s="166">
        <f t="shared" ref="X27:X33" si="28">X26</f>
        <v>153423</v>
      </c>
      <c r="Y27" s="35">
        <f t="shared" si="23"/>
        <v>0</v>
      </c>
      <c r="Z27" s="166">
        <f t="shared" ref="Z27:Z33" si="29">Z26</f>
        <v>7620</v>
      </c>
      <c r="AA27" s="35">
        <f t="shared" si="24"/>
        <v>0</v>
      </c>
      <c r="AB27" s="166">
        <f t="shared" si="27"/>
        <v>13.2</v>
      </c>
      <c r="AC27" s="35">
        <f t="shared" si="26"/>
        <v>0</v>
      </c>
    </row>
    <row r="28" spans="1:29" ht="16.5" thickBot="1" x14ac:dyDescent="0.25">
      <c r="A28" s="10">
        <v>44495</v>
      </c>
      <c r="B28" s="168">
        <v>22524.749</v>
      </c>
      <c r="C28" s="49">
        <f t="shared" si="21"/>
        <v>4.5050000000010186</v>
      </c>
      <c r="D28" s="33">
        <f t="shared" si="9"/>
        <v>8559.5000000019336</v>
      </c>
      <c r="E28" s="1">
        <v>4004.73</v>
      </c>
      <c r="F28" s="49">
        <f t="shared" si="10"/>
        <v>1.7390000000000327</v>
      </c>
      <c r="G28" s="33">
        <f t="shared" si="11"/>
        <v>3304.1000000000622</v>
      </c>
      <c r="H28" s="1">
        <v>4263</v>
      </c>
      <c r="I28" s="49">
        <f t="shared" si="12"/>
        <v>4</v>
      </c>
      <c r="J28" s="33">
        <f t="shared" si="13"/>
        <v>7600</v>
      </c>
      <c r="K28" s="7">
        <v>13793.89</v>
      </c>
      <c r="L28" s="49">
        <f t="shared" si="14"/>
        <v>1.2099999999991269</v>
      </c>
      <c r="M28" s="33">
        <f t="shared" si="15"/>
        <v>2298.9999999983406</v>
      </c>
      <c r="N28" s="7">
        <v>3283.3829999999998</v>
      </c>
      <c r="O28" s="49">
        <f t="shared" si="16"/>
        <v>1.3489999999997053</v>
      </c>
      <c r="P28" s="33">
        <f t="shared" si="17"/>
        <v>2563.0999999994401</v>
      </c>
      <c r="Q28" s="7">
        <v>5213.38</v>
      </c>
      <c r="R28" s="49">
        <f t="shared" si="18"/>
        <v>0.94000000000050932</v>
      </c>
      <c r="S28" s="33">
        <f t="shared" si="19"/>
        <v>1786.0000000009677</v>
      </c>
      <c r="T28" s="8">
        <f t="shared" si="25"/>
        <v>13.743000000000393</v>
      </c>
      <c r="U28" s="35">
        <f t="shared" si="22"/>
        <v>26111.700000000747</v>
      </c>
      <c r="W28" s="165">
        <v>44495</v>
      </c>
      <c r="X28" s="166">
        <v>153638</v>
      </c>
      <c r="Y28" s="35">
        <f t="shared" si="23"/>
        <v>215</v>
      </c>
      <c r="Z28" s="166">
        <v>7637</v>
      </c>
      <c r="AA28" s="35">
        <f t="shared" si="24"/>
        <v>17</v>
      </c>
      <c r="AB28" s="166">
        <f t="shared" si="27"/>
        <v>13.2</v>
      </c>
      <c r="AC28" s="35">
        <f t="shared" si="26"/>
        <v>0</v>
      </c>
    </row>
    <row r="29" spans="1:29" ht="16.5" thickBot="1" x14ac:dyDescent="0.25">
      <c r="A29" s="10">
        <v>44496</v>
      </c>
      <c r="B29" s="168">
        <v>22529.505000000001</v>
      </c>
      <c r="C29" s="49">
        <f t="shared" si="21"/>
        <v>4.7560000000012224</v>
      </c>
      <c r="D29" s="33">
        <f t="shared" si="9"/>
        <v>9036.4000000023225</v>
      </c>
      <c r="E29" s="1">
        <v>4006.73</v>
      </c>
      <c r="F29" s="49">
        <f t="shared" si="10"/>
        <v>2</v>
      </c>
      <c r="G29" s="33">
        <f t="shared" si="11"/>
        <v>3800</v>
      </c>
      <c r="H29" s="1">
        <v>4267</v>
      </c>
      <c r="I29" s="49">
        <f t="shared" si="12"/>
        <v>4</v>
      </c>
      <c r="J29" s="33">
        <f t="shared" si="13"/>
        <v>7600</v>
      </c>
      <c r="K29" s="7">
        <v>13794.08</v>
      </c>
      <c r="L29" s="49">
        <f t="shared" si="14"/>
        <v>0.19000000000050932</v>
      </c>
      <c r="M29" s="33">
        <f t="shared" si="15"/>
        <v>361.00000000096765</v>
      </c>
      <c r="N29" s="7">
        <v>3284.93</v>
      </c>
      <c r="O29" s="49">
        <f t="shared" si="16"/>
        <v>1.5470000000000255</v>
      </c>
      <c r="P29" s="33">
        <f t="shared" si="17"/>
        <v>2939.3000000000484</v>
      </c>
      <c r="Q29" s="7">
        <v>5214.28</v>
      </c>
      <c r="R29" s="49">
        <f t="shared" si="18"/>
        <v>0.8999999999996362</v>
      </c>
      <c r="S29" s="33">
        <f t="shared" si="19"/>
        <v>1709.9999999993088</v>
      </c>
      <c r="T29" s="8">
        <f t="shared" si="25"/>
        <v>13.393000000001393</v>
      </c>
      <c r="U29" s="35">
        <f t="shared" si="22"/>
        <v>25446.700000002646</v>
      </c>
      <c r="W29" s="165">
        <v>44496</v>
      </c>
      <c r="X29" s="166">
        <v>153851</v>
      </c>
      <c r="Y29" s="35">
        <f t="shared" si="23"/>
        <v>213</v>
      </c>
      <c r="Z29" s="166">
        <v>7643</v>
      </c>
      <c r="AA29" s="35">
        <f t="shared" si="24"/>
        <v>6</v>
      </c>
      <c r="AB29" s="166">
        <f t="shared" si="27"/>
        <v>13.2</v>
      </c>
      <c r="AC29" s="35">
        <f t="shared" si="26"/>
        <v>0</v>
      </c>
    </row>
    <row r="30" spans="1:29" ht="16.5" thickBot="1" x14ac:dyDescent="0.25">
      <c r="A30" s="10">
        <v>44497</v>
      </c>
      <c r="B30" s="168">
        <v>22535.404999999999</v>
      </c>
      <c r="C30" s="49">
        <f t="shared" si="21"/>
        <v>5.8999999999978172</v>
      </c>
      <c r="D30" s="33">
        <f t="shared" si="9"/>
        <v>11209.999999995853</v>
      </c>
      <c r="E30" s="1">
        <v>4008.7539999999999</v>
      </c>
      <c r="F30" s="49">
        <f t="shared" si="10"/>
        <v>2.0239999999998872</v>
      </c>
      <c r="G30" s="33">
        <f t="shared" si="11"/>
        <v>3845.5999999997857</v>
      </c>
      <c r="H30" s="1">
        <v>4271</v>
      </c>
      <c r="I30" s="49">
        <f t="shared" si="12"/>
        <v>4</v>
      </c>
      <c r="J30" s="33">
        <f t="shared" si="13"/>
        <v>7600</v>
      </c>
      <c r="K30" s="7">
        <v>13797.62</v>
      </c>
      <c r="L30" s="49">
        <f t="shared" si="14"/>
        <v>3.5400000000008731</v>
      </c>
      <c r="M30" s="33">
        <f t="shared" si="15"/>
        <v>6726.000000001658</v>
      </c>
      <c r="N30" s="7">
        <v>3286.3510000000001</v>
      </c>
      <c r="O30" s="49">
        <f t="shared" si="16"/>
        <v>1.4210000000002765</v>
      </c>
      <c r="P30" s="33">
        <f t="shared" si="17"/>
        <v>2699.9000000005253</v>
      </c>
      <c r="Q30" s="7">
        <v>5215.3999999999996</v>
      </c>
      <c r="R30" s="49">
        <f t="shared" si="18"/>
        <v>1.1199999999998909</v>
      </c>
      <c r="S30" s="33">
        <f t="shared" si="19"/>
        <v>2127.9999999997926</v>
      </c>
      <c r="T30" s="8">
        <f t="shared" si="25"/>
        <v>18.004999999998745</v>
      </c>
      <c r="U30" s="35">
        <f t="shared" si="22"/>
        <v>34209.499999997613</v>
      </c>
      <c r="W30" s="165">
        <v>44497</v>
      </c>
      <c r="X30" s="166">
        <v>154097</v>
      </c>
      <c r="Y30" s="35">
        <f t="shared" si="23"/>
        <v>246</v>
      </c>
      <c r="Z30" s="166">
        <v>7650</v>
      </c>
      <c r="AA30" s="35">
        <f>Z30-Z29</f>
        <v>7</v>
      </c>
      <c r="AB30" s="166">
        <v>13.35</v>
      </c>
      <c r="AC30" s="35">
        <f t="shared" si="26"/>
        <v>0.15000000000000036</v>
      </c>
    </row>
    <row r="31" spans="1:29" ht="16.5" thickBot="1" x14ac:dyDescent="0.25">
      <c r="A31" s="10">
        <v>44498</v>
      </c>
      <c r="B31" s="168">
        <f t="shared" ref="B30:B33" si="30">B30</f>
        <v>22535.404999999999</v>
      </c>
      <c r="C31" s="49">
        <f t="shared" si="21"/>
        <v>0</v>
      </c>
      <c r="D31" s="33">
        <f t="shared" si="9"/>
        <v>0</v>
      </c>
      <c r="E31" s="1">
        <f t="shared" ref="E30:E33" si="31">E30</f>
        <v>4008.7539999999999</v>
      </c>
      <c r="F31" s="49">
        <f t="shared" si="10"/>
        <v>0</v>
      </c>
      <c r="G31" s="33">
        <f t="shared" si="11"/>
        <v>0</v>
      </c>
      <c r="H31" s="1">
        <f t="shared" ref="H30:H33" si="32">H30</f>
        <v>4271</v>
      </c>
      <c r="I31" s="49">
        <f t="shared" si="12"/>
        <v>0</v>
      </c>
      <c r="J31" s="33">
        <f t="shared" si="13"/>
        <v>0</v>
      </c>
      <c r="K31" s="7">
        <f t="shared" ref="K30:K33" si="33">K30</f>
        <v>13797.62</v>
      </c>
      <c r="L31" s="49">
        <f t="shared" si="14"/>
        <v>0</v>
      </c>
      <c r="M31" s="33">
        <f t="shared" si="15"/>
        <v>0</v>
      </c>
      <c r="N31" s="7">
        <f t="shared" ref="N30:N33" si="34">N30</f>
        <v>3286.3510000000001</v>
      </c>
      <c r="O31" s="49">
        <f t="shared" si="16"/>
        <v>0</v>
      </c>
      <c r="P31" s="33">
        <f t="shared" si="17"/>
        <v>0</v>
      </c>
      <c r="Q31" s="7">
        <f t="shared" ref="Q30:Q33" si="35">Q30</f>
        <v>5215.3999999999996</v>
      </c>
      <c r="R31" s="49">
        <f t="shared" si="18"/>
        <v>0</v>
      </c>
      <c r="S31" s="33">
        <f t="shared" si="19"/>
        <v>0</v>
      </c>
      <c r="T31" s="8">
        <f t="shared" si="25"/>
        <v>0</v>
      </c>
      <c r="U31" s="35">
        <f t="shared" si="22"/>
        <v>0</v>
      </c>
      <c r="W31" s="165">
        <v>44498</v>
      </c>
      <c r="X31" s="166">
        <f t="shared" si="28"/>
        <v>154097</v>
      </c>
      <c r="Y31" s="35">
        <f t="shared" si="23"/>
        <v>0</v>
      </c>
      <c r="Z31" s="166">
        <f t="shared" si="29"/>
        <v>7650</v>
      </c>
      <c r="AA31" s="35">
        <f t="shared" si="24"/>
        <v>0</v>
      </c>
      <c r="AB31" s="166">
        <f t="shared" si="27"/>
        <v>13.35</v>
      </c>
      <c r="AC31" s="35">
        <f t="shared" si="26"/>
        <v>0</v>
      </c>
    </row>
    <row r="32" spans="1:29" ht="16.5" thickBot="1" x14ac:dyDescent="0.25">
      <c r="A32" s="10">
        <v>44499</v>
      </c>
      <c r="B32" s="168">
        <f t="shared" si="30"/>
        <v>22535.404999999999</v>
      </c>
      <c r="C32" s="49">
        <f t="shared" si="21"/>
        <v>0</v>
      </c>
      <c r="D32" s="33">
        <f t="shared" si="9"/>
        <v>0</v>
      </c>
      <c r="E32" s="1">
        <f t="shared" si="31"/>
        <v>4008.7539999999999</v>
      </c>
      <c r="F32" s="49">
        <f t="shared" si="10"/>
        <v>0</v>
      </c>
      <c r="G32" s="33">
        <f t="shared" si="11"/>
        <v>0</v>
      </c>
      <c r="H32" s="1">
        <f t="shared" si="32"/>
        <v>4271</v>
      </c>
      <c r="I32" s="49">
        <f t="shared" si="12"/>
        <v>0</v>
      </c>
      <c r="J32" s="33">
        <f t="shared" si="13"/>
        <v>0</v>
      </c>
      <c r="K32" s="7">
        <f t="shared" si="33"/>
        <v>13797.62</v>
      </c>
      <c r="L32" s="49">
        <f t="shared" si="14"/>
        <v>0</v>
      </c>
      <c r="M32" s="33">
        <f t="shared" si="15"/>
        <v>0</v>
      </c>
      <c r="N32" s="7">
        <f t="shared" si="34"/>
        <v>3286.3510000000001</v>
      </c>
      <c r="O32" s="49">
        <f t="shared" si="16"/>
        <v>0</v>
      </c>
      <c r="P32" s="33">
        <f t="shared" si="17"/>
        <v>0</v>
      </c>
      <c r="Q32" s="7">
        <f t="shared" si="35"/>
        <v>5215.3999999999996</v>
      </c>
      <c r="R32" s="49">
        <f t="shared" si="18"/>
        <v>0</v>
      </c>
      <c r="S32" s="33">
        <f t="shared" si="19"/>
        <v>0</v>
      </c>
      <c r="T32" s="8">
        <f t="shared" si="25"/>
        <v>0</v>
      </c>
      <c r="U32" s="35">
        <f t="shared" si="22"/>
        <v>0</v>
      </c>
      <c r="W32" s="165">
        <v>44499</v>
      </c>
      <c r="X32" s="166">
        <f t="shared" si="28"/>
        <v>154097</v>
      </c>
      <c r="Y32" s="35">
        <f t="shared" si="23"/>
        <v>0</v>
      </c>
      <c r="Z32" s="166">
        <f t="shared" si="29"/>
        <v>7650</v>
      </c>
      <c r="AA32" s="35">
        <f t="shared" si="24"/>
        <v>0</v>
      </c>
      <c r="AB32" s="166">
        <f t="shared" si="27"/>
        <v>13.35</v>
      </c>
      <c r="AC32" s="35">
        <f t="shared" si="26"/>
        <v>0</v>
      </c>
    </row>
    <row r="33" spans="1:29" ht="16.5" thickBot="1" x14ac:dyDescent="0.25">
      <c r="A33" s="10">
        <v>44500</v>
      </c>
      <c r="B33" s="168">
        <f t="shared" si="30"/>
        <v>22535.404999999999</v>
      </c>
      <c r="C33" s="49">
        <f t="shared" ref="C33" si="36">IF((B33-B32)&lt;0,"0",(B33-B32))</f>
        <v>0</v>
      </c>
      <c r="D33" s="33">
        <f t="shared" si="9"/>
        <v>0</v>
      </c>
      <c r="E33" s="1">
        <f t="shared" si="31"/>
        <v>4008.7539999999999</v>
      </c>
      <c r="F33" s="49">
        <f t="shared" si="10"/>
        <v>0</v>
      </c>
      <c r="G33" s="33">
        <f t="shared" si="11"/>
        <v>0</v>
      </c>
      <c r="H33" s="1">
        <f t="shared" si="32"/>
        <v>4271</v>
      </c>
      <c r="I33" s="49">
        <f t="shared" si="12"/>
        <v>0</v>
      </c>
      <c r="J33" s="33">
        <f t="shared" si="13"/>
        <v>0</v>
      </c>
      <c r="K33" s="7">
        <f t="shared" si="33"/>
        <v>13797.62</v>
      </c>
      <c r="L33" s="49">
        <f t="shared" si="14"/>
        <v>0</v>
      </c>
      <c r="M33" s="33">
        <f t="shared" si="15"/>
        <v>0</v>
      </c>
      <c r="N33" s="7">
        <f t="shared" si="34"/>
        <v>3286.3510000000001</v>
      </c>
      <c r="O33" s="49">
        <f t="shared" si="16"/>
        <v>0</v>
      </c>
      <c r="P33" s="33">
        <f t="shared" si="17"/>
        <v>0</v>
      </c>
      <c r="Q33" s="7">
        <f t="shared" si="35"/>
        <v>5215.3999999999996</v>
      </c>
      <c r="R33" s="49">
        <f t="shared" si="18"/>
        <v>0</v>
      </c>
      <c r="S33" s="33">
        <f t="shared" si="19"/>
        <v>0</v>
      </c>
      <c r="T33" s="8">
        <f t="shared" si="25"/>
        <v>0</v>
      </c>
      <c r="U33" s="35">
        <f t="shared" si="22"/>
        <v>0</v>
      </c>
      <c r="W33" s="165">
        <v>44500</v>
      </c>
      <c r="X33" s="166">
        <f t="shared" si="28"/>
        <v>154097</v>
      </c>
      <c r="Y33" s="35">
        <f t="shared" si="23"/>
        <v>0</v>
      </c>
      <c r="Z33" s="166">
        <f t="shared" si="29"/>
        <v>7650</v>
      </c>
      <c r="AA33" s="35">
        <f t="shared" si="24"/>
        <v>0</v>
      </c>
      <c r="AB33" s="166">
        <f t="shared" si="27"/>
        <v>13.35</v>
      </c>
      <c r="AC33" s="35">
        <f t="shared" si="26"/>
        <v>0</v>
      </c>
    </row>
    <row r="34" spans="1:29" s="25" customFormat="1" ht="16.5" thickBot="1" x14ac:dyDescent="0.25">
      <c r="A34" s="6" t="s">
        <v>23</v>
      </c>
      <c r="B34" s="169"/>
      <c r="C34" s="144">
        <f>SUM(C3:C33)</f>
        <v>189.47199999999793</v>
      </c>
      <c r="D34" s="144">
        <f>SUM(D2:D33)</f>
        <v>359996.79999999603</v>
      </c>
      <c r="E34" s="144">
        <v>0</v>
      </c>
      <c r="F34" s="144">
        <f>SUM(F2:F33)</f>
        <v>57.934999999999945</v>
      </c>
      <c r="G34" s="144">
        <f>SUM(G2:G33)</f>
        <v>110076.49999999988</v>
      </c>
      <c r="H34" s="144"/>
      <c r="I34" s="144">
        <f>SUM(I2:I33)</f>
        <v>144</v>
      </c>
      <c r="J34" s="144">
        <f>SUM(J2:J33)</f>
        <v>273600</v>
      </c>
      <c r="K34" s="144"/>
      <c r="L34" s="144">
        <f>SUM(L2:L33)</f>
        <v>62.360000000000582</v>
      </c>
      <c r="M34" s="144">
        <f>SUM(M2:M33)</f>
        <v>118484.00000000108</v>
      </c>
      <c r="N34" s="144"/>
      <c r="O34" s="144">
        <f>SUM(O2:O33)</f>
        <v>43.96100000000024</v>
      </c>
      <c r="P34" s="144">
        <f>SUM(P2:P33)</f>
        <v>83525.90000000046</v>
      </c>
      <c r="Q34" s="144"/>
      <c r="R34" s="144">
        <f>SUM(R2:R33)</f>
        <v>40.509999999999309</v>
      </c>
      <c r="S34" s="144">
        <f>SUM(S2:S33)</f>
        <v>76968.999999998661</v>
      </c>
      <c r="T34" s="144">
        <f>SUM(T2:T33)</f>
        <v>538.23799999999801</v>
      </c>
      <c r="U34" s="144">
        <f>SUM(U2:U33)</f>
        <v>1022652.1999999962</v>
      </c>
      <c r="V34"/>
      <c r="W34" s="144" t="s">
        <v>144</v>
      </c>
      <c r="X34" s="144"/>
      <c r="Y34" s="144">
        <f>SUM(Y4:Y33)</f>
        <v>5893</v>
      </c>
      <c r="Z34" s="144"/>
      <c r="AA34" s="144">
        <f>SUM(AA4:AA33)</f>
        <v>203</v>
      </c>
      <c r="AB34" s="144"/>
      <c r="AC34" s="35">
        <v>0</v>
      </c>
    </row>
  </sheetData>
  <mergeCells count="2">
    <mergeCell ref="W1:AA1"/>
    <mergeCell ref="AB1:AC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9" t="s">
        <v>145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ht="13.5" thickBot="1" x14ac:dyDescent="0.25">
      <c r="A2" s="100"/>
      <c r="B2" s="101" t="s">
        <v>92</v>
      </c>
      <c r="C2" s="102">
        <f>K8+K9+K14</f>
        <v>561807</v>
      </c>
      <c r="D2" s="102">
        <f>C2*1.27</f>
        <v>713494.89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28169755</v>
      </c>
      <c r="J3" s="140">
        <f>ELECT.!E33</f>
        <v>28550700</v>
      </c>
      <c r="K3" s="97">
        <f>J3-I3</f>
        <v>380945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89251722</v>
      </c>
      <c r="J4" s="140">
        <f>ELECT.!G33</f>
        <v>90628848</v>
      </c>
      <c r="K4" s="97">
        <f>J4-I4</f>
        <v>1377126</v>
      </c>
    </row>
    <row r="5" spans="1:11" ht="13.5" thickBot="1" x14ac:dyDescent="0.25">
      <c r="A5" s="100"/>
      <c r="B5" s="106" t="s">
        <v>27</v>
      </c>
      <c r="C5" s="110">
        <f>(K10+K12)*0.842284+K26</f>
        <v>787026.49520400004</v>
      </c>
      <c r="D5" s="110">
        <f t="shared" ref="D5:D11" si="0">C5*1.27</f>
        <v>999523.64890908008</v>
      </c>
      <c r="E5" s="111"/>
      <c r="F5" s="100"/>
      <c r="G5" s="100"/>
      <c r="H5" s="106" t="s">
        <v>23</v>
      </c>
      <c r="I5" s="112"/>
      <c r="J5" s="112"/>
      <c r="K5" s="132">
        <f>K3+K4</f>
        <v>1758071</v>
      </c>
    </row>
    <row r="6" spans="1:11" ht="13.5" thickBot="1" x14ac:dyDescent="0.25">
      <c r="A6" s="100"/>
      <c r="B6" s="106" t="s">
        <v>99</v>
      </c>
      <c r="C6" s="110">
        <f>(K10+K12+K26)*0.1488</f>
        <v>138445.1568</v>
      </c>
      <c r="D6" s="110">
        <f t="shared" si="0"/>
        <v>175825.349136</v>
      </c>
      <c r="E6" s="111"/>
      <c r="F6" s="100"/>
      <c r="G6" s="100"/>
      <c r="H6" s="106" t="s">
        <v>100</v>
      </c>
      <c r="I6" s="145">
        <f>ELECT.!J2</f>
        <v>8778888</v>
      </c>
      <c r="J6" s="141">
        <f>ELECT.!J33</f>
        <v>8932997</v>
      </c>
      <c r="K6" s="97">
        <f>J6-I6</f>
        <v>154109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8728564</v>
      </c>
      <c r="J7" s="141">
        <f>ELECT.!L33</f>
        <v>8861588</v>
      </c>
      <c r="K7" s="97">
        <f>J7-I7</f>
        <v>133024</v>
      </c>
    </row>
    <row r="8" spans="1:11" ht="13.5" thickBot="1" x14ac:dyDescent="0.25">
      <c r="A8" s="100"/>
      <c r="B8" s="106" t="s">
        <v>103</v>
      </c>
      <c r="C8" s="110">
        <f>K21+K22+K23+K24</f>
        <v>35166</v>
      </c>
      <c r="D8" s="110">
        <f t="shared" si="0"/>
        <v>44660.82</v>
      </c>
      <c r="E8" s="111"/>
      <c r="F8" s="100"/>
      <c r="G8" s="100"/>
      <c r="H8" s="106" t="s">
        <v>104</v>
      </c>
      <c r="I8" s="145">
        <f>ELECT.!N2</f>
        <v>5883838</v>
      </c>
      <c r="J8" s="141">
        <f>ELECT.!N33</f>
        <v>6005497</v>
      </c>
      <c r="K8" s="97">
        <f>(J8-I8)*2</f>
        <v>243318</v>
      </c>
    </row>
    <row r="9" spans="1:11" ht="13.5" thickBot="1" x14ac:dyDescent="0.25">
      <c r="A9" s="100"/>
      <c r="B9" s="106" t="s">
        <v>137</v>
      </c>
      <c r="C9" s="110">
        <f>K25+K16+K17</f>
        <v>4727</v>
      </c>
      <c r="D9" s="110">
        <f t="shared" si="0"/>
        <v>6003.29</v>
      </c>
      <c r="E9" s="111"/>
      <c r="F9" s="100"/>
      <c r="G9" s="100"/>
      <c r="H9" s="106" t="s">
        <v>105</v>
      </c>
      <c r="I9" s="145">
        <f>ELECT.!P2</f>
        <v>5083775</v>
      </c>
      <c r="J9" s="141">
        <f>ELECT.!P33</f>
        <v>5362079</v>
      </c>
      <c r="K9" s="97">
        <f>J9-I9</f>
        <v>278304</v>
      </c>
    </row>
    <row r="10" spans="1:11" ht="13.5" thickBot="1" x14ac:dyDescent="0.25">
      <c r="A10" s="100"/>
      <c r="B10" s="106" t="s">
        <v>106</v>
      </c>
      <c r="C10" s="110">
        <f>K18</f>
        <v>15680</v>
      </c>
      <c r="D10" s="110">
        <f t="shared" si="0"/>
        <v>19913.599999999999</v>
      </c>
      <c r="E10" s="111"/>
      <c r="F10" s="100"/>
      <c r="G10" s="100"/>
      <c r="H10" s="106" t="s">
        <v>107</v>
      </c>
      <c r="I10" s="145">
        <f>ELECT.!R2</f>
        <v>18831293</v>
      </c>
      <c r="J10" s="141">
        <f>ELECT.!R33</f>
        <v>19117848</v>
      </c>
      <c r="K10" s="97">
        <f>J10-I10</f>
        <v>286555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6635928</v>
      </c>
      <c r="J12" s="141">
        <f>ELECT.!V33</f>
        <v>6947216</v>
      </c>
      <c r="K12" s="97">
        <f>(J12-I12)*2</f>
        <v>622576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1717886</v>
      </c>
    </row>
    <row r="14" spans="1:11" ht="13.5" thickBot="1" x14ac:dyDescent="0.25">
      <c r="A14" s="100"/>
      <c r="B14" s="106" t="s">
        <v>42</v>
      </c>
      <c r="C14" s="110">
        <f>K29</f>
        <v>31600</v>
      </c>
      <c r="D14" s="118">
        <f t="shared" ref="D14:D22" si="1">C14*10.03</f>
        <v>316948</v>
      </c>
      <c r="E14" s="119"/>
      <c r="F14" s="100"/>
      <c r="G14" s="100"/>
      <c r="H14" s="106" t="s">
        <v>114</v>
      </c>
      <c r="I14" s="115"/>
      <c r="J14" s="116"/>
      <c r="K14" s="98">
        <f>K5-K13</f>
        <v>40185</v>
      </c>
    </row>
    <row r="15" spans="1:11" ht="13.5" thickBot="1" x14ac:dyDescent="0.25">
      <c r="A15" s="100"/>
      <c r="B15" s="106" t="s">
        <v>115</v>
      </c>
      <c r="C15" s="120">
        <f>K30</f>
        <v>141.75</v>
      </c>
      <c r="D15" s="118">
        <f t="shared" si="1"/>
        <v>1421.7524999999998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3379.1213499999999</v>
      </c>
      <c r="D16" s="118">
        <f t="shared" si="1"/>
        <v>33892.5871405</v>
      </c>
      <c r="E16" s="119"/>
      <c r="F16" s="100"/>
      <c r="G16" s="100"/>
      <c r="H16" s="121" t="s">
        <v>136</v>
      </c>
      <c r="I16" s="122">
        <f>'Mall, Citadel, Rotana'!T2</f>
        <v>3788</v>
      </c>
      <c r="J16" s="122">
        <f>'Mall, Citadel, Rotana'!T33</f>
        <v>3817</v>
      </c>
      <c r="K16" s="99">
        <f>(J16-I16)*160</f>
        <v>4640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25431</v>
      </c>
      <c r="J18" s="122">
        <f>'Mall, Citadel, Rotana'!L33</f>
        <v>25529</v>
      </c>
      <c r="K18" s="99">
        <f>(J18-I18)*160</f>
        <v>15680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0" t="s">
        <v>116</v>
      </c>
      <c r="F19" s="181"/>
      <c r="G19" s="100"/>
      <c r="H19" s="121" t="s">
        <v>117</v>
      </c>
      <c r="I19" s="122">
        <f>'Mall, Citadel, Rotana'!P2</f>
        <v>122812</v>
      </c>
      <c r="J19" s="122">
        <f>'Mall, Citadel, Rotana'!P33</f>
        <v>127961</v>
      </c>
      <c r="K19" s="99">
        <f>J19-I19</f>
        <v>5149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55047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45982</v>
      </c>
      <c r="J21" s="122">
        <f>'Mall, Citadel, Rotana'!B33</f>
        <v>46119</v>
      </c>
      <c r="K21" s="99">
        <f>(J21-I21)*120</f>
        <v>16440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22259.128649999999</v>
      </c>
      <c r="D22" s="118">
        <f t="shared" si="1"/>
        <v>223259.06035949997</v>
      </c>
      <c r="E22" s="119"/>
      <c r="F22" s="100"/>
      <c r="G22" s="100"/>
      <c r="H22" s="121" t="s">
        <v>15</v>
      </c>
      <c r="I22" s="122">
        <f>'Mall, Citadel, Rotana'!D2</f>
        <v>39892</v>
      </c>
      <c r="J22" s="122">
        <f>'Mall, Citadel, Rotana'!D33</f>
        <v>39986</v>
      </c>
      <c r="K22" s="99">
        <f>(J22-I22)*160</f>
        <v>15040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20840</v>
      </c>
      <c r="J23" s="122">
        <f>'Mall, Citadel, Rotana'!F33</f>
        <v>20939</v>
      </c>
      <c r="K23" s="99">
        <f>(J23-I23)*20</f>
        <v>1980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249062</v>
      </c>
      <c r="J24" s="122">
        <f>'Mall, Citadel, Rotana'!H33</f>
        <v>250768</v>
      </c>
      <c r="K24" s="99">
        <f>J24-I24</f>
        <v>1706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215931</v>
      </c>
      <c r="J25" s="122">
        <f>'Mall, Citadel, Rotana'!N33</f>
        <v>216018</v>
      </c>
      <c r="K25" s="99">
        <f>J25-I25</f>
        <v>87</v>
      </c>
    </row>
    <row r="26" spans="1:11" ht="13.5" thickBot="1" x14ac:dyDescent="0.25">
      <c r="A26" s="100"/>
      <c r="B26" s="106" t="s">
        <v>42</v>
      </c>
      <c r="C26" s="124">
        <f>K35</f>
        <v>66015</v>
      </c>
      <c r="D26" s="110">
        <f>C26*3.65</f>
        <v>240954.75</v>
      </c>
      <c r="E26" s="111"/>
      <c r="F26" s="100"/>
      <c r="G26" s="100"/>
      <c r="H26" s="121" t="s">
        <v>123</v>
      </c>
      <c r="I26" s="131">
        <f>ELECT.!C2</f>
        <v>18921</v>
      </c>
      <c r="J26" s="131">
        <f>ELECT.!C33</f>
        <v>19054</v>
      </c>
      <c r="K26" s="99">
        <f>(J26-I26)*160</f>
        <v>21280</v>
      </c>
    </row>
    <row r="27" spans="1:11" ht="13.5" thickBot="1" x14ac:dyDescent="0.25">
      <c r="A27" s="100"/>
      <c r="B27" s="101" t="s">
        <v>124</v>
      </c>
      <c r="C27" s="124">
        <f>C26</f>
        <v>66015</v>
      </c>
      <c r="D27" s="110">
        <f>C27*3.65</f>
        <v>240954.75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426643</v>
      </c>
      <c r="J29" s="122">
        <f>Water!B33</f>
        <v>429803</v>
      </c>
      <c r="K29" s="99">
        <f>(J29-I29)*10</f>
        <v>31600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750150</v>
      </c>
      <c r="J30" s="122">
        <f>Water!H33</f>
        <v>755400</v>
      </c>
      <c r="K30" s="99">
        <f>(J30-I30)*0.027</f>
        <v>141.75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5798600</v>
      </c>
      <c r="J32" s="122">
        <f>Water!F33</f>
        <v>6334600</v>
      </c>
      <c r="K32" s="99">
        <f>(J32-I32)*0.027</f>
        <v>14472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17637581</v>
      </c>
      <c r="J35" s="143">
        <f>Gas!B33</f>
        <v>17703596</v>
      </c>
      <c r="K35" s="130">
        <f>J35-I35</f>
        <v>66015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A34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9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9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8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8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9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9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9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9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8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8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9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9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9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9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8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8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9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9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9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9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8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8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9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9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9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9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8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8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9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9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9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9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8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8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9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9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9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9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8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8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9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9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9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9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8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8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9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9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9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9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8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8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9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9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9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9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8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8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9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9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9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9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8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8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9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9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9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9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8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8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9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9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9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9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8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8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9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9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9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9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8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8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9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9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9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9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8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8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9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9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8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8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90">
        <v>23</v>
      </c>
      <c r="D49" s="66" t="s">
        <v>83</v>
      </c>
      <c r="E49" s="81"/>
      <c r="F49" s="81"/>
      <c r="G49" s="68">
        <f t="shared" si="0"/>
        <v>0</v>
      </c>
      <c r="H49" s="69"/>
      <c r="J49" s="19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8"/>
      <c r="D50" s="66" t="s">
        <v>82</v>
      </c>
      <c r="E50" s="81"/>
      <c r="F50" s="81"/>
      <c r="G50" s="68">
        <f t="shared" si="0"/>
        <v>0</v>
      </c>
      <c r="H50" s="69"/>
      <c r="J50" s="198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9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9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200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200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201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201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9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9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9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9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9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9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9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9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9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9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9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9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90">
        <v>28</v>
      </c>
      <c r="D62" s="185" t="s">
        <v>86</v>
      </c>
      <c r="E62" s="67"/>
      <c r="F62" s="67"/>
      <c r="G62" s="68"/>
      <c r="H62" s="187" t="s">
        <v>87</v>
      </c>
      <c r="I62" s="72"/>
      <c r="J62" s="190">
        <v>28</v>
      </c>
      <c r="K62" s="185" t="s">
        <v>86</v>
      </c>
      <c r="L62" s="67"/>
      <c r="M62" s="67"/>
      <c r="N62" s="68"/>
      <c r="O62" s="187" t="s">
        <v>87</v>
      </c>
    </row>
    <row r="63" spans="1:15" ht="15" x14ac:dyDescent="0.2">
      <c r="A63" s="72"/>
      <c r="B63" s="62"/>
      <c r="C63" s="191"/>
      <c r="D63" s="186"/>
      <c r="E63" s="67"/>
      <c r="F63" s="67"/>
      <c r="G63" s="68"/>
      <c r="H63" s="188"/>
      <c r="I63" s="72"/>
      <c r="J63" s="191"/>
      <c r="K63" s="186"/>
      <c r="L63" s="67"/>
      <c r="M63" s="67"/>
      <c r="N63" s="68"/>
      <c r="O63" s="188"/>
    </row>
    <row r="64" spans="1:15" x14ac:dyDescent="0.2">
      <c r="A64" s="72"/>
      <c r="B64" s="62"/>
      <c r="C64" s="189" t="s">
        <v>88</v>
      </c>
      <c r="D64" s="189"/>
      <c r="E64" s="189"/>
      <c r="F64" s="189"/>
      <c r="G64" s="86">
        <f>SUM(G2:G63)</f>
        <v>27078</v>
      </c>
      <c r="H64" s="87"/>
      <c r="I64" s="72"/>
      <c r="J64" s="189" t="s">
        <v>88</v>
      </c>
      <c r="K64" s="189"/>
      <c r="L64" s="189"/>
      <c r="M64" s="189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2">
        <v>44378</v>
      </c>
      <c r="C69" s="193"/>
      <c r="D69" s="193"/>
      <c r="E69" s="194"/>
      <c r="F69" s="90"/>
      <c r="G69" s="195">
        <v>44409</v>
      </c>
      <c r="H69" s="196"/>
      <c r="I69" s="196"/>
      <c r="J69" s="197"/>
      <c r="K69" s="90"/>
      <c r="L69" s="182" t="s">
        <v>25</v>
      </c>
      <c r="M69" s="183"/>
      <c r="N69" s="183"/>
      <c r="O69" s="184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2021-10-28T23:30:01Z</dcterms:modified>
</cp:coreProperties>
</file>