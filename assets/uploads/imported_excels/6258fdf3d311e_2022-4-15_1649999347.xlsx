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October 2021" sheetId="14" r:id="rId2"/>
    <sheet name="RNs &amp; Covers Octo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8" i="14" l="1"/>
  <c r="AK46" i="14"/>
  <c r="AH48" i="14"/>
  <c r="AA48" i="14"/>
  <c r="P48" i="14"/>
  <c r="B32" i="11" l="1"/>
  <c r="I32" i="11"/>
  <c r="J32" i="11"/>
  <c r="M32" i="11"/>
  <c r="N32" i="11"/>
  <c r="AH46" i="14" l="1"/>
  <c r="R46" i="14"/>
  <c r="Q46" i="14"/>
  <c r="C37" i="10" l="1"/>
  <c r="B37" i="10"/>
  <c r="A36" i="10"/>
  <c r="I42" i="14"/>
  <c r="N42" i="14"/>
  <c r="P42" i="14"/>
  <c r="E32" i="11" s="1"/>
  <c r="V42" i="14"/>
  <c r="K32" i="11" s="1"/>
  <c r="AA42" i="14"/>
  <c r="AG42" i="14"/>
  <c r="AI42" i="14"/>
  <c r="AL42" i="14"/>
  <c r="G32" i="11" l="1"/>
  <c r="H32" i="11"/>
  <c r="AB42" i="14"/>
  <c r="L32" i="11"/>
  <c r="O42" i="14"/>
  <c r="F32" i="11" s="1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Y50" i="14" s="1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S46" i="14" s="1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<sst xmlns="http://schemas.openxmlformats.org/spreadsheetml/2006/main" count="101" uniqueCount="55">
  <si>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</si>
  <si>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</si>
  <si>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</si>
  <si>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</si>
  <si>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</si>
  <si>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</si>
  <si>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</si>
  <si>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</si>
  <si>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</si>
  <si>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</si>
  <si>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</si>
  <si>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</si>
  <si>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</si>
  <si>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</si>
  <si>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</si>
  <si>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</si>
  <si>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</si>
  <si>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</si>
  <si>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</si>
  <si>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</si>
  <si>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</si>
  <si>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</si>
  <si>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</si>
  <si>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</si>
  <si>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</si>
  <si>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</si>
  <si>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</si>
  <si>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</si>
  <si>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</si>
  <si>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</si>
  <si>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</si>
  <si>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</si>
  <si>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</si>
  <si>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</si>
  <si>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</si>
  <si>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</si>
  <si>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</si>
  <si>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</si>
  <si>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</si>
  <si>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</si>
  <si>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</si>
  <si>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</si>
  <si>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</si>
  <si>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</si>
  <si>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</si>
  <si>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</si>
  <si>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</si>
  <si>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</si>
  <si>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</si>
  <si>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</si>
  <si>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</si>
  <si>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</si>
  <si>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</si>
  <si>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</si>
  <si>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OCTOBER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</si>
</sst>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168" fontId="0" fillId="0" borderId="29" xfId="2" applyNumberFormat="1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10" xfId="2" applyNumberFormat="1" applyFont="1" applyBorder="1"/>
    <xf numFmtId="43" fontId="0" fillId="0" borderId="45" xfId="2" applyFont="1" applyBorder="1"/>
    <xf numFmtId="43" fontId="0" fillId="0" borderId="57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7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8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3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4" xfId="2" applyNumberFormat="1" applyFont="1" applyFill="1" applyBorder="1" applyProtection="1">
      <protection locked="0"/>
    </xf>
    <xf numFmtId="168" fontId="14" fillId="3" borderId="45" xfId="2" applyNumberFormat="1" applyFont="1" applyFill="1" applyBorder="1" applyProtection="1">
      <protection locked="0"/>
    </xf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7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8" fontId="14" fillId="3" borderId="55" xfId="2" applyNumberFormat="1" applyFont="1" applyFill="1" applyBorder="1" applyProtection="1">
      <protection locked="0"/>
    </xf>
    <xf numFmtId="168" fontId="14" fillId="3" borderId="5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9" fontId="0" fillId="0" borderId="29" xfId="2" applyNumberFormat="1" applyFont="1" applyBorder="1"/>
    <xf numFmtId="43" fontId="0" fillId="0" borderId="32" xfId="0" applyNumberFormat="1" applyBorder="1"/>
    <xf numFmtId="168" fontId="2" fillId="0" borderId="29" xfId="2" applyNumberFormat="1" applyFont="1" applyBorder="1"/>
    <xf numFmtId="43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8" xfId="2" applyFont="1" applyFill="1" applyBorder="1"/>
    <xf numFmtId="168" fontId="1" fillId="0" borderId="56" xfId="2" applyNumberFormat="1" applyFont="1" applyBorder="1"/>
    <xf numFmtId="168" fontId="0" fillId="0" borderId="30" xfId="0" applyNumberFormat="1" applyBorder="1"/>
    <xf numFmtId="168" fontId="0" fillId="0" borderId="32" xfId="0" applyNumberFormat="1" applyBorder="1"/>
    <xf numFmtId="170" fontId="0" fillId="0" borderId="30" xfId="2" applyNumberFormat="1" applyFont="1" applyBorder="1"/>
    <xf numFmtId="171" fontId="0" fillId="0" borderId="69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4" fillId="0" borderId="0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E22" sqref="E22"/>
    </sheetView>
  </sheetViews>
  <sheetFormatPr defaultColWidth="11.5703125" defaultRowHeight="15" x14ac:dyDescent="0.25"/>
  <cols>
    <col min="1" max="1" width="18.42578125" style="154" customWidth="1"/>
    <col min="2" max="2" width="11.5703125" style="155"/>
    <col min="3" max="3" width="11.5703125" style="156"/>
    <col min="4" max="4" width="13.42578125" style="155" customWidth="1"/>
    <col min="5" max="5" width="12.5703125" style="153" customWidth="1"/>
    <col min="6" max="6" width="12.5703125" style="157" customWidth="1"/>
    <col min="7" max="7" width="11.5703125" style="153"/>
    <col min="8" max="8" width="11.5703125" style="157"/>
    <col min="9" max="9" width="11.5703125" style="158"/>
    <col min="10" max="10" width="11.5703125" style="159"/>
    <col min="11" max="11" width="11.5703125" style="153"/>
    <col min="12" max="12" width="11.5703125" style="159"/>
    <col min="13" max="26" width="11.5703125" style="153"/>
  </cols>
  <sheetData>
    <row r="1" spans="1:15" s="147" customFormat="1" ht="60" x14ac:dyDescent="0.25">
      <c r="A1" s="143" t="s">
        <v>37</v>
      </c>
      <c r="B1" s="143" t="s">
        <v>38</v>
      </c>
      <c r="C1" s="144" t="s">
        <v>39</v>
      </c>
      <c r="D1" s="143" t="s">
        <v>40</v>
      </c>
      <c r="E1" s="142" t="s">
        <v>41</v>
      </c>
      <c r="F1" s="145" t="s">
        <v>42</v>
      </c>
      <c r="G1" s="142" t="s">
        <v>47</v>
      </c>
      <c r="H1" s="145" t="s">
        <v>48</v>
      </c>
      <c r="I1" s="161" t="s">
        <v>53</v>
      </c>
      <c r="J1" s="145" t="s">
        <v>50</v>
      </c>
      <c r="K1" s="142" t="s">
        <v>43</v>
      </c>
      <c r="L1" s="146" t="s">
        <v>44</v>
      </c>
      <c r="M1" s="142" t="s">
        <v>45</v>
      </c>
      <c r="N1" s="142" t="s">
        <v>3</v>
      </c>
    </row>
    <row r="2" spans="1:15" x14ac:dyDescent="0.25">
      <c r="A2" s="148" t="s">
        <v>49</v>
      </c>
      <c r="B2" s="149">
        <v>1</v>
      </c>
      <c r="C2" s="150">
        <v>10</v>
      </c>
      <c r="D2" s="149">
        <v>2021</v>
      </c>
      <c r="E2" s="151">
        <f>'FS Jimbaran October 2021'!P12</f>
        <v>13340.000000000131</v>
      </c>
      <c r="F2" s="160">
        <f>'FS Jimbaran October 2021'!O12/'FS Jimbaran October 2021'!P12</f>
        <v>1125.0713793103437</v>
      </c>
      <c r="G2" s="151">
        <f>'FS Jimbaran October 2021'!AG12</f>
        <v>12</v>
      </c>
      <c r="H2" s="160">
        <f>'FS Jimbaran October 2021'!AH12/'FS Jimbaran October 2021'!AG12</f>
        <v>11458.333333333334</v>
      </c>
      <c r="I2" s="151">
        <f>'FS Jimbaran October 2021'!AJ12</f>
        <v>340.79000000000087</v>
      </c>
      <c r="J2" s="152">
        <f>'FS Jimbaran October 2021'!AK12/'FS Jimbaran October 2021'!AJ12</f>
        <v>11100</v>
      </c>
      <c r="K2" s="151">
        <f>'FS Jimbaran October 2021'!V12</f>
        <v>1004.81</v>
      </c>
      <c r="L2" s="160">
        <f>'FS Jimbaran October 2021'!AA12/'FS Jimbaran October 2021'!V12</f>
        <v>5813.4406554472989</v>
      </c>
      <c r="M2" s="151">
        <f>+'RNs &amp; Covers October 2021'!B6</f>
        <v>11</v>
      </c>
      <c r="N2" s="162">
        <f>+'RNs &amp; Covers October 2021'!C6</f>
        <v>91</v>
      </c>
    </row>
    <row r="3" spans="1:15" x14ac:dyDescent="0.25">
      <c r="A3" s="148" t="s">
        <v>49</v>
      </c>
      <c r="B3" s="149">
        <f>B2+1</f>
        <v>2</v>
      </c>
      <c r="C3" s="150">
        <v>10</v>
      </c>
      <c r="D3" s="149">
        <v>2021</v>
      </c>
      <c r="E3" s="162">
        <f>'FS Jimbaran October 2021'!P13</f>
        <v>13739.999999999867</v>
      </c>
      <c r="F3" s="160">
        <f>'FS Jimbaran October 2021'!O13/'FS Jimbaran October 2021'!P13</f>
        <v>1125.4872925764187</v>
      </c>
      <c r="G3" s="162">
        <f>'FS Jimbaran October 2021'!AG13</f>
        <v>350</v>
      </c>
      <c r="H3" s="160">
        <f>'FS Jimbaran October 2021'!AH13/'FS Jimbaran October 2021'!AG13</f>
        <v>15840</v>
      </c>
      <c r="I3" s="162">
        <f>'FS Jimbaran October 2021'!AJ13</f>
        <v>220.08999999995285</v>
      </c>
      <c r="J3" s="152">
        <f>'FS Jimbaran October 2021'!AK13/'FS Jimbaran October 2021'!AJ13</f>
        <v>11100</v>
      </c>
      <c r="K3" s="162">
        <f>'FS Jimbaran October 2021'!V13</f>
        <v>996.80000000000007</v>
      </c>
      <c r="L3" s="160">
        <f>'FS Jimbaran October 2021'!AA13/'FS Jimbaran October 2021'!V13</f>
        <v>5850.5522499999997</v>
      </c>
      <c r="M3" s="162">
        <f>+'RNs &amp; Covers October 2021'!B7</f>
        <v>7</v>
      </c>
      <c r="N3" s="162">
        <f>+'RNs &amp; Covers October 2021'!C7</f>
        <v>118</v>
      </c>
    </row>
    <row r="4" spans="1:15" x14ac:dyDescent="0.25">
      <c r="A4" s="148" t="s">
        <v>49</v>
      </c>
      <c r="B4" s="149">
        <f t="shared" ref="B4:B32" si="0">B3+1</f>
        <v>3</v>
      </c>
      <c r="C4" s="150">
        <v>10</v>
      </c>
      <c r="D4" s="149">
        <v>2021</v>
      </c>
      <c r="E4" s="162">
        <f>'FS Jimbaran October 2021'!P14</f>
        <v>13600.000000000051</v>
      </c>
      <c r="F4" s="160">
        <f>'FS Jimbaran October 2021'!O14/'FS Jimbaran October 2021'!P14</f>
        <v>1121.8411323529397</v>
      </c>
      <c r="G4" s="162">
        <f>'FS Jimbaran October 2021'!AG14</f>
        <v>62</v>
      </c>
      <c r="H4" s="160">
        <f>'FS Jimbaran October 2021'!AH14/'FS Jimbaran October 2021'!AG14</f>
        <v>14991.935483870968</v>
      </c>
      <c r="I4" s="162">
        <f>'FS Jimbaran October 2021'!AJ14</f>
        <v>103.4800000000032</v>
      </c>
      <c r="J4" s="152">
        <f>'FS Jimbaran October 2021'!AK14/'FS Jimbaran October 2021'!AJ14</f>
        <v>11100</v>
      </c>
      <c r="K4" s="162">
        <f>'FS Jimbaran October 2021'!V14</f>
        <v>995.02</v>
      </c>
      <c r="L4" s="160">
        <f>'FS Jimbaran October 2021'!AA14/'FS Jimbaran October 2021'!V14</f>
        <v>5804.317423971378</v>
      </c>
      <c r="M4" s="162">
        <f>+'RNs &amp; Covers October 2021'!B8</f>
        <v>5</v>
      </c>
      <c r="N4" s="162">
        <f>+'RNs &amp; Covers October 2021'!C8</f>
        <v>114</v>
      </c>
    </row>
    <row r="5" spans="1:15" x14ac:dyDescent="0.25">
      <c r="A5" s="148" t="s">
        <v>49</v>
      </c>
      <c r="B5" s="149">
        <f t="shared" si="0"/>
        <v>4</v>
      </c>
      <c r="C5" s="150">
        <v>10</v>
      </c>
      <c r="D5" s="149">
        <v>2021</v>
      </c>
      <c r="E5" s="162">
        <f>'FS Jimbaran October 2021'!P15</f>
        <v>13419.999999999603</v>
      </c>
      <c r="F5" s="160">
        <f>'FS Jimbaran October 2021'!O15/'FS Jimbaran October 2021'!P15</f>
        <v>1127.6263636363678</v>
      </c>
      <c r="G5" s="162">
        <f>'FS Jimbaran October 2021'!AG15</f>
        <v>0</v>
      </c>
      <c r="H5" s="160" t="e">
        <f>'FS Jimbaran October 2021'!AH15/'FS Jimbaran October 2021'!AG15</f>
        <v>#DIV/0!</v>
      </c>
      <c r="I5" s="162">
        <f>'FS Jimbaran October 2021'!AJ15</f>
        <v>391.22999999999593</v>
      </c>
      <c r="J5" s="152">
        <f>'FS Jimbaran October 2021'!AK15/'FS Jimbaran October 2021'!AJ15</f>
        <v>11099.999999999998</v>
      </c>
      <c r="K5" s="162">
        <f>'FS Jimbaran October 2021'!V15</f>
        <v>981.67</v>
      </c>
      <c r="L5" s="160">
        <f>'FS Jimbaran October 2021'!AA15/'FS Jimbaran October 2021'!V15</f>
        <v>5825.5205621033547</v>
      </c>
      <c r="M5" s="162">
        <f>+'RNs &amp; Covers October 2021'!B9</f>
        <v>5</v>
      </c>
      <c r="N5" s="162">
        <f>+'RNs &amp; Covers October 2021'!C9</f>
        <v>56</v>
      </c>
    </row>
    <row r="6" spans="1:15" x14ac:dyDescent="0.25">
      <c r="A6" s="148" t="s">
        <v>49</v>
      </c>
      <c r="B6" s="149">
        <f t="shared" si="0"/>
        <v>5</v>
      </c>
      <c r="C6" s="150">
        <v>10</v>
      </c>
      <c r="D6" s="149">
        <v>2021</v>
      </c>
      <c r="E6" s="162">
        <f>'FS Jimbaran October 2021'!P16</f>
        <v>13080.000000000338</v>
      </c>
      <c r="F6" s="160">
        <f>'FS Jimbaran October 2021'!O16/'FS Jimbaran October 2021'!P16</f>
        <v>1126.0544036697243</v>
      </c>
      <c r="G6" s="162">
        <f>'FS Jimbaran October 2021'!AG16</f>
        <v>12</v>
      </c>
      <c r="H6" s="160">
        <f>'FS Jimbaran October 2021'!AH16/'FS Jimbaran October 2021'!AG16</f>
        <v>11458.333333333334</v>
      </c>
      <c r="I6" s="162">
        <f>'FS Jimbaran October 2021'!AJ16</f>
        <v>101.25</v>
      </c>
      <c r="J6" s="152">
        <f>'FS Jimbaran October 2021'!AK16/'FS Jimbaran October 2021'!AJ16</f>
        <v>11100</v>
      </c>
      <c r="K6" s="162">
        <f>'FS Jimbaran October 2021'!V16</f>
        <v>987.9</v>
      </c>
      <c r="L6" s="160">
        <f>'FS Jimbaran October 2021'!AA16/'FS Jimbaran October 2021'!V16</f>
        <v>5827.9196036036046</v>
      </c>
      <c r="M6" s="162">
        <f>+'RNs &amp; Covers October 2021'!B10</f>
        <v>4</v>
      </c>
      <c r="N6" s="162">
        <f>+'RNs &amp; Covers October 2021'!C10</f>
        <v>76</v>
      </c>
    </row>
    <row r="7" spans="1:15" x14ac:dyDescent="0.25">
      <c r="A7" s="148" t="s">
        <v>49</v>
      </c>
      <c r="B7" s="149">
        <f t="shared" si="0"/>
        <v>6</v>
      </c>
      <c r="C7" s="150">
        <v>10</v>
      </c>
      <c r="D7" s="149">
        <v>2021</v>
      </c>
      <c r="E7" s="162">
        <f>'FS Jimbaran October 2021'!P17</f>
        <v>13139.999999999802</v>
      </c>
      <c r="F7" s="160">
        <f>'FS Jimbaran October 2021'!O17/'FS Jimbaran October 2021'!P17</f>
        <v>1120.9126027397256</v>
      </c>
      <c r="G7" s="162">
        <f>'FS Jimbaran October 2021'!AG17</f>
        <v>0</v>
      </c>
      <c r="H7" s="160" t="e">
        <f>'FS Jimbaran October 2021'!AH17/'FS Jimbaran October 2021'!AG17</f>
        <v>#DIV/0!</v>
      </c>
      <c r="I7" s="162">
        <f>'FS Jimbaran October 2021'!AJ17</f>
        <v>257.04000000000087</v>
      </c>
      <c r="J7" s="152">
        <f>'FS Jimbaran October 2021'!AK17/'FS Jimbaran October 2021'!AJ17</f>
        <v>11100</v>
      </c>
      <c r="K7" s="162">
        <f>'FS Jimbaran October 2021'!V17</f>
        <v>986.12</v>
      </c>
      <c r="L7" s="160">
        <f>'FS Jimbaran October 2021'!AA17/'FS Jimbaran October 2021'!V17</f>
        <v>5830.7765342960292</v>
      </c>
      <c r="M7" s="162">
        <f>+'RNs &amp; Covers October 2021'!B11</f>
        <v>2</v>
      </c>
      <c r="N7" s="162">
        <f>+'RNs &amp; Covers October 2021'!C11</f>
        <v>92</v>
      </c>
    </row>
    <row r="8" spans="1:15" x14ac:dyDescent="0.25">
      <c r="A8" s="148" t="s">
        <v>49</v>
      </c>
      <c r="B8" s="149">
        <f t="shared" si="0"/>
        <v>7</v>
      </c>
      <c r="C8" s="150">
        <v>10</v>
      </c>
      <c r="D8" s="149">
        <v>2021</v>
      </c>
      <c r="E8" s="162">
        <f>'FS Jimbaran October 2021'!P18</f>
        <v>13560.000000000173</v>
      </c>
      <c r="F8" s="160">
        <f>'FS Jimbaran October 2021'!O18/'FS Jimbaran October 2021'!P18</f>
        <v>1128.9696460176979</v>
      </c>
      <c r="G8" s="162">
        <f>'FS Jimbaran October 2021'!AG18</f>
        <v>12</v>
      </c>
      <c r="H8" s="160">
        <f>'FS Jimbaran October 2021'!AH18/'FS Jimbaran October 2021'!AG18</f>
        <v>11458.333333333334</v>
      </c>
      <c r="I8" s="162">
        <f>'FS Jimbaran October 2021'!AJ18</f>
        <v>104.77999999999884</v>
      </c>
      <c r="J8" s="152">
        <f>'FS Jimbaran October 2021'!AK18/'FS Jimbaran October 2021'!AJ18</f>
        <v>11099.999999999998</v>
      </c>
      <c r="K8" s="162">
        <f>'FS Jimbaran October 2021'!V18</f>
        <v>1011.9300000000001</v>
      </c>
      <c r="L8" s="160">
        <f>'FS Jimbaran October 2021'!AA18/'FS Jimbaran October 2021'!V18</f>
        <v>5923.1214951627089</v>
      </c>
      <c r="M8" s="162">
        <f>+'RNs &amp; Covers October 2021'!B12</f>
        <v>6</v>
      </c>
      <c r="N8" s="162">
        <f>+'RNs &amp; Covers October 2021'!C12</f>
        <v>113</v>
      </c>
    </row>
    <row r="9" spans="1:15" x14ac:dyDescent="0.25">
      <c r="A9" s="148" t="s">
        <v>49</v>
      </c>
      <c r="B9" s="149">
        <f t="shared" si="0"/>
        <v>8</v>
      </c>
      <c r="C9" s="150">
        <v>10</v>
      </c>
      <c r="D9" s="149">
        <v>2021</v>
      </c>
      <c r="E9" s="162">
        <f>'FS Jimbaran October 2021'!P19</f>
        <v>13500.000000000171</v>
      </c>
      <c r="F9" s="160">
        <f>'FS Jimbaran October 2021'!O19/'FS Jimbaran October 2021'!P19</f>
        <v>1127.8493333333333</v>
      </c>
      <c r="G9" s="162">
        <f>'FS Jimbaran October 2021'!AG19</f>
        <v>412</v>
      </c>
      <c r="H9" s="160">
        <f>'FS Jimbaran October 2021'!AH19/'FS Jimbaran October 2021'!AG19</f>
        <v>15712.378640776698</v>
      </c>
      <c r="I9" s="162">
        <f>'FS Jimbaran October 2021'!AJ19</f>
        <v>339.88000000000466</v>
      </c>
      <c r="J9" s="152">
        <f>'FS Jimbaran October 2021'!AK19/'FS Jimbaran October 2021'!AJ19</f>
        <v>11100</v>
      </c>
      <c r="K9" s="162">
        <f>'FS Jimbaran October 2021'!V19</f>
        <v>994.13</v>
      </c>
      <c r="L9" s="160">
        <f>'FS Jimbaran October 2021'!AA19/'FS Jimbaran October 2021'!V19</f>
        <v>5818.0009131602519</v>
      </c>
      <c r="M9" s="162">
        <f>+'RNs &amp; Covers October 2021'!B13</f>
        <v>17</v>
      </c>
      <c r="N9" s="162">
        <f>+'RNs &amp; Covers October 2021'!C13</f>
        <v>113</v>
      </c>
      <c r="O9" s="153" t="s">
        <v>46</v>
      </c>
    </row>
    <row r="10" spans="1:15" x14ac:dyDescent="0.25">
      <c r="A10" s="148" t="s">
        <v>49</v>
      </c>
      <c r="B10" s="149">
        <f t="shared" si="0"/>
        <v>9</v>
      </c>
      <c r="C10" s="150">
        <v>10</v>
      </c>
      <c r="D10" s="149">
        <v>2021</v>
      </c>
      <c r="E10" s="162">
        <f>'FS Jimbaran October 2021'!P20</f>
        <v>14659.999999999811</v>
      </c>
      <c r="F10" s="160">
        <f>'FS Jimbaran October 2021'!O20/'FS Jimbaran October 2021'!P20</f>
        <v>1128.3360572987742</v>
      </c>
      <c r="G10" s="162">
        <f>'FS Jimbaran October 2021'!AG20</f>
        <v>12</v>
      </c>
      <c r="H10" s="160">
        <f>'FS Jimbaran October 2021'!AH20/'FS Jimbaran October 2021'!AG20</f>
        <v>11458.333333333334</v>
      </c>
      <c r="I10" s="162">
        <f>'FS Jimbaran October 2021'!AJ20</f>
        <v>152.69999999999709</v>
      </c>
      <c r="J10" s="152">
        <f>'FS Jimbaran October 2021'!AK20/'FS Jimbaran October 2021'!AJ20</f>
        <v>11100</v>
      </c>
      <c r="K10" s="162">
        <f>'FS Jimbaran October 2021'!V20</f>
        <v>994.13</v>
      </c>
      <c r="L10" s="160">
        <f>'FS Jimbaran October 2021'!AA20/'FS Jimbaran October 2021'!V20</f>
        <v>5805.7132497761868</v>
      </c>
      <c r="M10" s="162">
        <f>+'RNs &amp; Covers October 2021'!B14</f>
        <v>14</v>
      </c>
      <c r="N10" s="162">
        <f>+'RNs &amp; Covers October 2021'!C14</f>
        <v>131</v>
      </c>
    </row>
    <row r="11" spans="1:15" x14ac:dyDescent="0.25">
      <c r="A11" s="148" t="s">
        <v>49</v>
      </c>
      <c r="B11" s="149">
        <f t="shared" si="0"/>
        <v>10</v>
      </c>
      <c r="C11" s="150">
        <v>10</v>
      </c>
      <c r="D11" s="149">
        <v>2021</v>
      </c>
      <c r="E11" s="162">
        <f>'FS Jimbaran October 2021'!P21</f>
        <v>14839.999999999876</v>
      </c>
      <c r="F11" s="160">
        <f>'FS Jimbaran October 2021'!O21/'FS Jimbaran October 2021'!P21</f>
        <v>1124.421549865227</v>
      </c>
      <c r="G11" s="162">
        <f>'FS Jimbaran October 2021'!AG21</f>
        <v>0</v>
      </c>
      <c r="H11" s="160" t="e">
        <f>'FS Jimbaran October 2021'!AH21/'FS Jimbaran October 2021'!AG21</f>
        <v>#DIV/0!</v>
      </c>
      <c r="I11" s="162">
        <f>'FS Jimbaran October 2021'!AJ21</f>
        <v>99.459999999999127</v>
      </c>
      <c r="J11" s="152">
        <f>'FS Jimbaran October 2021'!AK21/'FS Jimbaran October 2021'!AJ21</f>
        <v>11100</v>
      </c>
      <c r="K11" s="162">
        <f>'FS Jimbaran October 2021'!V21</f>
        <v>984.33999999999992</v>
      </c>
      <c r="L11" s="160">
        <f>'FS Jimbaran October 2021'!AA21/'FS Jimbaran October 2021'!V21</f>
        <v>5833.6437974683549</v>
      </c>
      <c r="M11" s="162">
        <f>+'RNs &amp; Covers October 2021'!B15</f>
        <v>9</v>
      </c>
      <c r="N11" s="162">
        <f>+'RNs &amp; Covers October 2021'!C15</f>
        <v>172</v>
      </c>
    </row>
    <row r="12" spans="1:15" x14ac:dyDescent="0.25">
      <c r="A12" s="148" t="s">
        <v>49</v>
      </c>
      <c r="B12" s="149">
        <f t="shared" si="0"/>
        <v>11</v>
      </c>
      <c r="C12" s="150">
        <v>10</v>
      </c>
      <c r="D12" s="149">
        <v>2021</v>
      </c>
      <c r="E12" s="162">
        <f>'FS Jimbaran October 2021'!P22</f>
        <v>11719.999999999927</v>
      </c>
      <c r="F12" s="160">
        <f>'FS Jimbaran October 2021'!O22/'FS Jimbaran October 2021'!P22</f>
        <v>1140.065017064851</v>
      </c>
      <c r="G12" s="162">
        <f>'FS Jimbaran October 2021'!AG22</f>
        <v>0</v>
      </c>
      <c r="H12" s="160" t="e">
        <f>'FS Jimbaran October 2021'!AH22/'FS Jimbaran October 2021'!AG22</f>
        <v>#DIV/0!</v>
      </c>
      <c r="I12" s="162">
        <f>'FS Jimbaran October 2021'!AJ22</f>
        <v>189.56999999999971</v>
      </c>
      <c r="J12" s="152">
        <f>'FS Jimbaran October 2021'!AK22/'FS Jimbaran October 2021'!AJ22</f>
        <v>11100</v>
      </c>
      <c r="K12" s="162">
        <f>'FS Jimbaran October 2021'!V22</f>
        <v>995.02</v>
      </c>
      <c r="L12" s="160">
        <f>'FS Jimbaran October 2021'!AA22/'FS Jimbaran October 2021'!V22</f>
        <v>5816.5940966010739</v>
      </c>
      <c r="M12" s="162">
        <f>+'RNs &amp; Covers October 2021'!B16</f>
        <v>6</v>
      </c>
      <c r="N12" s="162">
        <f>+'RNs &amp; Covers October 2021'!C16</f>
        <v>63</v>
      </c>
    </row>
    <row r="13" spans="1:15" x14ac:dyDescent="0.25">
      <c r="A13" s="148" t="s">
        <v>49</v>
      </c>
      <c r="B13" s="149">
        <f t="shared" si="0"/>
        <v>12</v>
      </c>
      <c r="C13" s="150">
        <v>10</v>
      </c>
      <c r="D13" s="149">
        <v>2021</v>
      </c>
      <c r="E13" s="162">
        <f>'FS Jimbaran October 2021'!P23</f>
        <v>16740.000000000065</v>
      </c>
      <c r="F13" s="160">
        <f>'FS Jimbaran October 2021'!O23/'FS Jimbaran October 2021'!P23</f>
        <v>1111.8856989247286</v>
      </c>
      <c r="G13" s="162">
        <f>'FS Jimbaran October 2021'!AG23</f>
        <v>12</v>
      </c>
      <c r="H13" s="160">
        <f>'FS Jimbaran October 2021'!AH23/'FS Jimbaran October 2021'!AG23</f>
        <v>11458.333333333334</v>
      </c>
      <c r="I13" s="162">
        <f>'FS Jimbaran October 2021'!AJ23</f>
        <v>127.4800000000032</v>
      </c>
      <c r="J13" s="152">
        <f>'FS Jimbaran October 2021'!AK23/'FS Jimbaran October 2021'!AJ23</f>
        <v>11100</v>
      </c>
      <c r="K13" s="162">
        <f>'FS Jimbaran October 2021'!V23</f>
        <v>1003.0300000000001</v>
      </c>
      <c r="L13" s="160">
        <f>'FS Jimbaran October 2021'!AA23/'FS Jimbaran October 2021'!V23</f>
        <v>6035.4391304347819</v>
      </c>
      <c r="M13" s="162">
        <f>+'RNs &amp; Covers October 2021'!B17</f>
        <v>5</v>
      </c>
      <c r="N13" s="162">
        <f>+'RNs &amp; Covers October 2021'!C17</f>
        <v>65</v>
      </c>
    </row>
    <row r="14" spans="1:15" x14ac:dyDescent="0.25">
      <c r="A14" s="148" t="s">
        <v>49</v>
      </c>
      <c r="B14" s="149">
        <f t="shared" si="0"/>
        <v>13</v>
      </c>
      <c r="C14" s="150">
        <v>10</v>
      </c>
      <c r="D14" s="149">
        <v>2021</v>
      </c>
      <c r="E14" s="162">
        <f>'FS Jimbaran October 2021'!P24</f>
        <v>14640</v>
      </c>
      <c r="F14" s="160">
        <f>'FS Jimbaran October 2021'!O24/'FS Jimbaran October 2021'!P24</f>
        <v>1129.1700000000021</v>
      </c>
      <c r="G14" s="162">
        <f>'FS Jimbaran October 2021'!AG24</f>
        <v>412</v>
      </c>
      <c r="H14" s="160">
        <f>'FS Jimbaran October 2021'!AH24/'FS Jimbaran October 2021'!AG24</f>
        <v>15712.378640776698</v>
      </c>
      <c r="I14" s="162">
        <f>'FS Jimbaran October 2021'!AJ24</f>
        <v>899.32000000002154</v>
      </c>
      <c r="J14" s="152">
        <f>'FS Jimbaran October 2021'!AK24/'FS Jimbaran October 2021'!AJ24</f>
        <v>11100</v>
      </c>
      <c r="K14" s="162">
        <f>'FS Jimbaran October 2021'!V24</f>
        <v>974.55</v>
      </c>
      <c r="L14" s="160">
        <f>'FS Jimbaran October 2021'!AA24/'FS Jimbaran October 2021'!V24</f>
        <v>6902.5022283105027</v>
      </c>
      <c r="M14" s="162">
        <f>+'RNs &amp; Covers October 2021'!B18</f>
        <v>8</v>
      </c>
      <c r="N14" s="162">
        <f>+'RNs &amp; Covers October 2021'!C18</f>
        <v>106</v>
      </c>
    </row>
    <row r="15" spans="1:15" x14ac:dyDescent="0.25">
      <c r="A15" s="148" t="s">
        <v>49</v>
      </c>
      <c r="B15" s="149">
        <f t="shared" si="0"/>
        <v>14</v>
      </c>
      <c r="C15" s="150">
        <v>10</v>
      </c>
      <c r="D15" s="149">
        <v>2021</v>
      </c>
      <c r="E15" s="162">
        <f>'FS Jimbaran October 2021'!P25</f>
        <v>15019.999999999869</v>
      </c>
      <c r="F15" s="160">
        <f>'FS Jimbaran October 2021'!O25/'FS Jimbaran October 2021'!P25</f>
        <v>1125.4280692410114</v>
      </c>
      <c r="G15" s="162">
        <f>'FS Jimbaran October 2021'!AG25</f>
        <v>0</v>
      </c>
      <c r="H15" s="160" t="e">
        <f>'FS Jimbaran October 2021'!AH25/'FS Jimbaran October 2021'!AG25</f>
        <v>#DIV/0!</v>
      </c>
      <c r="I15" s="162">
        <f>'FS Jimbaran October 2021'!AJ25</f>
        <v>286.70999999999913</v>
      </c>
      <c r="J15" s="152">
        <f>'FS Jimbaran October 2021'!AK25/'FS Jimbaran October 2021'!AJ25</f>
        <v>11100</v>
      </c>
      <c r="K15" s="162">
        <f>'FS Jimbaran October 2021'!V25</f>
        <v>808.12</v>
      </c>
      <c r="L15" s="160">
        <f>'FS Jimbaran October 2021'!AA25/'FS Jimbaran October 2021'!V25</f>
        <v>7419.5381497797362</v>
      </c>
      <c r="M15" s="162">
        <f>+'RNs &amp; Covers October 2021'!B19</f>
        <v>8</v>
      </c>
      <c r="N15" s="162">
        <f>+'RNs &amp; Covers October 2021'!C19</f>
        <v>85</v>
      </c>
    </row>
    <row r="16" spans="1:15" x14ac:dyDescent="0.25">
      <c r="A16" s="148" t="s">
        <v>49</v>
      </c>
      <c r="B16" s="149">
        <f t="shared" si="0"/>
        <v>15</v>
      </c>
      <c r="C16" s="150">
        <v>10</v>
      </c>
      <c r="D16" s="149">
        <v>2021</v>
      </c>
      <c r="E16" s="162">
        <f>'FS Jimbaran October 2021'!P26</f>
        <v>16720.000000000015</v>
      </c>
      <c r="F16" s="160">
        <f>'FS Jimbaran October 2021'!O26/'FS Jimbaran October 2021'!P26</f>
        <v>1133.6587320574181</v>
      </c>
      <c r="G16" s="162">
        <f>'FS Jimbaran October 2021'!AG26</f>
        <v>12</v>
      </c>
      <c r="H16" s="160">
        <f>'FS Jimbaran October 2021'!AH26/'FS Jimbaran October 2021'!AG26</f>
        <v>11458.333333333334</v>
      </c>
      <c r="I16" s="162">
        <f>'FS Jimbaran October 2021'!AJ26</f>
        <v>309.31999999999971</v>
      </c>
      <c r="J16" s="152">
        <f>'FS Jimbaran October 2021'!AK26/'FS Jimbaran October 2021'!AJ26</f>
        <v>11100</v>
      </c>
      <c r="K16" s="162">
        <f>'FS Jimbaran October 2021'!V26</f>
        <v>829.48</v>
      </c>
      <c r="L16" s="160">
        <f>'FS Jimbaran October 2021'!AA26/'FS Jimbaran October 2021'!V26</f>
        <v>7337.7950214592283</v>
      </c>
      <c r="M16" s="162">
        <f>+'RNs &amp; Covers October 2021'!B20</f>
        <v>16</v>
      </c>
      <c r="N16" s="162">
        <f>+'RNs &amp; Covers October 2021'!C20</f>
        <v>117</v>
      </c>
    </row>
    <row r="17" spans="1:14" x14ac:dyDescent="0.25">
      <c r="A17" s="148" t="s">
        <v>49</v>
      </c>
      <c r="B17" s="149">
        <f t="shared" si="0"/>
        <v>16</v>
      </c>
      <c r="C17" s="150">
        <v>10</v>
      </c>
      <c r="D17" s="149">
        <v>2021</v>
      </c>
      <c r="E17" s="162">
        <f>'FS Jimbaran October 2021'!P27</f>
        <v>18140.000000000116</v>
      </c>
      <c r="F17" s="160">
        <f>'FS Jimbaran October 2021'!O27/'FS Jimbaran October 2021'!P27</f>
        <v>1140.2715876515958</v>
      </c>
      <c r="G17" s="162">
        <f>'FS Jimbaran October 2021'!AG27</f>
        <v>84</v>
      </c>
      <c r="H17" s="160">
        <f>'FS Jimbaran October 2021'!AH27/'FS Jimbaran October 2021'!AG27</f>
        <v>11458.333333333334</v>
      </c>
      <c r="I17" s="162">
        <f>'FS Jimbaran October 2021'!AJ27</f>
        <v>300.65000000000146</v>
      </c>
      <c r="J17" s="152">
        <f>'FS Jimbaran October 2021'!AK27/'FS Jimbaran October 2021'!AJ27</f>
        <v>11100</v>
      </c>
      <c r="K17" s="162">
        <f>'FS Jimbaran October 2021'!V27</f>
        <v>756.14400000000035</v>
      </c>
      <c r="L17" s="160">
        <f>'FS Jimbaran October 2021'!AA27/'FS Jimbaran October 2021'!V27</f>
        <v>7653.8929472693026</v>
      </c>
      <c r="M17" s="162">
        <f>+'RNs &amp; Covers October 2021'!B21</f>
        <v>45</v>
      </c>
      <c r="N17" s="162">
        <f>+'RNs &amp; Covers October 2021'!C21</f>
        <v>256</v>
      </c>
    </row>
    <row r="18" spans="1:14" x14ac:dyDescent="0.25">
      <c r="A18" s="148" t="s">
        <v>49</v>
      </c>
      <c r="B18" s="149">
        <f t="shared" si="0"/>
        <v>17</v>
      </c>
      <c r="C18" s="150">
        <v>10</v>
      </c>
      <c r="D18" s="149">
        <v>2021</v>
      </c>
      <c r="E18" s="162">
        <f>'FS Jimbaran October 2021'!P28</f>
        <v>17580.000000000069</v>
      </c>
      <c r="F18" s="160">
        <f>'FS Jimbaran October 2021'!O28/'FS Jimbaran October 2021'!P28</f>
        <v>1130.048941979524</v>
      </c>
      <c r="G18" s="162">
        <f>'FS Jimbaran October 2021'!AG28</f>
        <v>0</v>
      </c>
      <c r="H18" s="160" t="e">
        <f>'FS Jimbaran October 2021'!AH28/'FS Jimbaran October 2021'!AG28</f>
        <v>#DIV/0!</v>
      </c>
      <c r="I18" s="162">
        <f>'FS Jimbaran October 2021'!AJ28</f>
        <v>315.23999999999796</v>
      </c>
      <c r="J18" s="152">
        <f>'FS Jimbaran October 2021'!AK28/'FS Jimbaran October 2021'!AJ28</f>
        <v>11100</v>
      </c>
      <c r="K18" s="162">
        <f>'FS Jimbaran October 2021'!V28</f>
        <v>829.48</v>
      </c>
      <c r="L18" s="160">
        <f>'FS Jimbaran October 2021'!AA28/'FS Jimbaran October 2021'!V28</f>
        <v>7146.3474248927041</v>
      </c>
      <c r="M18" s="162">
        <f>+'RNs &amp; Covers October 2021'!B22</f>
        <v>53</v>
      </c>
      <c r="N18" s="162">
        <f>+'RNs &amp; Covers October 2021'!C22</f>
        <v>327</v>
      </c>
    </row>
    <row r="19" spans="1:14" x14ac:dyDescent="0.25">
      <c r="A19" s="148" t="s">
        <v>49</v>
      </c>
      <c r="B19" s="149">
        <f t="shared" si="0"/>
        <v>18</v>
      </c>
      <c r="C19" s="150">
        <v>10</v>
      </c>
      <c r="D19" s="149">
        <v>2021</v>
      </c>
      <c r="E19" s="162">
        <f>'FS Jimbaran October 2021'!P29</f>
        <v>19159.999999999956</v>
      </c>
      <c r="F19" s="160">
        <f>'FS Jimbaran October 2021'!O29/'FS Jimbaran October 2021'!P29</f>
        <v>1139.5742379958222</v>
      </c>
      <c r="G19" s="162">
        <f>'FS Jimbaran October 2021'!AG29</f>
        <v>0</v>
      </c>
      <c r="H19" s="160" t="e">
        <f>'FS Jimbaran October 2021'!AH29/'FS Jimbaran October 2021'!AG29</f>
        <v>#DIV/0!</v>
      </c>
      <c r="I19" s="162">
        <f>'FS Jimbaran October 2021'!AJ29</f>
        <v>384.67000000000553</v>
      </c>
      <c r="J19" s="152">
        <f>'FS Jimbaran October 2021'!AK29/'FS Jimbaran October 2021'!AJ29</f>
        <v>11100</v>
      </c>
      <c r="K19" s="162">
        <f>'FS Jimbaran October 2021'!V29</f>
        <v>853.51</v>
      </c>
      <c r="L19" s="160">
        <f>'FS Jimbaran October 2021'!AA29/'FS Jimbaran October 2021'!V29</f>
        <v>6592.3671532846729</v>
      </c>
      <c r="M19" s="162">
        <f>+'RNs &amp; Covers October 2021'!B23</f>
        <v>49</v>
      </c>
      <c r="N19" s="162">
        <f>+'RNs &amp; Covers October 2021'!C23</f>
        <v>301</v>
      </c>
    </row>
    <row r="20" spans="1:14" x14ac:dyDescent="0.25">
      <c r="A20" s="148" t="s">
        <v>49</v>
      </c>
      <c r="B20" s="149">
        <f t="shared" si="0"/>
        <v>19</v>
      </c>
      <c r="C20" s="150">
        <v>10</v>
      </c>
      <c r="D20" s="149">
        <v>2021</v>
      </c>
      <c r="E20" s="162">
        <f>'FS Jimbaran October 2021'!P30</f>
        <v>18719.999999999942</v>
      </c>
      <c r="F20" s="160">
        <f>'FS Jimbaran October 2021'!O30/'FS Jimbaran October 2021'!P30</f>
        <v>1124.8615064102582</v>
      </c>
      <c r="G20" s="162">
        <f>'FS Jimbaran October 2021'!AG30</f>
        <v>0</v>
      </c>
      <c r="H20" s="160" t="e">
        <f>'FS Jimbaran October 2021'!AH30/'FS Jimbaran October 2021'!AG30</f>
        <v>#DIV/0!</v>
      </c>
      <c r="I20" s="162">
        <f>'FS Jimbaran October 2021'!AJ30</f>
        <v>400.68999999999505</v>
      </c>
      <c r="J20" s="152">
        <f>'FS Jimbaran October 2021'!AK30/'FS Jimbaran October 2021'!AJ30</f>
        <v>11100</v>
      </c>
      <c r="K20" s="162">
        <f>'FS Jimbaran October 2021'!V30</f>
        <v>831.26</v>
      </c>
      <c r="L20" s="160">
        <f>'FS Jimbaran October 2021'!AA30/'FS Jimbaran October 2021'!V30</f>
        <v>7389.9535331905781</v>
      </c>
      <c r="M20" s="162">
        <f>+'RNs &amp; Covers October 2021'!B24</f>
        <v>20</v>
      </c>
      <c r="N20" s="162">
        <f>+'RNs &amp; Covers October 2021'!C24</f>
        <v>239</v>
      </c>
    </row>
    <row r="21" spans="1:14" x14ac:dyDescent="0.25">
      <c r="A21" s="148" t="s">
        <v>49</v>
      </c>
      <c r="B21" s="149">
        <f t="shared" si="0"/>
        <v>20</v>
      </c>
      <c r="C21" s="150">
        <v>10</v>
      </c>
      <c r="D21" s="149">
        <v>2021</v>
      </c>
      <c r="E21" s="162">
        <f>'FS Jimbaran October 2021'!P31</f>
        <v>16820.00000000012</v>
      </c>
      <c r="F21" s="160">
        <f>'FS Jimbaran October 2021'!O31/'FS Jimbaran October 2021'!P31</f>
        <v>1125.6871819262785</v>
      </c>
      <c r="G21" s="162">
        <f>'FS Jimbaran October 2021'!AG31</f>
        <v>12</v>
      </c>
      <c r="H21" s="160">
        <f>'FS Jimbaran October 2021'!AH31/'FS Jimbaran October 2021'!AG31</f>
        <v>11458.333333333334</v>
      </c>
      <c r="I21" s="162">
        <f>'FS Jimbaran October 2021'!AJ31</f>
        <v>425.33999999995285</v>
      </c>
      <c r="J21" s="152">
        <f>'FS Jimbaran October 2021'!AK31/'FS Jimbaran October 2021'!AJ31</f>
        <v>11100</v>
      </c>
      <c r="K21" s="162">
        <f>'FS Jimbaran October 2021'!V31</f>
        <v>661.27</v>
      </c>
      <c r="L21" s="160">
        <f>'FS Jimbaran October 2021'!AA31/'FS Jimbaran October 2021'!V31</f>
        <v>8198.3677254374161</v>
      </c>
      <c r="M21" s="162">
        <f>+'RNs &amp; Covers October 2021'!B25</f>
        <v>13</v>
      </c>
      <c r="N21" s="162">
        <f>+'RNs &amp; Covers October 2021'!C25</f>
        <v>129</v>
      </c>
    </row>
    <row r="22" spans="1:14" x14ac:dyDescent="0.25">
      <c r="A22" s="148" t="s">
        <v>49</v>
      </c>
      <c r="B22" s="149">
        <f t="shared" si="0"/>
        <v>21</v>
      </c>
      <c r="C22" s="150">
        <v>10</v>
      </c>
      <c r="D22" s="149">
        <v>2021</v>
      </c>
      <c r="E22" s="162">
        <f>'FS Jimbaran October 2021'!P32</f>
        <v>16559.999999999945</v>
      </c>
      <c r="F22" s="160">
        <f>'FS Jimbaran October 2021'!O32/'FS Jimbaran October 2021'!P32</f>
        <v>1126.4732971014487</v>
      </c>
      <c r="G22" s="162">
        <f>'FS Jimbaran October 2021'!AG32</f>
        <v>74</v>
      </c>
      <c r="H22" s="160">
        <f>'FS Jimbaran October 2021'!AH32/'FS Jimbaran October 2021'!AG32</f>
        <v>17024.168898920285</v>
      </c>
      <c r="I22" s="162">
        <f>'FS Jimbaran October 2021'!AJ32</f>
        <v>199.11000000000058</v>
      </c>
      <c r="J22" s="152">
        <f>'FS Jimbaran October 2021'!AK32/'FS Jimbaran October 2021'!AJ32</f>
        <v>11100</v>
      </c>
      <c r="K22" s="162">
        <f>'FS Jimbaran October 2021'!V32</f>
        <v>822.3599999999999</v>
      </c>
      <c r="L22" s="160">
        <f>'FS Jimbaran October 2021'!AA32/'FS Jimbaran October 2021'!V32</f>
        <v>7409.1336363636374</v>
      </c>
      <c r="M22" s="162">
        <f>+'RNs &amp; Covers October 2021'!B26</f>
        <v>9</v>
      </c>
      <c r="N22" s="162">
        <f>+'RNs &amp; Covers October 2021'!C26</f>
        <v>167</v>
      </c>
    </row>
    <row r="23" spans="1:14" x14ac:dyDescent="0.25">
      <c r="A23" s="148" t="s">
        <v>49</v>
      </c>
      <c r="B23" s="149">
        <f t="shared" si="0"/>
        <v>22</v>
      </c>
      <c r="C23" s="150">
        <v>10</v>
      </c>
      <c r="D23" s="149">
        <v>2021</v>
      </c>
      <c r="E23" s="162">
        <f>'FS Jimbaran October 2021'!P33</f>
        <v>15300.000000000011</v>
      </c>
      <c r="F23" s="160">
        <f>'FS Jimbaran October 2021'!O33/'FS Jimbaran October 2021'!P33</f>
        <v>1122.4334901960785</v>
      </c>
      <c r="G23" s="162">
        <f>'FS Jimbaran October 2021'!AG33</f>
        <v>0</v>
      </c>
      <c r="H23" s="160" t="e">
        <f>'FS Jimbaran October 2021'!AH33/'FS Jimbaran October 2021'!AG33</f>
        <v>#DIV/0!</v>
      </c>
      <c r="I23" s="162">
        <f>'FS Jimbaran October 2021'!AJ33</f>
        <v>379.95999999999913</v>
      </c>
      <c r="J23" s="152">
        <f>'FS Jimbaran October 2021'!AK33/'FS Jimbaran October 2021'!AJ33</f>
        <v>11100.000000000002</v>
      </c>
      <c r="K23" s="162">
        <f>'FS Jimbaran October 2021'!V33</f>
        <v>788.54</v>
      </c>
      <c r="L23" s="160">
        <f>'FS Jimbaran October 2021'!AA33/'FS Jimbaran October 2021'!V33</f>
        <v>7529.3423476297976</v>
      </c>
      <c r="M23" s="162">
        <f>+'RNs &amp; Covers October 2021'!B27</f>
        <v>11</v>
      </c>
      <c r="N23" s="162">
        <f>+'RNs &amp; Covers October 2021'!C27</f>
        <v>135</v>
      </c>
    </row>
    <row r="24" spans="1:14" x14ac:dyDescent="0.25">
      <c r="A24" s="148" t="s">
        <v>49</v>
      </c>
      <c r="B24" s="149">
        <f t="shared" si="0"/>
        <v>23</v>
      </c>
      <c r="C24" s="150">
        <v>10</v>
      </c>
      <c r="D24" s="149">
        <v>2021</v>
      </c>
      <c r="E24" s="162">
        <f>'FS Jimbaran October 2021'!P34</f>
        <v>15159.999999999798</v>
      </c>
      <c r="F24" s="160">
        <f>'FS Jimbaran October 2021'!O34/'FS Jimbaran October 2021'!P34</f>
        <v>1126.6498812664909</v>
      </c>
      <c r="G24" s="162">
        <f>'FS Jimbaran October 2021'!AG34</f>
        <v>362</v>
      </c>
      <c r="H24" s="160">
        <f>'FS Jimbaran October 2021'!AH34/'FS Jimbaran October 2021'!AG34</f>
        <v>15694.75138121547</v>
      </c>
      <c r="I24" s="162">
        <f>'FS Jimbaran October 2021'!AJ34</f>
        <v>88.630000000004657</v>
      </c>
      <c r="J24" s="152">
        <f>'FS Jimbaran October 2021'!AK34/'FS Jimbaran October 2021'!AJ34</f>
        <v>11100</v>
      </c>
      <c r="K24" s="162">
        <f>'FS Jimbaran October 2021'!V34</f>
        <v>810.79</v>
      </c>
      <c r="L24" s="160">
        <f>'FS Jimbaran October 2021'!AA34/'FS Jimbaran October 2021'!V34</f>
        <v>7454.2833589462134</v>
      </c>
      <c r="M24" s="162">
        <f>+'RNs &amp; Covers October 2021'!B28</f>
        <v>13</v>
      </c>
      <c r="N24" s="162">
        <f>+'RNs &amp; Covers October 2021'!C28</f>
        <v>99</v>
      </c>
    </row>
    <row r="25" spans="1:14" x14ac:dyDescent="0.25">
      <c r="A25" s="148" t="s">
        <v>49</v>
      </c>
      <c r="B25" s="149">
        <f t="shared" si="0"/>
        <v>24</v>
      </c>
      <c r="C25" s="150">
        <v>10</v>
      </c>
      <c r="D25" s="149">
        <v>2021</v>
      </c>
      <c r="E25" s="162">
        <f>'FS Jimbaran October 2021'!P35</f>
        <v>14840.000000000429</v>
      </c>
      <c r="F25" s="160">
        <f>'FS Jimbaran October 2021'!O35/'FS Jimbaran October 2021'!P35</f>
        <v>1124.4215498652272</v>
      </c>
      <c r="G25" s="162">
        <f>'FS Jimbaran October 2021'!AG35</f>
        <v>0</v>
      </c>
      <c r="H25" s="160" t="e">
        <f>'FS Jimbaran October 2021'!AH35/'FS Jimbaran October 2021'!AG35</f>
        <v>#DIV/0!</v>
      </c>
      <c r="I25" s="162">
        <f>'FS Jimbaran October 2021'!AJ35</f>
        <v>53.790000000000873</v>
      </c>
      <c r="J25" s="152">
        <f>'FS Jimbaran October 2021'!AK35/'FS Jimbaran October 2021'!AJ35</f>
        <v>11100</v>
      </c>
      <c r="K25" s="162">
        <f>'FS Jimbaran October 2021'!V35</f>
        <v>784.08999999999992</v>
      </c>
      <c r="L25" s="160">
        <f>'FS Jimbaran October 2021'!AA35/'FS Jimbaran October 2021'!V35</f>
        <v>7547.9811804767314</v>
      </c>
      <c r="M25" s="162">
        <f>+'RNs &amp; Covers October 2021'!B29</f>
        <v>7</v>
      </c>
      <c r="N25" s="162">
        <f>+'RNs &amp; Covers October 2021'!C29</f>
        <v>95</v>
      </c>
    </row>
    <row r="26" spans="1:14" x14ac:dyDescent="0.25">
      <c r="A26" s="148" t="s">
        <v>49</v>
      </c>
      <c r="B26" s="149">
        <f>B25+1</f>
        <v>25</v>
      </c>
      <c r="C26" s="150">
        <v>10</v>
      </c>
      <c r="D26" s="149">
        <v>2021</v>
      </c>
      <c r="E26" s="162">
        <f>'FS Jimbaran October 2021'!P36</f>
        <v>14979.999999999918</v>
      </c>
      <c r="F26" s="160">
        <f>'FS Jimbaran October 2021'!O36/'FS Jimbaran October 2021'!P36</f>
        <v>1126.3588918558069</v>
      </c>
      <c r="G26" s="162">
        <f>'FS Jimbaran October 2021'!AG36</f>
        <v>0</v>
      </c>
      <c r="H26" s="160" t="e">
        <f>'FS Jimbaran October 2021'!AH36/'FS Jimbaran October 2021'!AG36</f>
        <v>#DIV/0!</v>
      </c>
      <c r="I26" s="162">
        <f>'FS Jimbaran October 2021'!AJ36</f>
        <v>339.29999999999563</v>
      </c>
      <c r="J26" s="152">
        <f>'FS Jimbaran October 2021'!AK36/'FS Jimbaran October 2021'!AJ36</f>
        <v>11100</v>
      </c>
      <c r="K26" s="162">
        <f>'FS Jimbaran October 2021'!V36</f>
        <v>812.56999999999994</v>
      </c>
      <c r="L26" s="160">
        <f>'FS Jimbaran October 2021'!AA36/'FS Jimbaran October 2021'!V36</f>
        <v>7432.2203504928821</v>
      </c>
      <c r="M26" s="162">
        <f>+'RNs &amp; Covers October 2021'!B30</f>
        <v>13</v>
      </c>
      <c r="N26" s="162">
        <f>+'RNs &amp; Covers October 2021'!C30</f>
        <v>56</v>
      </c>
    </row>
    <row r="27" spans="1:14" x14ac:dyDescent="0.25">
      <c r="A27" s="148" t="s">
        <v>49</v>
      </c>
      <c r="B27" s="149">
        <f t="shared" si="0"/>
        <v>26</v>
      </c>
      <c r="C27" s="150">
        <v>10</v>
      </c>
      <c r="D27" s="149">
        <v>2021</v>
      </c>
      <c r="E27" s="162">
        <f>'FS Jimbaran October 2021'!P37</f>
        <v>14140</v>
      </c>
      <c r="F27" s="160">
        <f>'FS Jimbaran October 2021'!O37/'FS Jimbaran October 2021'!P37</f>
        <v>1130.2747807637927</v>
      </c>
      <c r="G27" s="162">
        <f>'FS Jimbaran October 2021'!AG37</f>
        <v>0</v>
      </c>
      <c r="H27" s="160" t="e">
        <f>'FS Jimbaran October 2021'!AH37/'FS Jimbaran October 2021'!AG37</f>
        <v>#DIV/0!</v>
      </c>
      <c r="I27" s="162">
        <f>'FS Jimbaran October 2021'!AJ37</f>
        <v>299.56999999999971</v>
      </c>
      <c r="J27" s="152">
        <f>'FS Jimbaran October 2021'!AK37/'FS Jimbaran October 2021'!AJ37</f>
        <v>11100</v>
      </c>
      <c r="K27" s="162">
        <f>'FS Jimbaran October 2021'!V37</f>
        <v>922.04</v>
      </c>
      <c r="L27" s="160">
        <f>'FS Jimbaran October 2021'!AA37/'FS Jimbaran October 2021'!V37</f>
        <v>7067.0845945945957</v>
      </c>
      <c r="M27" s="162">
        <f>+'RNs &amp; Covers October 2021'!B31</f>
        <v>3</v>
      </c>
      <c r="N27" s="162">
        <f>+'RNs &amp; Covers October 2021'!C31</f>
        <v>57</v>
      </c>
    </row>
    <row r="28" spans="1:14" x14ac:dyDescent="0.25">
      <c r="A28" s="148" t="s">
        <v>49</v>
      </c>
      <c r="B28" s="149">
        <f t="shared" si="0"/>
        <v>27</v>
      </c>
      <c r="C28" s="150">
        <v>10</v>
      </c>
      <c r="D28" s="149">
        <v>2021</v>
      </c>
      <c r="E28" s="162">
        <f>'FS Jimbaran October 2021'!P38</f>
        <v>14319.999999999794</v>
      </c>
      <c r="F28" s="160">
        <f>'FS Jimbaran October 2021'!O38/'FS Jimbaran October 2021'!P38</f>
        <v>1117.5140363128489</v>
      </c>
      <c r="G28" s="162">
        <f>'FS Jimbaran October 2021'!AG38</f>
        <v>500</v>
      </c>
      <c r="H28" s="160">
        <f>'FS Jimbaran October 2021'!AH38/'FS Jimbaran October 2021'!AG38</f>
        <v>15840</v>
      </c>
      <c r="I28" s="162">
        <f>'FS Jimbaran October 2021'!AJ38</f>
        <v>187.68000000000029</v>
      </c>
      <c r="J28" s="152">
        <f>'FS Jimbaran October 2021'!AK38/'FS Jimbaran October 2021'!AJ38</f>
        <v>11100</v>
      </c>
      <c r="K28" s="162">
        <f>'FS Jimbaran October 2021'!V38</f>
        <v>767.18</v>
      </c>
      <c r="L28" s="160">
        <f>'FS Jimbaran October 2021'!AA38/'FS Jimbaran October 2021'!V38</f>
        <v>7604.8580974477964</v>
      </c>
      <c r="M28" s="162">
        <f>+'RNs &amp; Covers October 2021'!B32</f>
        <v>3</v>
      </c>
      <c r="N28" s="162">
        <f>+'RNs &amp; Covers October 2021'!C32</f>
        <v>55</v>
      </c>
    </row>
    <row r="29" spans="1:14" x14ac:dyDescent="0.25">
      <c r="A29" s="148" t="s">
        <v>49</v>
      </c>
      <c r="B29" s="149">
        <f t="shared" si="0"/>
        <v>28</v>
      </c>
      <c r="C29" s="150">
        <v>10</v>
      </c>
      <c r="D29" s="149">
        <v>2021</v>
      </c>
      <c r="E29" s="162">
        <f>'FS Jimbaran October 2021'!P39</f>
        <v>14299.99999999984</v>
      </c>
      <c r="F29" s="160">
        <f>'FS Jimbaran October 2021'!O39/'FS Jimbaran October 2021'!P39</f>
        <v>1125.5958881118877</v>
      </c>
      <c r="G29" s="162">
        <f>'FS Jimbaran October 2021'!AG39</f>
        <v>12</v>
      </c>
      <c r="H29" s="160">
        <f>'FS Jimbaran October 2021'!AH39/'FS Jimbaran October 2021'!AG39</f>
        <v>11458.333333333334</v>
      </c>
      <c r="I29" s="162">
        <f>'FS Jimbaran October 2021'!AJ39</f>
        <v>219.32000000001426</v>
      </c>
      <c r="J29" s="152">
        <f>'FS Jimbaran October 2021'!AK39/'FS Jimbaran October 2021'!AJ39</f>
        <v>11100</v>
      </c>
      <c r="K29" s="162">
        <f>'FS Jimbaran October 2021'!V39</f>
        <v>658.6</v>
      </c>
      <c r="L29" s="160">
        <f>'FS Jimbaran October 2021'!AA39/'FS Jimbaran October 2021'!V39</f>
        <v>4245.18</v>
      </c>
      <c r="M29" s="162">
        <f>+'RNs &amp; Covers October 2021'!B33</f>
        <v>1</v>
      </c>
      <c r="N29" s="162">
        <f>+'RNs &amp; Covers October 2021'!C33</f>
        <v>62</v>
      </c>
    </row>
    <row r="30" spans="1:14" x14ac:dyDescent="0.25">
      <c r="A30" s="148" t="s">
        <v>49</v>
      </c>
      <c r="B30" s="149">
        <f t="shared" si="0"/>
        <v>29</v>
      </c>
      <c r="C30" s="150">
        <v>10</v>
      </c>
      <c r="D30" s="149">
        <v>2021</v>
      </c>
      <c r="E30" s="162">
        <f>'FS Jimbaran October 2021'!P40</f>
        <v>14680.000000000049</v>
      </c>
      <c r="F30" s="160">
        <f>'FS Jimbaran October 2021'!O40/'FS Jimbaran October 2021'!P40</f>
        <v>1123.9765258855598</v>
      </c>
      <c r="G30" s="162">
        <f>'FS Jimbaran October 2021'!AG40</f>
        <v>24</v>
      </c>
      <c r="H30" s="160">
        <f>'FS Jimbaran October 2021'!AH40/'FS Jimbaran October 2021'!AG40</f>
        <v>11458.333333333334</v>
      </c>
      <c r="I30" s="162">
        <f>'FS Jimbaran October 2021'!AJ40</f>
        <v>367.62999999999738</v>
      </c>
      <c r="J30" s="152">
        <f>'FS Jimbaran October 2021'!AK40/'FS Jimbaran October 2021'!AJ40</f>
        <v>11100</v>
      </c>
      <c r="K30" s="162">
        <f>'FS Jimbaran October 2021'!V40</f>
        <v>780.53</v>
      </c>
      <c r="L30" s="160">
        <f>'FS Jimbaran October 2021'!AA40/'FS Jimbaran October 2021'!V40</f>
        <v>7547.394960091221</v>
      </c>
      <c r="M30" s="162">
        <f>+'RNs &amp; Covers October 2021'!B34</f>
        <v>5</v>
      </c>
      <c r="N30" s="162">
        <f>+'RNs &amp; Covers October 2021'!C34</f>
        <v>40</v>
      </c>
    </row>
    <row r="31" spans="1:14" x14ac:dyDescent="0.25">
      <c r="A31" s="148" t="s">
        <v>49</v>
      </c>
      <c r="B31" s="149">
        <f t="shared" si="0"/>
        <v>30</v>
      </c>
      <c r="C31" s="150">
        <v>10</v>
      </c>
      <c r="D31" s="149">
        <v>2021</v>
      </c>
      <c r="E31" s="162">
        <f>'FS Jimbaran October 2021'!P41</f>
        <v>14200.0000000004</v>
      </c>
      <c r="F31" s="160">
        <f>'FS Jimbaran October 2021'!O41/'FS Jimbaran October 2021'!P41</f>
        <v>1124.7695492957728</v>
      </c>
      <c r="G31" s="162">
        <f>'FS Jimbaran October 2021'!AG41</f>
        <v>100</v>
      </c>
      <c r="H31" s="160">
        <f>'FS Jimbaran October 2021'!AH41/'FS Jimbaran October 2021'!AG41</f>
        <v>15840</v>
      </c>
      <c r="I31" s="162">
        <f>'FS Jimbaran October 2021'!AJ41</f>
        <v>64.160000000003492</v>
      </c>
      <c r="J31" s="152">
        <f>'FS Jimbaran October 2021'!AK41/'FS Jimbaran October 2021'!AJ41</f>
        <v>11100</v>
      </c>
      <c r="K31" s="162">
        <f>'FS Jimbaran October 2021'!V41</f>
        <v>842.82999999999993</v>
      </c>
      <c r="L31" s="160">
        <f>'FS Jimbaran October 2021'!AA41/'FS Jimbaran October 2021'!V41</f>
        <v>7332.289989440339</v>
      </c>
      <c r="M31" s="162">
        <f>+'RNs &amp; Covers October 2021'!B35</f>
        <v>8</v>
      </c>
      <c r="N31" s="162">
        <f>+'RNs &amp; Covers October 2021'!C35</f>
        <v>116</v>
      </c>
    </row>
    <row r="32" spans="1:14" x14ac:dyDescent="0.25">
      <c r="A32" s="148" t="s">
        <v>49</v>
      </c>
      <c r="B32" s="149">
        <f t="shared" si="0"/>
        <v>31</v>
      </c>
      <c r="C32" s="150">
        <v>10</v>
      </c>
      <c r="D32" s="149">
        <v>2021</v>
      </c>
      <c r="E32" s="162">
        <f>'FS Jimbaran October 2021'!P42</f>
        <v>14200.000000000045</v>
      </c>
      <c r="F32" s="160">
        <f>'FS Jimbaran October 2021'!O42/'FS Jimbaran October 2021'!P42</f>
        <v>1127.687239436621</v>
      </c>
      <c r="G32" s="162">
        <f>'FS Jimbaran October 2021'!AG42</f>
        <v>0</v>
      </c>
      <c r="H32" s="160" t="e">
        <f>'FS Jimbaran October 2021'!AH42/'FS Jimbaran October 2021'!AG42</f>
        <v>#DIV/0!</v>
      </c>
      <c r="I32" s="162">
        <f>'FS Jimbaran October 2021'!AJ42</f>
        <v>313.90999999999622</v>
      </c>
      <c r="J32" s="152">
        <f>'FS Jimbaran October 2021'!AK42/'FS Jimbaran October 2021'!AJ42</f>
        <v>11100</v>
      </c>
      <c r="K32" s="162">
        <f>'FS Jimbaran October 2021'!V42</f>
        <v>734.25</v>
      </c>
      <c r="L32" s="160">
        <f>'FS Jimbaran October 2021'!AA42/'FS Jimbaran October 2021'!V42</f>
        <v>7755.5345696969698</v>
      </c>
      <c r="M32" s="162">
        <f>+'RNs &amp; Covers October 2021'!B36</f>
        <v>9</v>
      </c>
      <c r="N32" s="162">
        <f>+'RNs &amp; Covers October 2021'!C36</f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AH48" sqref="AH48:AK48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9.42578125" style="39" bestFit="1" customWidth="1"/>
    <col min="39" max="39" width="2.28515625" style="15" customWidth="1"/>
  </cols>
  <sheetData>
    <row r="5" spans="1:39" x14ac:dyDescent="0.25">
      <c r="N5" s="163"/>
      <c r="X5" s="164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32" t="s">
        <v>54</v>
      </c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4"/>
      <c r="AM7" s="30"/>
    </row>
    <row r="8" spans="1:39" s="8" customFormat="1" ht="15.75" customHeight="1" thickBot="1" x14ac:dyDescent="0.3">
      <c r="A8" s="26"/>
      <c r="B8" s="235" t="s">
        <v>1</v>
      </c>
      <c r="C8" s="238" t="s">
        <v>2</v>
      </c>
      <c r="D8" s="241" t="s">
        <v>3</v>
      </c>
      <c r="E8" s="244" t="s">
        <v>34</v>
      </c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5"/>
      <c r="V8" s="246" t="s">
        <v>19</v>
      </c>
      <c r="W8" s="247"/>
      <c r="X8" s="247"/>
      <c r="Y8" s="247"/>
      <c r="Z8" s="247"/>
      <c r="AA8" s="247"/>
      <c r="AB8" s="248"/>
      <c r="AC8" s="249" t="s">
        <v>24</v>
      </c>
      <c r="AD8" s="249"/>
      <c r="AE8" s="249"/>
      <c r="AF8" s="249"/>
      <c r="AG8" s="249"/>
      <c r="AH8" s="249"/>
      <c r="AI8" s="249"/>
      <c r="AJ8" s="249"/>
      <c r="AK8" s="249"/>
      <c r="AL8" s="250"/>
      <c r="AM8" s="28"/>
    </row>
    <row r="9" spans="1:39" ht="15" customHeight="1" thickBot="1" x14ac:dyDescent="0.3">
      <c r="A9" s="29"/>
      <c r="B9" s="236"/>
      <c r="C9" s="239"/>
      <c r="D9" s="242"/>
      <c r="E9" s="251" t="s">
        <v>33</v>
      </c>
      <c r="F9" s="252"/>
      <c r="G9" s="252"/>
      <c r="H9" s="252"/>
      <c r="I9" s="253"/>
      <c r="J9" s="254" t="s">
        <v>5</v>
      </c>
      <c r="K9" s="254"/>
      <c r="L9" s="254"/>
      <c r="M9" s="254"/>
      <c r="N9" s="255"/>
      <c r="O9" s="241" t="s">
        <v>12</v>
      </c>
      <c r="P9" s="256" t="s">
        <v>32</v>
      </c>
      <c r="Q9" s="258" t="s">
        <v>51</v>
      </c>
      <c r="R9" s="224" t="s">
        <v>21</v>
      </c>
      <c r="S9" s="226" t="s">
        <v>13</v>
      </c>
      <c r="T9" s="228" t="s">
        <v>18</v>
      </c>
      <c r="U9" s="229"/>
      <c r="V9" s="51"/>
      <c r="W9" s="51" t="s">
        <v>4</v>
      </c>
      <c r="X9" s="51"/>
      <c r="Y9" s="52"/>
      <c r="Z9" s="206"/>
      <c r="AA9" s="230" t="s">
        <v>27</v>
      </c>
      <c r="AB9" s="231"/>
      <c r="AC9" s="249" t="s">
        <v>22</v>
      </c>
      <c r="AD9" s="249"/>
      <c r="AE9" s="249"/>
      <c r="AF9" s="249"/>
      <c r="AG9" s="249"/>
      <c r="AH9" s="249"/>
      <c r="AI9" s="250"/>
      <c r="AJ9" s="260" t="s">
        <v>20</v>
      </c>
      <c r="AK9" s="261"/>
      <c r="AL9" s="262"/>
      <c r="AM9" s="29"/>
    </row>
    <row r="10" spans="1:39" ht="61.5" customHeight="1" thickBot="1" x14ac:dyDescent="0.3">
      <c r="A10" s="27"/>
      <c r="B10" s="237"/>
      <c r="C10" s="240"/>
      <c r="D10" s="243"/>
      <c r="E10" s="95" t="s">
        <v>35</v>
      </c>
      <c r="F10" s="81" t="s">
        <v>6</v>
      </c>
      <c r="G10" s="124" t="s">
        <v>36</v>
      </c>
      <c r="H10" s="18" t="s">
        <v>6</v>
      </c>
      <c r="I10" s="96" t="s">
        <v>14</v>
      </c>
      <c r="J10" s="95" t="s">
        <v>35</v>
      </c>
      <c r="K10" s="82" t="s">
        <v>6</v>
      </c>
      <c r="L10" s="124" t="s">
        <v>36</v>
      </c>
      <c r="M10" s="58" t="s">
        <v>6</v>
      </c>
      <c r="N10" s="90" t="s">
        <v>15</v>
      </c>
      <c r="O10" s="243"/>
      <c r="P10" s="257"/>
      <c r="Q10" s="259"/>
      <c r="R10" s="225"/>
      <c r="S10" s="227"/>
      <c r="T10" s="166" t="s">
        <v>16</v>
      </c>
      <c r="U10" s="23" t="s">
        <v>17</v>
      </c>
      <c r="V10" s="167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8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31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7"/>
      <c r="D11" s="168"/>
      <c r="E11" s="169"/>
      <c r="F11" s="88"/>
      <c r="G11" s="19"/>
      <c r="H11" s="20"/>
      <c r="I11" s="98"/>
      <c r="J11" s="89"/>
      <c r="K11" s="19"/>
      <c r="L11" s="20"/>
      <c r="M11" s="59"/>
      <c r="N11" s="91"/>
      <c r="O11" s="54"/>
      <c r="P11" s="103"/>
      <c r="Q11" s="170"/>
      <c r="R11" s="106"/>
      <c r="S11" s="171"/>
      <c r="T11" s="171"/>
      <c r="U11" s="205"/>
      <c r="V11" s="89"/>
      <c r="W11" s="19"/>
      <c r="X11" s="19"/>
      <c r="Y11" s="21"/>
      <c r="Z11" s="21"/>
      <c r="AA11" s="21"/>
      <c r="AB11" s="98"/>
      <c r="AC11" s="119"/>
      <c r="AD11" s="43"/>
      <c r="AE11" s="40"/>
      <c r="AF11" s="40"/>
      <c r="AG11" s="40"/>
      <c r="AH11" s="43"/>
      <c r="AI11" s="44"/>
      <c r="AJ11" s="132"/>
      <c r="AK11" s="40"/>
      <c r="AL11" s="48"/>
      <c r="AM11" s="27"/>
    </row>
    <row r="12" spans="1:39" x14ac:dyDescent="0.25">
      <c r="A12" s="33"/>
      <c r="B12" s="56">
        <v>1</v>
      </c>
      <c r="C12" s="139">
        <v>11</v>
      </c>
      <c r="D12" s="140">
        <v>91</v>
      </c>
      <c r="E12" s="100">
        <v>9880.0000000001091</v>
      </c>
      <c r="F12" s="3">
        <v>10233506.400000112</v>
      </c>
      <c r="G12" s="35">
        <v>2000</v>
      </c>
      <c r="H12" s="3">
        <v>3107340</v>
      </c>
      <c r="I12" s="99">
        <f>F12+H12</f>
        <v>13340846.400000112</v>
      </c>
      <c r="J12" s="100">
        <v>1160.000000000025</v>
      </c>
      <c r="K12" s="3">
        <v>1201504.8000000259</v>
      </c>
      <c r="L12" s="172">
        <v>299.99999999999716</v>
      </c>
      <c r="M12" s="173">
        <v>466100.99999999563</v>
      </c>
      <c r="N12" s="92">
        <f>+K12+M12</f>
        <v>1667605.8000000215</v>
      </c>
      <c r="O12" s="101">
        <f>N12+I12</f>
        <v>15008452.200000133</v>
      </c>
      <c r="P12" s="104">
        <f>L12+J12+G12+E12</f>
        <v>13340.000000000131</v>
      </c>
      <c r="Q12" s="126"/>
      <c r="R12" s="187"/>
      <c r="S12" s="199"/>
      <c r="T12" s="196"/>
      <c r="U12" s="195">
        <v>0</v>
      </c>
      <c r="V12" s="174">
        <f>Y12+W12</f>
        <v>1004.81</v>
      </c>
      <c r="W12" s="3">
        <v>114.81</v>
      </c>
      <c r="X12" s="3">
        <v>2063193.105</v>
      </c>
      <c r="Y12" s="31">
        <v>890</v>
      </c>
      <c r="Z12" s="31">
        <v>3778210.2</v>
      </c>
      <c r="AA12" s="31">
        <f t="shared" ref="AA12:AA39" si="0">Z12+X12</f>
        <v>5841403.3049999997</v>
      </c>
      <c r="AB12" s="120">
        <f t="shared" ref="AB12:AB41" si="1">AA12/$AL$47</f>
        <v>450.16667617132737</v>
      </c>
      <c r="AC12" s="125">
        <v>0</v>
      </c>
      <c r="AD12" s="3">
        <v>0</v>
      </c>
      <c r="AE12" s="3">
        <v>0</v>
      </c>
      <c r="AF12" s="3">
        <v>12</v>
      </c>
      <c r="AG12" s="3">
        <f t="shared" ref="AG12:AG31" si="2">+AE12+AF12</f>
        <v>12</v>
      </c>
      <c r="AH12" s="3">
        <v>137500</v>
      </c>
      <c r="AI12" s="41">
        <f t="shared" ref="AI12:AI41" si="3">AH12/$AL$47</f>
        <v>10.596412324513778</v>
      </c>
      <c r="AJ12" s="133">
        <v>340.79000000000087</v>
      </c>
      <c r="AK12" s="3">
        <v>3782769.0000000098</v>
      </c>
      <c r="AL12" s="37">
        <f t="shared" ref="AL12:AL41" si="4">AK12/$AL$47</f>
        <v>291.5184003810092</v>
      </c>
      <c r="AM12" s="7"/>
    </row>
    <row r="13" spans="1:39" x14ac:dyDescent="0.25">
      <c r="A13" s="33"/>
      <c r="B13" s="56">
        <v>2</v>
      </c>
      <c r="C13" s="139">
        <v>7</v>
      </c>
      <c r="D13" s="140">
        <v>118</v>
      </c>
      <c r="E13" s="100">
        <v>10119.999999999891</v>
      </c>
      <c r="F13" s="3">
        <v>10482093.599999886</v>
      </c>
      <c r="G13" s="35">
        <v>2039.9999999999636</v>
      </c>
      <c r="H13" s="3">
        <v>3169486.7999999435</v>
      </c>
      <c r="I13" s="99">
        <f t="shared" ref="I13:I41" si="5">F13+H13</f>
        <v>13651580.399999829</v>
      </c>
      <c r="J13" s="100">
        <v>1240.0000000000091</v>
      </c>
      <c r="K13" s="3">
        <v>1284367.2000000095</v>
      </c>
      <c r="L13" s="172">
        <v>340.00000000000341</v>
      </c>
      <c r="M13" s="173">
        <v>528247.80000000529</v>
      </c>
      <c r="N13" s="92">
        <f t="shared" ref="N13:N41" si="6">+K13+M13</f>
        <v>1812615.0000000149</v>
      </c>
      <c r="O13" s="101">
        <f t="shared" ref="O13:O39" si="7">N13+I13</f>
        <v>15464195.399999844</v>
      </c>
      <c r="P13" s="104">
        <f t="shared" ref="P13:P39" si="8">L13+J13+G13+E13</f>
        <v>13739.999999999867</v>
      </c>
      <c r="Q13" s="177"/>
      <c r="R13" s="188"/>
      <c r="S13" s="199"/>
      <c r="T13" s="196"/>
      <c r="U13" s="195">
        <v>0</v>
      </c>
      <c r="V13" s="174">
        <f t="shared" ref="V13:V41" si="9">Y13+W13</f>
        <v>996.80000000000007</v>
      </c>
      <c r="W13" s="3">
        <v>116.59</v>
      </c>
      <c r="X13" s="3">
        <v>2095180.595</v>
      </c>
      <c r="Y13" s="31">
        <v>880.21</v>
      </c>
      <c r="Z13" s="31">
        <v>3736649.8878000006</v>
      </c>
      <c r="AA13" s="31">
        <f t="shared" si="0"/>
        <v>5831830.4828000003</v>
      </c>
      <c r="AB13" s="120">
        <f t="shared" si="1"/>
        <v>449.42894838121504</v>
      </c>
      <c r="AC13" s="125">
        <v>0</v>
      </c>
      <c r="AD13" s="3">
        <v>0</v>
      </c>
      <c r="AE13" s="3">
        <v>350</v>
      </c>
      <c r="AF13" s="3">
        <v>0</v>
      </c>
      <c r="AG13" s="3">
        <f t="shared" si="2"/>
        <v>350</v>
      </c>
      <c r="AH13" s="3">
        <v>5544000</v>
      </c>
      <c r="AI13" s="41">
        <f t="shared" si="3"/>
        <v>427.24734492439558</v>
      </c>
      <c r="AJ13" s="133">
        <v>220.08999999995285</v>
      </c>
      <c r="AK13" s="3">
        <v>2442998.9999994766</v>
      </c>
      <c r="AL13" s="37">
        <f t="shared" si="4"/>
        <v>188.26927063541302</v>
      </c>
      <c r="AM13" s="7"/>
    </row>
    <row r="14" spans="1:39" x14ac:dyDescent="0.25">
      <c r="A14" s="33"/>
      <c r="B14" s="56">
        <v>3</v>
      </c>
      <c r="C14" s="139">
        <v>5</v>
      </c>
      <c r="D14" s="140">
        <v>114</v>
      </c>
      <c r="E14" s="100">
        <v>9920.0000000000728</v>
      </c>
      <c r="F14" s="3">
        <v>10274937.600000076</v>
      </c>
      <c r="G14" s="35">
        <v>1919.9999999999591</v>
      </c>
      <c r="H14" s="3">
        <v>2983046.3999999366</v>
      </c>
      <c r="I14" s="99">
        <f t="shared" si="5"/>
        <v>13257984.000000013</v>
      </c>
      <c r="J14" s="100">
        <v>1420.0000000000159</v>
      </c>
      <c r="K14" s="3">
        <v>1470807.6000000164</v>
      </c>
      <c r="L14" s="172">
        <v>340.00000000000341</v>
      </c>
      <c r="M14" s="173">
        <v>528247.80000000529</v>
      </c>
      <c r="N14" s="92">
        <f t="shared" si="6"/>
        <v>1999055.4000000218</v>
      </c>
      <c r="O14" s="101">
        <f t="shared" si="7"/>
        <v>15257039.400000036</v>
      </c>
      <c r="P14" s="104">
        <f t="shared" si="8"/>
        <v>13600.000000000051</v>
      </c>
      <c r="Q14" s="177"/>
      <c r="R14" s="188"/>
      <c r="S14" s="199"/>
      <c r="T14" s="196"/>
      <c r="U14" s="195">
        <v>0</v>
      </c>
      <c r="V14" s="174">
        <f t="shared" si="9"/>
        <v>995.02</v>
      </c>
      <c r="W14" s="3">
        <v>113.03</v>
      </c>
      <c r="X14" s="3">
        <v>2031205.615</v>
      </c>
      <c r="Y14" s="31">
        <v>881.99</v>
      </c>
      <c r="Z14" s="31">
        <v>3744206.3082000003</v>
      </c>
      <c r="AA14" s="31">
        <f t="shared" si="0"/>
        <v>5775411.9232000001</v>
      </c>
      <c r="AB14" s="120">
        <f t="shared" si="1"/>
        <v>445.08106241556584</v>
      </c>
      <c r="AC14" s="125">
        <v>0</v>
      </c>
      <c r="AD14" s="3">
        <v>0</v>
      </c>
      <c r="AE14" s="3">
        <v>50</v>
      </c>
      <c r="AF14" s="3">
        <v>12</v>
      </c>
      <c r="AG14" s="3">
        <f t="shared" si="2"/>
        <v>62</v>
      </c>
      <c r="AH14" s="3">
        <v>929500</v>
      </c>
      <c r="AI14" s="41">
        <f t="shared" si="3"/>
        <v>71.631747313713149</v>
      </c>
      <c r="AJ14" s="133">
        <v>103.4800000000032</v>
      </c>
      <c r="AK14" s="3">
        <v>1148628.0000000356</v>
      </c>
      <c r="AL14" s="37">
        <f t="shared" si="4"/>
        <v>88.518806512596285</v>
      </c>
      <c r="AM14" s="7"/>
    </row>
    <row r="15" spans="1:39" x14ac:dyDescent="0.25">
      <c r="A15" s="33"/>
      <c r="B15" s="56">
        <v>4</v>
      </c>
      <c r="C15" s="139">
        <v>5</v>
      </c>
      <c r="D15" s="140">
        <v>56</v>
      </c>
      <c r="E15" s="100">
        <v>9919.999999999618</v>
      </c>
      <c r="F15" s="3">
        <v>10274937.599999605</v>
      </c>
      <c r="G15" s="35">
        <v>2080.0000000000409</v>
      </c>
      <c r="H15" s="3">
        <v>3231633.6000000639</v>
      </c>
      <c r="I15" s="99">
        <f t="shared" si="5"/>
        <v>13506571.199999668</v>
      </c>
      <c r="J15" s="100">
        <v>1119.9999999999477</v>
      </c>
      <c r="K15" s="3">
        <v>1160073.5999999458</v>
      </c>
      <c r="L15" s="172">
        <v>299.99999999999716</v>
      </c>
      <c r="M15" s="173">
        <v>466100.99999999563</v>
      </c>
      <c r="N15" s="92">
        <f t="shared" si="6"/>
        <v>1626174.5999999414</v>
      </c>
      <c r="O15" s="101">
        <f t="shared" si="7"/>
        <v>15132745.79999961</v>
      </c>
      <c r="P15" s="104">
        <f t="shared" si="8"/>
        <v>13419.999999999603</v>
      </c>
      <c r="Q15" s="177"/>
      <c r="R15" s="188"/>
      <c r="S15" s="199"/>
      <c r="T15" s="196"/>
      <c r="U15" s="195">
        <v>0</v>
      </c>
      <c r="V15" s="174">
        <f t="shared" si="9"/>
        <v>981.67</v>
      </c>
      <c r="W15" s="3">
        <v>113.03</v>
      </c>
      <c r="X15" s="3">
        <v>2031205.615</v>
      </c>
      <c r="Y15" s="31">
        <v>868.64</v>
      </c>
      <c r="Z15" s="31">
        <v>3687533.1552000004</v>
      </c>
      <c r="AA15" s="31">
        <f t="shared" si="0"/>
        <v>5718738.7702000001</v>
      </c>
      <c r="AB15" s="120">
        <f t="shared" si="1"/>
        <v>440.71355625616036</v>
      </c>
      <c r="AC15" s="125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1">
        <f t="shared" si="3"/>
        <v>0</v>
      </c>
      <c r="AJ15" s="133">
        <v>391.22999999999593</v>
      </c>
      <c r="AK15" s="3">
        <v>4342652.9999999544</v>
      </c>
      <c r="AL15" s="37">
        <f t="shared" si="4"/>
        <v>334.66575832935456</v>
      </c>
      <c r="AM15" s="7"/>
    </row>
    <row r="16" spans="1:39" x14ac:dyDescent="0.25">
      <c r="A16" s="33"/>
      <c r="B16" s="56">
        <v>5</v>
      </c>
      <c r="C16" s="139">
        <v>4</v>
      </c>
      <c r="D16" s="140">
        <v>76</v>
      </c>
      <c r="E16" s="100">
        <v>9680.000000000291</v>
      </c>
      <c r="F16" s="3">
        <v>10026350.4000003</v>
      </c>
      <c r="G16" s="35">
        <v>1960.0000000000364</v>
      </c>
      <c r="H16" s="3">
        <v>3045193.2000000565</v>
      </c>
      <c r="I16" s="99">
        <f t="shared" si="5"/>
        <v>13071543.600000357</v>
      </c>
      <c r="J16" s="100">
        <v>1120.0000000000045</v>
      </c>
      <c r="K16" s="3">
        <v>1160073.6000000047</v>
      </c>
      <c r="L16" s="172">
        <v>320.00000000000739</v>
      </c>
      <c r="M16" s="173">
        <v>497174.40000001149</v>
      </c>
      <c r="N16" s="92">
        <f t="shared" si="6"/>
        <v>1657248.0000000163</v>
      </c>
      <c r="O16" s="101">
        <f t="shared" si="7"/>
        <v>14728791.600000374</v>
      </c>
      <c r="P16" s="104">
        <f t="shared" si="8"/>
        <v>13080.000000000338</v>
      </c>
      <c r="Q16" s="177"/>
      <c r="R16" s="188"/>
      <c r="S16" s="199"/>
      <c r="T16" s="196"/>
      <c r="U16" s="195">
        <v>0</v>
      </c>
      <c r="V16" s="174">
        <f t="shared" si="9"/>
        <v>987.9</v>
      </c>
      <c r="W16" s="3">
        <v>113.92</v>
      </c>
      <c r="X16" s="3">
        <v>2047199.36</v>
      </c>
      <c r="Y16" s="31">
        <v>873.98</v>
      </c>
      <c r="Z16" s="31">
        <v>3710202.4164000005</v>
      </c>
      <c r="AA16" s="31">
        <f t="shared" si="0"/>
        <v>5757401.7764000008</v>
      </c>
      <c r="AB16" s="120">
        <f t="shared" si="1"/>
        <v>443.69311374998176</v>
      </c>
      <c r="AC16" s="125">
        <v>0</v>
      </c>
      <c r="AD16" s="3">
        <v>0</v>
      </c>
      <c r="AE16" s="3">
        <v>0</v>
      </c>
      <c r="AF16" s="3">
        <v>12</v>
      </c>
      <c r="AG16" s="3">
        <f t="shared" si="2"/>
        <v>12</v>
      </c>
      <c r="AH16" s="3">
        <v>137500</v>
      </c>
      <c r="AI16" s="41">
        <f t="shared" si="3"/>
        <v>10.596412324513778</v>
      </c>
      <c r="AJ16" s="133">
        <v>101.25</v>
      </c>
      <c r="AK16" s="3">
        <v>1123875</v>
      </c>
      <c r="AL16" s="37">
        <f t="shared" si="4"/>
        <v>86.611221099730344</v>
      </c>
      <c r="AM16" s="7"/>
    </row>
    <row r="17" spans="1:39" x14ac:dyDescent="0.25">
      <c r="A17" s="33"/>
      <c r="B17" s="56">
        <v>6</v>
      </c>
      <c r="C17" s="139">
        <v>2</v>
      </c>
      <c r="D17" s="140">
        <v>92</v>
      </c>
      <c r="E17" s="100">
        <v>9719.9999999997999</v>
      </c>
      <c r="F17" s="3">
        <v>10067781.599999793</v>
      </c>
      <c r="G17" s="35">
        <v>1799.9999999999545</v>
      </c>
      <c r="H17" s="3">
        <v>2796605.9999999297</v>
      </c>
      <c r="I17" s="99">
        <f t="shared" si="5"/>
        <v>12864387.599999722</v>
      </c>
      <c r="J17" s="100">
        <v>1260.0000000000477</v>
      </c>
      <c r="K17" s="3">
        <v>1305082.8000000494</v>
      </c>
      <c r="L17" s="172">
        <v>359.99999999999943</v>
      </c>
      <c r="M17" s="173">
        <v>559321.19999999914</v>
      </c>
      <c r="N17" s="92">
        <f t="shared" si="6"/>
        <v>1864404.0000000484</v>
      </c>
      <c r="O17" s="101">
        <f t="shared" si="7"/>
        <v>14728791.599999771</v>
      </c>
      <c r="P17" s="104">
        <f t="shared" si="8"/>
        <v>13139.999999999802</v>
      </c>
      <c r="Q17" s="177"/>
      <c r="R17" s="188"/>
      <c r="S17" s="199"/>
      <c r="T17" s="196"/>
      <c r="U17" s="195">
        <v>0</v>
      </c>
      <c r="V17" s="174">
        <f t="shared" si="9"/>
        <v>986.12</v>
      </c>
      <c r="W17" s="3">
        <v>113.92</v>
      </c>
      <c r="X17" s="3">
        <v>2047199.36</v>
      </c>
      <c r="Y17" s="31">
        <v>872.2</v>
      </c>
      <c r="Z17" s="31">
        <v>3702645.9960000003</v>
      </c>
      <c r="AA17" s="31">
        <f t="shared" si="0"/>
        <v>5749845.3560000006</v>
      </c>
      <c r="AB17" s="120">
        <f t="shared" si="1"/>
        <v>443.11077959539432</v>
      </c>
      <c r="AC17" s="125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1">
        <f t="shared" si="3"/>
        <v>0</v>
      </c>
      <c r="AJ17" s="133">
        <v>257.04000000000087</v>
      </c>
      <c r="AK17" s="3">
        <v>2853144.0000000098</v>
      </c>
      <c r="AL17" s="37">
        <f t="shared" si="4"/>
        <v>219.87701996518285</v>
      </c>
      <c r="AM17" s="7"/>
    </row>
    <row r="18" spans="1:39" x14ac:dyDescent="0.25">
      <c r="A18" s="33"/>
      <c r="B18" s="56">
        <v>7</v>
      </c>
      <c r="C18" s="139">
        <v>6</v>
      </c>
      <c r="D18" s="140">
        <v>113</v>
      </c>
      <c r="E18" s="100">
        <v>9760.0000000002183</v>
      </c>
      <c r="F18" s="3">
        <v>10109212.800000226</v>
      </c>
      <c r="G18" s="35">
        <v>2000</v>
      </c>
      <c r="H18" s="3">
        <v>3107340</v>
      </c>
      <c r="I18" s="99">
        <f t="shared" si="5"/>
        <v>13216552.800000226</v>
      </c>
      <c r="J18" s="100">
        <v>1359.9999999999568</v>
      </c>
      <c r="K18" s="3">
        <v>1408660.7999999551</v>
      </c>
      <c r="L18" s="172">
        <v>439.99999999999773</v>
      </c>
      <c r="M18" s="173">
        <v>683614.79999999655</v>
      </c>
      <c r="N18" s="92">
        <f t="shared" si="6"/>
        <v>2092275.5999999517</v>
      </c>
      <c r="O18" s="101">
        <f t="shared" si="7"/>
        <v>15308828.400000177</v>
      </c>
      <c r="P18" s="104">
        <f t="shared" si="8"/>
        <v>13560.000000000173</v>
      </c>
      <c r="Q18" s="177"/>
      <c r="R18" s="188"/>
      <c r="S18" s="199"/>
      <c r="T18" s="196"/>
      <c r="U18" s="195">
        <v>0</v>
      </c>
      <c r="V18" s="174">
        <f t="shared" si="9"/>
        <v>1011.9300000000001</v>
      </c>
      <c r="W18" s="3">
        <v>123.71000000000001</v>
      </c>
      <c r="X18" s="3">
        <v>2223130.5550000002</v>
      </c>
      <c r="Y18" s="31">
        <v>888.22</v>
      </c>
      <c r="Z18" s="31">
        <v>3770653.7796000005</v>
      </c>
      <c r="AA18" s="31">
        <f t="shared" si="0"/>
        <v>5993784.3346000006</v>
      </c>
      <c r="AB18" s="120">
        <f t="shared" si="1"/>
        <v>461.90989231733136</v>
      </c>
      <c r="AC18" s="125">
        <v>0</v>
      </c>
      <c r="AD18" s="3">
        <v>0</v>
      </c>
      <c r="AE18" s="3">
        <v>0</v>
      </c>
      <c r="AF18" s="3">
        <v>12</v>
      </c>
      <c r="AG18" s="3">
        <f t="shared" si="2"/>
        <v>12</v>
      </c>
      <c r="AH18" s="3">
        <v>137500</v>
      </c>
      <c r="AI18" s="41">
        <f t="shared" si="3"/>
        <v>10.596412324513778</v>
      </c>
      <c r="AJ18" s="133">
        <v>104.77999999999884</v>
      </c>
      <c r="AK18" s="3">
        <v>1163057.999999987</v>
      </c>
      <c r="AL18" s="37">
        <f t="shared" si="4"/>
        <v>89.630851820539689</v>
      </c>
      <c r="AM18" s="7"/>
    </row>
    <row r="19" spans="1:39" x14ac:dyDescent="0.25">
      <c r="A19" s="33"/>
      <c r="B19" s="56">
        <v>8</v>
      </c>
      <c r="C19" s="139">
        <v>17</v>
      </c>
      <c r="D19" s="140">
        <v>113</v>
      </c>
      <c r="E19" s="100">
        <v>9880.0000000001091</v>
      </c>
      <c r="F19" s="3">
        <v>10233506.400000112</v>
      </c>
      <c r="G19" s="35">
        <v>2080.0000000000409</v>
      </c>
      <c r="H19" s="3">
        <v>3231633.6000000639</v>
      </c>
      <c r="I19" s="99">
        <f t="shared" si="5"/>
        <v>13465140.000000175</v>
      </c>
      <c r="J19" s="100">
        <v>1220.0000000000273</v>
      </c>
      <c r="K19" s="3">
        <v>1263651.6000000283</v>
      </c>
      <c r="L19" s="172">
        <v>319.99999999999318</v>
      </c>
      <c r="M19" s="173">
        <v>497174.39999998943</v>
      </c>
      <c r="N19" s="92">
        <f t="shared" si="6"/>
        <v>1760826.0000000177</v>
      </c>
      <c r="O19" s="101">
        <f t="shared" si="7"/>
        <v>15225966.000000194</v>
      </c>
      <c r="P19" s="104">
        <f t="shared" si="8"/>
        <v>13500.000000000171</v>
      </c>
      <c r="Q19" s="177"/>
      <c r="R19" s="188"/>
      <c r="S19" s="199"/>
      <c r="T19" s="196"/>
      <c r="U19" s="195">
        <v>0</v>
      </c>
      <c r="V19" s="174">
        <f t="shared" si="9"/>
        <v>994.13</v>
      </c>
      <c r="W19" s="3">
        <v>113.92</v>
      </c>
      <c r="X19" s="3">
        <v>2047199.36</v>
      </c>
      <c r="Y19" s="31">
        <v>880.21</v>
      </c>
      <c r="Z19" s="31">
        <v>3736649.8878000006</v>
      </c>
      <c r="AA19" s="31">
        <f t="shared" si="0"/>
        <v>5783849.2478000009</v>
      </c>
      <c r="AB19" s="120">
        <f t="shared" si="1"/>
        <v>445.73128329103764</v>
      </c>
      <c r="AC19" s="125">
        <v>0</v>
      </c>
      <c r="AD19" s="3">
        <v>0</v>
      </c>
      <c r="AE19" s="3">
        <v>400</v>
      </c>
      <c r="AF19" s="3">
        <v>12</v>
      </c>
      <c r="AG19" s="3">
        <f t="shared" si="2"/>
        <v>412</v>
      </c>
      <c r="AH19" s="3">
        <v>6473500</v>
      </c>
      <c r="AI19" s="41">
        <f t="shared" si="3"/>
        <v>498.87909223810868</v>
      </c>
      <c r="AJ19" s="133">
        <v>339.88000000000466</v>
      </c>
      <c r="AK19" s="3">
        <v>3772668.0000000517</v>
      </c>
      <c r="AL19" s="37">
        <f t="shared" si="4"/>
        <v>290.73996866544945</v>
      </c>
      <c r="AM19" s="7"/>
    </row>
    <row r="20" spans="1:39" x14ac:dyDescent="0.25">
      <c r="A20" s="33"/>
      <c r="B20" s="56">
        <v>9</v>
      </c>
      <c r="C20" s="139">
        <v>14</v>
      </c>
      <c r="D20" s="140">
        <v>131</v>
      </c>
      <c r="E20" s="100">
        <v>10719.9999999998</v>
      </c>
      <c r="F20" s="3">
        <v>11103561.599999793</v>
      </c>
      <c r="G20" s="35">
        <v>2240.0000000000091</v>
      </c>
      <c r="H20" s="3">
        <v>3480220.8000000142</v>
      </c>
      <c r="I20" s="99">
        <f t="shared" si="5"/>
        <v>14583782.399999807</v>
      </c>
      <c r="J20" s="100">
        <v>1319.9999999999932</v>
      </c>
      <c r="K20" s="3">
        <v>1367229.5999999929</v>
      </c>
      <c r="L20" s="172">
        <v>380.00000000000966</v>
      </c>
      <c r="M20" s="173">
        <v>590394.60000001499</v>
      </c>
      <c r="N20" s="92">
        <f t="shared" si="6"/>
        <v>1957624.2000000079</v>
      </c>
      <c r="O20" s="101">
        <f t="shared" si="7"/>
        <v>16541406.599999815</v>
      </c>
      <c r="P20" s="104">
        <f t="shared" si="8"/>
        <v>14659.999999999811</v>
      </c>
      <c r="Q20" s="177"/>
      <c r="R20" s="188"/>
      <c r="S20" s="199"/>
      <c r="T20" s="196"/>
      <c r="U20" s="195">
        <v>0</v>
      </c>
      <c r="V20" s="174">
        <f t="shared" si="9"/>
        <v>994.13</v>
      </c>
      <c r="W20" s="3">
        <v>113.03</v>
      </c>
      <c r="X20" s="3">
        <v>2031205.615</v>
      </c>
      <c r="Y20" s="31">
        <v>881.1</v>
      </c>
      <c r="Z20" s="31">
        <v>3740428.0980000002</v>
      </c>
      <c r="AA20" s="31">
        <f t="shared" si="0"/>
        <v>5771633.7130000005</v>
      </c>
      <c r="AB20" s="120">
        <f t="shared" si="1"/>
        <v>444.78989533827217</v>
      </c>
      <c r="AC20" s="125">
        <v>0</v>
      </c>
      <c r="AD20" s="3">
        <v>0</v>
      </c>
      <c r="AE20" s="3">
        <v>0</v>
      </c>
      <c r="AF20" s="3">
        <v>12</v>
      </c>
      <c r="AG20" s="3">
        <f t="shared" si="2"/>
        <v>12</v>
      </c>
      <c r="AH20" s="3">
        <v>137500</v>
      </c>
      <c r="AI20" s="41">
        <f t="shared" si="3"/>
        <v>10.596412324513778</v>
      </c>
      <c r="AJ20" s="133">
        <v>152.69999999999709</v>
      </c>
      <c r="AK20" s="3">
        <v>1694969.9999999676</v>
      </c>
      <c r="AL20" s="37">
        <f t="shared" si="4"/>
        <v>130.62255271040564</v>
      </c>
      <c r="AM20" s="7"/>
    </row>
    <row r="21" spans="1:39" x14ac:dyDescent="0.25">
      <c r="A21" s="33"/>
      <c r="B21" s="56">
        <v>10</v>
      </c>
      <c r="C21" s="139">
        <v>9</v>
      </c>
      <c r="D21" s="140">
        <v>172</v>
      </c>
      <c r="E21" s="100">
        <v>11039.999999999964</v>
      </c>
      <c r="F21" s="3">
        <v>11435011.199999962</v>
      </c>
      <c r="G21" s="35">
        <v>2199.9999999999318</v>
      </c>
      <c r="H21" s="3">
        <v>3418073.9999998943</v>
      </c>
      <c r="I21" s="99">
        <f t="shared" si="5"/>
        <v>14853085.199999856</v>
      </c>
      <c r="J21" s="100">
        <v>1259.9999999999909</v>
      </c>
      <c r="K21" s="3">
        <v>1305082.7999999905</v>
      </c>
      <c r="L21" s="172">
        <v>339.9999999999892</v>
      </c>
      <c r="M21" s="173">
        <v>528247.79999998328</v>
      </c>
      <c r="N21" s="92">
        <f t="shared" si="6"/>
        <v>1833330.5999999738</v>
      </c>
      <c r="O21" s="101">
        <f t="shared" si="7"/>
        <v>16686415.799999829</v>
      </c>
      <c r="P21" s="104">
        <f t="shared" si="8"/>
        <v>14839.999999999876</v>
      </c>
      <c r="Q21" s="177"/>
      <c r="R21" s="188"/>
      <c r="S21" s="199"/>
      <c r="T21" s="196"/>
      <c r="U21" s="195">
        <v>0</v>
      </c>
      <c r="V21" s="174">
        <f t="shared" si="9"/>
        <v>984.33999999999992</v>
      </c>
      <c r="W21" s="3">
        <v>113.92</v>
      </c>
      <c r="X21" s="3">
        <v>2047199.36</v>
      </c>
      <c r="Y21" s="31">
        <v>870.42</v>
      </c>
      <c r="Z21" s="31">
        <v>3695089.5756000001</v>
      </c>
      <c r="AA21" s="31">
        <f t="shared" si="0"/>
        <v>5742288.9356000004</v>
      </c>
      <c r="AB21" s="120">
        <f t="shared" si="1"/>
        <v>442.52844544080693</v>
      </c>
      <c r="AC21" s="125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1">
        <f t="shared" si="3"/>
        <v>0</v>
      </c>
      <c r="AJ21" s="133">
        <v>99.459999999999127</v>
      </c>
      <c r="AK21" s="3">
        <v>1104005.9999999902</v>
      </c>
      <c r="AL21" s="37">
        <f t="shared" si="4"/>
        <v>85.080020252633133</v>
      </c>
      <c r="AM21" s="7"/>
    </row>
    <row r="22" spans="1:39" x14ac:dyDescent="0.25">
      <c r="A22" s="33"/>
      <c r="B22" s="56">
        <v>11</v>
      </c>
      <c r="C22" s="139">
        <v>6</v>
      </c>
      <c r="D22" s="140">
        <v>63</v>
      </c>
      <c r="E22" s="100">
        <v>8159.9999999998545</v>
      </c>
      <c r="F22" s="3">
        <v>8451964.7999998499</v>
      </c>
      <c r="G22" s="35">
        <v>2040.0000000000773</v>
      </c>
      <c r="H22" s="3">
        <v>3169486.8000001204</v>
      </c>
      <c r="I22" s="99">
        <f t="shared" si="5"/>
        <v>11621451.59999997</v>
      </c>
      <c r="J22" s="100">
        <v>1199.9999999999886</v>
      </c>
      <c r="K22" s="3">
        <v>1242935.9999999881</v>
      </c>
      <c r="L22" s="172">
        <v>320.00000000000739</v>
      </c>
      <c r="M22" s="173">
        <v>497174.40000001149</v>
      </c>
      <c r="N22" s="92">
        <f t="shared" si="6"/>
        <v>1740110.3999999997</v>
      </c>
      <c r="O22" s="101">
        <f t="shared" si="7"/>
        <v>13361561.99999997</v>
      </c>
      <c r="P22" s="104">
        <f t="shared" si="8"/>
        <v>11719.999999999927</v>
      </c>
      <c r="Q22" s="177"/>
      <c r="R22" s="188"/>
      <c r="S22" s="199"/>
      <c r="T22" s="196"/>
      <c r="U22" s="195">
        <v>0</v>
      </c>
      <c r="V22" s="174">
        <f t="shared" si="9"/>
        <v>995.02</v>
      </c>
      <c r="W22" s="3">
        <v>113.92</v>
      </c>
      <c r="X22" s="3">
        <v>2047199.36</v>
      </c>
      <c r="Y22" s="31">
        <v>881.1</v>
      </c>
      <c r="Z22" s="31">
        <v>3740428.0980000002</v>
      </c>
      <c r="AA22" s="31">
        <f t="shared" si="0"/>
        <v>5787627.4580000006</v>
      </c>
      <c r="AB22" s="120">
        <f t="shared" si="1"/>
        <v>446.02245036833131</v>
      </c>
      <c r="AC22" s="125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1">
        <f t="shared" si="3"/>
        <v>0</v>
      </c>
      <c r="AJ22" s="133">
        <v>189.56999999999971</v>
      </c>
      <c r="AK22" s="3">
        <v>2104226.9999999967</v>
      </c>
      <c r="AL22" s="37">
        <f t="shared" si="4"/>
        <v>162.16186848272451</v>
      </c>
      <c r="AM22" s="7"/>
    </row>
    <row r="23" spans="1:39" x14ac:dyDescent="0.25">
      <c r="A23" s="33"/>
      <c r="B23" s="56">
        <v>12</v>
      </c>
      <c r="C23" s="139">
        <v>5</v>
      </c>
      <c r="D23" s="140">
        <v>65</v>
      </c>
      <c r="E23" s="100">
        <v>12840.000000000146</v>
      </c>
      <c r="F23" s="3">
        <v>13299415.20000015</v>
      </c>
      <c r="G23" s="35">
        <v>2079.9999999999272</v>
      </c>
      <c r="H23" s="3">
        <v>3231633.5999998869</v>
      </c>
      <c r="I23" s="99">
        <f t="shared" si="5"/>
        <v>16531048.800000038</v>
      </c>
      <c r="J23" s="100">
        <v>1439.9999999999977</v>
      </c>
      <c r="K23" s="3">
        <v>1491523.1999999976</v>
      </c>
      <c r="L23" s="172">
        <v>379.99999999999545</v>
      </c>
      <c r="M23" s="173">
        <v>590394.59999999299</v>
      </c>
      <c r="N23" s="92">
        <f t="shared" si="6"/>
        <v>2081917.7999999905</v>
      </c>
      <c r="O23" s="101">
        <f t="shared" si="7"/>
        <v>18612966.600000028</v>
      </c>
      <c r="P23" s="104">
        <f t="shared" si="8"/>
        <v>16740.000000000065</v>
      </c>
      <c r="Q23" s="177"/>
      <c r="R23" s="188"/>
      <c r="S23" s="199"/>
      <c r="T23" s="196"/>
      <c r="U23" s="195">
        <v>0</v>
      </c>
      <c r="V23" s="174">
        <f t="shared" si="9"/>
        <v>1003.0300000000001</v>
      </c>
      <c r="W23" s="3">
        <v>130.83000000000001</v>
      </c>
      <c r="X23" s="3">
        <v>2351080.5150000001</v>
      </c>
      <c r="Y23" s="31">
        <v>872.2</v>
      </c>
      <c r="Z23" s="31">
        <v>3702645.9960000003</v>
      </c>
      <c r="AA23" s="31">
        <f t="shared" si="0"/>
        <v>6053726.5109999999</v>
      </c>
      <c r="AB23" s="120">
        <f t="shared" si="1"/>
        <v>466.52932516651776</v>
      </c>
      <c r="AC23" s="125">
        <v>0</v>
      </c>
      <c r="AD23" s="3">
        <v>0</v>
      </c>
      <c r="AE23" s="3">
        <v>0</v>
      </c>
      <c r="AF23" s="3">
        <v>12</v>
      </c>
      <c r="AG23" s="3">
        <f t="shared" si="2"/>
        <v>12</v>
      </c>
      <c r="AH23" s="3">
        <v>137500</v>
      </c>
      <c r="AI23" s="41">
        <f t="shared" si="3"/>
        <v>10.596412324513778</v>
      </c>
      <c r="AJ23" s="133">
        <v>127.4800000000032</v>
      </c>
      <c r="AK23" s="3">
        <v>1415028.0000000356</v>
      </c>
      <c r="AL23" s="37">
        <f t="shared" si="4"/>
        <v>109.04887373623608</v>
      </c>
      <c r="AM23" s="7"/>
    </row>
    <row r="24" spans="1:39" x14ac:dyDescent="0.25">
      <c r="A24" s="33"/>
      <c r="B24" s="56">
        <v>13</v>
      </c>
      <c r="C24" s="139">
        <v>8</v>
      </c>
      <c r="D24" s="140">
        <v>106</v>
      </c>
      <c r="E24" s="100">
        <v>10599.999999999909</v>
      </c>
      <c r="F24" s="3">
        <v>10979267.999999905</v>
      </c>
      <c r="G24" s="35">
        <v>2320.00000000005</v>
      </c>
      <c r="H24" s="3">
        <v>3604514.4000000777</v>
      </c>
      <c r="I24" s="99">
        <f t="shared" si="5"/>
        <v>14583782.399999984</v>
      </c>
      <c r="J24" s="100">
        <v>1400.0000000000341</v>
      </c>
      <c r="K24" s="3">
        <v>1450092.0000000354</v>
      </c>
      <c r="L24" s="172">
        <v>320.00000000000739</v>
      </c>
      <c r="M24" s="173">
        <v>497174.40000001149</v>
      </c>
      <c r="N24" s="92">
        <f t="shared" si="6"/>
        <v>1947266.4000000469</v>
      </c>
      <c r="O24" s="101">
        <f t="shared" si="7"/>
        <v>16531048.800000031</v>
      </c>
      <c r="P24" s="104">
        <f t="shared" si="8"/>
        <v>14640</v>
      </c>
      <c r="Q24" s="177"/>
      <c r="R24" s="188"/>
      <c r="S24" s="199"/>
      <c r="T24" s="196"/>
      <c r="U24" s="195">
        <v>0</v>
      </c>
      <c r="V24" s="174">
        <f>Y24+W24</f>
        <v>974.55</v>
      </c>
      <c r="W24" s="3">
        <v>188.68</v>
      </c>
      <c r="X24" s="3">
        <v>3390673.94</v>
      </c>
      <c r="Y24" s="31">
        <v>785.87</v>
      </c>
      <c r="Z24" s="31">
        <v>3336159.6066000001</v>
      </c>
      <c r="AA24" s="31">
        <f t="shared" si="0"/>
        <v>6726833.5466</v>
      </c>
      <c r="AB24" s="120">
        <f t="shared" si="1"/>
        <v>518.40219562287257</v>
      </c>
      <c r="AC24" s="125">
        <v>0</v>
      </c>
      <c r="AD24" s="3">
        <v>0</v>
      </c>
      <c r="AE24" s="3">
        <v>400</v>
      </c>
      <c r="AF24" s="3">
        <v>12</v>
      </c>
      <c r="AG24" s="3">
        <f t="shared" si="2"/>
        <v>412</v>
      </c>
      <c r="AH24" s="3">
        <v>6473500</v>
      </c>
      <c r="AI24" s="41">
        <f t="shared" si="3"/>
        <v>498.87909223810868</v>
      </c>
      <c r="AJ24" s="133">
        <v>899.32000000002154</v>
      </c>
      <c r="AK24" s="3">
        <v>9982452.0000002384</v>
      </c>
      <c r="AL24" s="37">
        <f t="shared" si="4"/>
        <v>769.29583564850725</v>
      </c>
      <c r="AM24" s="7"/>
    </row>
    <row r="25" spans="1:39" x14ac:dyDescent="0.25">
      <c r="A25" s="33"/>
      <c r="B25" s="56">
        <v>14</v>
      </c>
      <c r="C25" s="139">
        <v>8</v>
      </c>
      <c r="D25" s="140">
        <v>85</v>
      </c>
      <c r="E25" s="100">
        <v>11079.999999999927</v>
      </c>
      <c r="F25" s="3">
        <v>11476442.399999924</v>
      </c>
      <c r="G25" s="35">
        <v>2279.9999999999727</v>
      </c>
      <c r="H25" s="3">
        <v>3542367.5999999577</v>
      </c>
      <c r="I25" s="99">
        <f t="shared" si="5"/>
        <v>15018809.999999881</v>
      </c>
      <c r="J25" s="100">
        <v>1339.999999999975</v>
      </c>
      <c r="K25" s="3">
        <v>1387945.1999999741</v>
      </c>
      <c r="L25" s="172">
        <v>319.99999999999318</v>
      </c>
      <c r="M25" s="173">
        <v>497174.39999998943</v>
      </c>
      <c r="N25" s="92">
        <f t="shared" si="6"/>
        <v>1885119.5999999635</v>
      </c>
      <c r="O25" s="101">
        <f t="shared" si="7"/>
        <v>16903929.599999845</v>
      </c>
      <c r="P25" s="104">
        <f t="shared" si="8"/>
        <v>15019.999999999869</v>
      </c>
      <c r="Q25" s="177"/>
      <c r="R25" s="188"/>
      <c r="S25" s="199"/>
      <c r="T25" s="196"/>
      <c r="U25" s="195">
        <v>0</v>
      </c>
      <c r="V25" s="174">
        <f t="shared" si="9"/>
        <v>808.12</v>
      </c>
      <c r="W25" s="3">
        <v>186.9</v>
      </c>
      <c r="X25" s="3">
        <v>3358686.45</v>
      </c>
      <c r="Y25" s="31">
        <v>621.22</v>
      </c>
      <c r="Z25" s="31">
        <v>2637190.7196000004</v>
      </c>
      <c r="AA25" s="31">
        <f t="shared" si="0"/>
        <v>5995877.1696000006</v>
      </c>
      <c r="AB25" s="120">
        <f t="shared" si="1"/>
        <v>462.07117626341994</v>
      </c>
      <c r="AC25" s="125">
        <v>0</v>
      </c>
      <c r="AD25" s="3">
        <v>0</v>
      </c>
      <c r="AE25" s="3">
        <v>0</v>
      </c>
      <c r="AF25" s="3">
        <v>0</v>
      </c>
      <c r="AG25" s="3">
        <f t="shared" si="2"/>
        <v>0</v>
      </c>
      <c r="AH25" s="3">
        <v>0</v>
      </c>
      <c r="AI25" s="41">
        <f t="shared" si="3"/>
        <v>0</v>
      </c>
      <c r="AJ25" s="133">
        <v>286.70999999999913</v>
      </c>
      <c r="AK25" s="3">
        <v>3182480.9999999902</v>
      </c>
      <c r="AL25" s="37">
        <f t="shared" si="4"/>
        <v>245.25731557040604</v>
      </c>
      <c r="AM25" s="7"/>
    </row>
    <row r="26" spans="1:39" x14ac:dyDescent="0.25">
      <c r="A26" s="33"/>
      <c r="B26" s="56">
        <v>15</v>
      </c>
      <c r="C26" s="139">
        <v>16</v>
      </c>
      <c r="D26" s="140">
        <v>117</v>
      </c>
      <c r="E26" s="100">
        <v>12039.999999999964</v>
      </c>
      <c r="F26" s="3">
        <v>12470791.199999962</v>
      </c>
      <c r="G26" s="35">
        <v>2680.0000000000637</v>
      </c>
      <c r="H26" s="3">
        <v>4163835.6000000993</v>
      </c>
      <c r="I26" s="99">
        <f t="shared" si="5"/>
        <v>16634626.80000006</v>
      </c>
      <c r="J26" s="100">
        <v>1519.9999999999818</v>
      </c>
      <c r="K26" s="3">
        <v>1574385.5999999812</v>
      </c>
      <c r="L26" s="172">
        <v>480.00000000000398</v>
      </c>
      <c r="M26" s="173">
        <v>745761.60000000626</v>
      </c>
      <c r="N26" s="92">
        <f t="shared" si="6"/>
        <v>2320147.1999999876</v>
      </c>
      <c r="O26" s="101">
        <f t="shared" si="7"/>
        <v>18954774.000000048</v>
      </c>
      <c r="P26" s="104">
        <f t="shared" si="8"/>
        <v>16720.000000000015</v>
      </c>
      <c r="Q26" s="177"/>
      <c r="R26" s="188"/>
      <c r="S26" s="199"/>
      <c r="T26" s="196"/>
      <c r="U26" s="195">
        <v>0</v>
      </c>
      <c r="V26" s="174">
        <f t="shared" si="9"/>
        <v>829.48</v>
      </c>
      <c r="W26" s="3">
        <v>186.9</v>
      </c>
      <c r="X26" s="3">
        <v>3358686.45</v>
      </c>
      <c r="Y26" s="31">
        <v>642.58000000000004</v>
      </c>
      <c r="Z26" s="31">
        <v>2727867.7644000002</v>
      </c>
      <c r="AA26" s="31">
        <f t="shared" si="0"/>
        <v>6086554.2144000009</v>
      </c>
      <c r="AB26" s="120">
        <f t="shared" si="1"/>
        <v>469.05918611846874</v>
      </c>
      <c r="AC26" s="125">
        <v>0</v>
      </c>
      <c r="AD26" s="3">
        <v>0</v>
      </c>
      <c r="AE26" s="3">
        <v>0</v>
      </c>
      <c r="AF26" s="3">
        <v>12</v>
      </c>
      <c r="AG26" s="3">
        <f t="shared" si="2"/>
        <v>12</v>
      </c>
      <c r="AH26" s="3">
        <v>137500</v>
      </c>
      <c r="AI26" s="41">
        <f t="shared" si="3"/>
        <v>10.596412324513778</v>
      </c>
      <c r="AJ26" s="133">
        <v>309.31999999999971</v>
      </c>
      <c r="AK26" s="3">
        <v>3433451.9999999967</v>
      </c>
      <c r="AL26" s="37">
        <f t="shared" si="4"/>
        <v>264.59834973401053</v>
      </c>
      <c r="AM26" s="7"/>
    </row>
    <row r="27" spans="1:39" x14ac:dyDescent="0.25">
      <c r="A27" s="33"/>
      <c r="B27" s="56">
        <v>16</v>
      </c>
      <c r="C27" s="139">
        <v>45</v>
      </c>
      <c r="D27" s="140">
        <v>256</v>
      </c>
      <c r="E27" s="100">
        <v>12840.000000000146</v>
      </c>
      <c r="F27" s="3">
        <v>13299415.20000015</v>
      </c>
      <c r="G27" s="35">
        <v>3199.9999999999318</v>
      </c>
      <c r="H27" s="3">
        <v>4971743.9999998938</v>
      </c>
      <c r="I27" s="99">
        <f t="shared" si="5"/>
        <v>18271159.200000044</v>
      </c>
      <c r="J27" s="100">
        <v>1640.0000000000432</v>
      </c>
      <c r="K27" s="3">
        <v>1698679.2000000447</v>
      </c>
      <c r="L27" s="172">
        <v>459.99999999999375</v>
      </c>
      <c r="M27" s="173">
        <v>714688.19999999029</v>
      </c>
      <c r="N27" s="92">
        <f t="shared" si="6"/>
        <v>2413367.4000000348</v>
      </c>
      <c r="O27" s="101">
        <f t="shared" si="7"/>
        <v>20684526.60000008</v>
      </c>
      <c r="P27" s="104">
        <f t="shared" si="8"/>
        <v>18140.000000000116</v>
      </c>
      <c r="Q27" s="177"/>
      <c r="R27" s="177"/>
      <c r="S27" s="199"/>
      <c r="T27" s="196"/>
      <c r="U27" s="195">
        <v>0</v>
      </c>
      <c r="V27" s="174">
        <f t="shared" si="9"/>
        <v>756.14400000000035</v>
      </c>
      <c r="W27" s="3">
        <v>187.79</v>
      </c>
      <c r="X27" s="3">
        <v>3374680.1949999998</v>
      </c>
      <c r="Y27" s="31">
        <v>568.35400000000038</v>
      </c>
      <c r="Z27" s="31">
        <v>2412765.0337200016</v>
      </c>
      <c r="AA27" s="31">
        <f t="shared" si="0"/>
        <v>5787445.2287200019</v>
      </c>
      <c r="AB27" s="120">
        <f t="shared" si="1"/>
        <v>446.00840690223339</v>
      </c>
      <c r="AC27" s="125">
        <v>0</v>
      </c>
      <c r="AD27" s="3">
        <v>0</v>
      </c>
      <c r="AE27" s="3">
        <v>0</v>
      </c>
      <c r="AF27" s="3">
        <v>84</v>
      </c>
      <c r="AG27" s="3">
        <f t="shared" si="2"/>
        <v>84</v>
      </c>
      <c r="AH27" s="3">
        <v>962500</v>
      </c>
      <c r="AI27" s="41">
        <f t="shared" si="3"/>
        <v>74.174886271596449</v>
      </c>
      <c r="AJ27" s="133">
        <v>300.65000000000146</v>
      </c>
      <c r="AK27" s="3">
        <v>3337215.0000000163</v>
      </c>
      <c r="AL27" s="37">
        <f t="shared" si="4"/>
        <v>257.18186294947219</v>
      </c>
      <c r="AM27" s="7"/>
    </row>
    <row r="28" spans="1:39" x14ac:dyDescent="0.25">
      <c r="A28" s="33"/>
      <c r="B28" s="56">
        <v>17</v>
      </c>
      <c r="C28" s="139">
        <v>53</v>
      </c>
      <c r="D28" s="140">
        <v>327</v>
      </c>
      <c r="E28" s="100">
        <v>13000</v>
      </c>
      <c r="F28" s="3">
        <v>13465140</v>
      </c>
      <c r="G28" s="35">
        <v>2800.0000000000682</v>
      </c>
      <c r="H28" s="3">
        <v>4350276.0000001062</v>
      </c>
      <c r="I28" s="99">
        <f t="shared" si="5"/>
        <v>17815416.000000104</v>
      </c>
      <c r="J28" s="100">
        <v>1379.9999999999955</v>
      </c>
      <c r="K28" s="3">
        <v>1429376.3999999953</v>
      </c>
      <c r="L28" s="172">
        <v>400.00000000000568</v>
      </c>
      <c r="M28" s="173">
        <v>621468.00000000885</v>
      </c>
      <c r="N28" s="92">
        <f t="shared" si="6"/>
        <v>2050844.4000000041</v>
      </c>
      <c r="O28" s="101">
        <f t="shared" si="7"/>
        <v>19866260.40000011</v>
      </c>
      <c r="P28" s="104">
        <f t="shared" si="8"/>
        <v>17580.000000000069</v>
      </c>
      <c r="Q28" s="178"/>
      <c r="R28" s="178"/>
      <c r="S28" s="199"/>
      <c r="T28" s="196"/>
      <c r="U28" s="195">
        <v>0</v>
      </c>
      <c r="V28" s="174">
        <f t="shared" si="9"/>
        <v>829.48</v>
      </c>
      <c r="W28" s="3">
        <v>175.33</v>
      </c>
      <c r="X28" s="3">
        <v>3150767.7650000001</v>
      </c>
      <c r="Y28" s="31">
        <v>654.15</v>
      </c>
      <c r="Z28" s="31">
        <v>2776984.497</v>
      </c>
      <c r="AA28" s="31">
        <f t="shared" si="0"/>
        <v>5927752.2620000001</v>
      </c>
      <c r="AB28" s="120">
        <f t="shared" si="1"/>
        <v>456.82114273251807</v>
      </c>
      <c r="AC28" s="125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1">
        <f t="shared" si="3"/>
        <v>0</v>
      </c>
      <c r="AJ28" s="133">
        <v>315.23999999999796</v>
      </c>
      <c r="AK28" s="3">
        <v>3499163.9999999772</v>
      </c>
      <c r="AL28" s="37">
        <f t="shared" si="4"/>
        <v>269.66243298250686</v>
      </c>
      <c r="AM28" s="7"/>
    </row>
    <row r="29" spans="1:39" x14ac:dyDescent="0.25">
      <c r="A29" s="33"/>
      <c r="B29" s="56">
        <v>18</v>
      </c>
      <c r="C29" s="139">
        <v>49</v>
      </c>
      <c r="D29" s="140">
        <v>301</v>
      </c>
      <c r="E29" s="100">
        <v>13440.000000000055</v>
      </c>
      <c r="F29" s="3">
        <v>13920883.200000057</v>
      </c>
      <c r="G29" s="35">
        <v>3359.9999999999</v>
      </c>
      <c r="H29" s="3">
        <v>5220331.1999998447</v>
      </c>
      <c r="I29" s="99">
        <f t="shared" si="5"/>
        <v>19141214.399999902</v>
      </c>
      <c r="J29" s="100">
        <v>1879.9999999999955</v>
      </c>
      <c r="K29" s="3">
        <v>1947266.3999999953</v>
      </c>
      <c r="L29" s="172">
        <v>480.00000000000398</v>
      </c>
      <c r="M29" s="173">
        <v>745761.60000000626</v>
      </c>
      <c r="N29" s="92">
        <f t="shared" si="6"/>
        <v>2693028.0000000014</v>
      </c>
      <c r="O29" s="101">
        <f t="shared" si="7"/>
        <v>21834242.399999902</v>
      </c>
      <c r="P29" s="104">
        <f t="shared" si="8"/>
        <v>19159.999999999956</v>
      </c>
      <c r="Q29" s="178"/>
      <c r="R29" s="191"/>
      <c r="S29" s="199"/>
      <c r="T29" s="196"/>
      <c r="U29" s="195">
        <v>0</v>
      </c>
      <c r="V29" s="174">
        <f t="shared" si="9"/>
        <v>853.51</v>
      </c>
      <c r="W29" s="3">
        <v>145.96</v>
      </c>
      <c r="X29" s="3">
        <v>2622974.1800000002</v>
      </c>
      <c r="Y29" s="31">
        <v>707.55</v>
      </c>
      <c r="Z29" s="31">
        <v>3003677.1090000002</v>
      </c>
      <c r="AA29" s="31">
        <f t="shared" si="0"/>
        <v>5626651.2890000008</v>
      </c>
      <c r="AB29" s="120">
        <f t="shared" si="1"/>
        <v>433.6168513781887</v>
      </c>
      <c r="AC29" s="125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1">
        <f t="shared" si="3"/>
        <v>0</v>
      </c>
      <c r="AJ29" s="133">
        <v>384.67000000000553</v>
      </c>
      <c r="AK29" s="3">
        <v>4269837.0000000615</v>
      </c>
      <c r="AL29" s="37">
        <f t="shared" si="4"/>
        <v>329.05420662156791</v>
      </c>
      <c r="AM29" s="7"/>
    </row>
    <row r="30" spans="1:39" x14ac:dyDescent="0.25">
      <c r="A30" s="33"/>
      <c r="B30" s="56">
        <v>19</v>
      </c>
      <c r="C30" s="139">
        <v>20</v>
      </c>
      <c r="D30" s="140">
        <v>239</v>
      </c>
      <c r="E30" s="100">
        <v>13639.999999999873</v>
      </c>
      <c r="F30" s="3">
        <v>14128039.199999867</v>
      </c>
      <c r="G30" s="35">
        <v>2800.0000000000682</v>
      </c>
      <c r="H30" s="3">
        <v>4350276.0000001062</v>
      </c>
      <c r="I30" s="99">
        <f t="shared" si="5"/>
        <v>18478315.199999973</v>
      </c>
      <c r="J30" s="100">
        <v>1860.0000000000136</v>
      </c>
      <c r="K30" s="3">
        <v>1926550.800000014</v>
      </c>
      <c r="L30" s="172">
        <v>419.99999999998749</v>
      </c>
      <c r="M30" s="173">
        <v>652541.39999998058</v>
      </c>
      <c r="N30" s="92">
        <f t="shared" si="6"/>
        <v>2579092.1999999946</v>
      </c>
      <c r="O30" s="101">
        <f t="shared" si="7"/>
        <v>21057407.399999969</v>
      </c>
      <c r="P30" s="104">
        <f t="shared" si="8"/>
        <v>18719.999999999942</v>
      </c>
      <c r="Q30" s="177"/>
      <c r="R30" s="177"/>
      <c r="S30" s="199"/>
      <c r="T30" s="196"/>
      <c r="U30" s="195">
        <v>0</v>
      </c>
      <c r="V30" s="174">
        <f t="shared" si="9"/>
        <v>831.26</v>
      </c>
      <c r="W30" s="3">
        <v>190.46</v>
      </c>
      <c r="X30" s="3">
        <v>3422661.43</v>
      </c>
      <c r="Y30" s="31">
        <v>640.79999999999995</v>
      </c>
      <c r="Z30" s="31">
        <v>2720311.344</v>
      </c>
      <c r="AA30" s="31">
        <f t="shared" si="0"/>
        <v>6142972.7740000002</v>
      </c>
      <c r="AB30" s="120">
        <f t="shared" si="1"/>
        <v>473.40707208411777</v>
      </c>
      <c r="AC30" s="125">
        <v>0</v>
      </c>
      <c r="AD30" s="3">
        <v>0</v>
      </c>
      <c r="AE30" s="3">
        <v>0</v>
      </c>
      <c r="AF30" s="3">
        <v>0</v>
      </c>
      <c r="AG30" s="3">
        <f t="shared" si="2"/>
        <v>0</v>
      </c>
      <c r="AH30" s="3">
        <v>0</v>
      </c>
      <c r="AI30" s="41">
        <f t="shared" si="3"/>
        <v>0</v>
      </c>
      <c r="AJ30" s="133">
        <v>400.68999999999505</v>
      </c>
      <c r="AK30" s="3">
        <v>4447658.9999999451</v>
      </c>
      <c r="AL30" s="37">
        <f t="shared" si="4"/>
        <v>342.75802649333849</v>
      </c>
      <c r="AM30" s="7"/>
    </row>
    <row r="31" spans="1:39" x14ac:dyDescent="0.25">
      <c r="A31" s="33"/>
      <c r="B31" s="56">
        <v>20</v>
      </c>
      <c r="C31" s="139">
        <v>13</v>
      </c>
      <c r="D31" s="140">
        <v>129</v>
      </c>
      <c r="E31" s="100">
        <v>12360.000000000127</v>
      </c>
      <c r="F31" s="3">
        <v>12802240.800000131</v>
      </c>
      <c r="G31" s="35">
        <v>2480.0000000000182</v>
      </c>
      <c r="H31" s="3">
        <v>3853101.6000000285</v>
      </c>
      <c r="I31" s="99">
        <f t="shared" si="5"/>
        <v>16655342.400000159</v>
      </c>
      <c r="J31" s="100">
        <v>1539.9999999999636</v>
      </c>
      <c r="K31" s="3">
        <v>1595101.1999999622</v>
      </c>
      <c r="L31" s="172">
        <v>440.00000000001194</v>
      </c>
      <c r="M31" s="173">
        <v>683614.80000001856</v>
      </c>
      <c r="N31" s="92">
        <f t="shared" si="6"/>
        <v>2278715.9999999809</v>
      </c>
      <c r="O31" s="101">
        <f t="shared" si="7"/>
        <v>18934058.40000014</v>
      </c>
      <c r="P31" s="104">
        <f t="shared" si="8"/>
        <v>16820.00000000012</v>
      </c>
      <c r="Q31" s="178"/>
      <c r="R31" s="178"/>
      <c r="S31" s="199"/>
      <c r="T31" s="196"/>
      <c r="U31" s="195">
        <v>0</v>
      </c>
      <c r="V31" s="174">
        <f t="shared" si="9"/>
        <v>661.27</v>
      </c>
      <c r="W31" s="3">
        <v>190.46</v>
      </c>
      <c r="X31" s="3">
        <v>3422661.43</v>
      </c>
      <c r="Y31" s="31">
        <v>470.81</v>
      </c>
      <c r="Z31" s="31">
        <v>1998673.1958000001</v>
      </c>
      <c r="AA31" s="31">
        <f t="shared" si="0"/>
        <v>5421334.6258000005</v>
      </c>
      <c r="AB31" s="120">
        <f t="shared" si="1"/>
        <v>417.79416032102125</v>
      </c>
      <c r="AC31" s="125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137500</v>
      </c>
      <c r="AI31" s="41">
        <f t="shared" si="3"/>
        <v>10.596412324513778</v>
      </c>
      <c r="AJ31" s="133">
        <v>425.33999999995285</v>
      </c>
      <c r="AK31" s="3">
        <v>4721273.9999994766</v>
      </c>
      <c r="AL31" s="37">
        <f t="shared" si="4"/>
        <v>363.8441163709158</v>
      </c>
      <c r="AM31" s="7"/>
    </row>
    <row r="32" spans="1:39" x14ac:dyDescent="0.25">
      <c r="A32" s="33"/>
      <c r="B32" s="56">
        <v>21</v>
      </c>
      <c r="C32" s="139">
        <v>9</v>
      </c>
      <c r="D32" s="140">
        <v>167</v>
      </c>
      <c r="E32" s="100">
        <v>12079.999999999927</v>
      </c>
      <c r="F32" s="3">
        <v>12512222.399999924</v>
      </c>
      <c r="G32" s="35">
        <v>2399.9999999999773</v>
      </c>
      <c r="H32" s="3">
        <v>3728807.9999999651</v>
      </c>
      <c r="I32" s="99">
        <f t="shared" si="5"/>
        <v>16241030.399999889</v>
      </c>
      <c r="J32" s="100">
        <v>1580.0000000000409</v>
      </c>
      <c r="K32" s="3">
        <v>1636532.4000000423</v>
      </c>
      <c r="L32" s="172">
        <v>500</v>
      </c>
      <c r="M32" s="173">
        <v>776835</v>
      </c>
      <c r="N32" s="92">
        <f>+K32+M32</f>
        <v>2413367.4000000423</v>
      </c>
      <c r="O32" s="101">
        <f t="shared" si="7"/>
        <v>18654397.79999993</v>
      </c>
      <c r="P32" s="104">
        <f t="shared" si="8"/>
        <v>16559.999999999945</v>
      </c>
      <c r="Q32" s="177"/>
      <c r="R32" s="189"/>
      <c r="S32" s="199"/>
      <c r="T32" s="196"/>
      <c r="U32" s="195">
        <v>0</v>
      </c>
      <c r="V32" s="174">
        <f t="shared" si="9"/>
        <v>822.3599999999999</v>
      </c>
      <c r="W32" s="3">
        <v>189.57</v>
      </c>
      <c r="X32" s="3">
        <v>3406667.6850000001</v>
      </c>
      <c r="Y32" s="31">
        <v>632.79</v>
      </c>
      <c r="Z32" s="31">
        <v>2686307.4522000002</v>
      </c>
      <c r="AA32" s="31">
        <f t="shared" si="0"/>
        <v>6092975.1371999998</v>
      </c>
      <c r="AB32" s="120">
        <f t="shared" si="1"/>
        <v>469.55401335841532</v>
      </c>
      <c r="AC32" s="125">
        <v>0</v>
      </c>
      <c r="AD32" s="3">
        <v>0</v>
      </c>
      <c r="AE32" s="3">
        <v>50</v>
      </c>
      <c r="AF32" s="3">
        <v>24</v>
      </c>
      <c r="AG32" s="3">
        <f t="shared" ref="AG32:AG40" si="10">+AE32+AF32</f>
        <v>74</v>
      </c>
      <c r="AH32" s="3">
        <v>1259788.498520101</v>
      </c>
      <c r="AI32" s="41">
        <f t="shared" si="3"/>
        <v>97.085369978175322</v>
      </c>
      <c r="AJ32" s="133">
        <v>199.11000000000058</v>
      </c>
      <c r="AK32" s="3">
        <v>2210121.0000000065</v>
      </c>
      <c r="AL32" s="37">
        <f t="shared" si="4"/>
        <v>170.32257020412209</v>
      </c>
      <c r="AM32" s="7"/>
    </row>
    <row r="33" spans="1:39" x14ac:dyDescent="0.25">
      <c r="A33" s="33"/>
      <c r="B33" s="56">
        <v>22</v>
      </c>
      <c r="C33" s="139">
        <v>11</v>
      </c>
      <c r="D33" s="140">
        <v>135</v>
      </c>
      <c r="E33" s="100">
        <v>11440.000000000055</v>
      </c>
      <c r="F33" s="3">
        <v>11849323.200000057</v>
      </c>
      <c r="G33" s="35">
        <v>2240.0000000000091</v>
      </c>
      <c r="H33" s="3">
        <v>3480220.8000000142</v>
      </c>
      <c r="I33" s="99">
        <f t="shared" si="5"/>
        <v>15329544.000000071</v>
      </c>
      <c r="J33" s="100">
        <v>1299.9999999999545</v>
      </c>
      <c r="K33" s="3">
        <v>1346513.999999953</v>
      </c>
      <c r="L33" s="172">
        <v>319.99999999999318</v>
      </c>
      <c r="M33" s="173">
        <v>497174.39999998943</v>
      </c>
      <c r="N33" s="92">
        <f t="shared" si="6"/>
        <v>1843688.3999999424</v>
      </c>
      <c r="O33" s="101">
        <f t="shared" si="7"/>
        <v>17173232.400000013</v>
      </c>
      <c r="P33" s="104">
        <f t="shared" si="8"/>
        <v>15300.000000000011</v>
      </c>
      <c r="Q33" s="177"/>
      <c r="R33" s="190"/>
      <c r="S33" s="199"/>
      <c r="T33" s="196"/>
      <c r="U33" s="195">
        <v>0</v>
      </c>
      <c r="V33" s="174">
        <f t="shared" si="9"/>
        <v>788.54</v>
      </c>
      <c r="W33" s="3">
        <v>188.68</v>
      </c>
      <c r="X33" s="3">
        <v>3390673.94</v>
      </c>
      <c r="Y33" s="31">
        <v>599.86</v>
      </c>
      <c r="Z33" s="31">
        <v>2546513.6748000002</v>
      </c>
      <c r="AA33" s="31">
        <f t="shared" si="0"/>
        <v>5937187.6148000006</v>
      </c>
      <c r="AB33" s="120">
        <f t="shared" si="1"/>
        <v>457.54827646848941</v>
      </c>
      <c r="AC33" s="125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1">
        <f t="shared" si="3"/>
        <v>0</v>
      </c>
      <c r="AJ33" s="133">
        <v>379.95999999999913</v>
      </c>
      <c r="AK33" s="3">
        <v>4217555.9999999907</v>
      </c>
      <c r="AL33" s="37">
        <f t="shared" si="4"/>
        <v>325.02518092892319</v>
      </c>
      <c r="AM33" s="7"/>
    </row>
    <row r="34" spans="1:39" x14ac:dyDescent="0.25">
      <c r="A34" s="33"/>
      <c r="B34" s="56">
        <v>23</v>
      </c>
      <c r="C34" s="139">
        <v>13</v>
      </c>
      <c r="D34" s="140">
        <v>99</v>
      </c>
      <c r="E34" s="100">
        <v>11199.999999999818</v>
      </c>
      <c r="F34" s="3">
        <v>11600735.999999812</v>
      </c>
      <c r="G34" s="35">
        <v>2279.9999999999727</v>
      </c>
      <c r="H34" s="3">
        <v>3542367.5999999577</v>
      </c>
      <c r="I34" s="99">
        <f t="shared" si="5"/>
        <v>15143103.599999771</v>
      </c>
      <c r="J34" s="100">
        <v>1300.0000000000114</v>
      </c>
      <c r="K34" s="3">
        <v>1346514.0000000116</v>
      </c>
      <c r="L34" s="172">
        <v>379.99999999999545</v>
      </c>
      <c r="M34" s="173">
        <v>590394.59999999299</v>
      </c>
      <c r="N34" s="92">
        <f t="shared" si="6"/>
        <v>1936908.6000000047</v>
      </c>
      <c r="O34" s="101">
        <f t="shared" si="7"/>
        <v>17080012.199999776</v>
      </c>
      <c r="P34" s="104">
        <f t="shared" si="8"/>
        <v>15159.999999999798</v>
      </c>
      <c r="Q34" s="178"/>
      <c r="R34" s="191"/>
      <c r="S34" s="199"/>
      <c r="T34" s="196"/>
      <c r="U34" s="195">
        <v>0</v>
      </c>
      <c r="V34" s="174">
        <f t="shared" si="9"/>
        <v>810.79</v>
      </c>
      <c r="W34" s="3">
        <v>189.57</v>
      </c>
      <c r="X34" s="3">
        <v>3406667.6850000001</v>
      </c>
      <c r="Y34" s="31">
        <v>621.22</v>
      </c>
      <c r="Z34" s="31">
        <v>2637190.7196000004</v>
      </c>
      <c r="AA34" s="31">
        <f t="shared" si="0"/>
        <v>6043858.4046</v>
      </c>
      <c r="AB34" s="120">
        <f t="shared" si="1"/>
        <v>465.76884135359728</v>
      </c>
      <c r="AC34" s="125">
        <v>0</v>
      </c>
      <c r="AD34" s="3">
        <v>0</v>
      </c>
      <c r="AE34" s="3">
        <v>350</v>
      </c>
      <c r="AF34" s="3">
        <v>12</v>
      </c>
      <c r="AG34" s="3">
        <f t="shared" si="10"/>
        <v>362</v>
      </c>
      <c r="AH34" s="3">
        <v>5681500</v>
      </c>
      <c r="AI34" s="41">
        <f t="shared" si="3"/>
        <v>437.84375724890936</v>
      </c>
      <c r="AJ34" s="133">
        <v>88.630000000004657</v>
      </c>
      <c r="AK34" s="3">
        <v>983793.00000005169</v>
      </c>
      <c r="AL34" s="37">
        <f t="shared" si="4"/>
        <v>75.815827417970411</v>
      </c>
      <c r="AM34" s="7"/>
    </row>
    <row r="35" spans="1:39" x14ac:dyDescent="0.25">
      <c r="A35" s="33"/>
      <c r="B35" s="56">
        <v>24</v>
      </c>
      <c r="C35" s="139">
        <v>7</v>
      </c>
      <c r="D35" s="140">
        <v>95</v>
      </c>
      <c r="E35" s="100">
        <v>11040.000000000418</v>
      </c>
      <c r="F35" s="3">
        <v>11435011.200000433</v>
      </c>
      <c r="G35" s="35">
        <v>2240.0000000000091</v>
      </c>
      <c r="H35" s="3">
        <v>3480220.8000000142</v>
      </c>
      <c r="I35" s="99">
        <f t="shared" si="5"/>
        <v>14915232.000000447</v>
      </c>
      <c r="J35" s="100">
        <v>1259.9999999999909</v>
      </c>
      <c r="K35" s="3">
        <v>1305082.7999999905</v>
      </c>
      <c r="L35" s="172">
        <v>300.00000000001137</v>
      </c>
      <c r="M35" s="173">
        <v>466101.0000000177</v>
      </c>
      <c r="N35" s="92">
        <f t="shared" si="6"/>
        <v>1771183.8000000082</v>
      </c>
      <c r="O35" s="101">
        <f t="shared" si="7"/>
        <v>16686415.800000455</v>
      </c>
      <c r="P35" s="104">
        <f t="shared" si="8"/>
        <v>14840.000000000429</v>
      </c>
      <c r="Q35" s="177"/>
      <c r="R35" s="189"/>
      <c r="S35" s="199"/>
      <c r="T35" s="196"/>
      <c r="U35" s="195">
        <v>0</v>
      </c>
      <c r="V35" s="174">
        <f t="shared" si="9"/>
        <v>784.08999999999992</v>
      </c>
      <c r="W35" s="3">
        <v>188.68</v>
      </c>
      <c r="X35" s="3">
        <v>3390673.94</v>
      </c>
      <c r="Y35" s="31">
        <v>595.41</v>
      </c>
      <c r="Z35" s="31">
        <v>2527622.6238000002</v>
      </c>
      <c r="AA35" s="31">
        <f t="shared" si="0"/>
        <v>5918296.5637999997</v>
      </c>
      <c r="AB35" s="120">
        <f t="shared" si="1"/>
        <v>456.0924410820208</v>
      </c>
      <c r="AC35" s="125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1">
        <f t="shared" si="3"/>
        <v>0</v>
      </c>
      <c r="AJ35" s="133">
        <v>53.790000000000873</v>
      </c>
      <c r="AK35" s="3">
        <v>597069.00000000966</v>
      </c>
      <c r="AL35" s="37">
        <f t="shared" si="4"/>
        <v>46.013013164983413</v>
      </c>
      <c r="AM35" s="7"/>
    </row>
    <row r="36" spans="1:39" x14ac:dyDescent="0.25">
      <c r="A36" s="33"/>
      <c r="B36" s="56">
        <v>25</v>
      </c>
      <c r="C36" s="139">
        <v>13</v>
      </c>
      <c r="D36" s="140">
        <v>56</v>
      </c>
      <c r="E36" s="100">
        <v>11079.999999999927</v>
      </c>
      <c r="F36" s="3">
        <v>11476442.399999924</v>
      </c>
      <c r="G36" s="35">
        <v>2279.9999999999727</v>
      </c>
      <c r="H36" s="3">
        <v>3542367.5999999577</v>
      </c>
      <c r="I36" s="99">
        <f t="shared" si="5"/>
        <v>15018809.999999881</v>
      </c>
      <c r="J36" s="100">
        <v>1280.0000000000296</v>
      </c>
      <c r="K36" s="3">
        <v>1325798.4000000306</v>
      </c>
      <c r="L36" s="172">
        <v>339.9999999999892</v>
      </c>
      <c r="M36" s="173">
        <v>528247.79999998328</v>
      </c>
      <c r="N36" s="92">
        <f t="shared" si="6"/>
        <v>1854046.2000000139</v>
      </c>
      <c r="O36" s="101">
        <f t="shared" si="7"/>
        <v>16872856.199999895</v>
      </c>
      <c r="P36" s="104">
        <f t="shared" si="8"/>
        <v>14979.999999999918</v>
      </c>
      <c r="Q36" s="177"/>
      <c r="R36" s="189"/>
      <c r="S36" s="199"/>
      <c r="T36" s="196"/>
      <c r="U36" s="195">
        <v>0</v>
      </c>
      <c r="V36" s="174">
        <f t="shared" si="9"/>
        <v>812.56999999999994</v>
      </c>
      <c r="W36" s="3">
        <v>188.68</v>
      </c>
      <c r="X36" s="3">
        <v>3390673.94</v>
      </c>
      <c r="Y36" s="31">
        <v>623.89</v>
      </c>
      <c r="Z36" s="31">
        <v>2648525.3502000002</v>
      </c>
      <c r="AA36" s="31">
        <f t="shared" si="0"/>
        <v>6039199.2902000006</v>
      </c>
      <c r="AB36" s="120">
        <f t="shared" si="1"/>
        <v>465.40978755541926</v>
      </c>
      <c r="AC36" s="125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1">
        <f t="shared" si="3"/>
        <v>0</v>
      </c>
      <c r="AJ36" s="133">
        <v>339.29999999999563</v>
      </c>
      <c r="AK36" s="3">
        <v>3766229.9999999516</v>
      </c>
      <c r="AL36" s="37">
        <f t="shared" si="4"/>
        <v>290.24382537420377</v>
      </c>
      <c r="AM36" s="7"/>
    </row>
    <row r="37" spans="1:39" x14ac:dyDescent="0.25">
      <c r="A37" s="33"/>
      <c r="B37" s="56">
        <v>26</v>
      </c>
      <c r="C37" s="139">
        <v>3</v>
      </c>
      <c r="D37" s="140">
        <v>57</v>
      </c>
      <c r="E37" s="100">
        <v>10559.999999999945</v>
      </c>
      <c r="F37" s="3">
        <v>10937836.799999943</v>
      </c>
      <c r="G37" s="35">
        <v>2200.0000000000455</v>
      </c>
      <c r="H37" s="3">
        <v>3418074.0000000708</v>
      </c>
      <c r="I37" s="99">
        <f t="shared" si="5"/>
        <v>14355910.800000014</v>
      </c>
      <c r="J37" s="100">
        <v>1000</v>
      </c>
      <c r="K37" s="3">
        <v>1035780</v>
      </c>
      <c r="L37" s="172">
        <v>380.00000000000966</v>
      </c>
      <c r="M37" s="173">
        <v>590394.60000001499</v>
      </c>
      <c r="N37" s="92">
        <f t="shared" si="6"/>
        <v>1626174.600000015</v>
      </c>
      <c r="O37" s="101">
        <f t="shared" si="7"/>
        <v>15982085.400000028</v>
      </c>
      <c r="P37" s="104">
        <f t="shared" si="8"/>
        <v>14140</v>
      </c>
      <c r="Q37" s="177"/>
      <c r="R37" s="189"/>
      <c r="S37" s="199"/>
      <c r="T37" s="196"/>
      <c r="U37" s="195">
        <v>0</v>
      </c>
      <c r="V37" s="174">
        <f t="shared" si="9"/>
        <v>922.04</v>
      </c>
      <c r="W37" s="3">
        <v>189.57</v>
      </c>
      <c r="X37" s="3">
        <v>3406667.6850000001</v>
      </c>
      <c r="Y37" s="31">
        <v>732.47</v>
      </c>
      <c r="Z37" s="31">
        <v>3109466.9946000003</v>
      </c>
      <c r="AA37" s="31">
        <f t="shared" si="0"/>
        <v>6516134.6796000004</v>
      </c>
      <c r="AB37" s="120">
        <f t="shared" si="1"/>
        <v>502.16472601530972</v>
      </c>
      <c r="AC37" s="125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1">
        <f t="shared" si="3"/>
        <v>0</v>
      </c>
      <c r="AJ37" s="133">
        <v>299.56999999999971</v>
      </c>
      <c r="AK37" s="3">
        <v>3325226.9999999967</v>
      </c>
      <c r="AL37" s="37">
        <f t="shared" si="4"/>
        <v>256.25800992440685</v>
      </c>
      <c r="AM37" s="7"/>
    </row>
    <row r="38" spans="1:39" x14ac:dyDescent="0.25">
      <c r="A38" s="33"/>
      <c r="B38" s="56">
        <v>27</v>
      </c>
      <c r="C38" s="139">
        <v>3</v>
      </c>
      <c r="D38" s="140">
        <v>55</v>
      </c>
      <c r="E38" s="100">
        <v>10679.999999999836</v>
      </c>
      <c r="F38" s="3">
        <v>11062130.399999831</v>
      </c>
      <c r="G38" s="35">
        <v>2039.9999999999636</v>
      </c>
      <c r="H38" s="3">
        <v>3169486.7999999435</v>
      </c>
      <c r="I38" s="99">
        <f t="shared" si="5"/>
        <v>14231617.199999774</v>
      </c>
      <c r="J38" s="100">
        <v>1379.9999999999955</v>
      </c>
      <c r="K38" s="3">
        <v>1429376.3999999953</v>
      </c>
      <c r="L38" s="172">
        <v>219.99999999999886</v>
      </c>
      <c r="M38" s="173">
        <v>341807.39999999828</v>
      </c>
      <c r="N38" s="92">
        <f t="shared" si="6"/>
        <v>1771183.7999999935</v>
      </c>
      <c r="O38" s="101">
        <f t="shared" si="7"/>
        <v>16002800.999999767</v>
      </c>
      <c r="P38" s="104">
        <f t="shared" si="8"/>
        <v>14319.999999999794</v>
      </c>
      <c r="Q38" s="177"/>
      <c r="R38" s="189"/>
      <c r="S38" s="199"/>
      <c r="T38" s="196"/>
      <c r="U38" s="195">
        <v>0</v>
      </c>
      <c r="V38" s="174">
        <f t="shared" si="9"/>
        <v>767.18</v>
      </c>
      <c r="W38" s="3">
        <v>187.79</v>
      </c>
      <c r="X38" s="3">
        <v>3374680.1949999998</v>
      </c>
      <c r="Y38" s="31">
        <v>579.39</v>
      </c>
      <c r="Z38" s="31">
        <v>2459614.8402</v>
      </c>
      <c r="AA38" s="31">
        <f t="shared" si="0"/>
        <v>5834295.0351999998</v>
      </c>
      <c r="AB38" s="120">
        <f t="shared" si="1"/>
        <v>449.61887866067514</v>
      </c>
      <c r="AC38" s="125">
        <v>0</v>
      </c>
      <c r="AD38" s="3">
        <v>0</v>
      </c>
      <c r="AE38" s="3">
        <v>500</v>
      </c>
      <c r="AF38" s="3">
        <v>0</v>
      </c>
      <c r="AG38" s="3">
        <f t="shared" si="10"/>
        <v>500</v>
      </c>
      <c r="AH38" s="3">
        <v>7920000</v>
      </c>
      <c r="AI38" s="41">
        <f t="shared" si="3"/>
        <v>610.35334989199362</v>
      </c>
      <c r="AJ38" s="133">
        <v>187.68000000000029</v>
      </c>
      <c r="AK38" s="3">
        <v>2083248.0000000033</v>
      </c>
      <c r="AL38" s="37">
        <f t="shared" si="4"/>
        <v>160.54512568886338</v>
      </c>
      <c r="AM38" s="7"/>
    </row>
    <row r="39" spans="1:39" x14ac:dyDescent="0.25">
      <c r="A39" s="33"/>
      <c r="B39" s="56">
        <v>28</v>
      </c>
      <c r="C39" s="139">
        <v>1</v>
      </c>
      <c r="D39" s="140">
        <v>62</v>
      </c>
      <c r="E39" s="100">
        <v>10639.999999999873</v>
      </c>
      <c r="F39" s="3">
        <v>11020699.199999867</v>
      </c>
      <c r="G39" s="35">
        <v>2159.9999999999682</v>
      </c>
      <c r="H39" s="3">
        <v>3355927.1999999508</v>
      </c>
      <c r="I39" s="99">
        <f t="shared" si="5"/>
        <v>14376626.399999818</v>
      </c>
      <c r="J39" s="100">
        <v>1180.0000000000068</v>
      </c>
      <c r="K39" s="3">
        <v>1222220.4000000071</v>
      </c>
      <c r="L39" s="172">
        <v>319.99999999999318</v>
      </c>
      <c r="M39" s="173">
        <v>497174.39999998943</v>
      </c>
      <c r="N39" s="92">
        <f t="shared" si="6"/>
        <v>1719394.7999999966</v>
      </c>
      <c r="O39" s="101">
        <f t="shared" si="7"/>
        <v>16096021.199999815</v>
      </c>
      <c r="P39" s="104">
        <f t="shared" si="8"/>
        <v>14299.99999999984</v>
      </c>
      <c r="Q39" s="177"/>
      <c r="R39" s="192"/>
      <c r="S39" s="199"/>
      <c r="T39" s="196"/>
      <c r="U39" s="195">
        <v>0</v>
      </c>
      <c r="V39" s="174">
        <f t="shared" si="9"/>
        <v>658.6</v>
      </c>
      <c r="W39" s="3">
        <v>0</v>
      </c>
      <c r="X39" s="3">
        <v>0</v>
      </c>
      <c r="Y39" s="31">
        <v>658.6</v>
      </c>
      <c r="Z39" s="31">
        <v>2795875.5480000004</v>
      </c>
      <c r="AA39" s="31">
        <f t="shared" si="0"/>
        <v>2795875.5480000004</v>
      </c>
      <c r="AB39" s="120">
        <f t="shared" si="1"/>
        <v>215.46363719733759</v>
      </c>
      <c r="AC39" s="125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137500</v>
      </c>
      <c r="AI39" s="41">
        <f t="shared" si="3"/>
        <v>10.596412324513778</v>
      </c>
      <c r="AJ39" s="133">
        <v>219.32000000001426</v>
      </c>
      <c r="AK39" s="3">
        <v>2434452.0000001583</v>
      </c>
      <c r="AL39" s="37">
        <f t="shared" si="4"/>
        <v>187.61059764537379</v>
      </c>
      <c r="AM39" s="7"/>
    </row>
    <row r="40" spans="1:39" x14ac:dyDescent="0.25">
      <c r="A40" s="33"/>
      <c r="B40" s="56">
        <v>29</v>
      </c>
      <c r="C40" s="139">
        <v>5</v>
      </c>
      <c r="D40" s="140">
        <v>40</v>
      </c>
      <c r="E40" s="100">
        <v>11000</v>
      </c>
      <c r="F40" s="3">
        <v>11393580</v>
      </c>
      <c r="G40" s="35">
        <v>2200.0000000000455</v>
      </c>
      <c r="H40" s="3">
        <v>3418074.0000000708</v>
      </c>
      <c r="I40" s="99">
        <f t="shared" si="5"/>
        <v>14811654.000000071</v>
      </c>
      <c r="J40" s="100">
        <v>1180.0000000000068</v>
      </c>
      <c r="K40" s="3">
        <v>1222220.4000000071</v>
      </c>
      <c r="L40" s="172">
        <v>299.99999999999716</v>
      </c>
      <c r="M40" s="173">
        <v>466100.99999999563</v>
      </c>
      <c r="N40" s="92">
        <f t="shared" si="6"/>
        <v>1688321.4000000027</v>
      </c>
      <c r="O40" s="101">
        <f t="shared" ref="O40:O41" si="11">N40+I40</f>
        <v>16499975.400000073</v>
      </c>
      <c r="P40" s="104">
        <f t="shared" ref="P40:P41" si="12">L40+J40+G40+E40</f>
        <v>14680.000000000049</v>
      </c>
      <c r="Q40" s="178"/>
      <c r="R40" s="193"/>
      <c r="S40" s="199"/>
      <c r="T40" s="196"/>
      <c r="U40" s="195">
        <v>0</v>
      </c>
      <c r="V40" s="174">
        <f t="shared" si="9"/>
        <v>780.53</v>
      </c>
      <c r="W40" s="3">
        <v>187.79</v>
      </c>
      <c r="X40" s="3">
        <v>3374680.1949999998</v>
      </c>
      <c r="Y40" s="31">
        <v>592.74</v>
      </c>
      <c r="Z40" s="31">
        <v>2516287.9932000004</v>
      </c>
      <c r="AA40" s="31">
        <f t="shared" ref="AA40:AA41" si="13">Z40+X40</f>
        <v>5890968.1882000007</v>
      </c>
      <c r="AB40" s="120">
        <f t="shared" si="1"/>
        <v>453.98638482008067</v>
      </c>
      <c r="AC40" s="125">
        <v>0</v>
      </c>
      <c r="AD40" s="3">
        <v>0</v>
      </c>
      <c r="AE40" s="3">
        <v>0</v>
      </c>
      <c r="AF40" s="3">
        <v>24</v>
      </c>
      <c r="AG40" s="3">
        <f t="shared" si="10"/>
        <v>24</v>
      </c>
      <c r="AH40" s="3">
        <v>275000</v>
      </c>
      <c r="AI40" s="41">
        <f t="shared" si="3"/>
        <v>21.192824649027557</v>
      </c>
      <c r="AJ40" s="133">
        <v>367.62999999999738</v>
      </c>
      <c r="AK40" s="3">
        <v>4080692.9999999711</v>
      </c>
      <c r="AL40" s="37">
        <f t="shared" si="4"/>
        <v>314.47785889277674</v>
      </c>
      <c r="AM40" s="7"/>
    </row>
    <row r="41" spans="1:39" ht="17.25" customHeight="1" x14ac:dyDescent="0.25">
      <c r="A41" s="33"/>
      <c r="B41" s="56">
        <v>30</v>
      </c>
      <c r="C41" s="139">
        <v>8</v>
      </c>
      <c r="D41" s="140">
        <v>116</v>
      </c>
      <c r="E41" s="100">
        <v>10560.0000000004</v>
      </c>
      <c r="F41" s="3">
        <v>10937836.800000414</v>
      </c>
      <c r="G41" s="35">
        <v>2120.0000000000045</v>
      </c>
      <c r="H41" s="3">
        <v>3293780.4000000074</v>
      </c>
      <c r="I41" s="99">
        <f t="shared" si="5"/>
        <v>14231617.200000422</v>
      </c>
      <c r="J41" s="100">
        <v>1199.9999999999886</v>
      </c>
      <c r="K41" s="3">
        <v>1242935.9999999881</v>
      </c>
      <c r="L41" s="172">
        <v>320.00000000000739</v>
      </c>
      <c r="M41" s="173">
        <v>497174.40000001149</v>
      </c>
      <c r="N41" s="92">
        <f t="shared" si="6"/>
        <v>1740110.3999999997</v>
      </c>
      <c r="O41" s="101">
        <f t="shared" si="11"/>
        <v>15971727.600000422</v>
      </c>
      <c r="P41" s="104">
        <f t="shared" si="12"/>
        <v>14200.0000000004</v>
      </c>
      <c r="Q41" s="177"/>
      <c r="R41" s="194"/>
      <c r="S41" s="199"/>
      <c r="T41" s="196"/>
      <c r="U41" s="195">
        <v>0</v>
      </c>
      <c r="V41" s="174">
        <f t="shared" si="9"/>
        <v>842.82999999999993</v>
      </c>
      <c r="W41" s="3">
        <v>189.57</v>
      </c>
      <c r="X41" s="3">
        <v>3406667.6850000001</v>
      </c>
      <c r="Y41" s="31">
        <v>653.26</v>
      </c>
      <c r="Z41" s="31">
        <v>2773206.2868000004</v>
      </c>
      <c r="AA41" s="31">
        <f t="shared" si="13"/>
        <v>6179873.9718000004</v>
      </c>
      <c r="AB41" s="120">
        <f t="shared" si="1"/>
        <v>476.25085613617046</v>
      </c>
      <c r="AC41" s="125">
        <v>0</v>
      </c>
      <c r="AD41" s="3">
        <v>0</v>
      </c>
      <c r="AE41" s="3">
        <v>100</v>
      </c>
      <c r="AF41" s="3">
        <v>0</v>
      </c>
      <c r="AG41" s="3">
        <f>+AE41+AF41</f>
        <v>100</v>
      </c>
      <c r="AH41" s="3">
        <v>1584000</v>
      </c>
      <c r="AI41" s="41">
        <f t="shared" si="3"/>
        <v>122.07066997839873</v>
      </c>
      <c r="AJ41" s="133">
        <v>64.160000000003492</v>
      </c>
      <c r="AK41" s="3">
        <v>712176.00000003877</v>
      </c>
      <c r="AL41" s="37">
        <f t="shared" si="4"/>
        <v>54.883713044533351</v>
      </c>
      <c r="AM41" s="7"/>
    </row>
    <row r="42" spans="1:39" ht="16.5" thickBot="1" x14ac:dyDescent="0.3">
      <c r="A42" s="33"/>
      <c r="B42" s="115">
        <v>31</v>
      </c>
      <c r="C42" s="207">
        <v>9</v>
      </c>
      <c r="D42" s="208">
        <v>141</v>
      </c>
      <c r="E42" s="209">
        <v>10480.000000000018</v>
      </c>
      <c r="F42" s="93">
        <v>10854974.400000019</v>
      </c>
      <c r="G42" s="210">
        <v>2200.0000000000455</v>
      </c>
      <c r="H42" s="93">
        <v>3418074.0000000708</v>
      </c>
      <c r="I42" s="211">
        <f t="shared" ref="I42" si="14">F42+H42</f>
        <v>14273048.40000009</v>
      </c>
      <c r="J42" s="209">
        <v>1199.9999999999886</v>
      </c>
      <c r="K42" s="93">
        <v>1242935.9999999881</v>
      </c>
      <c r="L42" s="212">
        <v>319.99999999999318</v>
      </c>
      <c r="M42" s="213">
        <v>497174.39999998943</v>
      </c>
      <c r="N42" s="94">
        <f t="shared" ref="N42" si="15">+K42+M42</f>
        <v>1740110.3999999776</v>
      </c>
      <c r="O42" s="102">
        <f t="shared" ref="O42" si="16">N42+I42</f>
        <v>16013158.800000068</v>
      </c>
      <c r="P42" s="105">
        <f t="shared" ref="P42" si="17">L42+J42+G42+E42</f>
        <v>14200.000000000045</v>
      </c>
      <c r="Q42" s="214"/>
      <c r="R42" s="215"/>
      <c r="S42" s="200"/>
      <c r="T42" s="200"/>
      <c r="U42" s="216">
        <v>0</v>
      </c>
      <c r="V42" s="217">
        <f t="shared" ref="V42" si="18">Y42+W42</f>
        <v>734.25</v>
      </c>
      <c r="W42" s="93">
        <v>187.79</v>
      </c>
      <c r="X42" s="93">
        <v>3374680.1949999998</v>
      </c>
      <c r="Y42" s="218">
        <v>546.46</v>
      </c>
      <c r="Z42" s="218">
        <v>2319821.0628000004</v>
      </c>
      <c r="AA42" s="218">
        <f t="shared" ref="AA42" si="19">Z42+X42</f>
        <v>5694501.2577999998</v>
      </c>
      <c r="AB42" s="219">
        <f t="shared" ref="AB42" si="20">AA42/$AL$47</f>
        <v>438.84569680080824</v>
      </c>
      <c r="AC42" s="93">
        <v>0</v>
      </c>
      <c r="AD42" s="93">
        <v>0</v>
      </c>
      <c r="AE42" s="93">
        <v>0</v>
      </c>
      <c r="AF42" s="93">
        <v>0</v>
      </c>
      <c r="AG42" s="93">
        <f>+AE42+AF42</f>
        <v>0</v>
      </c>
      <c r="AH42" s="93">
        <v>0</v>
      </c>
      <c r="AI42" s="220">
        <f t="shared" ref="AI42" si="21">AH42/$AL$47</f>
        <v>0</v>
      </c>
      <c r="AJ42" s="221">
        <v>313.90999999999622</v>
      </c>
      <c r="AK42" s="93">
        <v>3484400.9999999581</v>
      </c>
      <c r="AL42" s="222">
        <f t="shared" ref="AL42" si="22">AK42/$AL$47</f>
        <v>268.52472509052865</v>
      </c>
      <c r="AM42" s="7"/>
    </row>
    <row r="43" spans="1:39" s="8" customFormat="1" ht="4.5" customHeight="1" x14ac:dyDescent="0.25">
      <c r="A43" s="15"/>
      <c r="B43" s="110"/>
      <c r="C43" s="111"/>
      <c r="D43" s="111"/>
      <c r="E43" s="109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21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10"/>
      <c r="C44" s="111"/>
      <c r="D44" s="111"/>
      <c r="E44" s="109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21"/>
      <c r="W44" s="15"/>
      <c r="X44" s="15"/>
      <c r="Y44" s="15"/>
      <c r="Z44" s="15"/>
      <c r="AA44" s="15"/>
      <c r="AB44" s="122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12"/>
      <c r="C45" s="113"/>
      <c r="D45" s="113"/>
      <c r="E45" s="114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5"/>
      <c r="V45" s="123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4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P46" si="23">SUM(C12:C42)</f>
        <v>385</v>
      </c>
      <c r="D46" s="68">
        <f t="shared" si="23"/>
        <v>3787</v>
      </c>
      <c r="E46" s="68">
        <f t="shared" si="23"/>
        <v>341400.00000000012</v>
      </c>
      <c r="F46" s="68">
        <f t="shared" si="23"/>
        <v>353615292.00000012</v>
      </c>
      <c r="G46" s="68">
        <f t="shared" si="23"/>
        <v>70720.000000000015</v>
      </c>
      <c r="H46" s="68">
        <f t="shared" si="23"/>
        <v>109875542.40000007</v>
      </c>
      <c r="I46" s="68">
        <f t="shared" si="23"/>
        <v>463490834.4000001</v>
      </c>
      <c r="J46" s="68">
        <f t="shared" si="23"/>
        <v>41540.000000000015</v>
      </c>
      <c r="K46" s="68">
        <f t="shared" si="23"/>
        <v>43026301.20000001</v>
      </c>
      <c r="L46" s="68">
        <f t="shared" si="23"/>
        <v>11159.999999999989</v>
      </c>
      <c r="M46" s="68">
        <f t="shared" si="23"/>
        <v>17338957.199999999</v>
      </c>
      <c r="N46" s="68">
        <f t="shared" si="23"/>
        <v>60365258.400000013</v>
      </c>
      <c r="O46" s="68">
        <f t="shared" si="23"/>
        <v>523856092.80000019</v>
      </c>
      <c r="P46" s="80">
        <f t="shared" si="23"/>
        <v>464820.00000000012</v>
      </c>
      <c r="Q46" s="176" t="e">
        <f>+#REF!</f>
        <v>#REF!</v>
      </c>
      <c r="R46" s="116" t="e">
        <f>+#REF!</f>
        <v>#REF!</v>
      </c>
      <c r="S46" s="108" t="e">
        <f>Q46+P46</f>
        <v>#REF!</v>
      </c>
      <c r="T46" s="108" t="e">
        <f>R46+O46</f>
        <v>#REF!</v>
      </c>
      <c r="U46" s="128" t="e">
        <f>T46/AL47</f>
        <v>#REF!</v>
      </c>
      <c r="V46" s="165">
        <f t="shared" ref="V46:AA46" si="24">SUM(V12:V41)</f>
        <v>26468.243999999999</v>
      </c>
      <c r="W46" s="50">
        <f t="shared" si="24"/>
        <v>4547.01</v>
      </c>
      <c r="X46" s="50">
        <f t="shared" si="24"/>
        <v>81712043.204999998</v>
      </c>
      <c r="Y46" s="50">
        <f t="shared" si="24"/>
        <v>21921.234</v>
      </c>
      <c r="Z46" s="50">
        <f t="shared" si="24"/>
        <v>93059584.152119994</v>
      </c>
      <c r="AA46" s="127">
        <f t="shared" si="24"/>
        <v>174771627.35712001</v>
      </c>
      <c r="AB46" s="117">
        <f>AA46/$AL$47</f>
        <v>13468.743462562297</v>
      </c>
      <c r="AC46" s="42">
        <f>SUM(AC12:AC41)</f>
        <v>0</v>
      </c>
      <c r="AD46" s="129">
        <f>SUM(AD12:AD41)</f>
        <v>0</v>
      </c>
      <c r="AE46" s="42">
        <f>SUM(AE12:AE41)</f>
        <v>2200</v>
      </c>
      <c r="AF46" s="42">
        <f>SUM(AF12:AF41)</f>
        <v>276</v>
      </c>
      <c r="AG46" s="198">
        <f>SUM(AG12:AG41)</f>
        <v>2476</v>
      </c>
      <c r="AH46" s="136">
        <f>SUM(AH12:AH42)</f>
        <v>38203288.498520106</v>
      </c>
      <c r="AI46" s="137">
        <f>AH46/$AL$47</f>
        <v>2944.1294333285377</v>
      </c>
      <c r="AJ46" s="197">
        <f>SUM(AJ12:AJ42)</f>
        <v>8262.7499999999418</v>
      </c>
      <c r="AK46" s="197">
        <f>SUM(AK12:AK42)</f>
        <v>91716524.999999359</v>
      </c>
      <c r="AL46" s="135">
        <f>AK46/AL47</f>
        <v>7068.1172063386857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7"/>
      <c r="S47" s="14"/>
      <c r="T47" s="79" t="s">
        <v>29</v>
      </c>
      <c r="U47" s="141" t="e">
        <f>U46/S46</f>
        <v>#REF!</v>
      </c>
      <c r="V47" s="179" t="s">
        <v>52</v>
      </c>
      <c r="W47" s="11"/>
      <c r="X47" s="11"/>
      <c r="Y47" s="130"/>
      <c r="Z47" s="11"/>
      <c r="AA47" s="11"/>
      <c r="AB47" s="11"/>
      <c r="AC47" s="16"/>
      <c r="AD47" s="7"/>
      <c r="AE47" s="16"/>
      <c r="AF47" s="16"/>
      <c r="AG47" s="7"/>
      <c r="AH47" s="203"/>
      <c r="AI47" s="11"/>
      <c r="AJ47" s="86"/>
      <c r="AK47" s="11"/>
      <c r="AL47" s="138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>
        <f>O46/P46</f>
        <v>1127.0085039370081</v>
      </c>
      <c r="Q48" s="10"/>
      <c r="R48" s="107"/>
      <c r="S48" s="14"/>
      <c r="T48" s="204"/>
      <c r="U48" s="141"/>
      <c r="V48" s="179"/>
      <c r="W48" s="11"/>
      <c r="X48" s="202"/>
      <c r="Y48" s="130"/>
      <c r="Z48" s="202"/>
      <c r="AA48" s="267">
        <f>AA46/V46</f>
        <v>6603.0684679013848</v>
      </c>
      <c r="AB48" s="11"/>
      <c r="AC48" s="16"/>
      <c r="AD48" s="7"/>
      <c r="AE48" s="16"/>
      <c r="AF48" s="16"/>
      <c r="AG48" s="7"/>
      <c r="AH48" s="17">
        <f>AH46/AG46</f>
        <v>15429.438004248832</v>
      </c>
      <c r="AI48" s="267"/>
      <c r="AJ48" s="107"/>
      <c r="AK48" s="267">
        <f>AK46/AJ46</f>
        <v>11100</v>
      </c>
      <c r="AL48" s="138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7"/>
      <c r="S49" s="14"/>
      <c r="T49" s="79"/>
      <c r="U49" s="141"/>
      <c r="V49" s="179"/>
      <c r="W49" s="11"/>
      <c r="X49" s="11"/>
      <c r="Y49" s="130"/>
      <c r="Z49" s="202"/>
      <c r="AA49" s="11"/>
      <c r="AB49" s="11"/>
      <c r="AC49" s="16"/>
      <c r="AD49" s="7"/>
      <c r="AE49" s="16"/>
      <c r="AF49" s="16"/>
      <c r="AG49" s="7"/>
      <c r="AH49" s="203"/>
      <c r="AI49" s="11"/>
      <c r="AJ49" s="86"/>
      <c r="AK49" s="11"/>
      <c r="AL49" s="138"/>
      <c r="AM49" s="24"/>
    </row>
    <row r="50" spans="1:39" s="182" customFormat="1" x14ac:dyDescent="0.25">
      <c r="A50" s="180"/>
      <c r="B50" s="180"/>
      <c r="C50" s="181"/>
      <c r="E50" s="181"/>
      <c r="F50" s="181"/>
      <c r="H50" s="181"/>
      <c r="L50" s="181"/>
      <c r="M50" s="183"/>
      <c r="N50" s="184"/>
      <c r="P50" s="184"/>
      <c r="R50" s="185"/>
      <c r="T50" s="201"/>
      <c r="W50" s="182">
        <f>W46/V46</f>
        <v>0.1717911471573256</v>
      </c>
      <c r="Y50" s="223">
        <f>Y46/V46</f>
        <v>0.82820885284267443</v>
      </c>
      <c r="AD50" s="181"/>
      <c r="AH50" s="181"/>
      <c r="AJ50" s="185"/>
      <c r="AL50" s="186"/>
      <c r="AM50" s="180"/>
    </row>
    <row r="51" spans="1:39" s="182" customFormat="1" x14ac:dyDescent="0.25">
      <c r="A51" s="180"/>
      <c r="B51" s="180"/>
      <c r="C51" s="181"/>
      <c r="E51" s="181"/>
      <c r="F51" s="181"/>
      <c r="H51" s="181"/>
      <c r="L51" s="181"/>
      <c r="M51" s="183"/>
      <c r="N51" s="184"/>
      <c r="P51" s="184"/>
      <c r="R51" s="185"/>
      <c r="T51" s="201"/>
      <c r="AD51" s="181"/>
      <c r="AH51" s="181"/>
      <c r="AJ51" s="185"/>
      <c r="AL51" s="186"/>
      <c r="AM51" s="180"/>
    </row>
    <row r="52" spans="1:39" s="182" customFormat="1" x14ac:dyDescent="0.25">
      <c r="A52" s="180"/>
      <c r="B52" s="180"/>
      <c r="C52" s="181"/>
      <c r="E52" s="181"/>
      <c r="F52" s="181"/>
      <c r="H52" s="181"/>
      <c r="L52" s="181"/>
      <c r="M52" s="183"/>
      <c r="N52" s="184"/>
      <c r="P52" s="184"/>
      <c r="R52" s="185"/>
      <c r="AD52" s="181"/>
      <c r="AH52" s="181"/>
      <c r="AJ52" s="185"/>
      <c r="AL52" s="186"/>
      <c r="AM52" s="180"/>
    </row>
    <row r="53" spans="1:39" s="182" customFormat="1" x14ac:dyDescent="0.25">
      <c r="A53" s="180"/>
      <c r="B53" s="180"/>
      <c r="C53" s="181"/>
      <c r="E53" s="181"/>
      <c r="F53" s="181"/>
      <c r="H53" s="181"/>
      <c r="L53" s="181"/>
      <c r="M53" s="183"/>
      <c r="N53" s="184"/>
      <c r="P53" s="184"/>
      <c r="R53" s="185"/>
      <c r="AD53" s="181"/>
      <c r="AH53" s="181"/>
      <c r="AJ53" s="185"/>
      <c r="AL53" s="186"/>
      <c r="AM53" s="180"/>
    </row>
    <row r="54" spans="1:39" s="182" customFormat="1" x14ac:dyDescent="0.25">
      <c r="A54" s="180"/>
      <c r="B54" s="180"/>
      <c r="C54" s="181"/>
      <c r="E54" s="181"/>
      <c r="F54" s="181"/>
      <c r="H54" s="181"/>
      <c r="L54" s="181"/>
      <c r="M54" s="183"/>
      <c r="N54" s="184"/>
      <c r="P54" s="184"/>
      <c r="R54" s="185"/>
      <c r="T54" s="201"/>
      <c r="AD54" s="181"/>
      <c r="AH54" s="181"/>
      <c r="AJ54" s="185"/>
      <c r="AL54" s="186"/>
      <c r="AM54" s="180"/>
    </row>
    <row r="55" spans="1:39" s="182" customFormat="1" x14ac:dyDescent="0.25">
      <c r="A55" s="180"/>
      <c r="B55" s="180"/>
      <c r="C55" s="181"/>
      <c r="E55" s="181"/>
      <c r="F55" s="181"/>
      <c r="H55" s="181"/>
      <c r="L55" s="181"/>
      <c r="M55" s="183"/>
      <c r="N55" s="184"/>
      <c r="P55" s="184"/>
      <c r="R55" s="185"/>
      <c r="AD55" s="181"/>
      <c r="AH55" s="181"/>
      <c r="AJ55" s="185"/>
      <c r="AL55" s="186"/>
      <c r="AM55" s="180"/>
    </row>
    <row r="56" spans="1:39" s="182" customFormat="1" x14ac:dyDescent="0.25">
      <c r="A56" s="180"/>
      <c r="B56" s="180"/>
      <c r="C56" s="181"/>
      <c r="E56" s="181"/>
      <c r="F56" s="181"/>
      <c r="H56" s="181"/>
      <c r="L56" s="181"/>
      <c r="M56" s="183"/>
      <c r="N56" s="184"/>
      <c r="P56" s="184"/>
      <c r="R56" s="185"/>
      <c r="AD56" s="181"/>
      <c r="AH56" s="181"/>
      <c r="AJ56" s="185"/>
      <c r="AL56" s="186"/>
      <c r="AM56" s="180"/>
    </row>
    <row r="57" spans="1:39" s="182" customFormat="1" x14ac:dyDescent="0.25">
      <c r="A57" s="180"/>
      <c r="B57" s="180"/>
      <c r="C57" s="181"/>
      <c r="E57" s="181"/>
      <c r="F57" s="181"/>
      <c r="H57" s="181"/>
      <c r="L57" s="181"/>
      <c r="M57" s="183"/>
      <c r="N57" s="184"/>
      <c r="P57" s="184"/>
      <c r="R57" s="185"/>
      <c r="AD57" s="181"/>
      <c r="AH57" s="181"/>
      <c r="AJ57" s="185"/>
      <c r="AL57" s="186"/>
      <c r="AM57" s="180"/>
    </row>
    <row r="58" spans="1:39" s="182" customFormat="1" x14ac:dyDescent="0.25">
      <c r="A58" s="180"/>
      <c r="B58" s="180"/>
      <c r="C58" s="181"/>
      <c r="E58" s="181"/>
      <c r="F58" s="181"/>
      <c r="H58" s="181"/>
      <c r="L58" s="181"/>
      <c r="M58" s="183"/>
      <c r="N58" s="184"/>
      <c r="P58" s="184"/>
      <c r="R58" s="185"/>
      <c r="AD58" s="181"/>
      <c r="AH58" s="181"/>
      <c r="AJ58" s="185"/>
      <c r="AL58" s="186"/>
      <c r="AM58" s="180"/>
    </row>
    <row r="59" spans="1:39" s="182" customFormat="1" x14ac:dyDescent="0.25">
      <c r="A59" s="180"/>
      <c r="B59" s="180"/>
      <c r="C59" s="181"/>
      <c r="E59" s="181"/>
      <c r="F59" s="181"/>
      <c r="H59" s="181"/>
      <c r="L59" s="181"/>
      <c r="M59" s="183"/>
      <c r="N59" s="184"/>
      <c r="P59" s="184"/>
      <c r="R59" s="185"/>
      <c r="AD59" s="181"/>
      <c r="AH59" s="181"/>
      <c r="AJ59" s="185"/>
      <c r="AL59" s="186"/>
      <c r="AM59" s="180"/>
    </row>
    <row r="60" spans="1:39" s="182" customFormat="1" x14ac:dyDescent="0.25">
      <c r="A60" s="180"/>
      <c r="B60" s="180"/>
      <c r="C60" s="181"/>
      <c r="E60" s="181"/>
      <c r="F60" s="181"/>
      <c r="H60" s="181"/>
      <c r="L60" s="181"/>
      <c r="M60" s="183"/>
      <c r="N60" s="184"/>
      <c r="P60" s="184"/>
      <c r="R60" s="185"/>
      <c r="AD60" s="181"/>
      <c r="AH60" s="181"/>
      <c r="AJ60" s="185"/>
      <c r="AL60" s="186"/>
      <c r="AM60" s="180"/>
    </row>
    <row r="61" spans="1:39" s="182" customFormat="1" x14ac:dyDescent="0.25">
      <c r="A61" s="180"/>
      <c r="B61" s="180"/>
      <c r="C61" s="181"/>
      <c r="E61" s="181"/>
      <c r="F61" s="181"/>
      <c r="H61" s="181"/>
      <c r="L61" s="181"/>
      <c r="M61" s="183"/>
      <c r="N61" s="184"/>
      <c r="P61" s="184"/>
      <c r="R61" s="185"/>
      <c r="AD61" s="181"/>
      <c r="AH61" s="181"/>
      <c r="AJ61" s="185"/>
      <c r="AL61" s="186"/>
      <c r="AM61" s="180"/>
    </row>
    <row r="62" spans="1:39" s="182" customFormat="1" x14ac:dyDescent="0.25">
      <c r="A62" s="180"/>
      <c r="B62" s="180"/>
      <c r="C62" s="181"/>
      <c r="E62" s="181"/>
      <c r="F62" s="181"/>
      <c r="H62" s="181"/>
      <c r="I62" s="181"/>
      <c r="J62" s="181"/>
      <c r="L62" s="181"/>
      <c r="M62" s="183"/>
      <c r="N62" s="184"/>
      <c r="P62" s="184"/>
      <c r="R62" s="185"/>
      <c r="AD62" s="181"/>
      <c r="AH62" s="181"/>
      <c r="AJ62" s="185"/>
      <c r="AL62" s="186"/>
      <c r="AM62" s="180"/>
    </row>
    <row r="63" spans="1:39" s="182" customFormat="1" x14ac:dyDescent="0.25">
      <c r="A63" s="180"/>
      <c r="B63" s="180"/>
      <c r="C63" s="181"/>
      <c r="E63" s="181"/>
      <c r="F63" s="181"/>
      <c r="H63" s="181"/>
      <c r="L63" s="181"/>
      <c r="M63" s="183"/>
      <c r="N63" s="184"/>
      <c r="P63" s="184"/>
      <c r="R63" s="185"/>
      <c r="AD63" s="181"/>
      <c r="AH63" s="181"/>
      <c r="AJ63" s="185"/>
      <c r="AL63" s="186"/>
      <c r="AM63" s="180"/>
    </row>
    <row r="64" spans="1:39" s="182" customFormat="1" x14ac:dyDescent="0.25">
      <c r="A64" s="180"/>
      <c r="B64" s="180"/>
      <c r="C64" s="181"/>
      <c r="E64" s="181"/>
      <c r="F64" s="181"/>
      <c r="H64" s="181"/>
      <c r="L64" s="181"/>
      <c r="M64" s="183"/>
      <c r="N64" s="184"/>
      <c r="P64" s="184"/>
      <c r="R64" s="185"/>
      <c r="AD64" s="181"/>
      <c r="AH64" s="181"/>
      <c r="AJ64" s="185"/>
      <c r="AL64" s="186"/>
      <c r="AM64" s="180"/>
    </row>
    <row r="65" spans="1:39" s="182" customFormat="1" x14ac:dyDescent="0.25">
      <c r="A65" s="180"/>
      <c r="B65" s="180"/>
      <c r="C65" s="181"/>
      <c r="E65" s="181"/>
      <c r="F65" s="181"/>
      <c r="H65" s="181"/>
      <c r="L65" s="181"/>
      <c r="M65" s="183"/>
      <c r="N65" s="184"/>
      <c r="P65" s="184"/>
      <c r="R65" s="185"/>
      <c r="AD65" s="181"/>
      <c r="AH65" s="181"/>
      <c r="AJ65" s="185"/>
      <c r="AL65" s="186"/>
      <c r="AM65" s="180"/>
    </row>
    <row r="66" spans="1:39" s="182" customFormat="1" x14ac:dyDescent="0.25">
      <c r="A66" s="180"/>
      <c r="B66" s="180"/>
      <c r="C66" s="181"/>
      <c r="E66" s="181"/>
      <c r="F66" s="181"/>
      <c r="H66" s="181"/>
      <c r="L66" s="181"/>
      <c r="M66" s="183"/>
      <c r="N66" s="184"/>
      <c r="P66" s="184"/>
      <c r="R66" s="185"/>
      <c r="AD66" s="181"/>
      <c r="AH66" s="181"/>
      <c r="AJ66" s="185"/>
      <c r="AL66" s="186"/>
      <c r="AM66" s="180"/>
    </row>
    <row r="67" spans="1:39" s="182" customFormat="1" x14ac:dyDescent="0.25">
      <c r="A67" s="180"/>
      <c r="B67" s="180"/>
      <c r="C67" s="181"/>
      <c r="E67" s="181"/>
      <c r="F67" s="181"/>
      <c r="H67" s="181"/>
      <c r="L67" s="181"/>
      <c r="M67" s="183"/>
      <c r="N67" s="184"/>
      <c r="P67" s="184"/>
      <c r="R67" s="185"/>
      <c r="AD67" s="181"/>
      <c r="AH67" s="181"/>
      <c r="AJ67" s="185"/>
      <c r="AL67" s="186"/>
      <c r="AM67" s="180"/>
    </row>
    <row r="68" spans="1:39" s="182" customFormat="1" x14ac:dyDescent="0.25">
      <c r="A68" s="180"/>
      <c r="B68" s="180"/>
      <c r="C68" s="181"/>
      <c r="E68" s="181"/>
      <c r="F68" s="181"/>
      <c r="H68" s="181"/>
      <c r="L68" s="181"/>
      <c r="M68" s="183"/>
      <c r="N68" s="184"/>
      <c r="P68" s="184"/>
      <c r="R68" s="185"/>
      <c r="AD68" s="181"/>
      <c r="AH68" s="181"/>
      <c r="AJ68" s="185"/>
      <c r="AL68" s="186"/>
      <c r="AM68" s="180"/>
    </row>
    <row r="69" spans="1:39" s="182" customFormat="1" x14ac:dyDescent="0.25">
      <c r="A69" s="180"/>
      <c r="B69" s="180"/>
      <c r="C69" s="181"/>
      <c r="E69" s="181"/>
      <c r="F69" s="181"/>
      <c r="H69" s="181"/>
      <c r="L69" s="181"/>
      <c r="M69" s="183"/>
      <c r="N69" s="184"/>
      <c r="P69" s="184"/>
      <c r="R69" s="185"/>
      <c r="AD69" s="181"/>
      <c r="AH69" s="181"/>
      <c r="AJ69" s="185"/>
      <c r="AL69" s="186"/>
      <c r="AM69" s="180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1" sqref="D2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5" t="s">
        <v>28</v>
      </c>
    </row>
    <row r="2" spans="1:3" ht="18.75" x14ac:dyDescent="0.3">
      <c r="A2" s="263">
        <v>44470</v>
      </c>
      <c r="B2" s="264"/>
      <c r="C2" s="264"/>
    </row>
    <row r="3" spans="1:3" x14ac:dyDescent="0.25">
      <c r="A3" s="266" t="s">
        <v>1</v>
      </c>
      <c r="B3" s="265" t="s">
        <v>2</v>
      </c>
      <c r="C3" s="265" t="s">
        <v>3</v>
      </c>
    </row>
    <row r="4" spans="1:3" x14ac:dyDescent="0.25">
      <c r="A4" s="266"/>
      <c r="B4" s="265"/>
      <c r="C4" s="265"/>
    </row>
    <row r="5" spans="1:3" x14ac:dyDescent="0.25">
      <c r="A5" s="266"/>
      <c r="B5" s="265"/>
      <c r="C5" s="265"/>
    </row>
    <row r="6" spans="1:3" x14ac:dyDescent="0.25">
      <c r="A6" s="2">
        <v>1</v>
      </c>
      <c r="B6" s="2">
        <v>11</v>
      </c>
      <c r="C6" s="2">
        <v>91</v>
      </c>
    </row>
    <row r="7" spans="1:3" x14ac:dyDescent="0.25">
      <c r="A7" s="2">
        <v>2</v>
      </c>
      <c r="B7" s="2">
        <v>7</v>
      </c>
      <c r="C7" s="2">
        <v>118</v>
      </c>
    </row>
    <row r="8" spans="1:3" x14ac:dyDescent="0.25">
      <c r="A8" s="2">
        <f>A7+1</f>
        <v>3</v>
      </c>
      <c r="B8" s="2">
        <v>5</v>
      </c>
      <c r="C8" s="2">
        <v>114</v>
      </c>
    </row>
    <row r="9" spans="1:3" x14ac:dyDescent="0.25">
      <c r="A9" s="2">
        <f>A8+1</f>
        <v>4</v>
      </c>
      <c r="B9" s="2">
        <v>5</v>
      </c>
      <c r="C9" s="2">
        <v>56</v>
      </c>
    </row>
    <row r="10" spans="1:3" x14ac:dyDescent="0.25">
      <c r="A10" s="2">
        <f t="shared" ref="A10:A36" si="0">A9+1</f>
        <v>5</v>
      </c>
      <c r="B10" s="2">
        <v>4</v>
      </c>
      <c r="C10" s="2">
        <v>76</v>
      </c>
    </row>
    <row r="11" spans="1:3" x14ac:dyDescent="0.25">
      <c r="A11" s="2">
        <f t="shared" si="0"/>
        <v>6</v>
      </c>
      <c r="B11" s="2">
        <v>2</v>
      </c>
      <c r="C11" s="2">
        <v>92</v>
      </c>
    </row>
    <row r="12" spans="1:3" x14ac:dyDescent="0.25">
      <c r="A12" s="2">
        <f t="shared" si="0"/>
        <v>7</v>
      </c>
      <c r="B12" s="2">
        <v>6</v>
      </c>
      <c r="C12" s="2">
        <v>113</v>
      </c>
    </row>
    <row r="13" spans="1:3" x14ac:dyDescent="0.25">
      <c r="A13" s="2">
        <f t="shared" si="0"/>
        <v>8</v>
      </c>
      <c r="B13" s="2">
        <v>17</v>
      </c>
      <c r="C13" s="2">
        <v>113</v>
      </c>
    </row>
    <row r="14" spans="1:3" x14ac:dyDescent="0.25">
      <c r="A14" s="2">
        <f t="shared" si="0"/>
        <v>9</v>
      </c>
      <c r="B14" s="2">
        <v>14</v>
      </c>
      <c r="C14" s="2">
        <v>131</v>
      </c>
    </row>
    <row r="15" spans="1:3" x14ac:dyDescent="0.25">
      <c r="A15" s="2">
        <f t="shared" si="0"/>
        <v>10</v>
      </c>
      <c r="B15" s="2">
        <v>9</v>
      </c>
      <c r="C15" s="2">
        <v>172</v>
      </c>
    </row>
    <row r="16" spans="1:3" x14ac:dyDescent="0.25">
      <c r="A16" s="2">
        <f t="shared" si="0"/>
        <v>11</v>
      </c>
      <c r="B16" s="2">
        <v>6</v>
      </c>
      <c r="C16" s="2">
        <v>63</v>
      </c>
    </row>
    <row r="17" spans="1:3" x14ac:dyDescent="0.25">
      <c r="A17" s="2">
        <f t="shared" si="0"/>
        <v>12</v>
      </c>
      <c r="B17" s="2">
        <v>5</v>
      </c>
      <c r="C17" s="2">
        <v>65</v>
      </c>
    </row>
    <row r="18" spans="1:3" x14ac:dyDescent="0.25">
      <c r="A18" s="2">
        <f t="shared" si="0"/>
        <v>13</v>
      </c>
      <c r="B18" s="2">
        <v>8</v>
      </c>
      <c r="C18" s="2">
        <v>106</v>
      </c>
    </row>
    <row r="19" spans="1:3" x14ac:dyDescent="0.25">
      <c r="A19" s="2">
        <f t="shared" si="0"/>
        <v>14</v>
      </c>
      <c r="B19" s="2">
        <v>8</v>
      </c>
      <c r="C19" s="2">
        <v>85</v>
      </c>
    </row>
    <row r="20" spans="1:3" x14ac:dyDescent="0.25">
      <c r="A20" s="2">
        <f t="shared" si="0"/>
        <v>15</v>
      </c>
      <c r="B20" s="2">
        <v>16</v>
      </c>
      <c r="C20" s="2">
        <v>117</v>
      </c>
    </row>
    <row r="21" spans="1:3" x14ac:dyDescent="0.25">
      <c r="A21" s="2">
        <f t="shared" si="0"/>
        <v>16</v>
      </c>
      <c r="B21" s="2">
        <v>45</v>
      </c>
      <c r="C21" s="2">
        <v>256</v>
      </c>
    </row>
    <row r="22" spans="1:3" x14ac:dyDescent="0.25">
      <c r="A22" s="2">
        <f t="shared" si="0"/>
        <v>17</v>
      </c>
      <c r="B22" s="2">
        <v>53</v>
      </c>
      <c r="C22" s="2">
        <v>327</v>
      </c>
    </row>
    <row r="23" spans="1:3" x14ac:dyDescent="0.25">
      <c r="A23" s="2">
        <f t="shared" si="0"/>
        <v>18</v>
      </c>
      <c r="B23" s="2">
        <v>49</v>
      </c>
      <c r="C23" s="2">
        <v>301</v>
      </c>
    </row>
    <row r="24" spans="1:3" x14ac:dyDescent="0.25">
      <c r="A24" s="2">
        <f t="shared" si="0"/>
        <v>19</v>
      </c>
      <c r="B24" s="2">
        <v>20</v>
      </c>
      <c r="C24" s="2">
        <v>239</v>
      </c>
    </row>
    <row r="25" spans="1:3" x14ac:dyDescent="0.25">
      <c r="A25" s="2">
        <f t="shared" si="0"/>
        <v>20</v>
      </c>
      <c r="B25" s="2">
        <v>13</v>
      </c>
      <c r="C25" s="2">
        <v>129</v>
      </c>
    </row>
    <row r="26" spans="1:3" x14ac:dyDescent="0.25">
      <c r="A26" s="2">
        <f t="shared" si="0"/>
        <v>21</v>
      </c>
      <c r="B26" s="2">
        <v>9</v>
      </c>
      <c r="C26" s="2">
        <v>167</v>
      </c>
    </row>
    <row r="27" spans="1:3" x14ac:dyDescent="0.25">
      <c r="A27" s="2">
        <f t="shared" si="0"/>
        <v>22</v>
      </c>
      <c r="B27" s="2">
        <v>11</v>
      </c>
      <c r="C27" s="2">
        <v>135</v>
      </c>
    </row>
    <row r="28" spans="1:3" x14ac:dyDescent="0.25">
      <c r="A28" s="2">
        <f t="shared" si="0"/>
        <v>23</v>
      </c>
      <c r="B28" s="2">
        <v>13</v>
      </c>
      <c r="C28" s="2">
        <v>99</v>
      </c>
    </row>
    <row r="29" spans="1:3" x14ac:dyDescent="0.25">
      <c r="A29" s="2">
        <f t="shared" si="0"/>
        <v>24</v>
      </c>
      <c r="B29" s="2">
        <v>7</v>
      </c>
      <c r="C29" s="2">
        <v>95</v>
      </c>
    </row>
    <row r="30" spans="1:3" x14ac:dyDescent="0.25">
      <c r="A30" s="2">
        <f t="shared" si="0"/>
        <v>25</v>
      </c>
      <c r="B30" s="2">
        <v>13</v>
      </c>
      <c r="C30" s="2">
        <v>56</v>
      </c>
    </row>
    <row r="31" spans="1:3" x14ac:dyDescent="0.25">
      <c r="A31" s="2">
        <f t="shared" si="0"/>
        <v>26</v>
      </c>
      <c r="B31" s="2">
        <v>3</v>
      </c>
      <c r="C31" s="2">
        <v>57</v>
      </c>
    </row>
    <row r="32" spans="1:3" x14ac:dyDescent="0.25">
      <c r="A32" s="2">
        <f t="shared" si="0"/>
        <v>27</v>
      </c>
      <c r="B32" s="2">
        <v>3</v>
      </c>
      <c r="C32" s="2">
        <v>55</v>
      </c>
    </row>
    <row r="33" spans="1:3" x14ac:dyDescent="0.25">
      <c r="A33" s="2">
        <f t="shared" si="0"/>
        <v>28</v>
      </c>
      <c r="B33" s="2">
        <v>1</v>
      </c>
      <c r="C33" s="2">
        <v>62</v>
      </c>
    </row>
    <row r="34" spans="1:3" x14ac:dyDescent="0.25">
      <c r="A34" s="2">
        <f t="shared" si="0"/>
        <v>29</v>
      </c>
      <c r="B34" s="2">
        <v>5</v>
      </c>
      <c r="C34" s="2">
        <v>40</v>
      </c>
    </row>
    <row r="35" spans="1:3" x14ac:dyDescent="0.25">
      <c r="A35" s="2">
        <f t="shared" si="0"/>
        <v>30</v>
      </c>
      <c r="B35" s="2">
        <v>8</v>
      </c>
      <c r="C35" s="2">
        <v>116</v>
      </c>
    </row>
    <row r="36" spans="1:3" x14ac:dyDescent="0.25">
      <c r="A36" s="2">
        <f t="shared" si="0"/>
        <v>31</v>
      </c>
      <c r="B36" s="2">
        <v>9</v>
      </c>
      <c r="C36" s="2">
        <v>141</v>
      </c>
    </row>
    <row r="37" spans="1:3" x14ac:dyDescent="0.25">
      <c r="B37" s="6">
        <f>SUM(B6:B36)</f>
        <v>385</v>
      </c>
      <c r="C37" s="6">
        <f>SUM(C6:C36)</f>
        <v>3787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132381A-62AB-45E9-B73B-7ED8F0395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October 2021</vt:lpstr>
      <vt:lpstr>RNs &amp; Covers October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2022-04-15T05:00:18Z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