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<sst xmlns="http://schemas.openxmlformats.org/spreadsheetml/2006/main" count="315" uniqueCount="148">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</sst>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21.977999999999998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13469.999999999609</v>
      </c>
      <c r="F8" s="11">
        <f t="shared" si="0"/>
        <v>0.58765030286592534</v>
      </c>
      <c r="G8" s="12">
        <f>(Submetering!AX8+Submetering!AY8+Submetering!AZ8+Submetering!BA8+Submetering!BB8)</f>
        <v>36.629999999999995</v>
      </c>
      <c r="H8" s="11">
        <f t="shared" si="1"/>
        <v>0.99</v>
      </c>
      <c r="I8" s="12">
        <f>'FS Desroches Daily'!CM10</f>
        <v>103</v>
      </c>
      <c r="J8" s="11">
        <f t="shared" si="2"/>
        <v>10.487297712684205</v>
      </c>
      <c r="K8" s="13">
        <f>'FS Desroches Daily'!CN10</f>
        <v>31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14190.000000000065</v>
      </c>
      <c r="F9" s="11">
        <f t="shared" si="0"/>
        <v>0.58765030286592534</v>
      </c>
      <c r="G9" s="12">
        <f>(Submetering!AX9+Submetering!AY9+Submetering!AZ9+Submetering!BA9+Submetering!BB9)</f>
        <v>3.6629999999999998</v>
      </c>
      <c r="H9" s="11">
        <f t="shared" si="1"/>
        <v>0.99</v>
      </c>
      <c r="I9" s="12">
        <f>'FS Desroches Daily'!CM11</f>
        <v>120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13890.000000000657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31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3700.0000000002588</v>
      </c>
      <c r="F8" s="32">
        <f>'FS Desroches Daily'!F10</f>
        <v>3499.9999999998367</v>
      </c>
      <c r="G8" s="31">
        <f>'FS Desroches Daily'!H10</f>
        <v>3199.9999999996476</v>
      </c>
      <c r="H8" s="32">
        <f>'FS Desroches Daily'!J10</f>
        <v>1900.0000000000127</v>
      </c>
      <c r="I8" s="31">
        <f>'FS Desroches Daily'!L10</f>
        <v>2499.9999999999468</v>
      </c>
      <c r="J8" s="32">
        <f>'FS Desroches Daily'!N10</f>
        <v>1999.9999999997797</v>
      </c>
      <c r="K8" s="13">
        <f>'FS Desroches Daily'!P10</f>
        <v>58</v>
      </c>
      <c r="L8" s="31">
        <f>'FS Desroches Daily'!R10</f>
        <v>7</v>
      </c>
      <c r="M8" s="31">
        <f>'FS Desroches Daily'!T10</f>
        <v>1</v>
      </c>
      <c r="N8" s="31">
        <f>'FS Desroches Daily'!V10</f>
        <v>391</v>
      </c>
      <c r="O8" s="31">
        <f>'FS Desroches Daily'!X10</f>
        <v>420.00000000001592</v>
      </c>
      <c r="P8" s="31">
        <f>'FS Desroches Daily'!Z10</f>
        <v>3100.0000000003247</v>
      </c>
      <c r="Q8" s="31">
        <f>'FS Desroches Daily'!AB10</f>
        <v>450.00000000004547</v>
      </c>
      <c r="R8" s="31">
        <f>'FS Desroches Daily'!AD10</f>
        <v>480.00000000001819</v>
      </c>
      <c r="S8" s="31">
        <f>'FS Desroches Daily'!AF10</f>
        <v>899.99999999997726</v>
      </c>
      <c r="T8" s="31">
        <f>'FS Desroches Daily'!AH10</f>
        <v>40</v>
      </c>
      <c r="U8" s="35">
        <f>'FS Desroches Daily'!AJ10</f>
        <v>889.99999999998636</v>
      </c>
      <c r="V8" s="35">
        <f>'FS Desroches Daily'!AL10</f>
        <v>240.00000000000909</v>
      </c>
      <c r="W8" s="35">
        <f>'FS Desroches Daily'!AN10</f>
        <v>250</v>
      </c>
      <c r="X8" s="35">
        <f>'FS Desroches Daily'!AP10</f>
        <v>399.99999999997726</v>
      </c>
      <c r="Y8" s="35">
        <f>'FS Desroches Daily'!AR10</f>
        <v>290.00000000002046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250</v>
      </c>
      <c r="AC8" s="35">
        <f>'FS Desroches Daily'!AZ10</f>
        <v>269.99999999998181</v>
      </c>
      <c r="AD8" s="35">
        <f>'FS Desroches Daily'!BB10</f>
        <v>199.99999999998863</v>
      </c>
      <c r="AE8" s="35">
        <f>'FS Desroches Daily'!BD10</f>
        <v>79.999999999984084</v>
      </c>
      <c r="AF8" s="31">
        <f>'FS Desroches Daily'!BF10</f>
        <v>30</v>
      </c>
      <c r="AG8" s="32">
        <f>'FS Desroches Daily'!BH10</f>
        <v>59.999999999973852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40.000000000020464</v>
      </c>
      <c r="AK8" s="32">
        <f>'FS Desroches Daily'!BP10</f>
        <v>79.999999999984084</v>
      </c>
      <c r="AL8" s="32">
        <f>'FS Desroches Daily'!BR10</f>
        <v>42</v>
      </c>
      <c r="AM8" s="32">
        <f>'FS Desroches Daily'!BT10</f>
        <v>69.999999999993179</v>
      </c>
      <c r="AN8" s="32">
        <f>'FS Desroches Daily'!BV10</f>
        <v>65</v>
      </c>
      <c r="AO8" s="32">
        <f>'FS Desroches Daily'!BX10</f>
        <v>60.000000000002274</v>
      </c>
      <c r="AP8" s="32">
        <f>'FS Desroches Daily'!BZ10</f>
        <v>58</v>
      </c>
      <c r="AQ8" s="31">
        <f>'FS Desroches Daily'!CB10</f>
        <v>55.700000000004366</v>
      </c>
      <c r="AR8" s="31">
        <f>'FS Desroches Daily'!CD10</f>
        <v>13.600000000000364</v>
      </c>
      <c r="AS8" s="31">
        <f>'FS Desroches Daily'!CF10</f>
        <v>2.8999999999996362</v>
      </c>
      <c r="AT8" s="31">
        <f>'FS Desroches Daily'!CH10</f>
        <v>50.700000000011642</v>
      </c>
      <c r="AU8" s="31">
        <f>'FS Desroches Daily'!CJ10</f>
        <v>326</v>
      </c>
      <c r="AV8" s="31">
        <f>'FS Desroches Daily'!CL10</f>
        <v>829.99999999992724</v>
      </c>
      <c r="AW8" s="31">
        <f>'FS Desroches Daily'!CM10</f>
        <v>103</v>
      </c>
      <c r="AX8" s="31">
        <f>IF(LPG!F16-LPG!F14&lt;0,"0",(LPG!F16-LPG!F14)*1.8315)</f>
        <v>20.1465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31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4000.0000000000036</v>
      </c>
      <c r="F9" s="32">
        <f>'FS Desroches Daily'!F11</f>
        <v>3800.0000000000255</v>
      </c>
      <c r="G9" s="31">
        <f>'FS Desroches Daily'!H11</f>
        <v>3400.0000000000696</v>
      </c>
      <c r="H9" s="32">
        <f>'FS Desroches Daily'!J11</f>
        <v>1900.0000000000127</v>
      </c>
      <c r="I9" s="31">
        <f>'FS Desroches Daily'!L11</f>
        <v>2499.9999999999468</v>
      </c>
      <c r="J9" s="32">
        <f>'FS Desroches Daily'!N11</f>
        <v>1900.0000000000127</v>
      </c>
      <c r="K9" s="13">
        <f>'FS Desroches Daily'!P11</f>
        <v>48</v>
      </c>
      <c r="L9" s="31">
        <f>'FS Desroches Daily'!R11</f>
        <v>8</v>
      </c>
      <c r="M9" s="31">
        <f>'FS Desroches Daily'!T11</f>
        <v>1.3000000000001819</v>
      </c>
      <c r="N9" s="31">
        <f>'FS Desroches Daily'!V11</f>
        <v>497.09999999997672</v>
      </c>
      <c r="O9" s="31">
        <f>'FS Desroches Daily'!X11</f>
        <v>479.99999999996135</v>
      </c>
      <c r="P9" s="31">
        <f>'FS Desroches Daily'!Z11</f>
        <v>3199.9999999996476</v>
      </c>
      <c r="Q9" s="31">
        <f>'FS Desroches Daily'!AB11</f>
        <v>329.99999999998408</v>
      </c>
      <c r="R9" s="31">
        <f>'FS Desroches Daily'!AD11</f>
        <v>550.00000000001137</v>
      </c>
      <c r="S9" s="31">
        <f>'FS Desroches Daily'!AF11</f>
        <v>929.99999999994998</v>
      </c>
      <c r="T9" s="31">
        <f>'FS Desroches Daily'!AH11</f>
        <v>43</v>
      </c>
      <c r="U9" s="35">
        <f>'FS Desroches Daily'!AJ11</f>
        <v>889.99999999998636</v>
      </c>
      <c r="V9" s="35">
        <f>'FS Desroches Daily'!AL11</f>
        <v>370.00000000000455</v>
      </c>
      <c r="W9" s="35">
        <f>'FS Desroches Daily'!AN11</f>
        <v>229.99999999998977</v>
      </c>
      <c r="X9" s="35">
        <f>'FS Desroches Daily'!AP11</f>
        <v>250</v>
      </c>
      <c r="Y9" s="35">
        <f>'FS Desroches Daily'!AR11</f>
        <v>299.99999999995453</v>
      </c>
      <c r="Z9" s="35">
        <f>'FS Desroches Daily'!AT11</f>
        <v>349.99999999996589</v>
      </c>
      <c r="AA9" s="35">
        <f>'FS Desroches Daily'!AT11</f>
        <v>349.99999999996589</v>
      </c>
      <c r="AB9" s="35">
        <f>'FS Desroches Daily'!AV11</f>
        <v>250</v>
      </c>
      <c r="AC9" s="35">
        <f>'FS Desroches Daily'!AZ11</f>
        <v>270.00000000003865</v>
      </c>
      <c r="AD9" s="35">
        <f>'FS Desroches Daily'!BB11</f>
        <v>400.00000000003411</v>
      </c>
      <c r="AE9" s="35">
        <f>'FS Desroches Daily'!BD11</f>
        <v>89.999999999974989</v>
      </c>
      <c r="AF9" s="31">
        <f>'FS Desroches Daily'!BF11</f>
        <v>35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49.999999999982947</v>
      </c>
      <c r="AK9" s="32">
        <f>'FS Desroches Daily'!BP11</f>
        <v>69.999999999993179</v>
      </c>
      <c r="AL9" s="32">
        <f>'FS Desroches Daily'!BR11</f>
        <v>45</v>
      </c>
      <c r="AM9" s="32">
        <f>'FS Desroches Daily'!BT11</f>
        <v>49.999999999982947</v>
      </c>
      <c r="AN9" s="32">
        <f>'FS Desroches Daily'!BV11</f>
        <v>57</v>
      </c>
      <c r="AO9" s="32">
        <f>'FS Desroches Daily'!BX11</f>
        <v>60.000000000002274</v>
      </c>
      <c r="AP9" s="32">
        <f>'FS Desroches Daily'!BZ11</f>
        <v>56</v>
      </c>
      <c r="AQ9" s="31">
        <f>'FS Desroches Daily'!CB11</f>
        <v>48.899999999994179</v>
      </c>
      <c r="AR9" s="31">
        <f>'FS Desroches Daily'!CD11</f>
        <v>11.399999999999636</v>
      </c>
      <c r="AS9" s="31">
        <f>'FS Desroches Daily'!CF11</f>
        <v>3.5</v>
      </c>
      <c r="AT9" s="31">
        <f>'FS Desroches Daily'!CH11</f>
        <v>47.19999999999709</v>
      </c>
      <c r="AU9" s="31">
        <f>'FS Desroches Daily'!CJ11</f>
        <v>336</v>
      </c>
      <c r="AV9" s="31">
        <f>'FS Desroches Daily'!CL11</f>
        <v>810.00000000005912</v>
      </c>
      <c r="AW9" s="31">
        <f>'FS Desroches Daily'!CM11</f>
        <v>120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3899.9999999997926</v>
      </c>
      <c r="F10" s="32">
        <f>'FS Desroches Daily'!F12</f>
        <v>3500.0000000007249</v>
      </c>
      <c r="G10" s="31">
        <f>'FS Desroches Daily'!H12</f>
        <v>3400.0000000000696</v>
      </c>
      <c r="H10" s="32">
        <f>'FS Desroches Daily'!J12</f>
        <v>1900.0000000000127</v>
      </c>
      <c r="I10" s="31">
        <f>'FS Desroches Daily'!L12</f>
        <v>2600.0000000001578</v>
      </c>
      <c r="J10" s="32">
        <f>'FS Desroches Daily'!N12</f>
        <v>2000.0000000000018</v>
      </c>
      <c r="K10" s="13">
        <f>'FS Desroches Daily'!P12</f>
        <v>62</v>
      </c>
      <c r="L10" s="31">
        <f>'FS Desroches Daily'!R12</f>
        <v>6</v>
      </c>
      <c r="M10" s="31">
        <f>'FS Desroches Daily'!T12</f>
        <v>1.3999999999998636</v>
      </c>
      <c r="N10" s="31">
        <f>'FS Desroches Daily'!V12</f>
        <v>508.70000000001164</v>
      </c>
      <c r="O10" s="31">
        <f>'FS Desroches Daily'!X12</f>
        <v>400.00000000003411</v>
      </c>
      <c r="P10" s="31">
        <f>'FS Desroches Daily'!Z12</f>
        <v>3200.0000000000919</v>
      </c>
      <c r="Q10" s="31">
        <f>'FS Desroches Daily'!AB12</f>
        <v>439.99999999999773</v>
      </c>
      <c r="R10" s="31">
        <f>'FS Desroches Daily'!AD12</f>
        <v>490.00000000000909</v>
      </c>
      <c r="S10" s="31">
        <f>'FS Desroches Daily'!AF12</f>
        <v>900.00000000009095</v>
      </c>
      <c r="T10" s="31">
        <f>'FS Desroches Daily'!AH12</f>
        <v>42</v>
      </c>
      <c r="U10" s="35">
        <f>'FS Desroches Daily'!AJ12</f>
        <v>789.99999999996362</v>
      </c>
      <c r="V10" s="35">
        <f>'FS Desroches Daily'!AL12</f>
        <v>340.00000000003183</v>
      </c>
      <c r="W10" s="35">
        <f>'FS Desroches Daily'!AN12</f>
        <v>259.99999999999091</v>
      </c>
      <c r="X10" s="35">
        <f>'FS Desroches Daily'!AP12</f>
        <v>290.00000000002046</v>
      </c>
      <c r="Y10" s="35">
        <f>'FS Desroches Daily'!AR12</f>
        <v>270.00000000003865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259.99999999999091</v>
      </c>
      <c r="AC10" s="35">
        <f>'FS Desroches Daily'!AZ12</f>
        <v>259.99999999999091</v>
      </c>
      <c r="AD10" s="35">
        <f>'FS Desroches Daily'!BB12</f>
        <v>399.99999999997726</v>
      </c>
      <c r="AE10" s="35">
        <f>'FS Desroches Daily'!BD12</f>
        <v>129.99999999999545</v>
      </c>
      <c r="AF10" s="31">
        <f>'FS Desroches Daily'!BF12</f>
        <v>29</v>
      </c>
      <c r="AG10" s="32">
        <f>'FS Desroches Daily'!BH12</f>
        <v>60.000000000002274</v>
      </c>
      <c r="AH10" s="32">
        <f>'FS Desroches Daily'!BJ12</f>
        <v>39.99999999996362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89.999999999974989</v>
      </c>
      <c r="AL10" s="32">
        <f>'FS Desroches Daily'!BR12</f>
        <v>40</v>
      </c>
      <c r="AM10" s="32">
        <f>'FS Desroches Daily'!BT12</f>
        <v>60.000000000002274</v>
      </c>
      <c r="AN10" s="32">
        <f>'FS Desroches Daily'!BV12</f>
        <v>54</v>
      </c>
      <c r="AO10" s="32">
        <f>'FS Desroches Daily'!BX12</f>
        <v>50.000000000011369</v>
      </c>
      <c r="AP10" s="32">
        <f>'FS Desroches Daily'!BZ12</f>
        <v>56</v>
      </c>
      <c r="AQ10" s="31">
        <f>'FS Desroches Daily'!CB12</f>
        <v>50.600000000005821</v>
      </c>
      <c r="AR10" s="31">
        <f>'FS Desroches Daily'!CD12</f>
        <v>11.799999999999272</v>
      </c>
      <c r="AS10" s="31">
        <f>'FS Desroches Daily'!CF12</f>
        <v>7</v>
      </c>
      <c r="AT10" s="31">
        <f>'FS Desroches Daily'!CH12</f>
        <v>47.099999999991269</v>
      </c>
      <c r="AU10" s="31">
        <f>'FS Desroches Daily'!CJ12</f>
        <v>350</v>
      </c>
      <c r="AV10" s="31">
        <f>'FS Desroches Daily'!CL12</f>
        <v>809.99999999994543</v>
      </c>
      <c r="AW10" s="31">
        <f>'FS Desroches Daily'!CM12</f>
        <v>125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31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36200.000000000015</v>
      </c>
      <c r="F33" s="17">
        <f t="shared" ref="F33:BC33" si="0">SUM(F2:F32)</f>
        <v>32799.999999999942</v>
      </c>
      <c r="G33" s="17">
        <f t="shared" si="0"/>
        <v>30199.999999999782</v>
      </c>
      <c r="H33" s="17">
        <f t="shared" si="0"/>
        <v>16500.000000000182</v>
      </c>
      <c r="I33" s="17">
        <f t="shared" si="0"/>
        <v>20999.999999999909</v>
      </c>
      <c r="J33" s="17">
        <f t="shared" si="0"/>
        <v>17899.999999999804</v>
      </c>
      <c r="K33" s="17">
        <f t="shared" si="0"/>
        <v>429</v>
      </c>
      <c r="L33" s="17">
        <f t="shared" si="0"/>
        <v>62</v>
      </c>
      <c r="M33" s="17">
        <f t="shared" si="0"/>
        <v>12.5</v>
      </c>
      <c r="N33" s="17">
        <f t="shared" si="0"/>
        <v>4316.9000000000233</v>
      </c>
      <c r="O33" s="17">
        <f t="shared" si="0"/>
        <v>4069.9999999999932</v>
      </c>
      <c r="P33" s="17">
        <f t="shared" si="0"/>
        <v>28799.999999999935</v>
      </c>
      <c r="Q33" s="17">
        <f t="shared" si="0"/>
        <v>3670.0000000000159</v>
      </c>
      <c r="R33" s="17">
        <f t="shared" si="0"/>
        <v>4610.0000000000136</v>
      </c>
      <c r="S33" s="17">
        <f t="shared" si="0"/>
        <v>8790.0000000000764</v>
      </c>
      <c r="T33" s="17">
        <f t="shared" si="0"/>
        <v>406</v>
      </c>
      <c r="U33" s="35">
        <f t="shared" si="0"/>
        <v>8870.0000000000036</v>
      </c>
      <c r="V33" s="35">
        <f t="shared" si="0"/>
        <v>2820.00000000005</v>
      </c>
      <c r="W33" s="35">
        <f t="shared" si="0"/>
        <v>2469.9999999999991</v>
      </c>
      <c r="X33" s="35">
        <f t="shared" si="0"/>
        <v>2840.0000000000032</v>
      </c>
      <c r="Y33" s="35">
        <f t="shared" si="0"/>
        <v>2629.9999999999955</v>
      </c>
      <c r="Z33" s="35">
        <f t="shared" si="0"/>
        <v>3230.0000000000182</v>
      </c>
      <c r="AA33" s="35">
        <f t="shared" si="0"/>
        <v>3230.0000000000182</v>
      </c>
      <c r="AB33" s="35">
        <f t="shared" si="0"/>
        <v>2500</v>
      </c>
      <c r="AC33" s="35">
        <f t="shared" si="0"/>
        <v>2680.0000000000068</v>
      </c>
      <c r="AD33" s="35">
        <f t="shared" si="0"/>
        <v>2519.9999999999818</v>
      </c>
      <c r="AE33" s="35">
        <f t="shared" si="0"/>
        <v>899.99999999997726</v>
      </c>
      <c r="AF33" s="17">
        <f t="shared" si="0"/>
        <v>293</v>
      </c>
      <c r="AG33" s="32">
        <f t="shared" si="0"/>
        <v>500</v>
      </c>
      <c r="AH33" s="32">
        <f t="shared" si="0"/>
        <v>349.99999999996589</v>
      </c>
      <c r="AI33" s="32">
        <f t="shared" si="0"/>
        <v>460.00000000000796</v>
      </c>
      <c r="AJ33" s="32">
        <f t="shared" si="0"/>
        <v>420.00000000001592</v>
      </c>
      <c r="AK33" s="32">
        <f t="shared" si="0"/>
        <v>629.99999999999545</v>
      </c>
      <c r="AL33" s="32">
        <f t="shared" si="0"/>
        <v>353</v>
      </c>
      <c r="AM33" s="32">
        <f t="shared" si="0"/>
        <v>500</v>
      </c>
      <c r="AN33" s="32">
        <f t="shared" si="0"/>
        <v>474</v>
      </c>
      <c r="AO33" s="32">
        <f t="shared" si="0"/>
        <v>469.99999999999886</v>
      </c>
      <c r="AP33" s="32">
        <f t="shared" si="0"/>
        <v>469</v>
      </c>
      <c r="AQ33" s="17">
        <f t="shared" si="0"/>
        <v>473.80000000000291</v>
      </c>
      <c r="AR33" s="17">
        <f t="shared" si="0"/>
        <v>122.60000000000036</v>
      </c>
      <c r="AS33" s="17">
        <f t="shared" si="0"/>
        <v>47.899999999999636</v>
      </c>
      <c r="AT33" s="17">
        <f t="shared" si="0"/>
        <v>391.89999999999418</v>
      </c>
      <c r="AU33" s="17">
        <f t="shared" si="0"/>
        <v>3023</v>
      </c>
      <c r="AV33" s="17">
        <f t="shared" si="0"/>
        <v>6970.0000000000273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43.955999999999996</v>
      </c>
      <c r="BC33" s="17">
        <f t="shared" si="0"/>
        <v>314</v>
      </c>
    </row>
    <row r="35" spans="5:55" x14ac:dyDescent="0.25">
      <c r="E35" s="38">
        <f>E33/E37</f>
        <v>0.29020827654764464</v>
      </c>
      <c r="G35" s="29">
        <f>G33-M36</f>
        <v>25870.599999999758</v>
      </c>
      <c r="AE35" s="35">
        <f>SUM(U33:AE33)</f>
        <v>34690.000000000058</v>
      </c>
      <c r="AG35" s="32">
        <f>SUM(AG33:AP33)</f>
        <v>4625.9999999999845</v>
      </c>
    </row>
    <row r="36" spans="5:55" x14ac:dyDescent="0.25">
      <c r="G36" s="29">
        <f>G35-633*14</f>
        <v>17008.599999999758</v>
      </c>
      <c r="M36" s="29">
        <f>M33+N33</f>
        <v>4329.4000000000233</v>
      </c>
    </row>
    <row r="37" spans="5:55" x14ac:dyDescent="0.25">
      <c r="E37" s="17">
        <f>E33+F33+G33+H33+J33-633*14</f>
        <v>124737.99999999971</v>
      </c>
      <c r="G37" s="37">
        <f>M36/E37</f>
        <v>3.4707947858712125E-2</v>
      </c>
      <c r="M37" s="35">
        <f>AE35</f>
        <v>34690.000000000058</v>
      </c>
    </row>
    <row r="38" spans="5:55" x14ac:dyDescent="0.25">
      <c r="L38" s="27">
        <f>M38/E37</f>
        <v>3.708573169362981E-2</v>
      </c>
      <c r="M38" s="29">
        <f>AG35</f>
        <v>4625.9999999999845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AY1" zoomScale="82" zoomScaleNormal="82" workbookViewId="0">
      <pane ySplit="1" topLeftCell="A2" activePane="bottomLeft" state="frozen"/>
      <selection pane="bottomLeft" activeCell="BI19" sqref="BI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>
        <v>2.9559000000000002</v>
      </c>
      <c r="D10" s="64">
        <f t="shared" si="50"/>
        <v>3700.0000000002588</v>
      </c>
      <c r="E10" s="58">
        <v>4.0416999999999996</v>
      </c>
      <c r="F10" s="64">
        <f t="shared" si="51"/>
        <v>3499.9999999998367</v>
      </c>
      <c r="G10" s="58">
        <v>4.0156999999999998</v>
      </c>
      <c r="H10" s="64">
        <f t="shared" si="52"/>
        <v>3199.9999999996476</v>
      </c>
      <c r="I10" s="58">
        <v>2.0089000000000001</v>
      </c>
      <c r="J10" s="64">
        <f t="shared" si="53"/>
        <v>1900.0000000000127</v>
      </c>
      <c r="K10" s="58">
        <v>3.1633</v>
      </c>
      <c r="L10" s="64">
        <f t="shared" si="54"/>
        <v>2499.9999999999468</v>
      </c>
      <c r="M10" s="58">
        <v>1.7751999999999999</v>
      </c>
      <c r="N10" s="64">
        <f t="shared" si="55"/>
        <v>1999.9999999997797</v>
      </c>
      <c r="O10" s="58">
        <v>18085</v>
      </c>
      <c r="P10" s="67">
        <f t="shared" si="56"/>
        <v>58</v>
      </c>
      <c r="Q10" s="58">
        <v>2101</v>
      </c>
      <c r="R10" s="67">
        <f t="shared" si="57"/>
        <v>7</v>
      </c>
      <c r="S10" s="58">
        <v>1245.5999999999999</v>
      </c>
      <c r="T10" s="67">
        <f t="shared" si="58"/>
        <v>1</v>
      </c>
      <c r="U10" s="58">
        <v>512919.7</v>
      </c>
      <c r="V10" s="67">
        <f t="shared" si="59"/>
        <v>391</v>
      </c>
      <c r="W10" s="58">
        <v>479.29</v>
      </c>
      <c r="X10" s="65">
        <f t="shared" si="60"/>
        <v>420.00000000001592</v>
      </c>
      <c r="Y10" s="58">
        <v>3.5510000000000002</v>
      </c>
      <c r="Z10" s="65">
        <f t="shared" si="61"/>
        <v>3100.0000000003247</v>
      </c>
      <c r="AA10" s="58">
        <v>481.6</v>
      </c>
      <c r="AB10" s="65">
        <f t="shared" si="62"/>
        <v>450.00000000004547</v>
      </c>
      <c r="AC10" s="58">
        <v>467.12</v>
      </c>
      <c r="AD10" s="65">
        <f t="shared" si="63"/>
        <v>480.00000000001819</v>
      </c>
      <c r="AE10" s="58">
        <v>675.75</v>
      </c>
      <c r="AF10" s="65">
        <f t="shared" si="64"/>
        <v>899.99999999997726</v>
      </c>
      <c r="AG10" s="58">
        <v>14075</v>
      </c>
      <c r="AH10" s="67">
        <f t="shared" si="65"/>
        <v>40</v>
      </c>
      <c r="AI10" s="58">
        <v>789.61</v>
      </c>
      <c r="AJ10" s="65">
        <f t="shared" si="66"/>
        <v>889.99999999998636</v>
      </c>
      <c r="AK10" s="58">
        <v>263.39</v>
      </c>
      <c r="AL10" s="65">
        <f t="shared" si="67"/>
        <v>240.00000000000909</v>
      </c>
      <c r="AM10" s="58">
        <v>247.4</v>
      </c>
      <c r="AN10" s="65">
        <f t="shared" si="68"/>
        <v>250</v>
      </c>
      <c r="AO10" s="58">
        <v>238.39</v>
      </c>
      <c r="AP10" s="65">
        <f t="shared" si="69"/>
        <v>399.99999999997726</v>
      </c>
      <c r="AQ10" s="58">
        <v>295.16000000000003</v>
      </c>
      <c r="AR10" s="65">
        <f t="shared" si="70"/>
        <v>290.00000000002046</v>
      </c>
      <c r="AS10" s="58">
        <v>421.92</v>
      </c>
      <c r="AT10" s="65">
        <f t="shared" si="71"/>
        <v>360.00000000001364</v>
      </c>
      <c r="AU10" s="58">
        <v>326.87</v>
      </c>
      <c r="AV10" s="65">
        <f t="shared" si="72"/>
        <v>250</v>
      </c>
      <c r="AW10" s="58">
        <v>359.41</v>
      </c>
      <c r="AX10" s="65">
        <f t="shared" si="73"/>
        <v>280.00000000002956</v>
      </c>
      <c r="AY10" s="58">
        <v>394.15</v>
      </c>
      <c r="AZ10" s="65">
        <f t="shared" si="74"/>
        <v>269.99999999998181</v>
      </c>
      <c r="BA10" s="58">
        <v>413.52</v>
      </c>
      <c r="BB10" s="65">
        <f t="shared" si="75"/>
        <v>199.99999999998863</v>
      </c>
      <c r="BC10" s="58">
        <v>264.62</v>
      </c>
      <c r="BD10" s="65">
        <f t="shared" si="76"/>
        <v>79.999999999984084</v>
      </c>
      <c r="BE10" s="59">
        <v>48816</v>
      </c>
      <c r="BF10" s="67">
        <f t="shared" si="77"/>
        <v>30</v>
      </c>
      <c r="BG10" s="60">
        <v>244.89</v>
      </c>
      <c r="BH10" s="65">
        <f t="shared" si="78"/>
        <v>59.999999999973852</v>
      </c>
      <c r="BI10" s="60">
        <v>300.45</v>
      </c>
      <c r="BJ10" s="65">
        <f t="shared" si="79"/>
        <v>39.99999999996362</v>
      </c>
      <c r="BK10" s="60">
        <v>247.46</v>
      </c>
      <c r="BL10" s="65">
        <f t="shared" si="80"/>
        <v>50.000000000011369</v>
      </c>
      <c r="BM10" s="60">
        <v>234.55</v>
      </c>
      <c r="BN10" s="65">
        <f t="shared" si="81"/>
        <v>40.000000000020464</v>
      </c>
      <c r="BO10" s="60">
        <v>300.8</v>
      </c>
      <c r="BP10" s="65">
        <f t="shared" si="82"/>
        <v>79.999999999984084</v>
      </c>
      <c r="BQ10" s="60">
        <v>53213</v>
      </c>
      <c r="BR10" s="65">
        <f t="shared" si="83"/>
        <v>42</v>
      </c>
      <c r="BS10" s="60">
        <v>211.59</v>
      </c>
      <c r="BT10" s="65">
        <f t="shared" si="84"/>
        <v>69.999999999993179</v>
      </c>
      <c r="BU10" s="60">
        <v>50349</v>
      </c>
      <c r="BV10" s="65">
        <f t="shared" si="85"/>
        <v>65</v>
      </c>
      <c r="BW10" s="60">
        <v>239.79</v>
      </c>
      <c r="BX10" s="65">
        <f t="shared" si="86"/>
        <v>60.000000000002274</v>
      </c>
      <c r="BY10" s="60">
        <v>70066</v>
      </c>
      <c r="BZ10" s="67">
        <f t="shared" si="87"/>
        <v>58</v>
      </c>
      <c r="CA10" s="60">
        <v>44133.8</v>
      </c>
      <c r="CB10" s="67">
        <f t="shared" si="88"/>
        <v>55.700000000004366</v>
      </c>
      <c r="CC10" s="60">
        <v>14610.2</v>
      </c>
      <c r="CD10" s="67">
        <f t="shared" si="89"/>
        <v>13.600000000000364</v>
      </c>
      <c r="CE10" s="60">
        <v>7714</v>
      </c>
      <c r="CF10" s="67">
        <f t="shared" si="90"/>
        <v>2.8999999999996362</v>
      </c>
      <c r="CG10" s="60">
        <v>70639.600000000006</v>
      </c>
      <c r="CH10" s="67">
        <f t="shared" si="91"/>
        <v>50.700000000011642</v>
      </c>
      <c r="CI10" s="60">
        <v>1021675</v>
      </c>
      <c r="CJ10" s="67">
        <f t="shared" si="92"/>
        <v>326</v>
      </c>
      <c r="CK10" s="60">
        <v>927.03</v>
      </c>
      <c r="CL10" s="64">
        <f t="shared" si="93"/>
        <v>829.99999999992724</v>
      </c>
      <c r="CM10" s="65">
        <f t="shared" si="94"/>
        <v>103</v>
      </c>
      <c r="CN10" s="62">
        <v>31</v>
      </c>
      <c r="CO10" s="62">
        <v>77</v>
      </c>
      <c r="CP10" s="68">
        <v>23794</v>
      </c>
      <c r="CQ10" s="67">
        <f t="shared" si="95"/>
        <v>81</v>
      </c>
      <c r="CR10" s="68">
        <v>19703</v>
      </c>
      <c r="CS10" s="67">
        <f t="shared" si="96"/>
        <v>22</v>
      </c>
      <c r="CT10" s="75">
        <v>9082</v>
      </c>
      <c r="CU10" s="67">
        <f t="shared" si="97"/>
        <v>9</v>
      </c>
      <c r="CV10" s="68">
        <v>22566</v>
      </c>
      <c r="CW10" s="67">
        <f t="shared" si="98"/>
        <v>18</v>
      </c>
      <c r="CX10" s="58">
        <v>2071.6</v>
      </c>
      <c r="CY10" s="67">
        <f t="shared" si="99"/>
        <v>11.699999999999818</v>
      </c>
    </row>
    <row r="11" spans="1:103" ht="25.5" customHeight="1" thickBot="1" x14ac:dyDescent="0.45">
      <c r="A11" s="63">
        <v>44628</v>
      </c>
      <c r="B11" s="44"/>
      <c r="C11" s="58">
        <v>2.9599000000000002</v>
      </c>
      <c r="D11" s="64">
        <f t="shared" si="50"/>
        <v>4000.0000000000036</v>
      </c>
      <c r="E11" s="58">
        <v>4.0454999999999997</v>
      </c>
      <c r="F11" s="64">
        <f t="shared" si="51"/>
        <v>3800.0000000000255</v>
      </c>
      <c r="G11" s="58">
        <v>4.0190999999999999</v>
      </c>
      <c r="H11" s="64">
        <f t="shared" si="52"/>
        <v>3400.0000000000696</v>
      </c>
      <c r="I11" s="58">
        <v>2.0108000000000001</v>
      </c>
      <c r="J11" s="64">
        <f t="shared" si="53"/>
        <v>1900.0000000000127</v>
      </c>
      <c r="K11" s="58">
        <v>3.1657999999999999</v>
      </c>
      <c r="L11" s="64">
        <f t="shared" si="54"/>
        <v>2499.9999999999468</v>
      </c>
      <c r="M11" s="58">
        <v>1.7770999999999999</v>
      </c>
      <c r="N11" s="64">
        <f t="shared" si="55"/>
        <v>1900.0000000000127</v>
      </c>
      <c r="O11" s="58">
        <v>18133</v>
      </c>
      <c r="P11" s="67">
        <f t="shared" si="56"/>
        <v>48</v>
      </c>
      <c r="Q11" s="58">
        <v>2109</v>
      </c>
      <c r="R11" s="67">
        <f t="shared" si="57"/>
        <v>8</v>
      </c>
      <c r="S11" s="58">
        <v>1246.9000000000001</v>
      </c>
      <c r="T11" s="67">
        <f t="shared" si="58"/>
        <v>1.3000000000001819</v>
      </c>
      <c r="U11" s="58">
        <v>513416.8</v>
      </c>
      <c r="V11" s="67">
        <f t="shared" si="59"/>
        <v>497.09999999997672</v>
      </c>
      <c r="W11" s="58">
        <v>479.77</v>
      </c>
      <c r="X11" s="65">
        <f t="shared" si="60"/>
        <v>479.99999999996135</v>
      </c>
      <c r="Y11" s="58">
        <v>3.5541999999999998</v>
      </c>
      <c r="Z11" s="65">
        <f t="shared" si="61"/>
        <v>3199.9999999996476</v>
      </c>
      <c r="AA11" s="58">
        <v>481.93</v>
      </c>
      <c r="AB11" s="65">
        <f t="shared" si="62"/>
        <v>329.99999999998408</v>
      </c>
      <c r="AC11" s="58">
        <v>467.67</v>
      </c>
      <c r="AD11" s="65">
        <f t="shared" si="63"/>
        <v>550.00000000001137</v>
      </c>
      <c r="AE11" s="58">
        <v>676.68</v>
      </c>
      <c r="AF11" s="65">
        <f t="shared" si="64"/>
        <v>929.99999999994998</v>
      </c>
      <c r="AG11" s="58">
        <v>14118</v>
      </c>
      <c r="AH11" s="67">
        <f t="shared" si="65"/>
        <v>43</v>
      </c>
      <c r="AI11" s="58">
        <v>790.5</v>
      </c>
      <c r="AJ11" s="65">
        <f t="shared" si="66"/>
        <v>889.99999999998636</v>
      </c>
      <c r="AK11" s="58">
        <v>263.76</v>
      </c>
      <c r="AL11" s="65">
        <f t="shared" si="67"/>
        <v>370.00000000000455</v>
      </c>
      <c r="AM11" s="58">
        <v>247.63</v>
      </c>
      <c r="AN11" s="65">
        <f t="shared" si="68"/>
        <v>229.99999999998977</v>
      </c>
      <c r="AO11" s="58">
        <v>238.64</v>
      </c>
      <c r="AP11" s="65">
        <f t="shared" si="69"/>
        <v>250</v>
      </c>
      <c r="AQ11" s="58">
        <v>295.45999999999998</v>
      </c>
      <c r="AR11" s="65">
        <f t="shared" si="70"/>
        <v>299.99999999995453</v>
      </c>
      <c r="AS11" s="58">
        <v>422.27</v>
      </c>
      <c r="AT11" s="65">
        <f t="shared" si="71"/>
        <v>349.99999999996589</v>
      </c>
      <c r="AU11" s="58">
        <v>327.12</v>
      </c>
      <c r="AV11" s="65">
        <f t="shared" si="72"/>
        <v>250</v>
      </c>
      <c r="AW11" s="58">
        <v>359.66</v>
      </c>
      <c r="AX11" s="65">
        <f t="shared" si="73"/>
        <v>250</v>
      </c>
      <c r="AY11" s="58">
        <v>394.42</v>
      </c>
      <c r="AZ11" s="65">
        <f t="shared" si="74"/>
        <v>270.00000000003865</v>
      </c>
      <c r="BA11" s="58">
        <v>413.92</v>
      </c>
      <c r="BB11" s="65">
        <f t="shared" si="75"/>
        <v>400.00000000003411</v>
      </c>
      <c r="BC11" s="58">
        <v>264.70999999999998</v>
      </c>
      <c r="BD11" s="65">
        <f t="shared" si="76"/>
        <v>89.999999999974989</v>
      </c>
      <c r="BE11" s="59">
        <v>48851</v>
      </c>
      <c r="BF11" s="67">
        <f t="shared" si="77"/>
        <v>35</v>
      </c>
      <c r="BG11" s="60">
        <v>244.94</v>
      </c>
      <c r="BH11" s="65">
        <f t="shared" si="78"/>
        <v>50.000000000011369</v>
      </c>
      <c r="BI11" s="60">
        <v>300.49</v>
      </c>
      <c r="BJ11" s="65">
        <f t="shared" si="79"/>
        <v>40.000000000020464</v>
      </c>
      <c r="BK11" s="60">
        <v>247.52</v>
      </c>
      <c r="BL11" s="65">
        <f t="shared" si="80"/>
        <v>60.000000000002274</v>
      </c>
      <c r="BM11" s="60">
        <v>234.6</v>
      </c>
      <c r="BN11" s="65">
        <f t="shared" si="81"/>
        <v>49.999999999982947</v>
      </c>
      <c r="BO11" s="60">
        <v>300.87</v>
      </c>
      <c r="BP11" s="65">
        <f t="shared" si="82"/>
        <v>69.999999999993179</v>
      </c>
      <c r="BQ11" s="60">
        <v>53258</v>
      </c>
      <c r="BR11" s="65">
        <f t="shared" si="83"/>
        <v>45</v>
      </c>
      <c r="BS11" s="60">
        <v>211.64</v>
      </c>
      <c r="BT11" s="65">
        <f t="shared" si="84"/>
        <v>49.999999999982947</v>
      </c>
      <c r="BU11" s="60">
        <v>50406</v>
      </c>
      <c r="BV11" s="65">
        <f t="shared" si="85"/>
        <v>57</v>
      </c>
      <c r="BW11" s="60">
        <v>239.85</v>
      </c>
      <c r="BX11" s="65">
        <f t="shared" si="86"/>
        <v>60.000000000002274</v>
      </c>
      <c r="BY11" s="60">
        <v>70122</v>
      </c>
      <c r="BZ11" s="67">
        <f t="shared" si="87"/>
        <v>56</v>
      </c>
      <c r="CA11" s="60">
        <v>44182.7</v>
      </c>
      <c r="CB11" s="67">
        <f t="shared" si="88"/>
        <v>48.899999999994179</v>
      </c>
      <c r="CC11" s="60">
        <v>14621.6</v>
      </c>
      <c r="CD11" s="67">
        <f t="shared" si="89"/>
        <v>11.399999999999636</v>
      </c>
      <c r="CE11" s="60">
        <v>7717.5</v>
      </c>
      <c r="CF11" s="67">
        <f t="shared" si="90"/>
        <v>3.5</v>
      </c>
      <c r="CG11" s="60">
        <v>70686.8</v>
      </c>
      <c r="CH11" s="67">
        <f t="shared" si="91"/>
        <v>47.19999999999709</v>
      </c>
      <c r="CI11" s="60">
        <v>1022011</v>
      </c>
      <c r="CJ11" s="67">
        <f t="shared" si="92"/>
        <v>336</v>
      </c>
      <c r="CK11" s="60">
        <v>927.84</v>
      </c>
      <c r="CL11" s="64">
        <f t="shared" si="93"/>
        <v>810.00000000005912</v>
      </c>
      <c r="CM11" s="65">
        <f t="shared" si="94"/>
        <v>120</v>
      </c>
      <c r="CN11" s="62">
        <v>31</v>
      </c>
      <c r="CO11" s="62">
        <v>75</v>
      </c>
      <c r="CP11" s="68">
        <v>23888</v>
      </c>
      <c r="CQ11" s="67">
        <f t="shared" si="95"/>
        <v>94</v>
      </c>
      <c r="CR11" s="68">
        <v>19729</v>
      </c>
      <c r="CS11" s="67">
        <f t="shared" si="96"/>
        <v>26</v>
      </c>
      <c r="CT11" s="75">
        <v>9091</v>
      </c>
      <c r="CU11" s="67">
        <f t="shared" si="97"/>
        <v>9</v>
      </c>
      <c r="CV11" s="68">
        <v>22589</v>
      </c>
      <c r="CW11" s="67">
        <f t="shared" si="98"/>
        <v>23</v>
      </c>
      <c r="CX11" s="58">
        <v>2085.1</v>
      </c>
      <c r="CY11" s="67">
        <f t="shared" si="99"/>
        <v>13.5</v>
      </c>
    </row>
    <row r="12" spans="1:103" ht="25.5" customHeight="1" thickBot="1" x14ac:dyDescent="0.45">
      <c r="A12" s="63">
        <v>44629</v>
      </c>
      <c r="B12" s="44"/>
      <c r="C12" s="58">
        <v>2.9638</v>
      </c>
      <c r="D12" s="64">
        <f t="shared" si="50"/>
        <v>3899.9999999997926</v>
      </c>
      <c r="E12" s="58">
        <v>4.0490000000000004</v>
      </c>
      <c r="F12" s="64">
        <f t="shared" si="51"/>
        <v>3500.0000000007249</v>
      </c>
      <c r="G12" s="58">
        <v>4.0225</v>
      </c>
      <c r="H12" s="64">
        <f t="shared" si="52"/>
        <v>3400.0000000000696</v>
      </c>
      <c r="I12" s="58">
        <v>2.0127000000000002</v>
      </c>
      <c r="J12" s="64">
        <f t="shared" si="53"/>
        <v>1900.0000000000127</v>
      </c>
      <c r="K12" s="58">
        <v>3.1684000000000001</v>
      </c>
      <c r="L12" s="64">
        <f t="shared" si="54"/>
        <v>2600.0000000001578</v>
      </c>
      <c r="M12" s="58">
        <v>1.7790999999999999</v>
      </c>
      <c r="N12" s="64">
        <f t="shared" si="55"/>
        <v>2000.0000000000018</v>
      </c>
      <c r="O12" s="58">
        <v>18195</v>
      </c>
      <c r="P12" s="67">
        <f t="shared" si="56"/>
        <v>62</v>
      </c>
      <c r="Q12" s="58">
        <v>2115</v>
      </c>
      <c r="R12" s="67">
        <f t="shared" si="57"/>
        <v>6</v>
      </c>
      <c r="S12" s="58">
        <v>1248.3</v>
      </c>
      <c r="T12" s="67">
        <f t="shared" si="58"/>
        <v>1.3999999999998636</v>
      </c>
      <c r="U12" s="58">
        <v>513925.5</v>
      </c>
      <c r="V12" s="67">
        <f t="shared" si="59"/>
        <v>508.70000000001164</v>
      </c>
      <c r="W12" s="58">
        <v>480.17</v>
      </c>
      <c r="X12" s="65">
        <f t="shared" si="60"/>
        <v>400.00000000003411</v>
      </c>
      <c r="Y12" s="58">
        <v>3.5573999999999999</v>
      </c>
      <c r="Z12" s="65">
        <f t="shared" si="61"/>
        <v>3200.0000000000919</v>
      </c>
      <c r="AA12" s="58">
        <v>482.37</v>
      </c>
      <c r="AB12" s="65">
        <f t="shared" si="62"/>
        <v>439.99999999999773</v>
      </c>
      <c r="AC12" s="58">
        <v>468.16</v>
      </c>
      <c r="AD12" s="65">
        <f t="shared" si="63"/>
        <v>490.00000000000909</v>
      </c>
      <c r="AE12" s="58">
        <v>677.58</v>
      </c>
      <c r="AF12" s="65">
        <f t="shared" si="64"/>
        <v>900.00000000009095</v>
      </c>
      <c r="AG12" s="58">
        <v>14160</v>
      </c>
      <c r="AH12" s="67">
        <f t="shared" si="65"/>
        <v>42</v>
      </c>
      <c r="AI12" s="58">
        <v>791.29</v>
      </c>
      <c r="AJ12" s="65">
        <f t="shared" si="66"/>
        <v>789.99999999996362</v>
      </c>
      <c r="AK12" s="58">
        <v>264.10000000000002</v>
      </c>
      <c r="AL12" s="65">
        <f t="shared" si="67"/>
        <v>340.00000000003183</v>
      </c>
      <c r="AM12" s="58">
        <v>247.89</v>
      </c>
      <c r="AN12" s="65">
        <f t="shared" si="68"/>
        <v>259.99999999999091</v>
      </c>
      <c r="AO12" s="58">
        <v>238.93</v>
      </c>
      <c r="AP12" s="65">
        <f t="shared" si="69"/>
        <v>290.00000000002046</v>
      </c>
      <c r="AQ12" s="58">
        <v>295.73</v>
      </c>
      <c r="AR12" s="65">
        <f t="shared" si="70"/>
        <v>270.00000000003865</v>
      </c>
      <c r="AS12" s="58">
        <v>422.5</v>
      </c>
      <c r="AT12" s="65">
        <f t="shared" si="71"/>
        <v>230.00000000001819</v>
      </c>
      <c r="AU12" s="58">
        <v>327.38</v>
      </c>
      <c r="AV12" s="65">
        <f t="shared" si="72"/>
        <v>259.99999999999091</v>
      </c>
      <c r="AW12" s="58">
        <v>359.89</v>
      </c>
      <c r="AX12" s="65">
        <f t="shared" si="73"/>
        <v>229.99999999996135</v>
      </c>
      <c r="AY12" s="58">
        <v>394.68</v>
      </c>
      <c r="AZ12" s="65">
        <f t="shared" si="74"/>
        <v>259.99999999999091</v>
      </c>
      <c r="BA12" s="58">
        <v>414.32</v>
      </c>
      <c r="BB12" s="65">
        <f t="shared" si="75"/>
        <v>399.99999999997726</v>
      </c>
      <c r="BC12" s="58">
        <v>264.83999999999997</v>
      </c>
      <c r="BD12" s="65">
        <f t="shared" si="76"/>
        <v>129.99999999999545</v>
      </c>
      <c r="BE12" s="59">
        <v>48880</v>
      </c>
      <c r="BF12" s="67">
        <f t="shared" si="77"/>
        <v>29</v>
      </c>
      <c r="BG12" s="60">
        <v>245</v>
      </c>
      <c r="BH12" s="65">
        <f t="shared" si="78"/>
        <v>60.000000000002274</v>
      </c>
      <c r="BI12" s="60">
        <v>300.52999999999997</v>
      </c>
      <c r="BJ12" s="65">
        <f t="shared" si="79"/>
        <v>39.99999999996362</v>
      </c>
      <c r="BK12" s="60">
        <v>247.58</v>
      </c>
      <c r="BL12" s="65">
        <f t="shared" si="80"/>
        <v>60.000000000002274</v>
      </c>
      <c r="BM12" s="60">
        <v>234.65</v>
      </c>
      <c r="BN12" s="65">
        <f t="shared" si="81"/>
        <v>50.000000000011369</v>
      </c>
      <c r="BO12" s="60">
        <v>300.95999999999998</v>
      </c>
      <c r="BP12" s="65">
        <f t="shared" si="82"/>
        <v>89.999999999974989</v>
      </c>
      <c r="BQ12" s="60">
        <v>53298</v>
      </c>
      <c r="BR12" s="65">
        <f t="shared" si="83"/>
        <v>40</v>
      </c>
      <c r="BS12" s="60">
        <v>211.7</v>
      </c>
      <c r="BT12" s="65">
        <f t="shared" si="84"/>
        <v>60.000000000002274</v>
      </c>
      <c r="BU12" s="60">
        <v>50460</v>
      </c>
      <c r="BV12" s="65">
        <f t="shared" si="85"/>
        <v>54</v>
      </c>
      <c r="BW12" s="60">
        <v>239.9</v>
      </c>
      <c r="BX12" s="65">
        <f t="shared" si="86"/>
        <v>50.000000000011369</v>
      </c>
      <c r="BY12" s="60">
        <v>70178</v>
      </c>
      <c r="BZ12" s="67">
        <f t="shared" si="87"/>
        <v>56</v>
      </c>
      <c r="CA12" s="60">
        <v>44233.3</v>
      </c>
      <c r="CB12" s="67">
        <f t="shared" si="88"/>
        <v>50.600000000005821</v>
      </c>
      <c r="CC12" s="60">
        <v>14633.4</v>
      </c>
      <c r="CD12" s="67">
        <f t="shared" si="89"/>
        <v>11.799999999999272</v>
      </c>
      <c r="CE12" s="60">
        <v>7724.5</v>
      </c>
      <c r="CF12" s="67">
        <f t="shared" si="90"/>
        <v>7</v>
      </c>
      <c r="CG12" s="60">
        <v>70733.899999999994</v>
      </c>
      <c r="CH12" s="67">
        <f t="shared" si="91"/>
        <v>47.099999999991269</v>
      </c>
      <c r="CI12" s="60">
        <v>1022361</v>
      </c>
      <c r="CJ12" s="67">
        <f t="shared" si="92"/>
        <v>350</v>
      </c>
      <c r="CK12" s="60">
        <v>928.65</v>
      </c>
      <c r="CL12" s="64">
        <f t="shared" si="93"/>
        <v>809.99999999994543</v>
      </c>
      <c r="CM12" s="65">
        <f t="shared" si="94"/>
        <v>125</v>
      </c>
      <c r="CN12" s="62">
        <v>31</v>
      </c>
      <c r="CO12" s="62">
        <v>78</v>
      </c>
      <c r="CP12" s="68">
        <v>23991</v>
      </c>
      <c r="CQ12" s="67">
        <f t="shared" si="95"/>
        <v>103</v>
      </c>
      <c r="CR12" s="68">
        <v>19751</v>
      </c>
      <c r="CS12" s="67">
        <f t="shared" si="96"/>
        <v>22</v>
      </c>
      <c r="CT12" s="75">
        <v>9103</v>
      </c>
      <c r="CU12" s="67">
        <f t="shared" si="97"/>
        <v>12</v>
      </c>
      <c r="CV12" s="68">
        <v>22616</v>
      </c>
      <c r="CW12" s="67">
        <f t="shared" si="98"/>
        <v>27</v>
      </c>
      <c r="CX12" s="58">
        <v>2097.1</v>
      </c>
      <c r="CY12" s="67">
        <f t="shared" si="99"/>
        <v>12</v>
      </c>
    </row>
    <row r="13" spans="1:103" ht="25.5" customHeight="1" thickBot="1" x14ac:dyDescent="0.45">
      <c r="A13" s="63">
        <v>44630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str">
        <f t="shared" si="58"/>
        <v/>
      </c>
      <c r="U13" s="58"/>
      <c r="V13" s="67" t="str">
        <f t="shared" si="59"/>
        <v/>
      </c>
      <c r="W13" s="58"/>
      <c r="X13" s="65" t="str">
        <f t="shared" si="60"/>
        <v/>
      </c>
      <c r="Y13" s="58"/>
      <c r="Z13" s="65" t="str">
        <f t="shared" si="61"/>
        <v/>
      </c>
      <c r="AA13" s="58"/>
      <c r="AB13" s="65" t="str">
        <f t="shared" si="62"/>
        <v/>
      </c>
      <c r="AC13" s="58"/>
      <c r="AD13" s="65" t="str">
        <f t="shared" si="63"/>
        <v/>
      </c>
      <c r="AE13" s="58"/>
      <c r="AF13" s="65" t="str">
        <f t="shared" si="64"/>
        <v/>
      </c>
      <c r="AG13" s="58"/>
      <c r="AH13" s="67" t="str">
        <f t="shared" si="65"/>
        <v/>
      </c>
      <c r="AI13" s="58"/>
      <c r="AJ13" s="65" t="str">
        <f t="shared" si="66"/>
        <v/>
      </c>
      <c r="AK13" s="58"/>
      <c r="AL13" s="65" t="str">
        <f t="shared" si="67"/>
        <v/>
      </c>
      <c r="AM13" s="58"/>
      <c r="AN13" s="65" t="str">
        <f t="shared" si="68"/>
        <v/>
      </c>
      <c r="AO13" s="58"/>
      <c r="AP13" s="65" t="str">
        <f t="shared" si="69"/>
        <v/>
      </c>
      <c r="AQ13" s="58"/>
      <c r="AR13" s="65" t="str">
        <f t="shared" si="70"/>
        <v/>
      </c>
      <c r="AS13" s="58"/>
      <c r="AT13" s="65" t="str">
        <f t="shared" si="71"/>
        <v/>
      </c>
      <c r="AU13" s="58"/>
      <c r="AV13" s="65" t="str">
        <f t="shared" si="72"/>
        <v/>
      </c>
      <c r="AW13" s="58"/>
      <c r="AX13" s="65" t="str">
        <f t="shared" si="73"/>
        <v/>
      </c>
      <c r="AY13" s="58"/>
      <c r="AZ13" s="65" t="str">
        <f t="shared" si="74"/>
        <v/>
      </c>
      <c r="BA13" s="58"/>
      <c r="BB13" s="65" t="str">
        <f t="shared" si="75"/>
        <v/>
      </c>
      <c r="BC13" s="58"/>
      <c r="BD13" s="65" t="str">
        <f t="shared" si="76"/>
        <v/>
      </c>
      <c r="BE13" s="59"/>
      <c r="BF13" s="67" t="str">
        <f t="shared" si="77"/>
        <v/>
      </c>
      <c r="BG13" s="60"/>
      <c r="BH13" s="65" t="str">
        <f t="shared" si="78"/>
        <v/>
      </c>
      <c r="BI13" s="60"/>
      <c r="BJ13" s="65" t="str">
        <f t="shared" si="79"/>
        <v/>
      </c>
      <c r="BK13" s="60"/>
      <c r="BL13" s="65" t="str">
        <f t="shared" si="80"/>
        <v/>
      </c>
      <c r="BM13" s="60"/>
      <c r="BN13" s="65" t="str">
        <f t="shared" si="81"/>
        <v/>
      </c>
      <c r="BO13" s="60"/>
      <c r="BP13" s="65" t="str">
        <f t="shared" si="82"/>
        <v/>
      </c>
      <c r="BQ13" s="60"/>
      <c r="BR13" s="65" t="str">
        <f t="shared" si="83"/>
        <v/>
      </c>
      <c r="BS13" s="60"/>
      <c r="BT13" s="65" t="str">
        <f t="shared" si="84"/>
        <v/>
      </c>
      <c r="BU13" s="60"/>
      <c r="BV13" s="65" t="str">
        <f t="shared" si="85"/>
        <v/>
      </c>
      <c r="BW13" s="60"/>
      <c r="BX13" s="65" t="str">
        <f t="shared" si="86"/>
        <v/>
      </c>
      <c r="BY13" s="60"/>
      <c r="BZ13" s="67" t="str">
        <f t="shared" si="87"/>
        <v/>
      </c>
      <c r="CA13" s="60"/>
      <c r="CB13" s="67" t="str">
        <f t="shared" si="88"/>
        <v/>
      </c>
      <c r="CC13" s="60"/>
      <c r="CD13" s="67" t="str">
        <f t="shared" si="89"/>
        <v/>
      </c>
      <c r="CE13" s="60"/>
      <c r="CF13" s="67" t="str">
        <f t="shared" si="90"/>
        <v/>
      </c>
      <c r="CG13" s="60"/>
      <c r="CH13" s="67" t="str">
        <f t="shared" si="91"/>
        <v/>
      </c>
      <c r="CI13" s="60"/>
      <c r="CJ13" s="67" t="str">
        <f t="shared" si="92"/>
        <v/>
      </c>
      <c r="CK13" s="60"/>
      <c r="CL13" s="64" t="str">
        <f t="shared" si="93"/>
        <v/>
      </c>
      <c r="CM13" s="65" t="e">
        <f t="shared" si="94"/>
        <v>#VALUE!</v>
      </c>
      <c r="CN13" s="62"/>
      <c r="CO13" s="62"/>
      <c r="CP13" s="68"/>
      <c r="CQ13" s="67" t="str">
        <f t="shared" si="95"/>
        <v/>
      </c>
      <c r="CR13" s="68"/>
      <c r="CS13" s="67" t="str">
        <f t="shared" si="96"/>
        <v/>
      </c>
      <c r="CT13" s="75"/>
      <c r="CU13" s="67" t="str">
        <f t="shared" si="97"/>
        <v/>
      </c>
      <c r="CV13" s="68"/>
      <c r="CW13" s="67" t="str">
        <f t="shared" si="98"/>
        <v/>
      </c>
      <c r="CX13" s="58"/>
      <c r="CY13" s="67" t="str">
        <f t="shared" si="99"/>
        <v/>
      </c>
    </row>
    <row r="14" spans="1:103" ht="25.5" customHeight="1" thickBot="1" x14ac:dyDescent="0.45">
      <c r="A14" s="63">
        <v>44631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44632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44633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44634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44635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44636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44637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44638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44639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44640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44641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44642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>
        <v>0</v>
      </c>
      <c r="C14" s="40">
        <v>31</v>
      </c>
      <c r="D14" s="40">
        <v>77</v>
      </c>
      <c r="E14" s="41">
        <v>85</v>
      </c>
      <c r="F14" s="41">
        <v>6635</v>
      </c>
      <c r="G14" s="41">
        <v>0</v>
      </c>
      <c r="H14" s="41">
        <v>2097</v>
      </c>
      <c r="I14" s="41">
        <v>35</v>
      </c>
      <c r="J14" s="41">
        <v>541</v>
      </c>
      <c r="K14" s="42">
        <v>85</v>
      </c>
      <c r="L14" s="42">
        <v>61</v>
      </c>
      <c r="M14" s="42">
        <v>1614</v>
      </c>
      <c r="N14" s="39">
        <v>85</v>
      </c>
      <c r="O14" s="39">
        <v>45</v>
      </c>
      <c r="P14" s="39">
        <v>83</v>
      </c>
      <c r="Q14" s="39">
        <v>4737</v>
      </c>
      <c r="R14" s="77">
        <v>81</v>
      </c>
      <c r="S14" s="77">
        <v>220</v>
      </c>
      <c r="T14">
        <f t="shared" si="1"/>
        <v>0</v>
      </c>
    </row>
    <row r="15" spans="1:20" x14ac:dyDescent="0.25">
      <c r="A15" s="73">
        <v>44628</v>
      </c>
      <c r="B15" s="40">
        <v>0</v>
      </c>
      <c r="C15" s="40">
        <v>31</v>
      </c>
      <c r="D15" s="40">
        <v>75</v>
      </c>
      <c r="E15" s="41">
        <v>85</v>
      </c>
      <c r="F15" s="41">
        <v>6640</v>
      </c>
      <c r="G15" s="41">
        <v>0</v>
      </c>
      <c r="H15" s="41">
        <v>2099</v>
      </c>
      <c r="I15" s="41">
        <v>24</v>
      </c>
      <c r="J15" s="41">
        <v>541</v>
      </c>
      <c r="K15" s="42">
        <v>85</v>
      </c>
      <c r="L15" s="42">
        <v>61</v>
      </c>
      <c r="M15" s="42">
        <v>1614</v>
      </c>
      <c r="N15" s="39">
        <v>85</v>
      </c>
      <c r="O15" s="39">
        <v>40</v>
      </c>
      <c r="P15" s="39">
        <v>83</v>
      </c>
      <c r="Q15" s="39">
        <v>4741</v>
      </c>
      <c r="R15" s="77">
        <v>81</v>
      </c>
      <c r="S15" s="77">
        <v>220</v>
      </c>
      <c r="T15">
        <f t="shared" si="1"/>
        <v>0</v>
      </c>
    </row>
    <row r="16" spans="1:20" x14ac:dyDescent="0.25">
      <c r="A16" s="73">
        <v>44629</v>
      </c>
      <c r="B16" s="40">
        <v>0</v>
      </c>
      <c r="C16" s="40">
        <v>31</v>
      </c>
      <c r="D16" s="40">
        <v>78</v>
      </c>
      <c r="E16" s="41">
        <v>85</v>
      </c>
      <c r="F16" s="41">
        <v>6646</v>
      </c>
      <c r="G16" s="41">
        <v>0</v>
      </c>
      <c r="H16" s="41">
        <v>2101</v>
      </c>
      <c r="I16" s="41">
        <v>16</v>
      </c>
      <c r="J16" s="41">
        <v>541</v>
      </c>
      <c r="K16" s="42">
        <v>85</v>
      </c>
      <c r="L16" s="42">
        <v>60</v>
      </c>
      <c r="M16" s="42">
        <v>1615</v>
      </c>
      <c r="N16" s="39">
        <v>85</v>
      </c>
      <c r="O16" s="39">
        <v>35</v>
      </c>
      <c r="P16" s="39">
        <v>83</v>
      </c>
      <c r="Q16" s="39">
        <v>4743</v>
      </c>
      <c r="R16" s="77">
        <v>81</v>
      </c>
      <c r="S16" s="77">
        <v>220</v>
      </c>
      <c r="T16">
        <f t="shared" si="1"/>
        <v>0</v>
      </c>
    </row>
    <row r="17" spans="1:20" x14ac:dyDescent="0.25">
      <c r="A17" s="73">
        <v>44630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-220</v>
      </c>
    </row>
    <row r="18" spans="1:20" x14ac:dyDescent="0.25">
      <c r="A18" s="73">
        <v>44631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44632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44633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44634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44635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44636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44637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44638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44639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44640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44641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2022-03-10T18:13:55Z</dcterms:modified>
</cp:coreProperties>
</file>