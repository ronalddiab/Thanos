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<sst xmlns="http://schemas.openxmlformats.org/spreadsheetml/2006/main" count="108" uniqueCount="33">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</sst>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I10" sqref="I10:I2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8</v>
      </c>
      <c r="D2" s="9">
        <v>2021</v>
      </c>
      <c r="E2" s="20">
        <f>Submetering!E3</f>
        <v>8371.91</v>
      </c>
      <c r="F2" s="16">
        <v>0.12</v>
      </c>
      <c r="G2" s="20">
        <f>Submetering!F3+Submetering!G3</f>
        <v>220.99</v>
      </c>
      <c r="H2" s="16">
        <v>0.71</v>
      </c>
      <c r="I2" s="20">
        <f>Submetering!J3+Submetering!I3+Submetering!H3</f>
        <v>75.72</v>
      </c>
      <c r="J2" s="16">
        <v>2.3196172978505634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8</v>
      </c>
      <c r="D3" s="9">
        <v>2021</v>
      </c>
      <c r="E3" s="20">
        <f>Submetering!E4</f>
        <v>8512.2000000000007</v>
      </c>
      <c r="F3" s="16">
        <v>0.12</v>
      </c>
      <c r="G3" s="20">
        <f>Submetering!F4+Submetering!G4</f>
        <v>223.82</v>
      </c>
      <c r="H3" s="16">
        <v>0.71</v>
      </c>
      <c r="I3" s="20">
        <f>Submetering!J4+Submetering!I4+Submetering!H4</f>
        <v>100.99</v>
      </c>
      <c r="J3" s="16">
        <v>2.3196172978505634</v>
      </c>
      <c r="K3" s="20">
        <f>Submetering!K3</f>
        <v>103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8</v>
      </c>
      <c r="D4" s="9">
        <v>2021</v>
      </c>
      <c r="E4" s="20">
        <f>Submetering!E5</f>
        <v>8168.55</v>
      </c>
      <c r="F4" s="16">
        <v>0.12</v>
      </c>
      <c r="G4" s="20">
        <f>Submetering!F5+Submetering!G5</f>
        <v>211.86999999999998</v>
      </c>
      <c r="H4" s="16">
        <v>0.71</v>
      </c>
      <c r="I4" s="20">
        <f>Submetering!J5+Submetering!I5+Submetering!H5</f>
        <v>85.63</v>
      </c>
      <c r="J4" s="16">
        <v>2.3196172978505634</v>
      </c>
      <c r="K4" s="20">
        <f>Submetering!K4</f>
        <v>95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8</v>
      </c>
      <c r="D5" s="9">
        <v>2021</v>
      </c>
      <c r="E5" s="20">
        <f>Submetering!E6</f>
        <v>8456.06</v>
      </c>
      <c r="F5" s="16">
        <v>0.12</v>
      </c>
      <c r="G5" s="20">
        <f>Submetering!F6+Submetering!G6</f>
        <v>193.32</v>
      </c>
      <c r="H5" s="16">
        <v>0.71</v>
      </c>
      <c r="I5" s="20">
        <f>Submetering!J6+Submetering!I6+Submetering!H6</f>
        <v>83.63</v>
      </c>
      <c r="J5" s="16">
        <v>2.3196172978505634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8</v>
      </c>
      <c r="D6" s="9">
        <v>2021</v>
      </c>
      <c r="E6" s="20">
        <f>Submetering!E7</f>
        <v>8733.5300000000007</v>
      </c>
      <c r="F6" s="16">
        <v>0.12</v>
      </c>
      <c r="G6" s="20">
        <f>Submetering!F7+Submetering!G7</f>
        <v>168.14999999999998</v>
      </c>
      <c r="H6" s="16">
        <v>0.71</v>
      </c>
      <c r="I6" s="20">
        <f>Submetering!J7+Submetering!I7+Submetering!H7</f>
        <v>85.74</v>
      </c>
      <c r="J6" s="16">
        <v>2.3196172978505634</v>
      </c>
      <c r="K6" s="20">
        <f>Submetering!K6</f>
        <v>90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8</v>
      </c>
      <c r="D7" s="9">
        <v>2021</v>
      </c>
      <c r="E7" s="20">
        <f>Submetering!E8</f>
        <v>8175.71</v>
      </c>
      <c r="F7" s="16">
        <v>0.12</v>
      </c>
      <c r="G7" s="20">
        <f>Submetering!F8+Submetering!G8</f>
        <v>119.79</v>
      </c>
      <c r="H7" s="16">
        <v>0.71</v>
      </c>
      <c r="I7" s="20">
        <f>Submetering!J8+Submetering!I8+Submetering!H8</f>
        <v>84.97</v>
      </c>
      <c r="J7" s="16">
        <v>2.3196172978505634</v>
      </c>
      <c r="K7" s="20">
        <f>Submetering!K7</f>
        <v>92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8</v>
      </c>
      <c r="D8" s="9">
        <v>2021</v>
      </c>
      <c r="E8" s="20">
        <f>Submetering!E9</f>
        <v>7985.21</v>
      </c>
      <c r="F8" s="16">
        <v>0.12</v>
      </c>
      <c r="G8" s="20">
        <f>Submetering!F9+Submetering!G9</f>
        <v>121.74</v>
      </c>
      <c r="H8" s="16">
        <v>0.71</v>
      </c>
      <c r="I8" s="20">
        <f>Submetering!J9+Submetering!I9+Submetering!H9</f>
        <v>79.3</v>
      </c>
      <c r="J8" s="16">
        <v>2.3196172978505634</v>
      </c>
      <c r="K8" s="20">
        <f>Submetering!K8</f>
        <v>92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8</v>
      </c>
      <c r="D9" s="9">
        <v>2021</v>
      </c>
      <c r="E9" s="20">
        <f>Submetering!E9</f>
        <v>7985.21</v>
      </c>
      <c r="F9" s="16">
        <v>0.12</v>
      </c>
      <c r="G9" s="20">
        <f>Submetering!F10+Submetering!G10</f>
        <v>126.32</v>
      </c>
      <c r="H9" s="16">
        <v>0.71</v>
      </c>
      <c r="I9" s="20">
        <f>Submetering!J10+Submetering!I10+Submetering!H10</f>
        <v>76.44</v>
      </c>
      <c r="J9" s="16">
        <v>2.3196172978505634</v>
      </c>
      <c r="K9" s="20">
        <f>Submetering!K9</f>
        <v>85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8</v>
      </c>
      <c r="D10" s="9">
        <v>2021</v>
      </c>
      <c r="E10" s="20">
        <f>Submetering!E10</f>
        <v>8070.6</v>
      </c>
      <c r="F10" s="16">
        <v>0.12</v>
      </c>
      <c r="G10" s="20">
        <f>Submetering!F11+Submetering!G11</f>
        <v>180.04</v>
      </c>
      <c r="H10" s="16">
        <v>0.71</v>
      </c>
      <c r="I10" s="20">
        <f>Submetering!J10+Submetering!I10+Submetering!H10</f>
        <v>76.44</v>
      </c>
      <c r="J10" s="16">
        <v>2.3196172978505634</v>
      </c>
      <c r="K10" s="20">
        <f>Submetering!K10</f>
        <v>106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8</v>
      </c>
      <c r="D11" s="9">
        <v>2021</v>
      </c>
      <c r="E11" s="20">
        <f>Submetering!E11</f>
        <v>8743.09</v>
      </c>
      <c r="F11" s="16">
        <v>0.12</v>
      </c>
      <c r="G11" s="20">
        <f>Submetering!F11+Submetering!G11</f>
        <v>180.04</v>
      </c>
      <c r="H11" s="16">
        <v>0.71</v>
      </c>
      <c r="I11" s="20">
        <f>Submetering!J11+Submetering!I11+Submetering!H11</f>
        <v>91.029999999999987</v>
      </c>
      <c r="J11" s="16">
        <v>2.3196172978505634</v>
      </c>
      <c r="K11" s="20">
        <f>Submetering!K11</f>
        <v>103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8</v>
      </c>
      <c r="D12" s="9">
        <v>2021</v>
      </c>
      <c r="E12" s="20">
        <f>Submetering!E12</f>
        <v>8967.23</v>
      </c>
      <c r="F12" s="16">
        <v>0.12</v>
      </c>
      <c r="G12" s="20">
        <f>Submetering!F12+Submetering!G12</f>
        <v>151.63</v>
      </c>
      <c r="H12" s="16">
        <v>0.71</v>
      </c>
      <c r="I12" s="20">
        <f>Submetering!J12+Submetering!I12+Submetering!H12</f>
        <v>92.62</v>
      </c>
      <c r="J12" s="16">
        <v>2.3196172978505634</v>
      </c>
      <c r="K12" s="20">
        <f>Submetering!K12</f>
        <v>107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8</v>
      </c>
      <c r="D13" s="9">
        <v>2021</v>
      </c>
      <c r="E13" s="20">
        <f>Submetering!E13</f>
        <v>9545.74</v>
      </c>
      <c r="F13" s="16">
        <v>0.12</v>
      </c>
      <c r="G13" s="20">
        <f>Submetering!F13+Submetering!G13</f>
        <v>154.44</v>
      </c>
      <c r="H13" s="16">
        <v>0.71</v>
      </c>
      <c r="I13" s="20">
        <f>Submetering!J13+Submetering!I13+Submetering!H13</f>
        <v>91.11</v>
      </c>
      <c r="J13" s="16">
        <v>2.3196172978505634</v>
      </c>
      <c r="K13" s="20">
        <f>Submetering!K13</f>
        <v>107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8</v>
      </c>
      <c r="D14" s="9">
        <v>2021</v>
      </c>
      <c r="E14" s="20">
        <f>Submetering!E14</f>
        <v>9696.7099999999991</v>
      </c>
      <c r="F14" s="16">
        <v>0.12</v>
      </c>
      <c r="G14" s="20">
        <f>Submetering!F14+Submetering!G14</f>
        <v>165.28</v>
      </c>
      <c r="H14" s="16">
        <v>0.71</v>
      </c>
      <c r="I14" s="20">
        <f>Submetering!J14+Submetering!I14+Submetering!H14</f>
        <v>94.67</v>
      </c>
      <c r="J14" s="16">
        <v>2.3196172978505634</v>
      </c>
      <c r="K14" s="20">
        <f>Submetering!K14</f>
        <v>107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8</v>
      </c>
      <c r="D15" s="9">
        <v>2021</v>
      </c>
      <c r="E15" s="20">
        <f>Submetering!E15</f>
        <v>10392.75</v>
      </c>
      <c r="F15" s="16">
        <v>0.12</v>
      </c>
      <c r="G15" s="20">
        <f>Submetering!F15+Submetering!G15</f>
        <v>162.44999999999999</v>
      </c>
      <c r="H15" s="16">
        <v>0.71</v>
      </c>
      <c r="I15" s="20">
        <f>Submetering!J15+Submetering!I15+Submetering!H15</f>
        <v>93.38</v>
      </c>
      <c r="J15" s="16">
        <v>2.3196172978505634</v>
      </c>
      <c r="K15" s="20">
        <f>Submetering!K15</f>
        <v>92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8</v>
      </c>
      <c r="D16" s="9">
        <v>2021</v>
      </c>
      <c r="E16" s="20">
        <f>Submetering!E16</f>
        <v>10171.280000000001</v>
      </c>
      <c r="F16" s="16">
        <v>0.12</v>
      </c>
      <c r="G16" s="20">
        <f>Submetering!F16+Submetering!G16</f>
        <v>154.79</v>
      </c>
      <c r="H16" s="16">
        <v>0.71</v>
      </c>
      <c r="I16" s="20">
        <f>Submetering!J16+Submetering!I16+Submetering!H16</f>
        <v>84.74</v>
      </c>
      <c r="J16" s="16">
        <v>2.3196172978505634</v>
      </c>
      <c r="K16" s="20">
        <f>Submetering!K16</f>
        <v>95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8</v>
      </c>
      <c r="D17" s="9">
        <v>2021</v>
      </c>
      <c r="E17" s="20">
        <f>Submetering!E17</f>
        <v>8982.41</v>
      </c>
      <c r="F17" s="16">
        <v>0.12</v>
      </c>
      <c r="G17" s="20">
        <f>Submetering!F17+Submetering!G17</f>
        <v>97.76</v>
      </c>
      <c r="H17" s="16">
        <v>0.71</v>
      </c>
      <c r="I17" s="20">
        <f>Submetering!J17+Submetering!I17+Submetering!H17</f>
        <v>114.38</v>
      </c>
      <c r="J17" s="16">
        <v>2.3196172978505634</v>
      </c>
      <c r="K17" s="20">
        <f>Submetering!K17</f>
        <v>97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8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97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8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8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8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8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8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8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8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8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8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8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8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8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8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8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C12" activePane="bottomRight" state="frozen"/>
      <selection pane="topRight" activeCell="C1" sqref="C1"/>
      <selection pane="bottomLeft" activeCell="A2" sqref="A2"/>
      <selection pane="bottomRight" activeCell="K12" sqref="K12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8</v>
      </c>
      <c r="D2" s="6">
        <v>2021</v>
      </c>
      <c r="E2" s="32">
        <v>8053.01</v>
      </c>
      <c r="F2" s="20">
        <v>145.74</v>
      </c>
      <c r="G2" s="20">
        <v>11.27</v>
      </c>
      <c r="H2" s="32">
        <v>3.03</v>
      </c>
      <c r="I2" s="32">
        <v>33</v>
      </c>
      <c r="J2" s="32">
        <v>46.5</v>
      </c>
      <c r="K2" s="6">
        <v>100</v>
      </c>
    </row>
    <row r="3" spans="1:12" x14ac:dyDescent="0.25">
      <c r="A3" s="17" t="s">
        <v>32</v>
      </c>
      <c r="B3" s="6">
        <f>B2+1</f>
        <v>2</v>
      </c>
      <c r="C3" s="6">
        <f>C2</f>
        <v>8</v>
      </c>
      <c r="D3" s="6">
        <v>2021</v>
      </c>
      <c r="E3" s="32">
        <v>8371.91</v>
      </c>
      <c r="F3" s="20">
        <v>199.06</v>
      </c>
      <c r="G3" s="20">
        <v>21.93</v>
      </c>
      <c r="H3" s="32">
        <v>7.22</v>
      </c>
      <c r="I3" s="32">
        <v>37</v>
      </c>
      <c r="J3" s="32">
        <v>31.5</v>
      </c>
      <c r="K3" s="6">
        <v>103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8</v>
      </c>
      <c r="D4" s="6">
        <v>2021</v>
      </c>
      <c r="E4" s="32">
        <v>8512.2000000000007</v>
      </c>
      <c r="F4" s="20">
        <v>202.39</v>
      </c>
      <c r="G4" s="20">
        <v>21.43</v>
      </c>
      <c r="H4" s="32">
        <v>5.99</v>
      </c>
      <c r="I4" s="32">
        <v>34</v>
      </c>
      <c r="J4" s="32">
        <v>61</v>
      </c>
      <c r="K4" s="6">
        <v>95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8</v>
      </c>
      <c r="D5" s="6">
        <v>2021</v>
      </c>
      <c r="E5" s="32">
        <v>8168.55</v>
      </c>
      <c r="F5" s="20">
        <v>188.42</v>
      </c>
      <c r="G5" s="20">
        <v>23.45</v>
      </c>
      <c r="H5" s="32">
        <v>4.13</v>
      </c>
      <c r="I5" s="32">
        <v>35</v>
      </c>
      <c r="J5" s="32">
        <v>46.5</v>
      </c>
      <c r="K5" s="6">
        <v>97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8</v>
      </c>
      <c r="D6" s="6">
        <v>2021</v>
      </c>
      <c r="E6" s="32">
        <v>8456.06</v>
      </c>
      <c r="F6" s="20">
        <v>172.14</v>
      </c>
      <c r="G6" s="20">
        <v>21.18</v>
      </c>
      <c r="H6" s="32">
        <v>3.63</v>
      </c>
      <c r="I6" s="32">
        <v>34</v>
      </c>
      <c r="J6" s="32">
        <v>46</v>
      </c>
      <c r="K6" s="6">
        <v>90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8</v>
      </c>
      <c r="D7" s="6">
        <v>2021</v>
      </c>
      <c r="E7" s="32">
        <v>8733.5300000000007</v>
      </c>
      <c r="F7" s="20">
        <v>147.22999999999999</v>
      </c>
      <c r="G7" s="20">
        <v>20.92</v>
      </c>
      <c r="H7" s="32">
        <v>2.2400000000000002</v>
      </c>
      <c r="I7" s="32">
        <v>38.5</v>
      </c>
      <c r="J7" s="32">
        <v>45</v>
      </c>
      <c r="K7" s="6">
        <v>92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8</v>
      </c>
      <c r="D8" s="6">
        <v>2021</v>
      </c>
      <c r="E8" s="32">
        <v>8175.71</v>
      </c>
      <c r="F8" s="20">
        <v>102.4</v>
      </c>
      <c r="G8" s="20">
        <v>17.39</v>
      </c>
      <c r="H8" s="32">
        <v>1.97</v>
      </c>
      <c r="I8" s="32">
        <v>34</v>
      </c>
      <c r="J8" s="32">
        <v>49</v>
      </c>
      <c r="K8" s="6">
        <v>92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8</v>
      </c>
      <c r="D9" s="6">
        <v>2021</v>
      </c>
      <c r="E9" s="32">
        <v>7985.21</v>
      </c>
      <c r="F9" s="20">
        <v>102.58</v>
      </c>
      <c r="G9" s="20">
        <v>19.16</v>
      </c>
      <c r="H9" s="32">
        <v>2.2999999999999998</v>
      </c>
      <c r="I9" s="32">
        <v>35</v>
      </c>
      <c r="J9" s="32">
        <v>42</v>
      </c>
      <c r="K9" s="6">
        <v>85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8</v>
      </c>
      <c r="D10" s="6">
        <v>2021</v>
      </c>
      <c r="E10" s="32">
        <v>8070.6</v>
      </c>
      <c r="F10" s="32">
        <v>103.13</v>
      </c>
      <c r="G10" s="32">
        <v>23.19</v>
      </c>
      <c r="H10" s="32">
        <v>2.16</v>
      </c>
      <c r="I10" s="32">
        <v>37.28</v>
      </c>
      <c r="J10" s="32">
        <v>37</v>
      </c>
      <c r="K10" s="6">
        <v>106</v>
      </c>
      <c r="L10" s="32"/>
    </row>
    <row r="11" spans="1:12" x14ac:dyDescent="0.25">
      <c r="A11" s="17" t="s">
        <v>32</v>
      </c>
      <c r="B11" s="6">
        <f t="shared" si="0"/>
        <v>10</v>
      </c>
      <c r="C11" s="6">
        <f t="shared" si="1"/>
        <v>8</v>
      </c>
      <c r="D11" s="6">
        <v>2021</v>
      </c>
      <c r="E11" s="32">
        <v>8743.09</v>
      </c>
      <c r="F11" s="32">
        <v>164.07</v>
      </c>
      <c r="G11" s="32">
        <v>15.97</v>
      </c>
      <c r="H11" s="32">
        <v>1.8</v>
      </c>
      <c r="I11" s="20">
        <v>36</v>
      </c>
      <c r="J11" s="32">
        <v>53.23</v>
      </c>
      <c r="K11" s="6">
        <v>103</v>
      </c>
      <c r="L11" s="32"/>
    </row>
    <row r="12" spans="1:12" x14ac:dyDescent="0.25">
      <c r="A12" s="17" t="s">
        <v>32</v>
      </c>
      <c r="B12" s="6">
        <f t="shared" si="0"/>
        <v>11</v>
      </c>
      <c r="C12" s="6">
        <f t="shared" si="1"/>
        <v>8</v>
      </c>
      <c r="D12" s="6">
        <v>2021</v>
      </c>
      <c r="E12" s="32">
        <v>8967.23</v>
      </c>
      <c r="F12" s="32">
        <v>133.31</v>
      </c>
      <c r="G12" s="32">
        <v>18.32</v>
      </c>
      <c r="H12" s="32">
        <v>3.12</v>
      </c>
      <c r="I12" s="20">
        <v>37</v>
      </c>
      <c r="J12" s="32">
        <v>52.5</v>
      </c>
      <c r="K12" s="6">
        <v>107</v>
      </c>
      <c r="L12" s="32"/>
    </row>
    <row r="13" spans="1:12" x14ac:dyDescent="0.25">
      <c r="A13" s="17" t="s">
        <v>32</v>
      </c>
      <c r="B13" s="6">
        <f t="shared" si="0"/>
        <v>12</v>
      </c>
      <c r="C13" s="6">
        <f t="shared" si="1"/>
        <v>8</v>
      </c>
      <c r="D13" s="6">
        <v>2021</v>
      </c>
      <c r="E13" s="32">
        <v>9545.74</v>
      </c>
      <c r="F13" s="32">
        <v>139.31</v>
      </c>
      <c r="G13" s="32">
        <v>15.13</v>
      </c>
      <c r="H13" s="32">
        <v>2.11</v>
      </c>
      <c r="I13" s="32">
        <v>36</v>
      </c>
      <c r="J13" s="32">
        <v>53</v>
      </c>
      <c r="K13" s="6">
        <v>107</v>
      </c>
      <c r="L13" s="32"/>
    </row>
    <row r="14" spans="1:12" x14ac:dyDescent="0.25">
      <c r="A14" s="17" t="s">
        <v>32</v>
      </c>
      <c r="B14" s="6">
        <f t="shared" si="0"/>
        <v>13</v>
      </c>
      <c r="C14" s="6">
        <f t="shared" si="1"/>
        <v>8</v>
      </c>
      <c r="D14" s="6">
        <v>2021</v>
      </c>
      <c r="E14" s="32">
        <v>9696.7099999999991</v>
      </c>
      <c r="F14" s="32">
        <v>151.16</v>
      </c>
      <c r="G14" s="32">
        <v>14.12</v>
      </c>
      <c r="H14" s="32">
        <v>2.17</v>
      </c>
      <c r="I14" s="32">
        <v>41.5</v>
      </c>
      <c r="J14" s="32">
        <v>51</v>
      </c>
      <c r="K14" s="6">
        <v>107</v>
      </c>
      <c r="L14" s="32"/>
    </row>
    <row r="15" spans="1:12" x14ac:dyDescent="0.25">
      <c r="A15" s="17" t="s">
        <v>32</v>
      </c>
      <c r="B15" s="6">
        <f t="shared" si="0"/>
        <v>14</v>
      </c>
      <c r="C15" s="6">
        <f t="shared" si="1"/>
        <v>8</v>
      </c>
      <c r="D15" s="6">
        <v>2021</v>
      </c>
      <c r="E15" s="32">
        <v>10392.75</v>
      </c>
      <c r="F15" s="32">
        <v>148.59</v>
      </c>
      <c r="G15" s="32">
        <v>13.86</v>
      </c>
      <c r="H15" s="32">
        <v>2.38</v>
      </c>
      <c r="I15" s="32">
        <v>37.5</v>
      </c>
      <c r="J15" s="32">
        <v>53.5</v>
      </c>
      <c r="K15" s="6">
        <v>92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f t="shared" si="1"/>
        <v>8</v>
      </c>
      <c r="D16" s="6">
        <v>2021</v>
      </c>
      <c r="E16" s="32">
        <v>10171.280000000001</v>
      </c>
      <c r="F16" s="32">
        <v>143.94999999999999</v>
      </c>
      <c r="G16" s="32">
        <v>10.84</v>
      </c>
      <c r="H16" s="32">
        <v>3.24</v>
      </c>
      <c r="I16" s="32">
        <v>39</v>
      </c>
      <c r="J16" s="32">
        <v>42.5</v>
      </c>
      <c r="K16">
        <v>95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f t="shared" si="1"/>
        <v>8</v>
      </c>
      <c r="D17" s="6">
        <v>2021</v>
      </c>
      <c r="E17" s="32">
        <v>8982.41</v>
      </c>
      <c r="F17" s="32">
        <v>93.73</v>
      </c>
      <c r="G17" s="32">
        <v>4.03</v>
      </c>
      <c r="H17" s="32">
        <v>17.88</v>
      </c>
      <c r="I17" s="32">
        <v>38</v>
      </c>
      <c r="J17" s="32">
        <v>58.5</v>
      </c>
      <c r="K17" s="6">
        <v>97</v>
      </c>
      <c r="L17" s="32"/>
    </row>
    <row r="18" spans="1:12" x14ac:dyDescent="0.25">
      <c r="A18" s="17" t="s">
        <v>32</v>
      </c>
      <c r="B18" s="6">
        <f t="shared" si="0"/>
        <v>17</v>
      </c>
      <c r="C18" s="6">
        <f t="shared" si="1"/>
        <v>8</v>
      </c>
      <c r="D18" s="6">
        <v>2021</v>
      </c>
      <c r="E18" s="32"/>
      <c r="F18" s="32"/>
      <c r="G18" s="32"/>
      <c r="H18" s="32"/>
      <c r="I18" s="32"/>
      <c r="J18" s="32"/>
      <c r="K18" s="6">
        <v>97</v>
      </c>
      <c r="L18" s="32"/>
    </row>
    <row r="19" spans="1:12" x14ac:dyDescent="0.25">
      <c r="A19" s="17" t="s">
        <v>32</v>
      </c>
      <c r="B19" s="6">
        <f t="shared" si="0"/>
        <v>18</v>
      </c>
      <c r="C19" s="6">
        <f t="shared" si="1"/>
        <v>8</v>
      </c>
      <c r="D19" s="6">
        <v>2021</v>
      </c>
      <c r="E19" s="32"/>
      <c r="F19" s="32"/>
      <c r="G19" s="32"/>
      <c r="H19" s="32"/>
      <c r="I19" s="32"/>
      <c r="J19" s="32"/>
      <c r="K19" s="35"/>
      <c r="L19" s="32"/>
    </row>
    <row r="20" spans="1:12" x14ac:dyDescent="0.25">
      <c r="A20" s="17" t="s">
        <v>32</v>
      </c>
      <c r="B20" s="6">
        <f t="shared" si="0"/>
        <v>19</v>
      </c>
      <c r="C20" s="6">
        <f t="shared" si="1"/>
        <v>8</v>
      </c>
      <c r="D20" s="6">
        <v>2021</v>
      </c>
      <c r="E20" s="32"/>
      <c r="F20" s="32"/>
      <c r="G20" s="32"/>
      <c r="H20" s="32"/>
      <c r="I20" s="32"/>
      <c r="K20" s="35"/>
      <c r="L20" s="32"/>
    </row>
    <row r="21" spans="1:12" x14ac:dyDescent="0.25">
      <c r="A21" s="17" t="s">
        <v>32</v>
      </c>
      <c r="B21" s="6">
        <f t="shared" si="0"/>
        <v>20</v>
      </c>
      <c r="C21" s="6">
        <f t="shared" si="1"/>
        <v>8</v>
      </c>
      <c r="D21" s="6">
        <v>2021</v>
      </c>
      <c r="E21" s="32"/>
      <c r="F21" s="32"/>
      <c r="G21" s="32"/>
      <c r="H21" s="32"/>
      <c r="I21" s="32"/>
      <c r="J21" s="32"/>
      <c r="K21" s="6"/>
      <c r="L21" s="32"/>
    </row>
    <row r="22" spans="1:12" x14ac:dyDescent="0.25">
      <c r="A22" s="17" t="s">
        <v>32</v>
      </c>
      <c r="B22" s="6">
        <f t="shared" si="0"/>
        <v>21</v>
      </c>
      <c r="C22" s="6">
        <f t="shared" si="1"/>
        <v>8</v>
      </c>
      <c r="D22" s="6">
        <v>2021</v>
      </c>
      <c r="E22" s="32"/>
      <c r="F22" s="32"/>
      <c r="G22" s="32"/>
      <c r="H22" s="32"/>
      <c r="I22" s="32"/>
      <c r="J22" s="32"/>
      <c r="K22" s="6"/>
      <c r="L22" s="32"/>
    </row>
    <row r="23" spans="1:12" x14ac:dyDescent="0.25">
      <c r="A23" s="17" t="s">
        <v>32</v>
      </c>
      <c r="B23" s="6">
        <f t="shared" si="0"/>
        <v>22</v>
      </c>
      <c r="C23" s="6">
        <f t="shared" si="1"/>
        <v>8</v>
      </c>
      <c r="D23" s="6">
        <v>2021</v>
      </c>
      <c r="E23" s="32"/>
      <c r="F23" s="32"/>
      <c r="G23" s="32"/>
      <c r="H23" s="32"/>
      <c r="I23" s="32"/>
      <c r="J23" s="32"/>
      <c r="K23" s="6"/>
      <c r="L23" s="32"/>
    </row>
    <row r="24" spans="1:12" x14ac:dyDescent="0.25">
      <c r="A24" s="17" t="s">
        <v>32</v>
      </c>
      <c r="B24" s="6">
        <f t="shared" si="0"/>
        <v>23</v>
      </c>
      <c r="C24" s="6">
        <f t="shared" si="1"/>
        <v>8</v>
      </c>
      <c r="D24" s="6">
        <v>2021</v>
      </c>
      <c r="E24" s="32"/>
      <c r="F24" s="32"/>
      <c r="G24" s="32"/>
      <c r="H24" s="32"/>
      <c r="I24" s="32"/>
      <c r="J24" s="32"/>
      <c r="K24" s="6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8</v>
      </c>
      <c r="D25" s="6">
        <v>2021</v>
      </c>
      <c r="E25" s="32"/>
      <c r="F25" s="32"/>
      <c r="G25" s="32"/>
      <c r="H25" s="32"/>
      <c r="I25" s="32"/>
      <c r="J25" s="32"/>
      <c r="K25" s="6"/>
      <c r="L25" s="32"/>
    </row>
    <row r="26" spans="1:12" x14ac:dyDescent="0.25">
      <c r="A26" s="17" t="s">
        <v>32</v>
      </c>
      <c r="B26" s="6">
        <f>B25+1</f>
        <v>25</v>
      </c>
      <c r="C26" s="6">
        <f t="shared" si="1"/>
        <v>8</v>
      </c>
      <c r="D26" s="6">
        <v>2021</v>
      </c>
      <c r="E26" s="32"/>
      <c r="F26" s="32"/>
      <c r="G26" s="32"/>
      <c r="H26" s="32"/>
      <c r="I26" s="32"/>
      <c r="J26" s="32"/>
      <c r="K26" s="6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8</v>
      </c>
      <c r="D27" s="6">
        <v>2021</v>
      </c>
      <c r="E27" s="32"/>
      <c r="F27" s="32"/>
      <c r="G27" s="32"/>
      <c r="H27" s="32"/>
      <c r="I27" s="32"/>
      <c r="J27" s="32"/>
      <c r="K27" s="6"/>
      <c r="L27" s="32"/>
    </row>
    <row r="28" spans="1:12" x14ac:dyDescent="0.25">
      <c r="A28" s="17" t="s">
        <v>32</v>
      </c>
      <c r="B28" s="6">
        <f t="shared" si="0"/>
        <v>27</v>
      </c>
      <c r="C28" s="6">
        <f t="shared" si="1"/>
        <v>8</v>
      </c>
      <c r="D28" s="6">
        <v>2021</v>
      </c>
      <c r="E28" s="32"/>
      <c r="F28" s="32"/>
      <c r="G28" s="32"/>
      <c r="H28" s="32"/>
      <c r="I28" s="32"/>
      <c r="J28" s="32"/>
      <c r="K28" s="6"/>
      <c r="L28" s="32"/>
    </row>
    <row r="29" spans="1:12" x14ac:dyDescent="0.25">
      <c r="A29" s="17" t="s">
        <v>32</v>
      </c>
      <c r="B29" s="6">
        <f t="shared" si="0"/>
        <v>28</v>
      </c>
      <c r="C29" s="6">
        <f t="shared" si="1"/>
        <v>8</v>
      </c>
      <c r="D29" s="6">
        <v>2021</v>
      </c>
      <c r="E29" s="32"/>
      <c r="F29" s="32"/>
      <c r="G29" s="32"/>
      <c r="H29" s="32"/>
      <c r="I29" s="32"/>
      <c r="J29" s="32"/>
      <c r="K29" s="6"/>
      <c r="L29" s="32"/>
    </row>
    <row r="30" spans="1:12" x14ac:dyDescent="0.25">
      <c r="A30" s="17" t="s">
        <v>32</v>
      </c>
      <c r="B30" s="6">
        <f t="shared" si="0"/>
        <v>29</v>
      </c>
      <c r="C30" s="6">
        <f t="shared" si="1"/>
        <v>8</v>
      </c>
      <c r="D30" s="6">
        <v>2021</v>
      </c>
      <c r="E30" s="32"/>
      <c r="F30" s="32"/>
      <c r="G30" s="32"/>
      <c r="H30" s="32"/>
      <c r="I30" s="32"/>
      <c r="J30" s="32"/>
      <c r="K30" s="6"/>
      <c r="L30" s="32"/>
    </row>
    <row r="31" spans="1:12" x14ac:dyDescent="0.25">
      <c r="A31" s="17" t="s">
        <v>32</v>
      </c>
      <c r="B31" s="6">
        <f t="shared" si="0"/>
        <v>30</v>
      </c>
      <c r="C31" s="6">
        <f t="shared" si="1"/>
        <v>8</v>
      </c>
      <c r="D31" s="6">
        <v>2021</v>
      </c>
      <c r="E31" s="32"/>
      <c r="F31" s="32"/>
      <c r="G31" s="32"/>
      <c r="H31" s="32"/>
      <c r="I31" s="32"/>
      <c r="J31" s="32"/>
      <c r="K31" s="6"/>
      <c r="L31" s="32"/>
    </row>
    <row r="32" spans="1:12" x14ac:dyDescent="0.25">
      <c r="A32" s="17" t="s">
        <v>32</v>
      </c>
      <c r="B32" s="6">
        <f t="shared" si="0"/>
        <v>31</v>
      </c>
      <c r="C32" s="6">
        <f t="shared" si="1"/>
        <v>8</v>
      </c>
      <c r="D32" s="6">
        <v>2021</v>
      </c>
      <c r="E32" s="32"/>
      <c r="F32" s="32"/>
      <c r="G32" s="32"/>
      <c r="H32" s="32"/>
      <c r="I32" s="32"/>
      <c r="J32" s="32"/>
      <c r="K32" s="6"/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6"/>
      <c r="C1" s="1"/>
      <c r="D1" s="11"/>
      <c r="E1" s="1"/>
      <c r="F1" s="14"/>
      <c r="G1" s="1"/>
      <c r="H1" s="1"/>
      <c r="I1" s="37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36"/>
      <c r="C2" s="46" t="s">
        <v>22</v>
      </c>
      <c r="D2" s="47"/>
      <c r="E2" s="40" t="s">
        <v>23</v>
      </c>
      <c r="F2" s="40"/>
      <c r="G2" s="40" t="s">
        <v>24</v>
      </c>
      <c r="H2" s="40"/>
      <c r="I2" s="38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3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6"/>
      <c r="C4" s="18">
        <v>22342913</v>
      </c>
      <c r="D4" s="41">
        <f>IF((C5-C4&lt;0), "",C5-C4)</f>
        <v>7975</v>
      </c>
      <c r="E4" s="18">
        <v>23837512</v>
      </c>
      <c r="F4" s="49">
        <f>IF((E5-E4&lt;0), "",E5-E4)</f>
        <v>5799</v>
      </c>
      <c r="G4" s="18">
        <v>9975816</v>
      </c>
      <c r="H4" s="41">
        <f>IF((G5-G4&lt;0), "",G5-G4)</f>
        <v>3477</v>
      </c>
      <c r="I4" s="38"/>
      <c r="J4" s="18"/>
      <c r="K4" s="41">
        <v>0</v>
      </c>
      <c r="L4" s="18"/>
      <c r="M4" s="41">
        <v>0</v>
      </c>
      <c r="N4" s="18">
        <v>75776</v>
      </c>
      <c r="O4" s="4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6"/>
      <c r="C5" s="18">
        <v>22350888</v>
      </c>
      <c r="D5" s="41"/>
      <c r="E5" s="18">
        <v>23843311</v>
      </c>
      <c r="F5" s="50"/>
      <c r="G5" s="18">
        <v>9979293</v>
      </c>
      <c r="H5" s="41"/>
      <c r="I5" s="38"/>
      <c r="J5" s="18">
        <v>0</v>
      </c>
      <c r="K5" s="41"/>
      <c r="L5" s="18">
        <v>0</v>
      </c>
      <c r="M5" s="41"/>
      <c r="N5" s="18">
        <v>75809</v>
      </c>
      <c r="O5" s="41"/>
      <c r="P5" s="23"/>
      <c r="Q5" s="23"/>
    </row>
    <row r="6" spans="1:17" ht="45" customHeight="1" x14ac:dyDescent="0.3">
      <c r="A6" s="7">
        <v>43557</v>
      </c>
      <c r="B6" s="3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2021-08-18T14:41:17Z</dcterms:modified>
</cp:coreProperties>
</file>