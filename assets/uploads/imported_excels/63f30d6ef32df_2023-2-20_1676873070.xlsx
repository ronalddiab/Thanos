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filterPrivacy="1" defaultThemeVersion="124226"/>
  <xr:revisionPtr revIDLastSave="0" documentId="13_ncr:1_{2BEA5AA2-D1D5-4EEE-9D1D-1C7AF70410CC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Reading'!$A$1:$R$31</definedName>
  </definedNames>
  <calcPr calcId="191029"/>
</workbook>
</file>

<file path=xl/calcChain.xml><?xml version="1.0" encoding="utf-8"?>
<calcChain xmlns="http://schemas.openxmlformats.org/spreadsheetml/2006/main">
  <c r="L3" i="2" l="1"/>
  <c r="G4" i="4" s="1"/>
  <c r="L4" i="2"/>
  <c r="G5" i="4" s="1"/>
  <c r="L5" i="2"/>
  <c r="G6" i="4" s="1"/>
  <c r="L6" i="2"/>
  <c r="G7" i="4" s="1"/>
  <c r="L7" i="2"/>
  <c r="G8" i="4" s="1"/>
  <c r="L8" i="2"/>
  <c r="G9" i="4" s="1"/>
  <c r="L9" i="2"/>
  <c r="G10" i="4" s="1"/>
  <c r="L10" i="2"/>
  <c r="G11" i="4" s="1"/>
  <c r="L11" i="2"/>
  <c r="G12" i="4" s="1"/>
  <c r="L12" i="2"/>
  <c r="G13" i="4" s="1"/>
  <c r="L13" i="2"/>
  <c r="G14" i="4" s="1"/>
  <c r="L14" i="2"/>
  <c r="G15" i="4" s="1"/>
  <c r="L15" i="2"/>
  <c r="G16" i="4" s="1"/>
  <c r="L16" i="2"/>
  <c r="G17" i="4" s="1"/>
  <c r="L17" i="2"/>
  <c r="G18" i="4" s="1"/>
  <c r="L18" i="2"/>
  <c r="G19" i="4" s="1"/>
  <c r="L19" i="2"/>
  <c r="G20" i="4" s="1"/>
  <c r="L20" i="2"/>
  <c r="G21" i="4" s="1"/>
  <c r="L21" i="2"/>
  <c r="G22" i="4" s="1"/>
  <c r="L22" i="2"/>
  <c r="G23" i="4" s="1"/>
  <c r="L23" i="2"/>
  <c r="G24" i="4" s="1"/>
  <c r="L24" i="2"/>
  <c r="G25" i="4" s="1"/>
  <c r="L25" i="2"/>
  <c r="G26" i="4" s="1"/>
  <c r="L26" i="2"/>
  <c r="G27" i="4" s="1"/>
  <c r="L27" i="2"/>
  <c r="G28" i="4" s="1"/>
  <c r="L28" i="2"/>
  <c r="G29" i="4" s="1"/>
  <c r="L29" i="2"/>
  <c r="G30" i="4" s="1"/>
  <c r="L30" i="2"/>
  <c r="L31" i="2"/>
  <c r="L32" i="2"/>
  <c r="L2" i="2"/>
  <c r="G3" i="4" s="1"/>
  <c r="AA5" i="8" l="1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4" i="8"/>
  <c r="AA32" i="8" l="1"/>
  <c r="A5" i="8" l="1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E32" i="2" l="1"/>
  <c r="F32" i="2"/>
  <c r="G32" i="2"/>
  <c r="I32" i="2" l="1"/>
  <c r="J32" i="2"/>
  <c r="K32" i="2"/>
  <c r="M32" i="2"/>
  <c r="N32" i="2"/>
  <c r="O32" i="2"/>
  <c r="P32" i="2"/>
  <c r="Q32" i="2"/>
  <c r="R32" i="2"/>
  <c r="S32" i="2"/>
  <c r="T32" i="2"/>
  <c r="U32" i="2"/>
  <c r="V32" i="2"/>
  <c r="W32" i="2"/>
  <c r="H32" i="2" l="1"/>
  <c r="I2" i="2" l="1"/>
  <c r="O33" i="6" l="1"/>
  <c r="N33" i="6"/>
  <c r="M33" i="6"/>
  <c r="G33" i="6" l="1"/>
  <c r="I33" i="6" l="1"/>
  <c r="E33" i="6" l="1"/>
  <c r="B10" i="8" l="1"/>
  <c r="C10" i="8"/>
  <c r="AB10" i="8" s="1"/>
  <c r="G10" i="8"/>
  <c r="G11" i="8"/>
  <c r="C11" i="8"/>
  <c r="AB11" i="8" s="1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20" i="2"/>
  <c r="C21" i="4" s="1"/>
  <c r="K33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AB16" i="8" s="1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N17" i="2"/>
  <c r="N18" i="2"/>
  <c r="N19" i="2"/>
  <c r="N20" i="2"/>
  <c r="N21" i="2"/>
  <c r="C18" i="8"/>
  <c r="AB18" i="8" s="1"/>
  <c r="C19" i="8"/>
  <c r="AB19" i="8" s="1"/>
  <c r="C20" i="8"/>
  <c r="AB20" i="8" s="1"/>
  <c r="C21" i="8"/>
  <c r="AB21" i="8" s="1"/>
  <c r="C22" i="8"/>
  <c r="AB22" i="8" s="1"/>
  <c r="F11" i="2"/>
  <c r="F12" i="2"/>
  <c r="D13" i="4" s="1"/>
  <c r="F13" i="2"/>
  <c r="D14" i="4" s="1"/>
  <c r="F14" i="2"/>
  <c r="D15" i="4" s="1"/>
  <c r="F15" i="2"/>
  <c r="D16" i="4" s="1"/>
  <c r="S5" i="8"/>
  <c r="S6" i="8"/>
  <c r="S7" i="8"/>
  <c r="S8" i="8"/>
  <c r="S9" i="8"/>
  <c r="S10" i="8"/>
  <c r="W29" i="8"/>
  <c r="W30" i="8"/>
  <c r="W31" i="8"/>
  <c r="U29" i="8"/>
  <c r="U30" i="8"/>
  <c r="U31" i="8"/>
  <c r="C31" i="8"/>
  <c r="AB31" i="8" s="1"/>
  <c r="S30" i="8"/>
  <c r="S31" i="8"/>
  <c r="Q30" i="8"/>
  <c r="Q31" i="8"/>
  <c r="O31" i="8"/>
  <c r="M31" i="8"/>
  <c r="G31" i="8"/>
  <c r="K31" i="8"/>
  <c r="I31" i="8"/>
  <c r="U28" i="2"/>
  <c r="V28" i="2"/>
  <c r="A23" i="4"/>
  <c r="A24" i="4"/>
  <c r="A25" i="4"/>
  <c r="A26" i="4"/>
  <c r="A27" i="4"/>
  <c r="A28" i="4"/>
  <c r="A29" i="4"/>
  <c r="A30" i="4"/>
  <c r="W28" i="2"/>
  <c r="K29" i="4" s="1"/>
  <c r="W29" i="2"/>
  <c r="K30" i="4" s="1"/>
  <c r="W30" i="2"/>
  <c r="W31" i="2"/>
  <c r="V29" i="2"/>
  <c r="V30" i="2"/>
  <c r="V31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Q30" i="2"/>
  <c r="Q31" i="2"/>
  <c r="P28" i="2"/>
  <c r="P29" i="2"/>
  <c r="O29" i="2"/>
  <c r="B30" i="3"/>
  <c r="H30" i="3" s="1"/>
  <c r="P30" i="2"/>
  <c r="P31" i="2"/>
  <c r="O28" i="2"/>
  <c r="O30" i="2"/>
  <c r="O31" i="2"/>
  <c r="N28" i="2"/>
  <c r="N29" i="2"/>
  <c r="M29" i="2"/>
  <c r="N30" i="2"/>
  <c r="N31" i="2"/>
  <c r="M31" i="2"/>
  <c r="M28" i="2"/>
  <c r="M30" i="2"/>
  <c r="K29" i="2"/>
  <c r="K30" i="2"/>
  <c r="K31" i="2"/>
  <c r="J29" i="2"/>
  <c r="I29" i="2"/>
  <c r="J30" i="2"/>
  <c r="J31" i="2"/>
  <c r="I30" i="2"/>
  <c r="I31" i="2"/>
  <c r="G29" i="2"/>
  <c r="E30" i="4" s="1"/>
  <c r="G30" i="2"/>
  <c r="E30" i="2"/>
  <c r="F30" i="2"/>
  <c r="G31" i="2"/>
  <c r="F29" i="2"/>
  <c r="D30" i="4" s="1"/>
  <c r="F31" i="2"/>
  <c r="E29" i="2"/>
  <c r="C30" i="4" s="1"/>
  <c r="E31" i="2"/>
  <c r="E26" i="2"/>
  <c r="C27" i="4" s="1"/>
  <c r="E27" i="2"/>
  <c r="C28" i="4" s="1"/>
  <c r="E28" i="2"/>
  <c r="C29" i="4" s="1"/>
  <c r="U34" i="1"/>
  <c r="V34" i="1"/>
  <c r="W34" i="1"/>
  <c r="N22" i="2"/>
  <c r="N23" i="2"/>
  <c r="N24" i="2"/>
  <c r="N25" i="2"/>
  <c r="N26" i="2"/>
  <c r="N27" i="2"/>
  <c r="J23" i="2"/>
  <c r="J24" i="2"/>
  <c r="G20" i="8"/>
  <c r="K21" i="8"/>
  <c r="E21" i="8"/>
  <c r="I21" i="8"/>
  <c r="M21" i="8"/>
  <c r="O21" i="8"/>
  <c r="G21" i="8"/>
  <c r="Q21" i="8"/>
  <c r="S21" i="8"/>
  <c r="U21" i="8"/>
  <c r="W21" i="8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C13" i="8"/>
  <c r="AB13" i="8" s="1"/>
  <c r="M19" i="8"/>
  <c r="M20" i="8"/>
  <c r="B33" i="4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K14" i="8"/>
  <c r="C14" i="8"/>
  <c r="AB14" i="8" s="1"/>
  <c r="G24" i="8"/>
  <c r="G25" i="8"/>
  <c r="C25" i="8"/>
  <c r="AB25" i="8" s="1"/>
  <c r="G19" i="8"/>
  <c r="G22" i="8"/>
  <c r="G5" i="8"/>
  <c r="S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2" i="8"/>
  <c r="Q23" i="8"/>
  <c r="Q24" i="8"/>
  <c r="Q25" i="8"/>
  <c r="Q26" i="8"/>
  <c r="Q27" i="8"/>
  <c r="Q28" i="8"/>
  <c r="Q29" i="8"/>
  <c r="Q4" i="8"/>
  <c r="C4" i="8"/>
  <c r="AB4" i="8" s="1"/>
  <c r="S11" i="8"/>
  <c r="S12" i="8"/>
  <c r="S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AB28" i="8" s="1"/>
  <c r="S29" i="8"/>
  <c r="U5" i="8"/>
  <c r="U6" i="8"/>
  <c r="U7" i="8"/>
  <c r="C7" i="8"/>
  <c r="AB7" i="8" s="1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2" i="8"/>
  <c r="U23" i="8"/>
  <c r="U24" i="8"/>
  <c r="U25" i="8"/>
  <c r="U26" i="8"/>
  <c r="U27" i="8"/>
  <c r="U28" i="8"/>
  <c r="U4" i="8"/>
  <c r="G6" i="8"/>
  <c r="G7" i="8"/>
  <c r="G8" i="8"/>
  <c r="G9" i="8"/>
  <c r="G12" i="8"/>
  <c r="G13" i="8"/>
  <c r="G14" i="8"/>
  <c r="G15" i="8"/>
  <c r="G16" i="8"/>
  <c r="G17" i="8"/>
  <c r="G18" i="8"/>
  <c r="G23" i="8"/>
  <c r="G26" i="8"/>
  <c r="G27" i="8"/>
  <c r="C27" i="8"/>
  <c r="AB27" i="8" s="1"/>
  <c r="G28" i="8"/>
  <c r="G29" i="8"/>
  <c r="G30" i="8"/>
  <c r="C30" i="8"/>
  <c r="AB30" i="8" s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2" i="8"/>
  <c r="W23" i="8"/>
  <c r="W24" i="8"/>
  <c r="W25" i="8"/>
  <c r="W26" i="8"/>
  <c r="W27" i="8"/>
  <c r="W28" i="8"/>
  <c r="W5" i="8"/>
  <c r="W4" i="8"/>
  <c r="S22" i="2"/>
  <c r="S23" i="2"/>
  <c r="O14" i="2"/>
  <c r="N14" i="2"/>
  <c r="S14" i="2"/>
  <c r="T14" i="2"/>
  <c r="U14" i="2"/>
  <c r="V14" i="2"/>
  <c r="W14" i="2"/>
  <c r="K15" i="4" s="1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2" i="8"/>
  <c r="O23" i="8"/>
  <c r="C23" i="8"/>
  <c r="AB23" i="8" s="1"/>
  <c r="O24" i="8"/>
  <c r="O25" i="8"/>
  <c r="O26" i="8"/>
  <c r="O27" i="8"/>
  <c r="O28" i="8"/>
  <c r="O29" i="8"/>
  <c r="O30" i="8"/>
  <c r="O4" i="8"/>
  <c r="M5" i="8"/>
  <c r="M6" i="8"/>
  <c r="M7" i="8"/>
  <c r="M8" i="8"/>
  <c r="C8" i="8"/>
  <c r="AB8" i="8" s="1"/>
  <c r="M9" i="8"/>
  <c r="M10" i="8"/>
  <c r="M11" i="8"/>
  <c r="M12" i="8"/>
  <c r="M13" i="8"/>
  <c r="M14" i="8"/>
  <c r="M15" i="8"/>
  <c r="M16" i="8"/>
  <c r="M17" i="8"/>
  <c r="M18" i="8"/>
  <c r="M22" i="8"/>
  <c r="M23" i="8"/>
  <c r="M24" i="8"/>
  <c r="M25" i="8"/>
  <c r="N25" i="8" s="1"/>
  <c r="M26" i="8"/>
  <c r="C26" i="8"/>
  <c r="AB26" i="8" s="1"/>
  <c r="M27" i="8"/>
  <c r="M28" i="8"/>
  <c r="M29" i="8"/>
  <c r="M30" i="8"/>
  <c r="M4" i="8"/>
  <c r="K5" i="8"/>
  <c r="K6" i="8"/>
  <c r="K7" i="8"/>
  <c r="K8" i="8"/>
  <c r="K9" i="8"/>
  <c r="K10" i="8"/>
  <c r="K11" i="8"/>
  <c r="K12" i="8"/>
  <c r="K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2" i="8"/>
  <c r="I23" i="8"/>
  <c r="I24" i="8"/>
  <c r="C24" i="8"/>
  <c r="AB24" i="8" s="1"/>
  <c r="I25" i="8"/>
  <c r="I26" i="8"/>
  <c r="I27" i="8"/>
  <c r="I28" i="8"/>
  <c r="E28" i="8"/>
  <c r="I29" i="8"/>
  <c r="I30" i="8"/>
  <c r="I4" i="8"/>
  <c r="G4" i="8"/>
  <c r="C9" i="8"/>
  <c r="AB9" i="8" s="1"/>
  <c r="E20" i="8"/>
  <c r="E22" i="8"/>
  <c r="E23" i="8"/>
  <c r="E24" i="8"/>
  <c r="E25" i="8"/>
  <c r="E26" i="8"/>
  <c r="E27" i="8"/>
  <c r="E29" i="8"/>
  <c r="E30" i="8"/>
  <c r="E31" i="8"/>
  <c r="E4" i="8"/>
  <c r="C5" i="8"/>
  <c r="AB5" i="8" s="1"/>
  <c r="C6" i="8"/>
  <c r="AB6" i="8" s="1"/>
  <c r="C12" i="8"/>
  <c r="AB12" i="8" s="1"/>
  <c r="C15" i="8"/>
  <c r="AB15" i="8" s="1"/>
  <c r="C17" i="8"/>
  <c r="AB17" i="8" s="1"/>
  <c r="C29" i="8"/>
  <c r="AB29" i="8" s="1"/>
  <c r="E25" i="2"/>
  <c r="C26" i="4" s="1"/>
  <c r="V26" i="2"/>
  <c r="N3" i="2"/>
  <c r="N4" i="2"/>
  <c r="N5" i="2"/>
  <c r="N6" i="2"/>
  <c r="N7" i="2"/>
  <c r="N8" i="2"/>
  <c r="N9" i="2"/>
  <c r="N10" i="2"/>
  <c r="N11" i="2"/>
  <c r="N12" i="2"/>
  <c r="N13" i="2"/>
  <c r="N15" i="2"/>
  <c r="N16" i="2"/>
  <c r="N2" i="2"/>
  <c r="O12" i="2"/>
  <c r="J22" i="2"/>
  <c r="W21" i="2"/>
  <c r="K22" i="4" s="1"/>
  <c r="V21" i="2"/>
  <c r="U21" i="2"/>
  <c r="T21" i="2"/>
  <c r="S21" i="2"/>
  <c r="O21" i="2"/>
  <c r="M21" i="2"/>
  <c r="K21" i="2"/>
  <c r="J21" i="2"/>
  <c r="I21" i="2"/>
  <c r="G21" i="2"/>
  <c r="E22" i="4" s="1"/>
  <c r="F21" i="2"/>
  <c r="D22" i="4" s="1"/>
  <c r="E21" i="2"/>
  <c r="C22" i="4" s="1"/>
  <c r="K6" i="2"/>
  <c r="K7" i="2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C7" i="4" s="1"/>
  <c r="E7" i="2"/>
  <c r="C8" i="4" s="1"/>
  <c r="W6" i="2"/>
  <c r="K7" i="4" s="1"/>
  <c r="W7" i="2"/>
  <c r="K8" i="4" s="1"/>
  <c r="V6" i="2"/>
  <c r="V7" i="2"/>
  <c r="U6" i="2"/>
  <c r="U7" i="2"/>
  <c r="T6" i="2"/>
  <c r="T7" i="2"/>
  <c r="S6" i="2"/>
  <c r="S7" i="2"/>
  <c r="O6" i="2"/>
  <c r="O7" i="2"/>
  <c r="M6" i="2"/>
  <c r="M7" i="2"/>
  <c r="E15" i="2"/>
  <c r="C16" i="4" s="1"/>
  <c r="E16" i="2"/>
  <c r="C17" i="4" s="1"/>
  <c r="E17" i="2"/>
  <c r="C18" i="4" s="1"/>
  <c r="U25" i="2"/>
  <c r="B20" i="4"/>
  <c r="B3" i="4"/>
  <c r="K19" i="2"/>
  <c r="E19" i="2"/>
  <c r="C20" i="4" s="1"/>
  <c r="E22" i="2"/>
  <c r="C2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F3" i="2"/>
  <c r="D4" i="4" s="1"/>
  <c r="F4" i="2"/>
  <c r="D5" i="4" s="1"/>
  <c r="F5" i="2"/>
  <c r="F8" i="2"/>
  <c r="D9" i="4" s="1"/>
  <c r="F9" i="2"/>
  <c r="F10" i="2"/>
  <c r="D11" i="4" s="1"/>
  <c r="F16" i="2"/>
  <c r="D17" i="4" s="1"/>
  <c r="F17" i="2"/>
  <c r="D18" i="4" s="1"/>
  <c r="F18" i="2"/>
  <c r="D19" i="4" s="1"/>
  <c r="F19" i="2"/>
  <c r="D20" i="4" s="1"/>
  <c r="F20" i="2"/>
  <c r="D21" i="4" s="1"/>
  <c r="F22" i="2"/>
  <c r="D23" i="4" s="1"/>
  <c r="F23" i="2"/>
  <c r="D24" i="4" s="1"/>
  <c r="F24" i="2"/>
  <c r="F25" i="2"/>
  <c r="D26" i="4" s="1"/>
  <c r="F26" i="2"/>
  <c r="D27" i="4" s="1"/>
  <c r="F27" i="2"/>
  <c r="D28" i="4" s="1"/>
  <c r="F28" i="2"/>
  <c r="D29" i="4" s="1"/>
  <c r="D3" i="4"/>
  <c r="B4" i="3"/>
  <c r="H4" i="3" s="1"/>
  <c r="B5" i="3"/>
  <c r="B6" i="3"/>
  <c r="B7" i="3"/>
  <c r="H7" i="3" s="1"/>
  <c r="B8" i="3"/>
  <c r="H8" i="3" s="1"/>
  <c r="B9" i="3"/>
  <c r="H9" i="3" s="1"/>
  <c r="B10" i="3"/>
  <c r="H10" i="3" s="1"/>
  <c r="B11" i="3"/>
  <c r="H11" i="3" s="1"/>
  <c r="B12" i="3"/>
  <c r="H12" i="3" s="1"/>
  <c r="B13" i="3"/>
  <c r="H13" i="3" s="1"/>
  <c r="B14" i="3"/>
  <c r="H14" i="3" s="1"/>
  <c r="B15" i="3"/>
  <c r="H15" i="3" s="1"/>
  <c r="B16" i="3"/>
  <c r="B17" i="3"/>
  <c r="H17" i="3" s="1"/>
  <c r="B18" i="3"/>
  <c r="H18" i="3" s="1"/>
  <c r="B19" i="3"/>
  <c r="H19" i="3" s="1"/>
  <c r="B20" i="3"/>
  <c r="H20" i="3" s="1"/>
  <c r="W19" i="2"/>
  <c r="K20" i="4" s="1"/>
  <c r="B21" i="3"/>
  <c r="H21" i="3" s="1"/>
  <c r="B22" i="3"/>
  <c r="H22" i="3" s="1"/>
  <c r="B23" i="3"/>
  <c r="B24" i="3"/>
  <c r="H24" i="3" s="1"/>
  <c r="B25" i="3"/>
  <c r="H25" i="3" s="1"/>
  <c r="B26" i="3"/>
  <c r="H26" i="3" s="1"/>
  <c r="B27" i="3"/>
  <c r="H27" i="3" s="1"/>
  <c r="B28" i="3"/>
  <c r="H28" i="3" s="1"/>
  <c r="B29" i="3"/>
  <c r="B3" i="3"/>
  <c r="H3" i="3" s="1"/>
  <c r="S16" i="2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W3" i="2"/>
  <c r="K4" i="4" s="1"/>
  <c r="A30" i="3"/>
  <c r="E3" i="2"/>
  <c r="C4" i="4" s="1"/>
  <c r="V18" i="2"/>
  <c r="W5" i="2"/>
  <c r="K13" i="2"/>
  <c r="J9" i="2"/>
  <c r="I9" i="2"/>
  <c r="E9" i="2"/>
  <c r="C10" i="4" s="1"/>
  <c r="W8" i="2"/>
  <c r="K9" i="4" s="1"/>
  <c r="V8" i="2"/>
  <c r="U8" i="2"/>
  <c r="T8" i="2"/>
  <c r="S8" i="2"/>
  <c r="O8" i="2"/>
  <c r="M8" i="2"/>
  <c r="K8" i="2"/>
  <c r="J8" i="2"/>
  <c r="I8" i="2"/>
  <c r="G8" i="2"/>
  <c r="E9" i="4" s="1"/>
  <c r="E8" i="2"/>
  <c r="C9" i="4" s="1"/>
  <c r="I18" i="2"/>
  <c r="I17" i="2"/>
  <c r="S3" i="2"/>
  <c r="S4" i="2"/>
  <c r="S5" i="2"/>
  <c r="S9" i="2"/>
  <c r="S10" i="2"/>
  <c r="S11" i="2"/>
  <c r="S12" i="2"/>
  <c r="S13" i="2"/>
  <c r="S15" i="2"/>
  <c r="S17" i="2"/>
  <c r="S18" i="2"/>
  <c r="S19" i="2"/>
  <c r="S20" i="2"/>
  <c r="S24" i="2"/>
  <c r="S25" i="2"/>
  <c r="S26" i="2"/>
  <c r="S27" i="2"/>
  <c r="S2" i="2"/>
  <c r="E4" i="2"/>
  <c r="C5" i="4" s="1"/>
  <c r="E5" i="2"/>
  <c r="C6" i="4" s="1"/>
  <c r="E10" i="2"/>
  <c r="C11" i="4" s="1"/>
  <c r="E11" i="2"/>
  <c r="E12" i="2"/>
  <c r="C13" i="4" s="1"/>
  <c r="E13" i="2"/>
  <c r="E14" i="2"/>
  <c r="C15" i="4" s="1"/>
  <c r="E18" i="2"/>
  <c r="C19" i="4" s="1"/>
  <c r="E23" i="2"/>
  <c r="E24" i="2"/>
  <c r="C25" i="4" s="1"/>
  <c r="W4" i="2"/>
  <c r="K5" i="4" s="1"/>
  <c r="W9" i="2"/>
  <c r="K10" i="4" s="1"/>
  <c r="W10" i="2"/>
  <c r="K11" i="4" s="1"/>
  <c r="W11" i="2"/>
  <c r="K12" i="4" s="1"/>
  <c r="W12" i="2"/>
  <c r="K13" i="4" s="1"/>
  <c r="W13" i="2"/>
  <c r="W15" i="2"/>
  <c r="K16" i="4" s="1"/>
  <c r="W16" i="2"/>
  <c r="K17" i="4" s="1"/>
  <c r="W17" i="2"/>
  <c r="K18" i="4" s="1"/>
  <c r="W18" i="2"/>
  <c r="L19" i="3" s="1"/>
  <c r="W20" i="2"/>
  <c r="K21" i="4" s="1"/>
  <c r="W22" i="2"/>
  <c r="W23" i="2"/>
  <c r="K24" i="4" s="1"/>
  <c r="W24" i="2"/>
  <c r="W25" i="2"/>
  <c r="K26" i="4" s="1"/>
  <c r="W26" i="2"/>
  <c r="K27" i="4" s="1"/>
  <c r="W27" i="2"/>
  <c r="K28" i="4" s="1"/>
  <c r="W2" i="2"/>
  <c r="K3" i="4" s="1"/>
  <c r="O3" i="2"/>
  <c r="O4" i="2"/>
  <c r="O5" i="2"/>
  <c r="O9" i="2"/>
  <c r="O10" i="2"/>
  <c r="O11" i="2"/>
  <c r="O13" i="2"/>
  <c r="O15" i="2"/>
  <c r="O16" i="2"/>
  <c r="O17" i="2"/>
  <c r="O18" i="2"/>
  <c r="O19" i="2"/>
  <c r="O20" i="2"/>
  <c r="O22" i="2"/>
  <c r="O23" i="2"/>
  <c r="O24" i="2"/>
  <c r="O25" i="2"/>
  <c r="O26" i="2"/>
  <c r="O27" i="2"/>
  <c r="O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G3" i="2"/>
  <c r="E4" i="4" s="1"/>
  <c r="G4" i="2"/>
  <c r="G5" i="2"/>
  <c r="E6" i="4" s="1"/>
  <c r="G9" i="2"/>
  <c r="G10" i="2"/>
  <c r="E11" i="4" s="1"/>
  <c r="G11" i="2"/>
  <c r="F12" i="3" s="1"/>
  <c r="G12" i="2"/>
  <c r="E13" i="4" s="1"/>
  <c r="G13" i="2"/>
  <c r="E14" i="4" s="1"/>
  <c r="G14" i="2"/>
  <c r="E15" i="4" s="1"/>
  <c r="G15" i="2"/>
  <c r="E16" i="4" s="1"/>
  <c r="G16" i="2"/>
  <c r="E17" i="4" s="1"/>
  <c r="G17" i="2"/>
  <c r="E18" i="4" s="1"/>
  <c r="G18" i="2"/>
  <c r="E19" i="4" s="1"/>
  <c r="G19" i="2"/>
  <c r="E20" i="4" s="1"/>
  <c r="G20" i="2"/>
  <c r="G22" i="2"/>
  <c r="G23" i="2"/>
  <c r="E24" i="4" s="1"/>
  <c r="G24" i="2"/>
  <c r="E25" i="4" s="1"/>
  <c r="G25" i="2"/>
  <c r="E26" i="4" s="1"/>
  <c r="G26" i="2"/>
  <c r="E27" i="4" s="1"/>
  <c r="G27" i="2"/>
  <c r="E28" i="4" s="1"/>
  <c r="G28" i="2"/>
  <c r="E29" i="4" s="1"/>
  <c r="E3" i="4"/>
  <c r="C3" i="4" s="1"/>
  <c r="M3" i="2"/>
  <c r="M4" i="2"/>
  <c r="M5" i="2"/>
  <c r="M9" i="2"/>
  <c r="M10" i="2"/>
  <c r="M11" i="2"/>
  <c r="M12" i="2"/>
  <c r="M13" i="2"/>
  <c r="M14" i="2"/>
  <c r="M15" i="2"/>
  <c r="M16" i="2"/>
  <c r="M17" i="2"/>
  <c r="M18" i="2"/>
  <c r="M19" i="2"/>
  <c r="H20" i="4" s="1"/>
  <c r="M20" i="2"/>
  <c r="M22" i="2"/>
  <c r="M23" i="2"/>
  <c r="M24" i="2"/>
  <c r="M25" i="2"/>
  <c r="M26" i="2"/>
  <c r="M27" i="2"/>
  <c r="M2" i="2"/>
  <c r="T10" i="2"/>
  <c r="T11" i="2"/>
  <c r="T12" i="2"/>
  <c r="T13" i="2"/>
  <c r="T15" i="2"/>
  <c r="T16" i="2"/>
  <c r="T17" i="2"/>
  <c r="T18" i="2"/>
  <c r="T19" i="2"/>
  <c r="T20" i="2"/>
  <c r="T22" i="2"/>
  <c r="T23" i="2"/>
  <c r="T24" i="2"/>
  <c r="T25" i="2"/>
  <c r="T26" i="2"/>
  <c r="T27" i="2"/>
  <c r="T3" i="2"/>
  <c r="T4" i="2"/>
  <c r="T5" i="2"/>
  <c r="T9" i="2"/>
  <c r="T2" i="2"/>
  <c r="A29" i="3"/>
  <c r="V3" i="2"/>
  <c r="V4" i="2"/>
  <c r="V5" i="2"/>
  <c r="V9" i="2"/>
  <c r="V10" i="2"/>
  <c r="V11" i="2"/>
  <c r="V12" i="2"/>
  <c r="V13" i="2"/>
  <c r="V15" i="2"/>
  <c r="V16" i="2"/>
  <c r="V17" i="2"/>
  <c r="V19" i="2"/>
  <c r="V20" i="2"/>
  <c r="V22" i="2"/>
  <c r="V23" i="2"/>
  <c r="V24" i="2"/>
  <c r="V25" i="2"/>
  <c r="V27" i="2"/>
  <c r="V2" i="2"/>
  <c r="U3" i="2"/>
  <c r="U4" i="2"/>
  <c r="U5" i="2"/>
  <c r="U9" i="2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6" i="2"/>
  <c r="U27" i="2"/>
  <c r="U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M25" i="3"/>
  <c r="M22" i="3"/>
  <c r="H29" i="4"/>
  <c r="M12" i="3"/>
  <c r="M19" i="3"/>
  <c r="M4" i="3"/>
  <c r="H19" i="4" l="1"/>
  <c r="L18" i="3"/>
  <c r="M17" i="3"/>
  <c r="M11" i="3"/>
  <c r="M3" i="3"/>
  <c r="M31" i="3" s="1"/>
  <c r="E3" i="3"/>
  <c r="F3" i="3"/>
  <c r="D3" i="3"/>
  <c r="F10" i="3"/>
  <c r="M6" i="3"/>
  <c r="H6" i="3"/>
  <c r="M5" i="3"/>
  <c r="H5" i="3"/>
  <c r="M23" i="3"/>
  <c r="H23" i="3"/>
  <c r="M10" i="3"/>
  <c r="M16" i="3"/>
  <c r="H16" i="3"/>
  <c r="M29" i="3"/>
  <c r="H29" i="3"/>
  <c r="E21" i="3"/>
  <c r="H11" i="4"/>
  <c r="D17" i="3"/>
  <c r="E14" i="3"/>
  <c r="H30" i="2"/>
  <c r="X25" i="8"/>
  <c r="L12" i="3"/>
  <c r="V11" i="8"/>
  <c r="D11" i="3"/>
  <c r="M21" i="3"/>
  <c r="E13" i="3"/>
  <c r="M28" i="3"/>
  <c r="L22" i="3"/>
  <c r="L29" i="3"/>
  <c r="I28" i="3"/>
  <c r="M30" i="3"/>
  <c r="D14" i="3"/>
  <c r="M13" i="3"/>
  <c r="F5" i="3"/>
  <c r="D6" i="3"/>
  <c r="D21" i="3"/>
  <c r="D5" i="3"/>
  <c r="F21" i="3"/>
  <c r="H3" i="4"/>
  <c r="D17" i="8"/>
  <c r="T8" i="8"/>
  <c r="X10" i="8"/>
  <c r="D4" i="8"/>
  <c r="L10" i="8"/>
  <c r="N20" i="8"/>
  <c r="F18" i="8"/>
  <c r="F6" i="8"/>
  <c r="J14" i="8"/>
  <c r="D28" i="8"/>
  <c r="P18" i="8"/>
  <c r="J29" i="8"/>
  <c r="T11" i="8"/>
  <c r="X4" i="8"/>
  <c r="F15" i="4"/>
  <c r="H6" i="4"/>
  <c r="G30" i="3"/>
  <c r="L21" i="3"/>
  <c r="H2" i="2"/>
  <c r="M14" i="3"/>
  <c r="D29" i="3"/>
  <c r="M7" i="3"/>
  <c r="L7" i="3"/>
  <c r="I29" i="3"/>
  <c r="B32" i="8"/>
  <c r="M24" i="3"/>
  <c r="L14" i="3"/>
  <c r="D10" i="8"/>
  <c r="J12" i="4"/>
  <c r="H29" i="2"/>
  <c r="K7" i="3"/>
  <c r="D23" i="3"/>
  <c r="J17" i="4"/>
  <c r="D28" i="3"/>
  <c r="K19" i="4"/>
  <c r="E24" i="3"/>
  <c r="F14" i="3"/>
  <c r="L5" i="3"/>
  <c r="N31" i="8"/>
  <c r="D30" i="3"/>
  <c r="F30" i="3"/>
  <c r="K29" i="3"/>
  <c r="J29" i="4"/>
  <c r="F23" i="3"/>
  <c r="L10" i="3"/>
  <c r="H8" i="2"/>
  <c r="D13" i="3"/>
  <c r="F27" i="4"/>
  <c r="J22" i="4"/>
  <c r="M8" i="3"/>
  <c r="E10" i="3"/>
  <c r="F25" i="3"/>
  <c r="I6" i="3"/>
  <c r="J13" i="4"/>
  <c r="L25" i="3"/>
  <c r="D24" i="3"/>
  <c r="H9" i="4"/>
  <c r="L20" i="3"/>
  <c r="K12" i="3"/>
  <c r="L23" i="3"/>
  <c r="I8" i="3"/>
  <c r="X14" i="8"/>
  <c r="L28" i="3"/>
  <c r="J27" i="4"/>
  <c r="I26" i="4"/>
  <c r="J26" i="4"/>
  <c r="I25" i="3"/>
  <c r="C24" i="4"/>
  <c r="L24" i="3"/>
  <c r="I25" i="4"/>
  <c r="F25" i="4"/>
  <c r="H25" i="4"/>
  <c r="J24" i="4"/>
  <c r="I24" i="3"/>
  <c r="D24" i="8"/>
  <c r="D22" i="3"/>
  <c r="J23" i="3"/>
  <c r="F24" i="4"/>
  <c r="E23" i="3"/>
  <c r="H23" i="4"/>
  <c r="H22" i="4"/>
  <c r="D22" i="8"/>
  <c r="H23" i="8"/>
  <c r="P22" i="8"/>
  <c r="F23" i="8"/>
  <c r="R22" i="8"/>
  <c r="N23" i="8"/>
  <c r="I22" i="3"/>
  <c r="E22" i="3"/>
  <c r="K21" i="3"/>
  <c r="K22" i="3"/>
  <c r="J22" i="8"/>
  <c r="H22" i="8"/>
  <c r="J21" i="3"/>
  <c r="I21" i="3"/>
  <c r="N21" i="8"/>
  <c r="J20" i="4"/>
  <c r="J20" i="8"/>
  <c r="J19" i="8"/>
  <c r="R20" i="8"/>
  <c r="F19" i="4"/>
  <c r="H18" i="4"/>
  <c r="F19" i="3"/>
  <c r="R18" i="8"/>
  <c r="D18" i="8"/>
  <c r="N17" i="8"/>
  <c r="J18" i="8"/>
  <c r="N18" i="8"/>
  <c r="X18" i="8"/>
  <c r="H18" i="8"/>
  <c r="I16" i="4"/>
  <c r="F16" i="4"/>
  <c r="H16" i="2"/>
  <c r="H16" i="4"/>
  <c r="E17" i="3"/>
  <c r="K17" i="3"/>
  <c r="H15" i="4"/>
  <c r="L16" i="8"/>
  <c r="H14" i="4"/>
  <c r="I15" i="3"/>
  <c r="I14" i="3"/>
  <c r="V14" i="8"/>
  <c r="J14" i="3"/>
  <c r="L13" i="3"/>
  <c r="J14" i="4"/>
  <c r="I13" i="3"/>
  <c r="P14" i="8"/>
  <c r="G12" i="3"/>
  <c r="F12" i="4"/>
  <c r="K13" i="3"/>
  <c r="R12" i="8"/>
  <c r="R13" i="8"/>
  <c r="X11" i="8"/>
  <c r="R11" i="8"/>
  <c r="P10" i="8"/>
  <c r="R10" i="8"/>
  <c r="J10" i="8"/>
  <c r="N10" i="8"/>
  <c r="F11" i="3"/>
  <c r="D10" i="3"/>
  <c r="L11" i="3"/>
  <c r="G10" i="3"/>
  <c r="I11" i="3"/>
  <c r="K10" i="3"/>
  <c r="J9" i="4"/>
  <c r="K11" i="3"/>
  <c r="E10" i="4"/>
  <c r="H9" i="8"/>
  <c r="J8" i="3"/>
  <c r="J7" i="4"/>
  <c r="L8" i="3"/>
  <c r="I8" i="4"/>
  <c r="H7" i="2"/>
  <c r="F8" i="4"/>
  <c r="H7" i="4"/>
  <c r="E7" i="3"/>
  <c r="I7" i="3"/>
  <c r="T7" i="8"/>
  <c r="D7" i="3"/>
  <c r="I18" i="4"/>
  <c r="I23" i="4"/>
  <c r="G9" i="3"/>
  <c r="E6" i="3"/>
  <c r="F26" i="8"/>
  <c r="H8" i="8"/>
  <c r="R14" i="8"/>
  <c r="V29" i="8"/>
  <c r="F16" i="8"/>
  <c r="H6" i="2"/>
  <c r="H18" i="2"/>
  <c r="G29" i="3"/>
  <c r="L26" i="8"/>
  <c r="D14" i="8"/>
  <c r="F14" i="8"/>
  <c r="J18" i="4"/>
  <c r="H17" i="2"/>
  <c r="D15" i="3"/>
  <c r="J7" i="3"/>
  <c r="L14" i="8"/>
  <c r="H27" i="4"/>
  <c r="I29" i="4"/>
  <c r="D11" i="8"/>
  <c r="F29" i="3"/>
  <c r="J5" i="4"/>
  <c r="C14" i="4"/>
  <c r="E25" i="3"/>
  <c r="I10" i="3"/>
  <c r="H14" i="8"/>
  <c r="T14" i="8"/>
  <c r="H26" i="4"/>
  <c r="X30" i="8"/>
  <c r="E12" i="3"/>
  <c r="F12" i="8"/>
  <c r="I12" i="4"/>
  <c r="I9" i="4"/>
  <c r="F10" i="4"/>
  <c r="H19" i="2"/>
  <c r="R26" i="8"/>
  <c r="F30" i="4"/>
  <c r="H17" i="4"/>
  <c r="I13" i="4"/>
  <c r="H15" i="2"/>
  <c r="J28" i="4"/>
  <c r="F11" i="4"/>
  <c r="J24" i="3"/>
  <c r="D12" i="3"/>
  <c r="F22" i="4"/>
  <c r="I6" i="4"/>
  <c r="D6" i="4"/>
  <c r="J6" i="4"/>
  <c r="K6" i="3"/>
  <c r="F6" i="3"/>
  <c r="V5" i="8"/>
  <c r="I4" i="4"/>
  <c r="I5" i="4"/>
  <c r="K5" i="3"/>
  <c r="E5" i="4"/>
  <c r="X5" i="8"/>
  <c r="J5" i="8"/>
  <c r="F5" i="8"/>
  <c r="J4" i="3"/>
  <c r="G3" i="3"/>
  <c r="G4" i="3"/>
  <c r="F3" i="4"/>
  <c r="J3" i="4"/>
  <c r="H4" i="4"/>
  <c r="I3" i="3"/>
  <c r="T29" i="8"/>
  <c r="Y20" i="8"/>
  <c r="Z20" i="8" s="1"/>
  <c r="F15" i="8"/>
  <c r="X22" i="8"/>
  <c r="F21" i="8"/>
  <c r="X20" i="8"/>
  <c r="F8" i="8"/>
  <c r="L25" i="8"/>
  <c r="P28" i="8"/>
  <c r="F24" i="8"/>
  <c r="X8" i="8"/>
  <c r="J28" i="8"/>
  <c r="N14" i="8"/>
  <c r="V28" i="8"/>
  <c r="V12" i="8"/>
  <c r="R8" i="8"/>
  <c r="L28" i="8"/>
  <c r="N24" i="8"/>
  <c r="X29" i="8"/>
  <c r="J11" i="8"/>
  <c r="P25" i="8"/>
  <c r="X15" i="8"/>
  <c r="J25" i="8"/>
  <c r="L19" i="8"/>
  <c r="R16" i="8"/>
  <c r="F22" i="8"/>
  <c r="H16" i="8"/>
  <c r="V22" i="8"/>
  <c r="P19" i="8"/>
  <c r="H5" i="8"/>
  <c r="H4" i="8"/>
  <c r="N22" i="8"/>
  <c r="P16" i="8"/>
  <c r="P6" i="8"/>
  <c r="J4" i="8"/>
  <c r="J16" i="8"/>
  <c r="T28" i="8"/>
  <c r="L8" i="8"/>
  <c r="H24" i="8"/>
  <c r="Y30" i="8"/>
  <c r="Z30" i="8" s="1"/>
  <c r="J12" i="8"/>
  <c r="L5" i="8"/>
  <c r="T24" i="8"/>
  <c r="H13" i="8"/>
  <c r="H20" i="8"/>
  <c r="J26" i="8"/>
  <c r="N12" i="8"/>
  <c r="T22" i="8"/>
  <c r="Y27" i="8"/>
  <c r="Z27" i="8" s="1"/>
  <c r="P8" i="8"/>
  <c r="L4" i="8"/>
  <c r="P4" i="8"/>
  <c r="F4" i="8"/>
  <c r="R4" i="8"/>
  <c r="N4" i="8"/>
  <c r="I7" i="4"/>
  <c r="H10" i="2"/>
  <c r="H23" i="2"/>
  <c r="K14" i="4"/>
  <c r="J8" i="4"/>
  <c r="H24" i="4"/>
  <c r="I20" i="4"/>
  <c r="H12" i="4"/>
  <c r="J29" i="3"/>
  <c r="H28" i="4"/>
  <c r="J25" i="4"/>
  <c r="G23" i="3"/>
  <c r="D25" i="3"/>
  <c r="G25" i="3"/>
  <c r="F29" i="4"/>
  <c r="H14" i="2"/>
  <c r="G6" i="3"/>
  <c r="I19" i="4"/>
  <c r="J15" i="4"/>
  <c r="I27" i="4"/>
  <c r="I11" i="4"/>
  <c r="G17" i="3"/>
  <c r="E27" i="3"/>
  <c r="F17" i="4"/>
  <c r="E29" i="3"/>
  <c r="G22" i="3"/>
  <c r="J23" i="4"/>
  <c r="G7" i="3"/>
  <c r="H21" i="2"/>
  <c r="E28" i="3"/>
  <c r="F9" i="3"/>
  <c r="E12" i="4"/>
  <c r="H27" i="2"/>
  <c r="F21" i="4"/>
  <c r="G14" i="3"/>
  <c r="H4" i="2"/>
  <c r="J17" i="3"/>
  <c r="F9" i="4"/>
  <c r="I22" i="4"/>
  <c r="I15" i="4"/>
  <c r="J25" i="3"/>
  <c r="K28" i="3"/>
  <c r="J16" i="4"/>
  <c r="J5" i="3"/>
  <c r="W33" i="2"/>
  <c r="H8" i="4"/>
  <c r="H26" i="2"/>
  <c r="F13" i="4"/>
  <c r="F4" i="4"/>
  <c r="I14" i="4"/>
  <c r="I24" i="4"/>
  <c r="L30" i="3"/>
  <c r="G24" i="3"/>
  <c r="F28" i="3"/>
  <c r="G19" i="3"/>
  <c r="F20" i="4"/>
  <c r="F22" i="3"/>
  <c r="I4" i="3"/>
  <c r="C12" i="4"/>
  <c r="H9" i="2"/>
  <c r="H24" i="2"/>
  <c r="I21" i="4"/>
  <c r="H13" i="4"/>
  <c r="E21" i="4"/>
  <c r="J19" i="4"/>
  <c r="J30" i="4"/>
  <c r="F7" i="4"/>
  <c r="L4" i="3"/>
  <c r="K24" i="3"/>
  <c r="J10" i="4"/>
  <c r="H25" i="2"/>
  <c r="F18" i="4"/>
  <c r="H11" i="2"/>
  <c r="J28" i="3"/>
  <c r="J6" i="3"/>
  <c r="J10" i="3"/>
  <c r="G11" i="3"/>
  <c r="K3" i="3"/>
  <c r="L3" i="3"/>
  <c r="E33" i="2"/>
  <c r="E4" i="3"/>
  <c r="J4" i="4"/>
  <c r="F7" i="3"/>
  <c r="F24" i="3"/>
  <c r="I5" i="3"/>
  <c r="I3" i="4"/>
  <c r="R33" i="2"/>
  <c r="L6" i="3"/>
  <c r="J11" i="4"/>
  <c r="I10" i="4"/>
  <c r="J3" i="3"/>
  <c r="H13" i="2"/>
  <c r="K6" i="4"/>
  <c r="I26" i="3"/>
  <c r="D25" i="4"/>
  <c r="D10" i="4"/>
  <c r="F23" i="4"/>
  <c r="I12" i="3"/>
  <c r="F26" i="4"/>
  <c r="H3" i="2"/>
  <c r="I23" i="3"/>
  <c r="G5" i="3"/>
  <c r="K14" i="3"/>
  <c r="K25" i="4"/>
  <c r="D12" i="4"/>
  <c r="H5" i="2"/>
  <c r="J22" i="3"/>
  <c r="G13" i="3"/>
  <c r="H10" i="4"/>
  <c r="J12" i="3"/>
  <c r="H28" i="2"/>
  <c r="I33" i="2"/>
  <c r="U33" i="2"/>
  <c r="O33" i="2"/>
  <c r="J13" i="3"/>
  <c r="H12" i="2"/>
  <c r="H20" i="2"/>
  <c r="K25" i="3"/>
  <c r="F14" i="4"/>
  <c r="I17" i="4"/>
  <c r="P33" i="2"/>
  <c r="G21" i="3"/>
  <c r="E23" i="4"/>
  <c r="G28" i="3"/>
  <c r="E5" i="3"/>
  <c r="K23" i="4"/>
  <c r="J19" i="3"/>
  <c r="F28" i="4"/>
  <c r="H22" i="2"/>
  <c r="N33" i="2"/>
  <c r="K33" i="2"/>
  <c r="H5" i="4"/>
  <c r="J21" i="4"/>
  <c r="Q33" i="2"/>
  <c r="F5" i="4"/>
  <c r="K23" i="3"/>
  <c r="F18" i="3"/>
  <c r="J11" i="3"/>
  <c r="I28" i="4"/>
  <c r="F13" i="3"/>
  <c r="J33" i="2"/>
  <c r="H21" i="4"/>
  <c r="F16" i="3"/>
  <c r="F6" i="4"/>
  <c r="E11" i="3"/>
  <c r="L33" i="2"/>
  <c r="H12" i="8"/>
  <c r="F20" i="8"/>
  <c r="F29" i="8"/>
  <c r="N13" i="8"/>
  <c r="P26" i="8"/>
  <c r="H6" i="8"/>
  <c r="T25" i="8"/>
  <c r="D15" i="8"/>
  <c r="J8" i="8"/>
  <c r="L18" i="8"/>
  <c r="V27" i="8"/>
  <c r="R9" i="8"/>
  <c r="J24" i="8"/>
  <c r="J7" i="8"/>
  <c r="N27" i="8"/>
  <c r="X13" i="8"/>
  <c r="V26" i="8"/>
  <c r="V10" i="8"/>
  <c r="Y11" i="8"/>
  <c r="Z11" i="8" s="1"/>
  <c r="H29" i="8"/>
  <c r="T19" i="8"/>
  <c r="T10" i="8"/>
  <c r="J21" i="8"/>
  <c r="V6" i="8"/>
  <c r="L15" i="8"/>
  <c r="N26" i="8"/>
  <c r="X28" i="8"/>
  <c r="V8" i="8"/>
  <c r="X21" i="8"/>
  <c r="T31" i="8"/>
  <c r="D20" i="8"/>
  <c r="T15" i="8"/>
  <c r="L13" i="8"/>
  <c r="X27" i="8"/>
  <c r="R5" i="8"/>
  <c r="R19" i="8"/>
  <c r="L12" i="8"/>
  <c r="N6" i="8"/>
  <c r="V7" i="8"/>
  <c r="L27" i="8"/>
  <c r="T13" i="8"/>
  <c r="H11" i="8"/>
  <c r="T12" i="8"/>
  <c r="J6" i="8"/>
  <c r="T5" i="8"/>
  <c r="P29" i="8"/>
  <c r="P13" i="8"/>
  <c r="N30" i="8"/>
  <c r="J13" i="8"/>
  <c r="Y6" i="8"/>
  <c r="Z6" i="8" s="1"/>
  <c r="N15" i="8"/>
  <c r="V4" i="8"/>
  <c r="H25" i="8"/>
  <c r="N19" i="8"/>
  <c r="J9" i="8"/>
  <c r="X7" i="8"/>
  <c r="P21" i="8"/>
  <c r="T6" i="8"/>
  <c r="X19" i="8"/>
  <c r="X6" i="8"/>
  <c r="R7" i="8"/>
  <c r="H7" i="8"/>
  <c r="F13" i="8"/>
  <c r="N28" i="8"/>
  <c r="P11" i="8"/>
  <c r="H30" i="8"/>
  <c r="R6" i="8"/>
  <c r="D12" i="8"/>
  <c r="Y13" i="8"/>
  <c r="Z13" i="8" s="1"/>
  <c r="L30" i="8"/>
  <c r="N11" i="8"/>
  <c r="P9" i="8"/>
  <c r="V16" i="8"/>
  <c r="T4" i="8"/>
  <c r="V21" i="8"/>
  <c r="T9" i="8"/>
  <c r="D26" i="8"/>
  <c r="F9" i="8"/>
  <c r="R21" i="8"/>
  <c r="T30" i="8"/>
  <c r="Y4" i="8"/>
  <c r="J17" i="8"/>
  <c r="L29" i="8"/>
  <c r="V15" i="8"/>
  <c r="H28" i="8"/>
  <c r="T21" i="8"/>
  <c r="T20" i="8"/>
  <c r="D25" i="8"/>
  <c r="Y8" i="8"/>
  <c r="Z8" i="8" s="1"/>
  <c r="S32" i="8"/>
  <c r="D7" i="8"/>
  <c r="J30" i="8"/>
  <c r="N9" i="8"/>
  <c r="V30" i="8"/>
  <c r="P12" i="8"/>
  <c r="F7" i="8"/>
  <c r="Y15" i="8"/>
  <c r="Z15" i="8" s="1"/>
  <c r="L11" i="8"/>
  <c r="P23" i="8"/>
  <c r="J27" i="8"/>
  <c r="H21" i="8"/>
  <c r="T18" i="8"/>
  <c r="Y14" i="8"/>
  <c r="Z14" i="8" s="1"/>
  <c r="N29" i="8"/>
  <c r="F30" i="8"/>
  <c r="Y28" i="8"/>
  <c r="Z28" i="8" s="1"/>
  <c r="M32" i="8"/>
  <c r="H27" i="8"/>
  <c r="V13" i="8"/>
  <c r="T26" i="8"/>
  <c r="R15" i="8"/>
  <c r="H19" i="8"/>
  <c r="D30" i="8"/>
  <c r="N7" i="8"/>
  <c r="H26" i="8"/>
  <c r="P30" i="8"/>
  <c r="X12" i="8"/>
  <c r="F25" i="8"/>
  <c r="P7" i="8"/>
  <c r="R30" i="8"/>
  <c r="V17" i="8"/>
  <c r="L7" i="8"/>
  <c r="X26" i="8"/>
  <c r="T23" i="8"/>
  <c r="R29" i="8"/>
  <c r="Y19" i="8"/>
  <c r="Z19" i="8" s="1"/>
  <c r="H10" i="8"/>
  <c r="P17" i="8"/>
  <c r="H17" i="8"/>
  <c r="V9" i="8"/>
  <c r="R28" i="8"/>
  <c r="L21" i="8"/>
  <c r="O32" i="8"/>
  <c r="Y25" i="8"/>
  <c r="Z25" i="8" s="1"/>
  <c r="Y22" i="8"/>
  <c r="Z22" i="8" s="1"/>
  <c r="V24" i="8"/>
  <c r="X16" i="8"/>
  <c r="Y17" i="8"/>
  <c r="Z17" i="8" s="1"/>
  <c r="I32" i="8"/>
  <c r="P15" i="8"/>
  <c r="V23" i="8"/>
  <c r="X24" i="8"/>
  <c r="C32" i="8"/>
  <c r="AB32" i="8" s="1"/>
  <c r="L24" i="8"/>
  <c r="Y23" i="8"/>
  <c r="Z23" i="8" s="1"/>
  <c r="X23" i="8"/>
  <c r="Y9" i="8"/>
  <c r="Z9" i="8" s="1"/>
  <c r="Y26" i="8"/>
  <c r="Z26" i="8" s="1"/>
  <c r="W32" i="8"/>
  <c r="Y12" i="8"/>
  <c r="Z12" i="8" s="1"/>
  <c r="Y5" i="8"/>
  <c r="Z5" i="8" s="1"/>
  <c r="V19" i="8"/>
  <c r="X9" i="8"/>
  <c r="L17" i="8"/>
  <c r="N8" i="8"/>
  <c r="V25" i="8"/>
  <c r="Y21" i="8"/>
  <c r="Z21" i="8" s="1"/>
  <c r="D13" i="8"/>
  <c r="P5" i="8"/>
  <c r="T16" i="8"/>
  <c r="N5" i="8"/>
  <c r="F19" i="8"/>
  <c r="D27" i="8"/>
  <c r="P20" i="8"/>
  <c r="D6" i="8"/>
  <c r="F11" i="8"/>
  <c r="Y18" i="8"/>
  <c r="Z18" i="8" s="1"/>
  <c r="J23" i="8"/>
  <c r="L6" i="8"/>
  <c r="L9" i="8"/>
  <c r="X17" i="8"/>
  <c r="F27" i="8"/>
  <c r="V20" i="8"/>
  <c r="N16" i="8"/>
  <c r="R25" i="8"/>
  <c r="Y10" i="8"/>
  <c r="Z10" i="8" s="1"/>
  <c r="R27" i="8"/>
  <c r="R23" i="8"/>
  <c r="Y7" i="8"/>
  <c r="Z7" i="8" s="1"/>
  <c r="D23" i="8"/>
  <c r="Y29" i="8"/>
  <c r="Z29" i="8" s="1"/>
  <c r="Y24" i="8"/>
  <c r="Z24" i="8" s="1"/>
  <c r="L20" i="8"/>
  <c r="Y16" i="8"/>
  <c r="Z16" i="8" s="1"/>
  <c r="D5" i="8"/>
  <c r="V18" i="8"/>
  <c r="D21" i="8"/>
  <c r="L23" i="8"/>
  <c r="F17" i="8"/>
  <c r="T27" i="8"/>
  <c r="D9" i="8"/>
  <c r="F28" i="8"/>
  <c r="H15" i="8"/>
  <c r="T17" i="8"/>
  <c r="J15" i="8"/>
  <c r="P24" i="8"/>
  <c r="D19" i="8"/>
  <c r="P27" i="8"/>
  <c r="Q32" i="8"/>
  <c r="D16" i="8"/>
  <c r="R17" i="8"/>
  <c r="L22" i="8"/>
  <c r="R24" i="8"/>
  <c r="D20" i="3"/>
  <c r="I27" i="3"/>
  <c r="F8" i="3"/>
  <c r="D27" i="3"/>
  <c r="I9" i="3"/>
  <c r="K9" i="3"/>
  <c r="G27" i="3"/>
  <c r="J20" i="3"/>
  <c r="G20" i="3"/>
  <c r="J27" i="3"/>
  <c r="I20" i="3"/>
  <c r="M9" i="3"/>
  <c r="L9" i="3"/>
  <c r="G8" i="3"/>
  <c r="E9" i="3"/>
  <c r="E8" i="3"/>
  <c r="D9" i="3"/>
  <c r="K27" i="3"/>
  <c r="F17" i="3"/>
  <c r="K8" i="3"/>
  <c r="I17" i="3"/>
  <c r="M27" i="3"/>
  <c r="E20" i="3"/>
  <c r="D8" i="3"/>
  <c r="J9" i="3"/>
  <c r="F20" i="3"/>
  <c r="L27" i="3"/>
  <c r="K20" i="3"/>
  <c r="M20" i="3"/>
  <c r="E18" i="3"/>
  <c r="M18" i="3"/>
  <c r="J16" i="3"/>
  <c r="G16" i="3"/>
  <c r="D16" i="3"/>
  <c r="K16" i="3"/>
  <c r="J18" i="3"/>
  <c r="I16" i="3"/>
  <c r="E16" i="3"/>
  <c r="K18" i="3"/>
  <c r="L16" i="3"/>
  <c r="I18" i="3"/>
  <c r="G18" i="3"/>
  <c r="G15" i="3"/>
  <c r="E15" i="3"/>
  <c r="L17" i="3"/>
  <c r="F15" i="3"/>
  <c r="K15" i="3"/>
  <c r="D18" i="3"/>
  <c r="D29" i="8"/>
  <c r="F27" i="3"/>
  <c r="L15" i="3"/>
  <c r="M15" i="3"/>
  <c r="J15" i="3"/>
  <c r="E26" i="3"/>
  <c r="I19" i="3"/>
  <c r="J26" i="3"/>
  <c r="F4" i="3"/>
  <c r="F26" i="3"/>
  <c r="K4" i="3"/>
  <c r="D26" i="3"/>
  <c r="D4" i="3"/>
  <c r="D19" i="3"/>
  <c r="M26" i="3"/>
  <c r="K26" i="3"/>
  <c r="L26" i="3"/>
  <c r="K19" i="3"/>
  <c r="G26" i="3"/>
  <c r="E19" i="3"/>
  <c r="D8" i="8"/>
  <c r="B31" i="4"/>
  <c r="G32" i="8"/>
  <c r="V33" i="2"/>
  <c r="K32" i="8"/>
  <c r="E32" i="8"/>
  <c r="U32" i="8"/>
  <c r="S33" i="2"/>
  <c r="T33" i="2"/>
  <c r="H31" i="2"/>
  <c r="M33" i="2"/>
  <c r="Y31" i="8"/>
  <c r="Z31" i="8" s="1"/>
  <c r="X31" i="8"/>
  <c r="F31" i="8"/>
  <c r="J31" i="8"/>
  <c r="D31" i="8"/>
  <c r="V31" i="8"/>
  <c r="P31" i="8"/>
  <c r="L31" i="8"/>
  <c r="R31" i="8"/>
  <c r="H31" i="8"/>
  <c r="I30" i="4"/>
  <c r="J30" i="3"/>
  <c r="H30" i="4"/>
  <c r="F33" i="2"/>
  <c r="E30" i="3"/>
  <c r="K30" i="3"/>
  <c r="G33" i="2"/>
  <c r="I30" i="3"/>
  <c r="C14" i="3" l="1"/>
  <c r="C28" i="3"/>
  <c r="C19" i="3"/>
  <c r="C20" i="3"/>
  <c r="C26" i="3"/>
  <c r="C22" i="3"/>
  <c r="C3" i="3"/>
  <c r="C31" i="3" s="1"/>
  <c r="C21" i="3"/>
  <c r="C15" i="3"/>
  <c r="C17" i="3"/>
  <c r="C18" i="3"/>
  <c r="C9" i="3"/>
  <c r="C16" i="3"/>
  <c r="C12" i="3"/>
  <c r="C13" i="3"/>
  <c r="C11" i="3"/>
  <c r="C10" i="3"/>
  <c r="C23" i="3"/>
  <c r="C7" i="3"/>
  <c r="C30" i="3"/>
  <c r="C29" i="3"/>
  <c r="C8" i="3"/>
  <c r="C25" i="3"/>
  <c r="C5" i="3"/>
  <c r="C27" i="3"/>
  <c r="C24" i="3"/>
  <c r="C4" i="3"/>
  <c r="C6" i="3"/>
  <c r="L3" i="4"/>
  <c r="D32" i="8"/>
  <c r="Z4" i="8"/>
  <c r="Y32" i="8"/>
  <c r="Z32" i="8" s="1"/>
  <c r="L16" i="4"/>
  <c r="C31" i="4"/>
  <c r="C33" i="4" s="1"/>
  <c r="L9" i="4"/>
  <c r="L27" i="4"/>
  <c r="L26" i="4"/>
  <c r="L24" i="4"/>
  <c r="L22" i="4"/>
  <c r="L20" i="4"/>
  <c r="L18" i="4"/>
  <c r="L17" i="4"/>
  <c r="L14" i="4"/>
  <c r="L15" i="4"/>
  <c r="K31" i="4"/>
  <c r="K33" i="4" s="1"/>
  <c r="L13" i="4"/>
  <c r="L12" i="4"/>
  <c r="L11" i="4"/>
  <c r="L10" i="4"/>
  <c r="L8" i="4"/>
  <c r="G31" i="4"/>
  <c r="G33" i="4" s="1"/>
  <c r="L29" i="4"/>
  <c r="L19" i="4"/>
  <c r="L6" i="4"/>
  <c r="L4" i="4"/>
  <c r="E31" i="4"/>
  <c r="E33" i="4" s="1"/>
  <c r="H31" i="4"/>
  <c r="H33" i="4" s="1"/>
  <c r="L32" i="8"/>
  <c r="L28" i="4"/>
  <c r="F31" i="4"/>
  <c r="F33" i="4" s="1"/>
  <c r="L7" i="4"/>
  <c r="L5" i="4"/>
  <c r="L23" i="4"/>
  <c r="D31" i="4"/>
  <c r="D33" i="4" s="1"/>
  <c r="L21" i="4"/>
  <c r="L25" i="4"/>
  <c r="J31" i="4"/>
  <c r="J33" i="4" s="1"/>
  <c r="N32" i="8"/>
  <c r="J32" i="8"/>
  <c r="R32" i="8"/>
  <c r="T32" i="8"/>
  <c r="H32" i="8"/>
  <c r="P32" i="8"/>
  <c r="V32" i="8"/>
  <c r="X32" i="8"/>
  <c r="F32" i="8"/>
  <c r="F31" i="3"/>
  <c r="L31" i="3"/>
  <c r="G31" i="3"/>
  <c r="H31" i="3"/>
  <c r="E31" i="3"/>
  <c r="K31" i="3"/>
  <c r="D31" i="3"/>
  <c r="I31" i="4"/>
  <c r="I33" i="4" s="1"/>
  <c r="J31" i="3"/>
  <c r="I31" i="3"/>
  <c r="L30" i="4"/>
  <c r="L31" i="4" l="1"/>
  <c r="L33" i="4" s="1"/>
  <c r="M33" i="4" s="1"/>
  <c r="N31" i="3"/>
  <c r="M31" i="4" l="1"/>
</calcChain>
</file>

<file path=xl/sharedStrings.xml><?xml version="1.0" encoding="utf-8"?>
<sst xmlns="http://schemas.openxmlformats.org/spreadsheetml/2006/main" count="236" uniqueCount="129">
  <si>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</si>
  <si>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</si>
  <si>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</si>
  <si>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</si>
  <si>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</si>
  <si>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</si>
  <si>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</si>
  <si>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</si>
  <si>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</si>
  <si>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</si>
  <si>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</si>
  <si>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</si>
  <si>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</si>
  <si>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</si>
  <si>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</si>
  <si>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</si>
  <si>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</si>
  <si>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</si>
  <si>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</si>
  <si>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</si>
  <si>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</si>
  <si>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</si>
  <si>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</si>
  <si>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</si>
  <si>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</si>
  <si>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</si>
  <si>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</si>
  <si>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</si>
  <si>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</si>
  <si>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</si>
  <si>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</si>
  <si>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</si>
  <si>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</si>
  <si>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</si>
  <si>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</si>
  <si>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</si>
  <si>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</si>
  <si>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</si>
  <si>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</si>
  <si>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</si>
  <si>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</si>
  <si>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</si>
  <si>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</si>
  <si>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</si>
  <si>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</si>
  <si>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</si>
  <si>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</si>
  <si>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</si>
  <si>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</si>
  <si>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</si>
  <si>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</si>
  <si>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</si>
  <si>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</si>
  <si>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</si>
  <si>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</si>
  <si>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</si>
  <si>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</si>
  <si>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</si>
  <si>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</si>
  <si>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</si>
  <si>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</si>
  <si>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</si>
  <si>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</si>
  <si>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</si>
  <si>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</si>
  <si>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</si>
  <si>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</si>
  <si>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</si>
  <si>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</si>
  <si>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</si>
  <si>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</si>
  <si>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</si>
  <si>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</si>
  <si>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</si>
  <si>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</si>
  <si>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</si>
  <si>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</si>
  <si>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</si>
  <si>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</si>
  <si>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</si>
  <si>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</si>
  <si>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</si>
  <si>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</si>
  <si>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</si>
  <si>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</si>
  <si>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</si>
  <si>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</si>
  <si>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</si>
  <si>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</si>
  <si>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</si>
  <si>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</si>
  <si>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</si>
  <si>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</si>
  <si>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</si>
  <si>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</si>
  <si>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</si>
  <si>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</si>
  <si>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</si>
  <si>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</si>
  <si>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</si>
  <si>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</si>
  <si>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</si>
  <si>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</si>
  <si>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</si>
  <si>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</si>
  <si>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</si>
  <si>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</si>
  <si>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</si>
  <si>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</si>
  <si>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</si>
  <si>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</si>
  <si>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</si>
  <si>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 xml:space="preserve">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</si>
  <si>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</si>
  <si>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</si>
  <si>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</si>
  <si>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</si>
  <si>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</si>
  <si>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</si>
  <si>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</si>
  <si>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</si>
  <si>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</si>
  <si>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M - Block /PC</t>
  </si>
  <si>
    <t xml:space="preserve"> B&amp;C Block</t>
  </si>
  <si>
    <t>Meter 18</t>
  </si>
  <si>
    <t>STP Product</t>
  </si>
  <si>
    <t>Total STP product</t>
  </si>
  <si>
    <t xml:space="preserve">STP -1 </t>
  </si>
  <si>
    <t>STP -1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</si>
</sst>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0" fillId="0" borderId="1" xfId="0" applyBorder="1"/>
    <xf numFmtId="1" fontId="14" fillId="0" borderId="1" xfId="0" applyNumberFormat="1" applyFont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'!$C$31:$F$31</c:f>
              <c:numCache>
                <c:formatCode>_(* #,##0.00_);_(* \(#,##0.00\);_(* "-"??_);_(@_)</c:formatCode>
                <c:ptCount val="4"/>
                <c:pt idx="0">
                  <c:v>-702620</c:v>
                </c:pt>
                <c:pt idx="1">
                  <c:v>-3888200</c:v>
                </c:pt>
                <c:pt idx="2">
                  <c:v>-376250</c:v>
                </c:pt>
                <c:pt idx="3">
                  <c:v>-1506080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consumption'!$E$32:$X$32</c:f>
              <c:numCache>
                <c:formatCode>0.00%</c:formatCode>
                <c:ptCount val="20"/>
                <c:pt idx="0" formatCode="0.00">
                  <c:v>-1834</c:v>
                </c:pt>
                <c:pt idx="1">
                  <c:v>2.2960014021382608E-2</c:v>
                </c:pt>
                <c:pt idx="2" formatCode="_(* #,##0.00_);_(* \(#,##0.00\);_(* &quot;-&quot;??_);_(@_)">
                  <c:v>-303228</c:v>
                </c:pt>
                <c:pt idx="3">
                  <c:v>3.7961391121460228</c:v>
                </c:pt>
                <c:pt idx="4" formatCode="0.00">
                  <c:v>-33374</c:v>
                </c:pt>
                <c:pt idx="5">
                  <c:v>0.41781216354941286</c:v>
                </c:pt>
                <c:pt idx="6" formatCode="0.00">
                  <c:v>-47501</c:v>
                </c:pt>
                <c:pt idx="7">
                  <c:v>0.59466937079045545</c:v>
                </c:pt>
                <c:pt idx="8" formatCode="0.00">
                  <c:v>-1159</c:v>
                </c:pt>
                <c:pt idx="9">
                  <c:v>1.4509627181451714E-2</c:v>
                </c:pt>
                <c:pt idx="10" formatCode="0.00">
                  <c:v>-2526</c:v>
                </c:pt>
                <c:pt idx="11">
                  <c:v>3.1623225418763612E-2</c:v>
                </c:pt>
                <c:pt idx="12" formatCode="0.00">
                  <c:v>-27275</c:v>
                </c:pt>
                <c:pt idx="13">
                  <c:v>0.34145822379128171</c:v>
                </c:pt>
                <c:pt idx="14" formatCode="_(* #,##0.00_);_(* \(#,##0.00\);_(* &quot;-&quot;??_);_(@_)">
                  <c:v>-288985</c:v>
                </c:pt>
                <c:pt idx="15">
                  <c:v>3.6178296902776736</c:v>
                </c:pt>
                <c:pt idx="16" formatCode="0.00">
                  <c:v>-125667</c:v>
                </c:pt>
                <c:pt idx="17">
                  <c:v>1.5732366859460678</c:v>
                </c:pt>
                <c:pt idx="18" formatCode="0.00">
                  <c:v>-24278</c:v>
                </c:pt>
                <c:pt idx="19">
                  <c:v>0.30393850622198854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consumption'!$B$32</c:f>
              <c:numCache>
                <c:formatCode>_(* #,##0.00_);_(* \(#,##0.00\);_(* "-"??_);_(@_)</c:formatCode>
                <c:ptCount val="1"/>
                <c:pt idx="0">
                  <c:v>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consumption'!$C$32</c:f>
              <c:numCache>
                <c:formatCode>_(* #,##0.00_);_(* \(#,##0.00\);_(* "-"??_);_(@_)</c:formatCode>
                <c:ptCount val="1"/>
                <c:pt idx="0">
                  <c:v>-79878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consumption'!$Y$32</c:f>
              <c:numCache>
                <c:formatCode>_(* #,##0.00_);_(* \(#,##0.00\);_(* "-"??_);_(@_)</c:formatCode>
                <c:ptCount val="1"/>
                <c:pt idx="0">
                  <c:v>-855827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36</xdr:row>
      <xdr:rowOff>33337</xdr:rowOff>
    </xdr:from>
    <xdr:to>
      <xdr:col>9</xdr:col>
      <xdr:colOff>904875</xdr:colOff>
      <xdr:row>52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36</xdr:row>
      <xdr:rowOff>74084</xdr:rowOff>
    </xdr:from>
    <xdr:to>
      <xdr:col>17</xdr:col>
      <xdr:colOff>603250</xdr:colOff>
      <xdr:row>55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37</xdr:row>
      <xdr:rowOff>17992</xdr:rowOff>
    </xdr:from>
    <xdr:to>
      <xdr:col>5</xdr:col>
      <xdr:colOff>369358</xdr:colOff>
      <xdr:row>51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115" zoomScaleNormal="115" workbookViewId="0">
      <selection activeCell="Q17" sqref="Q17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12" customWidth="1"/>
    <col min="7" max="7" width="10.28515625" style="35" customWidth="1"/>
    <col min="8" max="8" width="10.42578125" style="112" customWidth="1"/>
    <col min="9" max="9" width="10.85546875" style="35" customWidth="1"/>
    <col min="10" max="10" width="9.85546875" style="112" customWidth="1"/>
    <col min="11" max="11" width="9.85546875" style="35" customWidth="1"/>
    <col min="12" max="12" width="9.5703125" style="119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87" t="s">
        <v>4</v>
      </c>
      <c r="F1" s="110" t="s">
        <v>5</v>
      </c>
      <c r="G1" s="33" t="s">
        <v>114</v>
      </c>
      <c r="H1" s="113" t="s">
        <v>108</v>
      </c>
      <c r="I1" s="33" t="s">
        <v>109</v>
      </c>
      <c r="J1" s="115" t="s">
        <v>110</v>
      </c>
      <c r="K1" s="33" t="s">
        <v>113</v>
      </c>
      <c r="L1" s="34" t="s">
        <v>107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2</v>
      </c>
      <c r="D2" s="86">
        <v>2023</v>
      </c>
      <c r="E2" s="45">
        <v>18539.999999998414</v>
      </c>
      <c r="F2" s="89"/>
      <c r="G2" s="84">
        <v>5045</v>
      </c>
      <c r="H2" s="114"/>
      <c r="I2" s="52">
        <v>301</v>
      </c>
      <c r="J2" s="116"/>
      <c r="K2" s="81"/>
      <c r="L2" s="117"/>
      <c r="M2" s="58">
        <v>31.3</v>
      </c>
      <c r="N2" s="58">
        <v>67</v>
      </c>
      <c r="O2" s="58">
        <v>173</v>
      </c>
    </row>
    <row r="3" spans="1:15" ht="15" x14ac:dyDescent="0.25">
      <c r="A3" s="36" t="s">
        <v>9</v>
      </c>
      <c r="B3" s="37">
        <f>B2+1</f>
        <v>2</v>
      </c>
      <c r="C3" s="38">
        <v>2</v>
      </c>
      <c r="D3" s="86">
        <v>2023</v>
      </c>
      <c r="E3" s="45">
        <v>18449.999999999436</v>
      </c>
      <c r="F3" s="89"/>
      <c r="G3" s="84">
        <v>5090</v>
      </c>
      <c r="H3" s="114"/>
      <c r="I3" s="52">
        <v>310</v>
      </c>
      <c r="J3" s="116"/>
      <c r="K3" s="81"/>
      <c r="L3" s="117"/>
      <c r="M3" s="58">
        <v>34.4</v>
      </c>
      <c r="N3" s="58">
        <v>83</v>
      </c>
      <c r="O3" s="58">
        <v>215</v>
      </c>
    </row>
    <row r="4" spans="1:15" ht="15" x14ac:dyDescent="0.25">
      <c r="A4" s="36" t="s">
        <v>9</v>
      </c>
      <c r="B4" s="37">
        <f t="shared" ref="B4:B30" si="0">B3+1</f>
        <v>3</v>
      </c>
      <c r="C4" s="38">
        <v>2</v>
      </c>
      <c r="D4" s="86">
        <v>2023</v>
      </c>
      <c r="E4" s="45">
        <v>18760.000000001328</v>
      </c>
      <c r="F4" s="89"/>
      <c r="G4" s="128">
        <v>3516.2030999999997</v>
      </c>
      <c r="H4" s="114"/>
      <c r="I4" s="52">
        <v>286</v>
      </c>
      <c r="J4" s="116"/>
      <c r="K4" s="81"/>
      <c r="L4" s="117"/>
      <c r="M4" s="58">
        <v>38.5</v>
      </c>
      <c r="N4" s="58">
        <v>89</v>
      </c>
      <c r="O4" s="58">
        <v>251</v>
      </c>
    </row>
    <row r="5" spans="1:15" ht="15" x14ac:dyDescent="0.25">
      <c r="A5" s="36" t="s">
        <v>9</v>
      </c>
      <c r="B5" s="37">
        <f t="shared" si="0"/>
        <v>4</v>
      </c>
      <c r="C5" s="38">
        <v>2</v>
      </c>
      <c r="D5" s="86">
        <v>2023</v>
      </c>
      <c r="E5" s="45">
        <v>18030.0000000002</v>
      </c>
      <c r="F5" s="89"/>
      <c r="G5" s="128">
        <v>3656.12</v>
      </c>
      <c r="H5" s="114"/>
      <c r="I5" s="52">
        <v>362</v>
      </c>
      <c r="J5" s="116"/>
      <c r="K5" s="81"/>
      <c r="L5" s="117"/>
      <c r="M5" s="58">
        <v>41.7</v>
      </c>
      <c r="N5" s="58">
        <v>95</v>
      </c>
      <c r="O5" s="58">
        <v>256</v>
      </c>
    </row>
    <row r="6" spans="1:15" ht="15" x14ac:dyDescent="0.25">
      <c r="A6" s="36" t="s">
        <v>9</v>
      </c>
      <c r="B6" s="37">
        <f t="shared" si="0"/>
        <v>5</v>
      </c>
      <c r="C6" s="38">
        <v>2</v>
      </c>
      <c r="D6" s="86">
        <v>2023</v>
      </c>
      <c r="E6" s="45">
        <v>18980.000000000655</v>
      </c>
      <c r="F6" s="89"/>
      <c r="G6" s="128">
        <v>3739.7888999999996</v>
      </c>
      <c r="H6" s="114"/>
      <c r="I6" s="52">
        <v>346</v>
      </c>
      <c r="J6" s="116"/>
      <c r="K6" s="81"/>
      <c r="L6" s="117"/>
      <c r="M6" s="58">
        <v>32.299999999999997</v>
      </c>
      <c r="N6" s="58">
        <v>76</v>
      </c>
      <c r="O6" s="58">
        <v>211</v>
      </c>
    </row>
    <row r="7" spans="1:15" ht="15" x14ac:dyDescent="0.25">
      <c r="A7" s="36" t="s">
        <v>9</v>
      </c>
      <c r="B7" s="37">
        <f t="shared" si="0"/>
        <v>6</v>
      </c>
      <c r="C7" s="38">
        <v>2</v>
      </c>
      <c r="D7" s="86">
        <v>2023</v>
      </c>
      <c r="E7" s="45">
        <v>19649.999999997304</v>
      </c>
      <c r="F7" s="89"/>
      <c r="G7" s="128">
        <v>3689.1656999999996</v>
      </c>
      <c r="H7" s="114"/>
      <c r="I7" s="52">
        <v>385</v>
      </c>
      <c r="J7" s="116"/>
      <c r="K7" s="81"/>
      <c r="L7" s="117"/>
      <c r="M7" s="58">
        <v>34.4</v>
      </c>
      <c r="N7" s="58">
        <v>79</v>
      </c>
      <c r="O7" s="58">
        <v>210</v>
      </c>
    </row>
    <row r="8" spans="1:15" ht="15" x14ac:dyDescent="0.25">
      <c r="A8" s="36" t="s">
        <v>9</v>
      </c>
      <c r="B8" s="37">
        <f t="shared" si="0"/>
        <v>7</v>
      </c>
      <c r="C8" s="38">
        <v>2</v>
      </c>
      <c r="D8" s="86">
        <v>2023</v>
      </c>
      <c r="E8" s="45">
        <v>18610.000000002954</v>
      </c>
      <c r="F8" s="89"/>
      <c r="G8" s="128">
        <v>3662.4478999999997</v>
      </c>
      <c r="H8" s="114"/>
      <c r="I8" s="52">
        <v>336</v>
      </c>
      <c r="J8" s="116"/>
      <c r="K8" s="81"/>
      <c r="L8" s="117"/>
      <c r="M8" s="58">
        <v>37.5</v>
      </c>
      <c r="N8" s="58">
        <v>81</v>
      </c>
      <c r="O8" s="58">
        <v>225</v>
      </c>
    </row>
    <row r="9" spans="1:15" ht="15" x14ac:dyDescent="0.25">
      <c r="A9" s="36" t="s">
        <v>9</v>
      </c>
      <c r="B9" s="37">
        <f t="shared" si="0"/>
        <v>8</v>
      </c>
      <c r="C9" s="38">
        <v>2</v>
      </c>
      <c r="D9" s="86">
        <v>2023</v>
      </c>
      <c r="E9" s="45">
        <v>18949.999999999309</v>
      </c>
      <c r="F9" s="89"/>
      <c r="G9" s="128">
        <v>3639.9486999999999</v>
      </c>
      <c r="H9" s="114"/>
      <c r="I9" s="52">
        <v>378</v>
      </c>
      <c r="J9" s="116"/>
      <c r="K9" s="81"/>
      <c r="L9" s="117"/>
      <c r="M9" s="58">
        <v>35.4</v>
      </c>
      <c r="N9" s="58">
        <v>76</v>
      </c>
      <c r="O9" s="58">
        <v>219</v>
      </c>
    </row>
    <row r="10" spans="1:15" ht="15" x14ac:dyDescent="0.25">
      <c r="A10" s="36" t="s">
        <v>9</v>
      </c>
      <c r="B10" s="37">
        <f t="shared" si="0"/>
        <v>9</v>
      </c>
      <c r="C10" s="38">
        <v>2</v>
      </c>
      <c r="D10" s="86">
        <v>2023</v>
      </c>
      <c r="E10" s="45">
        <v>18279.999999998865</v>
      </c>
      <c r="F10" s="89"/>
      <c r="G10" s="84">
        <v>4966</v>
      </c>
      <c r="H10" s="114"/>
      <c r="I10" s="52">
        <v>352</v>
      </c>
      <c r="J10" s="116"/>
      <c r="K10" s="81"/>
      <c r="L10" s="117"/>
      <c r="M10" s="58">
        <v>35.4</v>
      </c>
      <c r="N10" s="58">
        <v>71</v>
      </c>
      <c r="O10" s="58">
        <v>191</v>
      </c>
    </row>
    <row r="11" spans="1:15" ht="15" x14ac:dyDescent="0.25">
      <c r="A11" s="36" t="s">
        <v>9</v>
      </c>
      <c r="B11" s="37">
        <f t="shared" si="0"/>
        <v>10</v>
      </c>
      <c r="C11" s="38">
        <v>2</v>
      </c>
      <c r="D11" s="86">
        <v>2023</v>
      </c>
      <c r="E11" s="45">
        <v>18439.999999999174</v>
      </c>
      <c r="F11" s="89"/>
      <c r="G11" s="84">
        <v>4879</v>
      </c>
      <c r="H11" s="114"/>
      <c r="I11" s="52">
        <v>319</v>
      </c>
      <c r="J11" s="116"/>
      <c r="K11" s="81"/>
      <c r="L11" s="117"/>
      <c r="M11" s="58">
        <v>42.7</v>
      </c>
      <c r="N11" s="58">
        <v>91</v>
      </c>
      <c r="O11" s="58">
        <v>245</v>
      </c>
    </row>
    <row r="12" spans="1:15" ht="15" x14ac:dyDescent="0.25">
      <c r="A12" s="36" t="s">
        <v>9</v>
      </c>
      <c r="B12" s="37">
        <f t="shared" si="0"/>
        <v>11</v>
      </c>
      <c r="C12" s="38">
        <v>2</v>
      </c>
      <c r="D12" s="86">
        <v>2023</v>
      </c>
      <c r="E12" s="45">
        <v>17980.000000001128</v>
      </c>
      <c r="F12" s="89"/>
      <c r="G12" s="84">
        <v>5187</v>
      </c>
      <c r="H12" s="114"/>
      <c r="I12" s="52">
        <v>340</v>
      </c>
      <c r="J12" s="116"/>
      <c r="K12" s="81"/>
      <c r="L12" s="117"/>
      <c r="M12" s="58">
        <v>50</v>
      </c>
      <c r="N12" s="58">
        <v>126</v>
      </c>
      <c r="O12" s="58">
        <v>303</v>
      </c>
    </row>
    <row r="13" spans="1:15" ht="15" x14ac:dyDescent="0.25">
      <c r="A13" s="36" t="s">
        <v>9</v>
      </c>
      <c r="B13" s="37">
        <f t="shared" si="0"/>
        <v>12</v>
      </c>
      <c r="C13" s="38">
        <v>2</v>
      </c>
      <c r="D13" s="86">
        <v>2023</v>
      </c>
      <c r="E13" s="45">
        <v>18260.00000000036</v>
      </c>
      <c r="F13" s="89"/>
      <c r="G13" s="84">
        <v>4978</v>
      </c>
      <c r="H13" s="114"/>
      <c r="I13" s="52">
        <v>345</v>
      </c>
      <c r="J13" s="116"/>
      <c r="K13" s="81"/>
      <c r="L13" s="117"/>
      <c r="M13" s="58">
        <v>55.2</v>
      </c>
      <c r="N13" s="58">
        <v>142</v>
      </c>
      <c r="O13" s="58">
        <v>367</v>
      </c>
    </row>
    <row r="14" spans="1:15" ht="15" x14ac:dyDescent="0.25">
      <c r="A14" s="36" t="s">
        <v>9</v>
      </c>
      <c r="B14" s="37">
        <f t="shared" si="0"/>
        <v>13</v>
      </c>
      <c r="C14" s="38">
        <v>2</v>
      </c>
      <c r="D14" s="86">
        <v>2023</v>
      </c>
      <c r="E14" s="45">
        <v>19209.999999999807</v>
      </c>
      <c r="F14" s="89"/>
      <c r="G14" s="84">
        <v>5111</v>
      </c>
      <c r="H14" s="114"/>
      <c r="I14" s="52">
        <v>359</v>
      </c>
      <c r="J14" s="116"/>
      <c r="K14" s="81"/>
      <c r="L14" s="117"/>
      <c r="M14" s="58">
        <v>61.5</v>
      </c>
      <c r="N14" s="58">
        <v>159</v>
      </c>
      <c r="O14" s="58">
        <v>391</v>
      </c>
    </row>
    <row r="15" spans="1:15" ht="15" x14ac:dyDescent="0.25">
      <c r="A15" s="36" t="s">
        <v>9</v>
      </c>
      <c r="B15" s="37">
        <f t="shared" si="0"/>
        <v>14</v>
      </c>
      <c r="C15" s="38">
        <v>2</v>
      </c>
      <c r="D15" s="86">
        <v>2023</v>
      </c>
      <c r="E15" s="45">
        <v>18800.000000001033</v>
      </c>
      <c r="F15" s="89"/>
      <c r="G15" s="84">
        <v>5222</v>
      </c>
      <c r="H15" s="114"/>
      <c r="I15" s="52">
        <v>407</v>
      </c>
      <c r="J15" s="116"/>
      <c r="K15" s="81"/>
      <c r="L15" s="117"/>
      <c r="M15" s="58">
        <v>61.5</v>
      </c>
      <c r="N15" s="58">
        <v>153</v>
      </c>
      <c r="O15" s="58">
        <v>383</v>
      </c>
    </row>
    <row r="16" spans="1:15" ht="15" x14ac:dyDescent="0.25">
      <c r="A16" s="36" t="s">
        <v>9</v>
      </c>
      <c r="B16" s="37">
        <f t="shared" si="0"/>
        <v>15</v>
      </c>
      <c r="C16" s="38">
        <v>2</v>
      </c>
      <c r="D16" s="86">
        <v>2023</v>
      </c>
      <c r="E16" s="45">
        <v>19950.00000000064</v>
      </c>
      <c r="F16" s="89"/>
      <c r="G16" s="84">
        <v>5489</v>
      </c>
      <c r="H16" s="114"/>
      <c r="I16" s="52">
        <v>395</v>
      </c>
      <c r="J16" s="116"/>
      <c r="K16" s="81"/>
      <c r="L16" s="117"/>
      <c r="M16" s="58">
        <v>63.5</v>
      </c>
      <c r="N16" s="58">
        <v>156</v>
      </c>
      <c r="O16" s="58">
        <v>408</v>
      </c>
    </row>
    <row r="17" spans="1:15" ht="15" x14ac:dyDescent="0.25">
      <c r="A17" s="36" t="s">
        <v>9</v>
      </c>
      <c r="B17" s="37">
        <f t="shared" si="0"/>
        <v>16</v>
      </c>
      <c r="C17" s="38">
        <v>2</v>
      </c>
      <c r="D17" s="86">
        <v>2023</v>
      </c>
      <c r="E17" s="45">
        <v>19709.999999999211</v>
      </c>
      <c r="F17" s="89"/>
      <c r="G17" s="84">
        <v>5475</v>
      </c>
      <c r="H17" s="114"/>
      <c r="I17" s="52">
        <v>373</v>
      </c>
      <c r="J17" s="116"/>
      <c r="K17" s="81"/>
      <c r="L17" s="117"/>
      <c r="M17" s="58">
        <v>70.8</v>
      </c>
      <c r="N17" s="58">
        <v>183</v>
      </c>
      <c r="O17" s="58">
        <v>454</v>
      </c>
    </row>
    <row r="18" spans="1:15" ht="15" x14ac:dyDescent="0.25">
      <c r="A18" s="36" t="s">
        <v>9</v>
      </c>
      <c r="B18" s="37">
        <f t="shared" si="0"/>
        <v>17</v>
      </c>
      <c r="C18" s="38">
        <v>2</v>
      </c>
      <c r="D18" s="86">
        <v>2023</v>
      </c>
      <c r="E18" s="45">
        <v>20429.999999998301</v>
      </c>
      <c r="F18" s="89"/>
      <c r="G18" s="84">
        <v>5407</v>
      </c>
      <c r="H18" s="114"/>
      <c r="I18" s="52">
        <v>375</v>
      </c>
      <c r="J18" s="116"/>
      <c r="K18" s="81"/>
      <c r="L18" s="117"/>
      <c r="M18" s="58">
        <v>67.7</v>
      </c>
      <c r="N18" s="58">
        <v>180</v>
      </c>
      <c r="O18" s="58">
        <v>453</v>
      </c>
    </row>
    <row r="19" spans="1:15" ht="15" x14ac:dyDescent="0.25">
      <c r="A19" s="36" t="s">
        <v>9</v>
      </c>
      <c r="B19" s="37">
        <f t="shared" si="0"/>
        <v>18</v>
      </c>
      <c r="C19" s="38">
        <v>2</v>
      </c>
      <c r="D19" s="86">
        <v>2023</v>
      </c>
      <c r="E19" s="45">
        <v>20000.000000000768</v>
      </c>
      <c r="F19" s="89"/>
      <c r="G19" s="84">
        <v>5381</v>
      </c>
      <c r="H19" s="114"/>
      <c r="I19" s="52">
        <v>355</v>
      </c>
      <c r="J19" s="116"/>
      <c r="K19" s="81"/>
      <c r="L19" s="117"/>
      <c r="M19" s="58">
        <v>63.5</v>
      </c>
      <c r="N19" s="58">
        <v>173</v>
      </c>
      <c r="O19" s="58">
        <v>407</v>
      </c>
    </row>
    <row r="20" spans="1:15" ht="15" x14ac:dyDescent="0.25">
      <c r="A20" s="36" t="s">
        <v>9</v>
      </c>
      <c r="B20" s="37">
        <f t="shared" si="0"/>
        <v>19</v>
      </c>
      <c r="C20" s="38">
        <v>2</v>
      </c>
      <c r="D20" s="86">
        <v>2023</v>
      </c>
      <c r="E20" s="45">
        <v>19019.999999998505</v>
      </c>
      <c r="F20" s="89"/>
      <c r="G20" s="84">
        <v>5314</v>
      </c>
      <c r="H20" s="114"/>
      <c r="I20" s="52">
        <v>338</v>
      </c>
      <c r="J20" s="116"/>
      <c r="K20" s="81"/>
      <c r="L20" s="117"/>
      <c r="M20" s="58">
        <v>54.2</v>
      </c>
      <c r="N20" s="58">
        <v>154</v>
      </c>
      <c r="O20" s="58">
        <v>443</v>
      </c>
    </row>
    <row r="21" spans="1:15" ht="15" x14ac:dyDescent="0.25">
      <c r="A21" s="36" t="s">
        <v>9</v>
      </c>
      <c r="B21" s="37">
        <f t="shared" si="0"/>
        <v>20</v>
      </c>
      <c r="C21" s="38">
        <v>2</v>
      </c>
      <c r="D21" s="86">
        <v>2023</v>
      </c>
      <c r="E21" s="45"/>
      <c r="F21" s="89"/>
      <c r="G21" s="84"/>
      <c r="H21" s="114"/>
      <c r="I21" s="52"/>
      <c r="J21" s="116"/>
      <c r="K21" s="81"/>
      <c r="L21" s="117"/>
      <c r="M21" s="58"/>
      <c r="N21" s="58"/>
      <c r="O21" s="58"/>
    </row>
    <row r="22" spans="1:15" ht="15" x14ac:dyDescent="0.25">
      <c r="A22" s="36" t="s">
        <v>9</v>
      </c>
      <c r="B22" s="37">
        <f t="shared" si="0"/>
        <v>21</v>
      </c>
      <c r="C22" s="38">
        <v>2</v>
      </c>
      <c r="D22" s="86">
        <v>2023</v>
      </c>
      <c r="E22" s="45"/>
      <c r="F22" s="89"/>
      <c r="G22" s="84"/>
      <c r="H22" s="114"/>
      <c r="I22" s="52"/>
      <c r="J22" s="116"/>
      <c r="K22" s="81"/>
      <c r="L22" s="117"/>
      <c r="M22" s="58"/>
      <c r="N22" s="58"/>
      <c r="O22" s="58"/>
    </row>
    <row r="23" spans="1:15" ht="15" x14ac:dyDescent="0.25">
      <c r="A23" s="36" t="s">
        <v>9</v>
      </c>
      <c r="B23" s="37">
        <f t="shared" si="0"/>
        <v>22</v>
      </c>
      <c r="C23" s="38">
        <v>2</v>
      </c>
      <c r="D23" s="86">
        <v>2023</v>
      </c>
      <c r="E23" s="45"/>
      <c r="F23" s="89"/>
      <c r="G23" s="84"/>
      <c r="H23" s="114"/>
      <c r="I23" s="52"/>
      <c r="J23" s="116"/>
      <c r="K23" s="81"/>
      <c r="L23" s="117"/>
      <c r="M23" s="58"/>
      <c r="N23" s="58"/>
      <c r="O23" s="58"/>
    </row>
    <row r="24" spans="1:15" ht="15" x14ac:dyDescent="0.25">
      <c r="A24" s="36" t="s">
        <v>9</v>
      </c>
      <c r="B24" s="37">
        <f t="shared" si="0"/>
        <v>23</v>
      </c>
      <c r="C24" s="38">
        <v>2</v>
      </c>
      <c r="D24" s="86">
        <v>2023</v>
      </c>
      <c r="E24" s="45"/>
      <c r="F24" s="89"/>
      <c r="G24" s="84"/>
      <c r="H24" s="114"/>
      <c r="I24" s="52"/>
      <c r="J24" s="116"/>
      <c r="K24" s="81"/>
      <c r="L24" s="117"/>
      <c r="M24" s="58"/>
      <c r="N24" s="58"/>
      <c r="O24" s="58"/>
    </row>
    <row r="25" spans="1:15" ht="15" x14ac:dyDescent="0.25">
      <c r="A25" s="36" t="s">
        <v>9</v>
      </c>
      <c r="B25" s="37">
        <f t="shared" si="0"/>
        <v>24</v>
      </c>
      <c r="C25" s="38">
        <v>2</v>
      </c>
      <c r="D25" s="86">
        <v>2023</v>
      </c>
      <c r="E25" s="45"/>
      <c r="F25" s="89"/>
      <c r="G25" s="84"/>
      <c r="H25" s="114"/>
      <c r="I25" s="52"/>
      <c r="J25" s="116"/>
      <c r="K25" s="81"/>
      <c r="L25" s="117"/>
      <c r="M25" s="58"/>
      <c r="N25" s="58"/>
      <c r="O25" s="58"/>
    </row>
    <row r="26" spans="1:15" ht="15" x14ac:dyDescent="0.25">
      <c r="A26" s="36" t="s">
        <v>9</v>
      </c>
      <c r="B26" s="37">
        <f>B25+1</f>
        <v>25</v>
      </c>
      <c r="C26" s="38">
        <v>2</v>
      </c>
      <c r="D26" s="86">
        <v>2023</v>
      </c>
      <c r="E26" s="45"/>
      <c r="F26" s="89"/>
      <c r="G26" s="84"/>
      <c r="H26" s="114"/>
      <c r="I26" s="52"/>
      <c r="J26" s="116"/>
      <c r="K26" s="81"/>
      <c r="L26" s="117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2</v>
      </c>
      <c r="D27" s="86">
        <v>2023</v>
      </c>
      <c r="E27" s="45"/>
      <c r="F27" s="89"/>
      <c r="G27" s="84"/>
      <c r="H27" s="114"/>
      <c r="I27" s="52"/>
      <c r="J27" s="116"/>
      <c r="K27" s="81"/>
      <c r="L27" s="117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2</v>
      </c>
      <c r="D28" s="86">
        <v>2023</v>
      </c>
      <c r="E28" s="45"/>
      <c r="F28" s="89"/>
      <c r="G28" s="84"/>
      <c r="H28" s="114"/>
      <c r="I28" s="52"/>
      <c r="J28" s="116"/>
      <c r="K28" s="81"/>
      <c r="L28" s="117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2</v>
      </c>
      <c r="D29" s="86">
        <v>2023</v>
      </c>
      <c r="E29" s="45"/>
      <c r="F29" s="89"/>
      <c r="G29" s="84"/>
      <c r="H29" s="114"/>
      <c r="I29" s="52"/>
      <c r="J29" s="116"/>
      <c r="K29" s="81"/>
      <c r="L29" s="117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2</v>
      </c>
      <c r="D30" s="86">
        <v>2023</v>
      </c>
      <c r="E30" s="45"/>
      <c r="F30" s="89"/>
      <c r="G30" s="84"/>
      <c r="H30" s="114"/>
      <c r="I30" s="52"/>
      <c r="J30" s="116"/>
      <c r="K30" s="81"/>
      <c r="L30" s="117"/>
      <c r="M30" s="58"/>
      <c r="N30" s="58"/>
      <c r="O30" s="58"/>
    </row>
    <row r="31" spans="1:15" ht="15" x14ac:dyDescent="0.25">
      <c r="A31" s="36" t="s">
        <v>9</v>
      </c>
      <c r="B31" s="37">
        <f>B30+1</f>
        <v>30</v>
      </c>
      <c r="C31" s="38">
        <v>2</v>
      </c>
      <c r="D31" s="86">
        <v>2023</v>
      </c>
      <c r="E31" s="45"/>
      <c r="F31" s="89"/>
      <c r="G31" s="84"/>
      <c r="H31" s="114"/>
      <c r="I31" s="52"/>
      <c r="J31" s="116"/>
      <c r="K31" s="81"/>
      <c r="L31" s="117"/>
      <c r="M31" s="58"/>
      <c r="N31" s="58"/>
      <c r="O31" s="58"/>
    </row>
    <row r="32" spans="1:15" ht="15" x14ac:dyDescent="0.25">
      <c r="A32" s="36" t="s">
        <v>9</v>
      </c>
      <c r="B32" s="37">
        <f>B31+1</f>
        <v>31</v>
      </c>
      <c r="C32" s="38">
        <v>2</v>
      </c>
      <c r="D32" s="86">
        <v>2023</v>
      </c>
      <c r="E32" s="45"/>
      <c r="F32" s="89"/>
      <c r="G32" s="84"/>
      <c r="H32" s="114"/>
      <c r="I32" s="52"/>
      <c r="J32" s="116"/>
      <c r="K32" s="81"/>
      <c r="L32" s="117"/>
      <c r="M32" s="58"/>
      <c r="N32" s="58"/>
      <c r="O32" s="58"/>
    </row>
    <row r="33" spans="1:15" ht="18.75" customHeight="1" x14ac:dyDescent="0.2">
      <c r="A33" s="129" t="s">
        <v>39</v>
      </c>
      <c r="B33" s="129"/>
      <c r="C33" s="129"/>
      <c r="D33" s="129"/>
      <c r="E33" s="80">
        <f>SUM(E2:E32)</f>
        <v>360049.99999999732</v>
      </c>
      <c r="F33" s="111">
        <v>0</v>
      </c>
      <c r="G33" s="80">
        <f>SUM(G2:G32)</f>
        <v>89447.674299999999</v>
      </c>
      <c r="H33" s="111">
        <v>0</v>
      </c>
      <c r="I33" s="80">
        <f>SUM(I2:I32)</f>
        <v>6662</v>
      </c>
      <c r="J33" s="111">
        <v>0</v>
      </c>
      <c r="K33" s="79">
        <f>SUM(K2:K31)</f>
        <v>0</v>
      </c>
      <c r="L33" s="118">
        <v>0</v>
      </c>
      <c r="M33" s="80">
        <f>SUM(M2:M32)</f>
        <v>911.5</v>
      </c>
      <c r="N33" s="80">
        <f>SUM(N2:N32)</f>
        <v>2234</v>
      </c>
      <c r="O33" s="80">
        <f>SUM(O2:O32)</f>
        <v>5805</v>
      </c>
    </row>
    <row r="40" spans="1:15" x14ac:dyDescent="0.2">
      <c r="C40" s="35" t="s">
        <v>112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"/>
  <sheetViews>
    <sheetView zoomScale="80" zoomScaleNormal="80" workbookViewId="0">
      <pane xSplit="4" ySplit="1" topLeftCell="H2" activePane="bottomRight" state="frozen"/>
      <selection pane="topRight" activeCell="C1" sqref="C1"/>
      <selection pane="bottomLeft" activeCell="A4" sqref="A4"/>
      <selection pane="bottomRight" activeCell="L2" sqref="L2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42578125" customWidth="1"/>
    <col min="14" max="14" width="19.28515625" customWidth="1"/>
    <col min="15" max="20" width="15.28515625" bestFit="1" customWidth="1"/>
    <col min="21" max="21" width="19.5703125" customWidth="1"/>
    <col min="22" max="22" width="20.28515625" customWidth="1"/>
    <col min="23" max="23" width="19" customWidth="1"/>
  </cols>
  <sheetData>
    <row r="1" spans="1:23" ht="25.5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120" t="s">
        <v>119</v>
      </c>
      <c r="F1" s="120" t="s">
        <v>120</v>
      </c>
      <c r="G1" s="121" t="s">
        <v>121</v>
      </c>
      <c r="H1" s="121" t="s">
        <v>102</v>
      </c>
      <c r="I1" s="122" t="s">
        <v>116</v>
      </c>
      <c r="J1" s="122" t="s">
        <v>117</v>
      </c>
      <c r="K1" s="122" t="s">
        <v>118</v>
      </c>
      <c r="L1" s="123" t="s">
        <v>127</v>
      </c>
      <c r="M1" s="123" t="s">
        <v>122</v>
      </c>
      <c r="N1" s="123" t="s">
        <v>123</v>
      </c>
      <c r="O1" s="124" t="s">
        <v>31</v>
      </c>
      <c r="P1" s="124" t="s">
        <v>32</v>
      </c>
      <c r="Q1" s="124" t="s">
        <v>33</v>
      </c>
      <c r="R1" s="124" t="s">
        <v>34</v>
      </c>
      <c r="S1" s="124" t="s">
        <v>35</v>
      </c>
      <c r="T1" s="124" t="s">
        <v>36</v>
      </c>
      <c r="U1" s="124" t="s">
        <v>37</v>
      </c>
      <c r="V1" s="125" t="s">
        <v>38</v>
      </c>
      <c r="W1" s="126" t="s">
        <v>90</v>
      </c>
    </row>
    <row r="2" spans="1:23" x14ac:dyDescent="0.25">
      <c r="A2" s="36" t="s">
        <v>9</v>
      </c>
      <c r="B2" s="37">
        <v>1</v>
      </c>
      <c r="C2" s="38">
        <v>2</v>
      </c>
      <c r="D2" s="86">
        <v>2023</v>
      </c>
      <c r="E2" s="3">
        <v>480</v>
      </c>
      <c r="F2" s="2">
        <v>2500</v>
      </c>
      <c r="G2" s="2">
        <v>260</v>
      </c>
      <c r="H2" s="2">
        <f>I2+J2+K2</f>
        <v>1140.0000000000432</v>
      </c>
      <c r="I2" s="2">
        <f>('Kwh Reading'!J5-'Kwh Reading'!J4)*1000</f>
        <v>440.00000000005457</v>
      </c>
      <c r="J2" s="2">
        <f>('Kwh Reading'!K5-'Kwh Reading'!K4)*1000</f>
        <v>370.00000000000455</v>
      </c>
      <c r="K2" s="2">
        <f>('Kwh Reading'!L5-'Kwh Reading'!L4)*1000</f>
        <v>329.99999999998408</v>
      </c>
      <c r="L2" s="2">
        <f>('Kwh Reading'!R5-'Kwh Reading'!R4)</f>
        <v>134.20000000000073</v>
      </c>
      <c r="M2" s="2">
        <f>('Kwh Reading'!I5-'Kwh Reading'!I4)*1000</f>
        <v>290.00000000002046</v>
      </c>
      <c r="N2" s="2">
        <f>('Kwh Reading'!B5-'Kwh Reading'!B4)*1000000</f>
        <v>1100.000000000101</v>
      </c>
      <c r="O2" s="2">
        <f>('Kwh Reading'!M5-'Kwh Reading'!M4)*1000</f>
        <v>370.00000000000455</v>
      </c>
      <c r="P2" s="2">
        <f>('Kwh Reading'!H5-'Kwh Reading'!H4)*1000000</f>
        <v>699.99999999992292</v>
      </c>
      <c r="Q2" s="2">
        <f>('Kwh Reading'!P5-'Kwh Reading'!P4)*1000000</f>
        <v>499.99999999994492</v>
      </c>
      <c r="R2" s="2">
        <f>('Kwh Reading'!G5-'Kwh Reading'!G4)*1000000</f>
        <v>499.99999999994492</v>
      </c>
      <c r="S2" s="2">
        <f>('Kwh Reading'!Q5-'Kwh Reading'!Q4)*1000</f>
        <v>289.99999999996362</v>
      </c>
      <c r="T2" s="2">
        <f>('Kwh Reading'!N5-'Kwh Reading'!N4)*1000</f>
        <v>389.99999999998636</v>
      </c>
      <c r="U2" s="2">
        <f>'Kwh Reading'!E5-'Kwh Reading'!E4</f>
        <v>2415.5</v>
      </c>
      <c r="V2" s="2">
        <f>'Kwh Reading'!D5-'Kwh Reading'!D4</f>
        <v>1697.2000000000116</v>
      </c>
      <c r="W2" s="21">
        <f>('Kwh Reading'!O5-'Kwh Reading'!O4)*1000</f>
        <v>219.99999999997044</v>
      </c>
    </row>
    <row r="3" spans="1:23" x14ac:dyDescent="0.25">
      <c r="A3" s="36" t="s">
        <v>9</v>
      </c>
      <c r="B3" s="37">
        <f>B2+1</f>
        <v>2</v>
      </c>
      <c r="C3" s="38">
        <v>2</v>
      </c>
      <c r="D3" s="86">
        <v>2023</v>
      </c>
      <c r="E3" s="3">
        <f>('Kwh Reading'!S6-'Kwh Reading'!S5)*1000</f>
        <v>529.99999999997272</v>
      </c>
      <c r="F3" s="2">
        <f>('Kwh Reading'!F6-'Kwh Reading'!F5)*1000000</f>
        <v>2500.0000000003906</v>
      </c>
      <c r="G3" s="2">
        <f>('Kwh Reading'!C6-'Kwh Reading'!C5)*1000</f>
        <v>269.99999999998181</v>
      </c>
      <c r="H3" s="2">
        <f t="shared" ref="H3:H31" si="0">I3+J3+K3</f>
        <v>999.99999999994316</v>
      </c>
      <c r="I3" s="2">
        <f>('Kwh Reading'!J6-'Kwh Reading'!J5)*1000</f>
        <v>439.99999999994088</v>
      </c>
      <c r="J3" s="2">
        <f>('Kwh Reading'!K6-'Kwh Reading'!K5)*1000</f>
        <v>269.99999999998181</v>
      </c>
      <c r="K3" s="2">
        <f>('Kwh Reading'!L6-'Kwh Reading'!L5)*1000</f>
        <v>290.00000000002046</v>
      </c>
      <c r="L3" s="2">
        <f>('Kwh Reading'!R6-'Kwh Reading'!R5)</f>
        <v>131.29999999999927</v>
      </c>
      <c r="M3" s="2">
        <f>('Kwh Reading'!I6-'Kwh Reading'!I5)*1000</f>
        <v>329.99999999998408</v>
      </c>
      <c r="N3" s="2">
        <f>('Kwh Reading'!B6-'Kwh Reading'!B5)*1000000</f>
        <v>1099.9999999998788</v>
      </c>
      <c r="O3" s="2">
        <f>('Kwh Reading'!M6-'Kwh Reading'!M5)*1000</f>
        <v>399.99999999997726</v>
      </c>
      <c r="P3" s="2">
        <f>('Kwh Reading'!H6-'Kwh Reading'!H5)*1000000</f>
        <v>599.99999999993395</v>
      </c>
      <c r="Q3" s="2">
        <f>('Kwh Reading'!P6-'Kwh Reading'!P5)*1000000</f>
        <v>500.00000000016701</v>
      </c>
      <c r="R3" s="2">
        <f>('Kwh Reading'!G6-'Kwh Reading'!G5)*1000000</f>
        <v>499.99999999994492</v>
      </c>
      <c r="S3" s="2">
        <f>('Kwh Reading'!Q6-'Kwh Reading'!Q5)*1000</f>
        <v>300.00000000006821</v>
      </c>
      <c r="T3" s="2">
        <f>('Kwh Reading'!N6-'Kwh Reading'!N5)*1000</f>
        <v>450.00000000004547</v>
      </c>
      <c r="U3" s="2">
        <f>'Kwh Reading'!E6-'Kwh Reading'!E5</f>
        <v>2362.7999999988824</v>
      </c>
      <c r="V3" s="2">
        <f>'Kwh Reading'!D6-'Kwh Reading'!D5</f>
        <v>1667.2699999999895</v>
      </c>
      <c r="W3" s="21">
        <f>('Kwh Reading'!O6-'Kwh Reading'!O5)*1000</f>
        <v>230.00000000001819</v>
      </c>
    </row>
    <row r="4" spans="1:23" x14ac:dyDescent="0.25">
      <c r="A4" s="36" t="s">
        <v>9</v>
      </c>
      <c r="B4" s="37">
        <f t="shared" ref="B4:B32" si="1">B3+1</f>
        <v>3</v>
      </c>
      <c r="C4" s="38">
        <v>2</v>
      </c>
      <c r="D4" s="86">
        <v>2023</v>
      </c>
      <c r="E4" s="3">
        <f>('Kwh Reading'!S7-'Kwh Reading'!S6)*1000</f>
        <v>410.00000000008185</v>
      </c>
      <c r="F4" s="2">
        <f>('Kwh Reading'!F7-'Kwh Reading'!F6)*1000000</f>
        <v>2599.9999999997135</v>
      </c>
      <c r="G4" s="2">
        <f>('Kwh Reading'!C7-'Kwh Reading'!C6)*1000</f>
        <v>240.00000000000909</v>
      </c>
      <c r="H4" s="2">
        <f t="shared" si="0"/>
        <v>1019.9999999999818</v>
      </c>
      <c r="I4" s="2">
        <f>('Kwh Reading'!J7-'Kwh Reading'!J6)*1000</f>
        <v>450.00000000004547</v>
      </c>
      <c r="J4" s="2">
        <f>('Kwh Reading'!K7-'Kwh Reading'!K6)*1000</f>
        <v>289.99999999996362</v>
      </c>
      <c r="K4" s="2">
        <f>('Kwh Reading'!L7-'Kwh Reading'!L6)*1000</f>
        <v>279.99999999997272</v>
      </c>
      <c r="L4" s="2">
        <f>('Kwh Reading'!R7-'Kwh Reading'!R6)</f>
        <v>132.79999999999927</v>
      </c>
      <c r="M4" s="2">
        <f>('Kwh Reading'!I7-'Kwh Reading'!I6)*1000</f>
        <v>290.00000000002046</v>
      </c>
      <c r="N4" s="2">
        <f>('Kwh Reading'!B7-'Kwh Reading'!B6)*1000000</f>
        <v>1100.000000000101</v>
      </c>
      <c r="O4" s="2">
        <f>('Kwh Reading'!M7-'Kwh Reading'!M6)*1000</f>
        <v>449.99999999993179</v>
      </c>
      <c r="P4" s="2">
        <f>('Kwh Reading'!H7-'Kwh Reading'!H6)*1000000</f>
        <v>600.00000000015598</v>
      </c>
      <c r="Q4" s="2">
        <f>('Kwh Reading'!P7-'Kwh Reading'!P6)*1000000</f>
        <v>499.99999999994492</v>
      </c>
      <c r="R4" s="2">
        <f>('Kwh Reading'!G7-'Kwh Reading'!G6)*1000000</f>
        <v>499.99999999994492</v>
      </c>
      <c r="S4" s="2">
        <f>('Kwh Reading'!Q7-'Kwh Reading'!Q6)*1000</f>
        <v>329.99999999992724</v>
      </c>
      <c r="T4" s="2">
        <f>('Kwh Reading'!N7-'Kwh Reading'!N6)*1000</f>
        <v>449.99999999993179</v>
      </c>
      <c r="U4" s="2">
        <f>'Kwh Reading'!E7-'Kwh Reading'!E6</f>
        <v>2342.5100000016391</v>
      </c>
      <c r="V4" s="2">
        <f>'Kwh Reading'!D7-'Kwh Reading'!D6</f>
        <v>1643.1700000000128</v>
      </c>
      <c r="W4" s="21">
        <f>('Kwh Reading'!O7-'Kwh Reading'!O6)*1000</f>
        <v>230.00000000001819</v>
      </c>
    </row>
    <row r="5" spans="1:23" x14ac:dyDescent="0.25">
      <c r="A5" s="36" t="s">
        <v>9</v>
      </c>
      <c r="B5" s="37">
        <f t="shared" si="1"/>
        <v>4</v>
      </c>
      <c r="C5" s="38">
        <v>2</v>
      </c>
      <c r="D5" s="86">
        <v>2023</v>
      </c>
      <c r="E5" s="3">
        <f>('Kwh Reading'!S8-'Kwh Reading'!S7)*1000</f>
        <v>329.99999999992724</v>
      </c>
      <c r="F5" s="2">
        <f>('Kwh Reading'!F8-'Kwh Reading'!F7)*1000000</f>
        <v>2600.0000000001578</v>
      </c>
      <c r="G5" s="2">
        <f>('Kwh Reading'!C8-'Kwh Reading'!C7)*1000</f>
        <v>250</v>
      </c>
      <c r="H5" s="2">
        <f t="shared" si="0"/>
        <v>979.99999999996135</v>
      </c>
      <c r="I5" s="2">
        <f>('Kwh Reading'!J8-'Kwh Reading'!J7)*1000</f>
        <v>429.99999999994998</v>
      </c>
      <c r="J5" s="2">
        <f>('Kwh Reading'!K8-'Kwh Reading'!K7)*1000</f>
        <v>269.99999999998181</v>
      </c>
      <c r="K5" s="2">
        <f>('Kwh Reading'!L8-'Kwh Reading'!L7)*1000</f>
        <v>280.00000000002956</v>
      </c>
      <c r="L5" s="2">
        <f>('Kwh Reading'!R8-'Kwh Reading'!R7)</f>
        <v>134.79999999999927</v>
      </c>
      <c r="M5" s="2">
        <f>('Kwh Reading'!I8-'Kwh Reading'!I7)*1000</f>
        <v>299.99999999995453</v>
      </c>
      <c r="N5" s="2">
        <f>('Kwh Reading'!B8-'Kwh Reading'!B7)*1000000</f>
        <v>1199.9999999998679</v>
      </c>
      <c r="O5" s="2">
        <f>('Kwh Reading'!M8-'Kwh Reading'!M7)*1000</f>
        <v>430.00000000006366</v>
      </c>
      <c r="P5" s="2">
        <f>('Kwh Reading'!H8-'Kwh Reading'!H7)*1000000</f>
        <v>599.99999999993395</v>
      </c>
      <c r="Q5" s="2">
        <f>('Kwh Reading'!P8-'Kwh Reading'!P7)*1000000</f>
        <v>499.99999999994492</v>
      </c>
      <c r="R5" s="2">
        <f>('Kwh Reading'!G8-'Kwh Reading'!G7)*1000000</f>
        <v>500.00000000016701</v>
      </c>
      <c r="S5" s="2">
        <f>('Kwh Reading'!Q8-'Kwh Reading'!Q7)*1000</f>
        <v>350.00000000002274</v>
      </c>
      <c r="T5" s="2">
        <f>('Kwh Reading'!N8-'Kwh Reading'!N7)*1000</f>
        <v>440.00000000005457</v>
      </c>
      <c r="U5" s="2">
        <f>'Kwh Reading'!E8-'Kwh Reading'!E7</f>
        <v>1974.6399999987334</v>
      </c>
      <c r="V5" s="2">
        <f>'Kwh Reading'!D8-'Kwh Reading'!D7</f>
        <v>1627.1700000000128</v>
      </c>
      <c r="W5" s="21">
        <f>('Kwh Reading'!O8-'Kwh Reading'!O7)*1000</f>
        <v>250</v>
      </c>
    </row>
    <row r="6" spans="1:23" x14ac:dyDescent="0.25">
      <c r="A6" s="36" t="s">
        <v>9</v>
      </c>
      <c r="B6" s="37">
        <f t="shared" si="1"/>
        <v>5</v>
      </c>
      <c r="C6" s="38">
        <v>2</v>
      </c>
      <c r="D6" s="86">
        <v>2023</v>
      </c>
      <c r="E6" s="3">
        <f>('Kwh Reading'!S9-'Kwh Reading'!S8)*1000</f>
        <v>550.00000000006821</v>
      </c>
      <c r="F6" s="2">
        <f>('Kwh Reading'!F9-'Kwh Reading'!F8)*1000000</f>
        <v>2599.9999999997135</v>
      </c>
      <c r="G6" s="2">
        <f>('Kwh Reading'!C9-'Kwh Reading'!C8)*1000</f>
        <v>250</v>
      </c>
      <c r="H6" s="2">
        <f t="shared" si="0"/>
        <v>1129.9999999999955</v>
      </c>
      <c r="I6" s="2">
        <f>('Kwh Reading'!J9-'Kwh Reading'!J8)*1000</f>
        <v>529.99999999997272</v>
      </c>
      <c r="J6" s="2">
        <f>('Kwh Reading'!K9-'Kwh Reading'!K8)*1000</f>
        <v>310.00000000005912</v>
      </c>
      <c r="K6" s="2">
        <f>('Kwh Reading'!L9-'Kwh Reading'!L8)*1000</f>
        <v>289.99999999996362</v>
      </c>
      <c r="L6" s="2">
        <f>('Kwh Reading'!R9-'Kwh Reading'!R8)</f>
        <v>129.70000000000073</v>
      </c>
      <c r="M6" s="2">
        <f>('Kwh Reading'!I9-'Kwh Reading'!I8)*1000</f>
        <v>310.00000000000227</v>
      </c>
      <c r="N6" s="2">
        <f>('Kwh Reading'!B9-'Kwh Reading'!B8)*1000000</f>
        <v>1100.000000000101</v>
      </c>
      <c r="O6" s="2">
        <f>('Kwh Reading'!M9-'Kwh Reading'!M8)*1000</f>
        <v>449.99999999993179</v>
      </c>
      <c r="P6" s="2">
        <f>('Kwh Reading'!H9-'Kwh Reading'!H8)*1000000</f>
        <v>599.99999999993395</v>
      </c>
      <c r="Q6" s="2">
        <f>('Kwh Reading'!P9-'Kwh Reading'!P8)*1000000</f>
        <v>399.99999999995595</v>
      </c>
      <c r="R6" s="2">
        <f>('Kwh Reading'!G9-'Kwh Reading'!G8)*1000000</f>
        <v>599.99999999993395</v>
      </c>
      <c r="S6" s="2">
        <f>('Kwh Reading'!Q9-'Kwh Reading'!Q8)*1000</f>
        <v>350.00000000002274</v>
      </c>
      <c r="T6" s="2">
        <f>('Kwh Reading'!N9-'Kwh Reading'!N8)*1000</f>
        <v>429.99999999994998</v>
      </c>
      <c r="U6" s="2">
        <f>'Kwh Reading'!E9-'Kwh Reading'!E8</f>
        <v>2777.1500000003725</v>
      </c>
      <c r="V6" s="2">
        <f>'Kwh Reading'!D9-'Kwh Reading'!D8</f>
        <v>1637.0199999999895</v>
      </c>
      <c r="W6" s="21">
        <f>('Kwh Reading'!O9-'Kwh Reading'!O8)*1000</f>
        <v>219.99999999997044</v>
      </c>
    </row>
    <row r="7" spans="1:23" x14ac:dyDescent="0.25">
      <c r="A7" s="36" t="s">
        <v>9</v>
      </c>
      <c r="B7" s="37">
        <f t="shared" si="1"/>
        <v>6</v>
      </c>
      <c r="C7" s="38">
        <v>2</v>
      </c>
      <c r="D7" s="86">
        <v>2023</v>
      </c>
      <c r="E7" s="3">
        <f>('Kwh Reading'!S10-'Kwh Reading'!S9)*1000</f>
        <v>500</v>
      </c>
      <c r="F7" s="2">
        <f>('Kwh Reading'!F10-'Kwh Reading'!F9)*1000000</f>
        <v>2600.0000000001578</v>
      </c>
      <c r="G7" s="2">
        <f>('Kwh Reading'!C10-'Kwh Reading'!C9)*1000</f>
        <v>250</v>
      </c>
      <c r="H7" s="2">
        <f t="shared" si="0"/>
        <v>1219.9999999999704</v>
      </c>
      <c r="I7" s="2">
        <f>('Kwh Reading'!J10-'Kwh Reading'!J9)*1000</f>
        <v>590.00000000003183</v>
      </c>
      <c r="J7" s="2">
        <f>('Kwh Reading'!K10-'Kwh Reading'!K9)*1000</f>
        <v>319.99999999993634</v>
      </c>
      <c r="K7" s="2">
        <f>('Kwh Reading'!L10-'Kwh Reading'!L9)*1000</f>
        <v>310.00000000000227</v>
      </c>
      <c r="L7" s="2">
        <f>('Kwh Reading'!R10-'Kwh Reading'!R9)</f>
        <v>130.40000000000146</v>
      </c>
      <c r="M7" s="2">
        <f>('Kwh Reading'!I10-'Kwh Reading'!I9)*1000</f>
        <v>290.00000000002046</v>
      </c>
      <c r="N7" s="2">
        <f>('Kwh Reading'!B10-'Kwh Reading'!B9)*1000000</f>
        <v>1199.9999999998679</v>
      </c>
      <c r="O7" s="2">
        <f>('Kwh Reading'!M10-'Kwh Reading'!M9)*1000</f>
        <v>440.00000000005457</v>
      </c>
      <c r="P7" s="2">
        <f>('Kwh Reading'!H10-'Kwh Reading'!H9)*1000000</f>
        <v>599.99999999993395</v>
      </c>
      <c r="Q7" s="2">
        <f>('Kwh Reading'!P10-'Kwh Reading'!P9)*1000000</f>
        <v>500.00000000016701</v>
      </c>
      <c r="R7" s="2">
        <f>('Kwh Reading'!G10-'Kwh Reading'!G9)*1000000</f>
        <v>599.99999999993395</v>
      </c>
      <c r="S7" s="2">
        <f>('Kwh Reading'!Q10-'Kwh Reading'!Q9)*1000</f>
        <v>330.00000000004093</v>
      </c>
      <c r="T7" s="2">
        <f>('Kwh Reading'!N10-'Kwh Reading'!N9)*1000</f>
        <v>440.00000000005457</v>
      </c>
      <c r="U7" s="2">
        <f>'Kwh Reading'!E10-'Kwh Reading'!E9</f>
        <v>2554.5800000000745</v>
      </c>
      <c r="V7" s="2">
        <f>'Kwh Reading'!D10-'Kwh Reading'!D9</f>
        <v>1387.5599999999977</v>
      </c>
      <c r="W7" s="21">
        <f>('Kwh Reading'!O10-'Kwh Reading'!O9)*1000</f>
        <v>220.00000000002728</v>
      </c>
    </row>
    <row r="8" spans="1:23" x14ac:dyDescent="0.25">
      <c r="A8" s="36" t="s">
        <v>9</v>
      </c>
      <c r="B8" s="37">
        <f t="shared" si="1"/>
        <v>7</v>
      </c>
      <c r="C8" s="38">
        <v>2</v>
      </c>
      <c r="D8" s="86">
        <v>2023</v>
      </c>
      <c r="E8" s="3">
        <f>('Kwh Reading'!S11-'Kwh Reading'!S10)*1000</f>
        <v>469.9999999999136</v>
      </c>
      <c r="F8" s="2">
        <f>('Kwh Reading'!F11-'Kwh Reading'!F10)*1000000</f>
        <v>2499.9999999999468</v>
      </c>
      <c r="G8" s="2">
        <f>('Kwh Reading'!C11-'Kwh Reading'!C10)*1000</f>
        <v>270.00000000003865</v>
      </c>
      <c r="H8" s="2">
        <f t="shared" si="0"/>
        <v>1180.0000000000068</v>
      </c>
      <c r="I8" s="2">
        <f>('Kwh Reading'!J11-'Kwh Reading'!J10)*1000</f>
        <v>509.99999999999091</v>
      </c>
      <c r="J8" s="2">
        <f>('Kwh Reading'!K11-'Kwh Reading'!K10)*1000</f>
        <v>370.00000000000455</v>
      </c>
      <c r="K8" s="2">
        <f>('Kwh Reading'!L11-'Kwh Reading'!L10)*1000</f>
        <v>300.00000000001137</v>
      </c>
      <c r="L8" s="2">
        <f>('Kwh Reading'!R11-'Kwh Reading'!R10)</f>
        <v>131.39999999999782</v>
      </c>
      <c r="M8" s="2">
        <f>('Kwh Reading'!I11-'Kwh Reading'!I10)*1000</f>
        <v>300.00000000001137</v>
      </c>
      <c r="N8" s="2">
        <f>('Kwh Reading'!B11-'Kwh Reading'!B10)*1000000</f>
        <v>1200.0000000000898</v>
      </c>
      <c r="O8" s="2">
        <f>('Kwh Reading'!M11-'Kwh Reading'!M10)*1000</f>
        <v>409.99999999996817</v>
      </c>
      <c r="P8" s="2">
        <f>('Kwh Reading'!H11-'Kwh Reading'!H10)*1000000</f>
        <v>600.00000000015598</v>
      </c>
      <c r="Q8" s="2">
        <f>('Kwh Reading'!P11-'Kwh Reading'!P10)*1000000</f>
        <v>599.99999999993395</v>
      </c>
      <c r="R8" s="2">
        <f>('Kwh Reading'!G11-'Kwh Reading'!G10)*1000000</f>
        <v>499.99999999994492</v>
      </c>
      <c r="S8" s="2">
        <f>('Kwh Reading'!Q11-'Kwh Reading'!Q10)*1000</f>
        <v>370.00000000000455</v>
      </c>
      <c r="T8" s="2">
        <f>('Kwh Reading'!N11-'Kwh Reading'!N10)*1000</f>
        <v>429.99999999994998</v>
      </c>
      <c r="U8" s="26">
        <f>'Kwh Reading'!E11-'Kwh Reading'!E10</f>
        <v>2307.0299999993294</v>
      </c>
      <c r="V8" s="26">
        <f>'Kwh Reading'!D11-'Kwh Reading'!D10</f>
        <v>1598.7999999999884</v>
      </c>
      <c r="W8" s="21">
        <f>('Kwh Reading'!O11-'Kwh Reading'!O10)*1000</f>
        <v>229.99999999996135</v>
      </c>
    </row>
    <row r="9" spans="1:23" x14ac:dyDescent="0.25">
      <c r="A9" s="36" t="s">
        <v>9</v>
      </c>
      <c r="B9" s="37">
        <f t="shared" si="1"/>
        <v>8</v>
      </c>
      <c r="C9" s="38">
        <v>2</v>
      </c>
      <c r="D9" s="86">
        <v>2023</v>
      </c>
      <c r="E9" s="3">
        <f>('Kwh Reading'!S12-'Kwh Reading'!S11)*1000</f>
        <v>470.00000000002728</v>
      </c>
      <c r="F9" s="2">
        <f>('Kwh Reading'!F12-'Kwh Reading'!F11)*1000000</f>
        <v>2600.0000000001578</v>
      </c>
      <c r="G9" s="2">
        <f>('Kwh Reading'!C12-'Kwh Reading'!C11)*1000</f>
        <v>250</v>
      </c>
      <c r="H9" s="2">
        <f t="shared" si="0"/>
        <v>1200.0000000001023</v>
      </c>
      <c r="I9" s="2">
        <f>('Kwh Reading'!J12-'Kwh Reading'!J11)*1000</f>
        <v>540.00000000007731</v>
      </c>
      <c r="J9" s="2">
        <f>('Kwh Reading'!K12-'Kwh Reading'!K11)*1000</f>
        <v>360.00000000001364</v>
      </c>
      <c r="K9" s="2">
        <f>('Kwh Reading'!L12-'Kwh Reading'!L11)*1000</f>
        <v>300.00000000001137</v>
      </c>
      <c r="L9" s="2">
        <f>('Kwh Reading'!R12-'Kwh Reading'!R11)</f>
        <v>133.5</v>
      </c>
      <c r="M9" s="2">
        <f>('Kwh Reading'!I12-'Kwh Reading'!I11)*1000</f>
        <v>300.00000000001137</v>
      </c>
      <c r="N9" s="2">
        <f>('Kwh Reading'!B12-'Kwh Reading'!B11)*1000000</f>
        <v>1100.000000000101</v>
      </c>
      <c r="O9" s="2">
        <f>('Kwh Reading'!M12-'Kwh Reading'!M11)*1000</f>
        <v>440.00000000005457</v>
      </c>
      <c r="P9" s="2">
        <f>('Kwh Reading'!H12-'Kwh Reading'!H11)*1000000</f>
        <v>599.99999999993395</v>
      </c>
      <c r="Q9" s="2">
        <f>('Kwh Reading'!P12-'Kwh Reading'!P11)*1000000</f>
        <v>499.99999999994492</v>
      </c>
      <c r="R9" s="2">
        <f>('Kwh Reading'!G12-'Kwh Reading'!G11)*1000000</f>
        <v>500.00000000016701</v>
      </c>
      <c r="S9" s="2">
        <f>('Kwh Reading'!Q12-'Kwh Reading'!Q11)*1000</f>
        <v>399.99999999997726</v>
      </c>
      <c r="T9" s="2">
        <f>('Kwh Reading'!N12-'Kwh Reading'!N11)*1000</f>
        <v>379.99999999999545</v>
      </c>
      <c r="U9" s="26">
        <f>'Kwh Reading'!E12-'Kwh Reading'!E11</f>
        <v>2296.2800000011921</v>
      </c>
      <c r="V9" s="26">
        <f>'Kwh Reading'!D12-'Kwh Reading'!D11</f>
        <v>1699.820000000007</v>
      </c>
      <c r="W9" s="21">
        <f>('Kwh Reading'!O12-'Kwh Reading'!O11)*1000</f>
        <v>240.00000000000909</v>
      </c>
    </row>
    <row r="10" spans="1:23" x14ac:dyDescent="0.25">
      <c r="A10" s="36" t="s">
        <v>9</v>
      </c>
      <c r="B10" s="37">
        <f t="shared" si="1"/>
        <v>9</v>
      </c>
      <c r="C10" s="38">
        <v>2</v>
      </c>
      <c r="D10" s="86">
        <v>2023</v>
      </c>
      <c r="E10" s="3">
        <f>('Kwh Reading'!S13-'Kwh Reading'!S12)*1000</f>
        <v>470.00000000002728</v>
      </c>
      <c r="F10" s="2">
        <f>('Kwh Reading'!F13-'Kwh Reading'!F12)*1000000</f>
        <v>2600.0000000001578</v>
      </c>
      <c r="G10" s="2">
        <f>('Kwh Reading'!C13-'Kwh Reading'!C12)*1000</f>
        <v>250</v>
      </c>
      <c r="H10" s="2">
        <f t="shared" si="0"/>
        <v>1029.999999999859</v>
      </c>
      <c r="I10" s="2">
        <f>('Kwh Reading'!J13-'Kwh Reading'!J12)*1000</f>
        <v>479.9999999999045</v>
      </c>
      <c r="J10" s="2">
        <f>('Kwh Reading'!K13-'Kwh Reading'!K12)*1000</f>
        <v>289.99999999996362</v>
      </c>
      <c r="K10" s="2">
        <f>('Kwh Reading'!L13-'Kwh Reading'!L12)*1000</f>
        <v>259.99999999999091</v>
      </c>
      <c r="L10" s="2">
        <f>('Kwh Reading'!R13-'Kwh Reading'!R12)</f>
        <v>130.20000000000073</v>
      </c>
      <c r="M10" s="2">
        <f>('Kwh Reading'!I13-'Kwh Reading'!I12)*1000</f>
        <v>279.99999999997272</v>
      </c>
      <c r="N10" s="2">
        <f>('Kwh Reading'!B13-'Kwh Reading'!B12)*1000000</f>
        <v>1099.9999999998788</v>
      </c>
      <c r="O10" s="2">
        <f>('Kwh Reading'!M13-'Kwh Reading'!M12)*1000</f>
        <v>399.99999999997726</v>
      </c>
      <c r="P10" s="2">
        <f>('Kwh Reading'!H13-'Kwh Reading'!H12)*1000000</f>
        <v>599.99999999993395</v>
      </c>
      <c r="Q10" s="2">
        <f>('Kwh Reading'!P13-'Kwh Reading'!P12)*1000000</f>
        <v>599.99999999993395</v>
      </c>
      <c r="R10" s="2">
        <f>('Kwh Reading'!G13-'Kwh Reading'!G12)*1000000</f>
        <v>499.99999999994492</v>
      </c>
      <c r="S10" s="2">
        <f>('Kwh Reading'!Q13-'Kwh Reading'!Q12)*1000</f>
        <v>379.99999999999545</v>
      </c>
      <c r="T10" s="2">
        <f>('Kwh Reading'!N13-'Kwh Reading'!N12)*1000</f>
        <v>330.00000000004093</v>
      </c>
      <c r="U10" s="26">
        <f>'Kwh Reading'!E13-'Kwh Reading'!E12</f>
        <v>2323.25</v>
      </c>
      <c r="V10" s="26">
        <f>'Kwh Reading'!D13-'Kwh Reading'!D12</f>
        <v>1512.6600000000035</v>
      </c>
      <c r="W10" s="21">
        <f>('Kwh Reading'!O13-'Kwh Reading'!O12)*1000</f>
        <v>209.99999999997954</v>
      </c>
    </row>
    <row r="11" spans="1:23" x14ac:dyDescent="0.25">
      <c r="A11" s="36" t="s">
        <v>9</v>
      </c>
      <c r="B11" s="37">
        <f t="shared" si="1"/>
        <v>10</v>
      </c>
      <c r="C11" s="38">
        <v>2</v>
      </c>
      <c r="D11" s="86">
        <v>2023</v>
      </c>
      <c r="E11" s="3">
        <f>('Kwh Reading'!S14-'Kwh Reading'!S13)*1000</f>
        <v>449.99999999993179</v>
      </c>
      <c r="F11" s="2">
        <f>('Kwh Reading'!F14-'Kwh Reading'!F13)*1000000</f>
        <v>2499.9999999999468</v>
      </c>
      <c r="G11" s="2">
        <f>('Kwh Reading'!C14-'Kwh Reading'!C13)*1000</f>
        <v>239.99999999995225</v>
      </c>
      <c r="H11" s="2">
        <f t="shared" si="0"/>
        <v>940.00000000016826</v>
      </c>
      <c r="I11" s="2">
        <f>('Kwh Reading'!J14-'Kwh Reading'!J13)*1000</f>
        <v>390.00000000010004</v>
      </c>
      <c r="J11" s="2">
        <f>('Kwh Reading'!K14-'Kwh Reading'!K13)*1000</f>
        <v>280.0000000000864</v>
      </c>
      <c r="K11" s="2">
        <f>('Kwh Reading'!L14-'Kwh Reading'!L13)*1000</f>
        <v>269.99999999998181</v>
      </c>
      <c r="L11" s="2">
        <f>('Kwh Reading'!R14-'Kwh Reading'!R13)</f>
        <v>125.79999999999927</v>
      </c>
      <c r="M11" s="2">
        <f>('Kwh Reading'!I14-'Kwh Reading'!I13)*1000</f>
        <v>269.99999999998181</v>
      </c>
      <c r="N11" s="2">
        <f>('Kwh Reading'!B14-'Kwh Reading'!B13)*1000000</f>
        <v>1100.000000000101</v>
      </c>
      <c r="O11" s="2">
        <f>('Kwh Reading'!M14-'Kwh Reading'!M13)*1000</f>
        <v>450.00000000004547</v>
      </c>
      <c r="P11" s="2">
        <f>('Kwh Reading'!H14-'Kwh Reading'!H13)*1000000</f>
        <v>500.00000000016701</v>
      </c>
      <c r="Q11" s="2">
        <f>('Kwh Reading'!P14-'Kwh Reading'!P13)*1000000</f>
        <v>500.00000000016701</v>
      </c>
      <c r="R11" s="2">
        <f>('Kwh Reading'!G14-'Kwh Reading'!G13)*1000000</f>
        <v>499.99999999994492</v>
      </c>
      <c r="S11" s="2">
        <f>('Kwh Reading'!Q14-'Kwh Reading'!Q13)*1000</f>
        <v>360.00000000001364</v>
      </c>
      <c r="T11" s="2">
        <f>('Kwh Reading'!N14-'Kwh Reading'!N13)*1000</f>
        <v>350.00000000002274</v>
      </c>
      <c r="U11" s="26">
        <f>'Kwh Reading'!E14-'Kwh Reading'!E13</f>
        <v>2327.609999999404</v>
      </c>
      <c r="V11" s="26">
        <f>'Kwh Reading'!D14-'Kwh Reading'!D13</f>
        <v>1515</v>
      </c>
      <c r="W11" s="21">
        <f>('Kwh Reading'!O14-'Kwh Reading'!O13)*1000</f>
        <v>250</v>
      </c>
    </row>
    <row r="12" spans="1:23" x14ac:dyDescent="0.25">
      <c r="A12" s="36" t="s">
        <v>9</v>
      </c>
      <c r="B12" s="37">
        <f t="shared" si="1"/>
        <v>11</v>
      </c>
      <c r="C12" s="38">
        <v>2</v>
      </c>
      <c r="D12" s="86">
        <v>2023</v>
      </c>
      <c r="E12" s="3">
        <f>('Kwh Reading'!S15-'Kwh Reading'!S14)*1000</f>
        <v>440.00000000005457</v>
      </c>
      <c r="F12" s="2">
        <f>('Kwh Reading'!F15-'Kwh Reading'!F14)*1000000</f>
        <v>2599.9999999997135</v>
      </c>
      <c r="G12" s="2">
        <f>('Kwh Reading'!C15-'Kwh Reading'!C14)*1000</f>
        <v>270.00000000003865</v>
      </c>
      <c r="H12" s="2">
        <f t="shared" si="0"/>
        <v>1139.9999999999295</v>
      </c>
      <c r="I12" s="2">
        <f>('Kwh Reading'!J15-'Kwh Reading'!J14)*1000</f>
        <v>539.99999999996362</v>
      </c>
      <c r="J12" s="2">
        <f>('Kwh Reading'!K15-'Kwh Reading'!K14)*1000</f>
        <v>289.99999999996362</v>
      </c>
      <c r="K12" s="2">
        <f>('Kwh Reading'!L15-'Kwh Reading'!L14)*1000</f>
        <v>310.00000000000227</v>
      </c>
      <c r="L12" s="2">
        <f>('Kwh Reading'!R15-'Kwh Reading'!R14)</f>
        <v>130.20000000000073</v>
      </c>
      <c r="M12" s="2">
        <f>('Kwh Reading'!I15-'Kwh Reading'!I14)*1000</f>
        <v>270.00000000003865</v>
      </c>
      <c r="N12" s="2">
        <f>('Kwh Reading'!B15-'Kwh Reading'!B14)*1000000</f>
        <v>1099.9999999998788</v>
      </c>
      <c r="O12" s="2">
        <f>('Kwh Reading'!M15-'Kwh Reading'!M14)*1000</f>
        <v>459.99999999992269</v>
      </c>
      <c r="P12" s="2">
        <f>('Kwh Reading'!H15-'Kwh Reading'!H14)*1000000</f>
        <v>599.99999999993395</v>
      </c>
      <c r="Q12" s="2">
        <f>('Kwh Reading'!P15-'Kwh Reading'!P14)*1000000</f>
        <v>499.99999999994492</v>
      </c>
      <c r="R12" s="2">
        <f>('Kwh Reading'!G15-'Kwh Reading'!G14)*1000000</f>
        <v>600.00000000015598</v>
      </c>
      <c r="S12" s="2">
        <f>('Kwh Reading'!Q15-'Kwh Reading'!Q14)*1000</f>
        <v>429.99999999994998</v>
      </c>
      <c r="T12" s="2">
        <f>('Kwh Reading'!N15-'Kwh Reading'!N14)*1000</f>
        <v>409.99999999996817</v>
      </c>
      <c r="U12" s="26">
        <f>'Kwh Reading'!E15-'Kwh Reading'!E14</f>
        <v>2048</v>
      </c>
      <c r="V12" s="26">
        <f>'Kwh Reading'!D15-'Kwh Reading'!D14</f>
        <v>1511</v>
      </c>
      <c r="W12" s="21">
        <f>('Kwh Reading'!O15-'Kwh Reading'!O14)*1000</f>
        <v>270.00000000003865</v>
      </c>
    </row>
    <row r="13" spans="1:23" x14ac:dyDescent="0.25">
      <c r="A13" s="36" t="s">
        <v>9</v>
      </c>
      <c r="B13" s="37">
        <f t="shared" si="1"/>
        <v>12</v>
      </c>
      <c r="C13" s="38">
        <v>2</v>
      </c>
      <c r="D13" s="86">
        <v>2023</v>
      </c>
      <c r="E13" s="3">
        <f>('Kwh Reading'!S16-'Kwh Reading'!S15)*1000</f>
        <v>490.00000000000909</v>
      </c>
      <c r="F13" s="2">
        <f>('Kwh Reading'!F16-'Kwh Reading'!F15)*1000000</f>
        <v>2499.9999999999468</v>
      </c>
      <c r="G13" s="2">
        <f>('Kwh Reading'!C16-'Kwh Reading'!C15)*1000</f>
        <v>269.99999999998181</v>
      </c>
      <c r="H13" s="2">
        <f t="shared" si="0"/>
        <v>1170.0000000000159</v>
      </c>
      <c r="I13" s="2">
        <f>('Kwh Reading'!J16-'Kwh Reading'!J15)*1000</f>
        <v>559.99999999994543</v>
      </c>
      <c r="J13" s="2">
        <f>('Kwh Reading'!K16-'Kwh Reading'!K15)*1000</f>
        <v>330.00000000004093</v>
      </c>
      <c r="K13" s="2">
        <f>('Kwh Reading'!L16-'Kwh Reading'!L15)*1000</f>
        <v>280.00000000002956</v>
      </c>
      <c r="L13" s="2">
        <f>('Kwh Reading'!R16-'Kwh Reading'!R15)</f>
        <v>122.29999999999927</v>
      </c>
      <c r="M13" s="2">
        <f>('Kwh Reading'!I16-'Kwh Reading'!I15)*1000</f>
        <v>250</v>
      </c>
      <c r="N13" s="2">
        <f>('Kwh Reading'!B16-'Kwh Reading'!B15)*1000000</f>
        <v>1100.000000000101</v>
      </c>
      <c r="O13" s="21">
        <f>('Kwh Reading'!M16-'Kwh Reading'!M15)*1000</f>
        <v>399.99999999997726</v>
      </c>
      <c r="P13" s="2">
        <f>('Kwh Reading'!H16-'Kwh Reading'!H15)*1000000</f>
        <v>599.99999999993395</v>
      </c>
      <c r="Q13" s="2">
        <f>('Kwh Reading'!P16-'Kwh Reading'!P15)*1000000</f>
        <v>499.99999999994492</v>
      </c>
      <c r="R13" s="2">
        <f>('Kwh Reading'!G16-'Kwh Reading'!G15)*1000000</f>
        <v>499.99999999994492</v>
      </c>
      <c r="S13" s="2">
        <f>('Kwh Reading'!Q16-'Kwh Reading'!Q15)*1000</f>
        <v>389.99999999998636</v>
      </c>
      <c r="T13" s="2">
        <f>('Kwh Reading'!N16-'Kwh Reading'!N15)*1000</f>
        <v>379.99999999999545</v>
      </c>
      <c r="U13" s="26">
        <f>'Kwh Reading'!E16-'Kwh Reading'!E15</f>
        <v>2393.910000000149</v>
      </c>
      <c r="V13" s="26">
        <f>'Kwh Reading'!D16-'Kwh Reading'!D15</f>
        <v>1582.2000000000116</v>
      </c>
      <c r="W13" s="21">
        <f>('Kwh Reading'!O16-'Kwh Reading'!O15)*1000</f>
        <v>250</v>
      </c>
    </row>
    <row r="14" spans="1:23" x14ac:dyDescent="0.25">
      <c r="A14" s="36" t="s">
        <v>9</v>
      </c>
      <c r="B14" s="37">
        <f t="shared" si="1"/>
        <v>13</v>
      </c>
      <c r="C14" s="38">
        <v>2</v>
      </c>
      <c r="D14" s="86">
        <v>2023</v>
      </c>
      <c r="E14" s="3">
        <f>('Kwh Reading'!S17-'Kwh Reading'!S16)*1000</f>
        <v>529.99999999997272</v>
      </c>
      <c r="F14" s="2">
        <f>('Kwh Reading'!F17-'Kwh Reading'!F16)*1000000</f>
        <v>2600.0000000001578</v>
      </c>
      <c r="G14" s="2">
        <f>('Kwh Reading'!C17-'Kwh Reading'!C16)*1000</f>
        <v>240.00000000000909</v>
      </c>
      <c r="H14" s="2">
        <f t="shared" si="0"/>
        <v>1210.0000000000364</v>
      </c>
      <c r="I14" s="2">
        <f>('Kwh Reading'!J17-'Kwh Reading'!J16)*1000</f>
        <v>660.00000000008185</v>
      </c>
      <c r="J14" s="2">
        <f>('Kwh Reading'!K17-'Kwh Reading'!K16)*1000</f>
        <v>250</v>
      </c>
      <c r="K14" s="2">
        <f>('Kwh Reading'!L17-'Kwh Reading'!L16)*1000</f>
        <v>299.99999999995453</v>
      </c>
      <c r="L14" s="2">
        <f>('Kwh Reading'!R17-'Kwh Reading'!R16)</f>
        <v>124.5</v>
      </c>
      <c r="M14" s="2">
        <f>('Kwh Reading'!I17-'Kwh Reading'!I16)*1000</f>
        <v>259.99999999999091</v>
      </c>
      <c r="N14" s="2">
        <f>('Kwh Reading'!B17-'Kwh Reading'!B16)*1000000</f>
        <v>1099.9999999998788</v>
      </c>
      <c r="O14" s="2">
        <f>('Kwh Reading'!M17-'Kwh Reading'!M16)*1000</f>
        <v>440.00000000005457</v>
      </c>
      <c r="P14" s="2">
        <f>('Kwh Reading'!H17-'Kwh Reading'!H16)*1000000</f>
        <v>600.00000000015598</v>
      </c>
      <c r="Q14" s="2">
        <f>('Kwh Reading'!P17-'Kwh Reading'!P16)*1000000</f>
        <v>499.99999999994492</v>
      </c>
      <c r="R14" s="2">
        <f>('Kwh Reading'!G17-'Kwh Reading'!G16)*1000000</f>
        <v>599.99999999993395</v>
      </c>
      <c r="S14" s="2">
        <f>('Kwh Reading'!Q17-'Kwh Reading'!Q16)*1000</f>
        <v>370.00000000000455</v>
      </c>
      <c r="T14" s="2">
        <f>('Kwh Reading'!N17-'Kwh Reading'!N16)*1000</f>
        <v>419.99999999995907</v>
      </c>
      <c r="U14" s="26">
        <f>'Kwh Reading'!E17-'Kwh Reading'!E16</f>
        <v>2300.769999999553</v>
      </c>
      <c r="V14" s="26">
        <f>'Kwh Reading'!D17-'Kwh Reading'!D16</f>
        <v>1557.7799999999988</v>
      </c>
      <c r="W14" s="21">
        <f>('Kwh Reading'!O17-'Kwh Reading'!O16)*1000</f>
        <v>250</v>
      </c>
    </row>
    <row r="15" spans="1:23" x14ac:dyDescent="0.25">
      <c r="A15" s="36" t="s">
        <v>9</v>
      </c>
      <c r="B15" s="37">
        <f t="shared" si="1"/>
        <v>14</v>
      </c>
      <c r="C15" s="38">
        <v>2</v>
      </c>
      <c r="D15" s="86">
        <v>2023</v>
      </c>
      <c r="E15" s="3">
        <f>('Kwh Reading'!S18-'Kwh Reading'!S17)*1000</f>
        <v>519.99999999998181</v>
      </c>
      <c r="F15" s="2">
        <f>('Kwh Reading'!F18-'Kwh Reading'!F17)*1000000</f>
        <v>2800.0000000001355</v>
      </c>
      <c r="G15" s="2">
        <f>('Kwh Reading'!C18-'Kwh Reading'!C17)*1000</f>
        <v>250</v>
      </c>
      <c r="H15" s="2">
        <f t="shared" si="0"/>
        <v>1240.0000000000091</v>
      </c>
      <c r="I15" s="2">
        <f>('Kwh Reading'!J18-'Kwh Reading'!J17)*1000</f>
        <v>649.99999999997726</v>
      </c>
      <c r="J15" s="2">
        <f>('Kwh Reading'!K18-'Kwh Reading'!K17)*1000</f>
        <v>269.99999999998181</v>
      </c>
      <c r="K15" s="2">
        <f>('Kwh Reading'!L18-'Kwh Reading'!L17)*1000</f>
        <v>320.00000000005002</v>
      </c>
      <c r="L15" s="2">
        <f>('Kwh Reading'!R18-'Kwh Reading'!R17)</f>
        <v>127.60000000000218</v>
      </c>
      <c r="M15" s="2">
        <f>('Kwh Reading'!I18-'Kwh Reading'!I17)*1000</f>
        <v>300.00000000001137</v>
      </c>
      <c r="N15" s="2">
        <f>('Kwh Reading'!B18-'Kwh Reading'!B17)*1000000</f>
        <v>1100.000000000101</v>
      </c>
      <c r="O15" s="2">
        <f>('Kwh Reading'!M18-'Kwh Reading'!M17)*1000</f>
        <v>460.00000000003638</v>
      </c>
      <c r="P15" s="2">
        <f>('Kwh Reading'!H18-'Kwh Reading'!H17)*1000000</f>
        <v>599.99999999993395</v>
      </c>
      <c r="Q15" s="2">
        <f>('Kwh Reading'!P18-'Kwh Reading'!P17)*1000000</f>
        <v>600.00000000015598</v>
      </c>
      <c r="R15" s="2">
        <f>('Kwh Reading'!G18-'Kwh Reading'!G17)*1000000</f>
        <v>599.99999999993395</v>
      </c>
      <c r="S15" s="2">
        <f>('Kwh Reading'!Q18-'Kwh Reading'!Q17)*1000</f>
        <v>440.00000000005457</v>
      </c>
      <c r="T15" s="2">
        <f>('Kwh Reading'!N18-'Kwh Reading'!N17)*1000</f>
        <v>470.00000000002728</v>
      </c>
      <c r="U15" s="26">
        <f>'Kwh Reading'!E18-'Kwh Reading'!E17</f>
        <v>2636.7200000006706</v>
      </c>
      <c r="V15" s="26">
        <f>'Kwh Reading'!D18-'Kwh Reading'!D17</f>
        <v>1735.679999999993</v>
      </c>
      <c r="W15" s="21">
        <f>('Kwh Reading'!O18-'Kwh Reading'!O17)*1000</f>
        <v>259.99999999999091</v>
      </c>
    </row>
    <row r="16" spans="1:23" x14ac:dyDescent="0.25">
      <c r="A16" s="36" t="s">
        <v>9</v>
      </c>
      <c r="B16" s="37">
        <f t="shared" si="1"/>
        <v>15</v>
      </c>
      <c r="C16" s="38">
        <v>2</v>
      </c>
      <c r="D16" s="86">
        <v>2023</v>
      </c>
      <c r="E16" s="3">
        <f>('Kwh Reading'!S19-'Kwh Reading'!S18)*1000</f>
        <v>540.00000000007731</v>
      </c>
      <c r="F16" s="2">
        <f>('Kwh Reading'!F19-'Kwh Reading'!F18)*1000000</f>
        <v>2599.9999999997135</v>
      </c>
      <c r="G16" s="2">
        <f>('Kwh Reading'!C19-'Kwh Reading'!C18)*1000</f>
        <v>230.00000000001819</v>
      </c>
      <c r="H16" s="2">
        <f t="shared" si="0"/>
        <v>1369.9999999998909</v>
      </c>
      <c r="I16" s="2">
        <f>('Kwh Reading'!J19-'Kwh Reading'!J18)*1000</f>
        <v>699.99999999993179</v>
      </c>
      <c r="J16" s="2">
        <f>('Kwh Reading'!K19-'Kwh Reading'!K18)*1000</f>
        <v>370.00000000000455</v>
      </c>
      <c r="K16" s="2">
        <f>('Kwh Reading'!L19-'Kwh Reading'!L18)*1000</f>
        <v>299.99999999995453</v>
      </c>
      <c r="L16" s="2">
        <f>('Kwh Reading'!R19-'Kwh Reading'!R18)</f>
        <v>135.79999999999927</v>
      </c>
      <c r="M16" s="2">
        <f>('Kwh Reading'!I19-'Kwh Reading'!I18)*1000</f>
        <v>269.99999999998181</v>
      </c>
      <c r="N16" s="2">
        <f>('Kwh Reading'!B19-'Kwh Reading'!B18)*1000000</f>
        <v>1099.9999999998788</v>
      </c>
      <c r="O16" s="2">
        <f>('Kwh Reading'!M19-'Kwh Reading'!M18)*1000</f>
        <v>449.99999999993179</v>
      </c>
      <c r="P16" s="2">
        <f>('Kwh Reading'!H19-'Kwh Reading'!H18)*1000000</f>
        <v>599.99999999993395</v>
      </c>
      <c r="Q16" s="21">
        <f>('Kwh Reading'!P19-'Kwh Reading'!P18)*1000000</f>
        <v>399.99999999995595</v>
      </c>
      <c r="R16" s="2">
        <f>('Kwh Reading'!G19-'Kwh Reading'!G18)*1000000</f>
        <v>700.00000000014495</v>
      </c>
      <c r="S16" s="2">
        <f>('Kwh Reading'!Q19-'Kwh Reading'!Q18)*1000</f>
        <v>379.99999999999545</v>
      </c>
      <c r="T16" s="2">
        <f>('Kwh Reading'!N19-'Kwh Reading'!N18)*1000</f>
        <v>409.99999999996817</v>
      </c>
      <c r="U16" s="26">
        <f>'Kwh Reading'!E19-'Kwh Reading'!E18</f>
        <v>2529.519999999553</v>
      </c>
      <c r="V16" s="26">
        <f>'Kwh Reading'!D19-'Kwh Reading'!D18</f>
        <v>1633.0899999999965</v>
      </c>
      <c r="W16" s="21">
        <f>('Kwh Reading'!O19-'Kwh Reading'!O18)*1000</f>
        <v>269.99999999998181</v>
      </c>
    </row>
    <row r="17" spans="1:23" x14ac:dyDescent="0.25">
      <c r="A17" s="36" t="s">
        <v>9</v>
      </c>
      <c r="B17" s="37">
        <f t="shared" si="1"/>
        <v>16</v>
      </c>
      <c r="C17" s="38">
        <v>2</v>
      </c>
      <c r="D17" s="86">
        <v>2023</v>
      </c>
      <c r="E17" s="3">
        <f>('Kwh Reading'!S20-'Kwh Reading'!S19)*1000</f>
        <v>559.99999999994543</v>
      </c>
      <c r="F17" s="2">
        <f>('Kwh Reading'!F20-'Kwh Reading'!F19)*1000000</f>
        <v>2600.0000000001578</v>
      </c>
      <c r="G17" s="2">
        <f>('Kwh Reading'!C20-'Kwh Reading'!C19)*1000</f>
        <v>229.99999999996135</v>
      </c>
      <c r="H17" s="2">
        <f t="shared" si="0"/>
        <v>1430.0000000000637</v>
      </c>
      <c r="I17" s="2">
        <f>('Kwh Reading'!J20-'Kwh Reading'!J19)*1000</f>
        <v>700.00000000004547</v>
      </c>
      <c r="J17" s="2">
        <f>('Kwh Reading'!K20-'Kwh Reading'!K19)*1000</f>
        <v>409.99999999996817</v>
      </c>
      <c r="K17" s="2">
        <f>('Kwh Reading'!L20-'Kwh Reading'!L19)*1000</f>
        <v>320.00000000005002</v>
      </c>
      <c r="L17" s="2">
        <f>('Kwh Reading'!R20-'Kwh Reading'!R19)</f>
        <v>135.90000000000146</v>
      </c>
      <c r="M17" s="2">
        <f>('Kwh Reading'!I20-'Kwh Reading'!I19)*1000</f>
        <v>290.00000000002046</v>
      </c>
      <c r="N17" s="2">
        <f>('Kwh Reading'!B20-'Kwh Reading'!B19)*1000000</f>
        <v>1000.0000000001119</v>
      </c>
      <c r="O17" s="2">
        <f>('Kwh Reading'!M20-'Kwh Reading'!M19)*1000</f>
        <v>500</v>
      </c>
      <c r="P17" s="2">
        <f>('Kwh Reading'!H20-'Kwh Reading'!H19)*1000000</f>
        <v>599.99999999993395</v>
      </c>
      <c r="Q17" s="2">
        <f>('Kwh Reading'!P20-'Kwh Reading'!P19)*1000000</f>
        <v>499.99999999994492</v>
      </c>
      <c r="R17" s="2">
        <f>('Kwh Reading'!G20-'Kwh Reading'!G19)*1000000</f>
        <v>699.99999999992292</v>
      </c>
      <c r="S17" s="2">
        <f>('Kwh Reading'!Q20-'Kwh Reading'!Q19)*1000</f>
        <v>350.00000000002274</v>
      </c>
      <c r="T17" s="2">
        <f>('Kwh Reading'!N20-'Kwh Reading'!N19)*1000</f>
        <v>410.00000000008185</v>
      </c>
      <c r="U17" s="26">
        <f>'Kwh Reading'!E20-'Kwh Reading'!E19</f>
        <v>2368.660000000149</v>
      </c>
      <c r="V17" s="26">
        <f>'Kwh Reading'!D20-'Kwh Reading'!D19</f>
        <v>1725.5</v>
      </c>
      <c r="W17" s="21">
        <f>('Kwh Reading'!O20-'Kwh Reading'!O19)*1000</f>
        <v>280.00000000002956</v>
      </c>
    </row>
    <row r="18" spans="1:23" x14ac:dyDescent="0.25">
      <c r="A18" s="36" t="s">
        <v>9</v>
      </c>
      <c r="B18" s="37">
        <f t="shared" si="1"/>
        <v>17</v>
      </c>
      <c r="C18" s="38">
        <v>2</v>
      </c>
      <c r="D18" s="86">
        <v>2023</v>
      </c>
      <c r="E18" s="3">
        <f>('Kwh Reading'!S21-'Kwh Reading'!S20)*1000</f>
        <v>409.99999999996817</v>
      </c>
      <c r="F18" s="2">
        <f>('Kwh Reading'!F21-'Kwh Reading'!F20)*1000000</f>
        <v>2499.9999999999468</v>
      </c>
      <c r="G18" s="2">
        <f>('Kwh Reading'!C21-'Kwh Reading'!C20)*1000</f>
        <v>240.00000000000909</v>
      </c>
      <c r="H18" s="2">
        <f t="shared" si="0"/>
        <v>1379.9999999999386</v>
      </c>
      <c r="I18" s="2">
        <f>('Kwh Reading'!J21-'Kwh Reading'!J20)*1000</f>
        <v>629.99999999999545</v>
      </c>
      <c r="J18" s="2">
        <f>('Kwh Reading'!K21-'Kwh Reading'!K20)*1000</f>
        <v>429.99999999994998</v>
      </c>
      <c r="K18" s="21">
        <f>('Kwh Reading'!L21-'Kwh Reading'!L20)*1000</f>
        <v>319.99999999999318</v>
      </c>
      <c r="L18" s="2">
        <f>('Kwh Reading'!R21-'Kwh Reading'!R20)</f>
        <v>133.39999999999782</v>
      </c>
      <c r="M18" s="2">
        <f>('Kwh Reading'!I21-'Kwh Reading'!I20)*1000</f>
        <v>279.99999999997272</v>
      </c>
      <c r="N18" s="2">
        <f>('Kwh Reading'!B21-'Kwh Reading'!B20)*1000000</f>
        <v>1099.9999999998788</v>
      </c>
      <c r="O18" s="2">
        <f>('Kwh Reading'!M21-'Kwh Reading'!M20)*1000</f>
        <v>500</v>
      </c>
      <c r="P18" s="2">
        <f>('Kwh Reading'!H21-'Kwh Reading'!H20)*1000000</f>
        <v>600.00000000015598</v>
      </c>
      <c r="Q18" s="2">
        <f>('Kwh Reading'!P21-'Kwh Reading'!P20)*1000000</f>
        <v>499.99999999994492</v>
      </c>
      <c r="R18" s="2">
        <f>('Kwh Reading'!G21-'Kwh Reading'!G20)*1000000</f>
        <v>699.99999999992292</v>
      </c>
      <c r="S18" s="2">
        <f>('Kwh Reading'!Q21-'Kwh Reading'!Q20)*1000</f>
        <v>339.99999999991815</v>
      </c>
      <c r="T18" s="2">
        <f>('Kwh Reading'!N21-'Kwh Reading'!N20)*1000</f>
        <v>480.00000000001819</v>
      </c>
      <c r="U18" s="26">
        <f>'Kwh Reading'!E21-'Kwh Reading'!E20</f>
        <v>2382.4199999999255</v>
      </c>
      <c r="V18" s="26">
        <f>'Kwh Reading'!D21-'Kwh Reading'!D20</f>
        <v>1725.75</v>
      </c>
      <c r="W18" s="21">
        <f>('Kwh Reading'!O21-'Kwh Reading'!O20)*1000</f>
        <v>279.99999999997272</v>
      </c>
    </row>
    <row r="19" spans="1:23" ht="16.5" customHeight="1" x14ac:dyDescent="0.25">
      <c r="A19" s="36" t="s">
        <v>9</v>
      </c>
      <c r="B19" s="37">
        <f t="shared" si="1"/>
        <v>18</v>
      </c>
      <c r="C19" s="38">
        <v>2</v>
      </c>
      <c r="D19" s="86">
        <v>2023</v>
      </c>
      <c r="E19" s="3">
        <f>('Kwh Reading'!S22-'Kwh Reading'!S21)*1000</f>
        <v>360.00000000001364</v>
      </c>
      <c r="F19" s="2">
        <f>('Kwh Reading'!F22-'Kwh Reading'!F21)*1000000</f>
        <v>2699.9999999999245</v>
      </c>
      <c r="G19" s="2">
        <f>('Kwh Reading'!C22-'Kwh Reading'!C21)*1000</f>
        <v>240.00000000000909</v>
      </c>
      <c r="H19" s="2">
        <f t="shared" si="0"/>
        <v>1350.0000000000227</v>
      </c>
      <c r="I19" s="2">
        <f>('Kwh Reading'!J22-'Kwh Reading'!J21)*1000</f>
        <v>659.99999999996817</v>
      </c>
      <c r="J19" s="2">
        <f>('Kwh Reading'!K22-'Kwh Reading'!K21)*1000</f>
        <v>400.00000000009095</v>
      </c>
      <c r="K19" s="2">
        <f>('Kwh Reading'!L22-'Kwh Reading'!L21)*1000</f>
        <v>289.99999999996362</v>
      </c>
      <c r="L19" s="2">
        <f>('Kwh Reading'!R22-'Kwh Reading'!R21)</f>
        <v>127.79999999999927</v>
      </c>
      <c r="M19" s="2">
        <f>('Kwh Reading'!I22-'Kwh Reading'!I21)*1000</f>
        <v>300.00000000001137</v>
      </c>
      <c r="N19" s="2">
        <f>('Kwh Reading'!B22-'Kwh Reading'!B21)*1000000</f>
        <v>1100.000000000101</v>
      </c>
      <c r="O19" s="2">
        <f>('Kwh Reading'!M22-'Kwh Reading'!M21)*1000</f>
        <v>519.99999999998181</v>
      </c>
      <c r="P19" s="2">
        <f>('Kwh Reading'!H22-'Kwh Reading'!H21)*1000000</f>
        <v>699.99999999992292</v>
      </c>
      <c r="Q19" s="2">
        <f>('Kwh Reading'!P22-'Kwh Reading'!P21)*1000000</f>
        <v>500.00000000016701</v>
      </c>
      <c r="R19" s="2">
        <f>('Kwh Reading'!G22-'Kwh Reading'!G21)*1000000</f>
        <v>800.00000000013392</v>
      </c>
      <c r="S19" s="2">
        <f>('Kwh Reading'!Q22-'Kwh Reading'!Q21)*1000</f>
        <v>330.00000000004093</v>
      </c>
      <c r="T19" s="2">
        <f>('Kwh Reading'!N22-'Kwh Reading'!N21)*1000</f>
        <v>500</v>
      </c>
      <c r="U19" s="26">
        <f>'Kwh Reading'!E22-'Kwh Reading'!E21</f>
        <v>2087</v>
      </c>
      <c r="V19" s="26">
        <f>'Kwh Reading'!D22-'Kwh Reading'!D21</f>
        <v>1682</v>
      </c>
      <c r="W19" s="21">
        <f>('Kwh Reading'!O22-'Kwh Reading'!O21)*1000</f>
        <v>270.00000000003865</v>
      </c>
    </row>
    <row r="20" spans="1:23" x14ac:dyDescent="0.25">
      <c r="A20" s="36" t="s">
        <v>9</v>
      </c>
      <c r="B20" s="37">
        <f t="shared" si="1"/>
        <v>19</v>
      </c>
      <c r="C20" s="38">
        <v>2</v>
      </c>
      <c r="D20" s="86">
        <v>2023</v>
      </c>
      <c r="E20" s="3">
        <f>('Kwh Reading'!S23-'Kwh Reading'!S22)*1000</f>
        <v>660.00000000008185</v>
      </c>
      <c r="F20" s="2">
        <f>('Kwh Reading'!F23-'Kwh Reading'!F22)*1000000</f>
        <v>2400.0000000001796</v>
      </c>
      <c r="G20" s="2">
        <f>('Kwh Reading'!C23-'Kwh Reading'!C22)*1000</f>
        <v>230.00000000001819</v>
      </c>
      <c r="H20" s="2">
        <f t="shared" si="0"/>
        <v>1370.0000000000614</v>
      </c>
      <c r="I20" s="2">
        <f>('Kwh Reading'!J23-'Kwh Reading'!J22)*1000</f>
        <v>660.00000000008185</v>
      </c>
      <c r="J20" s="2">
        <f>('Kwh Reading'!K23-'Kwh Reading'!K22)*1000</f>
        <v>399.99999999997726</v>
      </c>
      <c r="K20" s="2">
        <f>('Kwh Reading'!L23-'Kwh Reading'!L22)*1000</f>
        <v>310.00000000000227</v>
      </c>
      <c r="L20" s="2">
        <f>('Kwh Reading'!R23-'Kwh Reading'!R22)</f>
        <v>143.80000000000291</v>
      </c>
      <c r="M20" s="2">
        <f>('Kwh Reading'!I23-'Kwh Reading'!I22)*1000</f>
        <v>290.00000000002046</v>
      </c>
      <c r="N20" s="2">
        <f>('Kwh Reading'!B23-'Kwh Reading'!B22)*1000000</f>
        <v>1200.0000000000898</v>
      </c>
      <c r="O20" s="21">
        <f>('Kwh Reading'!M23-'Kwh Reading'!M22)*1000</f>
        <v>500</v>
      </c>
      <c r="P20" s="2">
        <f>('Kwh Reading'!H23-'Kwh Reading'!H22)*1000000</f>
        <v>599.99999999993395</v>
      </c>
      <c r="Q20" s="2">
        <f>('Kwh Reading'!P23-'Kwh Reading'!P22)*1000000</f>
        <v>499.99999999994492</v>
      </c>
      <c r="R20" s="2">
        <f>('Kwh Reading'!G23-'Kwh Reading'!G22)*1000000</f>
        <v>599.99999999993395</v>
      </c>
      <c r="S20" s="2">
        <f>('Kwh Reading'!Q23-'Kwh Reading'!Q22)*1000</f>
        <v>370.00000000000455</v>
      </c>
      <c r="T20" s="2">
        <f>('Kwh Reading'!N23-'Kwh Reading'!N22)*1000</f>
        <v>459.99999999992269</v>
      </c>
      <c r="U20" s="26">
        <f>'Kwh Reading'!E23-'Kwh Reading'!E22</f>
        <v>2541.5299999993294</v>
      </c>
      <c r="V20" s="26">
        <f>'Kwh Reading'!D23-'Kwh Reading'!D22</f>
        <v>1741.2999999999884</v>
      </c>
      <c r="W20" s="21">
        <f>('Kwh Reading'!O23-'Kwh Reading'!O22)*1000</f>
        <v>250</v>
      </c>
    </row>
    <row r="21" spans="1:23" x14ac:dyDescent="0.25">
      <c r="A21" s="36" t="s">
        <v>9</v>
      </c>
      <c r="B21" s="37">
        <f t="shared" si="1"/>
        <v>20</v>
      </c>
      <c r="C21" s="38">
        <v>2</v>
      </c>
      <c r="D21" s="86">
        <v>2023</v>
      </c>
      <c r="E21" s="3">
        <f>('Kwh Reading'!S24-'Kwh Reading'!S23)*1000</f>
        <v>-711570</v>
      </c>
      <c r="F21" s="2">
        <f>('Kwh Reading'!F24-'Kwh Reading'!F23)*1000000</f>
        <v>-3937100</v>
      </c>
      <c r="G21" s="2">
        <f>('Kwh Reading'!C24-'Kwh Reading'!C23)*1000</f>
        <v>-380980</v>
      </c>
      <c r="H21" s="2">
        <f t="shared" si="0"/>
        <v>-1528580</v>
      </c>
      <c r="I21" s="2">
        <f>('Kwh Reading'!J24-'Kwh Reading'!J23)*1000</f>
        <v>-601830</v>
      </c>
      <c r="J21" s="2">
        <f>('Kwh Reading'!K24-'Kwh Reading'!K23)*1000</f>
        <v>-544610</v>
      </c>
      <c r="K21" s="2">
        <f>('Kwh Reading'!L24-'Kwh Reading'!L23)*1000</f>
        <v>-382140</v>
      </c>
      <c r="L21" s="2">
        <f>('Kwh Reading'!R24-'Kwh Reading'!R23)</f>
        <v>-26363.9</v>
      </c>
      <c r="M21" s="2">
        <f>('Kwh Reading'!I24-'Kwh Reading'!I23)*1000</f>
        <v>-414600</v>
      </c>
      <c r="N21" s="2">
        <f>('Kwh Reading'!B24-'Kwh Reading'!B23)*1000000</f>
        <v>-1656500</v>
      </c>
      <c r="O21" s="2">
        <f>('Kwh Reading'!M24-'Kwh Reading'!M23)*1000</f>
        <v>-910170</v>
      </c>
      <c r="P21" s="2">
        <f>('Kwh Reading'!H24-'Kwh Reading'!H23)*1000000</f>
        <v>-1139800</v>
      </c>
      <c r="Q21" s="2">
        <f>('Kwh Reading'!P24-'Kwh Reading'!P23)*1000000</f>
        <v>-1100600</v>
      </c>
      <c r="R21" s="2">
        <f>('Kwh Reading'!G24-'Kwh Reading'!G23)*1000000</f>
        <v>-1207900</v>
      </c>
      <c r="S21" s="2">
        <f>('Kwh Reading'!Q24-'Kwh Reading'!Q23)*1000</f>
        <v>-797500</v>
      </c>
      <c r="T21" s="2">
        <f>('Kwh Reading'!N24-'Kwh Reading'!N23)*1000</f>
        <v>-822160</v>
      </c>
      <c r="U21" s="26">
        <f>'Kwh Reading'!E24-'Kwh Reading'!E23</f>
        <v>-9766300.5299999993</v>
      </c>
      <c r="V21" s="108">
        <f>'Kwh Reading'!D24-'Kwh Reading'!D23</f>
        <v>-213866.3</v>
      </c>
      <c r="W21" s="21">
        <f>('Kwh Reading'!O24-'Kwh Reading'!O23)*1000</f>
        <v>-281160</v>
      </c>
    </row>
    <row r="22" spans="1:23" x14ac:dyDescent="0.25">
      <c r="A22" s="36" t="s">
        <v>9</v>
      </c>
      <c r="B22" s="37">
        <f t="shared" si="1"/>
        <v>21</v>
      </c>
      <c r="C22" s="38">
        <v>2</v>
      </c>
      <c r="D22" s="86">
        <v>2023</v>
      </c>
      <c r="E22" s="3">
        <f>('Kwh Reading'!S25-'Kwh Reading'!S24)*1000</f>
        <v>0</v>
      </c>
      <c r="F22" s="2">
        <f>('Kwh Reading'!F25-'Kwh Reading'!F24)*1000000</f>
        <v>0</v>
      </c>
      <c r="G22" s="2">
        <f>('Kwh Reading'!C25-'Kwh Reading'!C24)*1000</f>
        <v>0</v>
      </c>
      <c r="H22" s="2">
        <f t="shared" si="0"/>
        <v>0</v>
      </c>
      <c r="I22" s="2">
        <f>('Kwh Reading'!J25-'Kwh Reading'!J24)*1000</f>
        <v>0</v>
      </c>
      <c r="J22" s="2">
        <f>('Kwh Reading'!K25-'Kwh Reading'!K24)*1000</f>
        <v>0</v>
      </c>
      <c r="K22" s="2">
        <f>('Kwh Reading'!L25-'Kwh Reading'!L24)*1000</f>
        <v>0</v>
      </c>
      <c r="L22" s="2">
        <f>('Kwh Reading'!R25-'Kwh Reading'!R24)</f>
        <v>0</v>
      </c>
      <c r="M22" s="2">
        <f>('Kwh Reading'!I25-'Kwh Reading'!I24)*1000</f>
        <v>0</v>
      </c>
      <c r="N22" s="2">
        <f>('Kwh Reading'!B25-'Kwh Reading'!B24)*1000000</f>
        <v>0</v>
      </c>
      <c r="O22" s="2">
        <f>('Kwh Reading'!M25-'Kwh Reading'!M24)*1000</f>
        <v>0</v>
      </c>
      <c r="P22" s="2">
        <f>('Kwh Reading'!H25-'Kwh Reading'!H24)*1000000</f>
        <v>0</v>
      </c>
      <c r="Q22" s="2">
        <f>('Kwh Reading'!P25-'Kwh Reading'!P24)*1000000</f>
        <v>0</v>
      </c>
      <c r="R22" s="2">
        <f>('Kwh Reading'!G25-'Kwh Reading'!G24)*1000000</f>
        <v>0</v>
      </c>
      <c r="S22" s="2">
        <f>('Kwh Reading'!Q25-'Kwh Reading'!Q24)*1000</f>
        <v>0</v>
      </c>
      <c r="T22" s="2">
        <f>('Kwh Reading'!N25-'Kwh Reading'!N24)*1000</f>
        <v>0</v>
      </c>
      <c r="U22" s="2">
        <f>'Kwh Reading'!E25-'Kwh Reading'!E24</f>
        <v>0</v>
      </c>
      <c r="V22" s="2">
        <f>'Kwh Reading'!D25-'Kwh Reading'!D24</f>
        <v>0</v>
      </c>
      <c r="W22" s="21">
        <f>('Kwh Reading'!O25-'Kwh Reading'!O24)*1000</f>
        <v>0</v>
      </c>
    </row>
    <row r="23" spans="1:23" x14ac:dyDescent="0.25">
      <c r="A23" s="36" t="s">
        <v>9</v>
      </c>
      <c r="B23" s="37">
        <f t="shared" si="1"/>
        <v>22</v>
      </c>
      <c r="C23" s="38">
        <v>2</v>
      </c>
      <c r="D23" s="86">
        <v>2023</v>
      </c>
      <c r="E23" s="3">
        <f>('Kwh Reading'!S26-'Kwh Reading'!S25)*1000</f>
        <v>0</v>
      </c>
      <c r="F23" s="2">
        <f>('Kwh Reading'!F26-'Kwh Reading'!F25)*1000000</f>
        <v>0</v>
      </c>
      <c r="G23" s="2">
        <f>('Kwh Reading'!C26-'Kwh Reading'!C25)*1000</f>
        <v>0</v>
      </c>
      <c r="H23" s="2">
        <f t="shared" si="0"/>
        <v>0</v>
      </c>
      <c r="I23" s="2">
        <f>('Kwh Reading'!J26-'Kwh Reading'!J25)*1000</f>
        <v>0</v>
      </c>
      <c r="J23" s="2">
        <f>('Kwh Reading'!K26-'Kwh Reading'!K25)*1000</f>
        <v>0</v>
      </c>
      <c r="K23" s="2">
        <f>('Kwh Reading'!L26-'Kwh Reading'!L25)*1000</f>
        <v>0</v>
      </c>
      <c r="L23" s="2">
        <f>('Kwh Reading'!R26-'Kwh Reading'!R25)</f>
        <v>0</v>
      </c>
      <c r="M23" s="2">
        <f>('Kwh Reading'!I26-'Kwh Reading'!I25)*1000</f>
        <v>0</v>
      </c>
      <c r="N23" s="2">
        <f>('Kwh Reading'!B26-'Kwh Reading'!B25)*1000000</f>
        <v>0</v>
      </c>
      <c r="O23" s="2">
        <f>('Kwh Reading'!M26-'Kwh Reading'!M25)*1000</f>
        <v>0</v>
      </c>
      <c r="P23" s="2">
        <f>('Kwh Reading'!H26-'Kwh Reading'!H25)*1000000</f>
        <v>0</v>
      </c>
      <c r="Q23" s="2">
        <f>('Kwh Reading'!P26-'Kwh Reading'!P25)*1000000</f>
        <v>0</v>
      </c>
      <c r="R23" s="2">
        <f>('Kwh Reading'!G26-'Kwh Reading'!G25)*1000000</f>
        <v>0</v>
      </c>
      <c r="S23" s="2">
        <f>('Kwh Reading'!Q26-'Kwh Reading'!Q25)*1000</f>
        <v>0</v>
      </c>
      <c r="T23" s="2">
        <f>('Kwh Reading'!N26-'Kwh Reading'!N25)*1000</f>
        <v>0</v>
      </c>
      <c r="U23" s="2">
        <f>'Kwh Reading'!E26-'Kwh Reading'!E25</f>
        <v>0</v>
      </c>
      <c r="V23" s="2">
        <f>'Kwh Reading'!D26-'Kwh Reading'!D25</f>
        <v>0</v>
      </c>
      <c r="W23" s="21">
        <f>('Kwh Reading'!O26-'Kwh Reading'!O25)*1000</f>
        <v>0</v>
      </c>
    </row>
    <row r="24" spans="1:23" x14ac:dyDescent="0.25">
      <c r="A24" s="36" t="s">
        <v>9</v>
      </c>
      <c r="B24" s="37">
        <f t="shared" si="1"/>
        <v>23</v>
      </c>
      <c r="C24" s="38">
        <v>2</v>
      </c>
      <c r="D24" s="86">
        <v>2023</v>
      </c>
      <c r="E24" s="3">
        <f>('Kwh Reading'!S27-'Kwh Reading'!S26)*1000</f>
        <v>0</v>
      </c>
      <c r="F24" s="2">
        <f>('Kwh Reading'!F27-'Kwh Reading'!F26)*1000000</f>
        <v>0</v>
      </c>
      <c r="G24" s="2">
        <f>('Kwh Reading'!C27-'Kwh Reading'!C26)*1000</f>
        <v>0</v>
      </c>
      <c r="H24" s="2">
        <f t="shared" si="0"/>
        <v>0</v>
      </c>
      <c r="I24" s="2">
        <f>('Kwh Reading'!J27-'Kwh Reading'!J26)*1000</f>
        <v>0</v>
      </c>
      <c r="J24" s="2">
        <f>('Kwh Reading'!K27-'Kwh Reading'!K26)*1000</f>
        <v>0</v>
      </c>
      <c r="K24" s="2">
        <f>('Kwh Reading'!L27-'Kwh Reading'!L26)*1000</f>
        <v>0</v>
      </c>
      <c r="L24" s="2">
        <f>('Kwh Reading'!R27-'Kwh Reading'!R26)</f>
        <v>0</v>
      </c>
      <c r="M24" s="2">
        <f>('Kwh Reading'!I27-'Kwh Reading'!I26)*1000</f>
        <v>0</v>
      </c>
      <c r="N24" s="2">
        <f>('Kwh Reading'!B27-'Kwh Reading'!B26)*1000000</f>
        <v>0</v>
      </c>
      <c r="O24" s="2">
        <f>('Kwh Reading'!M27-'Kwh Reading'!M26)*1000</f>
        <v>0</v>
      </c>
      <c r="P24" s="2">
        <f>('Kwh Reading'!H27-'Kwh Reading'!H26)*1000000</f>
        <v>0</v>
      </c>
      <c r="Q24" s="2">
        <f>('Kwh Reading'!P27-'Kwh Reading'!P26)*1000000</f>
        <v>0</v>
      </c>
      <c r="R24" s="2">
        <f>('Kwh Reading'!G27-'Kwh Reading'!G26)*1000000</f>
        <v>0</v>
      </c>
      <c r="S24" s="2">
        <f>('Kwh Reading'!Q27-'Kwh Reading'!Q26)*1000</f>
        <v>0</v>
      </c>
      <c r="T24" s="2">
        <f>('Kwh Reading'!N27-'Kwh Reading'!N26)*1000</f>
        <v>0</v>
      </c>
      <c r="U24" s="2">
        <f>'Kwh Reading'!E27-'Kwh Reading'!E26</f>
        <v>0</v>
      </c>
      <c r="V24" s="2">
        <f>'Kwh Reading'!D27-'Kwh Reading'!D26</f>
        <v>0</v>
      </c>
      <c r="W24" s="21">
        <f>('Kwh Reading'!O27-'Kwh Reading'!O26)*1000</f>
        <v>0</v>
      </c>
    </row>
    <row r="25" spans="1:23" s="95" customFormat="1" x14ac:dyDescent="0.25">
      <c r="A25" s="36" t="s">
        <v>9</v>
      </c>
      <c r="B25" s="37">
        <f t="shared" si="1"/>
        <v>24</v>
      </c>
      <c r="C25" s="38">
        <v>2</v>
      </c>
      <c r="D25" s="86">
        <v>2023</v>
      </c>
      <c r="E25" s="94">
        <f>('Kwh Reading'!S28-'Kwh Reading'!S27)*1000</f>
        <v>0</v>
      </c>
      <c r="F25" s="21">
        <f>('Kwh Reading'!F28-'Kwh Reading'!F27)*1000000</f>
        <v>0</v>
      </c>
      <c r="G25" s="21">
        <f>('Kwh Reading'!C28-'Kwh Reading'!C27)*1000</f>
        <v>0</v>
      </c>
      <c r="H25" s="2">
        <f t="shared" si="0"/>
        <v>0</v>
      </c>
      <c r="I25" s="21">
        <f>('Kwh Reading'!J28-'Kwh Reading'!J27)*1000</f>
        <v>0</v>
      </c>
      <c r="J25" s="21">
        <f>('Kwh Reading'!K28-'Kwh Reading'!K27)*1000</f>
        <v>0</v>
      </c>
      <c r="K25" s="21">
        <f>('Kwh Reading'!L28-'Kwh Reading'!L27)*1000</f>
        <v>0</v>
      </c>
      <c r="L25" s="2">
        <f>('Kwh Reading'!R28-'Kwh Reading'!R27)</f>
        <v>0</v>
      </c>
      <c r="M25" s="21">
        <f>('Kwh Reading'!I28-'Kwh Reading'!I27)*1000</f>
        <v>0</v>
      </c>
      <c r="N25" s="2">
        <f>('Kwh Reading'!B28-'Kwh Reading'!B27)*1000000</f>
        <v>0</v>
      </c>
      <c r="O25" s="21">
        <f>('Kwh Reading'!M28-'Kwh Reading'!M27)*1000</f>
        <v>0</v>
      </c>
      <c r="P25" s="2">
        <f>('Kwh Reading'!H28-'Kwh Reading'!H27)*1000000</f>
        <v>0</v>
      </c>
      <c r="Q25" s="2">
        <f>('Kwh Reading'!P28-'Kwh Reading'!P27)*1000000</f>
        <v>0</v>
      </c>
      <c r="R25" s="21">
        <f>('Kwh Reading'!G28-'Kwh Reading'!G27)*1000000</f>
        <v>0</v>
      </c>
      <c r="S25" s="21">
        <f>('Kwh Reading'!Q28-'Kwh Reading'!Q27)*1000</f>
        <v>0</v>
      </c>
      <c r="T25" s="21">
        <f>('Kwh Reading'!N28-'Kwh Reading'!N27)*1000</f>
        <v>0</v>
      </c>
      <c r="U25" s="21">
        <f>'Kwh Reading'!E28-'Kwh Reading'!E27</f>
        <v>0</v>
      </c>
      <c r="V25" s="21">
        <f>'Kwh Reading'!D28-'Kwh Reading'!D27</f>
        <v>0</v>
      </c>
      <c r="W25" s="21">
        <f>('Kwh Reading'!O28-'Kwh Reading'!O27)*1000</f>
        <v>0</v>
      </c>
    </row>
    <row r="26" spans="1:23" s="95" customFormat="1" x14ac:dyDescent="0.25">
      <c r="A26" s="36" t="s">
        <v>9</v>
      </c>
      <c r="B26" s="37">
        <f>B25+1</f>
        <v>25</v>
      </c>
      <c r="C26" s="38">
        <v>2</v>
      </c>
      <c r="D26" s="86">
        <v>2023</v>
      </c>
      <c r="E26" s="94">
        <f>('Kwh Reading'!S29-'Kwh Reading'!S28)*1000</f>
        <v>0</v>
      </c>
      <c r="F26" s="21">
        <f>('Kwh Reading'!F29-'Kwh Reading'!F28)*1000000</f>
        <v>0</v>
      </c>
      <c r="G26" s="21">
        <f>('Kwh Reading'!C29-'Kwh Reading'!C28)*1000</f>
        <v>0</v>
      </c>
      <c r="H26" s="2">
        <f t="shared" si="0"/>
        <v>0</v>
      </c>
      <c r="I26" s="21">
        <f>('Kwh Reading'!J29-'Kwh Reading'!J28)*1000</f>
        <v>0</v>
      </c>
      <c r="J26" s="21">
        <f>('Kwh Reading'!K29-'Kwh Reading'!K28)*1000</f>
        <v>0</v>
      </c>
      <c r="K26" s="21">
        <f>('Kwh Reading'!L29-'Kwh Reading'!L28)*1000</f>
        <v>0</v>
      </c>
      <c r="L26" s="2">
        <f>('Kwh Reading'!R29-'Kwh Reading'!R28)</f>
        <v>0</v>
      </c>
      <c r="M26" s="21">
        <f>('Kwh Reading'!I29-'Kwh Reading'!I28)*1000</f>
        <v>0</v>
      </c>
      <c r="N26" s="2">
        <f>('Kwh Reading'!B29-'Kwh Reading'!B28)*1000000</f>
        <v>0</v>
      </c>
      <c r="O26" s="21">
        <f>('Kwh Reading'!M29-'Kwh Reading'!M28)*1000</f>
        <v>0</v>
      </c>
      <c r="P26" s="2">
        <f>('Kwh Reading'!H29-'Kwh Reading'!H28)*1000000</f>
        <v>0</v>
      </c>
      <c r="Q26" s="2">
        <f>('Kwh Reading'!P29-'Kwh Reading'!P28)*1000000</f>
        <v>0</v>
      </c>
      <c r="R26" s="21">
        <f>('Kwh Reading'!G29-'Kwh Reading'!G28)*1000000</f>
        <v>0</v>
      </c>
      <c r="S26" s="21">
        <f>('Kwh Reading'!Q29-'Kwh Reading'!Q28)*1000</f>
        <v>0</v>
      </c>
      <c r="T26" s="21">
        <f>('Kwh Reading'!N29-'Kwh Reading'!N28)*1000</f>
        <v>0</v>
      </c>
      <c r="U26" s="21">
        <f>'Kwh Reading'!E29-'Kwh Reading'!E28</f>
        <v>0</v>
      </c>
      <c r="V26" s="21">
        <f>'Kwh Reading'!D29-'Kwh Reading'!D28</f>
        <v>0</v>
      </c>
      <c r="W26" s="21">
        <f>('Kwh Reading'!O29-'Kwh Reading'!O28)*1000</f>
        <v>0</v>
      </c>
    </row>
    <row r="27" spans="1:23" x14ac:dyDescent="0.25">
      <c r="A27" s="36" t="s">
        <v>9</v>
      </c>
      <c r="B27" s="37">
        <f t="shared" si="1"/>
        <v>26</v>
      </c>
      <c r="C27" s="38">
        <v>2</v>
      </c>
      <c r="D27" s="86">
        <v>2023</v>
      </c>
      <c r="E27" s="3">
        <f>('Kwh Reading'!S30-'Kwh Reading'!S29)*1000</f>
        <v>0</v>
      </c>
      <c r="F27" s="2">
        <f>('Kwh Reading'!F30-'Kwh Reading'!F29)*1000000</f>
        <v>0</v>
      </c>
      <c r="G27" s="2">
        <f>('Kwh Reading'!C30-'Kwh Reading'!C29)*1000</f>
        <v>0</v>
      </c>
      <c r="H27" s="2">
        <f t="shared" si="0"/>
        <v>0</v>
      </c>
      <c r="I27" s="2">
        <f>('Kwh Reading'!J30-'Kwh Reading'!J29)*1000</f>
        <v>0</v>
      </c>
      <c r="J27" s="2">
        <f>('Kwh Reading'!K30-'Kwh Reading'!K29)*1000</f>
        <v>0</v>
      </c>
      <c r="K27" s="2">
        <f>('Kwh Reading'!L30-'Kwh Reading'!L29)*1000</f>
        <v>0</v>
      </c>
      <c r="L27" s="2">
        <f>('Kwh Reading'!R30-'Kwh Reading'!R29)</f>
        <v>0</v>
      </c>
      <c r="M27" s="2">
        <f>('Kwh Reading'!I30-'Kwh Reading'!I29)*1000</f>
        <v>0</v>
      </c>
      <c r="N27" s="2">
        <f>('Kwh Reading'!B30-'Kwh Reading'!B29)*1000000</f>
        <v>0</v>
      </c>
      <c r="O27" s="2">
        <f>('Kwh Reading'!M30-'Kwh Reading'!M29)*1000</f>
        <v>0</v>
      </c>
      <c r="P27" s="2">
        <f>('Kwh Reading'!H30-'Kwh Reading'!H29)*1000000</f>
        <v>0</v>
      </c>
      <c r="Q27" s="2">
        <f>('Kwh Reading'!P30-'Kwh Reading'!P29)*1000000</f>
        <v>0</v>
      </c>
      <c r="R27" s="2">
        <f>('Kwh Reading'!G30-'Kwh Reading'!G29)*1000000</f>
        <v>0</v>
      </c>
      <c r="S27" s="2">
        <f>('Kwh Reading'!Q30-'Kwh Reading'!Q29)*1000</f>
        <v>0</v>
      </c>
      <c r="T27" s="2">
        <f>('Kwh Reading'!N30-'Kwh Reading'!N29)*1000</f>
        <v>0</v>
      </c>
      <c r="U27" s="2">
        <f>'Kwh Reading'!E30-'Kwh Reading'!E29</f>
        <v>0</v>
      </c>
      <c r="V27" s="2">
        <f>'Kwh Reading'!D30-'Kwh Reading'!D29</f>
        <v>0</v>
      </c>
      <c r="W27" s="21">
        <f>('Kwh Reading'!O30-'Kwh Reading'!O29)*1000</f>
        <v>0</v>
      </c>
    </row>
    <row r="28" spans="1:23" x14ac:dyDescent="0.25">
      <c r="A28" s="36" t="s">
        <v>9</v>
      </c>
      <c r="B28" s="37">
        <f t="shared" si="1"/>
        <v>27</v>
      </c>
      <c r="C28" s="38">
        <v>2</v>
      </c>
      <c r="D28" s="86">
        <v>2023</v>
      </c>
      <c r="E28" s="3">
        <f>('Kwh Reading'!S31-'Kwh Reading'!S30)*1000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</f>
        <v>0</v>
      </c>
      <c r="M28" s="2">
        <f>('Kwh Reading'!I31-'Kwh Reading'!I30)*1000</f>
        <v>0</v>
      </c>
      <c r="N28" s="2">
        <f>('Kwh Reading'!B31-'Kwh Reading'!B30)*1000000</f>
        <v>0</v>
      </c>
      <c r="O28" s="2">
        <f>('Kwh Reading'!M31-'Kwh Reading'!M30)*1000</f>
        <v>0</v>
      </c>
      <c r="P28" s="2">
        <f>('Kwh Reading'!H31-'Kwh Reading'!H30)*1000000</f>
        <v>0</v>
      </c>
      <c r="Q28" s="2">
        <f>('Kwh Reading'!P31-'Kwh Reading'!P30)*1000000</f>
        <v>0</v>
      </c>
      <c r="R28" s="2">
        <f>('Kwh Reading'!G31-'Kwh Reading'!G30)*1000000</f>
        <v>0</v>
      </c>
      <c r="S28" s="2">
        <f>('Kwh Reading'!Q31-'Kwh Reading'!Q30)*1000</f>
        <v>0</v>
      </c>
      <c r="T28" s="2">
        <f>('Kwh Reading'!N31-'Kwh Reading'!N30)*1000</f>
        <v>0</v>
      </c>
      <c r="U28" s="2">
        <f>'Kwh Reading'!E31-'Kwh Reading'!E30</f>
        <v>0</v>
      </c>
      <c r="V28" s="2">
        <f>'Kwh Reading'!D31-'Kwh Reading'!D30</f>
        <v>0</v>
      </c>
      <c r="W28" s="21">
        <f>('Kwh Reading'!O31-'Kwh Reading'!O30)*1000</f>
        <v>0</v>
      </c>
    </row>
    <row r="29" spans="1:23" x14ac:dyDescent="0.25">
      <c r="A29" s="36" t="s">
        <v>9</v>
      </c>
      <c r="B29" s="37">
        <f t="shared" si="1"/>
        <v>28</v>
      </c>
      <c r="C29" s="38">
        <v>2</v>
      </c>
      <c r="D29" s="86">
        <v>2023</v>
      </c>
      <c r="E29" s="3">
        <f>('Kwh Reading'!S32-'Kwh Reading'!S31)*1000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</f>
        <v>0</v>
      </c>
      <c r="M29" s="2">
        <f>('Kwh Reading'!I32-'Kwh Reading'!I31)*1000</f>
        <v>0</v>
      </c>
      <c r="N29" s="2">
        <f>('Kwh Reading'!B32-'Kwh Reading'!B31)*1000000</f>
        <v>0</v>
      </c>
      <c r="O29" s="2">
        <f>('Kwh Reading'!M32-'Kwh Reading'!M31)*1000</f>
        <v>0</v>
      </c>
      <c r="P29" s="2">
        <f>('Kwh Reading'!H32-'Kwh Reading'!H31)*1000000</f>
        <v>0</v>
      </c>
      <c r="Q29" s="2">
        <f>('Kwh Reading'!P32-'Kwh Reading'!P31)*1000000</f>
        <v>0</v>
      </c>
      <c r="R29" s="2">
        <f>('Kwh Reading'!G32-'Kwh Reading'!G31)*1000000</f>
        <v>0</v>
      </c>
      <c r="S29" s="2">
        <f>('Kwh Reading'!Q32-'Kwh Reading'!Q31)*1000</f>
        <v>0</v>
      </c>
      <c r="T29" s="2">
        <f>('Kwh Reading'!N32-'Kwh Reading'!N31)*1000</f>
        <v>0</v>
      </c>
      <c r="U29" s="2">
        <f>'Kwh Reading'!E32-'Kwh Reading'!E31</f>
        <v>0</v>
      </c>
      <c r="V29" s="2">
        <f>'Kwh Reading'!D32-'Kwh Reading'!D31</f>
        <v>0</v>
      </c>
      <c r="W29" s="21">
        <f>('Kwh Reading'!O32-'Kwh Reading'!O31)*1000</f>
        <v>0</v>
      </c>
    </row>
    <row r="30" spans="1:23" x14ac:dyDescent="0.25">
      <c r="A30" s="36" t="s">
        <v>9</v>
      </c>
      <c r="B30" s="37">
        <f t="shared" si="1"/>
        <v>29</v>
      </c>
      <c r="C30" s="38">
        <v>2</v>
      </c>
      <c r="D30" s="86">
        <v>2023</v>
      </c>
      <c r="E30" s="3">
        <f>('Kwh Reading'!S33-'Kwh Reading'!S32)*1000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</f>
        <v>0</v>
      </c>
      <c r="M30" s="2">
        <f>('Kwh Reading'!I33-'Kwh Reading'!I32)*1000</f>
        <v>0</v>
      </c>
      <c r="N30" s="2">
        <f>('Kwh Reading'!B33-'Kwh Reading'!B32)*1000000</f>
        <v>0</v>
      </c>
      <c r="O30" s="2">
        <f>('Kwh Reading'!M33-'Kwh Reading'!M32)*1000</f>
        <v>0</v>
      </c>
      <c r="P30" s="2">
        <f>('Kwh Reading'!H33-'Kwh Reading'!H32)*1000000</f>
        <v>0</v>
      </c>
      <c r="Q30" s="2">
        <f>('Kwh Reading'!P33-'Kwh Reading'!P32)*1000000</f>
        <v>0</v>
      </c>
      <c r="R30" s="2">
        <f>('Kwh Reading'!G33-'Kwh Reading'!G32)*1000000</f>
        <v>0</v>
      </c>
      <c r="S30" s="2">
        <f>('Kwh Reading'!Q33-'Kwh Reading'!Q32)*1000</f>
        <v>0</v>
      </c>
      <c r="T30" s="2">
        <f>('Kwh Reading'!N33-'Kwh Reading'!N32)*1000</f>
        <v>0</v>
      </c>
      <c r="U30" s="2">
        <f>'Kwh Reading'!E33-'Kwh Reading'!E32</f>
        <v>0</v>
      </c>
      <c r="V30" s="2">
        <f>'Kwh Reading'!D33-'Kwh Reading'!D32</f>
        <v>0</v>
      </c>
      <c r="W30" s="21">
        <f>('Kwh Reading'!O33-'Kwh Reading'!O32)*1000</f>
        <v>0</v>
      </c>
    </row>
    <row r="31" spans="1:23" x14ac:dyDescent="0.25">
      <c r="A31" s="36" t="s">
        <v>9</v>
      </c>
      <c r="B31" s="37">
        <f t="shared" si="1"/>
        <v>30</v>
      </c>
      <c r="C31" s="38">
        <v>2</v>
      </c>
      <c r="D31" s="86">
        <v>2023</v>
      </c>
      <c r="E31" s="3">
        <f>('Kwh Reading'!S34-'Kwh Reading'!S33)*1000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</f>
        <v>0</v>
      </c>
      <c r="M31" s="2">
        <f>('Kwh Reading'!I34-'Kwh Reading'!I33)*1000</f>
        <v>0</v>
      </c>
      <c r="N31" s="2">
        <f>('Kwh Reading'!B34-'Kwh Reading'!B33)*1000000</f>
        <v>0</v>
      </c>
      <c r="O31" s="2">
        <f>('Kwh Reading'!M34-'Kwh Reading'!M33)*1000</f>
        <v>0</v>
      </c>
      <c r="P31" s="2">
        <f>('Kwh Reading'!H34-'Kwh Reading'!H33)*1000000</f>
        <v>0</v>
      </c>
      <c r="Q31" s="2">
        <f>('Kwh Reading'!P34-'Kwh Reading'!P33)*1000000</f>
        <v>0</v>
      </c>
      <c r="R31" s="2">
        <f>('Kwh Reading'!G34-'Kwh Reading'!G33)*1000000</f>
        <v>0</v>
      </c>
      <c r="S31" s="2">
        <f>('Kwh Reading'!Q34-'Kwh Reading'!Q33)*1000</f>
        <v>0</v>
      </c>
      <c r="T31" s="2">
        <f>('Kwh Reading'!N34-'Kwh Reading'!N33)*1000</f>
        <v>0</v>
      </c>
      <c r="U31" s="2">
        <f>'Kwh Reading'!E34-'Kwh Reading'!E33</f>
        <v>0</v>
      </c>
      <c r="V31" s="2">
        <f>'Kwh Reading'!D34-'Kwh Reading'!D33</f>
        <v>0</v>
      </c>
      <c r="W31" s="21">
        <f>('Kwh Reading'!O34-'Kwh Reading'!O33)*1000</f>
        <v>0</v>
      </c>
    </row>
    <row r="32" spans="1:23" x14ac:dyDescent="0.25">
      <c r="A32" s="36" t="s">
        <v>9</v>
      </c>
      <c r="B32" s="37">
        <f t="shared" si="1"/>
        <v>31</v>
      </c>
      <c r="C32" s="38">
        <v>2</v>
      </c>
      <c r="D32" s="86">
        <v>2023</v>
      </c>
      <c r="E32" s="3">
        <f>('Kwh Reading'!S35-'Kwh Reading'!S34)*1000</f>
        <v>0</v>
      </c>
      <c r="F32" s="2">
        <f>('Kwh Reading'!F35-'Kwh Reading'!F34)*1000000</f>
        <v>0</v>
      </c>
      <c r="G32" s="2">
        <f>('Kwh Reading'!C35-'Kwh Reading'!C34)*1000</f>
        <v>0</v>
      </c>
      <c r="H32" s="2">
        <f t="shared" ref="H32" si="2">I32+J32+K32</f>
        <v>0</v>
      </c>
      <c r="I32" s="2">
        <f>('Kwh Reading'!J35-'Kwh Reading'!J34)*1000</f>
        <v>0</v>
      </c>
      <c r="J32" s="2">
        <f>('Kwh Reading'!K35-'Kwh Reading'!K34)*1000</f>
        <v>0</v>
      </c>
      <c r="K32" s="2">
        <f>('Kwh Reading'!L35-'Kwh Reading'!L34)*1000</f>
        <v>0</v>
      </c>
      <c r="L32" s="2">
        <f>('Kwh Reading'!R35-'Kwh Reading'!R34)</f>
        <v>0</v>
      </c>
      <c r="M32" s="2">
        <f>('Kwh Reading'!I35-'Kwh Reading'!I34)*1000</f>
        <v>0</v>
      </c>
      <c r="N32" s="2">
        <f>('Kwh Reading'!B35-'Kwh Reading'!B34)*1000000</f>
        <v>0</v>
      </c>
      <c r="O32" s="2">
        <f>('Kwh Reading'!M35-'Kwh Reading'!M34)*1000</f>
        <v>0</v>
      </c>
      <c r="P32" s="2">
        <f>('Kwh Reading'!H35-'Kwh Reading'!H34)*1000000</f>
        <v>0</v>
      </c>
      <c r="Q32" s="2">
        <f>('Kwh Reading'!P35-'Kwh Reading'!P34)*1000000</f>
        <v>0</v>
      </c>
      <c r="R32" s="2">
        <f>('Kwh Reading'!G35-'Kwh Reading'!G34)*1000000</f>
        <v>0</v>
      </c>
      <c r="S32" s="2">
        <f>('Kwh Reading'!Q35-'Kwh Reading'!Q34)*1000</f>
        <v>0</v>
      </c>
      <c r="T32" s="2">
        <f>('Kwh Reading'!N35-'Kwh Reading'!N34)*1000</f>
        <v>0</v>
      </c>
      <c r="U32" s="2">
        <f>'Kwh Reading'!E35-'Kwh Reading'!E34</f>
        <v>0</v>
      </c>
      <c r="V32" s="2">
        <f>'Kwh Reading'!D35-'Kwh Reading'!D34</f>
        <v>0</v>
      </c>
      <c r="W32" s="21">
        <f>('Kwh Reading'!O35-'Kwh Reading'!O34)*1000</f>
        <v>0</v>
      </c>
    </row>
    <row r="33" spans="1:23" x14ac:dyDescent="0.25">
      <c r="A33" s="109" t="s">
        <v>39</v>
      </c>
      <c r="B33" s="109"/>
      <c r="C33" s="109"/>
      <c r="D33" s="109"/>
      <c r="E33" s="60">
        <f>SUM(E2:E31)</f>
        <v>-702400</v>
      </c>
      <c r="F33" s="60">
        <f>SUM(F2:F31)</f>
        <v>-3888200</v>
      </c>
      <c r="G33" s="60">
        <f>SUM(G2:G31)</f>
        <v>-376250</v>
      </c>
      <c r="H33" s="60"/>
      <c r="I33" s="60">
        <f>SUM(I2:I31)</f>
        <v>-591269.99999999988</v>
      </c>
      <c r="J33" s="60">
        <f t="shared" ref="J33:W33" si="3">SUM(J2:J31)</f>
        <v>-538330</v>
      </c>
      <c r="K33" s="60">
        <f t="shared" si="3"/>
        <v>-376480.00000000006</v>
      </c>
      <c r="L33" s="60">
        <f t="shared" si="3"/>
        <v>-23868.5</v>
      </c>
      <c r="M33" s="60">
        <f t="shared" si="3"/>
        <v>-409130</v>
      </c>
      <c r="N33" s="60">
        <f t="shared" si="3"/>
        <v>-1635300</v>
      </c>
      <c r="O33" s="60">
        <f t="shared" si="3"/>
        <v>-901700.00000000012</v>
      </c>
      <c r="P33" s="60">
        <f t="shared" si="3"/>
        <v>-1128300.0000000002</v>
      </c>
      <c r="Q33" s="60">
        <f t="shared" si="3"/>
        <v>-1091000</v>
      </c>
      <c r="R33" s="60">
        <f t="shared" si="3"/>
        <v>-1196900</v>
      </c>
      <c r="S33" s="60">
        <f t="shared" si="3"/>
        <v>-790640</v>
      </c>
      <c r="T33" s="60">
        <f t="shared" si="3"/>
        <v>-814130</v>
      </c>
      <c r="U33" s="60">
        <f t="shared" si="3"/>
        <v>-9721330.6500000004</v>
      </c>
      <c r="V33" s="60">
        <f t="shared" si="3"/>
        <v>-182986.33</v>
      </c>
      <c r="W33" s="60">
        <f t="shared" si="3"/>
        <v>-276480</v>
      </c>
    </row>
    <row r="38" spans="1:23" x14ac:dyDescent="0.25">
      <c r="U38" s="63"/>
    </row>
    <row r="39" spans="1:23" x14ac:dyDescent="0.25">
      <c r="C39" s="35" t="s">
        <v>112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1"/>
  <sheetViews>
    <sheetView zoomScale="70" zoomScaleNormal="70" workbookViewId="0">
      <pane ySplit="1" topLeftCell="A2" activePane="bottomLeft" state="frozen"/>
      <selection pane="bottomLeft" activeCell="S23" sqref="S2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8" width="10.85546875" customWidth="1"/>
    <col min="19" max="19" width="10.85546875" style="11" customWidth="1"/>
    <col min="21" max="21" width="10.140625" customWidth="1"/>
    <col min="22" max="22" width="11.28515625" customWidth="1"/>
    <col min="23" max="23" width="10.5703125" customWidth="1"/>
  </cols>
  <sheetData>
    <row r="1" spans="1:24" ht="26.25" x14ac:dyDescent="0.25">
      <c r="A1" s="135" t="s">
        <v>10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61"/>
      <c r="U1" s="61"/>
    </row>
    <row r="2" spans="1:24" s="12" customFormat="1" ht="33" customHeight="1" x14ac:dyDescent="0.25">
      <c r="A2" s="22" t="s">
        <v>2</v>
      </c>
      <c r="B2" s="130" t="s">
        <v>111</v>
      </c>
      <c r="C2" s="130" t="s">
        <v>11</v>
      </c>
      <c r="D2" s="130" t="s">
        <v>12</v>
      </c>
      <c r="E2" s="130" t="s">
        <v>13</v>
      </c>
      <c r="F2" s="130" t="s">
        <v>14</v>
      </c>
      <c r="G2" s="137" t="s">
        <v>115</v>
      </c>
      <c r="H2" s="139" t="s">
        <v>15</v>
      </c>
      <c r="I2" s="130" t="s">
        <v>16</v>
      </c>
      <c r="J2" s="142" t="s">
        <v>17</v>
      </c>
      <c r="K2" s="143"/>
      <c r="L2" s="144"/>
      <c r="M2" s="137" t="s">
        <v>18</v>
      </c>
      <c r="N2" s="139" t="s">
        <v>19</v>
      </c>
      <c r="O2" s="140" t="s">
        <v>20</v>
      </c>
      <c r="P2" s="139" t="s">
        <v>21</v>
      </c>
      <c r="Q2" s="132" t="s">
        <v>22</v>
      </c>
      <c r="R2" s="130" t="s">
        <v>128</v>
      </c>
      <c r="S2" s="130" t="s">
        <v>23</v>
      </c>
      <c r="U2" s="134" t="s">
        <v>6</v>
      </c>
      <c r="V2" s="134" t="s">
        <v>7</v>
      </c>
      <c r="W2" s="134" t="s">
        <v>8</v>
      </c>
    </row>
    <row r="3" spans="1:24" s="12" customFormat="1" ht="45" customHeight="1" x14ac:dyDescent="0.25">
      <c r="A3" s="23"/>
      <c r="B3" s="131"/>
      <c r="C3" s="131"/>
      <c r="D3" s="131"/>
      <c r="E3" s="131"/>
      <c r="F3" s="131"/>
      <c r="G3" s="138"/>
      <c r="H3" s="139"/>
      <c r="I3" s="131"/>
      <c r="J3" s="13" t="s">
        <v>24</v>
      </c>
      <c r="K3" s="13" t="s">
        <v>25</v>
      </c>
      <c r="L3" s="13" t="s">
        <v>26</v>
      </c>
      <c r="M3" s="138"/>
      <c r="N3" s="139"/>
      <c r="O3" s="141"/>
      <c r="P3" s="139"/>
      <c r="Q3" s="133"/>
      <c r="R3" s="131"/>
      <c r="S3" s="131"/>
      <c r="U3" s="134"/>
      <c r="V3" s="134"/>
      <c r="W3" s="134"/>
    </row>
    <row r="4" spans="1:24" ht="21" customHeight="1" x14ac:dyDescent="0.25">
      <c r="A4" s="6">
        <v>44958</v>
      </c>
      <c r="B4" s="127">
        <v>1.6353</v>
      </c>
      <c r="C4" s="1">
        <v>376.25</v>
      </c>
      <c r="D4" s="127">
        <v>182986.33</v>
      </c>
      <c r="E4" s="127">
        <v>9721330.6500000004</v>
      </c>
      <c r="F4" s="1">
        <v>3.8881999999999999</v>
      </c>
      <c r="G4" s="127">
        <v>1.1969000000000001</v>
      </c>
      <c r="H4" s="127">
        <v>1.1283000000000001</v>
      </c>
      <c r="I4" s="127">
        <v>409.13</v>
      </c>
      <c r="J4" s="1">
        <v>591.27</v>
      </c>
      <c r="K4" s="1">
        <v>538.33000000000004</v>
      </c>
      <c r="L4" s="1">
        <v>376.48</v>
      </c>
      <c r="M4" s="127">
        <v>901.7</v>
      </c>
      <c r="N4" s="127">
        <v>814.13</v>
      </c>
      <c r="O4" s="127">
        <v>276.48</v>
      </c>
      <c r="P4" s="127">
        <v>1.091</v>
      </c>
      <c r="Q4" s="127">
        <v>790.64</v>
      </c>
      <c r="R4" s="127">
        <v>23868.5</v>
      </c>
      <c r="S4" s="1">
        <v>702.4</v>
      </c>
      <c r="U4" s="58"/>
      <c r="V4" s="58"/>
      <c r="W4" s="58"/>
      <c r="X4" s="12"/>
    </row>
    <row r="5" spans="1:24" ht="21" customHeight="1" x14ac:dyDescent="0.25">
      <c r="A5" s="6">
        <v>44959</v>
      </c>
      <c r="B5" s="85">
        <v>1.6364000000000001</v>
      </c>
      <c r="C5" s="85">
        <v>376.51</v>
      </c>
      <c r="D5" s="85">
        <v>184683.53</v>
      </c>
      <c r="E5" s="85">
        <v>9723746.1500000004</v>
      </c>
      <c r="F5" s="85">
        <v>3.8906999999999998</v>
      </c>
      <c r="G5" s="85">
        <v>1.1974</v>
      </c>
      <c r="H5" s="85">
        <v>1.129</v>
      </c>
      <c r="I5" s="85">
        <v>409.42</v>
      </c>
      <c r="J5" s="85">
        <v>591.71</v>
      </c>
      <c r="K5" s="85">
        <v>538.70000000000005</v>
      </c>
      <c r="L5" s="85">
        <v>376.81</v>
      </c>
      <c r="M5" s="85">
        <v>902.07</v>
      </c>
      <c r="N5" s="85">
        <v>814.52</v>
      </c>
      <c r="O5" s="85">
        <v>276.7</v>
      </c>
      <c r="P5" s="85">
        <v>1.0914999999999999</v>
      </c>
      <c r="Q5" s="85">
        <v>790.93</v>
      </c>
      <c r="R5" s="85">
        <v>24002.7</v>
      </c>
      <c r="S5" s="85">
        <v>702.88</v>
      </c>
      <c r="U5" s="58"/>
      <c r="V5" s="58"/>
      <c r="W5" s="58"/>
      <c r="X5" s="12"/>
    </row>
    <row r="6" spans="1:24" ht="21" customHeight="1" x14ac:dyDescent="0.25">
      <c r="A6" s="6">
        <v>44960</v>
      </c>
      <c r="B6" s="85">
        <v>1.6375</v>
      </c>
      <c r="C6" s="85">
        <v>376.78</v>
      </c>
      <c r="D6" s="85">
        <v>186350.8</v>
      </c>
      <c r="E6" s="85">
        <v>9726108.9499999993</v>
      </c>
      <c r="F6" s="85">
        <v>3.8932000000000002</v>
      </c>
      <c r="G6" s="85">
        <v>1.1979</v>
      </c>
      <c r="H6" s="85">
        <v>1.1295999999999999</v>
      </c>
      <c r="I6" s="85">
        <v>409.75</v>
      </c>
      <c r="J6" s="85">
        <v>592.15</v>
      </c>
      <c r="K6" s="85">
        <v>538.97</v>
      </c>
      <c r="L6" s="85">
        <v>377.1</v>
      </c>
      <c r="M6" s="85">
        <v>902.47</v>
      </c>
      <c r="N6" s="85">
        <v>814.97</v>
      </c>
      <c r="O6" s="85">
        <v>276.93</v>
      </c>
      <c r="P6" s="85">
        <v>1.0920000000000001</v>
      </c>
      <c r="Q6" s="85">
        <v>791.23</v>
      </c>
      <c r="R6" s="85">
        <v>24134</v>
      </c>
      <c r="S6" s="85">
        <v>703.41</v>
      </c>
      <c r="U6" s="58"/>
      <c r="V6" s="58"/>
      <c r="W6" s="58"/>
      <c r="X6" s="12"/>
    </row>
    <row r="7" spans="1:24" ht="21" customHeight="1" x14ac:dyDescent="0.25">
      <c r="A7" s="6">
        <v>44961</v>
      </c>
      <c r="B7" s="85">
        <v>1.6386000000000001</v>
      </c>
      <c r="C7" s="85">
        <v>377.02</v>
      </c>
      <c r="D7" s="85">
        <v>187993.97</v>
      </c>
      <c r="E7" s="85">
        <v>9728451.4600000009</v>
      </c>
      <c r="F7" s="85">
        <v>3.8957999999999999</v>
      </c>
      <c r="G7" s="85">
        <v>1.1983999999999999</v>
      </c>
      <c r="H7" s="85">
        <v>1.1302000000000001</v>
      </c>
      <c r="I7" s="85">
        <v>410.04</v>
      </c>
      <c r="J7" s="85">
        <v>592.6</v>
      </c>
      <c r="K7" s="85">
        <v>539.26</v>
      </c>
      <c r="L7" s="85">
        <v>377.38</v>
      </c>
      <c r="M7" s="85">
        <v>902.92</v>
      </c>
      <c r="N7" s="85">
        <v>815.42</v>
      </c>
      <c r="O7" s="85">
        <v>277.16000000000003</v>
      </c>
      <c r="P7" s="85">
        <v>1.0925</v>
      </c>
      <c r="Q7" s="85">
        <v>791.56</v>
      </c>
      <c r="R7" s="85">
        <v>24266.799999999999</v>
      </c>
      <c r="S7" s="85">
        <v>703.82</v>
      </c>
      <c r="U7" s="58"/>
      <c r="V7" s="58"/>
      <c r="W7" s="58"/>
      <c r="X7" s="12"/>
    </row>
    <row r="8" spans="1:24" ht="21" customHeight="1" x14ac:dyDescent="0.25">
      <c r="A8" s="6">
        <v>44962</v>
      </c>
      <c r="B8" s="85">
        <v>1.6397999999999999</v>
      </c>
      <c r="C8" s="85">
        <v>377.27</v>
      </c>
      <c r="D8" s="85">
        <v>189621.14</v>
      </c>
      <c r="E8" s="85">
        <v>9730426.0999999996</v>
      </c>
      <c r="F8" s="85">
        <v>3.8984000000000001</v>
      </c>
      <c r="G8" s="85">
        <v>1.1989000000000001</v>
      </c>
      <c r="H8" s="85">
        <v>1.1308</v>
      </c>
      <c r="I8" s="85">
        <v>410.34</v>
      </c>
      <c r="J8" s="85">
        <v>593.03</v>
      </c>
      <c r="K8" s="85">
        <v>539.53</v>
      </c>
      <c r="L8" s="85">
        <v>377.66</v>
      </c>
      <c r="M8" s="85">
        <v>903.35</v>
      </c>
      <c r="N8" s="85">
        <v>815.86</v>
      </c>
      <c r="O8" s="85">
        <v>277.41000000000003</v>
      </c>
      <c r="P8" s="85">
        <v>1.093</v>
      </c>
      <c r="Q8" s="85">
        <v>791.91</v>
      </c>
      <c r="R8" s="85">
        <v>24401.599999999999</v>
      </c>
      <c r="S8" s="85">
        <v>704.15</v>
      </c>
      <c r="U8" s="83"/>
      <c r="V8" s="83"/>
      <c r="W8" s="92"/>
      <c r="X8" s="12"/>
    </row>
    <row r="9" spans="1:24" ht="21" customHeight="1" x14ac:dyDescent="0.25">
      <c r="A9" s="6">
        <v>44963</v>
      </c>
      <c r="B9" s="85">
        <v>1.6409</v>
      </c>
      <c r="C9" s="85">
        <v>377.52</v>
      </c>
      <c r="D9" s="85">
        <v>191258.16</v>
      </c>
      <c r="E9" s="85">
        <v>9733203.25</v>
      </c>
      <c r="F9" s="85">
        <v>3.9009999999999998</v>
      </c>
      <c r="G9" s="85">
        <v>1.1995</v>
      </c>
      <c r="H9" s="85">
        <v>1.1314</v>
      </c>
      <c r="I9" s="85">
        <v>410.65</v>
      </c>
      <c r="J9" s="85">
        <v>593.55999999999995</v>
      </c>
      <c r="K9" s="85">
        <v>539.84</v>
      </c>
      <c r="L9" s="85">
        <v>377.95</v>
      </c>
      <c r="M9" s="85">
        <v>903.8</v>
      </c>
      <c r="N9" s="85">
        <v>816.29</v>
      </c>
      <c r="O9" s="85">
        <v>277.63</v>
      </c>
      <c r="P9" s="85">
        <v>1.0933999999999999</v>
      </c>
      <c r="Q9" s="85">
        <v>792.26</v>
      </c>
      <c r="R9" s="85">
        <v>24531.3</v>
      </c>
      <c r="S9" s="85">
        <v>704.7</v>
      </c>
      <c r="U9" s="83"/>
      <c r="V9" s="83"/>
      <c r="W9" s="92"/>
      <c r="X9" s="12"/>
    </row>
    <row r="10" spans="1:24" ht="21" customHeight="1" x14ac:dyDescent="0.25">
      <c r="A10" s="6">
        <v>44964</v>
      </c>
      <c r="B10" s="85">
        <v>1.6420999999999999</v>
      </c>
      <c r="C10" s="85">
        <v>377.77</v>
      </c>
      <c r="D10" s="85">
        <v>192645.72</v>
      </c>
      <c r="E10" s="85">
        <v>9735757.8300000001</v>
      </c>
      <c r="F10" s="85">
        <v>3.9036</v>
      </c>
      <c r="G10" s="85">
        <v>1.2000999999999999</v>
      </c>
      <c r="H10" s="85">
        <v>1.1319999999999999</v>
      </c>
      <c r="I10" s="85">
        <v>410.94</v>
      </c>
      <c r="J10" s="85">
        <v>594.15</v>
      </c>
      <c r="K10" s="85">
        <v>540.16</v>
      </c>
      <c r="L10" s="85">
        <v>378.26</v>
      </c>
      <c r="M10" s="85">
        <v>904.24</v>
      </c>
      <c r="N10" s="85">
        <v>816.73</v>
      </c>
      <c r="O10" s="85">
        <v>277.85000000000002</v>
      </c>
      <c r="P10" s="85">
        <v>1.0939000000000001</v>
      </c>
      <c r="Q10" s="85">
        <v>792.59</v>
      </c>
      <c r="R10" s="85">
        <v>24661.7</v>
      </c>
      <c r="S10" s="85">
        <v>705.2</v>
      </c>
      <c r="U10" s="83"/>
      <c r="V10" s="83"/>
      <c r="W10" s="83"/>
      <c r="X10" s="12"/>
    </row>
    <row r="11" spans="1:24" ht="21" customHeight="1" x14ac:dyDescent="0.25">
      <c r="A11" s="6">
        <v>44965</v>
      </c>
      <c r="B11" s="85">
        <v>1.6433</v>
      </c>
      <c r="C11" s="85">
        <v>378.04</v>
      </c>
      <c r="D11" s="85">
        <v>194244.52</v>
      </c>
      <c r="E11" s="85">
        <v>9738064.8599999994</v>
      </c>
      <c r="F11" s="85">
        <v>3.9060999999999999</v>
      </c>
      <c r="G11" s="85">
        <v>1.2005999999999999</v>
      </c>
      <c r="H11" s="85">
        <v>1.1326000000000001</v>
      </c>
      <c r="I11" s="85">
        <v>411.24</v>
      </c>
      <c r="J11" s="85">
        <v>594.66</v>
      </c>
      <c r="K11" s="85">
        <v>540.53</v>
      </c>
      <c r="L11" s="85">
        <v>378.56</v>
      </c>
      <c r="M11" s="85">
        <v>904.65</v>
      </c>
      <c r="N11" s="85">
        <v>817.16</v>
      </c>
      <c r="O11" s="85">
        <v>278.08</v>
      </c>
      <c r="P11" s="85">
        <v>1.0945</v>
      </c>
      <c r="Q11" s="85">
        <v>792.96</v>
      </c>
      <c r="R11" s="85">
        <v>24793.1</v>
      </c>
      <c r="S11" s="85">
        <v>705.67</v>
      </c>
      <c r="U11" s="83"/>
      <c r="V11" s="83"/>
      <c r="W11" s="83"/>
      <c r="X11" s="12"/>
    </row>
    <row r="12" spans="1:24" ht="21" customHeight="1" x14ac:dyDescent="0.25">
      <c r="A12" s="6">
        <v>44966</v>
      </c>
      <c r="B12" s="85">
        <v>1.6444000000000001</v>
      </c>
      <c r="C12" s="85">
        <v>378.29</v>
      </c>
      <c r="D12" s="85">
        <v>195944.34</v>
      </c>
      <c r="E12" s="85">
        <v>9740361.1400000006</v>
      </c>
      <c r="F12" s="85">
        <v>3.9087000000000001</v>
      </c>
      <c r="G12" s="85">
        <v>1.2011000000000001</v>
      </c>
      <c r="H12" s="85">
        <v>1.1332</v>
      </c>
      <c r="I12" s="85">
        <v>411.54</v>
      </c>
      <c r="J12" s="85">
        <v>595.20000000000005</v>
      </c>
      <c r="K12" s="85">
        <v>540.89</v>
      </c>
      <c r="L12" s="85">
        <v>378.86</v>
      </c>
      <c r="M12" s="85">
        <v>905.09</v>
      </c>
      <c r="N12" s="85">
        <v>817.54</v>
      </c>
      <c r="O12" s="85">
        <v>278.32</v>
      </c>
      <c r="P12" s="85">
        <v>1.095</v>
      </c>
      <c r="Q12" s="85">
        <v>793.36</v>
      </c>
      <c r="R12" s="85">
        <v>24926.6</v>
      </c>
      <c r="S12" s="85">
        <v>706.14</v>
      </c>
      <c r="U12" s="83"/>
      <c r="V12" s="83"/>
      <c r="W12" s="83"/>
      <c r="X12" s="12"/>
    </row>
    <row r="13" spans="1:24" ht="21" customHeight="1" x14ac:dyDescent="0.25">
      <c r="A13" s="6">
        <v>44967</v>
      </c>
      <c r="B13" s="85">
        <v>1.6455</v>
      </c>
      <c r="C13" s="85">
        <v>378.54</v>
      </c>
      <c r="D13" s="85">
        <v>197457</v>
      </c>
      <c r="E13" s="85">
        <v>9742684.3900000006</v>
      </c>
      <c r="F13" s="85">
        <v>3.9113000000000002</v>
      </c>
      <c r="G13" s="85">
        <v>1.2016</v>
      </c>
      <c r="H13" s="85">
        <v>1.1337999999999999</v>
      </c>
      <c r="I13" s="85">
        <v>411.82</v>
      </c>
      <c r="J13" s="85">
        <v>595.67999999999995</v>
      </c>
      <c r="K13" s="85">
        <v>541.17999999999995</v>
      </c>
      <c r="L13" s="85">
        <v>379.12</v>
      </c>
      <c r="M13" s="85">
        <v>905.49</v>
      </c>
      <c r="N13" s="85">
        <v>817.87</v>
      </c>
      <c r="O13" s="85">
        <v>278.52999999999997</v>
      </c>
      <c r="P13" s="85">
        <v>1.0955999999999999</v>
      </c>
      <c r="Q13" s="85">
        <v>793.74</v>
      </c>
      <c r="R13" s="85">
        <v>25056.799999999999</v>
      </c>
      <c r="S13" s="85">
        <v>706.61</v>
      </c>
      <c r="U13" s="83"/>
      <c r="V13" s="83"/>
      <c r="W13" s="83"/>
      <c r="X13" s="12"/>
    </row>
    <row r="14" spans="1:24" ht="21" customHeight="1" x14ac:dyDescent="0.25">
      <c r="A14" s="6">
        <v>44968</v>
      </c>
      <c r="B14" s="85">
        <v>1.6466000000000001</v>
      </c>
      <c r="C14" s="85">
        <v>378.78</v>
      </c>
      <c r="D14" s="85">
        <v>198972</v>
      </c>
      <c r="E14" s="85">
        <v>9745012</v>
      </c>
      <c r="F14" s="85">
        <v>3.9138000000000002</v>
      </c>
      <c r="G14" s="85">
        <v>1.2020999999999999</v>
      </c>
      <c r="H14" s="85">
        <v>1.1343000000000001</v>
      </c>
      <c r="I14" s="85">
        <v>412.09</v>
      </c>
      <c r="J14" s="85">
        <v>596.07000000000005</v>
      </c>
      <c r="K14" s="85">
        <v>541.46</v>
      </c>
      <c r="L14" s="85">
        <v>379.39</v>
      </c>
      <c r="M14" s="85">
        <v>905.94</v>
      </c>
      <c r="N14" s="85">
        <v>818.22</v>
      </c>
      <c r="O14" s="85">
        <v>278.77999999999997</v>
      </c>
      <c r="P14" s="85">
        <v>1.0961000000000001</v>
      </c>
      <c r="Q14" s="85">
        <v>794.1</v>
      </c>
      <c r="R14" s="85">
        <v>25182.6</v>
      </c>
      <c r="S14" s="85">
        <v>707.06</v>
      </c>
      <c r="U14" s="83"/>
      <c r="V14" s="83"/>
      <c r="W14" s="83"/>
      <c r="X14" s="12"/>
    </row>
    <row r="15" spans="1:24" ht="21" customHeight="1" x14ac:dyDescent="0.25">
      <c r="A15" s="6">
        <v>44969</v>
      </c>
      <c r="B15" s="85">
        <v>1.6476999999999999</v>
      </c>
      <c r="C15" s="85">
        <v>379.05</v>
      </c>
      <c r="D15" s="85">
        <v>200483</v>
      </c>
      <c r="E15" s="85">
        <v>9747060</v>
      </c>
      <c r="F15" s="85">
        <v>3.9163999999999999</v>
      </c>
      <c r="G15" s="85">
        <v>1.2027000000000001</v>
      </c>
      <c r="H15" s="85">
        <v>1.1349</v>
      </c>
      <c r="I15" s="85">
        <v>412.36</v>
      </c>
      <c r="J15" s="85">
        <v>596.61</v>
      </c>
      <c r="K15" s="85">
        <v>541.75</v>
      </c>
      <c r="L15" s="85">
        <v>379.7</v>
      </c>
      <c r="M15" s="85">
        <v>906.4</v>
      </c>
      <c r="N15" s="85">
        <v>818.63</v>
      </c>
      <c r="O15" s="85">
        <v>279.05</v>
      </c>
      <c r="P15" s="85">
        <v>1.0966</v>
      </c>
      <c r="Q15" s="85">
        <v>794.53</v>
      </c>
      <c r="R15" s="85">
        <v>25312.799999999999</v>
      </c>
      <c r="S15" s="85">
        <v>707.5</v>
      </c>
      <c r="U15" s="83"/>
      <c r="V15" s="83"/>
      <c r="W15" s="83"/>
      <c r="X15" s="12"/>
    </row>
    <row r="16" spans="1:24" ht="21" customHeight="1" x14ac:dyDescent="0.25">
      <c r="A16" s="6">
        <v>44970</v>
      </c>
      <c r="B16" s="85">
        <v>1.6488</v>
      </c>
      <c r="C16" s="85">
        <v>379.32</v>
      </c>
      <c r="D16" s="85">
        <v>202065.2</v>
      </c>
      <c r="E16" s="85">
        <v>9749453.9100000001</v>
      </c>
      <c r="F16" s="85">
        <v>3.9188999999999998</v>
      </c>
      <c r="G16" s="85">
        <v>1.2032</v>
      </c>
      <c r="H16" s="85">
        <v>1.1355</v>
      </c>
      <c r="I16" s="85">
        <v>412.61</v>
      </c>
      <c r="J16" s="85">
        <v>597.16999999999996</v>
      </c>
      <c r="K16" s="85">
        <v>542.08000000000004</v>
      </c>
      <c r="L16" s="85">
        <v>379.98</v>
      </c>
      <c r="M16" s="85">
        <v>906.8</v>
      </c>
      <c r="N16" s="85">
        <v>819.01</v>
      </c>
      <c r="O16" s="85">
        <v>279.3</v>
      </c>
      <c r="P16" s="85">
        <v>1.0971</v>
      </c>
      <c r="Q16" s="85">
        <v>794.92</v>
      </c>
      <c r="R16" s="85">
        <v>25435.1</v>
      </c>
      <c r="S16" s="85">
        <v>707.99</v>
      </c>
      <c r="U16" s="83"/>
      <c r="V16" s="83"/>
      <c r="W16" s="83"/>
      <c r="X16" s="12"/>
    </row>
    <row r="17" spans="1:24" ht="21" customHeight="1" x14ac:dyDescent="0.25">
      <c r="A17" s="6">
        <v>44971</v>
      </c>
      <c r="B17" s="85">
        <v>1.6498999999999999</v>
      </c>
      <c r="C17" s="85">
        <v>379.56</v>
      </c>
      <c r="D17" s="85">
        <v>203622.98</v>
      </c>
      <c r="E17" s="85">
        <v>9751754.6799999997</v>
      </c>
      <c r="F17" s="85">
        <v>3.9215</v>
      </c>
      <c r="G17" s="85">
        <v>1.2038</v>
      </c>
      <c r="H17" s="85">
        <v>1.1361000000000001</v>
      </c>
      <c r="I17" s="85">
        <v>412.87</v>
      </c>
      <c r="J17" s="85">
        <v>597.83000000000004</v>
      </c>
      <c r="K17" s="85">
        <v>542.33000000000004</v>
      </c>
      <c r="L17" s="85">
        <v>380.28</v>
      </c>
      <c r="M17" s="85">
        <v>907.24</v>
      </c>
      <c r="N17" s="85">
        <v>819.43</v>
      </c>
      <c r="O17" s="85">
        <v>279.55</v>
      </c>
      <c r="P17" s="85">
        <v>1.0975999999999999</v>
      </c>
      <c r="Q17" s="85">
        <v>795.29</v>
      </c>
      <c r="R17" s="85">
        <v>25559.599999999999</v>
      </c>
      <c r="S17" s="85">
        <v>708.52</v>
      </c>
      <c r="U17" s="83"/>
      <c r="V17" s="83"/>
      <c r="W17" s="83"/>
      <c r="X17" s="12"/>
    </row>
    <row r="18" spans="1:24" ht="21" customHeight="1" x14ac:dyDescent="0.25">
      <c r="A18" s="6">
        <v>44972</v>
      </c>
      <c r="B18" s="85">
        <v>1.651</v>
      </c>
      <c r="C18" s="85">
        <v>379.81</v>
      </c>
      <c r="D18" s="85">
        <v>205358.66</v>
      </c>
      <c r="E18" s="85">
        <v>9754391.4000000004</v>
      </c>
      <c r="F18" s="85">
        <v>3.9243000000000001</v>
      </c>
      <c r="G18" s="85">
        <v>1.2043999999999999</v>
      </c>
      <c r="H18" s="85">
        <v>1.1367</v>
      </c>
      <c r="I18" s="85">
        <v>413.17</v>
      </c>
      <c r="J18" s="85">
        <v>598.48</v>
      </c>
      <c r="K18" s="85">
        <v>542.6</v>
      </c>
      <c r="L18" s="85">
        <v>380.6</v>
      </c>
      <c r="M18" s="85">
        <v>907.7</v>
      </c>
      <c r="N18" s="85">
        <v>819.9</v>
      </c>
      <c r="O18" s="85">
        <v>279.81</v>
      </c>
      <c r="P18" s="85">
        <v>1.0982000000000001</v>
      </c>
      <c r="Q18" s="85">
        <v>795.73</v>
      </c>
      <c r="R18" s="85">
        <v>25687.200000000001</v>
      </c>
      <c r="S18" s="85">
        <v>709.04</v>
      </c>
      <c r="U18" s="83"/>
      <c r="V18" s="83"/>
      <c r="W18" s="83"/>
      <c r="X18" s="12"/>
    </row>
    <row r="19" spans="1:24" ht="21" customHeight="1" x14ac:dyDescent="0.25">
      <c r="A19" s="6">
        <v>44973</v>
      </c>
      <c r="B19" s="85">
        <v>1.6520999999999999</v>
      </c>
      <c r="C19" s="85">
        <v>380.04</v>
      </c>
      <c r="D19" s="85">
        <v>206991.75</v>
      </c>
      <c r="E19" s="85">
        <v>9756920.9199999999</v>
      </c>
      <c r="F19" s="85">
        <v>3.9268999999999998</v>
      </c>
      <c r="G19" s="85">
        <v>1.2051000000000001</v>
      </c>
      <c r="H19" s="85">
        <v>1.1373</v>
      </c>
      <c r="I19" s="85">
        <v>413.44</v>
      </c>
      <c r="J19" s="85">
        <v>599.17999999999995</v>
      </c>
      <c r="K19" s="85">
        <v>542.97</v>
      </c>
      <c r="L19" s="85">
        <v>380.9</v>
      </c>
      <c r="M19" s="85">
        <v>908.15</v>
      </c>
      <c r="N19" s="85">
        <v>820.31</v>
      </c>
      <c r="O19" s="85">
        <v>280.08</v>
      </c>
      <c r="P19" s="85">
        <v>1.0986</v>
      </c>
      <c r="Q19" s="85">
        <v>796.11</v>
      </c>
      <c r="R19" s="85">
        <v>25823</v>
      </c>
      <c r="S19" s="85">
        <v>709.58</v>
      </c>
      <c r="U19" s="83"/>
      <c r="V19" s="83"/>
      <c r="W19" s="83"/>
      <c r="X19" s="12"/>
    </row>
    <row r="20" spans="1:24" ht="21" customHeight="1" x14ac:dyDescent="0.25">
      <c r="A20" s="6">
        <v>44974</v>
      </c>
      <c r="B20" s="85">
        <v>1.6531</v>
      </c>
      <c r="C20" s="85">
        <v>380.27</v>
      </c>
      <c r="D20" s="85">
        <v>208717.25</v>
      </c>
      <c r="E20" s="85">
        <v>9759289.5800000001</v>
      </c>
      <c r="F20" s="85">
        <v>3.9295</v>
      </c>
      <c r="G20" s="85">
        <v>1.2058</v>
      </c>
      <c r="H20" s="85">
        <v>1.1378999999999999</v>
      </c>
      <c r="I20" s="85">
        <v>413.73</v>
      </c>
      <c r="J20" s="85">
        <v>599.88</v>
      </c>
      <c r="K20" s="85">
        <v>543.38</v>
      </c>
      <c r="L20" s="85">
        <v>381.22</v>
      </c>
      <c r="M20" s="85">
        <v>908.65</v>
      </c>
      <c r="N20" s="85">
        <v>820.72</v>
      </c>
      <c r="O20" s="85">
        <v>280.36</v>
      </c>
      <c r="P20" s="85">
        <v>1.0991</v>
      </c>
      <c r="Q20" s="85">
        <v>796.46</v>
      </c>
      <c r="R20" s="85">
        <v>25958.9</v>
      </c>
      <c r="S20" s="85">
        <v>710.14</v>
      </c>
      <c r="U20" s="83"/>
      <c r="V20" s="83"/>
      <c r="W20" s="83"/>
      <c r="X20" s="12"/>
    </row>
    <row r="21" spans="1:24" ht="21" customHeight="1" x14ac:dyDescent="0.25">
      <c r="A21" s="6">
        <v>44975</v>
      </c>
      <c r="B21" s="85">
        <v>1.6541999999999999</v>
      </c>
      <c r="C21" s="85">
        <v>380.51</v>
      </c>
      <c r="D21" s="85">
        <v>210443</v>
      </c>
      <c r="E21" s="85">
        <v>9761672</v>
      </c>
      <c r="F21" s="85">
        <v>3.9319999999999999</v>
      </c>
      <c r="G21" s="85">
        <v>1.2064999999999999</v>
      </c>
      <c r="H21" s="85">
        <v>1.1385000000000001</v>
      </c>
      <c r="I21" s="85">
        <v>414.01</v>
      </c>
      <c r="J21" s="85">
        <v>600.51</v>
      </c>
      <c r="K21" s="85">
        <v>543.80999999999995</v>
      </c>
      <c r="L21" s="85">
        <v>381.54</v>
      </c>
      <c r="M21" s="85">
        <v>909.15</v>
      </c>
      <c r="N21" s="85">
        <v>821.2</v>
      </c>
      <c r="O21" s="85">
        <v>280.64</v>
      </c>
      <c r="P21" s="85">
        <v>1.0995999999999999</v>
      </c>
      <c r="Q21" s="85">
        <v>796.8</v>
      </c>
      <c r="R21" s="85">
        <v>26092.3</v>
      </c>
      <c r="S21" s="85">
        <v>710.55</v>
      </c>
      <c r="U21" s="83"/>
      <c r="V21" s="83"/>
      <c r="W21" s="83"/>
      <c r="X21" s="12"/>
    </row>
    <row r="22" spans="1:24" ht="21" customHeight="1" x14ac:dyDescent="0.25">
      <c r="A22" s="6">
        <v>44976</v>
      </c>
      <c r="B22" s="85">
        <v>1.6553</v>
      </c>
      <c r="C22" s="85">
        <v>380.75</v>
      </c>
      <c r="D22" s="85">
        <v>212125</v>
      </c>
      <c r="E22" s="85">
        <v>9763759</v>
      </c>
      <c r="F22" s="85">
        <v>3.9346999999999999</v>
      </c>
      <c r="G22" s="85">
        <v>1.2073</v>
      </c>
      <c r="H22" s="85">
        <v>1.1392</v>
      </c>
      <c r="I22" s="85">
        <v>414.31</v>
      </c>
      <c r="J22" s="85">
        <v>601.16999999999996</v>
      </c>
      <c r="K22" s="85">
        <v>544.21</v>
      </c>
      <c r="L22" s="85">
        <v>381.83</v>
      </c>
      <c r="M22" s="85">
        <v>909.67</v>
      </c>
      <c r="N22" s="85">
        <v>821.7</v>
      </c>
      <c r="O22" s="85">
        <v>280.91000000000003</v>
      </c>
      <c r="P22" s="85">
        <v>1.1001000000000001</v>
      </c>
      <c r="Q22" s="85">
        <v>797.13</v>
      </c>
      <c r="R22" s="85">
        <v>26220.1</v>
      </c>
      <c r="S22" s="85">
        <v>710.91</v>
      </c>
      <c r="U22" s="83"/>
      <c r="V22" s="83"/>
      <c r="W22" s="83"/>
      <c r="X22" s="12"/>
    </row>
    <row r="23" spans="1:24" ht="21" customHeight="1" x14ac:dyDescent="0.25">
      <c r="A23" s="6">
        <v>44977</v>
      </c>
      <c r="B23" s="85">
        <v>1.6565000000000001</v>
      </c>
      <c r="C23" s="85">
        <v>380.98</v>
      </c>
      <c r="D23" s="85">
        <v>213866.3</v>
      </c>
      <c r="E23" s="85">
        <v>9766300.5299999993</v>
      </c>
      <c r="F23" s="85">
        <v>3.9371</v>
      </c>
      <c r="G23" s="85">
        <v>1.2079</v>
      </c>
      <c r="H23" s="85">
        <v>1.1397999999999999</v>
      </c>
      <c r="I23" s="85">
        <v>414.6</v>
      </c>
      <c r="J23" s="85">
        <v>601.83000000000004</v>
      </c>
      <c r="K23" s="85">
        <v>544.61</v>
      </c>
      <c r="L23" s="85">
        <v>382.14</v>
      </c>
      <c r="M23" s="85">
        <v>910.17</v>
      </c>
      <c r="N23" s="85">
        <v>822.16</v>
      </c>
      <c r="O23" s="85">
        <v>281.16000000000003</v>
      </c>
      <c r="P23" s="85">
        <v>1.1006</v>
      </c>
      <c r="Q23" s="85">
        <v>797.5</v>
      </c>
      <c r="R23" s="85">
        <v>26363.9</v>
      </c>
      <c r="S23" s="85">
        <v>711.57</v>
      </c>
      <c r="U23" s="83"/>
      <c r="V23" s="83"/>
      <c r="W23" s="83"/>
      <c r="X23" s="12"/>
    </row>
    <row r="24" spans="1:24" ht="21" customHeight="1" x14ac:dyDescent="0.25">
      <c r="A24" s="6">
        <v>44978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>
        <v>0</v>
      </c>
      <c r="S24" s="85"/>
      <c r="U24" s="83"/>
      <c r="V24" s="83"/>
      <c r="W24" s="83"/>
      <c r="X24" s="12"/>
    </row>
    <row r="25" spans="1:24" ht="21" customHeight="1" x14ac:dyDescent="0.25">
      <c r="A25" s="6">
        <v>44979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>
        <v>0</v>
      </c>
      <c r="S25" s="85"/>
      <c r="U25" s="83"/>
      <c r="V25" s="83"/>
      <c r="W25" s="83"/>
      <c r="X25" s="12"/>
    </row>
    <row r="26" spans="1:24" ht="21" customHeight="1" x14ac:dyDescent="0.25">
      <c r="A26" s="6">
        <v>44980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>
        <v>0</v>
      </c>
      <c r="S26" s="85"/>
      <c r="U26" s="83"/>
      <c r="V26" s="83"/>
      <c r="W26" s="83"/>
      <c r="X26" s="12"/>
    </row>
    <row r="27" spans="1:24" s="95" customFormat="1" ht="21" customHeight="1" x14ac:dyDescent="0.25">
      <c r="A27" s="6">
        <v>44981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>
        <v>0</v>
      </c>
      <c r="S27" s="85"/>
      <c r="U27" s="96"/>
      <c r="V27" s="96"/>
      <c r="W27" s="96"/>
      <c r="X27" s="97"/>
    </row>
    <row r="28" spans="1:24" ht="21" customHeight="1" x14ac:dyDescent="0.25">
      <c r="A28" s="6">
        <v>44982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>
        <v>0</v>
      </c>
      <c r="S28" s="85"/>
      <c r="U28" s="83"/>
      <c r="V28" s="83"/>
      <c r="W28" s="83"/>
      <c r="X28" s="12"/>
    </row>
    <row r="29" spans="1:24" ht="21" customHeight="1" x14ac:dyDescent="0.25">
      <c r="A29" s="6">
        <v>44983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>
        <v>0</v>
      </c>
      <c r="S29" s="85"/>
      <c r="U29" s="83"/>
      <c r="V29" s="83"/>
      <c r="W29" s="83"/>
      <c r="X29" s="12"/>
    </row>
    <row r="30" spans="1:24" ht="21" customHeight="1" x14ac:dyDescent="0.25">
      <c r="A30" s="6">
        <v>44984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>
        <v>0</v>
      </c>
      <c r="S30" s="85"/>
      <c r="U30" s="83"/>
      <c r="V30" s="83"/>
      <c r="W30" s="83"/>
      <c r="X30" s="12"/>
    </row>
    <row r="31" spans="1:24" ht="21" customHeight="1" x14ac:dyDescent="0.25">
      <c r="A31" s="6">
        <v>44985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>
        <v>0</v>
      </c>
      <c r="S31" s="85"/>
      <c r="U31" s="83"/>
      <c r="V31" s="83"/>
      <c r="W31" s="83"/>
      <c r="X31" s="12"/>
    </row>
    <row r="32" spans="1:24" ht="19.5" customHeight="1" x14ac:dyDescent="0.25">
      <c r="A32" s="6">
        <v>44986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>
        <v>0</v>
      </c>
      <c r="S32" s="85"/>
      <c r="U32" s="83"/>
      <c r="V32" s="83"/>
      <c r="W32" s="83"/>
      <c r="X32" s="12"/>
    </row>
    <row r="33" spans="1:23" ht="19.5" customHeight="1" x14ac:dyDescent="0.25">
      <c r="A33" s="6">
        <v>44987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>
        <v>0</v>
      </c>
      <c r="S33" s="85"/>
      <c r="U33" s="83"/>
      <c r="V33" s="83"/>
      <c r="W33" s="83"/>
    </row>
    <row r="34" spans="1:23" ht="21" customHeight="1" x14ac:dyDescent="0.25">
      <c r="A34" s="6">
        <v>44988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>
        <v>0</v>
      </c>
      <c r="S34" s="85"/>
      <c r="U34" s="62">
        <f>SUM(U4:U33)</f>
        <v>0</v>
      </c>
      <c r="V34" s="62">
        <f>SUM(V4:V33)</f>
        <v>0</v>
      </c>
      <c r="W34" s="62">
        <f>SUM(W4:W33)</f>
        <v>0</v>
      </c>
    </row>
    <row r="35" spans="1:23" ht="20.25" customHeight="1" x14ac:dyDescent="0.25">
      <c r="A35" s="6">
        <v>44989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>
        <v>0</v>
      </c>
      <c r="S35" s="85"/>
    </row>
    <row r="41" spans="1:23" x14ac:dyDescent="0.25">
      <c r="S41" s="11" t="s">
        <v>27</v>
      </c>
    </row>
  </sheetData>
  <sheetProtection insertColumns="0" insertRows="0" insertHyperlinks="0" deleteColumns="0" deleteRows="0"/>
  <mergeCells count="20">
    <mergeCell ref="V2:V3"/>
    <mergeCell ref="W2:W3"/>
    <mergeCell ref="S2:S3"/>
    <mergeCell ref="A1:S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U2:U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24" sqref="K24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29</v>
      </c>
      <c r="C2" s="27" t="s">
        <v>40</v>
      </c>
      <c r="D2" s="27" t="s">
        <v>41</v>
      </c>
      <c r="E2" s="27" t="s">
        <v>42</v>
      </c>
      <c r="F2" s="27" t="s">
        <v>43</v>
      </c>
      <c r="G2" s="15" t="s">
        <v>44</v>
      </c>
      <c r="H2" s="30" t="s">
        <v>45</v>
      </c>
      <c r="I2" s="18" t="s">
        <v>30</v>
      </c>
      <c r="J2" s="18" t="s">
        <v>46</v>
      </c>
      <c r="K2" s="18" t="s">
        <v>47</v>
      </c>
      <c r="L2" s="30" t="s">
        <v>48</v>
      </c>
    </row>
    <row r="3" spans="1:12" x14ac:dyDescent="0.25">
      <c r="A3" s="10">
        <f>'Kwh Reading'!A4</f>
        <v>44958</v>
      </c>
      <c r="B3" s="65">
        <f>TOTAL!E2</f>
        <v>18539.999999998414</v>
      </c>
      <c r="C3" s="1">
        <f>'Kwh area wise '!E3</f>
        <v>260</v>
      </c>
      <c r="D3" s="1">
        <f>Submeters!F2</f>
        <v>2500</v>
      </c>
      <c r="E3" s="1">
        <f>Submeters!G2</f>
        <v>260</v>
      </c>
      <c r="F3" s="1">
        <f>(Submeters!I2+Submeters!J2+Submeters!K2)</f>
        <v>1140.0000000000432</v>
      </c>
      <c r="G3" s="1">
        <f>Submeters!L2</f>
        <v>134.20000000000073</v>
      </c>
      <c r="H3" s="1">
        <f>(Submeters!M2+Submeters!N2)</f>
        <v>1390.0000000001214</v>
      </c>
      <c r="I3" s="1">
        <f>(Submeters!O2+Submeters!P2+Submeters!Q2+Submeters!R2+Submeters!S2+Submeters!T2)</f>
        <v>2749.9999999997672</v>
      </c>
      <c r="J3" s="1">
        <f>(Submeters!U2+Submeters!V2)</f>
        <v>4112.7000000000116</v>
      </c>
      <c r="K3" s="1">
        <f>Submeters!W2</f>
        <v>219.99999999997044</v>
      </c>
      <c r="L3" s="24">
        <f>B3-C3-D3-E3-F3-G3-H3-I3-J3-K3</f>
        <v>5773.0999999984979</v>
      </c>
    </row>
    <row r="4" spans="1:12" x14ac:dyDescent="0.25">
      <c r="A4" s="10">
        <f>'Kwh Reading'!A5</f>
        <v>44959</v>
      </c>
      <c r="B4" s="65">
        <f>TOTAL!E3</f>
        <v>18449.999999999436</v>
      </c>
      <c r="C4" s="1">
        <f>Submeters!E3</f>
        <v>529.99999999997272</v>
      </c>
      <c r="D4" s="1">
        <f>Submeters!F3</f>
        <v>2500.0000000003906</v>
      </c>
      <c r="E4" s="1">
        <f>Submeters!G3</f>
        <v>269.99999999998181</v>
      </c>
      <c r="F4" s="1">
        <f>(Submeters!I3+Submeters!J3+Submeters!K3)</f>
        <v>999.99999999994316</v>
      </c>
      <c r="G4" s="1">
        <f>Submeters!L3</f>
        <v>131.29999999999927</v>
      </c>
      <c r="H4" s="1">
        <f>(Submeters!M3+Submeters!N3)</f>
        <v>1429.9999999998629</v>
      </c>
      <c r="I4" s="1">
        <f>(Submeters!O3+Submeters!P3+Submeters!Q3+Submeters!R3+Submeters!S3+Submeters!T3)</f>
        <v>2750.0000000001369</v>
      </c>
      <c r="J4" s="1">
        <f>(Submeters!U3+Submeters!V3)</f>
        <v>4030.0699999988719</v>
      </c>
      <c r="K4" s="1">
        <f>Submeters!W3</f>
        <v>230.00000000001819</v>
      </c>
      <c r="L4" s="24">
        <f t="shared" ref="L4:L30" si="0">B4-C4-D4-E4-F4-G4-H4-I4-J4-K4</f>
        <v>5578.6300000002557</v>
      </c>
    </row>
    <row r="5" spans="1:12" x14ac:dyDescent="0.25">
      <c r="A5" s="10">
        <f>'Kwh Reading'!A6</f>
        <v>44960</v>
      </c>
      <c r="B5" s="65">
        <f>TOTAL!E4</f>
        <v>18760.000000001328</v>
      </c>
      <c r="C5" s="1">
        <f>Submeters!E4</f>
        <v>410.00000000008185</v>
      </c>
      <c r="D5" s="1">
        <f>Submeters!F4</f>
        <v>2599.9999999997135</v>
      </c>
      <c r="E5" s="1">
        <f>Submeters!G4</f>
        <v>240.00000000000909</v>
      </c>
      <c r="F5" s="1">
        <f>(Submeters!I4+Submeters!J4+Submeters!K4)</f>
        <v>1019.9999999999818</v>
      </c>
      <c r="G5" s="1">
        <f>Submeters!L4</f>
        <v>132.79999999999927</v>
      </c>
      <c r="H5" s="1">
        <f>(Submeters!M4+Submeters!N4)</f>
        <v>1390.0000000001214</v>
      </c>
      <c r="I5" s="1">
        <f>(Submeters!O4+Submeters!P4+Submeters!Q4+Submeters!R4+Submeters!S4+Submeters!T4)</f>
        <v>2829.9999999998367</v>
      </c>
      <c r="J5" s="1">
        <f>(Submeters!U4+Submeters!V4)</f>
        <v>3985.6800000016519</v>
      </c>
      <c r="K5" s="1">
        <f>Submeters!W4</f>
        <v>230.00000000001819</v>
      </c>
      <c r="L5" s="24">
        <f t="shared" si="0"/>
        <v>5921.5199999999131</v>
      </c>
    </row>
    <row r="6" spans="1:12" x14ac:dyDescent="0.25">
      <c r="A6" s="10">
        <f>'Kwh Reading'!A7</f>
        <v>44961</v>
      </c>
      <c r="B6" s="65">
        <f>TOTAL!E5</f>
        <v>18030.0000000002</v>
      </c>
      <c r="C6" s="1">
        <f>Submeters!E5</f>
        <v>329.99999999992724</v>
      </c>
      <c r="D6" s="1">
        <f>Submeters!F5</f>
        <v>2600.0000000001578</v>
      </c>
      <c r="E6" s="1">
        <f>Submeters!G5</f>
        <v>250</v>
      </c>
      <c r="F6" s="1">
        <f>(Submeters!I5+Submeters!J5+Submeters!K5)</f>
        <v>979.99999999996135</v>
      </c>
      <c r="G6" s="1">
        <f>Submeters!L5</f>
        <v>134.79999999999927</v>
      </c>
      <c r="H6" s="1">
        <f>(Submeters!M5+Submeters!N5)</f>
        <v>1499.9999999998224</v>
      </c>
      <c r="I6" s="1">
        <f>(Submeters!O5+Submeters!P5+Submeters!Q5+Submeters!R5+Submeters!S5+Submeters!T5)</f>
        <v>2820.0000000001869</v>
      </c>
      <c r="J6" s="1">
        <f>(Submeters!U5+Submeters!V5)</f>
        <v>3601.8099999987462</v>
      </c>
      <c r="K6" s="1">
        <f>Submeters!W5</f>
        <v>250</v>
      </c>
      <c r="L6" s="24">
        <f t="shared" si="0"/>
        <v>5563.3900000013982</v>
      </c>
    </row>
    <row r="7" spans="1:12" x14ac:dyDescent="0.25">
      <c r="A7" s="10">
        <f>'Kwh Reading'!A8</f>
        <v>44962</v>
      </c>
      <c r="B7" s="65">
        <f>TOTAL!E6</f>
        <v>18980.000000000655</v>
      </c>
      <c r="C7" s="1">
        <f>Submeters!E6</f>
        <v>550.00000000006821</v>
      </c>
      <c r="D7" s="1">
        <f>Submeters!F6</f>
        <v>2599.9999999997135</v>
      </c>
      <c r="E7" s="1">
        <f>Submeters!G6</f>
        <v>250</v>
      </c>
      <c r="F7" s="1">
        <f>(Submeters!I6+Submeters!J6+Submeters!K6)</f>
        <v>1129.9999999999955</v>
      </c>
      <c r="G7" s="1">
        <f>Submeters!L6</f>
        <v>129.70000000000073</v>
      </c>
      <c r="H7" s="1">
        <f>(Submeters!M6+Submeters!N6)</f>
        <v>1410.0000000001032</v>
      </c>
      <c r="I7" s="1">
        <f>(Submeters!O6+Submeters!P6+Submeters!Q6+Submeters!R6+Submeters!S6+Submeters!T6)</f>
        <v>2829.9999999997285</v>
      </c>
      <c r="J7" s="1">
        <f>(Submeters!U6+Submeters!V6)</f>
        <v>4414.1700000003621</v>
      </c>
      <c r="K7" s="1">
        <f>Submeters!W6</f>
        <v>219.99999999997044</v>
      </c>
      <c r="L7" s="24">
        <f t="shared" si="0"/>
        <v>5446.1300000007104</v>
      </c>
    </row>
    <row r="8" spans="1:12" x14ac:dyDescent="0.25">
      <c r="A8" s="10">
        <f>'Kwh Reading'!A9</f>
        <v>44963</v>
      </c>
      <c r="B8" s="65">
        <f>TOTAL!E7</f>
        <v>19649.999999997304</v>
      </c>
      <c r="C8" s="1">
        <f>Submeters!E7</f>
        <v>500</v>
      </c>
      <c r="D8" s="1">
        <f>Submeters!F7</f>
        <v>2600.0000000001578</v>
      </c>
      <c r="E8" s="1">
        <f>Submeters!G7</f>
        <v>250</v>
      </c>
      <c r="F8" s="1">
        <f>(Submeters!I7+Submeters!J7+Submeters!K7)</f>
        <v>1219.9999999999704</v>
      </c>
      <c r="G8" s="1">
        <f>Submeters!L7</f>
        <v>130.40000000000146</v>
      </c>
      <c r="H8" s="1">
        <f>(Submeters!M7+Submeters!N7)</f>
        <v>1489.9999999998884</v>
      </c>
      <c r="I8" s="1">
        <f>(Submeters!O7+Submeters!P7+Submeters!Q7+Submeters!R7+Submeters!S7+Submeters!T7)</f>
        <v>2910.0000000001851</v>
      </c>
      <c r="J8" s="1">
        <f>(Submeters!U7+Submeters!V7)</f>
        <v>3942.1400000000722</v>
      </c>
      <c r="K8" s="1">
        <f>Submeters!W7</f>
        <v>220.00000000002728</v>
      </c>
      <c r="L8" s="24">
        <f t="shared" si="0"/>
        <v>6387.4599999970014</v>
      </c>
    </row>
    <row r="9" spans="1:12" x14ac:dyDescent="0.25">
      <c r="A9" s="10">
        <f>'Kwh Reading'!A10</f>
        <v>44964</v>
      </c>
      <c r="B9" s="65">
        <f>TOTAL!E8</f>
        <v>18610.000000002954</v>
      </c>
      <c r="C9" s="1">
        <f>Submeters!E8</f>
        <v>469.9999999999136</v>
      </c>
      <c r="D9" s="1">
        <f>Submeters!F8</f>
        <v>2499.9999999999468</v>
      </c>
      <c r="E9" s="1">
        <f>Submeters!G8</f>
        <v>270.00000000003865</v>
      </c>
      <c r="F9" s="1">
        <f>(Submeters!I8+Submeters!J8+Submeters!K8)</f>
        <v>1180.0000000000068</v>
      </c>
      <c r="G9" s="1">
        <f>Submeters!L8</f>
        <v>131.39999999999782</v>
      </c>
      <c r="H9" s="1">
        <f>(Submeters!M8+Submeters!N8)</f>
        <v>1500.0000000001012</v>
      </c>
      <c r="I9" s="1">
        <f>(Submeters!O8+Submeters!P8+Submeters!Q8+Submeters!R8+Submeters!S8+Submeters!T8)</f>
        <v>2909.9999999999577</v>
      </c>
      <c r="J9" s="1">
        <f>(Submeters!U8+Submeters!V8)</f>
        <v>3905.8299999993178</v>
      </c>
      <c r="K9" s="1">
        <f>Submeters!W8</f>
        <v>229.99999999996135</v>
      </c>
      <c r="L9" s="24">
        <f t="shared" si="0"/>
        <v>5512.7700000037112</v>
      </c>
    </row>
    <row r="10" spans="1:12" x14ac:dyDescent="0.25">
      <c r="A10" s="10">
        <f>'Kwh Reading'!A11</f>
        <v>44965</v>
      </c>
      <c r="B10" s="65">
        <f>TOTAL!E9</f>
        <v>18949.999999999309</v>
      </c>
      <c r="C10" s="1">
        <f>Submeters!E9</f>
        <v>470.00000000002728</v>
      </c>
      <c r="D10" s="1">
        <f>Submeters!F9</f>
        <v>2600.0000000001578</v>
      </c>
      <c r="E10" s="1">
        <f>Submeters!G9</f>
        <v>250</v>
      </c>
      <c r="F10" s="1">
        <f>(Submeters!I9+Submeters!J9+Submeters!K9)</f>
        <v>1200.0000000001023</v>
      </c>
      <c r="G10" s="1">
        <f>Submeters!L9</f>
        <v>133.5</v>
      </c>
      <c r="H10" s="1">
        <f>(Submeters!M9+Submeters!N9)</f>
        <v>1400.0000000001123</v>
      </c>
      <c r="I10" s="1">
        <f>(Submeters!O9+Submeters!P9+Submeters!Q9+Submeters!R9+Submeters!S9+Submeters!T9)</f>
        <v>2820.0000000000732</v>
      </c>
      <c r="J10" s="1">
        <f>(Submeters!U9+Submeters!V9)</f>
        <v>3996.1000000011991</v>
      </c>
      <c r="K10" s="1">
        <f>Submeters!W9</f>
        <v>240.00000000000909</v>
      </c>
      <c r="L10" s="24">
        <f t="shared" si="0"/>
        <v>5840.3999999976259</v>
      </c>
    </row>
    <row r="11" spans="1:12" x14ac:dyDescent="0.25">
      <c r="A11" s="10">
        <f>'Kwh Reading'!A12</f>
        <v>44966</v>
      </c>
      <c r="B11" s="65">
        <f>TOTAL!E10</f>
        <v>18279.999999998865</v>
      </c>
      <c r="C11" s="1">
        <f>Submeters!E10</f>
        <v>470.00000000002728</v>
      </c>
      <c r="D11" s="1">
        <f>Submeters!F10</f>
        <v>2600.0000000001578</v>
      </c>
      <c r="E11" s="1">
        <f>Submeters!G10</f>
        <v>250</v>
      </c>
      <c r="F11" s="1">
        <f>(Submeters!I10+Submeters!J10+Submeters!K10)</f>
        <v>1029.999999999859</v>
      </c>
      <c r="G11" s="1">
        <f>Submeters!L10</f>
        <v>130.20000000000073</v>
      </c>
      <c r="H11" s="1">
        <f>(Submeters!M10+Submeters!N10)</f>
        <v>1379.9999999998515</v>
      </c>
      <c r="I11" s="1">
        <f>(Submeters!O10+Submeters!P10+Submeters!Q10+Submeters!R10+Submeters!S10+Submeters!T10)</f>
        <v>2809.9999999998263</v>
      </c>
      <c r="J11" s="1">
        <f>(Submeters!U10+Submeters!V10)</f>
        <v>3835.9100000000035</v>
      </c>
      <c r="K11" s="1">
        <f>Submeters!W10</f>
        <v>209.99999999997954</v>
      </c>
      <c r="L11" s="24">
        <f t="shared" si="0"/>
        <v>5563.8899999991572</v>
      </c>
    </row>
    <row r="12" spans="1:12" x14ac:dyDescent="0.25">
      <c r="A12" s="10">
        <f>'Kwh Reading'!A13</f>
        <v>44967</v>
      </c>
      <c r="B12" s="65">
        <f>TOTAL!E11</f>
        <v>18439.999999999174</v>
      </c>
      <c r="C12" s="1">
        <f>Submeters!E11</f>
        <v>449.99999999993179</v>
      </c>
      <c r="D12" s="1">
        <f>Submeters!F11</f>
        <v>2499.9999999999468</v>
      </c>
      <c r="E12" s="1">
        <f>Submeters!G11</f>
        <v>239.99999999995225</v>
      </c>
      <c r="F12" s="1">
        <f>(Submeters!I11+Submeters!J11+Submeters!K11)</f>
        <v>940.00000000016826</v>
      </c>
      <c r="G12" s="1">
        <f>Submeters!L11</f>
        <v>125.79999999999927</v>
      </c>
      <c r="H12" s="1">
        <f>(Submeters!M11+Submeters!N11)</f>
        <v>1370.0000000000828</v>
      </c>
      <c r="I12" s="1">
        <f>(Submeters!O11+Submeters!P11+Submeters!Q11+Submeters!R11+Submeters!S11+Submeters!T11)</f>
        <v>2660.0000000003611</v>
      </c>
      <c r="J12" s="1">
        <f>(Submeters!U11+Submeters!V11)</f>
        <v>3842.609999999404</v>
      </c>
      <c r="K12" s="1">
        <f>Submeters!W11</f>
        <v>250</v>
      </c>
      <c r="L12" s="24">
        <f t="shared" si="0"/>
        <v>6061.5899999993271</v>
      </c>
    </row>
    <row r="13" spans="1:12" x14ac:dyDescent="0.25">
      <c r="A13" s="10">
        <f>'Kwh Reading'!A14</f>
        <v>44968</v>
      </c>
      <c r="B13" s="65">
        <f>TOTAL!E12</f>
        <v>17980.000000001128</v>
      </c>
      <c r="C13" s="1">
        <f>Submeters!E12</f>
        <v>440.00000000005457</v>
      </c>
      <c r="D13" s="1">
        <f>Submeters!F12</f>
        <v>2599.9999999997135</v>
      </c>
      <c r="E13" s="1">
        <f>Submeters!G12</f>
        <v>270.00000000003865</v>
      </c>
      <c r="F13" s="1">
        <f>(Submeters!I12+Submeters!J12+Submeters!K12)</f>
        <v>1139.9999999999295</v>
      </c>
      <c r="G13" s="1">
        <f>Submeters!L12</f>
        <v>130.20000000000073</v>
      </c>
      <c r="H13" s="1">
        <f>(Submeters!M12+Submeters!N12)</f>
        <v>1369.9999999999175</v>
      </c>
      <c r="I13" s="1">
        <f>(Submeters!O12+Submeters!P12+Submeters!Q12+Submeters!R12+Submeters!S12+Submeters!T12)</f>
        <v>2999.9999999998759</v>
      </c>
      <c r="J13" s="1">
        <f>(Submeters!U12+Submeters!V12)</f>
        <v>3559</v>
      </c>
      <c r="K13" s="1">
        <f>Submeters!W12</f>
        <v>270.00000000003865</v>
      </c>
      <c r="L13" s="24">
        <f t="shared" si="0"/>
        <v>5200.80000000156</v>
      </c>
    </row>
    <row r="14" spans="1:12" x14ac:dyDescent="0.25">
      <c r="A14" s="10">
        <f>'Kwh Reading'!A15</f>
        <v>44969</v>
      </c>
      <c r="B14" s="65">
        <f>TOTAL!E13</f>
        <v>18260.00000000036</v>
      </c>
      <c r="C14" s="1">
        <f>Submeters!E13</f>
        <v>490.00000000000909</v>
      </c>
      <c r="D14" s="1">
        <f>Submeters!F13</f>
        <v>2499.9999999999468</v>
      </c>
      <c r="E14" s="1">
        <f>Submeters!G13</f>
        <v>269.99999999998181</v>
      </c>
      <c r="F14" s="1">
        <f>(Submeters!I13+Submeters!J13+Submeters!K13)</f>
        <v>1170.0000000000159</v>
      </c>
      <c r="G14" s="1">
        <f>Submeters!L13</f>
        <v>122.29999999999927</v>
      </c>
      <c r="H14" s="1">
        <f>(Submeters!M13+Submeters!N13)</f>
        <v>1350.000000000101</v>
      </c>
      <c r="I14" s="1">
        <f>(Submeters!O13+Submeters!P13+Submeters!Q13+Submeters!R13+Submeters!S13+Submeters!T13)</f>
        <v>2769.9999999997826</v>
      </c>
      <c r="J14" s="1">
        <f>(Submeters!U13+Submeters!V13)</f>
        <v>3976.1100000001607</v>
      </c>
      <c r="K14" s="1">
        <f>Submeters!W13</f>
        <v>250</v>
      </c>
      <c r="L14" s="24">
        <f t="shared" si="0"/>
        <v>5361.5900000003603</v>
      </c>
    </row>
    <row r="15" spans="1:12" x14ac:dyDescent="0.25">
      <c r="A15" s="10">
        <f>'Kwh Reading'!A16</f>
        <v>44970</v>
      </c>
      <c r="B15" s="65">
        <f>TOTAL!E14</f>
        <v>19209.999999999807</v>
      </c>
      <c r="C15" s="1">
        <f>Submeters!E14</f>
        <v>529.99999999997272</v>
      </c>
      <c r="D15" s="1">
        <f>Submeters!F14</f>
        <v>2600.0000000001578</v>
      </c>
      <c r="E15" s="1">
        <f>Submeters!G14</f>
        <v>240.00000000000909</v>
      </c>
      <c r="F15" s="1">
        <f>(Submeters!I14+Submeters!J14+Submeters!K14)</f>
        <v>1210.0000000000364</v>
      </c>
      <c r="G15" s="1">
        <f>Submeters!L14</f>
        <v>124.5</v>
      </c>
      <c r="H15" s="1">
        <f>(Submeters!M14+Submeters!N14)</f>
        <v>1359.9999999998697</v>
      </c>
      <c r="I15" s="1">
        <f>(Submeters!O14+Submeters!P14+Submeters!Q14+Submeters!R14+Submeters!S14+Submeters!T14)</f>
        <v>2930.0000000000532</v>
      </c>
      <c r="J15" s="1">
        <f>(Submeters!U14+Submeters!V14)</f>
        <v>3858.5499999995518</v>
      </c>
      <c r="K15" s="1">
        <f>Submeters!W14</f>
        <v>250</v>
      </c>
      <c r="L15" s="24">
        <f t="shared" si="0"/>
        <v>6106.9500000001553</v>
      </c>
    </row>
    <row r="16" spans="1:12" x14ac:dyDescent="0.25">
      <c r="A16" s="10">
        <f>'Kwh Reading'!A17</f>
        <v>44971</v>
      </c>
      <c r="B16" s="65">
        <f>TOTAL!E15</f>
        <v>18800.000000001033</v>
      </c>
      <c r="C16" s="1">
        <f>Submeters!E15</f>
        <v>519.99999999998181</v>
      </c>
      <c r="D16" s="1">
        <f>Submeters!F15</f>
        <v>2800.0000000001355</v>
      </c>
      <c r="E16" s="1">
        <f>Submeters!G15</f>
        <v>250</v>
      </c>
      <c r="F16" s="1">
        <f>(Submeters!I15+Submeters!J15+Submeters!K15)</f>
        <v>1240.0000000000091</v>
      </c>
      <c r="G16" s="1">
        <f>Submeters!L15</f>
        <v>127.60000000000218</v>
      </c>
      <c r="H16" s="1">
        <f>(Submeters!M15+Submeters!N15)</f>
        <v>1400.0000000001123</v>
      </c>
      <c r="I16" s="1">
        <f>(Submeters!O15+Submeters!P15+Submeters!Q15+Submeters!R15+Submeters!S15+Submeters!T15)</f>
        <v>3170.0000000001423</v>
      </c>
      <c r="J16" s="1">
        <f>(Submeters!U15+Submeters!V15)</f>
        <v>4372.4000000006636</v>
      </c>
      <c r="K16" s="1">
        <f>Submeters!W15</f>
        <v>259.99999999999091</v>
      </c>
      <c r="L16" s="24">
        <f t="shared" si="0"/>
        <v>4659.9999999999964</v>
      </c>
    </row>
    <row r="17" spans="1:13" x14ac:dyDescent="0.25">
      <c r="A17" s="10">
        <f>'Kwh Reading'!A18</f>
        <v>44972</v>
      </c>
      <c r="B17" s="65">
        <f>TOTAL!E16</f>
        <v>19950.00000000064</v>
      </c>
      <c r="C17" s="1">
        <f>Submeters!E16</f>
        <v>540.00000000007731</v>
      </c>
      <c r="D17" s="1">
        <f>Submeters!F16</f>
        <v>2599.9999999997135</v>
      </c>
      <c r="E17" s="1">
        <f>Submeters!G16</f>
        <v>230.00000000001819</v>
      </c>
      <c r="F17" s="1">
        <f>(Submeters!I16+Submeters!J16+Submeters!K16)</f>
        <v>1369.9999999998909</v>
      </c>
      <c r="G17" s="1">
        <f>Submeters!L16</f>
        <v>135.79999999999927</v>
      </c>
      <c r="H17" s="1">
        <f>(Submeters!M16+Submeters!N16)</f>
        <v>1369.9999999998606</v>
      </c>
      <c r="I17" s="1">
        <f>(Submeters!O16+Submeters!P16+Submeters!Q16+Submeters!R16+Submeters!S16+Submeters!T16)</f>
        <v>2939.9999999999304</v>
      </c>
      <c r="J17" s="1">
        <f>(Submeters!U16+Submeters!V16)</f>
        <v>4162.6099999995495</v>
      </c>
      <c r="K17" s="1">
        <f>Submeters!W16</f>
        <v>269.99999999998181</v>
      </c>
      <c r="L17" s="24">
        <f t="shared" si="0"/>
        <v>6331.5900000016209</v>
      </c>
    </row>
    <row r="18" spans="1:13" x14ac:dyDescent="0.25">
      <c r="A18" s="10">
        <f>'Kwh Reading'!A19</f>
        <v>44973</v>
      </c>
      <c r="B18" s="65">
        <f>TOTAL!E17</f>
        <v>19709.999999999211</v>
      </c>
      <c r="C18" s="1">
        <f>Submeters!E17</f>
        <v>559.99999999994543</v>
      </c>
      <c r="D18" s="1">
        <f>Submeters!F17</f>
        <v>2600.0000000001578</v>
      </c>
      <c r="E18" s="1">
        <f>Submeters!G17</f>
        <v>229.99999999996135</v>
      </c>
      <c r="F18" s="1">
        <f>(Submeters!I17+Submeters!J17+Submeters!K17)</f>
        <v>1430.0000000000637</v>
      </c>
      <c r="G18" s="1">
        <f>Submeters!L17</f>
        <v>135.90000000000146</v>
      </c>
      <c r="H18" s="1">
        <f>(Submeters!M17+Submeters!N17)</f>
        <v>1290.0000000001323</v>
      </c>
      <c r="I18" s="1">
        <f>(Submeters!O17+Submeters!P17+Submeters!Q17+Submeters!R17+Submeters!S17+Submeters!T17)</f>
        <v>3059.9999999999063</v>
      </c>
      <c r="J18" s="1">
        <f>(Submeters!U17+Submeters!V17)</f>
        <v>4094.160000000149</v>
      </c>
      <c r="K18" s="1">
        <f>Submeters!W17</f>
        <v>280.00000000002956</v>
      </c>
      <c r="L18" s="24">
        <f t="shared" si="0"/>
        <v>6029.9399999988636</v>
      </c>
    </row>
    <row r="19" spans="1:13" x14ac:dyDescent="0.25">
      <c r="A19" s="10">
        <f>'Kwh Reading'!A20</f>
        <v>44974</v>
      </c>
      <c r="B19" s="65">
        <f>TOTAL!E18</f>
        <v>20429.999999998301</v>
      </c>
      <c r="C19" s="1">
        <f>Submeters!E18</f>
        <v>409.99999999996817</v>
      </c>
      <c r="D19" s="1">
        <f>Submeters!F18</f>
        <v>2499.9999999999468</v>
      </c>
      <c r="E19" s="1">
        <f>Submeters!G18</f>
        <v>240.00000000000909</v>
      </c>
      <c r="F19" s="1">
        <f>(Submeters!I18+Submeters!J18+Submeters!K18)</f>
        <v>1379.9999999999386</v>
      </c>
      <c r="G19" s="1">
        <f>Submeters!L18</f>
        <v>133.39999999999782</v>
      </c>
      <c r="H19" s="1">
        <f>(Submeters!M18+Submeters!N18)</f>
        <v>1379.9999999998515</v>
      </c>
      <c r="I19" s="1">
        <f>(Submeters!O18+Submeters!P18+Submeters!Q18+Submeters!R18+Submeters!S18+Submeters!T18)</f>
        <v>3119.99999999996</v>
      </c>
      <c r="J19" s="1">
        <f>(Submeters!U18+Submeters!V18)</f>
        <v>4108.1699999999255</v>
      </c>
      <c r="K19" s="1">
        <f>Submeters!W18</f>
        <v>279.99999999997272</v>
      </c>
      <c r="L19" s="24">
        <f t="shared" si="0"/>
        <v>6878.4299999987325</v>
      </c>
    </row>
    <row r="20" spans="1:13" x14ac:dyDescent="0.25">
      <c r="A20" s="10">
        <f>'Kwh Reading'!A21</f>
        <v>44975</v>
      </c>
      <c r="B20" s="65">
        <f>TOTAL!E19</f>
        <v>20000.000000000768</v>
      </c>
      <c r="C20" s="1">
        <f>Submeters!E19</f>
        <v>360.00000000001364</v>
      </c>
      <c r="D20" s="1">
        <f>Submeters!F19</f>
        <v>2699.9999999999245</v>
      </c>
      <c r="E20" s="1">
        <f>Submeters!G19</f>
        <v>240.00000000000909</v>
      </c>
      <c r="F20" s="1">
        <f>(Submeters!I19+Submeters!J19+Submeters!K19)</f>
        <v>1350.0000000000227</v>
      </c>
      <c r="G20" s="1">
        <f>Submeters!L19</f>
        <v>127.79999999999927</v>
      </c>
      <c r="H20" s="1">
        <f>(Submeters!M19+Submeters!N19)</f>
        <v>1400.0000000001123</v>
      </c>
      <c r="I20" s="1">
        <f>(Submeters!O19+Submeters!P19+Submeters!Q19+Submeters!R19+Submeters!S19+Submeters!T19)</f>
        <v>3350.0000000002465</v>
      </c>
      <c r="J20" s="1">
        <f>(Submeters!U19+Submeters!V19)</f>
        <v>3769</v>
      </c>
      <c r="K20" s="1">
        <f>Submeters!W19</f>
        <v>270.00000000003865</v>
      </c>
      <c r="L20" s="24">
        <f t="shared" si="0"/>
        <v>6433.2000000004027</v>
      </c>
    </row>
    <row r="21" spans="1:13" x14ac:dyDescent="0.25">
      <c r="A21" s="10">
        <f>'Kwh Reading'!A22</f>
        <v>44976</v>
      </c>
      <c r="B21" s="65">
        <f>TOTAL!E20</f>
        <v>19019.999999998505</v>
      </c>
      <c r="C21" s="1">
        <f>Submeters!E20</f>
        <v>660.00000000008185</v>
      </c>
      <c r="D21" s="1">
        <f>Submeters!F20</f>
        <v>2400.0000000001796</v>
      </c>
      <c r="E21" s="1">
        <f>Submeters!G20</f>
        <v>230.00000000001819</v>
      </c>
      <c r="F21" s="1">
        <f>(Submeters!I20+Submeters!J20+Submeters!K20)</f>
        <v>1370.0000000000614</v>
      </c>
      <c r="G21" s="1">
        <f>Submeters!L20</f>
        <v>143.80000000000291</v>
      </c>
      <c r="H21" s="1">
        <f>(Submeters!M20+Submeters!N20)</f>
        <v>1490.0000000001103</v>
      </c>
      <c r="I21" s="1">
        <f>(Submeters!O20+Submeters!P20+Submeters!Q20+Submeters!R20+Submeters!S20+Submeters!T20)</f>
        <v>3029.9999999997403</v>
      </c>
      <c r="J21" s="1">
        <f>(Submeters!U20+Submeters!V20)</f>
        <v>4282.8299999993178</v>
      </c>
      <c r="K21" s="1">
        <f>Submeters!W20</f>
        <v>250</v>
      </c>
      <c r="L21" s="24">
        <f t="shared" si="0"/>
        <v>5163.3699999989894</v>
      </c>
    </row>
    <row r="22" spans="1:13" x14ac:dyDescent="0.25">
      <c r="A22" s="10">
        <f>'Kwh Reading'!A23</f>
        <v>44977</v>
      </c>
      <c r="B22" s="65">
        <f>TOTAL!E21</f>
        <v>0</v>
      </c>
      <c r="C22" s="1">
        <f>Submeters!E21</f>
        <v>-711570</v>
      </c>
      <c r="D22" s="1">
        <f>Submeters!F21</f>
        <v>-3937100</v>
      </c>
      <c r="E22" s="1">
        <f>Submeters!G21</f>
        <v>-380980</v>
      </c>
      <c r="F22" s="1">
        <f>(Submeters!I21+Submeters!J21+Submeters!K21)</f>
        <v>-1528580</v>
      </c>
      <c r="G22" s="1">
        <f>Submeters!L21</f>
        <v>-26363.9</v>
      </c>
      <c r="H22" s="1">
        <f>(Submeters!M21+Submeters!N21)</f>
        <v>-2071100</v>
      </c>
      <c r="I22" s="1">
        <f>(Submeters!O21+Submeters!P21+Submeters!Q21+Submeters!R21+Submeters!S21+Submeters!T21)</f>
        <v>-5978130</v>
      </c>
      <c r="J22" s="1">
        <f>(Submeters!U21+Submeters!V21)</f>
        <v>-9980166.8300000001</v>
      </c>
      <c r="K22" s="1">
        <f>Submeters!W21</f>
        <v>-281160</v>
      </c>
      <c r="L22" s="24">
        <f t="shared" si="0"/>
        <v>24895150.73</v>
      </c>
    </row>
    <row r="23" spans="1:13" x14ac:dyDescent="0.25">
      <c r="A23" s="10">
        <f>'Kwh Reading'!A24</f>
        <v>44978</v>
      </c>
      <c r="B23" s="65">
        <f>TOTAL!E22</f>
        <v>0</v>
      </c>
      <c r="C23" s="1">
        <f>Submeters!E22</f>
        <v>0</v>
      </c>
      <c r="D23" s="1">
        <f>Submeters!F22</f>
        <v>0</v>
      </c>
      <c r="E23" s="1">
        <f>Submeters!G22</f>
        <v>0</v>
      </c>
      <c r="F23" s="1">
        <f>(Submeters!I22+Submeters!J22+Submeters!K22)</f>
        <v>0</v>
      </c>
      <c r="G23" s="1">
        <f>Submeters!L22</f>
        <v>0</v>
      </c>
      <c r="H23" s="1">
        <f>(Submeters!M22+Submeters!N22)</f>
        <v>0</v>
      </c>
      <c r="I23" s="1">
        <f>(Submeters!O22+Submeters!P22+Submeters!Q22+Submeters!R22+Submeters!S22+Submeters!T22)</f>
        <v>0</v>
      </c>
      <c r="J23" s="1">
        <f>(Submeters!U22+Submeters!V22)</f>
        <v>0</v>
      </c>
      <c r="K23" s="1">
        <f>Submeters!W22</f>
        <v>0</v>
      </c>
      <c r="L23" s="24">
        <f t="shared" si="0"/>
        <v>0</v>
      </c>
    </row>
    <row r="24" spans="1:13" x14ac:dyDescent="0.25">
      <c r="A24" s="10">
        <f>'Kwh Reading'!A25</f>
        <v>44979</v>
      </c>
      <c r="B24" s="65">
        <f>TOTAL!E23</f>
        <v>0</v>
      </c>
      <c r="C24" s="1">
        <f>Submeters!E23</f>
        <v>0</v>
      </c>
      <c r="D24" s="1">
        <f>Submeters!F23</f>
        <v>0</v>
      </c>
      <c r="E24" s="1">
        <f>Submeters!G23</f>
        <v>0</v>
      </c>
      <c r="F24" s="1">
        <f>(Submeters!I23+Submeters!J23+Submeters!K23)</f>
        <v>0</v>
      </c>
      <c r="G24" s="1">
        <f>Submeters!L23</f>
        <v>0</v>
      </c>
      <c r="H24" s="1">
        <f>(Submeters!M23+Submeters!N23)</f>
        <v>0</v>
      </c>
      <c r="I24" s="1">
        <f>(Submeters!O23+Submeters!P23+Submeters!Q23+Submeters!R23+Submeters!S23+Submeters!T23)</f>
        <v>0</v>
      </c>
      <c r="J24" s="1">
        <f>(Submeters!U23+Submeters!V23)</f>
        <v>0</v>
      </c>
      <c r="K24" s="1">
        <f>Submeters!W23</f>
        <v>0</v>
      </c>
      <c r="L24" s="24">
        <f t="shared" si="0"/>
        <v>0</v>
      </c>
    </row>
    <row r="25" spans="1:13" x14ac:dyDescent="0.25">
      <c r="A25" s="10">
        <f>'Kwh Reading'!A26</f>
        <v>44980</v>
      </c>
      <c r="B25" s="65">
        <f>TOTAL!E24</f>
        <v>0</v>
      </c>
      <c r="C25" s="1">
        <f>Submeters!E24</f>
        <v>0</v>
      </c>
      <c r="D25" s="1">
        <f>Submeters!F24</f>
        <v>0</v>
      </c>
      <c r="E25" s="1">
        <f>Submeters!G24</f>
        <v>0</v>
      </c>
      <c r="F25" s="1">
        <f>(Submeters!I24+Submeters!J24+Submeters!K24)</f>
        <v>0</v>
      </c>
      <c r="G25" s="1">
        <f>Submeters!L24</f>
        <v>0</v>
      </c>
      <c r="H25" s="1">
        <f>(Submeters!M24+Submeters!N24)</f>
        <v>0</v>
      </c>
      <c r="I25" s="1">
        <f>(Submeters!O24+Submeters!P24+Submeters!Q24+Submeters!R24+Submeters!S24+Submeters!T24)</f>
        <v>0</v>
      </c>
      <c r="J25" s="1">
        <f>(Submeters!U24+Submeters!V24)</f>
        <v>0</v>
      </c>
      <c r="K25" s="1">
        <f>Submeters!W24</f>
        <v>0</v>
      </c>
      <c r="L25" s="24">
        <f t="shared" si="0"/>
        <v>0</v>
      </c>
    </row>
    <row r="26" spans="1:13" x14ac:dyDescent="0.25">
      <c r="A26" s="10">
        <f>'Kwh Reading'!A27</f>
        <v>44981</v>
      </c>
      <c r="B26" s="65">
        <f>TOTAL!E25</f>
        <v>0</v>
      </c>
      <c r="C26" s="1">
        <f>Submeters!E25</f>
        <v>0</v>
      </c>
      <c r="D26" s="1">
        <f>Submeters!F25</f>
        <v>0</v>
      </c>
      <c r="E26" s="1">
        <f>Submeters!G25</f>
        <v>0</v>
      </c>
      <c r="F26" s="1">
        <f>(Submeters!I25+Submeters!J25+Submeters!K25)</f>
        <v>0</v>
      </c>
      <c r="G26" s="1">
        <f>Submeters!L25</f>
        <v>0</v>
      </c>
      <c r="H26" s="1">
        <f>(Submeters!M25+Submeters!N25)</f>
        <v>0</v>
      </c>
      <c r="I26" s="1">
        <f>(Submeters!O25+Submeters!P25+Submeters!Q25+Submeters!R25+Submeters!S25+Submeters!T25)</f>
        <v>0</v>
      </c>
      <c r="J26" s="1">
        <f>(Submeters!U25+Submeters!V25)</f>
        <v>0</v>
      </c>
      <c r="K26" s="1">
        <f>Submeters!W25</f>
        <v>0</v>
      </c>
      <c r="L26" s="24">
        <f t="shared" si="0"/>
        <v>0</v>
      </c>
    </row>
    <row r="27" spans="1:13" x14ac:dyDescent="0.25">
      <c r="A27" s="10">
        <f>'Kwh Reading'!A28</f>
        <v>44982</v>
      </c>
      <c r="B27" s="65">
        <f>TOTAL!E26</f>
        <v>0</v>
      </c>
      <c r="C27" s="1">
        <f>Submeters!E26</f>
        <v>0</v>
      </c>
      <c r="D27" s="1">
        <f>Submeters!F26</f>
        <v>0</v>
      </c>
      <c r="E27" s="1">
        <f>Submeters!G26</f>
        <v>0</v>
      </c>
      <c r="F27" s="1">
        <f>(Submeters!I26+Submeters!J26+Submeters!K26)</f>
        <v>0</v>
      </c>
      <c r="G27" s="1">
        <f>Submeters!L26</f>
        <v>0</v>
      </c>
      <c r="H27" s="1">
        <f>(Submeters!M26+Submeters!N26)</f>
        <v>0</v>
      </c>
      <c r="I27" s="1">
        <f>(Submeters!O26+Submeters!P26+Submeters!Q26+Submeters!R26+Submeters!S26+Submeters!T26)</f>
        <v>0</v>
      </c>
      <c r="J27" s="1">
        <f>(Submeters!U26+Submeters!V26)</f>
        <v>0</v>
      </c>
      <c r="K27" s="1">
        <f>Submeters!W26</f>
        <v>0</v>
      </c>
      <c r="L27" s="24">
        <f t="shared" si="0"/>
        <v>0</v>
      </c>
    </row>
    <row r="28" spans="1:13" x14ac:dyDescent="0.25">
      <c r="A28" s="10">
        <f>'Kwh Reading'!A29</f>
        <v>44983</v>
      </c>
      <c r="B28" s="65">
        <f>TOTAL!E27</f>
        <v>0</v>
      </c>
      <c r="C28" s="1">
        <f>Submeters!E27</f>
        <v>0</v>
      </c>
      <c r="D28" s="1">
        <f>Submeters!F27</f>
        <v>0</v>
      </c>
      <c r="E28" s="1">
        <f>Submeters!G27</f>
        <v>0</v>
      </c>
      <c r="F28" s="1">
        <f>(Submeters!I27+Submeters!J27+Submeters!K27)</f>
        <v>0</v>
      </c>
      <c r="G28" s="1">
        <f>Submeters!L27</f>
        <v>0</v>
      </c>
      <c r="H28" s="1">
        <f>(Submeters!M27+Submeters!N27)</f>
        <v>0</v>
      </c>
      <c r="I28" s="1">
        <f>(Submeters!O27+Submeters!P27+Submeters!Q27+Submeters!R27+Submeters!S27+Submeters!T27)</f>
        <v>0</v>
      </c>
      <c r="J28" s="1">
        <f>(Submeters!U27+Submeters!V27)</f>
        <v>0</v>
      </c>
      <c r="K28" s="1">
        <f>Submeters!W27</f>
        <v>0</v>
      </c>
      <c r="L28" s="24">
        <f t="shared" si="0"/>
        <v>0</v>
      </c>
    </row>
    <row r="29" spans="1:13" x14ac:dyDescent="0.25">
      <c r="A29" s="10">
        <f>'Kwh Reading'!A30</f>
        <v>44984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Submeters!L28</f>
        <v>0</v>
      </c>
      <c r="H29" s="1">
        <f>(Submeters!M28+Submeters!N28)</f>
        <v>0</v>
      </c>
      <c r="I29" s="1">
        <f>(Submeters!O28+Submeters!P28+Submeters!Q28+Submeters!R28+Submeters!S28+Submeters!T28)</f>
        <v>0</v>
      </c>
      <c r="J29" s="1">
        <f>(Submeters!U28+Submeters!V28)</f>
        <v>0</v>
      </c>
      <c r="K29" s="1">
        <f>Submeters!W28</f>
        <v>0</v>
      </c>
      <c r="L29" s="24">
        <f t="shared" si="0"/>
        <v>0</v>
      </c>
    </row>
    <row r="30" spans="1:13" x14ac:dyDescent="0.25">
      <c r="A30" s="10">
        <f>'Kwh Reading'!A31</f>
        <v>44985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Submeters!L29</f>
        <v>0</v>
      </c>
      <c r="H30" s="1">
        <f>(Submeters!M29+Submeters!N29)</f>
        <v>0</v>
      </c>
      <c r="I30" s="1">
        <f>(Submeters!O29+Submeters!P29+Submeters!Q29+Submeters!R29+Submeters!S29+Submeters!T29)</f>
        <v>0</v>
      </c>
      <c r="J30" s="1">
        <f>(Submeters!U29+Submeters!V29)</f>
        <v>0</v>
      </c>
      <c r="K30" s="1">
        <f>Submeters!W29</f>
        <v>0</v>
      </c>
      <c r="L30" s="24">
        <f t="shared" si="0"/>
        <v>0</v>
      </c>
    </row>
    <row r="31" spans="1:13" ht="15.75" x14ac:dyDescent="0.25">
      <c r="A31" s="67" t="s">
        <v>106</v>
      </c>
      <c r="B31" s="60">
        <f t="shared" ref="B31:L31" si="1">SUM(B3:B30)</f>
        <v>360049.99999999732</v>
      </c>
      <c r="C31" s="60">
        <f t="shared" si="1"/>
        <v>-702620</v>
      </c>
      <c r="D31" s="60">
        <f t="shared" si="1"/>
        <v>-3888200</v>
      </c>
      <c r="E31" s="60">
        <f t="shared" si="1"/>
        <v>-376250</v>
      </c>
      <c r="F31" s="60">
        <f t="shared" si="1"/>
        <v>-1506080</v>
      </c>
      <c r="G31" s="60">
        <f t="shared" si="1"/>
        <v>-23868.5</v>
      </c>
      <c r="H31" s="60">
        <f t="shared" si="1"/>
        <v>-2044429.9999999998</v>
      </c>
      <c r="I31" s="60">
        <f t="shared" si="1"/>
        <v>-5922670</v>
      </c>
      <c r="J31" s="60">
        <f t="shared" si="1"/>
        <v>-9904316.9800000004</v>
      </c>
      <c r="K31" s="60">
        <f t="shared" si="1"/>
        <v>-276480</v>
      </c>
      <c r="L31" s="60">
        <f t="shared" si="1"/>
        <v>25004965.48</v>
      </c>
      <c r="M31" s="66">
        <f>C31+D31+E31+F31+G31+H31+I31+J31+K31+L31</f>
        <v>360050</v>
      </c>
    </row>
    <row r="33" spans="1:13" ht="15.75" x14ac:dyDescent="0.25">
      <c r="A33" s="67" t="s">
        <v>50</v>
      </c>
      <c r="B33" s="90">
        <f>TOTAL!F2</f>
        <v>0</v>
      </c>
      <c r="C33" s="60">
        <f>C31*B33</f>
        <v>0</v>
      </c>
      <c r="D33" s="60">
        <f>D31*B33</f>
        <v>0</v>
      </c>
      <c r="E33" s="60">
        <f>E31*B33</f>
        <v>0</v>
      </c>
      <c r="F33" s="60">
        <f>F31*B33</f>
        <v>0</v>
      </c>
      <c r="G33" s="60">
        <f>G31*B33</f>
        <v>0</v>
      </c>
      <c r="H33" s="60">
        <f>H31*B33</f>
        <v>0</v>
      </c>
      <c r="I33" s="60">
        <f>I31*B33</f>
        <v>0</v>
      </c>
      <c r="J33" s="60">
        <f>J31*B33</f>
        <v>0</v>
      </c>
      <c r="K33" s="60">
        <f>K31*B33</f>
        <v>0</v>
      </c>
      <c r="L33" s="60">
        <f>L31*B33</f>
        <v>0</v>
      </c>
      <c r="M33" s="66">
        <f>C33+D33+E33+F33+G33+H33+I33+J33+K33+L33</f>
        <v>0</v>
      </c>
    </row>
    <row r="34" spans="1:13" x14ac:dyDescent="0.25">
      <c r="J34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34" sqref="I34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49</v>
      </c>
      <c r="C2" s="28" t="s">
        <v>50</v>
      </c>
      <c r="D2" s="27" t="s">
        <v>51</v>
      </c>
      <c r="E2" s="27" t="s">
        <v>52</v>
      </c>
      <c r="F2" s="28" t="s">
        <v>53</v>
      </c>
      <c r="G2" s="27" t="s">
        <v>54</v>
      </c>
      <c r="H2" s="15" t="s">
        <v>55</v>
      </c>
      <c r="I2" s="16" t="s">
        <v>56</v>
      </c>
      <c r="J2" s="17" t="s">
        <v>57</v>
      </c>
      <c r="K2" s="18" t="s">
        <v>58</v>
      </c>
      <c r="L2" s="20" t="s">
        <v>59</v>
      </c>
      <c r="M2" s="20" t="s">
        <v>60</v>
      </c>
    </row>
    <row r="3" spans="1:13" x14ac:dyDescent="0.25">
      <c r="A3" s="10">
        <f>'Kwh Reading'!A4</f>
        <v>44958</v>
      </c>
      <c r="B3" s="91">
        <f>TOTAL!F2</f>
        <v>0</v>
      </c>
      <c r="C3" s="9" t="e">
        <f>D3+E3+F3+G3+H3=I3+J3+K3+L3+M3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(Submeters!L2)*' Kwh area wise $ '!B3</f>
        <v>0</v>
      </c>
      <c r="I3" s="1">
        <f>(Submeters!M2+Submeters!N2)*' Kwh area wise $ '!B3</f>
        <v>0</v>
      </c>
      <c r="J3" s="1">
        <f>(Submeters!O2+Submeters!P2+Submeters!Q2+Submeters!R2+Submeters!S2+Submeters!T2)*' Kwh area wise $ '!B3</f>
        <v>0</v>
      </c>
      <c r="K3" s="24">
        <f>(Submeters!U2+Submeters!V2)*' Kwh area wise $ '!B3</f>
        <v>0</v>
      </c>
      <c r="L3" s="1">
        <f>Submeters!W2*'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44959</v>
      </c>
      <c r="B4" s="91">
        <f>TOTAL!F3</f>
        <v>0</v>
      </c>
      <c r="C4" s="9" t="e">
        <f t="shared" ref="C4:C30" si="0">D4+E4+F4+G4+H4=I4+J4+K4+L4+M4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(Submeters!L3)*' Kwh area wise $ '!B4</f>
        <v>0</v>
      </c>
      <c r="I4" s="1">
        <f>(Submeters!M3+Submeters!N3)*' Kwh area wise $ '!B4</f>
        <v>0</v>
      </c>
      <c r="J4" s="1">
        <f>(Submeters!O3+Submeters!P3+Submeters!Q3+Submeters!R3+Submeters!S3+Submeters!T3)*' Kwh area wise $ '!B4</f>
        <v>0</v>
      </c>
      <c r="K4" s="24">
        <f>(Submeters!U3+Submeters!V3)*' Kwh area wise $ '!B4</f>
        <v>0</v>
      </c>
      <c r="L4" s="1">
        <f>Submeters!W3*'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44960</v>
      </c>
      <c r="B5" s="91">
        <f>TOTAL!F4</f>
        <v>0</v>
      </c>
      <c r="C5" s="9" t="e">
        <f t="shared" si="0"/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(Submeters!L4)*' Kwh area wise $ '!B5</f>
        <v>0</v>
      </c>
      <c r="I5" s="1">
        <f>(Submeters!M4+Submeters!N4)*' Kwh area wise $ '!B5</f>
        <v>0</v>
      </c>
      <c r="J5" s="1">
        <f>(Submeters!O4+Submeters!P4+Submeters!Q4+Submeters!R4+Submeters!S4+Submeters!T4)*' Kwh area wise $ '!B5</f>
        <v>0</v>
      </c>
      <c r="K5" s="24">
        <f>(Submeters!U4+Submeters!V4)*' Kwh area wise $ '!B5</f>
        <v>0</v>
      </c>
      <c r="L5" s="1">
        <f>Submeters!W4*'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44961</v>
      </c>
      <c r="B6" s="91">
        <f>TOTAL!F5</f>
        <v>0</v>
      </c>
      <c r="C6" s="9" t="e">
        <f t="shared" si="0"/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(Submeters!L5)*' Kwh area wise $ '!B6</f>
        <v>0</v>
      </c>
      <c r="I6" s="1">
        <f>(Submeters!M5+Submeters!N5)*' Kwh area wise $ '!B6</f>
        <v>0</v>
      </c>
      <c r="J6" s="1">
        <f>(Submeters!O5+Submeters!P5+Submeters!Q5+Submeters!R5+Submeters!S5+Submeters!T5)*' Kwh area wise $ '!B6</f>
        <v>0</v>
      </c>
      <c r="K6" s="24">
        <f>(Submeters!U5+Submeters!V5)*' Kwh area wise $ '!B6</f>
        <v>0</v>
      </c>
      <c r="L6" s="1">
        <f>Submeters!W5*'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44962</v>
      </c>
      <c r="B7" s="91">
        <f>TOTAL!F6</f>
        <v>0</v>
      </c>
      <c r="C7" s="9" t="e">
        <f t="shared" si="0"/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(Submeters!L6)*' Kwh area wise $ '!B7</f>
        <v>0</v>
      </c>
      <c r="I7" s="1">
        <f>(Submeters!M6+Submeters!N6)*' Kwh area wise $ '!B7</f>
        <v>0</v>
      </c>
      <c r="J7" s="1">
        <f>(Submeters!O6+Submeters!P6+Submeters!Q6+Submeters!R6+Submeters!S6+Submeters!T6)*' Kwh area wise $ '!B7</f>
        <v>0</v>
      </c>
      <c r="K7" s="24">
        <f>(Submeters!U6+Submeters!V6)*' Kwh area wise $ '!B7</f>
        <v>0</v>
      </c>
      <c r="L7" s="1">
        <f>Submeters!W6*'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44963</v>
      </c>
      <c r="B8" s="91">
        <f>TOTAL!F7</f>
        <v>0</v>
      </c>
      <c r="C8" s="9" t="e">
        <f t="shared" si="0"/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(Submeters!L7)*' Kwh area wise $ '!B8</f>
        <v>0</v>
      </c>
      <c r="I8" s="1">
        <f>(Submeters!M7+Submeters!N7)*' Kwh area wise $ '!B8</f>
        <v>0</v>
      </c>
      <c r="J8" s="1">
        <f>(Submeters!O7+Submeters!P7+Submeters!Q7+Submeters!R7+Submeters!S7+Submeters!T7)*' Kwh area wise $ '!B8</f>
        <v>0</v>
      </c>
      <c r="K8" s="24">
        <f>(Submeters!U7+Submeters!V7)*' Kwh area wise $ '!B8</f>
        <v>0</v>
      </c>
      <c r="L8" s="1">
        <f>Submeters!W7*'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44964</v>
      </c>
      <c r="B9" s="91">
        <f>TOTAL!F8</f>
        <v>0</v>
      </c>
      <c r="C9" s="9" t="e">
        <f t="shared" si="0"/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(Submeters!L8)*' Kwh area wise $ '!B9</f>
        <v>0</v>
      </c>
      <c r="I9" s="1">
        <f>(Submeters!M8+Submeters!N8)*' Kwh area wise $ '!B9</f>
        <v>0</v>
      </c>
      <c r="J9" s="1">
        <f>(Submeters!O8+Submeters!P8+Submeters!Q8+Submeters!R8+Submeters!S8+Submeters!T8)*' Kwh area wise $ '!B9</f>
        <v>0</v>
      </c>
      <c r="K9" s="24">
        <f>(Submeters!U8+Submeters!V8)*' Kwh area wise $ '!B9</f>
        <v>0</v>
      </c>
      <c r="L9" s="1">
        <f>Submeters!W8*'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44965</v>
      </c>
      <c r="B10" s="91">
        <f>TOTAL!F9</f>
        <v>0</v>
      </c>
      <c r="C10" s="9" t="e">
        <f t="shared" si="0"/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(Submeters!L9)*' Kwh area wise $ '!B10</f>
        <v>0</v>
      </c>
      <c r="I10" s="1">
        <f>(Submeters!M9+Submeters!N9)*' Kwh area wise $ '!B10</f>
        <v>0</v>
      </c>
      <c r="J10" s="1">
        <f>(Submeters!O9+Submeters!P9+Submeters!Q9+Submeters!R9+Submeters!S9+Submeters!T9)*' Kwh area wise $ '!B10</f>
        <v>0</v>
      </c>
      <c r="K10" s="24">
        <f>(Submeters!U9+Submeters!V9)*' Kwh area wise $ '!B10</f>
        <v>0</v>
      </c>
      <c r="L10" s="1">
        <f>Submeters!W9*'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44966</v>
      </c>
      <c r="B11" s="91">
        <f>TOTAL!F10</f>
        <v>0</v>
      </c>
      <c r="C11" s="9" t="e">
        <f t="shared" si="0"/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(Submeters!L10)*' Kwh area wise $ '!B11</f>
        <v>0</v>
      </c>
      <c r="I11" s="1">
        <f>(Submeters!M10+Submeters!N10)*' Kwh area wise $ '!B11</f>
        <v>0</v>
      </c>
      <c r="J11" s="1">
        <f>(Submeters!O10+Submeters!P10+Submeters!Q10+Submeters!R10+Submeters!S10+Submeters!T10)*' Kwh area wise $ '!B11</f>
        <v>0</v>
      </c>
      <c r="K11" s="24">
        <f>(Submeters!U10+Submeters!V10)*' Kwh area wise $ '!B11</f>
        <v>0</v>
      </c>
      <c r="L11" s="1">
        <f>Submeters!W10*'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44967</v>
      </c>
      <c r="B12" s="91">
        <f>TOTAL!F11</f>
        <v>0</v>
      </c>
      <c r="C12" s="9" t="e">
        <f t="shared" si="0"/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(Submeters!L11)*' Kwh area wise $ '!B12</f>
        <v>0</v>
      </c>
      <c r="I12" s="1">
        <f>(Submeters!M11+Submeters!N11)*' Kwh area wise $ '!B12</f>
        <v>0</v>
      </c>
      <c r="J12" s="1">
        <f>(Submeters!O11+Submeters!P11+Submeters!Q11+Submeters!R11+Submeters!S11+Submeters!T11)*' Kwh area wise $ '!B12</f>
        <v>0</v>
      </c>
      <c r="K12" s="24">
        <f>(Submeters!U11+Submeters!V11)*' Kwh area wise $ '!B12</f>
        <v>0</v>
      </c>
      <c r="L12" s="1">
        <f>Submeters!W11*'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44968</v>
      </c>
      <c r="B13" s="91">
        <f>TOTAL!F12</f>
        <v>0</v>
      </c>
      <c r="C13" s="9" t="e">
        <f t="shared" si="0"/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(Submeters!L12)*' Kwh area wise $ '!B13</f>
        <v>0</v>
      </c>
      <c r="I13" s="1">
        <f>(Submeters!M12+Submeters!N12)*' Kwh area wise $ '!B13</f>
        <v>0</v>
      </c>
      <c r="J13" s="1">
        <f>(Submeters!O12+Submeters!P12+Submeters!Q12+Submeters!R12+Submeters!S12+Submeters!T12)*' Kwh area wise $ '!B13</f>
        <v>0</v>
      </c>
      <c r="K13" s="24">
        <f>(Submeters!U12+Submeters!V12)*' Kwh area wise $ '!B13</f>
        <v>0</v>
      </c>
      <c r="L13" s="1">
        <f>Submeters!W12*'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44969</v>
      </c>
      <c r="B14" s="91">
        <f>TOTAL!F13</f>
        <v>0</v>
      </c>
      <c r="C14" s="9" t="e">
        <f t="shared" si="0"/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(Submeters!L13)*' Kwh area wise $ '!B14</f>
        <v>0</v>
      </c>
      <c r="I14" s="1">
        <f>(Submeters!M13+Submeters!N13)*' Kwh area wise $ '!B14</f>
        <v>0</v>
      </c>
      <c r="J14" s="1">
        <f>(Submeters!O13+Submeters!P13+Submeters!Q13+Submeters!R13+Submeters!S13+Submeters!T13)*' Kwh area wise $ '!B14</f>
        <v>0</v>
      </c>
      <c r="K14" s="24">
        <f>(Submeters!U13+Submeters!V13)*' Kwh area wise $ '!B14</f>
        <v>0</v>
      </c>
      <c r="L14" s="1">
        <f>Submeters!W13*'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44970</v>
      </c>
      <c r="B15" s="91">
        <f>TOTAL!F14</f>
        <v>0</v>
      </c>
      <c r="C15" s="9" t="e">
        <f t="shared" si="0"/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(Submeters!L14)*' Kwh area wise $ '!B15</f>
        <v>0</v>
      </c>
      <c r="I15" s="1">
        <f>(Submeters!M14+Submeters!N14)*' Kwh area wise $ '!B15</f>
        <v>0</v>
      </c>
      <c r="J15" s="1">
        <f>(Submeters!O14+Submeters!P14+Submeters!Q14+Submeters!R14+Submeters!S14+Submeters!T14)*' Kwh area wise $ '!B15</f>
        <v>0</v>
      </c>
      <c r="K15" s="24">
        <f>(Submeters!U14+Submeters!V14)*' Kwh area wise $ '!B15</f>
        <v>0</v>
      </c>
      <c r="L15" s="1">
        <f>Submeters!W14*'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44971</v>
      </c>
      <c r="B16" s="91">
        <f>TOTAL!F15</f>
        <v>0</v>
      </c>
      <c r="C16" s="9" t="e">
        <f t="shared" si="0"/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(Submeters!L15)*' Kwh area wise $ '!B16</f>
        <v>0</v>
      </c>
      <c r="I16" s="1">
        <f>(Submeters!M15+Submeters!N15)*' Kwh area wise $ '!B16</f>
        <v>0</v>
      </c>
      <c r="J16" s="1">
        <f>(Submeters!O15+Submeters!P15+Submeters!Q15+Submeters!R15+Submeters!S15+Submeters!T15)*' Kwh area wise $ '!B16</f>
        <v>0</v>
      </c>
      <c r="K16" s="24">
        <f>(Submeters!U15+Submeters!V15)*' Kwh area wise $ '!B16</f>
        <v>0</v>
      </c>
      <c r="L16" s="1">
        <f>Submeters!W15*' Kwh area wise $ '!B16</f>
        <v>0</v>
      </c>
      <c r="M16" s="24" t="e">
        <f>Submeters!#REF!*' Kwh area wise $ '!B16</f>
        <v>#REF!</v>
      </c>
    </row>
    <row r="17" spans="1:14" x14ac:dyDescent="0.25">
      <c r="A17" s="10">
        <f>'Kwh Reading'!A18</f>
        <v>44972</v>
      </c>
      <c r="B17" s="91">
        <f>TOTAL!F16</f>
        <v>0</v>
      </c>
      <c r="C17" s="9" t="e">
        <f t="shared" si="0"/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(Submeters!L16)*' Kwh area wise $ '!B17</f>
        <v>0</v>
      </c>
      <c r="I17" s="1">
        <f>(Submeters!M16+Submeters!N16)*' Kwh area wise $ '!B17</f>
        <v>0</v>
      </c>
      <c r="J17" s="1">
        <f>(Submeters!O16+Submeters!P16+Submeters!Q16+Submeters!R16+Submeters!S16+Submeters!T16)*' Kwh area wise $ '!B17</f>
        <v>0</v>
      </c>
      <c r="K17" s="24">
        <f>(Submeters!U16+Submeters!V16)*' Kwh area wise $ '!B17</f>
        <v>0</v>
      </c>
      <c r="L17" s="1">
        <f>Submeters!W16*' Kwh area wise $ '!B17</f>
        <v>0</v>
      </c>
      <c r="M17" s="24" t="e">
        <f>Submeters!#REF!*' Kwh area wise $ '!B17</f>
        <v>#REF!</v>
      </c>
    </row>
    <row r="18" spans="1:14" x14ac:dyDescent="0.25">
      <c r="A18" s="10">
        <f>'Kwh Reading'!A19</f>
        <v>44973</v>
      </c>
      <c r="B18" s="91">
        <f>TOTAL!F17</f>
        <v>0</v>
      </c>
      <c r="C18" s="9" t="e">
        <f t="shared" si="0"/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(Submeters!L17)*' Kwh area wise $ '!B18</f>
        <v>0</v>
      </c>
      <c r="I18" s="1">
        <f>(Submeters!M17+Submeters!N17)*' Kwh area wise $ '!B18</f>
        <v>0</v>
      </c>
      <c r="J18" s="1">
        <f>(Submeters!O17+Submeters!P17+Submeters!Q17+Submeters!R17+Submeters!S17+Submeters!T17)*' Kwh area wise $ '!B18</f>
        <v>0</v>
      </c>
      <c r="K18" s="24">
        <f>(Submeters!U17+Submeters!V17)*' Kwh area wise $ '!B18</f>
        <v>0</v>
      </c>
      <c r="L18" s="1">
        <f>Submeters!W17*' Kwh area wise $ '!B18</f>
        <v>0</v>
      </c>
      <c r="M18" s="24" t="e">
        <f>Submeters!#REF!*' Kwh area wise $ '!B18</f>
        <v>#REF!</v>
      </c>
    </row>
    <row r="19" spans="1:14" x14ac:dyDescent="0.25">
      <c r="A19" s="10">
        <f>'Kwh Reading'!A20</f>
        <v>44974</v>
      </c>
      <c r="B19" s="91">
        <f>TOTAL!F18</f>
        <v>0</v>
      </c>
      <c r="C19" s="9" t="e">
        <f t="shared" si="0"/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(Submeters!L18)*' Kwh area wise $ '!B19</f>
        <v>0</v>
      </c>
      <c r="I19" s="1">
        <f>(Submeters!M18+Submeters!N18)*' Kwh area wise $ '!B19</f>
        <v>0</v>
      </c>
      <c r="J19" s="1">
        <f>(Submeters!O18+Submeters!P18+Submeters!Q18+Submeters!R18+Submeters!S18+Submeters!T18)*' Kwh area wise $ '!B19</f>
        <v>0</v>
      </c>
      <c r="K19" s="24">
        <f>(Submeters!U18+Submeters!V18)*' Kwh area wise $ '!B19</f>
        <v>0</v>
      </c>
      <c r="L19" s="1">
        <f>Submeters!W18*' Kwh area wise $ '!B19</f>
        <v>0</v>
      </c>
      <c r="M19" s="24" t="e">
        <f>Submeters!#REF!*' Kwh area wise $ '!B19</f>
        <v>#REF!</v>
      </c>
    </row>
    <row r="20" spans="1:14" x14ac:dyDescent="0.25">
      <c r="A20" s="10">
        <f>'Kwh Reading'!A21</f>
        <v>44975</v>
      </c>
      <c r="B20" s="91">
        <f>TOTAL!F19</f>
        <v>0</v>
      </c>
      <c r="C20" s="9" t="e">
        <f t="shared" si="0"/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(Submeters!L19)*' Kwh area wise $ '!B20</f>
        <v>0</v>
      </c>
      <c r="I20" s="1">
        <f>(Submeters!M19+Submeters!N19)*' Kwh area wise $ '!B20</f>
        <v>0</v>
      </c>
      <c r="J20" s="1">
        <f>(Submeters!O19+Submeters!P19+Submeters!Q19+Submeters!R19+Submeters!S19+Submeters!T19)*' Kwh area wise $ '!B20</f>
        <v>0</v>
      </c>
      <c r="K20" s="24">
        <f>(Submeters!U19+Submeters!V19)*' Kwh area wise $ '!B20</f>
        <v>0</v>
      </c>
      <c r="L20" s="1">
        <f>Submeters!W19*' Kwh area wise $ '!B20</f>
        <v>0</v>
      </c>
      <c r="M20" s="24" t="e">
        <f>Submeters!#REF!*' Kwh area wise $ '!B20</f>
        <v>#REF!</v>
      </c>
    </row>
    <row r="21" spans="1:14" x14ac:dyDescent="0.25">
      <c r="A21" s="10">
        <f>'Kwh Reading'!A22</f>
        <v>44976</v>
      </c>
      <c r="B21" s="91">
        <f>TOTAL!F20</f>
        <v>0</v>
      </c>
      <c r="C21" s="9" t="e">
        <f t="shared" si="0"/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(Submeters!L20)*' Kwh area wise $ '!B21</f>
        <v>0</v>
      </c>
      <c r="I21" s="1">
        <f>(Submeters!M20+Submeters!N20)*' Kwh area wise $ '!B21</f>
        <v>0</v>
      </c>
      <c r="J21" s="1">
        <f>(Submeters!O20+Submeters!P20+Submeters!Q20+Submeters!R20+Submeters!S20+Submeters!T20)*' Kwh area wise $ '!B21</f>
        <v>0</v>
      </c>
      <c r="K21" s="24">
        <f>(Submeters!U20+Submeters!V20)*' Kwh area wise $ '!B21</f>
        <v>0</v>
      </c>
      <c r="L21" s="1">
        <f>Submeters!W20*' Kwh area wise $ '!B21</f>
        <v>0</v>
      </c>
      <c r="M21" s="24" t="e">
        <f>Submeters!#REF!*' Kwh area wise $ '!B21</f>
        <v>#REF!</v>
      </c>
    </row>
    <row r="22" spans="1:14" x14ac:dyDescent="0.25">
      <c r="A22" s="10">
        <f>'Kwh Reading'!A23</f>
        <v>44977</v>
      </c>
      <c r="B22" s="91">
        <f>TOTAL!F21</f>
        <v>0</v>
      </c>
      <c r="C22" s="9" t="e">
        <f t="shared" si="0"/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(Submeters!L21)*' Kwh area wise $ '!B22</f>
        <v>0</v>
      </c>
      <c r="I22" s="1">
        <f>(Submeters!M21+Submeters!N21)*' Kwh area wise $ '!B22</f>
        <v>0</v>
      </c>
      <c r="J22" s="1">
        <f>(Submeters!O21+Submeters!P21+Submeters!Q21+Submeters!R21+Submeters!S21+Submeters!T21)*' Kwh area wise $ '!B22</f>
        <v>0</v>
      </c>
      <c r="K22" s="24">
        <f>(Submeters!U21+Submeters!V21)*' Kwh area wise $ '!B22</f>
        <v>0</v>
      </c>
      <c r="L22" s="1">
        <f>Submeters!W21*' Kwh area wise $ '!B22</f>
        <v>0</v>
      </c>
      <c r="M22" s="24" t="e">
        <f>Submeters!#REF!*' Kwh area wise $ '!B22</f>
        <v>#REF!</v>
      </c>
    </row>
    <row r="23" spans="1:14" x14ac:dyDescent="0.25">
      <c r="A23" s="10">
        <f>'Kwh Reading'!A24</f>
        <v>44978</v>
      </c>
      <c r="B23" s="91">
        <f>TOTAL!F22</f>
        <v>0</v>
      </c>
      <c r="C23" s="9" t="e">
        <f t="shared" si="0"/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(Submeters!L22)*' Kwh area wise $ '!B23</f>
        <v>0</v>
      </c>
      <c r="I23" s="1">
        <f>(Submeters!M22+Submeters!N22)*' Kwh area wise $ '!B23</f>
        <v>0</v>
      </c>
      <c r="J23" s="1">
        <f>(Submeters!O22+Submeters!P22+Submeters!Q22+Submeters!R22+Submeters!S22+Submeters!T22)*' Kwh area wise $ '!B23</f>
        <v>0</v>
      </c>
      <c r="K23" s="24">
        <f>(Submeters!U22+Submeters!V22)*' Kwh area wise $ '!B23</f>
        <v>0</v>
      </c>
      <c r="L23" s="1">
        <f>Submeters!W22*' Kwh area wise $ '!B23</f>
        <v>0</v>
      </c>
      <c r="M23" s="24" t="e">
        <f>Submeters!#REF!*' Kwh area wise $ '!B23</f>
        <v>#REF!</v>
      </c>
    </row>
    <row r="24" spans="1:14" x14ac:dyDescent="0.25">
      <c r="A24" s="10">
        <f>'Kwh Reading'!A25</f>
        <v>44979</v>
      </c>
      <c r="B24" s="91">
        <f>TOTAL!F23</f>
        <v>0</v>
      </c>
      <c r="C24" s="9" t="e">
        <f t="shared" si="0"/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(Submeters!L23)*' Kwh area wise $ '!B24</f>
        <v>0</v>
      </c>
      <c r="I24" s="1">
        <f>(Submeters!M23+Submeters!N23)*' Kwh area wise $ '!B24</f>
        <v>0</v>
      </c>
      <c r="J24" s="1">
        <f>(Submeters!O23+Submeters!P23+Submeters!Q23+Submeters!R23+Submeters!S23+Submeters!T23)*' Kwh area wise $ '!B24</f>
        <v>0</v>
      </c>
      <c r="K24" s="24">
        <f>(Submeters!U23+Submeters!V23)*' Kwh area wise $ '!B24</f>
        <v>0</v>
      </c>
      <c r="L24" s="1">
        <f>Submeters!W23*' Kwh area wise $ '!B24</f>
        <v>0</v>
      </c>
      <c r="M24" s="24" t="e">
        <f>Submeters!#REF!*' Kwh area wise $ '!B24</f>
        <v>#REF!</v>
      </c>
    </row>
    <row r="25" spans="1:14" x14ac:dyDescent="0.25">
      <c r="A25" s="10">
        <f>'Kwh Reading'!A26</f>
        <v>44980</v>
      </c>
      <c r="B25" s="91">
        <f>TOTAL!F24</f>
        <v>0</v>
      </c>
      <c r="C25" s="9" t="e">
        <f t="shared" si="0"/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(Submeters!L24)*' Kwh area wise $ '!B25</f>
        <v>0</v>
      </c>
      <c r="I25" s="1">
        <f>(Submeters!M24+Submeters!N24)*' Kwh area wise $ '!B25</f>
        <v>0</v>
      </c>
      <c r="J25" s="1">
        <f>(Submeters!O24+Submeters!P24+Submeters!Q24+Submeters!R24+Submeters!S24+Submeters!T24)*' Kwh area wise $ '!B25</f>
        <v>0</v>
      </c>
      <c r="K25" s="24">
        <f>(Submeters!U24+Submeters!V24)*' Kwh area wise $ '!B25</f>
        <v>0</v>
      </c>
      <c r="L25" s="1">
        <f>Submeters!W24*' Kwh area wise $ '!B25</f>
        <v>0</v>
      </c>
      <c r="M25" s="24" t="e">
        <f>Submeters!#REF!*' Kwh area wise $ '!B25</f>
        <v>#REF!</v>
      </c>
    </row>
    <row r="26" spans="1:14" x14ac:dyDescent="0.25">
      <c r="A26" s="10">
        <f>'Kwh Reading'!A27</f>
        <v>44981</v>
      </c>
      <c r="B26" s="91">
        <f>TOTAL!F25</f>
        <v>0</v>
      </c>
      <c r="C26" s="9" t="e">
        <f t="shared" si="0"/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(Submeters!L25)*' Kwh area wise $ '!B26</f>
        <v>0</v>
      </c>
      <c r="I26" s="1">
        <f>(Submeters!M25+Submeters!N25)*' Kwh area wise $ '!B26</f>
        <v>0</v>
      </c>
      <c r="J26" s="1">
        <f>(Submeters!O25+Submeters!P25+Submeters!Q25+Submeters!R25+Submeters!S25+Submeters!T25)*' Kwh area wise $ '!B26</f>
        <v>0</v>
      </c>
      <c r="K26" s="24">
        <f>(Submeters!U25+Submeters!V25)*' Kwh area wise $ '!B26</f>
        <v>0</v>
      </c>
      <c r="L26" s="1">
        <f>Submeters!W25*' Kwh area wise $ '!B26</f>
        <v>0</v>
      </c>
      <c r="M26" s="24" t="e">
        <f>Submeters!#REF!*' Kwh area wise $ '!B26</f>
        <v>#REF!</v>
      </c>
    </row>
    <row r="27" spans="1:14" x14ac:dyDescent="0.25">
      <c r="A27" s="10">
        <f>'Kwh Reading'!A28</f>
        <v>44982</v>
      </c>
      <c r="B27" s="91">
        <f>TOTAL!F26</f>
        <v>0</v>
      </c>
      <c r="C27" s="9" t="e">
        <f t="shared" si="0"/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(Submeters!L26)*' Kwh area wise $ '!B27</f>
        <v>0</v>
      </c>
      <c r="I27" s="1">
        <f>(Submeters!M26+Submeters!N26)*' Kwh area wise $ '!B27</f>
        <v>0</v>
      </c>
      <c r="J27" s="1">
        <f>(Submeters!O26+Submeters!P26+Submeters!Q26+Submeters!R26+Submeters!S26+Submeters!T26)*' Kwh area wise $ '!B27</f>
        <v>0</v>
      </c>
      <c r="K27" s="24">
        <f>(Submeters!U26+Submeters!V26)*' Kwh area wise $ '!B27</f>
        <v>0</v>
      </c>
      <c r="L27" s="1">
        <f>Submeters!W26*' Kwh area wise $ '!B27</f>
        <v>0</v>
      </c>
      <c r="M27" s="24" t="e">
        <f>Submeters!#REF!*' Kwh area wise $ '!B27</f>
        <v>#REF!</v>
      </c>
    </row>
    <row r="28" spans="1:14" x14ac:dyDescent="0.25">
      <c r="A28" s="10">
        <f>'Kwh Reading'!A29</f>
        <v>44983</v>
      </c>
      <c r="B28" s="91">
        <f>TOTAL!F27</f>
        <v>0</v>
      </c>
      <c r="C28" s="9" t="e">
        <f t="shared" si="0"/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(Submeters!L27)*' Kwh area wise $ '!B28</f>
        <v>0</v>
      </c>
      <c r="I28" s="1">
        <f>(Submeters!M27+Submeters!N27)*' Kwh area wise $ '!B28</f>
        <v>0</v>
      </c>
      <c r="J28" s="1">
        <f>(Submeters!O27+Submeters!P27+Submeters!Q27+Submeters!R27+Submeters!S27+Submeters!T27)*' Kwh area wise $ '!B28</f>
        <v>0</v>
      </c>
      <c r="K28" s="24">
        <f>(Submeters!U27+Submeters!V27)*' Kwh area wise $ '!B28</f>
        <v>0</v>
      </c>
      <c r="L28" s="1">
        <f>Submeters!W27*' Kwh area wise $ '!B28</f>
        <v>0</v>
      </c>
      <c r="M28" s="24" t="e">
        <f>Submeters!#REF!*' Kwh area wise $ '!B28</f>
        <v>#REF!</v>
      </c>
    </row>
    <row r="29" spans="1:14" x14ac:dyDescent="0.25">
      <c r="A29" s="10">
        <f>'Kwh Reading'!A30</f>
        <v>44984</v>
      </c>
      <c r="B29" s="91">
        <f>TOTAL!F28</f>
        <v>0</v>
      </c>
      <c r="C29" s="9" t="e">
        <f t="shared" si="0"/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(Submeters!L28)*' Kwh area wise $ '!B29</f>
        <v>0</v>
      </c>
      <c r="I29" s="1">
        <f>(Submeters!M28+Submeters!N28)*' Kwh area wise $ '!B29</f>
        <v>0</v>
      </c>
      <c r="J29" s="1">
        <f>(Submeters!O28+Submeters!P28+Submeters!Q28+Submeters!R28+Submeters!S28+Submeters!T28)*' Kwh area wise $ '!B29</f>
        <v>0</v>
      </c>
      <c r="K29" s="24">
        <f>(Submeters!U28+Submeters!V28)*' Kwh area wise $ '!B29</f>
        <v>0</v>
      </c>
      <c r="L29" s="1">
        <f>Submeters!W28*' Kwh area wise $ '!B29</f>
        <v>0</v>
      </c>
      <c r="M29" s="24" t="e">
        <f>Submeters!#REF!*' Kwh area wise $ '!B29</f>
        <v>#REF!</v>
      </c>
    </row>
    <row r="30" spans="1:14" x14ac:dyDescent="0.25">
      <c r="A30" s="10">
        <f>'Kwh Reading'!A31</f>
        <v>44985</v>
      </c>
      <c r="B30" s="91">
        <f>TOTAL!F29</f>
        <v>0</v>
      </c>
      <c r="C30" s="9" t="e">
        <f t="shared" si="0"/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(Submeters!L29)*' Kwh area wise $ '!B30</f>
        <v>0</v>
      </c>
      <c r="I30" s="1">
        <f>(Submeters!M29+Submeters!N29)*' Kwh area wise $ '!B30</f>
        <v>0</v>
      </c>
      <c r="J30" s="1">
        <f>(Submeters!O29+Submeters!P29+Submeters!Q29+Submeters!R29+Submeters!S29+Submeters!T29)*' Kwh area wise $ '!B30</f>
        <v>0</v>
      </c>
      <c r="K30" s="24">
        <f>(Submeters!U29+Submeters!V29)*' Kwh area wise $ '!B30</f>
        <v>0</v>
      </c>
      <c r="L30" s="1">
        <f>Submeters!W29*' Kwh area wise $ '!B30</f>
        <v>0</v>
      </c>
      <c r="M30" s="24" t="e">
        <f>Submeters!#REF!*' Kwh area wise $ '!B30</f>
        <v>#REF!</v>
      </c>
    </row>
    <row r="31" spans="1:14" ht="15.75" x14ac:dyDescent="0.25">
      <c r="A31" s="145" t="s">
        <v>39</v>
      </c>
      <c r="B31" s="145"/>
      <c r="C31" s="60" t="e">
        <f t="shared" ref="C31:M31" si="1">SUM(C3:C30)</f>
        <v>#REF!</v>
      </c>
      <c r="D31" s="60">
        <f t="shared" si="1"/>
        <v>0</v>
      </c>
      <c r="E31" s="60">
        <f t="shared" si="1"/>
        <v>0</v>
      </c>
      <c r="F31" s="60">
        <f t="shared" si="1"/>
        <v>0</v>
      </c>
      <c r="G31" s="60">
        <f t="shared" si="1"/>
        <v>0</v>
      </c>
      <c r="H31" s="60">
        <f t="shared" si="1"/>
        <v>0</v>
      </c>
      <c r="I31" s="60">
        <f t="shared" si="1"/>
        <v>0</v>
      </c>
      <c r="J31" s="60">
        <f t="shared" si="1"/>
        <v>0</v>
      </c>
      <c r="K31" s="60">
        <f t="shared" si="1"/>
        <v>0</v>
      </c>
      <c r="L31" s="60">
        <f t="shared" si="1"/>
        <v>0</v>
      </c>
      <c r="M31" s="60" t="e">
        <f t="shared" si="1"/>
        <v>#REF!</v>
      </c>
      <c r="N31" s="66" t="e">
        <f>D31+E31+F31+G31+H31+I31+J31+K31+L31+M31</f>
        <v>#REF!</v>
      </c>
    </row>
  </sheetData>
  <mergeCells count="1">
    <mergeCell ref="A31:B31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1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K39" sqref="K39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61</v>
      </c>
      <c r="C1" s="39" t="s">
        <v>62</v>
      </c>
      <c r="D1" s="39" t="s">
        <v>63</v>
      </c>
      <c r="E1" s="39" t="s">
        <v>64</v>
      </c>
      <c r="F1" s="39" t="s">
        <v>65</v>
      </c>
      <c r="G1" s="39" t="s">
        <v>66</v>
      </c>
      <c r="H1" s="39" t="s">
        <v>67</v>
      </c>
      <c r="I1" s="39" t="s">
        <v>68</v>
      </c>
      <c r="J1" s="39" t="s">
        <v>69</v>
      </c>
      <c r="K1" s="39" t="s">
        <v>70</v>
      </c>
      <c r="L1" s="39" t="s">
        <v>71</v>
      </c>
      <c r="M1" s="39" t="s">
        <v>72</v>
      </c>
      <c r="N1" s="39" t="s">
        <v>73</v>
      </c>
      <c r="O1" s="39" t="s">
        <v>74</v>
      </c>
      <c r="P1" s="39" t="s">
        <v>75</v>
      </c>
      <c r="Q1" s="39" t="s">
        <v>76</v>
      </c>
      <c r="R1" s="39" t="s">
        <v>77</v>
      </c>
      <c r="S1" s="39" t="s">
        <v>124</v>
      </c>
    </row>
    <row r="2" spans="1:21" s="43" customFormat="1" ht="30.75" thickTop="1" x14ac:dyDescent="0.25">
      <c r="A2" s="40" t="s">
        <v>28</v>
      </c>
      <c r="B2" s="41" t="s">
        <v>78</v>
      </c>
      <c r="C2" s="41" t="s">
        <v>79</v>
      </c>
      <c r="D2" s="88" t="s">
        <v>80</v>
      </c>
      <c r="E2" s="88" t="s">
        <v>81</v>
      </c>
      <c r="F2" s="88" t="s">
        <v>82</v>
      </c>
      <c r="G2" s="88" t="s">
        <v>83</v>
      </c>
      <c r="H2" s="88" t="s">
        <v>84</v>
      </c>
      <c r="I2" s="88" t="s">
        <v>85</v>
      </c>
      <c r="J2" s="42" t="s">
        <v>86</v>
      </c>
      <c r="K2" s="42" t="s">
        <v>87</v>
      </c>
      <c r="L2" s="42" t="s">
        <v>88</v>
      </c>
      <c r="M2" s="42" t="s">
        <v>89</v>
      </c>
      <c r="N2" s="42" t="s">
        <v>90</v>
      </c>
      <c r="O2" s="42" t="s">
        <v>91</v>
      </c>
      <c r="P2" s="42" t="s">
        <v>92</v>
      </c>
      <c r="Q2" s="42" t="s">
        <v>93</v>
      </c>
      <c r="R2" s="42" t="s">
        <v>94</v>
      </c>
      <c r="S2" s="42" t="s">
        <v>125</v>
      </c>
    </row>
    <row r="3" spans="1:21" x14ac:dyDescent="0.25">
      <c r="A3" s="44">
        <v>44958</v>
      </c>
      <c r="B3" s="25">
        <v>31326</v>
      </c>
      <c r="C3" s="25">
        <v>48552</v>
      </c>
      <c r="D3" s="25">
        <v>306913</v>
      </c>
      <c r="E3" s="25">
        <v>288985</v>
      </c>
      <c r="F3" s="25">
        <v>27275</v>
      </c>
      <c r="G3" s="25">
        <v>125667</v>
      </c>
      <c r="H3" s="25">
        <v>1786</v>
      </c>
      <c r="I3" s="25">
        <v>80875</v>
      </c>
      <c r="J3" s="25">
        <v>24278</v>
      </c>
      <c r="K3" s="25">
        <v>1024</v>
      </c>
      <c r="L3" s="25">
        <v>1967</v>
      </c>
      <c r="M3" s="25">
        <v>28964</v>
      </c>
      <c r="N3" s="25">
        <v>9184</v>
      </c>
      <c r="O3" s="25">
        <v>2550</v>
      </c>
      <c r="P3" s="25">
        <v>33374</v>
      </c>
      <c r="Q3" s="25">
        <v>2526</v>
      </c>
      <c r="R3" s="25">
        <v>1159</v>
      </c>
      <c r="S3" s="25">
        <v>67037</v>
      </c>
    </row>
    <row r="4" spans="1:21" x14ac:dyDescent="0.25">
      <c r="A4" s="44">
        <v>44959</v>
      </c>
      <c r="B4" s="25">
        <v>31433</v>
      </c>
      <c r="C4" s="25">
        <v>48745</v>
      </c>
      <c r="D4" s="25">
        <v>307032</v>
      </c>
      <c r="E4" s="25">
        <v>289064</v>
      </c>
      <c r="F4" s="25">
        <v>27305</v>
      </c>
      <c r="G4" s="25">
        <v>125692</v>
      </c>
      <c r="H4" s="45">
        <v>1821</v>
      </c>
      <c r="I4" s="107">
        <v>80882</v>
      </c>
      <c r="J4" s="25">
        <v>24284</v>
      </c>
      <c r="K4" s="25">
        <v>1024</v>
      </c>
      <c r="L4" s="25">
        <v>19700</v>
      </c>
      <c r="M4" s="25">
        <v>28970</v>
      </c>
      <c r="N4" s="25">
        <v>9190</v>
      </c>
      <c r="O4" s="25">
        <v>2552</v>
      </c>
      <c r="P4" s="25">
        <v>33388</v>
      </c>
      <c r="Q4" s="25">
        <v>2537</v>
      </c>
      <c r="R4" s="25">
        <v>1162</v>
      </c>
      <c r="S4" s="25">
        <v>67157</v>
      </c>
    </row>
    <row r="5" spans="1:21" x14ac:dyDescent="0.25">
      <c r="A5" s="44">
        <v>44960</v>
      </c>
      <c r="B5" s="25">
        <v>31544</v>
      </c>
      <c r="C5" s="25">
        <v>48944</v>
      </c>
      <c r="D5" s="25">
        <v>307157</v>
      </c>
      <c r="E5" s="25">
        <v>289137</v>
      </c>
      <c r="F5" s="25">
        <v>27332</v>
      </c>
      <c r="G5" s="25">
        <v>125713</v>
      </c>
      <c r="H5" s="45">
        <v>1851</v>
      </c>
      <c r="I5" s="107">
        <v>80910</v>
      </c>
      <c r="J5" s="25">
        <v>24290</v>
      </c>
      <c r="K5" s="25">
        <v>1024</v>
      </c>
      <c r="L5" s="25">
        <v>19703</v>
      </c>
      <c r="M5" s="25">
        <v>28977</v>
      </c>
      <c r="N5" s="25">
        <v>9193</v>
      </c>
      <c r="O5" s="25">
        <v>2553</v>
      </c>
      <c r="P5" s="25">
        <v>33409</v>
      </c>
      <c r="Q5" s="25">
        <v>2544</v>
      </c>
      <c r="R5" s="25">
        <v>1167</v>
      </c>
      <c r="S5" s="25">
        <v>67261</v>
      </c>
    </row>
    <row r="6" spans="1:21" x14ac:dyDescent="0.25">
      <c r="A6" s="44">
        <v>44961</v>
      </c>
      <c r="B6" s="25">
        <v>31646</v>
      </c>
      <c r="C6" s="25">
        <v>49128</v>
      </c>
      <c r="D6" s="25">
        <v>307269</v>
      </c>
      <c r="E6" s="25">
        <v>289210</v>
      </c>
      <c r="F6" s="25">
        <v>27361</v>
      </c>
      <c r="G6" s="25">
        <v>125736</v>
      </c>
      <c r="H6" s="45">
        <v>1887</v>
      </c>
      <c r="I6" s="107">
        <v>80917</v>
      </c>
      <c r="J6" s="25">
        <v>24296</v>
      </c>
      <c r="K6" s="25">
        <v>1024</v>
      </c>
      <c r="L6" s="25">
        <v>19706</v>
      </c>
      <c r="M6" s="25">
        <v>28981</v>
      </c>
      <c r="N6" s="25">
        <v>9197</v>
      </c>
      <c r="O6" s="25">
        <v>2555</v>
      </c>
      <c r="P6" s="25">
        <v>33412</v>
      </c>
      <c r="Q6" s="25">
        <v>2545</v>
      </c>
      <c r="R6" s="25">
        <v>1171</v>
      </c>
      <c r="S6" s="25">
        <v>67364</v>
      </c>
    </row>
    <row r="7" spans="1:21" x14ac:dyDescent="0.25">
      <c r="A7" s="44">
        <v>44962</v>
      </c>
      <c r="B7" s="25">
        <v>31774</v>
      </c>
      <c r="C7" s="25">
        <v>49357</v>
      </c>
      <c r="D7" s="25">
        <v>307430</v>
      </c>
      <c r="E7" s="25">
        <v>289287</v>
      </c>
      <c r="F7" s="25">
        <v>27393</v>
      </c>
      <c r="G7" s="25">
        <v>125757</v>
      </c>
      <c r="H7" s="45">
        <v>1917</v>
      </c>
      <c r="I7" s="107">
        <v>80952</v>
      </c>
      <c r="J7" s="25">
        <v>24302</v>
      </c>
      <c r="K7" s="25">
        <v>1024</v>
      </c>
      <c r="L7" s="25">
        <v>19709</v>
      </c>
      <c r="M7" s="25">
        <v>28985</v>
      </c>
      <c r="N7" s="25">
        <v>9199</v>
      </c>
      <c r="O7" s="25">
        <v>2557</v>
      </c>
      <c r="P7" s="25">
        <v>33439</v>
      </c>
      <c r="Q7" s="25">
        <v>2554</v>
      </c>
      <c r="R7" s="25">
        <v>1172</v>
      </c>
      <c r="S7" s="25">
        <v>67497</v>
      </c>
    </row>
    <row r="8" spans="1:21" x14ac:dyDescent="0.25">
      <c r="A8" s="44">
        <v>44963</v>
      </c>
      <c r="B8" s="25">
        <v>31897</v>
      </c>
      <c r="C8" s="25">
        <v>49577</v>
      </c>
      <c r="D8" s="25">
        <v>307583</v>
      </c>
      <c r="E8" s="25">
        <v>289362</v>
      </c>
      <c r="F8" s="25">
        <v>27424</v>
      </c>
      <c r="G8" s="25">
        <v>125780</v>
      </c>
      <c r="H8" s="45">
        <v>1957</v>
      </c>
      <c r="I8" s="107">
        <v>80970</v>
      </c>
      <c r="J8" s="25">
        <v>24308</v>
      </c>
      <c r="K8" s="25">
        <v>1024</v>
      </c>
      <c r="L8" s="25">
        <v>19712</v>
      </c>
      <c r="M8" s="25">
        <v>28991</v>
      </c>
      <c r="N8" s="25">
        <v>9202</v>
      </c>
      <c r="O8" s="25">
        <v>2559</v>
      </c>
      <c r="P8" s="25">
        <v>33453</v>
      </c>
      <c r="Q8" s="25">
        <v>2559</v>
      </c>
      <c r="R8" s="25">
        <v>1178</v>
      </c>
      <c r="S8" s="25">
        <v>67612</v>
      </c>
    </row>
    <row r="9" spans="1:21" x14ac:dyDescent="0.25">
      <c r="A9" s="44">
        <v>44964</v>
      </c>
      <c r="B9" s="25">
        <v>32037</v>
      </c>
      <c r="C9" s="25">
        <v>49820</v>
      </c>
      <c r="D9" s="25">
        <v>307769</v>
      </c>
      <c r="E9" s="25">
        <v>289443</v>
      </c>
      <c r="F9" s="25">
        <v>27458</v>
      </c>
      <c r="G9" s="25">
        <v>125806</v>
      </c>
      <c r="H9" s="45">
        <v>1985</v>
      </c>
      <c r="I9" s="107">
        <v>80994</v>
      </c>
      <c r="J9" s="25">
        <v>24314</v>
      </c>
      <c r="K9" s="25">
        <v>1024</v>
      </c>
      <c r="L9" s="25">
        <v>19715</v>
      </c>
      <c r="M9" s="25">
        <v>28998</v>
      </c>
      <c r="N9" s="25">
        <v>9206</v>
      </c>
      <c r="O9" s="25">
        <v>2561</v>
      </c>
      <c r="P9" s="25">
        <v>33473</v>
      </c>
      <c r="Q9" s="25">
        <v>2567</v>
      </c>
      <c r="R9" s="25">
        <v>1180</v>
      </c>
      <c r="S9" s="25">
        <v>67720</v>
      </c>
    </row>
    <row r="10" spans="1:21" x14ac:dyDescent="0.25">
      <c r="A10" s="44">
        <v>44965</v>
      </c>
      <c r="B10" s="25">
        <v>32177</v>
      </c>
      <c r="C10" s="25">
        <v>50067</v>
      </c>
      <c r="D10" s="25">
        <v>307944</v>
      </c>
      <c r="E10" s="25">
        <v>289515</v>
      </c>
      <c r="F10" s="25">
        <v>27480</v>
      </c>
      <c r="G10" s="25">
        <v>125830</v>
      </c>
      <c r="H10" s="45">
        <v>2051</v>
      </c>
      <c r="I10" s="107">
        <v>81013</v>
      </c>
      <c r="J10" s="25">
        <v>24320</v>
      </c>
      <c r="K10" s="25">
        <v>1024</v>
      </c>
      <c r="L10" s="25">
        <v>19718</v>
      </c>
      <c r="M10" s="25">
        <v>29004</v>
      </c>
      <c r="N10" s="25">
        <v>9208</v>
      </c>
      <c r="O10" s="25">
        <v>2564</v>
      </c>
      <c r="P10" s="25">
        <v>33488</v>
      </c>
      <c r="Q10" s="25">
        <v>2569</v>
      </c>
      <c r="R10" s="25">
        <v>1185</v>
      </c>
      <c r="S10" s="25">
        <v>67831</v>
      </c>
    </row>
    <row r="11" spans="1:21" x14ac:dyDescent="0.25">
      <c r="A11" s="44">
        <v>44966</v>
      </c>
      <c r="B11" s="25">
        <v>32309</v>
      </c>
      <c r="C11" s="25">
        <v>50305</v>
      </c>
      <c r="D11" s="25">
        <v>308121</v>
      </c>
      <c r="E11" s="25">
        <v>289588</v>
      </c>
      <c r="F11" s="25">
        <v>27516</v>
      </c>
      <c r="G11" s="25">
        <v>125855</v>
      </c>
      <c r="H11" s="45">
        <v>2084</v>
      </c>
      <c r="I11" s="107">
        <v>81041</v>
      </c>
      <c r="J11" s="25">
        <v>24326</v>
      </c>
      <c r="K11" s="25">
        <v>1024</v>
      </c>
      <c r="L11" s="25">
        <v>19722</v>
      </c>
      <c r="M11" s="25">
        <v>29012</v>
      </c>
      <c r="N11" s="25">
        <v>9211</v>
      </c>
      <c r="O11" s="25">
        <v>2566</v>
      </c>
      <c r="P11" s="25">
        <v>33511</v>
      </c>
      <c r="Q11" s="25">
        <v>2578</v>
      </c>
      <c r="R11" s="25">
        <v>1188</v>
      </c>
      <c r="S11" s="25">
        <v>67942</v>
      </c>
    </row>
    <row r="12" spans="1:21" x14ac:dyDescent="0.25">
      <c r="A12" s="44">
        <v>44967</v>
      </c>
      <c r="B12" s="25">
        <v>32436</v>
      </c>
      <c r="C12" s="25">
        <v>50530</v>
      </c>
      <c r="D12" s="25">
        <v>308298</v>
      </c>
      <c r="E12" s="25">
        <v>289659</v>
      </c>
      <c r="F12" s="25">
        <v>27543</v>
      </c>
      <c r="G12" s="25">
        <v>125879</v>
      </c>
      <c r="H12" s="45">
        <v>2113</v>
      </c>
      <c r="I12" s="107">
        <v>81059</v>
      </c>
      <c r="J12" s="25">
        <v>24332</v>
      </c>
      <c r="K12" s="25">
        <v>1024</v>
      </c>
      <c r="L12" s="25">
        <v>19735</v>
      </c>
      <c r="M12" s="25">
        <v>29018</v>
      </c>
      <c r="N12" s="25">
        <v>9214</v>
      </c>
      <c r="O12" s="25">
        <v>2567</v>
      </c>
      <c r="P12" s="25">
        <v>33525</v>
      </c>
      <c r="Q12" s="25">
        <v>2588</v>
      </c>
      <c r="R12" s="25">
        <v>1190</v>
      </c>
      <c r="S12" s="25">
        <v>68060</v>
      </c>
    </row>
    <row r="13" spans="1:21" x14ac:dyDescent="0.25">
      <c r="A13" s="44">
        <v>44968</v>
      </c>
      <c r="B13" s="25">
        <v>32549</v>
      </c>
      <c r="C13" s="25">
        <v>50737</v>
      </c>
      <c r="D13" s="25">
        <v>308428</v>
      </c>
      <c r="E13" s="25">
        <v>289731</v>
      </c>
      <c r="F13" s="25">
        <v>27574</v>
      </c>
      <c r="G13" s="25">
        <v>125901</v>
      </c>
      <c r="H13" s="45">
        <v>2146</v>
      </c>
      <c r="I13" s="107">
        <v>81083</v>
      </c>
      <c r="J13" s="25">
        <v>24339</v>
      </c>
      <c r="K13" s="25">
        <v>1024</v>
      </c>
      <c r="L13" s="25">
        <v>19747</v>
      </c>
      <c r="M13" s="25">
        <v>29024</v>
      </c>
      <c r="N13" s="25">
        <v>9218</v>
      </c>
      <c r="O13" s="25">
        <v>2568</v>
      </c>
      <c r="P13" s="25">
        <v>33527</v>
      </c>
      <c r="Q13" s="25">
        <v>2588</v>
      </c>
      <c r="R13" s="25">
        <v>1193</v>
      </c>
      <c r="S13" s="25">
        <v>68165</v>
      </c>
    </row>
    <row r="14" spans="1:21" x14ac:dyDescent="0.25">
      <c r="A14" s="44">
        <v>44969</v>
      </c>
      <c r="B14" s="25">
        <v>32673</v>
      </c>
      <c r="C14" s="25">
        <v>50957</v>
      </c>
      <c r="D14" s="25">
        <v>308599</v>
      </c>
      <c r="E14" s="25">
        <v>289812</v>
      </c>
      <c r="F14" s="25">
        <v>27605</v>
      </c>
      <c r="G14" s="25">
        <v>125926</v>
      </c>
      <c r="H14" s="45">
        <v>2170</v>
      </c>
      <c r="I14" s="107">
        <v>81085</v>
      </c>
      <c r="J14" s="25">
        <v>24345</v>
      </c>
      <c r="K14" s="25">
        <v>1024</v>
      </c>
      <c r="L14" s="25">
        <v>19758</v>
      </c>
      <c r="M14" s="25">
        <v>29030</v>
      </c>
      <c r="N14" s="25">
        <v>9222</v>
      </c>
      <c r="O14" s="25">
        <v>2570</v>
      </c>
      <c r="P14" s="25">
        <v>33539</v>
      </c>
      <c r="Q14" s="25">
        <v>2596</v>
      </c>
      <c r="R14" s="25">
        <v>1197</v>
      </c>
      <c r="S14" s="25">
        <v>68275</v>
      </c>
    </row>
    <row r="15" spans="1:21" x14ac:dyDescent="0.25">
      <c r="A15" s="44">
        <v>44970</v>
      </c>
      <c r="B15" s="25">
        <v>32797</v>
      </c>
      <c r="C15" s="25">
        <v>51182</v>
      </c>
      <c r="D15" s="25">
        <v>308758</v>
      </c>
      <c r="E15" s="25">
        <v>289886</v>
      </c>
      <c r="F15" s="25">
        <v>27634</v>
      </c>
      <c r="G15" s="25">
        <v>125951</v>
      </c>
      <c r="H15" s="45">
        <v>2203</v>
      </c>
      <c r="I15" s="107">
        <v>81103</v>
      </c>
      <c r="J15" s="25">
        <v>24352</v>
      </c>
      <c r="K15" s="25">
        <v>1024</v>
      </c>
      <c r="L15" s="25">
        <v>19734</v>
      </c>
      <c r="M15" s="25">
        <v>29036</v>
      </c>
      <c r="N15" s="25">
        <v>9224</v>
      </c>
      <c r="O15" s="25">
        <v>2572</v>
      </c>
      <c r="P15" s="25">
        <v>33559</v>
      </c>
      <c r="Q15" s="25">
        <v>2599</v>
      </c>
      <c r="R15" s="25">
        <v>1199</v>
      </c>
      <c r="S15" s="25">
        <v>68412</v>
      </c>
      <c r="T15" s="82"/>
      <c r="U15" s="82"/>
    </row>
    <row r="16" spans="1:21" x14ac:dyDescent="0.25">
      <c r="A16" s="44">
        <v>44971</v>
      </c>
      <c r="B16" s="25">
        <v>32930</v>
      </c>
      <c r="C16" s="25">
        <v>51420</v>
      </c>
      <c r="D16" s="25">
        <v>308949</v>
      </c>
      <c r="E16" s="25">
        <v>289956</v>
      </c>
      <c r="F16" s="25">
        <v>27661</v>
      </c>
      <c r="G16" s="25">
        <v>125976</v>
      </c>
      <c r="H16" s="45">
        <v>2233</v>
      </c>
      <c r="I16" s="107">
        <v>81112</v>
      </c>
      <c r="J16" s="25">
        <v>24359</v>
      </c>
      <c r="K16" s="25">
        <v>1024</v>
      </c>
      <c r="L16" s="25">
        <v>19737</v>
      </c>
      <c r="M16" s="25">
        <v>29042</v>
      </c>
      <c r="N16" s="25">
        <v>9226</v>
      </c>
      <c r="O16" s="25">
        <v>2574</v>
      </c>
      <c r="P16" s="25">
        <v>33564</v>
      </c>
      <c r="Q16" s="25">
        <v>2601</v>
      </c>
      <c r="R16" s="25">
        <v>1205</v>
      </c>
      <c r="S16" s="25">
        <v>68545</v>
      </c>
    </row>
    <row r="17" spans="1:21" x14ac:dyDescent="0.25">
      <c r="A17" s="44">
        <v>44972</v>
      </c>
      <c r="B17" s="25">
        <v>33076</v>
      </c>
      <c r="C17" s="25">
        <v>51676</v>
      </c>
      <c r="D17" s="25">
        <v>309144</v>
      </c>
      <c r="E17" s="25">
        <v>290044</v>
      </c>
      <c r="F17" s="25">
        <v>27699</v>
      </c>
      <c r="G17" s="25">
        <v>126008</v>
      </c>
      <c r="H17" s="45">
        <v>2264</v>
      </c>
      <c r="I17" s="107">
        <v>81128</v>
      </c>
      <c r="J17" s="25">
        <v>24366</v>
      </c>
      <c r="K17" s="25">
        <v>1024</v>
      </c>
      <c r="L17" s="25">
        <v>19740</v>
      </c>
      <c r="M17" s="25">
        <v>29049</v>
      </c>
      <c r="N17" s="25">
        <v>9231</v>
      </c>
      <c r="O17" s="25">
        <v>2576</v>
      </c>
      <c r="P17" s="25">
        <v>33578</v>
      </c>
      <c r="Q17" s="25">
        <v>2601</v>
      </c>
      <c r="R17" s="25">
        <v>1209</v>
      </c>
      <c r="S17" s="25">
        <v>68655</v>
      </c>
    </row>
    <row r="18" spans="1:21" x14ac:dyDescent="0.25">
      <c r="A18" s="44">
        <v>44973</v>
      </c>
      <c r="B18" s="25">
        <v>33223</v>
      </c>
      <c r="C18" s="25">
        <v>51930</v>
      </c>
      <c r="D18" s="25">
        <v>309369</v>
      </c>
      <c r="E18" s="25">
        <v>290111</v>
      </c>
      <c r="F18" s="25">
        <v>27728</v>
      </c>
      <c r="G18" s="25">
        <v>126032</v>
      </c>
      <c r="H18" s="45">
        <v>2293</v>
      </c>
      <c r="I18" s="107">
        <v>81143</v>
      </c>
      <c r="J18" s="25">
        <v>24372</v>
      </c>
      <c r="K18" s="25">
        <v>1024</v>
      </c>
      <c r="L18" s="25">
        <v>19744</v>
      </c>
      <c r="M18" s="25">
        <v>29055</v>
      </c>
      <c r="N18" s="25">
        <v>9235</v>
      </c>
      <c r="O18" s="25">
        <v>2579</v>
      </c>
      <c r="P18" s="25">
        <v>33589</v>
      </c>
      <c r="Q18" s="25">
        <v>2606</v>
      </c>
      <c r="R18" s="25">
        <v>1214</v>
      </c>
      <c r="S18" s="25">
        <v>68655</v>
      </c>
      <c r="U18" s="82"/>
    </row>
    <row r="19" spans="1:21" x14ac:dyDescent="0.25">
      <c r="A19" s="44">
        <v>44974</v>
      </c>
      <c r="B19" s="25">
        <v>33361</v>
      </c>
      <c r="C19" s="25">
        <v>52175</v>
      </c>
      <c r="D19" s="25">
        <v>309532</v>
      </c>
      <c r="E19" s="25">
        <v>290192</v>
      </c>
      <c r="F19" s="25">
        <v>27765</v>
      </c>
      <c r="G19" s="25">
        <v>126062</v>
      </c>
      <c r="H19" s="45">
        <v>2328</v>
      </c>
      <c r="I19" s="107">
        <v>81163</v>
      </c>
      <c r="J19" s="25">
        <v>24379</v>
      </c>
      <c r="K19" s="25">
        <v>1024</v>
      </c>
      <c r="L19" s="25">
        <v>19747</v>
      </c>
      <c r="M19" s="25">
        <v>29060</v>
      </c>
      <c r="N19" s="25">
        <v>9240</v>
      </c>
      <c r="O19" s="25">
        <v>2581</v>
      </c>
      <c r="P19" s="25">
        <v>33606</v>
      </c>
      <c r="Q19" s="25">
        <v>2615</v>
      </c>
      <c r="R19" s="25">
        <v>1219</v>
      </c>
      <c r="S19" s="25">
        <v>68655</v>
      </c>
    </row>
    <row r="20" spans="1:21" x14ac:dyDescent="0.25">
      <c r="A20" s="44">
        <v>44975</v>
      </c>
      <c r="B20" s="25">
        <v>33499</v>
      </c>
      <c r="C20" s="25">
        <v>52416</v>
      </c>
      <c r="D20" s="25">
        <v>309697</v>
      </c>
      <c r="E20" s="25">
        <v>290264</v>
      </c>
      <c r="F20" s="25">
        <v>27804</v>
      </c>
      <c r="G20" s="25">
        <v>126092</v>
      </c>
      <c r="H20" s="45">
        <v>2364</v>
      </c>
      <c r="I20" s="107">
        <v>81189</v>
      </c>
      <c r="J20" s="25">
        <v>24386</v>
      </c>
      <c r="K20" s="25">
        <v>1024</v>
      </c>
      <c r="L20" s="25">
        <v>19751</v>
      </c>
      <c r="M20" s="25">
        <v>29066</v>
      </c>
      <c r="N20" s="25">
        <v>9243</v>
      </c>
      <c r="O20" s="25">
        <v>2583</v>
      </c>
      <c r="P20" s="25">
        <v>33610</v>
      </c>
      <c r="Q20" s="25">
        <v>2618</v>
      </c>
      <c r="R20" s="25">
        <v>1223</v>
      </c>
      <c r="S20" s="25">
        <v>68655</v>
      </c>
    </row>
    <row r="21" spans="1:21" x14ac:dyDescent="0.25">
      <c r="A21" s="44">
        <v>44976</v>
      </c>
      <c r="B21" s="25">
        <v>33632</v>
      </c>
      <c r="C21" s="25">
        <v>52653</v>
      </c>
      <c r="D21" s="25">
        <v>309879</v>
      </c>
      <c r="E21" s="25">
        <v>290343</v>
      </c>
      <c r="F21" s="25">
        <v>27830</v>
      </c>
      <c r="G21" s="25">
        <v>126120</v>
      </c>
      <c r="H21" s="45">
        <v>2395</v>
      </c>
      <c r="I21" s="107">
        <v>81191</v>
      </c>
      <c r="J21" s="25">
        <v>24393</v>
      </c>
      <c r="K21" s="25">
        <v>1024</v>
      </c>
      <c r="L21" s="25">
        <v>19754</v>
      </c>
      <c r="M21" s="25">
        <v>29069</v>
      </c>
      <c r="N21" s="25">
        <v>9246</v>
      </c>
      <c r="O21" s="25">
        <v>2585</v>
      </c>
      <c r="P21" s="25">
        <v>33615</v>
      </c>
      <c r="Q21" s="25">
        <v>2622</v>
      </c>
      <c r="R21" s="25">
        <v>1227</v>
      </c>
      <c r="S21" s="25">
        <v>68655</v>
      </c>
    </row>
    <row r="22" spans="1:21" x14ac:dyDescent="0.25">
      <c r="A22" s="44">
        <v>44977</v>
      </c>
      <c r="B22" s="25">
        <v>33756</v>
      </c>
      <c r="C22" s="25">
        <v>52877</v>
      </c>
      <c r="D22" s="25">
        <v>310017</v>
      </c>
      <c r="E22" s="25">
        <v>290420</v>
      </c>
      <c r="F22" s="25">
        <v>27859</v>
      </c>
      <c r="G22" s="25">
        <v>126149</v>
      </c>
      <c r="H22" s="45">
        <v>2429</v>
      </c>
      <c r="I22" s="107">
        <v>81215</v>
      </c>
      <c r="J22" s="25">
        <v>24400</v>
      </c>
      <c r="K22" s="25">
        <v>1024</v>
      </c>
      <c r="L22" s="25">
        <v>19757</v>
      </c>
      <c r="M22" s="25">
        <v>29076</v>
      </c>
      <c r="N22" s="25">
        <v>9248</v>
      </c>
      <c r="O22" s="25">
        <v>2588</v>
      </c>
      <c r="P22" s="25">
        <v>33648</v>
      </c>
      <c r="Q22" s="25">
        <v>2626</v>
      </c>
      <c r="R22" s="25">
        <v>1232</v>
      </c>
      <c r="S22" s="25">
        <v>68655</v>
      </c>
    </row>
    <row r="23" spans="1:21" x14ac:dyDescent="0.25">
      <c r="A23" s="44">
        <v>44978</v>
      </c>
      <c r="B23" s="25"/>
      <c r="C23" s="25"/>
      <c r="D23" s="25"/>
      <c r="E23" s="25"/>
      <c r="F23" s="25"/>
      <c r="G23" s="25"/>
      <c r="H23" s="45"/>
      <c r="I23" s="107"/>
      <c r="J23" s="25"/>
      <c r="K23" s="25"/>
      <c r="L23" s="25"/>
      <c r="M23" s="25"/>
      <c r="N23" s="25"/>
      <c r="O23" s="25"/>
      <c r="P23" s="25"/>
      <c r="Q23" s="25"/>
      <c r="R23" s="25"/>
      <c r="S23" s="25"/>
    </row>
    <row r="24" spans="1:21" x14ac:dyDescent="0.25">
      <c r="A24" s="44">
        <v>44979</v>
      </c>
      <c r="B24" s="25"/>
      <c r="C24" s="25"/>
      <c r="D24" s="25"/>
      <c r="E24" s="25"/>
      <c r="F24" s="25"/>
      <c r="G24" s="25"/>
      <c r="H24" s="45"/>
      <c r="I24" s="107"/>
      <c r="J24" s="25"/>
      <c r="K24" s="25"/>
      <c r="L24" s="25"/>
      <c r="M24" s="25"/>
      <c r="N24" s="25"/>
      <c r="O24" s="25"/>
      <c r="P24" s="25"/>
      <c r="Q24" s="25"/>
      <c r="R24" s="25"/>
      <c r="S24" s="25"/>
    </row>
    <row r="25" spans="1:21" x14ac:dyDescent="0.25">
      <c r="A25" s="44">
        <v>44980</v>
      </c>
      <c r="B25" s="25"/>
      <c r="C25" s="25"/>
      <c r="D25" s="25"/>
      <c r="E25" s="25"/>
      <c r="F25" s="25"/>
      <c r="G25" s="25"/>
      <c r="H25" s="45"/>
      <c r="I25" s="107"/>
      <c r="J25" s="25"/>
      <c r="K25" s="25"/>
      <c r="L25" s="25"/>
      <c r="M25" s="25"/>
      <c r="N25" s="25"/>
      <c r="O25" s="25"/>
      <c r="P25" s="25"/>
      <c r="Q25" s="25"/>
      <c r="R25" s="25"/>
      <c r="S25" s="25"/>
    </row>
    <row r="26" spans="1:21" x14ac:dyDescent="0.25">
      <c r="A26" s="44">
        <v>44981</v>
      </c>
      <c r="B26" s="25"/>
      <c r="C26" s="25"/>
      <c r="D26" s="25"/>
      <c r="E26" s="25"/>
      <c r="F26" s="25"/>
      <c r="G26" s="25"/>
      <c r="H26" s="45"/>
      <c r="I26" s="107"/>
      <c r="J26" s="25"/>
      <c r="K26" s="25"/>
      <c r="L26" s="25"/>
      <c r="M26" s="25"/>
      <c r="N26" s="25"/>
      <c r="O26" s="25"/>
      <c r="P26" s="25"/>
      <c r="Q26" s="25"/>
      <c r="R26" s="25"/>
      <c r="S26" s="25"/>
    </row>
    <row r="27" spans="1:21" x14ac:dyDescent="0.25">
      <c r="A27" s="44">
        <v>44982</v>
      </c>
      <c r="B27" s="25"/>
      <c r="C27" s="25"/>
      <c r="D27" s="25"/>
      <c r="E27" s="25"/>
      <c r="F27" s="25"/>
      <c r="G27" s="25"/>
      <c r="H27" s="45"/>
      <c r="I27" s="107"/>
      <c r="J27" s="25"/>
      <c r="K27" s="25"/>
      <c r="L27" s="25"/>
      <c r="M27" s="25"/>
      <c r="N27" s="25"/>
      <c r="O27" s="25"/>
      <c r="P27" s="25"/>
      <c r="Q27" s="25"/>
      <c r="R27" s="25"/>
      <c r="S27" s="25"/>
    </row>
    <row r="28" spans="1:21" x14ac:dyDescent="0.25">
      <c r="A28" s="44">
        <v>44983</v>
      </c>
      <c r="B28" s="25"/>
      <c r="C28" s="25"/>
      <c r="D28" s="25"/>
      <c r="E28" s="25"/>
      <c r="F28" s="25"/>
      <c r="G28" s="25"/>
      <c r="H28" s="45"/>
      <c r="I28" s="107"/>
      <c r="J28" s="25"/>
      <c r="K28" s="25"/>
      <c r="L28" s="25"/>
      <c r="M28" s="25"/>
      <c r="N28" s="25"/>
      <c r="O28" s="25"/>
      <c r="P28" s="25"/>
      <c r="Q28" s="25"/>
      <c r="R28" s="25"/>
      <c r="S28" s="25"/>
    </row>
    <row r="29" spans="1:21" x14ac:dyDescent="0.25">
      <c r="A29" s="44">
        <v>44984</v>
      </c>
      <c r="B29" s="25"/>
      <c r="C29" s="25"/>
      <c r="D29" s="25"/>
      <c r="E29" s="25"/>
      <c r="F29" s="25"/>
      <c r="G29" s="25"/>
      <c r="H29" s="45"/>
      <c r="I29" s="107"/>
      <c r="J29" s="25"/>
      <c r="K29" s="25"/>
      <c r="L29" s="25"/>
      <c r="M29" s="25"/>
      <c r="N29" s="25"/>
      <c r="O29" s="25"/>
      <c r="P29" s="25"/>
      <c r="Q29" s="25"/>
      <c r="R29" s="25"/>
      <c r="S29" s="25"/>
    </row>
    <row r="30" spans="1:21" x14ac:dyDescent="0.25">
      <c r="A30" s="44">
        <v>44985</v>
      </c>
      <c r="B30" s="25"/>
      <c r="C30" s="25"/>
      <c r="D30" s="25"/>
      <c r="E30" s="25"/>
      <c r="F30" s="25"/>
      <c r="G30" s="25"/>
      <c r="H30" s="45"/>
      <c r="I30" s="107"/>
      <c r="J30" s="25"/>
      <c r="K30" s="25"/>
      <c r="L30" s="25"/>
      <c r="M30" s="25"/>
      <c r="N30" s="25"/>
      <c r="O30" s="25"/>
      <c r="P30" s="25"/>
      <c r="Q30" s="25"/>
      <c r="R30" s="25"/>
      <c r="S30" s="25"/>
    </row>
    <row r="31" spans="1:21" x14ac:dyDescent="0.25">
      <c r="A31" s="44">
        <v>44986</v>
      </c>
      <c r="B31" s="25"/>
      <c r="C31" s="25"/>
      <c r="D31" s="25"/>
      <c r="E31" s="25"/>
      <c r="F31" s="25"/>
      <c r="G31" s="25"/>
      <c r="H31" s="45"/>
      <c r="I31" s="107"/>
      <c r="J31" s="25"/>
      <c r="K31" s="25"/>
      <c r="L31" s="25"/>
      <c r="M31" s="25"/>
      <c r="N31" s="25"/>
      <c r="O31" s="25"/>
      <c r="P31" s="25"/>
      <c r="Q31" s="25"/>
      <c r="R31" s="25"/>
      <c r="S31" s="25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69"/>
  <sheetViews>
    <sheetView zoomScale="80" zoomScaleNormal="80" workbookViewId="0">
      <pane ySplit="3" topLeftCell="A4" activePane="bottomLeft" state="frozen"/>
      <selection activeCell="C25" sqref="C25"/>
      <selection pane="bottomLeft" activeCell="Y22" sqref="Y22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  <col min="27" max="27" width="12.42578125" customWidth="1"/>
    <col min="28" max="28" width="11" customWidth="1"/>
  </cols>
  <sheetData>
    <row r="1" spans="1:28" ht="15.75" thickBot="1" x14ac:dyDescent="0.3"/>
    <row r="2" spans="1:28" s="46" customFormat="1" ht="45" customHeight="1" thickTop="1" x14ac:dyDescent="0.25">
      <c r="A2" s="150" t="s">
        <v>28</v>
      </c>
      <c r="B2" s="151" t="s">
        <v>95</v>
      </c>
      <c r="C2" s="151" t="s">
        <v>96</v>
      </c>
      <c r="D2" s="151"/>
      <c r="E2" s="152" t="s">
        <v>84</v>
      </c>
      <c r="F2" s="147"/>
      <c r="G2" s="146" t="s">
        <v>99</v>
      </c>
      <c r="H2" s="147"/>
      <c r="I2" s="146" t="s">
        <v>97</v>
      </c>
      <c r="J2" s="147"/>
      <c r="K2" s="146" t="s">
        <v>98</v>
      </c>
      <c r="L2" s="147"/>
      <c r="M2" s="146" t="s">
        <v>94</v>
      </c>
      <c r="N2" s="147"/>
      <c r="O2" s="146" t="s">
        <v>93</v>
      </c>
      <c r="P2" s="147"/>
      <c r="Q2" s="146" t="s">
        <v>100</v>
      </c>
      <c r="R2" s="147"/>
      <c r="S2" s="146" t="s">
        <v>101</v>
      </c>
      <c r="T2" s="147"/>
      <c r="U2" s="146" t="s">
        <v>102</v>
      </c>
      <c r="V2" s="147"/>
      <c r="W2" s="146" t="s">
        <v>86</v>
      </c>
      <c r="X2" s="149"/>
      <c r="Y2" s="148" t="s">
        <v>39</v>
      </c>
      <c r="Z2" s="148"/>
      <c r="AA2" s="148" t="s">
        <v>126</v>
      </c>
      <c r="AB2" s="148"/>
    </row>
    <row r="3" spans="1:28" ht="30" x14ac:dyDescent="0.35">
      <c r="A3" s="150"/>
      <c r="B3" s="151"/>
      <c r="C3" s="47" t="s">
        <v>103</v>
      </c>
      <c r="D3" s="47" t="s">
        <v>104</v>
      </c>
      <c r="E3" s="59" t="s">
        <v>103</v>
      </c>
      <c r="F3" s="49" t="s">
        <v>105</v>
      </c>
      <c r="G3" s="48" t="s">
        <v>103</v>
      </c>
      <c r="H3" s="49" t="s">
        <v>105</v>
      </c>
      <c r="I3" s="48" t="s">
        <v>103</v>
      </c>
      <c r="J3" s="49" t="s">
        <v>105</v>
      </c>
      <c r="K3" s="48" t="s">
        <v>103</v>
      </c>
      <c r="L3" s="49" t="s">
        <v>105</v>
      </c>
      <c r="M3" s="48" t="s">
        <v>103</v>
      </c>
      <c r="N3" s="49" t="s">
        <v>105</v>
      </c>
      <c r="O3" s="48" t="s">
        <v>103</v>
      </c>
      <c r="P3" s="49" t="s">
        <v>105</v>
      </c>
      <c r="Q3" s="48" t="s">
        <v>103</v>
      </c>
      <c r="R3" s="49" t="s">
        <v>105</v>
      </c>
      <c r="S3" s="48" t="s">
        <v>103</v>
      </c>
      <c r="T3" s="49" t="s">
        <v>105</v>
      </c>
      <c r="U3" s="48" t="s">
        <v>103</v>
      </c>
      <c r="V3" s="49" t="s">
        <v>105</v>
      </c>
      <c r="W3" s="48" t="s">
        <v>103</v>
      </c>
      <c r="X3" s="50" t="s">
        <v>105</v>
      </c>
      <c r="Y3" s="51" t="s">
        <v>103</v>
      </c>
      <c r="Z3" s="51" t="s">
        <v>105</v>
      </c>
      <c r="AA3" s="51" t="s">
        <v>103</v>
      </c>
      <c r="AB3" s="51" t="s">
        <v>105</v>
      </c>
    </row>
    <row r="4" spans="1:28" x14ac:dyDescent="0.25">
      <c r="A4" s="6">
        <f>'Water Reading'!A3</f>
        <v>44958</v>
      </c>
      <c r="B4" s="52">
        <f>TOTAL!I2</f>
        <v>301</v>
      </c>
      <c r="C4" s="53">
        <f>('Water Reading'!B4-'Water Reading'!B3)+('Water Reading'!C4-'Water Reading'!C3)</f>
        <v>300</v>
      </c>
      <c r="D4" s="54">
        <f>C4/B4</f>
        <v>0.99667774086378735</v>
      </c>
      <c r="E4" s="68">
        <f>'Water Reading'!H4-'Water Reading'!H3</f>
        <v>35</v>
      </c>
      <c r="F4" s="69">
        <f>E4/C4</f>
        <v>0.11666666666666667</v>
      </c>
      <c r="G4" s="73">
        <f>('Water Reading'!D4-'Water Reading'!D3)-('Water Reading'!R4-'Water Reading'!R3)-('Water Reading'!Q4-'Water Reading'!Q3)</f>
        <v>105</v>
      </c>
      <c r="H4" s="69">
        <f>G4/C4</f>
        <v>0.35</v>
      </c>
      <c r="I4" s="70">
        <f>'Water Reading'!P4-'Water Reading'!P3</f>
        <v>14</v>
      </c>
      <c r="J4" s="55">
        <f>I4/C4</f>
        <v>4.6666666666666669E-2</v>
      </c>
      <c r="K4" s="71">
        <f>('Water Reading'!I4-'Water Reading'!I3)-('Water Reading'!P4-'Water Reading'!P3)</f>
        <v>-7</v>
      </c>
      <c r="L4" s="55">
        <f>K4/C4</f>
        <v>-2.3333333333333334E-2</v>
      </c>
      <c r="M4" s="70">
        <f>'Water Reading'!R4-'Water Reading'!R3</f>
        <v>3</v>
      </c>
      <c r="N4" s="72">
        <f>M4/C4</f>
        <v>0.01</v>
      </c>
      <c r="O4" s="70">
        <f>'Water Reading'!Q4-'Water Reading'!Q3</f>
        <v>11</v>
      </c>
      <c r="P4" s="77">
        <f>O4/C4</f>
        <v>3.6666666666666667E-2</v>
      </c>
      <c r="Q4" s="71">
        <f>'Water Reading'!F4-'Water Reading'!F3</f>
        <v>30</v>
      </c>
      <c r="R4" s="78">
        <f>Q4/C4</f>
        <v>0.1</v>
      </c>
      <c r="S4" s="70">
        <f>'Water Reading'!E4-'Water Reading'!E3</f>
        <v>79</v>
      </c>
      <c r="T4" s="78">
        <f>S4/C4</f>
        <v>0.26333333333333331</v>
      </c>
      <c r="U4" s="70">
        <f>'Water Reading'!G4-'Water Reading'!G3</f>
        <v>25</v>
      </c>
      <c r="V4" s="78">
        <f>U4/C4</f>
        <v>8.3333333333333329E-2</v>
      </c>
      <c r="W4" s="71">
        <f>'Water Reading'!J4-'Water Reading'!J3</f>
        <v>6</v>
      </c>
      <c r="X4" s="78">
        <f>W4/C4</f>
        <v>0.02</v>
      </c>
      <c r="Y4" s="53">
        <f t="shared" ref="Y4:Y31" si="0">E4+I4+K4+M4+O4+G4+Q4+S4+U4+W4</f>
        <v>301</v>
      </c>
      <c r="Z4" s="54">
        <f t="shared" ref="Z4:Z32" si="1">Y4/B4</f>
        <v>1</v>
      </c>
      <c r="AA4" s="53">
        <f>'Water Reading'!S4-'Water Reading'!S3</f>
        <v>120</v>
      </c>
      <c r="AB4" s="54">
        <f>AA4/C4</f>
        <v>0.4</v>
      </c>
    </row>
    <row r="5" spans="1:28" x14ac:dyDescent="0.25">
      <c r="A5" s="6">
        <f>'Water Reading'!A4</f>
        <v>44959</v>
      </c>
      <c r="B5" s="52">
        <f>TOTAL!I3</f>
        <v>310</v>
      </c>
      <c r="C5" s="53">
        <f>('Water Reading'!B5-'Water Reading'!B4)+('Water Reading'!C5-'Water Reading'!C4)</f>
        <v>310</v>
      </c>
      <c r="D5" s="54">
        <f t="shared" ref="D5:D31" si="2">C5/B5</f>
        <v>1</v>
      </c>
      <c r="E5" s="68">
        <f>'Water Reading'!H5-'Water Reading'!H4</f>
        <v>30</v>
      </c>
      <c r="F5" s="69">
        <f t="shared" ref="F5:F31" si="3">E5/C5</f>
        <v>9.6774193548387094E-2</v>
      </c>
      <c r="G5" s="73">
        <f>('Water Reading'!D5-'Water Reading'!D4)-('Water Reading'!R5-'Water Reading'!R4)-('Water Reading'!Q5-'Water Reading'!Q4)</f>
        <v>113</v>
      </c>
      <c r="H5" s="69">
        <f t="shared" ref="H5:H31" si="4">G5/C5</f>
        <v>0.36451612903225805</v>
      </c>
      <c r="I5" s="70">
        <f>'Water Reading'!P5-'Water Reading'!P4</f>
        <v>21</v>
      </c>
      <c r="J5" s="55">
        <f t="shared" ref="J5:J31" si="5">I5/C5</f>
        <v>6.7741935483870974E-2</v>
      </c>
      <c r="K5" s="71">
        <f>('Water Reading'!I5-'Water Reading'!I4)-('Water Reading'!P5-'Water Reading'!P4)</f>
        <v>7</v>
      </c>
      <c r="L5" s="55">
        <f t="shared" ref="L5:L31" si="6">K5/C5</f>
        <v>2.2580645161290321E-2</v>
      </c>
      <c r="M5" s="70">
        <f>'Water Reading'!R5-'Water Reading'!R4</f>
        <v>5</v>
      </c>
      <c r="N5" s="72">
        <f t="shared" ref="N5:N31" si="7">M5/C5</f>
        <v>1.6129032258064516E-2</v>
      </c>
      <c r="O5" s="70">
        <f>'Water Reading'!Q5-'Water Reading'!Q4</f>
        <v>7</v>
      </c>
      <c r="P5" s="77">
        <f t="shared" ref="P5:P31" si="8">O5/C5</f>
        <v>2.2580645161290321E-2</v>
      </c>
      <c r="Q5" s="71">
        <f>'Water Reading'!F5-'Water Reading'!F4</f>
        <v>27</v>
      </c>
      <c r="R5" s="78">
        <f t="shared" ref="R5:R31" si="9">Q5/C5</f>
        <v>8.7096774193548387E-2</v>
      </c>
      <c r="S5" s="70">
        <f>'Water Reading'!E5-'Water Reading'!E4</f>
        <v>73</v>
      </c>
      <c r="T5" s="78">
        <f t="shared" ref="T5:T31" si="10">S5/C5</f>
        <v>0.23548387096774193</v>
      </c>
      <c r="U5" s="70">
        <f>'Water Reading'!G5-'Water Reading'!G4</f>
        <v>21</v>
      </c>
      <c r="V5" s="78">
        <f t="shared" ref="V5:V31" si="11">U5/C5</f>
        <v>6.7741935483870974E-2</v>
      </c>
      <c r="W5" s="71">
        <f>'Water Reading'!J5-'Water Reading'!J4</f>
        <v>6</v>
      </c>
      <c r="X5" s="78">
        <f t="shared" ref="X5:X31" si="12">W5/C5</f>
        <v>1.935483870967742E-2</v>
      </c>
      <c r="Y5" s="53">
        <f t="shared" si="0"/>
        <v>310</v>
      </c>
      <c r="Z5" s="54">
        <f t="shared" si="1"/>
        <v>1</v>
      </c>
      <c r="AA5" s="53">
        <f>'Water Reading'!S5-'Water Reading'!S4</f>
        <v>104</v>
      </c>
      <c r="AB5" s="54">
        <f t="shared" ref="AB5:AB31" si="13">AA5/C5</f>
        <v>0.33548387096774196</v>
      </c>
    </row>
    <row r="6" spans="1:28" x14ac:dyDescent="0.25">
      <c r="A6" s="6">
        <f>'Water Reading'!A5</f>
        <v>44960</v>
      </c>
      <c r="B6" s="52">
        <f>TOTAL!I4</f>
        <v>286</v>
      </c>
      <c r="C6" s="53">
        <f>('Water Reading'!B6-'Water Reading'!B5)+('Water Reading'!C6-'Water Reading'!C5)</f>
        <v>286</v>
      </c>
      <c r="D6" s="54">
        <f t="shared" si="2"/>
        <v>1</v>
      </c>
      <c r="E6" s="68">
        <f>'Water Reading'!H6-'Water Reading'!H5</f>
        <v>36</v>
      </c>
      <c r="F6" s="69">
        <f t="shared" si="3"/>
        <v>0.12587412587412589</v>
      </c>
      <c r="G6" s="73">
        <f>('Water Reading'!D6-'Water Reading'!D5)-('Water Reading'!R6-'Water Reading'!R5)-('Water Reading'!Q6-'Water Reading'!Q5)</f>
        <v>107</v>
      </c>
      <c r="H6" s="69">
        <f t="shared" si="4"/>
        <v>0.37412587412587411</v>
      </c>
      <c r="I6" s="70">
        <f>'Water Reading'!P6-'Water Reading'!P5</f>
        <v>3</v>
      </c>
      <c r="J6" s="55">
        <f t="shared" si="5"/>
        <v>1.048951048951049E-2</v>
      </c>
      <c r="K6" s="71">
        <f>('Water Reading'!I6-'Water Reading'!I5)-('Water Reading'!P6-'Water Reading'!P5)</f>
        <v>4</v>
      </c>
      <c r="L6" s="55">
        <f t="shared" si="6"/>
        <v>1.3986013986013986E-2</v>
      </c>
      <c r="M6" s="70">
        <f>'Water Reading'!R6-'Water Reading'!R5</f>
        <v>4</v>
      </c>
      <c r="N6" s="72">
        <f t="shared" si="7"/>
        <v>1.3986013986013986E-2</v>
      </c>
      <c r="O6" s="70">
        <f>'Water Reading'!Q6-'Water Reading'!Q5</f>
        <v>1</v>
      </c>
      <c r="P6" s="77">
        <f t="shared" si="8"/>
        <v>3.4965034965034965E-3</v>
      </c>
      <c r="Q6" s="71">
        <f>'Water Reading'!F6-'Water Reading'!F5</f>
        <v>29</v>
      </c>
      <c r="R6" s="78">
        <f t="shared" si="9"/>
        <v>0.10139860139860139</v>
      </c>
      <c r="S6" s="70">
        <f>'Water Reading'!E6-'Water Reading'!E5</f>
        <v>73</v>
      </c>
      <c r="T6" s="78">
        <f t="shared" si="10"/>
        <v>0.25524475524475526</v>
      </c>
      <c r="U6" s="70">
        <f>'Water Reading'!G6-'Water Reading'!G5</f>
        <v>23</v>
      </c>
      <c r="V6" s="78">
        <f t="shared" si="11"/>
        <v>8.0419580419580416E-2</v>
      </c>
      <c r="W6" s="71">
        <f>'Water Reading'!J6-'Water Reading'!J5</f>
        <v>6</v>
      </c>
      <c r="X6" s="78">
        <f t="shared" si="12"/>
        <v>2.097902097902098E-2</v>
      </c>
      <c r="Y6" s="53">
        <f t="shared" si="0"/>
        <v>286</v>
      </c>
      <c r="Z6" s="54">
        <f t="shared" si="1"/>
        <v>1</v>
      </c>
      <c r="AA6" s="53">
        <f>'Water Reading'!S6-'Water Reading'!S5</f>
        <v>103</v>
      </c>
      <c r="AB6" s="54">
        <f t="shared" si="13"/>
        <v>0.36013986013986016</v>
      </c>
    </row>
    <row r="7" spans="1:28" x14ac:dyDescent="0.25">
      <c r="A7" s="6">
        <f>'Water Reading'!A6</f>
        <v>44961</v>
      </c>
      <c r="B7" s="52">
        <f>TOTAL!I5</f>
        <v>362</v>
      </c>
      <c r="C7" s="53">
        <f>('Water Reading'!B7-'Water Reading'!B6)+('Water Reading'!C7-'Water Reading'!C6)</f>
        <v>357</v>
      </c>
      <c r="D7" s="54">
        <f t="shared" si="2"/>
        <v>0.98618784530386738</v>
      </c>
      <c r="E7" s="68">
        <f>'Water Reading'!H7-'Water Reading'!H6</f>
        <v>30</v>
      </c>
      <c r="F7" s="69">
        <f t="shared" si="3"/>
        <v>8.4033613445378158E-2</v>
      </c>
      <c r="G7" s="73">
        <f>('Water Reading'!D7-'Water Reading'!D6)-('Water Reading'!R7-'Water Reading'!R6)-('Water Reading'!Q7-'Water Reading'!Q6)</f>
        <v>151</v>
      </c>
      <c r="H7" s="69">
        <f t="shared" si="4"/>
        <v>0.42296918767507002</v>
      </c>
      <c r="I7" s="70">
        <f>'Water Reading'!P7-'Water Reading'!P6</f>
        <v>27</v>
      </c>
      <c r="J7" s="55">
        <f t="shared" si="5"/>
        <v>7.5630252100840331E-2</v>
      </c>
      <c r="K7" s="71">
        <f>('Water Reading'!I7-'Water Reading'!I6)-('Water Reading'!P7-'Water Reading'!P6)</f>
        <v>8</v>
      </c>
      <c r="L7" s="55">
        <f t="shared" si="6"/>
        <v>2.2408963585434174E-2</v>
      </c>
      <c r="M7" s="70">
        <f>'Water Reading'!R7-'Water Reading'!R6</f>
        <v>1</v>
      </c>
      <c r="N7" s="72">
        <f t="shared" si="7"/>
        <v>2.8011204481792717E-3</v>
      </c>
      <c r="O7" s="70">
        <f>'Water Reading'!Q7-'Water Reading'!Q6</f>
        <v>9</v>
      </c>
      <c r="P7" s="77">
        <f t="shared" si="8"/>
        <v>2.5210084033613446E-2</v>
      </c>
      <c r="Q7" s="71">
        <f>'Water Reading'!F7-'Water Reading'!F6</f>
        <v>32</v>
      </c>
      <c r="R7" s="78">
        <f t="shared" si="9"/>
        <v>8.9635854341736695E-2</v>
      </c>
      <c r="S7" s="70">
        <f>'Water Reading'!E7-'Water Reading'!E6</f>
        <v>77</v>
      </c>
      <c r="T7" s="78">
        <f t="shared" si="10"/>
        <v>0.21568627450980393</v>
      </c>
      <c r="U7" s="70">
        <f>'Water Reading'!G7-'Water Reading'!G6</f>
        <v>21</v>
      </c>
      <c r="V7" s="78">
        <f t="shared" si="11"/>
        <v>5.8823529411764705E-2</v>
      </c>
      <c r="W7" s="71">
        <f>'Water Reading'!J7-'Water Reading'!J6</f>
        <v>6</v>
      </c>
      <c r="X7" s="78">
        <f t="shared" si="12"/>
        <v>1.680672268907563E-2</v>
      </c>
      <c r="Y7" s="53">
        <f t="shared" si="0"/>
        <v>362</v>
      </c>
      <c r="Z7" s="54">
        <f t="shared" si="1"/>
        <v>1</v>
      </c>
      <c r="AA7" s="53">
        <f>'Water Reading'!S7-'Water Reading'!S6</f>
        <v>133</v>
      </c>
      <c r="AB7" s="54">
        <f t="shared" si="13"/>
        <v>0.37254901960784315</v>
      </c>
    </row>
    <row r="8" spans="1:28" x14ac:dyDescent="0.25">
      <c r="A8" s="6">
        <f>'Water Reading'!A7</f>
        <v>44962</v>
      </c>
      <c r="B8" s="52">
        <f>TOTAL!I6</f>
        <v>346</v>
      </c>
      <c r="C8" s="53">
        <f>('Water Reading'!B8-'Water Reading'!B7)+('Water Reading'!C8-'Water Reading'!C7)</f>
        <v>343</v>
      </c>
      <c r="D8" s="54">
        <f t="shared" si="2"/>
        <v>0.99132947976878616</v>
      </c>
      <c r="E8" s="68">
        <f>'Water Reading'!H8-'Water Reading'!H7</f>
        <v>40</v>
      </c>
      <c r="F8" s="69">
        <f t="shared" si="3"/>
        <v>0.11661807580174927</v>
      </c>
      <c r="G8" s="73">
        <f>('Water Reading'!D8-'Water Reading'!D7)-('Water Reading'!R8-'Water Reading'!R7)-('Water Reading'!Q8-'Water Reading'!Q7)</f>
        <v>142</v>
      </c>
      <c r="H8" s="69">
        <f t="shared" si="4"/>
        <v>0.4139941690962099</v>
      </c>
      <c r="I8" s="70">
        <f>'Water Reading'!P8-'Water Reading'!P7</f>
        <v>14</v>
      </c>
      <c r="J8" s="55">
        <f t="shared" si="5"/>
        <v>4.0816326530612242E-2</v>
      </c>
      <c r="K8" s="71">
        <f>('Water Reading'!I8-'Water Reading'!I7)-('Water Reading'!P8-'Water Reading'!P7)</f>
        <v>4</v>
      </c>
      <c r="L8" s="55">
        <f t="shared" si="6"/>
        <v>1.1661807580174927E-2</v>
      </c>
      <c r="M8" s="70">
        <f>'Water Reading'!R8-'Water Reading'!R7</f>
        <v>6</v>
      </c>
      <c r="N8" s="72">
        <f t="shared" si="7"/>
        <v>1.7492711370262391E-2</v>
      </c>
      <c r="O8" s="70">
        <f>'Water Reading'!Q8-'Water Reading'!Q7</f>
        <v>5</v>
      </c>
      <c r="P8" s="77">
        <f t="shared" si="8"/>
        <v>1.4577259475218658E-2</v>
      </c>
      <c r="Q8" s="71">
        <f>'Water Reading'!F8-'Water Reading'!F7</f>
        <v>31</v>
      </c>
      <c r="R8" s="78">
        <f t="shared" si="9"/>
        <v>9.0379008746355682E-2</v>
      </c>
      <c r="S8" s="70">
        <f>'Water Reading'!E8-'Water Reading'!E7</f>
        <v>75</v>
      </c>
      <c r="T8" s="78">
        <f t="shared" si="10"/>
        <v>0.21865889212827988</v>
      </c>
      <c r="U8" s="70">
        <f>'Water Reading'!G8-'Water Reading'!G7</f>
        <v>23</v>
      </c>
      <c r="V8" s="78">
        <f t="shared" si="11"/>
        <v>6.7055393586005832E-2</v>
      </c>
      <c r="W8" s="71">
        <f>'Water Reading'!J8-'Water Reading'!J7</f>
        <v>6</v>
      </c>
      <c r="X8" s="78">
        <f t="shared" si="12"/>
        <v>1.7492711370262391E-2</v>
      </c>
      <c r="Y8" s="53">
        <f t="shared" si="0"/>
        <v>346</v>
      </c>
      <c r="Z8" s="54">
        <f t="shared" si="1"/>
        <v>1</v>
      </c>
      <c r="AA8" s="53">
        <f>'Water Reading'!S8-'Water Reading'!S7</f>
        <v>115</v>
      </c>
      <c r="AB8" s="54">
        <f t="shared" si="13"/>
        <v>0.33527696793002915</v>
      </c>
    </row>
    <row r="9" spans="1:28" x14ac:dyDescent="0.25">
      <c r="A9" s="6">
        <f>'Water Reading'!A8</f>
        <v>44963</v>
      </c>
      <c r="B9" s="52">
        <f>TOTAL!I7</f>
        <v>385</v>
      </c>
      <c r="C9" s="53">
        <f>('Water Reading'!B9-'Water Reading'!B8)+('Water Reading'!C9-'Water Reading'!C8)</f>
        <v>383</v>
      </c>
      <c r="D9" s="54">
        <f t="shared" si="2"/>
        <v>0.9948051948051948</v>
      </c>
      <c r="E9" s="68">
        <f>'Water Reading'!H9-'Water Reading'!H8</f>
        <v>28</v>
      </c>
      <c r="F9" s="69">
        <f t="shared" si="3"/>
        <v>7.3107049608355096E-2</v>
      </c>
      <c r="G9" s="73">
        <f>('Water Reading'!D9-'Water Reading'!D8)-('Water Reading'!R9-'Water Reading'!R8)-('Water Reading'!Q9-'Water Reading'!Q8)</f>
        <v>176</v>
      </c>
      <c r="H9" s="69">
        <f t="shared" si="4"/>
        <v>0.45953002610966059</v>
      </c>
      <c r="I9" s="70">
        <f>'Water Reading'!P9-'Water Reading'!P8</f>
        <v>20</v>
      </c>
      <c r="J9" s="55">
        <f t="shared" si="5"/>
        <v>5.2219321148825062E-2</v>
      </c>
      <c r="K9" s="71">
        <f>('Water Reading'!I9-'Water Reading'!I8)-('Water Reading'!P9-'Water Reading'!P8)</f>
        <v>4</v>
      </c>
      <c r="L9" s="55">
        <f t="shared" si="6"/>
        <v>1.0443864229765013E-2</v>
      </c>
      <c r="M9" s="98">
        <f>'Water Reading'!R9-'Water Reading'!R8</f>
        <v>2</v>
      </c>
      <c r="N9" s="72">
        <f t="shared" si="7"/>
        <v>5.2219321148825066E-3</v>
      </c>
      <c r="O9" s="70">
        <f>'Water Reading'!Q9-'Water Reading'!Q8</f>
        <v>8</v>
      </c>
      <c r="P9" s="77">
        <f t="shared" si="8"/>
        <v>2.0887728459530026E-2</v>
      </c>
      <c r="Q9" s="71">
        <f>'Water Reading'!F9-'Water Reading'!F8</f>
        <v>34</v>
      </c>
      <c r="R9" s="78">
        <f t="shared" si="9"/>
        <v>8.877284595300261E-2</v>
      </c>
      <c r="S9" s="70">
        <f>'Water Reading'!E9-'Water Reading'!E8</f>
        <v>81</v>
      </c>
      <c r="T9" s="78">
        <f t="shared" si="10"/>
        <v>0.21148825065274152</v>
      </c>
      <c r="U9" s="70">
        <f>'Water Reading'!G9-'Water Reading'!G8</f>
        <v>26</v>
      </c>
      <c r="V9" s="78">
        <f t="shared" si="11"/>
        <v>6.7885117493472591E-2</v>
      </c>
      <c r="W9" s="71">
        <f>'Water Reading'!J9-'Water Reading'!J8</f>
        <v>6</v>
      </c>
      <c r="X9" s="78">
        <f t="shared" si="12"/>
        <v>1.5665796344647518E-2</v>
      </c>
      <c r="Y9" s="53">
        <f t="shared" si="0"/>
        <v>385</v>
      </c>
      <c r="Z9" s="54">
        <f t="shared" si="1"/>
        <v>1</v>
      </c>
      <c r="AA9" s="53">
        <f>'Water Reading'!S9-'Water Reading'!S8</f>
        <v>108</v>
      </c>
      <c r="AB9" s="54">
        <f t="shared" si="13"/>
        <v>0.28198433420365537</v>
      </c>
    </row>
    <row r="10" spans="1:28" x14ac:dyDescent="0.25">
      <c r="A10" s="6">
        <f>'Water Reading'!A9</f>
        <v>44964</v>
      </c>
      <c r="B10" s="52">
        <f>TOTAL!I8</f>
        <v>336</v>
      </c>
      <c r="C10" s="53">
        <f>('Water Reading'!B10-'Water Reading'!B9)+('Water Reading'!C10-'Water Reading'!C9)</f>
        <v>387</v>
      </c>
      <c r="D10" s="54">
        <f t="shared" ref="D10" si="14">C10/B10</f>
        <v>1.1517857142857142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168</v>
      </c>
      <c r="H10" s="69">
        <f t="shared" si="4"/>
        <v>0.43410852713178294</v>
      </c>
      <c r="I10" s="70">
        <f>'Water Reading'!P10-'Water Reading'!P9</f>
        <v>15</v>
      </c>
      <c r="J10" s="55">
        <f t="shared" si="5"/>
        <v>3.875968992248062E-2</v>
      </c>
      <c r="K10" s="93">
        <f>('Water Reading'!I10-'Water Reading'!I9)-('Water Reading'!P10-'Water Reading'!P9)</f>
        <v>4</v>
      </c>
      <c r="L10" s="55">
        <f t="shared" si="6"/>
        <v>1.0335917312661499E-2</v>
      </c>
      <c r="M10" s="70">
        <f>'Water Reading'!R10-'Water Reading'!R9</f>
        <v>5</v>
      </c>
      <c r="N10" s="72">
        <f t="shared" si="7"/>
        <v>1.2919896640826873E-2</v>
      </c>
      <c r="O10" s="70">
        <f>'Water Reading'!Q10-'Water Reading'!Q9</f>
        <v>2</v>
      </c>
      <c r="P10" s="77">
        <f t="shared" si="8"/>
        <v>5.1679586563307496E-3</v>
      </c>
      <c r="Q10" s="71">
        <f>'Water Reading'!F10-'Water Reading'!F9</f>
        <v>22</v>
      </c>
      <c r="R10" s="78">
        <f t="shared" si="9"/>
        <v>5.6847545219638244E-2</v>
      </c>
      <c r="S10" s="70">
        <f>'Water Reading'!E10-'Water Reading'!E9</f>
        <v>72</v>
      </c>
      <c r="T10" s="78">
        <f t="shared" si="10"/>
        <v>0.18604651162790697</v>
      </c>
      <c r="U10" s="70">
        <f>'Water Reading'!G10-'Water Reading'!G9</f>
        <v>24</v>
      </c>
      <c r="V10" s="78">
        <f t="shared" si="11"/>
        <v>6.2015503875968991E-2</v>
      </c>
      <c r="W10" s="71">
        <f>'Water Reading'!J10-'Water Reading'!J9</f>
        <v>6</v>
      </c>
      <c r="X10" s="78">
        <f t="shared" si="12"/>
        <v>1.5503875968992248E-2</v>
      </c>
      <c r="Y10" s="53">
        <f t="shared" si="0"/>
        <v>336</v>
      </c>
      <c r="Z10" s="54">
        <f t="shared" si="1"/>
        <v>1</v>
      </c>
      <c r="AA10" s="53">
        <f>'Water Reading'!S10-'Water Reading'!S9</f>
        <v>111</v>
      </c>
      <c r="AB10" s="54">
        <f t="shared" si="13"/>
        <v>0.2868217054263566</v>
      </c>
    </row>
    <row r="11" spans="1:28" x14ac:dyDescent="0.25">
      <c r="A11" s="6">
        <f>'Water Reading'!A10</f>
        <v>44965</v>
      </c>
      <c r="B11" s="52">
        <f>TOTAL!I9</f>
        <v>378</v>
      </c>
      <c r="C11" s="53">
        <f>('Water Reading'!B11-'Water Reading'!B10)+('Water Reading'!C11-'Water Reading'!C10)</f>
        <v>370</v>
      </c>
      <c r="D11" s="54">
        <f t="shared" si="2"/>
        <v>0.97883597883597884</v>
      </c>
      <c r="E11" s="68">
        <f>'Water Reading'!H11-'Water Reading'!H10</f>
        <v>33</v>
      </c>
      <c r="F11" s="69">
        <f t="shared" si="3"/>
        <v>8.9189189189189194E-2</v>
      </c>
      <c r="G11" s="73">
        <f>('Water Reading'!D11-'Water Reading'!D10)-('Water Reading'!R11-'Water Reading'!R10)-('Water Reading'!Q11-'Water Reading'!Q10)</f>
        <v>165</v>
      </c>
      <c r="H11" s="69">
        <f t="shared" si="4"/>
        <v>0.44594594594594594</v>
      </c>
      <c r="I11" s="70">
        <f>'Water Reading'!P11-'Water Reading'!P10</f>
        <v>23</v>
      </c>
      <c r="J11" s="55">
        <f t="shared" si="5"/>
        <v>6.2162162162162166E-2</v>
      </c>
      <c r="K11" s="71">
        <f>('Water Reading'!I11-'Water Reading'!I10)-('Water Reading'!P11-'Water Reading'!P10)</f>
        <v>5</v>
      </c>
      <c r="L11" s="55">
        <f t="shared" si="6"/>
        <v>1.3513513513513514E-2</v>
      </c>
      <c r="M11" s="70">
        <f>'Water Reading'!R11-'Water Reading'!R10</f>
        <v>3</v>
      </c>
      <c r="N11" s="72">
        <f t="shared" si="7"/>
        <v>8.1081081081081086E-3</v>
      </c>
      <c r="O11" s="70">
        <f>'Water Reading'!Q11-'Water Reading'!Q10</f>
        <v>9</v>
      </c>
      <c r="P11" s="77">
        <f t="shared" si="8"/>
        <v>2.4324324324324326E-2</v>
      </c>
      <c r="Q11" s="71">
        <f>'Water Reading'!F11-'Water Reading'!F10</f>
        <v>36</v>
      </c>
      <c r="R11" s="78">
        <f t="shared" si="9"/>
        <v>9.7297297297297303E-2</v>
      </c>
      <c r="S11" s="70">
        <f>'Water Reading'!E11-'Water Reading'!E10</f>
        <v>73</v>
      </c>
      <c r="T11" s="78">
        <f t="shared" si="10"/>
        <v>0.19729729729729731</v>
      </c>
      <c r="U11" s="70">
        <f>'Water Reading'!G11-'Water Reading'!G10</f>
        <v>25</v>
      </c>
      <c r="V11" s="78">
        <f t="shared" si="11"/>
        <v>6.7567567567567571E-2</v>
      </c>
      <c r="W11" s="71">
        <f>'Water Reading'!J11-'Water Reading'!J10</f>
        <v>6</v>
      </c>
      <c r="X11" s="78">
        <f t="shared" si="12"/>
        <v>1.6216216216216217E-2</v>
      </c>
      <c r="Y11" s="53">
        <f t="shared" si="0"/>
        <v>378</v>
      </c>
      <c r="Z11" s="54">
        <f t="shared" si="1"/>
        <v>1</v>
      </c>
      <c r="AA11" s="53">
        <f>'Water Reading'!S11-'Water Reading'!S10</f>
        <v>111</v>
      </c>
      <c r="AB11" s="54">
        <f t="shared" si="13"/>
        <v>0.3</v>
      </c>
    </row>
    <row r="12" spans="1:28" x14ac:dyDescent="0.25">
      <c r="A12" s="6">
        <f>'Water Reading'!A11</f>
        <v>44966</v>
      </c>
      <c r="B12" s="52">
        <f>TOTAL!I10</f>
        <v>352</v>
      </c>
      <c r="C12" s="53">
        <f>('Water Reading'!B12-'Water Reading'!B11)+('Water Reading'!C12-'Water Reading'!C11)</f>
        <v>352</v>
      </c>
      <c r="D12" s="54">
        <f t="shared" si="2"/>
        <v>1</v>
      </c>
      <c r="E12" s="68">
        <f>'Water Reading'!H12-'Water Reading'!H11</f>
        <v>29</v>
      </c>
      <c r="F12" s="69">
        <f t="shared" si="3"/>
        <v>8.2386363636363633E-2</v>
      </c>
      <c r="G12" s="73">
        <f>('Water Reading'!D12-'Water Reading'!D11)-('Water Reading'!R12-'Water Reading'!R11)-('Water Reading'!Q12-'Water Reading'!Q11)</f>
        <v>165</v>
      </c>
      <c r="H12" s="69">
        <f t="shared" si="4"/>
        <v>0.46875</v>
      </c>
      <c r="I12" s="70">
        <f>'Water Reading'!P12-'Water Reading'!P11</f>
        <v>14</v>
      </c>
      <c r="J12" s="55">
        <f t="shared" si="5"/>
        <v>3.9772727272727272E-2</v>
      </c>
      <c r="K12" s="71">
        <f>('Water Reading'!I12-'Water Reading'!I11)-('Water Reading'!P12-'Water Reading'!P11)</f>
        <v>4</v>
      </c>
      <c r="L12" s="55">
        <f t="shared" si="6"/>
        <v>1.1363636363636364E-2</v>
      </c>
      <c r="M12" s="70">
        <f>'Water Reading'!R12-'Water Reading'!R11</f>
        <v>2</v>
      </c>
      <c r="N12" s="72">
        <f t="shared" si="7"/>
        <v>5.681818181818182E-3</v>
      </c>
      <c r="O12" s="70">
        <f>'Water Reading'!Q12-'Water Reading'!Q11</f>
        <v>10</v>
      </c>
      <c r="P12" s="77">
        <f t="shared" si="8"/>
        <v>2.8409090909090908E-2</v>
      </c>
      <c r="Q12" s="71">
        <f>'Water Reading'!F12-'Water Reading'!F11</f>
        <v>27</v>
      </c>
      <c r="R12" s="78">
        <f t="shared" si="9"/>
        <v>7.6704545454545456E-2</v>
      </c>
      <c r="S12" s="70">
        <f>'Water Reading'!E12-'Water Reading'!E11</f>
        <v>71</v>
      </c>
      <c r="T12" s="78">
        <f t="shared" si="10"/>
        <v>0.20170454545454544</v>
      </c>
      <c r="U12" s="70">
        <f>'Water Reading'!G12-'Water Reading'!G11</f>
        <v>24</v>
      </c>
      <c r="V12" s="78">
        <f t="shared" si="11"/>
        <v>6.8181818181818177E-2</v>
      </c>
      <c r="W12" s="71">
        <f>'Water Reading'!J12-'Water Reading'!J11</f>
        <v>6</v>
      </c>
      <c r="X12" s="78">
        <f t="shared" si="12"/>
        <v>1.7045454545454544E-2</v>
      </c>
      <c r="Y12" s="53">
        <f t="shared" si="0"/>
        <v>352</v>
      </c>
      <c r="Z12" s="54">
        <f t="shared" si="1"/>
        <v>1</v>
      </c>
      <c r="AA12" s="53">
        <f>'Water Reading'!S12-'Water Reading'!S11</f>
        <v>118</v>
      </c>
      <c r="AB12" s="54">
        <f t="shared" si="13"/>
        <v>0.33522727272727271</v>
      </c>
    </row>
    <row r="13" spans="1:28" x14ac:dyDescent="0.25">
      <c r="A13" s="6">
        <f>'Water Reading'!A12</f>
        <v>44967</v>
      </c>
      <c r="B13" s="52">
        <f>TOTAL!I11</f>
        <v>319</v>
      </c>
      <c r="C13" s="53">
        <f>('Water Reading'!B13-'Water Reading'!B12)+('Water Reading'!C13-'Water Reading'!C12)</f>
        <v>320</v>
      </c>
      <c r="D13" s="54">
        <f t="shared" si="2"/>
        <v>1.0031347962382444</v>
      </c>
      <c r="E13" s="68">
        <f>'Water Reading'!H13-'Water Reading'!H12</f>
        <v>33</v>
      </c>
      <c r="F13" s="69">
        <f t="shared" si="3"/>
        <v>0.10312499999999999</v>
      </c>
      <c r="G13" s="73">
        <f>('Water Reading'!D13-'Water Reading'!D12)-('Water Reading'!R13-'Water Reading'!R12)-('Water Reading'!Q13-'Water Reading'!Q12)</f>
        <v>127</v>
      </c>
      <c r="H13" s="69">
        <f t="shared" si="4"/>
        <v>0.39687499999999998</v>
      </c>
      <c r="I13" s="70">
        <f>'Water Reading'!P13-'Water Reading'!P12</f>
        <v>2</v>
      </c>
      <c r="J13" s="55">
        <f t="shared" si="5"/>
        <v>6.2500000000000003E-3</v>
      </c>
      <c r="K13" s="71">
        <f>('Water Reading'!I13-'Water Reading'!I12)-('Water Reading'!P13-'Water Reading'!P12)</f>
        <v>22</v>
      </c>
      <c r="L13" s="55">
        <f t="shared" si="6"/>
        <v>6.8750000000000006E-2</v>
      </c>
      <c r="M13" s="70">
        <f>'Water Reading'!R13-'Water Reading'!R12</f>
        <v>3</v>
      </c>
      <c r="N13" s="72">
        <f t="shared" si="7"/>
        <v>9.3749999999999997E-3</v>
      </c>
      <c r="O13" s="70">
        <f>'Water Reading'!Q13-'Water Reading'!Q12</f>
        <v>0</v>
      </c>
      <c r="P13" s="77">
        <f t="shared" si="8"/>
        <v>0</v>
      </c>
      <c r="Q13" s="71">
        <f>'Water Reading'!F13-'Water Reading'!F12</f>
        <v>31</v>
      </c>
      <c r="R13" s="78">
        <f t="shared" si="9"/>
        <v>9.6875000000000003E-2</v>
      </c>
      <c r="S13" s="70">
        <f>'Water Reading'!E13-'Water Reading'!E12</f>
        <v>72</v>
      </c>
      <c r="T13" s="78">
        <f t="shared" si="10"/>
        <v>0.22500000000000001</v>
      </c>
      <c r="U13" s="70">
        <f>'Water Reading'!G13-'Water Reading'!G12</f>
        <v>22</v>
      </c>
      <c r="V13" s="78">
        <f t="shared" si="11"/>
        <v>6.8750000000000006E-2</v>
      </c>
      <c r="W13" s="71">
        <f>'Water Reading'!J13-'Water Reading'!J12</f>
        <v>7</v>
      </c>
      <c r="X13" s="78">
        <f t="shared" si="12"/>
        <v>2.1874999999999999E-2</v>
      </c>
      <c r="Y13" s="53">
        <f t="shared" si="0"/>
        <v>319</v>
      </c>
      <c r="Z13" s="54">
        <f t="shared" si="1"/>
        <v>1</v>
      </c>
      <c r="AA13" s="53">
        <f>'Water Reading'!S13-'Water Reading'!S12</f>
        <v>105</v>
      </c>
      <c r="AB13" s="54">
        <f t="shared" si="13"/>
        <v>0.328125</v>
      </c>
    </row>
    <row r="14" spans="1:28" x14ac:dyDescent="0.25">
      <c r="A14" s="6">
        <f>'Water Reading'!A13</f>
        <v>44968</v>
      </c>
      <c r="B14" s="52">
        <f>TOTAL!I12</f>
        <v>340</v>
      </c>
      <c r="C14" s="53">
        <f>('Water Reading'!B14-'Water Reading'!B13)+('Water Reading'!C14-'Water Reading'!C13)</f>
        <v>344</v>
      </c>
      <c r="D14" s="54">
        <f t="shared" si="2"/>
        <v>1.0117647058823529</v>
      </c>
      <c r="E14" s="68">
        <f>'Water Reading'!H14-'Water Reading'!H13</f>
        <v>24</v>
      </c>
      <c r="F14" s="69">
        <f t="shared" si="3"/>
        <v>6.9767441860465115E-2</v>
      </c>
      <c r="G14" s="73">
        <f>('Water Reading'!D14-'Water Reading'!D13)-('Water Reading'!R14-'Water Reading'!R13)-('Water Reading'!Q14-'Water Reading'!Q13)</f>
        <v>159</v>
      </c>
      <c r="H14" s="69">
        <f t="shared" si="4"/>
        <v>0.46220930232558138</v>
      </c>
      <c r="I14" s="70">
        <f>'Water Reading'!P14-'Water Reading'!P13</f>
        <v>12</v>
      </c>
      <c r="J14" s="55">
        <f t="shared" si="5"/>
        <v>3.4883720930232558E-2</v>
      </c>
      <c r="K14" s="71">
        <f>('Water Reading'!I14-'Water Reading'!I13)-('Water Reading'!P14-'Water Reading'!P13)</f>
        <v>-10</v>
      </c>
      <c r="L14" s="55">
        <f t="shared" si="6"/>
        <v>-2.9069767441860465E-2</v>
      </c>
      <c r="M14" s="70">
        <f>'Water Reading'!R14-'Water Reading'!R13</f>
        <v>4</v>
      </c>
      <c r="N14" s="72">
        <f t="shared" si="7"/>
        <v>1.1627906976744186E-2</v>
      </c>
      <c r="O14" s="70">
        <f>'Water Reading'!Q14-'Water Reading'!Q13</f>
        <v>8</v>
      </c>
      <c r="P14" s="77">
        <f t="shared" si="8"/>
        <v>2.3255813953488372E-2</v>
      </c>
      <c r="Q14" s="71">
        <f>'Water Reading'!F14-'Water Reading'!F13</f>
        <v>31</v>
      </c>
      <c r="R14" s="78">
        <f t="shared" si="9"/>
        <v>9.0116279069767435E-2</v>
      </c>
      <c r="S14" s="70">
        <f>'Water Reading'!E14-'Water Reading'!E13</f>
        <v>81</v>
      </c>
      <c r="T14" s="78">
        <f t="shared" si="10"/>
        <v>0.23546511627906977</v>
      </c>
      <c r="U14" s="70">
        <f>'Water Reading'!G14-'Water Reading'!G13</f>
        <v>25</v>
      </c>
      <c r="V14" s="78">
        <f t="shared" si="11"/>
        <v>7.2674418604651167E-2</v>
      </c>
      <c r="W14" s="71">
        <f>'Water Reading'!J14-'Water Reading'!J13</f>
        <v>6</v>
      </c>
      <c r="X14" s="78">
        <f t="shared" si="12"/>
        <v>1.7441860465116279E-2</v>
      </c>
      <c r="Y14" s="53">
        <f t="shared" si="0"/>
        <v>340</v>
      </c>
      <c r="Z14" s="54">
        <f t="shared" si="1"/>
        <v>1</v>
      </c>
      <c r="AA14" s="53">
        <f>'Water Reading'!S14-'Water Reading'!S13</f>
        <v>110</v>
      </c>
      <c r="AB14" s="54">
        <f t="shared" si="13"/>
        <v>0.31976744186046513</v>
      </c>
    </row>
    <row r="15" spans="1:28" s="95" customFormat="1" x14ac:dyDescent="0.25">
      <c r="A15" s="6">
        <f>'Water Reading'!A14</f>
        <v>44969</v>
      </c>
      <c r="B15" s="100">
        <f>TOTAL!I13</f>
        <v>345</v>
      </c>
      <c r="C15" s="101">
        <f>('Water Reading'!B15-'Water Reading'!B14)+('Water Reading'!C15-'Water Reading'!C14)</f>
        <v>349</v>
      </c>
      <c r="D15" s="102">
        <f t="shared" si="2"/>
        <v>1.0115942028985507</v>
      </c>
      <c r="E15" s="68">
        <f>'Water Reading'!H15-'Water Reading'!H14</f>
        <v>33</v>
      </c>
      <c r="F15" s="103">
        <f t="shared" si="3"/>
        <v>9.4555873925501438E-2</v>
      </c>
      <c r="G15" s="73">
        <f>('Water Reading'!D15-'Water Reading'!D14)-('Water Reading'!R15-'Water Reading'!R14)-('Water Reading'!Q15-'Water Reading'!Q14)</f>
        <v>154</v>
      </c>
      <c r="H15" s="103">
        <f t="shared" si="4"/>
        <v>0.44126074498567336</v>
      </c>
      <c r="I15" s="98">
        <f>'Water Reading'!P15-'Water Reading'!P14</f>
        <v>20</v>
      </c>
      <c r="J15" s="99">
        <f t="shared" si="5"/>
        <v>5.730659025787966E-2</v>
      </c>
      <c r="K15" s="93">
        <f>('Water Reading'!I15-'Water Reading'!I14)-('Water Reading'!P15-'Water Reading'!P14)</f>
        <v>-2</v>
      </c>
      <c r="L15" s="99">
        <f t="shared" si="6"/>
        <v>-5.7306590257879654E-3</v>
      </c>
      <c r="M15" s="98">
        <f>'Water Reading'!R15-'Water Reading'!R14</f>
        <v>2</v>
      </c>
      <c r="N15" s="104">
        <f t="shared" si="7"/>
        <v>5.7306590257879654E-3</v>
      </c>
      <c r="O15" s="98">
        <f>'Water Reading'!Q15-'Water Reading'!Q14</f>
        <v>3</v>
      </c>
      <c r="P15" s="105">
        <f t="shared" si="8"/>
        <v>8.5959885386819486E-3</v>
      </c>
      <c r="Q15" s="93">
        <f>'Water Reading'!F15-'Water Reading'!F14</f>
        <v>29</v>
      </c>
      <c r="R15" s="106">
        <f t="shared" si="9"/>
        <v>8.3094555873925502E-2</v>
      </c>
      <c r="S15" s="98">
        <f>'Water Reading'!E15-'Water Reading'!E14</f>
        <v>74</v>
      </c>
      <c r="T15" s="106">
        <f t="shared" si="10"/>
        <v>0.21203438395415472</v>
      </c>
      <c r="U15" s="98">
        <f>'Water Reading'!G15-'Water Reading'!G14</f>
        <v>25</v>
      </c>
      <c r="V15" s="106">
        <f t="shared" si="11"/>
        <v>7.1633237822349566E-2</v>
      </c>
      <c r="W15" s="93">
        <f>'Water Reading'!J15-'Water Reading'!J14</f>
        <v>7</v>
      </c>
      <c r="X15" s="106">
        <f t="shared" si="12"/>
        <v>2.0057306590257881E-2</v>
      </c>
      <c r="Y15" s="101">
        <f t="shared" si="0"/>
        <v>345</v>
      </c>
      <c r="Z15" s="102">
        <f t="shared" si="1"/>
        <v>1</v>
      </c>
      <c r="AA15" s="53">
        <f>'Water Reading'!S15-'Water Reading'!S14</f>
        <v>137</v>
      </c>
      <c r="AB15" s="54">
        <f t="shared" si="13"/>
        <v>0.39255014326647564</v>
      </c>
    </row>
    <row r="16" spans="1:28" x14ac:dyDescent="0.25">
      <c r="A16" s="6">
        <f>'Water Reading'!A15</f>
        <v>44970</v>
      </c>
      <c r="B16" s="52">
        <f>TOTAL!I14</f>
        <v>359</v>
      </c>
      <c r="C16" s="53">
        <f>('Water Reading'!B16-'Water Reading'!B15)+('Water Reading'!C16-'Water Reading'!C15)</f>
        <v>371</v>
      </c>
      <c r="D16" s="54">
        <f t="shared" si="2"/>
        <v>1.0334261838440111</v>
      </c>
      <c r="E16" s="68">
        <f>'Water Reading'!H16-'Water Reading'!H15</f>
        <v>30</v>
      </c>
      <c r="F16" s="69">
        <f t="shared" si="3"/>
        <v>8.0862533692722366E-2</v>
      </c>
      <c r="G16" s="73">
        <f>('Water Reading'!D16-'Water Reading'!D15)-('Water Reading'!R16-'Water Reading'!R15)-('Water Reading'!Q16-'Water Reading'!Q15)</f>
        <v>183</v>
      </c>
      <c r="H16" s="69">
        <f t="shared" si="4"/>
        <v>0.49326145552560646</v>
      </c>
      <c r="I16" s="70">
        <f>'Water Reading'!P16-'Water Reading'!P15</f>
        <v>5</v>
      </c>
      <c r="J16" s="55">
        <f t="shared" si="5"/>
        <v>1.3477088948787063E-2</v>
      </c>
      <c r="K16" s="71">
        <f>('Water Reading'!I16-'Water Reading'!I15)-('Water Reading'!P16-'Water Reading'!P15)</f>
        <v>4</v>
      </c>
      <c r="L16" s="55">
        <f t="shared" si="6"/>
        <v>1.078167115902965E-2</v>
      </c>
      <c r="M16" s="70">
        <f>'Water Reading'!R16-'Water Reading'!R15</f>
        <v>6</v>
      </c>
      <c r="N16" s="72">
        <f t="shared" si="7"/>
        <v>1.6172506738544475E-2</v>
      </c>
      <c r="O16" s="70">
        <f>'Water Reading'!Q16-'Water Reading'!Q15</f>
        <v>2</v>
      </c>
      <c r="P16" s="77">
        <f t="shared" si="8"/>
        <v>5.3908355795148251E-3</v>
      </c>
      <c r="Q16" s="71">
        <f>'Water Reading'!F16-'Water Reading'!F15</f>
        <v>27</v>
      </c>
      <c r="R16" s="78">
        <f t="shared" si="9"/>
        <v>7.277628032345014E-2</v>
      </c>
      <c r="S16" s="70">
        <f>'Water Reading'!E16-'Water Reading'!E15</f>
        <v>70</v>
      </c>
      <c r="T16" s="78">
        <f t="shared" si="10"/>
        <v>0.18867924528301888</v>
      </c>
      <c r="U16" s="70">
        <f>'Water Reading'!G16-'Water Reading'!G15</f>
        <v>25</v>
      </c>
      <c r="V16" s="78">
        <f t="shared" si="11"/>
        <v>6.7385444743935305E-2</v>
      </c>
      <c r="W16" s="71">
        <f>'Water Reading'!J16-'Water Reading'!J15</f>
        <v>7</v>
      </c>
      <c r="X16" s="78">
        <f t="shared" si="12"/>
        <v>1.8867924528301886E-2</v>
      </c>
      <c r="Y16" s="53">
        <f t="shared" si="0"/>
        <v>359</v>
      </c>
      <c r="Z16" s="54">
        <f t="shared" si="1"/>
        <v>1</v>
      </c>
      <c r="AA16" s="53">
        <f>'Water Reading'!S16-'Water Reading'!S15</f>
        <v>133</v>
      </c>
      <c r="AB16" s="54">
        <f t="shared" si="13"/>
        <v>0.35849056603773582</v>
      </c>
    </row>
    <row r="17" spans="1:28" x14ac:dyDescent="0.25">
      <c r="A17" s="6">
        <f>'Water Reading'!A16</f>
        <v>44971</v>
      </c>
      <c r="B17" s="52">
        <f>TOTAL!I15</f>
        <v>407</v>
      </c>
      <c r="C17" s="53">
        <f>('Water Reading'!B17-'Water Reading'!B16)+('Water Reading'!C17-'Water Reading'!C16)</f>
        <v>402</v>
      </c>
      <c r="D17" s="54">
        <f t="shared" si="2"/>
        <v>0.98771498771498767</v>
      </c>
      <c r="E17" s="68">
        <f>'Water Reading'!H17-'Water Reading'!H16</f>
        <v>31</v>
      </c>
      <c r="F17" s="69">
        <f t="shared" si="3"/>
        <v>7.7114427860696513E-2</v>
      </c>
      <c r="G17" s="73">
        <f>('Water Reading'!D17-'Water Reading'!D16)-('Water Reading'!R17-'Water Reading'!R16)-('Water Reading'!Q17-'Water Reading'!Q16)</f>
        <v>191</v>
      </c>
      <c r="H17" s="69">
        <f t="shared" si="4"/>
        <v>0.47512437810945274</v>
      </c>
      <c r="I17" s="70">
        <f>'Water Reading'!P17-'Water Reading'!P16</f>
        <v>14</v>
      </c>
      <c r="J17" s="99">
        <f t="shared" si="5"/>
        <v>3.482587064676617E-2</v>
      </c>
      <c r="K17" s="71">
        <f>('Water Reading'!I17-'Water Reading'!I16)-('Water Reading'!P17-'Water Reading'!P16)</f>
        <v>2</v>
      </c>
      <c r="L17" s="55">
        <f t="shared" si="6"/>
        <v>4.9751243781094526E-3</v>
      </c>
      <c r="M17" s="70">
        <f>'Water Reading'!R17-'Water Reading'!R16</f>
        <v>4</v>
      </c>
      <c r="N17" s="72">
        <f t="shared" si="7"/>
        <v>9.9502487562189053E-3</v>
      </c>
      <c r="O17" s="70">
        <f>'Water Reading'!Q17-'Water Reading'!Q16</f>
        <v>0</v>
      </c>
      <c r="P17" s="77">
        <f t="shared" si="8"/>
        <v>0</v>
      </c>
      <c r="Q17" s="71">
        <f>'Water Reading'!F17-'Water Reading'!F16</f>
        <v>38</v>
      </c>
      <c r="R17" s="78">
        <f t="shared" si="9"/>
        <v>9.4527363184079602E-2</v>
      </c>
      <c r="S17" s="70">
        <f>'Water Reading'!E17-'Water Reading'!E16</f>
        <v>88</v>
      </c>
      <c r="T17" s="78">
        <f t="shared" si="10"/>
        <v>0.21890547263681592</v>
      </c>
      <c r="U17" s="70">
        <f>'Water Reading'!G17-'Water Reading'!G16</f>
        <v>32</v>
      </c>
      <c r="V17" s="78">
        <f t="shared" si="11"/>
        <v>7.9601990049751242E-2</v>
      </c>
      <c r="W17" s="71">
        <f>'Water Reading'!J17-'Water Reading'!J16</f>
        <v>7</v>
      </c>
      <c r="X17" s="78">
        <f t="shared" si="12"/>
        <v>1.7412935323383085E-2</v>
      </c>
      <c r="Y17" s="53">
        <f t="shared" si="0"/>
        <v>407</v>
      </c>
      <c r="Z17" s="54">
        <f t="shared" si="1"/>
        <v>1</v>
      </c>
      <c r="AA17" s="53">
        <f>'Water Reading'!S17-'Water Reading'!S16</f>
        <v>110</v>
      </c>
      <c r="AB17" s="54">
        <f t="shared" si="13"/>
        <v>0.27363184079601988</v>
      </c>
    </row>
    <row r="18" spans="1:28" x14ac:dyDescent="0.25">
      <c r="A18" s="6">
        <f>'Water Reading'!A17</f>
        <v>44972</v>
      </c>
      <c r="B18" s="52">
        <f>TOTAL!I16</f>
        <v>395</v>
      </c>
      <c r="C18" s="53">
        <f>('Water Reading'!B18-'Water Reading'!B17)+('Water Reading'!C18-'Water Reading'!C17)</f>
        <v>401</v>
      </c>
      <c r="D18" s="54">
        <f t="shared" si="2"/>
        <v>1.0151898734177216</v>
      </c>
      <c r="E18" s="68">
        <f>'Water Reading'!H18-'Water Reading'!H17</f>
        <v>29</v>
      </c>
      <c r="F18" s="69">
        <f t="shared" si="3"/>
        <v>7.2319201995012475E-2</v>
      </c>
      <c r="G18" s="73">
        <f>('Water Reading'!D18-'Water Reading'!D17)-('Water Reading'!R18-'Water Reading'!R17)-('Water Reading'!Q18-'Water Reading'!Q17)</f>
        <v>215</v>
      </c>
      <c r="H18" s="69">
        <f t="shared" si="4"/>
        <v>0.53615960099750626</v>
      </c>
      <c r="I18" s="70">
        <f>'Water Reading'!P18-'Water Reading'!P17</f>
        <v>11</v>
      </c>
      <c r="J18" s="55">
        <f t="shared" si="5"/>
        <v>2.7431421446384038E-2</v>
      </c>
      <c r="K18" s="71">
        <f>('Water Reading'!I18-'Water Reading'!I17)-('Water Reading'!P18-'Water Reading'!P17)</f>
        <v>4</v>
      </c>
      <c r="L18" s="55">
        <f t="shared" si="6"/>
        <v>9.9750623441396506E-3</v>
      </c>
      <c r="M18" s="70">
        <f>'Water Reading'!R18-'Water Reading'!R17</f>
        <v>5</v>
      </c>
      <c r="N18" s="72">
        <f t="shared" si="7"/>
        <v>1.2468827930174564E-2</v>
      </c>
      <c r="O18" s="70">
        <f>'Water Reading'!Q18-'Water Reading'!Q17</f>
        <v>5</v>
      </c>
      <c r="P18" s="77">
        <f t="shared" si="8"/>
        <v>1.2468827930174564E-2</v>
      </c>
      <c r="Q18" s="71">
        <f>'Water Reading'!F18-'Water Reading'!F17</f>
        <v>29</v>
      </c>
      <c r="R18" s="78">
        <f t="shared" si="9"/>
        <v>7.2319201995012475E-2</v>
      </c>
      <c r="S18" s="70">
        <f>'Water Reading'!E18-'Water Reading'!E17</f>
        <v>67</v>
      </c>
      <c r="T18" s="78">
        <f t="shared" si="10"/>
        <v>0.16708229426433915</v>
      </c>
      <c r="U18" s="70">
        <f>'Water Reading'!G18-'Water Reading'!G17</f>
        <v>24</v>
      </c>
      <c r="V18" s="78">
        <f t="shared" si="11"/>
        <v>5.9850374064837904E-2</v>
      </c>
      <c r="W18" s="71">
        <f>'Water Reading'!J18-'Water Reading'!J17</f>
        <v>6</v>
      </c>
      <c r="X18" s="78">
        <f t="shared" si="12"/>
        <v>1.4962593516209476E-2</v>
      </c>
      <c r="Y18" s="53">
        <f t="shared" si="0"/>
        <v>395</v>
      </c>
      <c r="Z18" s="54">
        <f t="shared" si="1"/>
        <v>1</v>
      </c>
      <c r="AA18" s="53">
        <f>'Water Reading'!S18-'Water Reading'!S17</f>
        <v>0</v>
      </c>
      <c r="AB18" s="54">
        <f t="shared" si="13"/>
        <v>0</v>
      </c>
    </row>
    <row r="19" spans="1:28" x14ac:dyDescent="0.25">
      <c r="A19" s="6">
        <f>'Water Reading'!A18</f>
        <v>44973</v>
      </c>
      <c r="B19" s="52">
        <f>TOTAL!I17</f>
        <v>373</v>
      </c>
      <c r="C19" s="53">
        <f>('Water Reading'!B19-'Water Reading'!B18)+('Water Reading'!C19-'Water Reading'!C18)</f>
        <v>383</v>
      </c>
      <c r="D19" s="54">
        <f t="shared" si="2"/>
        <v>1.0268096514745308</v>
      </c>
      <c r="E19" s="68">
        <f>'Water Reading'!H19-'Water Reading'!H18</f>
        <v>35</v>
      </c>
      <c r="F19" s="69">
        <f t="shared" si="3"/>
        <v>9.1383812010443863E-2</v>
      </c>
      <c r="G19" s="73">
        <f>('Water Reading'!D19-'Water Reading'!D18)-('Water Reading'!R19-'Water Reading'!R18)-('Water Reading'!Q19-'Water Reading'!Q18)</f>
        <v>149</v>
      </c>
      <c r="H19" s="69">
        <f t="shared" si="4"/>
        <v>0.38903394255874674</v>
      </c>
      <c r="I19" s="70">
        <f>'Water Reading'!P19-'Water Reading'!P18</f>
        <v>17</v>
      </c>
      <c r="J19" s="55">
        <f t="shared" si="5"/>
        <v>4.4386422976501305E-2</v>
      </c>
      <c r="K19" s="71">
        <f>('Water Reading'!I19-'Water Reading'!I18)-('Water Reading'!P19-'Water Reading'!P18)</f>
        <v>3</v>
      </c>
      <c r="L19" s="55">
        <f t="shared" si="6"/>
        <v>7.832898172323759E-3</v>
      </c>
      <c r="M19" s="70">
        <f>'Water Reading'!R19-'Water Reading'!R18</f>
        <v>5</v>
      </c>
      <c r="N19" s="72">
        <f t="shared" si="7"/>
        <v>1.3054830287206266E-2</v>
      </c>
      <c r="O19" s="70">
        <f>'Water Reading'!Q19-'Water Reading'!Q18</f>
        <v>9</v>
      </c>
      <c r="P19" s="77">
        <f t="shared" si="8"/>
        <v>2.3498694516971279E-2</v>
      </c>
      <c r="Q19" s="71">
        <f>'Water Reading'!F19-'Water Reading'!F18</f>
        <v>37</v>
      </c>
      <c r="R19" s="78">
        <f t="shared" si="9"/>
        <v>9.6605744125326368E-2</v>
      </c>
      <c r="S19" s="70">
        <f>'Water Reading'!E19-'Water Reading'!E18</f>
        <v>81</v>
      </c>
      <c r="T19" s="78">
        <f t="shared" si="10"/>
        <v>0.21148825065274152</v>
      </c>
      <c r="U19" s="70">
        <f>'Water Reading'!G19-'Water Reading'!G18</f>
        <v>30</v>
      </c>
      <c r="V19" s="78">
        <f t="shared" si="11"/>
        <v>7.8328981723237601E-2</v>
      </c>
      <c r="W19" s="71">
        <f>'Water Reading'!J19-'Water Reading'!J18</f>
        <v>7</v>
      </c>
      <c r="X19" s="78">
        <f t="shared" si="12"/>
        <v>1.8276762402088774E-2</v>
      </c>
      <c r="Y19" s="53">
        <f t="shared" si="0"/>
        <v>373</v>
      </c>
      <c r="Z19" s="54">
        <f t="shared" si="1"/>
        <v>1</v>
      </c>
      <c r="AA19" s="53">
        <f>'Water Reading'!S19-'Water Reading'!S18</f>
        <v>0</v>
      </c>
      <c r="AB19" s="54">
        <f t="shared" si="13"/>
        <v>0</v>
      </c>
    </row>
    <row r="20" spans="1:28" x14ac:dyDescent="0.25">
      <c r="A20" s="6">
        <f>'Water Reading'!A19</f>
        <v>44974</v>
      </c>
      <c r="B20" s="52">
        <f>TOTAL!I18</f>
        <v>375</v>
      </c>
      <c r="C20" s="53">
        <f>('Water Reading'!B20-'Water Reading'!B19)+('Water Reading'!C20-'Water Reading'!C19)</f>
        <v>379</v>
      </c>
      <c r="D20" s="54">
        <f t="shared" si="2"/>
        <v>1.0106666666666666</v>
      </c>
      <c r="E20" s="68">
        <f>'Water Reading'!H20-'Water Reading'!H19</f>
        <v>36</v>
      </c>
      <c r="F20" s="69">
        <f t="shared" si="3"/>
        <v>9.498680738786279E-2</v>
      </c>
      <c r="G20" s="73">
        <f>('Water Reading'!D20-'Water Reading'!D19)-('Water Reading'!R20-'Water Reading'!R19)-('Water Reading'!Q20-'Water Reading'!Q19)</f>
        <v>158</v>
      </c>
      <c r="H20" s="69">
        <f t="shared" si="4"/>
        <v>0.41688654353562005</v>
      </c>
      <c r="I20" s="70">
        <f>'Water Reading'!P20-'Water Reading'!P19</f>
        <v>4</v>
      </c>
      <c r="J20" s="55">
        <f t="shared" si="5"/>
        <v>1.0554089709762533E-2</v>
      </c>
      <c r="K20" s="71">
        <f>('Water Reading'!I20-'Water Reading'!I19)-('Water Reading'!P20-'Water Reading'!P19)</f>
        <v>22</v>
      </c>
      <c r="L20" s="55">
        <f t="shared" si="6"/>
        <v>5.8047493403693931E-2</v>
      </c>
      <c r="M20" s="70">
        <f>'Water Reading'!R20-'Water Reading'!R19</f>
        <v>4</v>
      </c>
      <c r="N20" s="72">
        <f t="shared" si="7"/>
        <v>1.0554089709762533E-2</v>
      </c>
      <c r="O20" s="70">
        <f>'Water Reading'!Q20-'Water Reading'!Q19</f>
        <v>3</v>
      </c>
      <c r="P20" s="77">
        <f t="shared" si="8"/>
        <v>7.9155672823219003E-3</v>
      </c>
      <c r="Q20" s="71">
        <f>'Water Reading'!F20-'Water Reading'!F19</f>
        <v>39</v>
      </c>
      <c r="R20" s="78">
        <f t="shared" si="9"/>
        <v>0.10290237467018469</v>
      </c>
      <c r="S20" s="70">
        <f>'Water Reading'!E20-'Water Reading'!E19</f>
        <v>72</v>
      </c>
      <c r="T20" s="78">
        <f t="shared" si="10"/>
        <v>0.18997361477572558</v>
      </c>
      <c r="U20" s="70">
        <f>'Water Reading'!G20-'Water Reading'!G19</f>
        <v>30</v>
      </c>
      <c r="V20" s="78">
        <f t="shared" si="11"/>
        <v>7.9155672823219003E-2</v>
      </c>
      <c r="W20" s="93">
        <f>'Water Reading'!J20-'Water Reading'!J19</f>
        <v>7</v>
      </c>
      <c r="X20" s="78">
        <f t="shared" si="12"/>
        <v>1.8469656992084433E-2</v>
      </c>
      <c r="Y20" s="53">
        <f t="shared" si="0"/>
        <v>375</v>
      </c>
      <c r="Z20" s="54">
        <f t="shared" si="1"/>
        <v>1</v>
      </c>
      <c r="AA20" s="53">
        <f>'Water Reading'!S20-'Water Reading'!S19</f>
        <v>0</v>
      </c>
      <c r="AB20" s="54">
        <f t="shared" si="13"/>
        <v>0</v>
      </c>
    </row>
    <row r="21" spans="1:28" x14ac:dyDescent="0.25">
      <c r="A21" s="6">
        <f>'Water Reading'!A20</f>
        <v>44975</v>
      </c>
      <c r="B21" s="52">
        <f>TOTAL!I19</f>
        <v>355</v>
      </c>
      <c r="C21" s="53">
        <f>('Water Reading'!B21-'Water Reading'!B20)+('Water Reading'!C21-'Water Reading'!C20)</f>
        <v>370</v>
      </c>
      <c r="D21" s="54">
        <f t="shared" si="2"/>
        <v>1.0422535211267605</v>
      </c>
      <c r="E21" s="68">
        <f>'Water Reading'!H21-'Water Reading'!H20</f>
        <v>31</v>
      </c>
      <c r="F21" s="69">
        <f t="shared" si="3"/>
        <v>8.3783783783783788E-2</v>
      </c>
      <c r="G21" s="73">
        <f>('Water Reading'!D21-'Water Reading'!D20)-('Water Reading'!R21-'Water Reading'!R20)-('Water Reading'!Q21-'Water Reading'!Q20)</f>
        <v>174</v>
      </c>
      <c r="H21" s="69">
        <f t="shared" si="4"/>
        <v>0.4702702702702703</v>
      </c>
      <c r="I21" s="70">
        <f>'Water Reading'!P21-'Water Reading'!P20</f>
        <v>5</v>
      </c>
      <c r="J21" s="55">
        <f t="shared" si="5"/>
        <v>1.3513513513513514E-2</v>
      </c>
      <c r="K21" s="71">
        <f>('Water Reading'!I21-'Water Reading'!I20)-('Water Reading'!P21-'Water Reading'!P20)</f>
        <v>-3</v>
      </c>
      <c r="L21" s="55">
        <f t="shared" si="6"/>
        <v>-8.1081081081081086E-3</v>
      </c>
      <c r="M21" s="70">
        <f>'Water Reading'!R21-'Water Reading'!R20</f>
        <v>4</v>
      </c>
      <c r="N21" s="72">
        <f t="shared" si="7"/>
        <v>1.0810810810810811E-2</v>
      </c>
      <c r="O21" s="70">
        <f>'Water Reading'!Q21-'Water Reading'!Q20</f>
        <v>4</v>
      </c>
      <c r="P21" s="77">
        <f t="shared" si="8"/>
        <v>1.0810810810810811E-2</v>
      </c>
      <c r="Q21" s="71">
        <f>'Water Reading'!F21-'Water Reading'!F20</f>
        <v>26</v>
      </c>
      <c r="R21" s="78">
        <f t="shared" si="9"/>
        <v>7.0270270270270274E-2</v>
      </c>
      <c r="S21" s="70">
        <f>'Water Reading'!E21-'Water Reading'!E20</f>
        <v>79</v>
      </c>
      <c r="T21" s="78">
        <f t="shared" si="10"/>
        <v>0.21351351351351353</v>
      </c>
      <c r="U21" s="70">
        <f>'Water Reading'!G21-'Water Reading'!G20</f>
        <v>28</v>
      </c>
      <c r="V21" s="78">
        <f t="shared" si="11"/>
        <v>7.567567567567568E-2</v>
      </c>
      <c r="W21" s="71">
        <f>'Water Reading'!J21-'Water Reading'!J20</f>
        <v>7</v>
      </c>
      <c r="X21" s="78">
        <f t="shared" si="12"/>
        <v>1.891891891891892E-2</v>
      </c>
      <c r="Y21" s="53">
        <f t="shared" si="0"/>
        <v>355</v>
      </c>
      <c r="Z21" s="54">
        <f t="shared" si="1"/>
        <v>1</v>
      </c>
      <c r="AA21" s="53">
        <f>'Water Reading'!S21-'Water Reading'!S20</f>
        <v>0</v>
      </c>
      <c r="AB21" s="54">
        <f t="shared" si="13"/>
        <v>0</v>
      </c>
    </row>
    <row r="22" spans="1:28" x14ac:dyDescent="0.25">
      <c r="A22" s="6">
        <f>'Water Reading'!A21</f>
        <v>44976</v>
      </c>
      <c r="B22" s="52">
        <f>TOTAL!I20</f>
        <v>338</v>
      </c>
      <c r="C22" s="53">
        <f>('Water Reading'!B22-'Water Reading'!B21)+('Water Reading'!C22-'Water Reading'!C21)</f>
        <v>348</v>
      </c>
      <c r="D22" s="54">
        <f t="shared" si="2"/>
        <v>1.029585798816568</v>
      </c>
      <c r="E22" s="68">
        <f>'Water Reading'!H22-'Water Reading'!H21</f>
        <v>34</v>
      </c>
      <c r="F22" s="69">
        <f t="shared" si="3"/>
        <v>9.7701149425287362E-2</v>
      </c>
      <c r="G22" s="73">
        <f>('Water Reading'!D22-'Water Reading'!D21)-('Water Reading'!R22-'Water Reading'!R21)-('Water Reading'!Q22-'Water Reading'!Q21)</f>
        <v>129</v>
      </c>
      <c r="H22" s="69">
        <f t="shared" si="4"/>
        <v>0.37068965517241381</v>
      </c>
      <c r="I22" s="98">
        <f>'Water Reading'!P22-'Water Reading'!P21</f>
        <v>33</v>
      </c>
      <c r="J22" s="55">
        <f t="shared" si="5"/>
        <v>9.4827586206896547E-2</v>
      </c>
      <c r="K22" s="71">
        <f>('Water Reading'!I22-'Water Reading'!I21)-('Water Reading'!P22-'Water Reading'!P21)</f>
        <v>-9</v>
      </c>
      <c r="L22" s="55">
        <f t="shared" si="6"/>
        <v>-2.5862068965517241E-2</v>
      </c>
      <c r="M22" s="70">
        <f>'Water Reading'!R22-'Water Reading'!R21</f>
        <v>5</v>
      </c>
      <c r="N22" s="72">
        <f t="shared" si="7"/>
        <v>1.4367816091954023E-2</v>
      </c>
      <c r="O22" s="70">
        <f>'Water Reading'!Q22-'Water Reading'!Q21</f>
        <v>4</v>
      </c>
      <c r="P22" s="77">
        <f t="shared" si="8"/>
        <v>1.1494252873563218E-2</v>
      </c>
      <c r="Q22" s="71">
        <f>'Water Reading'!F22-'Water Reading'!F21</f>
        <v>29</v>
      </c>
      <c r="R22" s="78">
        <f t="shared" si="9"/>
        <v>8.3333333333333329E-2</v>
      </c>
      <c r="S22" s="70">
        <f>'Water Reading'!E22-'Water Reading'!E21</f>
        <v>77</v>
      </c>
      <c r="T22" s="78">
        <f t="shared" si="10"/>
        <v>0.22126436781609196</v>
      </c>
      <c r="U22" s="70">
        <f>'Water Reading'!G22-'Water Reading'!G21</f>
        <v>29</v>
      </c>
      <c r="V22" s="78">
        <f t="shared" si="11"/>
        <v>8.3333333333333329E-2</v>
      </c>
      <c r="W22" s="71">
        <f>'Water Reading'!J22-'Water Reading'!J21</f>
        <v>7</v>
      </c>
      <c r="X22" s="78">
        <f t="shared" si="12"/>
        <v>2.0114942528735632E-2</v>
      </c>
      <c r="Y22" s="53">
        <f t="shared" si="0"/>
        <v>338</v>
      </c>
      <c r="Z22" s="54">
        <f t="shared" si="1"/>
        <v>1</v>
      </c>
      <c r="AA22" s="53">
        <f>'Water Reading'!S22-'Water Reading'!S21</f>
        <v>0</v>
      </c>
      <c r="AB22" s="54">
        <f t="shared" si="13"/>
        <v>0</v>
      </c>
    </row>
    <row r="23" spans="1:28" x14ac:dyDescent="0.25">
      <c r="A23" s="6">
        <f>'Water Reading'!A22</f>
        <v>44977</v>
      </c>
      <c r="B23" s="52">
        <f>TOTAL!I21</f>
        <v>0</v>
      </c>
      <c r="C23" s="53">
        <f>('Water Reading'!B23-'Water Reading'!B22)+('Water Reading'!C23-'Water Reading'!C22)</f>
        <v>-86633</v>
      </c>
      <c r="D23" s="54" t="e">
        <f t="shared" si="2"/>
        <v>#DIV/0!</v>
      </c>
      <c r="E23" s="68">
        <f>'Water Reading'!H23-'Water Reading'!H22</f>
        <v>-2429</v>
      </c>
      <c r="F23" s="69">
        <f t="shared" si="3"/>
        <v>2.8037814689552479E-2</v>
      </c>
      <c r="G23" s="73">
        <f>('Water Reading'!D23-'Water Reading'!D22)-('Water Reading'!R23-'Water Reading'!R22)-('Water Reading'!Q23-'Water Reading'!Q22)</f>
        <v>-306159</v>
      </c>
      <c r="H23" s="69">
        <f t="shared" si="4"/>
        <v>3.5339766601641407</v>
      </c>
      <c r="I23" s="98">
        <f>'Water Reading'!P23-'Water Reading'!P22</f>
        <v>-33648</v>
      </c>
      <c r="J23" s="55">
        <f t="shared" si="5"/>
        <v>0.38839703115440999</v>
      </c>
      <c r="K23" s="71">
        <f>('Water Reading'!I23-'Water Reading'!I22)-('Water Reading'!P23-'Water Reading'!P22)</f>
        <v>-47567</v>
      </c>
      <c r="L23" s="55">
        <f t="shared" si="6"/>
        <v>0.5490632899703346</v>
      </c>
      <c r="M23" s="70">
        <f>'Water Reading'!R23-'Water Reading'!R22</f>
        <v>-1232</v>
      </c>
      <c r="N23" s="72">
        <f t="shared" si="7"/>
        <v>1.422090889153094E-2</v>
      </c>
      <c r="O23" s="98">
        <f>'Water Reading'!Q23-'Water Reading'!Q22</f>
        <v>-2626</v>
      </c>
      <c r="P23" s="77">
        <f t="shared" si="8"/>
        <v>3.031177495873397E-2</v>
      </c>
      <c r="Q23" s="71">
        <f>'Water Reading'!F23-'Water Reading'!F22</f>
        <v>-27859</v>
      </c>
      <c r="R23" s="78">
        <f t="shared" si="9"/>
        <v>0.32157491948795491</v>
      </c>
      <c r="S23" s="70">
        <f>'Water Reading'!E23-'Water Reading'!E22</f>
        <v>-290420</v>
      </c>
      <c r="T23" s="78">
        <f t="shared" si="10"/>
        <v>3.3523022404857272</v>
      </c>
      <c r="U23" s="70">
        <f>'Water Reading'!G23-'Water Reading'!G22</f>
        <v>-126149</v>
      </c>
      <c r="V23" s="78">
        <f t="shared" si="11"/>
        <v>1.4561310355176433</v>
      </c>
      <c r="W23" s="71">
        <f>'Water Reading'!J23-'Water Reading'!J22</f>
        <v>-24400</v>
      </c>
      <c r="X23" s="78">
        <f t="shared" si="12"/>
        <v>0.2816478709036972</v>
      </c>
      <c r="Y23" s="53">
        <f t="shared" si="0"/>
        <v>-862489</v>
      </c>
      <c r="Z23" s="54" t="e">
        <f t="shared" si="1"/>
        <v>#DIV/0!</v>
      </c>
      <c r="AA23" s="53">
        <f>'Water Reading'!S23-'Water Reading'!S22</f>
        <v>-68655</v>
      </c>
      <c r="AB23" s="54">
        <f t="shared" si="13"/>
        <v>0.79248092528251357</v>
      </c>
    </row>
    <row r="24" spans="1:28" x14ac:dyDescent="0.25">
      <c r="A24" s="6">
        <f>'Water Reading'!A23</f>
        <v>44978</v>
      </c>
      <c r="B24" s="52">
        <f>TOTAL!I22</f>
        <v>0</v>
      </c>
      <c r="C24" s="53">
        <f>('Water Reading'!B24-'Water Reading'!B23)+('Water Reading'!C24-'Water Reading'!C23)</f>
        <v>0</v>
      </c>
      <c r="D24" s="54" t="e">
        <f t="shared" si="2"/>
        <v>#DIV/0!</v>
      </c>
      <c r="E24" s="68">
        <f>'Water Reading'!H24-'Water Reading'!H23</f>
        <v>0</v>
      </c>
      <c r="F24" s="69" t="e">
        <f t="shared" si="3"/>
        <v>#DIV/0!</v>
      </c>
      <c r="G24" s="73">
        <f>('Water Reading'!D24-'Water Reading'!D23)-('Water Reading'!R24-'Water Reading'!R23)-('Water Reading'!Q24-'Water Reading'!Q23)</f>
        <v>0</v>
      </c>
      <c r="H24" s="69" t="e">
        <f t="shared" si="4"/>
        <v>#DIV/0!</v>
      </c>
      <c r="I24" s="70">
        <f>'Water Reading'!P24-'Water Reading'!P23</f>
        <v>0</v>
      </c>
      <c r="J24" s="55" t="e">
        <f t="shared" si="5"/>
        <v>#DIV/0!</v>
      </c>
      <c r="K24" s="71">
        <f>('Water Reading'!I24-'Water Reading'!I23)-('Water Reading'!P24-'Water Reading'!P23)</f>
        <v>0</v>
      </c>
      <c r="L24" s="55" t="e">
        <f t="shared" si="6"/>
        <v>#DIV/0!</v>
      </c>
      <c r="M24" s="70">
        <f>'Water Reading'!R24-'Water Reading'!R23</f>
        <v>0</v>
      </c>
      <c r="N24" s="72" t="e">
        <f t="shared" si="7"/>
        <v>#DIV/0!</v>
      </c>
      <c r="O24" s="70">
        <f>'Water Reading'!Q24-'Water Reading'!Q23</f>
        <v>0</v>
      </c>
      <c r="P24" s="77" t="e">
        <f t="shared" si="8"/>
        <v>#DIV/0!</v>
      </c>
      <c r="Q24" s="71">
        <f>'Water Reading'!F24-'Water Reading'!F23</f>
        <v>0</v>
      </c>
      <c r="R24" s="78" t="e">
        <f t="shared" si="9"/>
        <v>#DIV/0!</v>
      </c>
      <c r="S24" s="70">
        <f>'Water Reading'!E24-'Water Reading'!E23</f>
        <v>0</v>
      </c>
      <c r="T24" s="78" t="e">
        <f t="shared" si="10"/>
        <v>#DIV/0!</v>
      </c>
      <c r="U24" s="70">
        <f>'Water Reading'!G24-'Water Reading'!G23</f>
        <v>0</v>
      </c>
      <c r="V24" s="78" t="e">
        <f t="shared" si="11"/>
        <v>#DIV/0!</v>
      </c>
      <c r="W24" s="71">
        <f>'Water Reading'!J24-'Water Reading'!J23</f>
        <v>0</v>
      </c>
      <c r="X24" s="78" t="e">
        <f t="shared" si="12"/>
        <v>#DIV/0!</v>
      </c>
      <c r="Y24" s="53">
        <f t="shared" si="0"/>
        <v>0</v>
      </c>
      <c r="Z24" s="54" t="e">
        <f t="shared" si="1"/>
        <v>#DIV/0!</v>
      </c>
      <c r="AA24" s="53">
        <f>'Water Reading'!S24-'Water Reading'!S23</f>
        <v>0</v>
      </c>
      <c r="AB24" s="54" t="e">
        <f t="shared" si="13"/>
        <v>#DIV/0!</v>
      </c>
    </row>
    <row r="25" spans="1:28" x14ac:dyDescent="0.25">
      <c r="A25" s="6">
        <f>'Water Reading'!A24</f>
        <v>44979</v>
      </c>
      <c r="B25" s="52">
        <f>TOTAL!I23</f>
        <v>0</v>
      </c>
      <c r="C25" s="53">
        <f>('Water Reading'!B25-'Water Reading'!B24)+('Water Reading'!C25-'Water Reading'!C24)</f>
        <v>0</v>
      </c>
      <c r="D25" s="54" t="e">
        <f t="shared" si="2"/>
        <v>#DIV/0!</v>
      </c>
      <c r="E25" s="68">
        <f>'Water Reading'!H25-'Water Reading'!H24</f>
        <v>0</v>
      </c>
      <c r="F25" s="69" t="e">
        <f t="shared" si="3"/>
        <v>#DIV/0!</v>
      </c>
      <c r="G25" s="73">
        <f>('Water Reading'!D25-'Water Reading'!D24)-('Water Reading'!R25-'Water Reading'!R24)-('Water Reading'!Q25-'Water Reading'!Q24)</f>
        <v>0</v>
      </c>
      <c r="H25" s="69" t="e">
        <f t="shared" si="4"/>
        <v>#DIV/0!</v>
      </c>
      <c r="I25" s="70">
        <f>'Water Reading'!P25-'Water Reading'!P24</f>
        <v>0</v>
      </c>
      <c r="J25" s="55" t="e">
        <f t="shared" si="5"/>
        <v>#DIV/0!</v>
      </c>
      <c r="K25" s="71">
        <f>('Water Reading'!I25-'Water Reading'!I24)-('Water Reading'!P25-'Water Reading'!P24)</f>
        <v>0</v>
      </c>
      <c r="L25" s="55" t="e">
        <f t="shared" si="6"/>
        <v>#DIV/0!</v>
      </c>
      <c r="M25" s="70">
        <f>'Water Reading'!R25-'Water Reading'!R24</f>
        <v>0</v>
      </c>
      <c r="N25" s="72" t="e">
        <f t="shared" si="7"/>
        <v>#DIV/0!</v>
      </c>
      <c r="O25" s="70">
        <f>'Water Reading'!Q25-'Water Reading'!Q24</f>
        <v>0</v>
      </c>
      <c r="P25" s="77" t="e">
        <f t="shared" si="8"/>
        <v>#DIV/0!</v>
      </c>
      <c r="Q25" s="71">
        <f>'Water Reading'!F25-'Water Reading'!F24</f>
        <v>0</v>
      </c>
      <c r="R25" s="78" t="e">
        <f t="shared" si="9"/>
        <v>#DIV/0!</v>
      </c>
      <c r="S25" s="70">
        <f>'Water Reading'!E25-'Water Reading'!E24</f>
        <v>0</v>
      </c>
      <c r="T25" s="78" t="e">
        <f t="shared" si="10"/>
        <v>#DIV/0!</v>
      </c>
      <c r="U25" s="70">
        <f>'Water Reading'!G25-'Water Reading'!G24</f>
        <v>0</v>
      </c>
      <c r="V25" s="78" t="e">
        <f t="shared" si="11"/>
        <v>#DIV/0!</v>
      </c>
      <c r="W25" s="93">
        <f>'Water Reading'!J25-'Water Reading'!J24</f>
        <v>0</v>
      </c>
      <c r="X25" s="78" t="e">
        <f t="shared" si="12"/>
        <v>#DIV/0!</v>
      </c>
      <c r="Y25" s="53">
        <f t="shared" si="0"/>
        <v>0</v>
      </c>
      <c r="Z25" s="54" t="e">
        <f t="shared" si="1"/>
        <v>#DIV/0!</v>
      </c>
      <c r="AA25" s="53">
        <f>'Water Reading'!S25-'Water Reading'!S24</f>
        <v>0</v>
      </c>
      <c r="AB25" s="54" t="e">
        <f t="shared" si="13"/>
        <v>#DIV/0!</v>
      </c>
    </row>
    <row r="26" spans="1:28" x14ac:dyDescent="0.25">
      <c r="A26" s="6">
        <f>'Water Reading'!A25</f>
        <v>44980</v>
      </c>
      <c r="B26" s="52">
        <f>TOTAL!I24</f>
        <v>0</v>
      </c>
      <c r="C26" s="53">
        <f>('Water Reading'!B26-'Water Reading'!B25)+('Water Reading'!C26-'Water Reading'!C25)</f>
        <v>0</v>
      </c>
      <c r="D26" s="54" t="e">
        <f t="shared" si="2"/>
        <v>#DIV/0!</v>
      </c>
      <c r="E26" s="68">
        <f>'Water Reading'!H26-'Water Reading'!H25</f>
        <v>0</v>
      </c>
      <c r="F26" s="69" t="e">
        <f t="shared" si="3"/>
        <v>#DIV/0!</v>
      </c>
      <c r="G26" s="73">
        <f>('Water Reading'!D26-'Water Reading'!D25)-('Water Reading'!R26-'Water Reading'!R25)-('Water Reading'!Q26-'Water Reading'!Q25)</f>
        <v>0</v>
      </c>
      <c r="H26" s="69" t="e">
        <f t="shared" si="4"/>
        <v>#DIV/0!</v>
      </c>
      <c r="I26" s="70">
        <f>'Water Reading'!P26-'Water Reading'!P25</f>
        <v>0</v>
      </c>
      <c r="J26" s="55" t="e">
        <f t="shared" si="5"/>
        <v>#DIV/0!</v>
      </c>
      <c r="K26" s="71">
        <f>('Water Reading'!I26-'Water Reading'!I25)-('Water Reading'!P26-'Water Reading'!P25)</f>
        <v>0</v>
      </c>
      <c r="L26" s="55" t="e">
        <f t="shared" si="6"/>
        <v>#DIV/0!</v>
      </c>
      <c r="M26" s="70">
        <f>'Water Reading'!R26-'Water Reading'!R25</f>
        <v>0</v>
      </c>
      <c r="N26" s="72" t="e">
        <f t="shared" si="7"/>
        <v>#DIV/0!</v>
      </c>
      <c r="O26" s="70">
        <f>'Water Reading'!Q26-'Water Reading'!Q25</f>
        <v>0</v>
      </c>
      <c r="P26" s="77" t="e">
        <f t="shared" si="8"/>
        <v>#DIV/0!</v>
      </c>
      <c r="Q26" s="71">
        <f>'Water Reading'!F26-'Water Reading'!F25</f>
        <v>0</v>
      </c>
      <c r="R26" s="78" t="e">
        <f t="shared" si="9"/>
        <v>#DIV/0!</v>
      </c>
      <c r="S26" s="70">
        <f>'Water Reading'!E26-'Water Reading'!E25</f>
        <v>0</v>
      </c>
      <c r="T26" s="78" t="e">
        <f t="shared" si="10"/>
        <v>#DIV/0!</v>
      </c>
      <c r="U26" s="70">
        <f>'Water Reading'!G26-'Water Reading'!G25</f>
        <v>0</v>
      </c>
      <c r="V26" s="78" t="e">
        <f t="shared" si="11"/>
        <v>#DIV/0!</v>
      </c>
      <c r="W26" s="71">
        <f>'Water Reading'!J26-'Water Reading'!J25</f>
        <v>0</v>
      </c>
      <c r="X26" s="78" t="e">
        <f t="shared" si="12"/>
        <v>#DIV/0!</v>
      </c>
      <c r="Y26" s="53">
        <f t="shared" si="0"/>
        <v>0</v>
      </c>
      <c r="Z26" s="54" t="e">
        <f t="shared" si="1"/>
        <v>#DIV/0!</v>
      </c>
      <c r="AA26" s="53">
        <f>'Water Reading'!S26-'Water Reading'!S25</f>
        <v>0</v>
      </c>
      <c r="AB26" s="54" t="e">
        <f t="shared" si="13"/>
        <v>#DIV/0!</v>
      </c>
    </row>
    <row r="27" spans="1:28" x14ac:dyDescent="0.25">
      <c r="A27" s="6">
        <f>'Water Reading'!A26</f>
        <v>44981</v>
      </c>
      <c r="B27" s="52">
        <f>TOTAL!I25</f>
        <v>0</v>
      </c>
      <c r="C27" s="53">
        <f>('Water Reading'!B27-'Water Reading'!B26)+('Water Reading'!C27-'Water Reading'!C26)</f>
        <v>0</v>
      </c>
      <c r="D27" s="54" t="e">
        <f t="shared" si="2"/>
        <v>#DIV/0!</v>
      </c>
      <c r="E27" s="68">
        <f>'Water Reading'!H27-'Water Reading'!H26</f>
        <v>0</v>
      </c>
      <c r="F27" s="69" t="e">
        <f t="shared" si="3"/>
        <v>#DIV/0!</v>
      </c>
      <c r="G27" s="73">
        <f>('Water Reading'!D27-'Water Reading'!D26)-('Water Reading'!R27-'Water Reading'!R26)-('Water Reading'!Q27-'Water Reading'!Q26)</f>
        <v>0</v>
      </c>
      <c r="H27" s="69" t="e">
        <f t="shared" si="4"/>
        <v>#DIV/0!</v>
      </c>
      <c r="I27" s="70">
        <f>'Water Reading'!P27-'Water Reading'!P26</f>
        <v>0</v>
      </c>
      <c r="J27" s="55" t="e">
        <f t="shared" si="5"/>
        <v>#DIV/0!</v>
      </c>
      <c r="K27" s="71">
        <f>('Water Reading'!I27-'Water Reading'!I26)-('Water Reading'!P27-'Water Reading'!P26)</f>
        <v>0</v>
      </c>
      <c r="L27" s="55" t="e">
        <f t="shared" si="6"/>
        <v>#DIV/0!</v>
      </c>
      <c r="M27" s="70">
        <f>'Water Reading'!R27-'Water Reading'!R26</f>
        <v>0</v>
      </c>
      <c r="N27" s="72" t="e">
        <f t="shared" si="7"/>
        <v>#DIV/0!</v>
      </c>
      <c r="O27" s="70">
        <f>'Water Reading'!Q27-'Water Reading'!Q26</f>
        <v>0</v>
      </c>
      <c r="P27" s="77" t="e">
        <f t="shared" si="8"/>
        <v>#DIV/0!</v>
      </c>
      <c r="Q27" s="71">
        <f>'Water Reading'!F27-'Water Reading'!F26</f>
        <v>0</v>
      </c>
      <c r="R27" s="78" t="e">
        <f t="shared" si="9"/>
        <v>#DIV/0!</v>
      </c>
      <c r="S27" s="70">
        <f>'Water Reading'!E27-'Water Reading'!E26</f>
        <v>0</v>
      </c>
      <c r="T27" s="78" t="e">
        <f t="shared" si="10"/>
        <v>#DIV/0!</v>
      </c>
      <c r="U27" s="70">
        <f>'Water Reading'!G27-'Water Reading'!G26</f>
        <v>0</v>
      </c>
      <c r="V27" s="78" t="e">
        <f t="shared" si="11"/>
        <v>#DIV/0!</v>
      </c>
      <c r="W27" s="71">
        <f>'Water Reading'!J27-'Water Reading'!J26</f>
        <v>0</v>
      </c>
      <c r="X27" s="78" t="e">
        <f t="shared" si="12"/>
        <v>#DIV/0!</v>
      </c>
      <c r="Y27" s="53">
        <f t="shared" si="0"/>
        <v>0</v>
      </c>
      <c r="Z27" s="54" t="e">
        <f t="shared" si="1"/>
        <v>#DIV/0!</v>
      </c>
      <c r="AA27" s="53">
        <f>'Water Reading'!S27-'Water Reading'!S26</f>
        <v>0</v>
      </c>
      <c r="AB27" s="54" t="e">
        <f t="shared" si="13"/>
        <v>#DIV/0!</v>
      </c>
    </row>
    <row r="28" spans="1:28" x14ac:dyDescent="0.25">
      <c r="A28" s="6">
        <f>'Water Reading'!A27</f>
        <v>44982</v>
      </c>
      <c r="B28" s="52">
        <f>TOTAL!I26</f>
        <v>0</v>
      </c>
      <c r="C28" s="53">
        <f>('Water Reading'!B28-'Water Reading'!B27)+('Water Reading'!C28-'Water Reading'!C27)</f>
        <v>0</v>
      </c>
      <c r="D28" s="54" t="e">
        <f t="shared" si="2"/>
        <v>#DIV/0!</v>
      </c>
      <c r="E28" s="68">
        <f>'Water Reading'!H28-'Water Reading'!H27</f>
        <v>0</v>
      </c>
      <c r="F28" s="69" t="e">
        <f t="shared" si="3"/>
        <v>#DIV/0!</v>
      </c>
      <c r="G28" s="73">
        <f>('Water Reading'!D28-'Water Reading'!D27)-('Water Reading'!R28-'Water Reading'!R27)-('Water Reading'!Q28-'Water Reading'!Q27)</f>
        <v>0</v>
      </c>
      <c r="H28" s="69" t="e">
        <f t="shared" si="4"/>
        <v>#DIV/0!</v>
      </c>
      <c r="I28" s="70">
        <f>'Water Reading'!P28-'Water Reading'!P27</f>
        <v>0</v>
      </c>
      <c r="J28" s="55" t="e">
        <f t="shared" si="5"/>
        <v>#DIV/0!</v>
      </c>
      <c r="K28" s="93">
        <f>('Water Reading'!I28-'Water Reading'!I27)-('Water Reading'!P28-'Water Reading'!P27)</f>
        <v>0</v>
      </c>
      <c r="L28" s="99" t="e">
        <f t="shared" si="6"/>
        <v>#DIV/0!</v>
      </c>
      <c r="M28" s="70">
        <f>'Water Reading'!R28-'Water Reading'!R27</f>
        <v>0</v>
      </c>
      <c r="N28" s="72" t="e">
        <f t="shared" si="7"/>
        <v>#DIV/0!</v>
      </c>
      <c r="O28" s="70">
        <f>'Water Reading'!Q28-'Water Reading'!Q27</f>
        <v>0</v>
      </c>
      <c r="P28" s="77" t="e">
        <f t="shared" si="8"/>
        <v>#DIV/0!</v>
      </c>
      <c r="Q28" s="93">
        <f>'Water Reading'!F28-'Water Reading'!F27</f>
        <v>0</v>
      </c>
      <c r="R28" s="78" t="e">
        <f t="shared" si="9"/>
        <v>#DIV/0!</v>
      </c>
      <c r="S28" s="70">
        <f>'Water Reading'!E28-'Water Reading'!E27</f>
        <v>0</v>
      </c>
      <c r="T28" s="78" t="e">
        <f t="shared" si="10"/>
        <v>#DIV/0!</v>
      </c>
      <c r="U28" s="70">
        <f>'Water Reading'!G28-'Water Reading'!G27</f>
        <v>0</v>
      </c>
      <c r="V28" s="78" t="e">
        <f t="shared" si="11"/>
        <v>#DIV/0!</v>
      </c>
      <c r="W28" s="71">
        <f>'Water Reading'!J28-'Water Reading'!J27</f>
        <v>0</v>
      </c>
      <c r="X28" s="78" t="e">
        <f t="shared" si="12"/>
        <v>#DIV/0!</v>
      </c>
      <c r="Y28" s="53">
        <f t="shared" si="0"/>
        <v>0</v>
      </c>
      <c r="Z28" s="54" t="e">
        <f t="shared" si="1"/>
        <v>#DIV/0!</v>
      </c>
      <c r="AA28" s="53">
        <f>'Water Reading'!S28-'Water Reading'!S27</f>
        <v>0</v>
      </c>
      <c r="AB28" s="54" t="e">
        <f t="shared" si="13"/>
        <v>#DIV/0!</v>
      </c>
    </row>
    <row r="29" spans="1:28" x14ac:dyDescent="0.25">
      <c r="A29" s="6">
        <f>'Water Reading'!A28</f>
        <v>44983</v>
      </c>
      <c r="B29" s="52">
        <f>TOTAL!I27</f>
        <v>0</v>
      </c>
      <c r="C29" s="53">
        <f>('Water Reading'!B29-'Water Reading'!B28)+('Water Reading'!C29-'Water Reading'!C28)</f>
        <v>0</v>
      </c>
      <c r="D29" s="54" t="e">
        <f t="shared" si="2"/>
        <v>#DIV/0!</v>
      </c>
      <c r="E29" s="68">
        <f>'Water Reading'!H29-'Water Reading'!H28</f>
        <v>0</v>
      </c>
      <c r="F29" s="69" t="e">
        <f t="shared" si="3"/>
        <v>#DIV/0!</v>
      </c>
      <c r="G29" s="73">
        <f>('Water Reading'!D29-'Water Reading'!D28)-('Water Reading'!R29-'Water Reading'!R28)-('Water Reading'!Q29-'Water Reading'!Q28)</f>
        <v>0</v>
      </c>
      <c r="H29" s="69" t="e">
        <f t="shared" si="4"/>
        <v>#DIV/0!</v>
      </c>
      <c r="I29" s="70">
        <f>'Water Reading'!P29-'Water Reading'!P28</f>
        <v>0</v>
      </c>
      <c r="J29" s="55" t="e">
        <f t="shared" si="5"/>
        <v>#DIV/0!</v>
      </c>
      <c r="K29" s="71">
        <f>('Water Reading'!I29-'Water Reading'!I28)-('Water Reading'!P29-'Water Reading'!P28)</f>
        <v>0</v>
      </c>
      <c r="L29" s="55" t="e">
        <f t="shared" si="6"/>
        <v>#DIV/0!</v>
      </c>
      <c r="M29" s="70">
        <f>'Water Reading'!R29-'Water Reading'!R28</f>
        <v>0</v>
      </c>
      <c r="N29" s="72" t="e">
        <f t="shared" si="7"/>
        <v>#DIV/0!</v>
      </c>
      <c r="O29" s="70">
        <f>'Water Reading'!Q29-'Water Reading'!Q28</f>
        <v>0</v>
      </c>
      <c r="P29" s="77" t="e">
        <f t="shared" si="8"/>
        <v>#DIV/0!</v>
      </c>
      <c r="Q29" s="71">
        <f>'Water Reading'!F29-'Water Reading'!F28</f>
        <v>0</v>
      </c>
      <c r="R29" s="78" t="e">
        <f t="shared" si="9"/>
        <v>#DIV/0!</v>
      </c>
      <c r="S29" s="70">
        <f>'Water Reading'!E29-'Water Reading'!E28</f>
        <v>0</v>
      </c>
      <c r="T29" s="78" t="e">
        <f t="shared" si="10"/>
        <v>#DIV/0!</v>
      </c>
      <c r="U29" s="70">
        <f>'Water Reading'!G29-'Water Reading'!G28</f>
        <v>0</v>
      </c>
      <c r="V29" s="78" t="e">
        <f t="shared" si="11"/>
        <v>#DIV/0!</v>
      </c>
      <c r="W29" s="71">
        <f>'Water Reading'!J29-'Water Reading'!J28</f>
        <v>0</v>
      </c>
      <c r="X29" s="78" t="e">
        <f t="shared" si="12"/>
        <v>#DIV/0!</v>
      </c>
      <c r="Y29" s="53">
        <f t="shared" si="0"/>
        <v>0</v>
      </c>
      <c r="Z29" s="54" t="e">
        <f t="shared" si="1"/>
        <v>#DIV/0!</v>
      </c>
      <c r="AA29" s="53">
        <f>'Water Reading'!S29-'Water Reading'!S28</f>
        <v>0</v>
      </c>
      <c r="AB29" s="54" t="e">
        <f t="shared" si="13"/>
        <v>#DIV/0!</v>
      </c>
    </row>
    <row r="30" spans="1:28" x14ac:dyDescent="0.25">
      <c r="A30" s="6">
        <f>'Water Reading'!A29</f>
        <v>44984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Reading'!G30-'Water Reading'!G29</f>
        <v>0</v>
      </c>
      <c r="V30" s="78" t="e">
        <f t="shared" si="11"/>
        <v>#DIV/0!</v>
      </c>
      <c r="W30" s="71">
        <f>'Water Reading'!J30-'Water Reading'!J29</f>
        <v>0</v>
      </c>
      <c r="X30" s="78" t="e">
        <f t="shared" si="12"/>
        <v>#DIV/0!</v>
      </c>
      <c r="Y30" s="53">
        <f t="shared" si="0"/>
        <v>0</v>
      </c>
      <c r="Z30" s="54" t="e">
        <f t="shared" si="1"/>
        <v>#DIV/0!</v>
      </c>
      <c r="AA30" s="53">
        <f>'Water Reading'!S30-'Water Reading'!S29</f>
        <v>0</v>
      </c>
      <c r="AB30" s="54" t="e">
        <f t="shared" si="13"/>
        <v>#DIV/0!</v>
      </c>
    </row>
    <row r="31" spans="1:28" x14ac:dyDescent="0.25">
      <c r="A31" s="6">
        <f>'Water Reading'!A30</f>
        <v>44985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Reading'!G31-'Water Reading'!G30</f>
        <v>0</v>
      </c>
      <c r="V31" s="78" t="e">
        <f t="shared" si="11"/>
        <v>#DIV/0!</v>
      </c>
      <c r="W31" s="71">
        <f>'Water Reading'!J31-'Water Reading'!J30</f>
        <v>0</v>
      </c>
      <c r="X31" s="78" t="e">
        <f t="shared" si="12"/>
        <v>#DIV/0!</v>
      </c>
      <c r="Y31" s="53">
        <f t="shared" si="0"/>
        <v>0</v>
      </c>
      <c r="Z31" s="54" t="e">
        <f t="shared" si="1"/>
        <v>#DIV/0!</v>
      </c>
      <c r="AA31" s="53">
        <f>'Water Reading'!S31-'Water Reading'!S30</f>
        <v>0</v>
      </c>
      <c r="AB31" s="54" t="e">
        <f t="shared" si="13"/>
        <v>#DIV/0!</v>
      </c>
    </row>
    <row r="32" spans="1:28" ht="24" customHeight="1" x14ac:dyDescent="0.25">
      <c r="A32" s="56" t="s">
        <v>39</v>
      </c>
      <c r="B32" s="76">
        <f>SUM(B4:B31)</f>
        <v>6662</v>
      </c>
      <c r="C32" s="60">
        <f>SUM(C4:C31)</f>
        <v>-79878</v>
      </c>
      <c r="D32" s="75">
        <f>C32/B32</f>
        <v>-11.990093065145603</v>
      </c>
      <c r="E32" s="5">
        <f>SUM(E4:E31)</f>
        <v>-1834</v>
      </c>
      <c r="F32" s="74">
        <f>E32/C32</f>
        <v>2.2960014021382608E-2</v>
      </c>
      <c r="G32" s="60">
        <f>SUM(G4:G31)</f>
        <v>-303228</v>
      </c>
      <c r="H32" s="74">
        <f>G32/C32</f>
        <v>3.7961391121460228</v>
      </c>
      <c r="I32" s="5">
        <f>SUM(I4:I31)</f>
        <v>-33374</v>
      </c>
      <c r="J32" s="74">
        <f>I32/C32</f>
        <v>0.41781216354941286</v>
      </c>
      <c r="K32" s="5">
        <f>SUM(K4:K31)</f>
        <v>-47501</v>
      </c>
      <c r="L32" s="74">
        <f>K32/C32</f>
        <v>0.59466937079045545</v>
      </c>
      <c r="M32" s="5">
        <f>SUM(M4:M31)</f>
        <v>-1159</v>
      </c>
      <c r="N32" s="74">
        <f>M32/C32</f>
        <v>1.4509627181451714E-2</v>
      </c>
      <c r="O32" s="5">
        <f>SUM(O4:O31)</f>
        <v>-2526</v>
      </c>
      <c r="P32" s="74">
        <f>O32/C32</f>
        <v>3.1623225418763612E-2</v>
      </c>
      <c r="Q32" s="5">
        <f>SUM(Q4:Q31)</f>
        <v>-27275</v>
      </c>
      <c r="R32" s="74">
        <f>Q32/C32</f>
        <v>0.34145822379128171</v>
      </c>
      <c r="S32" s="60">
        <f>SUM(S4:S31)</f>
        <v>-288985</v>
      </c>
      <c r="T32" s="74">
        <f>S32/C32</f>
        <v>3.6178296902776736</v>
      </c>
      <c r="U32" s="5">
        <f>SUM(U4:U31)</f>
        <v>-125667</v>
      </c>
      <c r="V32" s="74">
        <f>U32/C32</f>
        <v>1.5732366859460678</v>
      </c>
      <c r="W32" s="5">
        <f>SUM(W4:W31)</f>
        <v>-24278</v>
      </c>
      <c r="X32" s="74">
        <f>W32/C32</f>
        <v>0.30393850622198854</v>
      </c>
      <c r="Y32" s="60">
        <f>SUM(Y4:Y31)</f>
        <v>-855827</v>
      </c>
      <c r="Z32" s="74">
        <f t="shared" si="1"/>
        <v>-128.46397478234763</v>
      </c>
      <c r="AA32" s="60">
        <f>SUM(AA4:AA31)</f>
        <v>-67037</v>
      </c>
      <c r="AB32" s="74">
        <f>C32/AA32</f>
        <v>1.1915509345585273</v>
      </c>
    </row>
    <row r="41" spans="25:25" x14ac:dyDescent="0.25">
      <c r="Y41" s="63"/>
    </row>
    <row r="61" spans="4:4" x14ac:dyDescent="0.25">
      <c r="D61" s="57"/>
    </row>
    <row r="62" spans="4:4" x14ac:dyDescent="0.25">
      <c r="D62" s="57"/>
    </row>
    <row r="63" spans="4:4" x14ac:dyDescent="0.25">
      <c r="D63" s="57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</sheetData>
  <mergeCells count="15">
    <mergeCell ref="A2:A3"/>
    <mergeCell ref="B2:B3"/>
    <mergeCell ref="C2:D2"/>
    <mergeCell ref="E2:F2"/>
    <mergeCell ref="I2:J2"/>
    <mergeCell ref="G2:H2"/>
    <mergeCell ref="Q2:R2"/>
    <mergeCell ref="S2:T2"/>
    <mergeCell ref="U2:V2"/>
    <mergeCell ref="K2:L2"/>
    <mergeCell ref="AA2:AB2"/>
    <mergeCell ref="W2:X2"/>
    <mergeCell ref="Y2:Z2"/>
    <mergeCell ref="M2:N2"/>
    <mergeCell ref="O2:P2"/>
  </mergeCells>
  <pageMargins left="0.7" right="0.7" top="0.75" bottom="0.75" header="0.3" footer="0.3"/>
  <pageSetup paperSize="8" scale="65" orientation="landscape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2023-02-20T06:03:13Z</dcterms:modified>
  <cp:category/>
  <cp:contentStatus/>
</cp:coreProperties>
</file>