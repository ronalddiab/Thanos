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 defaultThemeVersion="124226"/>
  <xr:revisionPtr revIDLastSave="0" documentId="8_{08AD98F4-E5D4-4F39-9183-19BF320E9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<sst xmlns="http://schemas.openxmlformats.org/spreadsheetml/2006/main" count="203" uniqueCount="130">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</sst>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G2" sqref="G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4" t="s">
        <v>4</v>
      </c>
      <c r="F1" s="118" t="s">
        <v>5</v>
      </c>
      <c r="G1" s="40" t="s">
        <v>129</v>
      </c>
      <c r="H1" s="119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122">
        <v>2021</v>
      </c>
      <c r="E2" s="107">
        <v>19540</v>
      </c>
      <c r="F2" s="123">
        <v>0.15</v>
      </c>
      <c r="G2" s="107">
        <v>5180</v>
      </c>
      <c r="H2" s="120">
        <v>0.5927</v>
      </c>
      <c r="I2" s="63">
        <v>207</v>
      </c>
      <c r="J2" s="73">
        <v>1.133</v>
      </c>
      <c r="K2" s="104"/>
      <c r="L2" s="73">
        <v>0.91839999999999999</v>
      </c>
      <c r="M2" s="69">
        <v>13</v>
      </c>
      <c r="N2" s="69">
        <v>33</v>
      </c>
      <c r="O2" s="69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122">
        <v>2021</v>
      </c>
      <c r="E3" s="107">
        <v>19840</v>
      </c>
      <c r="F3" s="123">
        <v>0.15</v>
      </c>
      <c r="G3" s="107">
        <v>5506</v>
      </c>
      <c r="H3" s="120">
        <v>0.5927</v>
      </c>
      <c r="I3" s="63">
        <v>175</v>
      </c>
      <c r="J3" s="73">
        <v>1.133</v>
      </c>
      <c r="K3" s="104"/>
      <c r="L3" s="73">
        <v>0.91839999999999999</v>
      </c>
      <c r="M3" s="69">
        <v>12</v>
      </c>
      <c r="N3" s="69">
        <v>31</v>
      </c>
      <c r="O3" s="69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122">
        <v>2021</v>
      </c>
      <c r="E4" s="107">
        <v>21430</v>
      </c>
      <c r="F4" s="123">
        <v>0.15</v>
      </c>
      <c r="G4" s="107">
        <v>5712</v>
      </c>
      <c r="H4" s="120">
        <v>0.5927</v>
      </c>
      <c r="I4" s="63">
        <v>189</v>
      </c>
      <c r="J4" s="73">
        <v>1.133</v>
      </c>
      <c r="K4" s="104"/>
      <c r="L4" s="73">
        <v>0.91839999999999999</v>
      </c>
      <c r="M4" s="69">
        <v>10</v>
      </c>
      <c r="N4" s="69">
        <v>22</v>
      </c>
      <c r="O4" s="69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122">
        <v>2021</v>
      </c>
      <c r="E5" s="107">
        <v>20760</v>
      </c>
      <c r="F5" s="123">
        <v>0.15</v>
      </c>
      <c r="G5" s="107">
        <v>5686</v>
      </c>
      <c r="H5" s="120">
        <v>0.5927</v>
      </c>
      <c r="I5" s="63">
        <v>183</v>
      </c>
      <c r="J5" s="73">
        <v>1.133</v>
      </c>
      <c r="K5" s="104">
        <v>1080</v>
      </c>
      <c r="L5" s="73">
        <v>0.91839999999999999</v>
      </c>
      <c r="M5" s="69">
        <v>9</v>
      </c>
      <c r="N5" s="69">
        <v>24</v>
      </c>
      <c r="O5" s="69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122">
        <v>2021</v>
      </c>
      <c r="E6" s="107">
        <v>21430</v>
      </c>
      <c r="F6" s="123">
        <v>0.15</v>
      </c>
      <c r="G6" s="107">
        <v>5656</v>
      </c>
      <c r="H6" s="120">
        <v>0.5927</v>
      </c>
      <c r="I6" s="63">
        <v>254</v>
      </c>
      <c r="J6" s="73">
        <v>1.133</v>
      </c>
      <c r="K6" s="104"/>
      <c r="L6" s="73">
        <v>0.91839999999999999</v>
      </c>
      <c r="M6" s="69">
        <v>9</v>
      </c>
      <c r="N6" s="69">
        <v>25</v>
      </c>
      <c r="O6" s="69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122">
        <v>2021</v>
      </c>
      <c r="E7" s="107">
        <v>21870</v>
      </c>
      <c r="F7" s="123">
        <v>0.15</v>
      </c>
      <c r="G7" s="107">
        <v>5908</v>
      </c>
      <c r="H7" s="120">
        <v>0.5927</v>
      </c>
      <c r="I7" s="63">
        <v>237</v>
      </c>
      <c r="J7" s="73">
        <v>1.133</v>
      </c>
      <c r="K7" s="104"/>
      <c r="L7" s="73">
        <v>0.91839999999999999</v>
      </c>
      <c r="M7" s="69">
        <v>10</v>
      </c>
      <c r="N7" s="69">
        <v>35</v>
      </c>
      <c r="O7" s="69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122">
        <v>2021</v>
      </c>
      <c r="E8" s="107">
        <v>20700</v>
      </c>
      <c r="F8" s="123">
        <v>0.15</v>
      </c>
      <c r="G8" s="107">
        <v>5756</v>
      </c>
      <c r="H8" s="120">
        <v>0.5927</v>
      </c>
      <c r="I8" s="63">
        <v>246</v>
      </c>
      <c r="J8" s="73">
        <v>1.133</v>
      </c>
      <c r="K8" s="104"/>
      <c r="L8" s="73">
        <v>0.91839999999999999</v>
      </c>
      <c r="M8" s="69">
        <v>12</v>
      </c>
      <c r="N8" s="69">
        <v>38</v>
      </c>
      <c r="O8" s="69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122">
        <v>2021</v>
      </c>
      <c r="E9" s="107">
        <v>21320</v>
      </c>
      <c r="F9" s="123">
        <v>0.15</v>
      </c>
      <c r="G9" s="107">
        <v>5920</v>
      </c>
      <c r="H9" s="120">
        <v>0.5927</v>
      </c>
      <c r="I9" s="63">
        <v>265</v>
      </c>
      <c r="J9" s="73">
        <v>1.133</v>
      </c>
      <c r="K9" s="104"/>
      <c r="L9" s="73">
        <v>0.91839999999999999</v>
      </c>
      <c r="M9" s="69">
        <v>12</v>
      </c>
      <c r="N9" s="69">
        <v>38</v>
      </c>
      <c r="O9" s="69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122">
        <v>2021</v>
      </c>
      <c r="E10" s="107">
        <v>23230</v>
      </c>
      <c r="F10" s="123">
        <v>0.15</v>
      </c>
      <c r="G10" s="107">
        <v>6302</v>
      </c>
      <c r="H10" s="120">
        <v>0.5927</v>
      </c>
      <c r="I10" s="63">
        <v>272</v>
      </c>
      <c r="J10" s="73">
        <v>1.133</v>
      </c>
      <c r="K10" s="104">
        <v>1080</v>
      </c>
      <c r="L10" s="73">
        <v>0.91839999999999999</v>
      </c>
      <c r="M10" s="69">
        <v>16</v>
      </c>
      <c r="N10" s="69">
        <v>42</v>
      </c>
      <c r="O10" s="69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122">
        <v>2021</v>
      </c>
      <c r="E11" s="107">
        <v>20830</v>
      </c>
      <c r="F11" s="123">
        <v>0.15</v>
      </c>
      <c r="G11" s="107">
        <v>5410</v>
      </c>
      <c r="H11" s="120">
        <v>0.5927</v>
      </c>
      <c r="I11" s="63">
        <v>223</v>
      </c>
      <c r="J11" s="73">
        <v>1.133</v>
      </c>
      <c r="K11" s="104"/>
      <c r="L11" s="73">
        <v>0.91839999999999999</v>
      </c>
      <c r="M11" s="69">
        <v>20</v>
      </c>
      <c r="N11" s="69">
        <v>53</v>
      </c>
      <c r="O11" s="69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122">
        <v>2021</v>
      </c>
      <c r="E12" s="107">
        <v>22890</v>
      </c>
      <c r="F12" s="123">
        <v>0.15</v>
      </c>
      <c r="G12" s="107">
        <v>6155</v>
      </c>
      <c r="H12" s="120">
        <v>0.5927</v>
      </c>
      <c r="I12" s="63">
        <v>324</v>
      </c>
      <c r="J12" s="73">
        <v>1.133</v>
      </c>
      <c r="K12" s="104"/>
      <c r="L12" s="73">
        <v>0.91839999999999999</v>
      </c>
      <c r="M12" s="69">
        <v>19</v>
      </c>
      <c r="N12" s="69">
        <v>48</v>
      </c>
      <c r="O12" s="69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122">
        <v>2021</v>
      </c>
      <c r="E13" s="107">
        <v>22970</v>
      </c>
      <c r="F13" s="123">
        <v>0.15</v>
      </c>
      <c r="G13" s="107">
        <v>6394</v>
      </c>
      <c r="H13" s="120">
        <v>0.5927</v>
      </c>
      <c r="I13" s="63">
        <v>249</v>
      </c>
      <c r="J13" s="73">
        <v>1.133</v>
      </c>
      <c r="K13" s="104"/>
      <c r="L13" s="73">
        <v>0.91839999999999999</v>
      </c>
      <c r="M13" s="69">
        <v>14</v>
      </c>
      <c r="N13" s="69">
        <v>39</v>
      </c>
      <c r="O13" s="69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122">
        <v>2021</v>
      </c>
      <c r="E14" s="107">
        <v>22000</v>
      </c>
      <c r="F14" s="123">
        <v>0.15</v>
      </c>
      <c r="G14" s="107">
        <v>5992</v>
      </c>
      <c r="H14" s="120">
        <v>0.5927</v>
      </c>
      <c r="I14" s="63">
        <v>265</v>
      </c>
      <c r="J14" s="73">
        <v>1.133</v>
      </c>
      <c r="K14" s="104"/>
      <c r="L14" s="73">
        <v>0.91839999999999999</v>
      </c>
      <c r="M14" s="69">
        <v>18</v>
      </c>
      <c r="N14" s="69">
        <v>47</v>
      </c>
      <c r="O14" s="69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122">
        <v>2021</v>
      </c>
      <c r="E15" s="107">
        <v>24320</v>
      </c>
      <c r="F15" s="123">
        <v>0.15</v>
      </c>
      <c r="G15" s="107">
        <v>6571</v>
      </c>
      <c r="H15" s="120">
        <v>0.5927</v>
      </c>
      <c r="I15" s="63">
        <v>304</v>
      </c>
      <c r="J15" s="73">
        <v>1.133</v>
      </c>
      <c r="K15" s="104">
        <v>1080</v>
      </c>
      <c r="L15" s="73">
        <v>0.91839999999999999</v>
      </c>
      <c r="M15" s="69">
        <v>25</v>
      </c>
      <c r="N15" s="69">
        <v>73</v>
      </c>
      <c r="O15" s="69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122">
        <v>2021</v>
      </c>
      <c r="E16" s="107">
        <v>24410</v>
      </c>
      <c r="F16" s="123">
        <v>0.15</v>
      </c>
      <c r="G16" s="107">
        <v>6627</v>
      </c>
      <c r="H16" s="120">
        <v>0.5927</v>
      </c>
      <c r="I16" s="63">
        <v>254</v>
      </c>
      <c r="J16" s="73">
        <v>1.133</v>
      </c>
      <c r="K16" s="104"/>
      <c r="L16" s="73">
        <v>0.91839999999999999</v>
      </c>
      <c r="M16" s="69">
        <v>29</v>
      </c>
      <c r="N16" s="69">
        <v>86</v>
      </c>
      <c r="O16" s="69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122">
        <v>2021</v>
      </c>
      <c r="E17" s="107">
        <v>23420</v>
      </c>
      <c r="F17" s="123">
        <v>0.15</v>
      </c>
      <c r="G17" s="107">
        <v>6369</v>
      </c>
      <c r="H17" s="120">
        <v>0.5927</v>
      </c>
      <c r="I17" s="63">
        <v>314</v>
      </c>
      <c r="J17" s="73">
        <v>1.133</v>
      </c>
      <c r="K17" s="104"/>
      <c r="L17" s="73">
        <v>0.91839999999999999</v>
      </c>
      <c r="M17" s="69">
        <v>40</v>
      </c>
      <c r="N17" s="69">
        <v>118</v>
      </c>
      <c r="O17" s="69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122">
        <v>2021</v>
      </c>
      <c r="E18" s="107">
        <v>19680</v>
      </c>
      <c r="F18" s="123">
        <v>0.15</v>
      </c>
      <c r="G18" s="107">
        <v>5511</v>
      </c>
      <c r="H18" s="120">
        <v>0.5927</v>
      </c>
      <c r="I18" s="63">
        <v>241</v>
      </c>
      <c r="J18" s="73">
        <v>1.133</v>
      </c>
      <c r="K18" s="104"/>
      <c r="L18" s="73">
        <v>0.91839999999999999</v>
      </c>
      <c r="M18" s="69">
        <v>39</v>
      </c>
      <c r="N18" s="69">
        <v>123</v>
      </c>
      <c r="O18" s="69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122">
        <v>2021</v>
      </c>
      <c r="E19" s="107">
        <v>19530</v>
      </c>
      <c r="F19" s="123">
        <v>0.15</v>
      </c>
      <c r="G19" s="107">
        <v>5348</v>
      </c>
      <c r="H19" s="120">
        <v>0.5927</v>
      </c>
      <c r="I19" s="63">
        <v>263</v>
      </c>
      <c r="J19" s="73">
        <v>1.133</v>
      </c>
      <c r="K19" s="104"/>
      <c r="L19" s="73">
        <v>0.91839999999999999</v>
      </c>
      <c r="M19" s="69">
        <v>42</v>
      </c>
      <c r="N19" s="69">
        <v>128</v>
      </c>
      <c r="O19" s="69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122">
        <v>2021</v>
      </c>
      <c r="E20" s="107">
        <v>22290</v>
      </c>
      <c r="F20" s="123">
        <v>0.15</v>
      </c>
      <c r="G20" s="107">
        <v>5936</v>
      </c>
      <c r="H20" s="120">
        <v>0.5927</v>
      </c>
      <c r="I20" s="63">
        <v>396</v>
      </c>
      <c r="J20" s="73">
        <v>1.133</v>
      </c>
      <c r="K20" s="104">
        <v>1080</v>
      </c>
      <c r="L20" s="73">
        <v>0.91839999999999999</v>
      </c>
      <c r="M20" s="69">
        <v>46</v>
      </c>
      <c r="N20" s="69">
        <v>135</v>
      </c>
      <c r="O20" s="69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122">
        <v>2021</v>
      </c>
      <c r="E21" s="107">
        <v>24240</v>
      </c>
      <c r="F21" s="123">
        <v>0.15</v>
      </c>
      <c r="G21" s="107">
        <v>6717</v>
      </c>
      <c r="H21" s="120">
        <v>0.5927</v>
      </c>
      <c r="I21" s="63">
        <v>204</v>
      </c>
      <c r="J21" s="73">
        <v>1.133</v>
      </c>
      <c r="K21" s="104"/>
      <c r="L21" s="73">
        <v>0.91839999999999999</v>
      </c>
      <c r="M21" s="69">
        <v>45</v>
      </c>
      <c r="N21" s="69">
        <v>130</v>
      </c>
      <c r="O21" s="69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122">
        <v>2021</v>
      </c>
      <c r="E22" s="107">
        <v>22790</v>
      </c>
      <c r="F22" s="123">
        <v>0.15</v>
      </c>
      <c r="G22" s="107">
        <v>6422</v>
      </c>
      <c r="H22" s="120">
        <v>0.5927</v>
      </c>
      <c r="I22" s="63">
        <v>309</v>
      </c>
      <c r="J22" s="73">
        <v>1.133</v>
      </c>
      <c r="K22" s="104"/>
      <c r="L22" s="73">
        <v>0.91839999999999999</v>
      </c>
      <c r="M22" s="69">
        <v>47</v>
      </c>
      <c r="N22" s="69">
        <v>130</v>
      </c>
      <c r="O22" s="69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122">
        <v>2021</v>
      </c>
      <c r="E23" s="107">
        <v>22510</v>
      </c>
      <c r="F23" s="123">
        <v>0.15</v>
      </c>
      <c r="G23" s="107">
        <v>6153</v>
      </c>
      <c r="H23" s="120">
        <v>0.5927</v>
      </c>
      <c r="I23" s="63">
        <v>310</v>
      </c>
      <c r="J23" s="73">
        <v>1.133</v>
      </c>
      <c r="K23" s="104"/>
      <c r="L23" s="73">
        <v>0.91839999999999999</v>
      </c>
      <c r="M23" s="69">
        <v>49</v>
      </c>
      <c r="N23" s="69">
        <v>136</v>
      </c>
      <c r="O23" s="69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122">
        <v>2021</v>
      </c>
      <c r="E24" s="107">
        <v>23430</v>
      </c>
      <c r="F24" s="123">
        <v>0.15</v>
      </c>
      <c r="G24" s="107">
        <v>6074</v>
      </c>
      <c r="H24" s="120">
        <v>0.5927</v>
      </c>
      <c r="I24" s="63">
        <v>319</v>
      </c>
      <c r="J24" s="73">
        <v>1.133</v>
      </c>
      <c r="K24" s="104"/>
      <c r="L24" s="73">
        <v>0.91839999999999999</v>
      </c>
      <c r="M24" s="69">
        <v>42</v>
      </c>
      <c r="N24" s="69">
        <v>117</v>
      </c>
      <c r="O24" s="69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122">
        <v>2021</v>
      </c>
      <c r="E25" s="107">
        <v>23450</v>
      </c>
      <c r="F25" s="123">
        <v>0.15</v>
      </c>
      <c r="G25" s="107">
        <v>6676</v>
      </c>
      <c r="H25" s="120">
        <v>0.5927</v>
      </c>
      <c r="I25" s="63">
        <v>351</v>
      </c>
      <c r="J25" s="73">
        <v>1.133</v>
      </c>
      <c r="K25" s="104">
        <v>1080</v>
      </c>
      <c r="L25" s="73">
        <v>0.91839999999999999</v>
      </c>
      <c r="M25" s="69">
        <v>46</v>
      </c>
      <c r="N25" s="69">
        <v>127</v>
      </c>
      <c r="O25" s="69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122">
        <v>2021</v>
      </c>
      <c r="E26" s="107">
        <v>23060</v>
      </c>
      <c r="F26" s="123">
        <v>0.15</v>
      </c>
      <c r="G26" s="107">
        <v>6389</v>
      </c>
      <c r="H26" s="120">
        <v>0.5927</v>
      </c>
      <c r="I26" s="63">
        <v>383</v>
      </c>
      <c r="J26" s="73">
        <v>1.133</v>
      </c>
      <c r="K26" s="104"/>
      <c r="L26" s="73">
        <v>0.91839999999999999</v>
      </c>
      <c r="M26" s="69">
        <v>43</v>
      </c>
      <c r="N26" s="69">
        <v>109</v>
      </c>
      <c r="O26" s="69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122">
        <v>2021</v>
      </c>
      <c r="E27" s="107">
        <v>22580</v>
      </c>
      <c r="F27" s="123">
        <v>0.15</v>
      </c>
      <c r="G27" s="107">
        <v>5977</v>
      </c>
      <c r="H27" s="120">
        <v>0.5927</v>
      </c>
      <c r="I27" s="63">
        <v>257</v>
      </c>
      <c r="J27" s="73">
        <v>1.133</v>
      </c>
      <c r="K27" s="104">
        <v>1080</v>
      </c>
      <c r="L27" s="73">
        <v>0.91839999999999999</v>
      </c>
      <c r="M27" s="69">
        <v>50</v>
      </c>
      <c r="N27" s="69">
        <v>128</v>
      </c>
      <c r="O27" s="69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122">
        <v>2021</v>
      </c>
      <c r="E28" s="107">
        <v>22250</v>
      </c>
      <c r="F28" s="123">
        <v>0.15</v>
      </c>
      <c r="G28" s="107">
        <v>6103</v>
      </c>
      <c r="H28" s="120">
        <v>0.5927</v>
      </c>
      <c r="I28" s="63">
        <v>285</v>
      </c>
      <c r="J28" s="73">
        <v>1.133</v>
      </c>
      <c r="K28" s="104"/>
      <c r="L28" s="73">
        <v>0.91839999999999999</v>
      </c>
      <c r="M28" s="69">
        <v>48</v>
      </c>
      <c r="N28" s="69">
        <v>125</v>
      </c>
      <c r="O28" s="69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122">
        <v>2021</v>
      </c>
      <c r="E29" s="107">
        <v>23330</v>
      </c>
      <c r="F29" s="123">
        <v>0.15</v>
      </c>
      <c r="G29" s="107">
        <v>6251</v>
      </c>
      <c r="H29" s="120">
        <v>0.5927</v>
      </c>
      <c r="I29" s="63">
        <v>336</v>
      </c>
      <c r="J29" s="73">
        <v>1.133</v>
      </c>
      <c r="K29" s="104"/>
      <c r="L29" s="73">
        <v>0.91839999999999999</v>
      </c>
      <c r="M29" s="69">
        <v>39</v>
      </c>
      <c r="N29" s="69">
        <v>108</v>
      </c>
      <c r="O29" s="69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122">
        <v>2021</v>
      </c>
      <c r="E30" s="107">
        <v>23740</v>
      </c>
      <c r="F30" s="123">
        <v>0.15</v>
      </c>
      <c r="G30" s="107">
        <v>6041</v>
      </c>
      <c r="H30" s="120">
        <v>0.5927</v>
      </c>
      <c r="I30" s="63">
        <v>315</v>
      </c>
      <c r="J30" s="73">
        <v>1.133</v>
      </c>
      <c r="K30" s="104"/>
      <c r="L30" s="73">
        <v>0.91839999999999999</v>
      </c>
      <c r="M30" s="69">
        <v>42</v>
      </c>
      <c r="N30" s="69">
        <v>115</v>
      </c>
      <c r="O30" s="69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122">
        <v>2021</v>
      </c>
      <c r="E31" s="103"/>
      <c r="F31" s="123">
        <v>0.15</v>
      </c>
      <c r="G31" s="103"/>
      <c r="H31" s="120">
        <v>0.5927</v>
      </c>
      <c r="I31" s="63"/>
      <c r="J31" s="73">
        <v>1.133</v>
      </c>
      <c r="K31" s="104"/>
      <c r="L31" s="73">
        <v>0.91839999999999999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122">
        <v>2021</v>
      </c>
      <c r="E32" s="103"/>
      <c r="F32" s="123">
        <v>0.15</v>
      </c>
      <c r="G32" s="103"/>
      <c r="H32" s="120">
        <v>0.5927</v>
      </c>
      <c r="I32" s="63"/>
      <c r="J32" s="73">
        <v>1.133</v>
      </c>
      <c r="K32" s="104"/>
      <c r="L32" s="73">
        <v>0.91839999999999999</v>
      </c>
      <c r="M32" s="69"/>
      <c r="N32" s="69"/>
      <c r="O32" s="69"/>
    </row>
    <row r="33" spans="1:15" ht="18.75" customHeight="1" x14ac:dyDescent="0.2">
      <c r="A33" s="125" t="s">
        <v>52</v>
      </c>
      <c r="B33" s="125"/>
      <c r="C33" s="125"/>
      <c r="D33" s="125"/>
      <c r="E33" s="121">
        <f>SUM(E2:E32)</f>
        <v>643840</v>
      </c>
      <c r="F33" s="100">
        <v>0</v>
      </c>
      <c r="G33" s="121">
        <f>SUM(G2:G32)</f>
        <v>174742</v>
      </c>
      <c r="H33" s="98">
        <v>0</v>
      </c>
      <c r="I33" s="99">
        <f>SUM(I2:I32)</f>
        <v>7930</v>
      </c>
      <c r="J33" s="100">
        <v>0</v>
      </c>
      <c r="K33" s="101">
        <f>SUM(K2:K32)</f>
        <v>6480</v>
      </c>
      <c r="L33" s="98">
        <v>0</v>
      </c>
      <c r="M33" s="102">
        <f t="shared" ref="M33:O33" si="1">SUM(M2:M32)</f>
        <v>846</v>
      </c>
      <c r="N33" s="102">
        <f t="shared" si="1"/>
        <v>2363</v>
      </c>
      <c r="O33" s="102">
        <f t="shared" si="1"/>
        <v>6197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4"/>
      <c r="V1" s="74"/>
    </row>
    <row r="2" spans="1:25" s="17" customFormat="1" ht="33" customHeight="1" x14ac:dyDescent="0.25">
      <c r="A2" s="28" t="s">
        <v>2</v>
      </c>
      <c r="B2" s="133" t="s">
        <v>126</v>
      </c>
      <c r="C2" s="133" t="s">
        <v>11</v>
      </c>
      <c r="D2" s="133" t="s">
        <v>12</v>
      </c>
      <c r="E2" s="133" t="s">
        <v>13</v>
      </c>
      <c r="F2" s="133" t="s">
        <v>14</v>
      </c>
      <c r="G2" s="128" t="s">
        <v>15</v>
      </c>
      <c r="H2" s="130" t="s">
        <v>16</v>
      </c>
      <c r="I2" s="133" t="s">
        <v>17</v>
      </c>
      <c r="J2" s="135" t="s">
        <v>18</v>
      </c>
      <c r="K2" s="136"/>
      <c r="L2" s="137"/>
      <c r="M2" s="128" t="s">
        <v>19</v>
      </c>
      <c r="N2" s="130" t="s">
        <v>20</v>
      </c>
      <c r="O2" s="131" t="s">
        <v>21</v>
      </c>
      <c r="P2" s="130" t="s">
        <v>22</v>
      </c>
      <c r="Q2" s="138" t="s">
        <v>23</v>
      </c>
      <c r="R2" s="133" t="s">
        <v>24</v>
      </c>
      <c r="S2" s="133" t="s">
        <v>25</v>
      </c>
      <c r="T2" s="133" t="s">
        <v>26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4"/>
      <c r="C3" s="134"/>
      <c r="D3" s="134"/>
      <c r="E3" s="134"/>
      <c r="F3" s="134"/>
      <c r="G3" s="129"/>
      <c r="H3" s="130"/>
      <c r="I3" s="13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9"/>
      <c r="R3" s="134"/>
      <c r="S3" s="134"/>
      <c r="T3" s="134"/>
      <c r="V3" s="140"/>
      <c r="W3" s="140"/>
      <c r="X3" s="140"/>
    </row>
    <row r="4" spans="1:25" ht="21" customHeight="1" x14ac:dyDescent="0.25">
      <c r="A4" s="8">
        <v>44470</v>
      </c>
      <c r="B4" s="109">
        <v>1.1052999999999999</v>
      </c>
      <c r="C4" s="110">
        <v>251.99</v>
      </c>
      <c r="D4" s="110">
        <v>7695259.3700000001</v>
      </c>
      <c r="E4" s="110">
        <v>8463720.8399999999</v>
      </c>
      <c r="F4" s="110">
        <v>2.6013999999999999</v>
      </c>
      <c r="G4" s="110">
        <v>822.81</v>
      </c>
      <c r="H4" s="110">
        <v>673.55</v>
      </c>
      <c r="I4" s="110">
        <v>264.14999999999998</v>
      </c>
      <c r="J4" s="110">
        <v>340.26</v>
      </c>
      <c r="K4" s="110">
        <v>366.68</v>
      </c>
      <c r="L4" s="110">
        <v>252.43</v>
      </c>
      <c r="M4" s="110">
        <v>589.02</v>
      </c>
      <c r="N4" s="110">
        <v>539.5</v>
      </c>
      <c r="O4" s="110">
        <v>171.7</v>
      </c>
      <c r="P4" s="110">
        <v>708.43</v>
      </c>
      <c r="Q4" s="110">
        <v>523.95000000000005</v>
      </c>
      <c r="R4" s="110">
        <v>181.76</v>
      </c>
      <c r="S4" s="110">
        <v>126.27</v>
      </c>
      <c r="T4" s="110">
        <v>463.12</v>
      </c>
      <c r="V4" s="106">
        <v>13</v>
      </c>
      <c r="W4" s="106">
        <v>33</v>
      </c>
      <c r="X4" s="106">
        <v>94</v>
      </c>
      <c r="Y4" s="17"/>
    </row>
    <row r="5" spans="1:25" ht="21" customHeight="1" x14ac:dyDescent="0.25">
      <c r="A5" s="8">
        <v>44471</v>
      </c>
      <c r="B5" s="111">
        <v>1.1065</v>
      </c>
      <c r="C5" s="112">
        <v>252.23</v>
      </c>
      <c r="D5" s="112">
        <v>7697169.8899999997</v>
      </c>
      <c r="E5" s="112">
        <v>8465922.1899999995</v>
      </c>
      <c r="F5" s="112">
        <v>2.6036999999999999</v>
      </c>
      <c r="G5" s="112">
        <v>823.6</v>
      </c>
      <c r="H5" s="112">
        <v>674.1</v>
      </c>
      <c r="I5" s="112">
        <v>264.38</v>
      </c>
      <c r="J5" s="112">
        <v>340.48</v>
      </c>
      <c r="K5" s="112">
        <v>366.91</v>
      </c>
      <c r="L5" s="112">
        <v>252.61</v>
      </c>
      <c r="M5" s="112">
        <v>589.76</v>
      </c>
      <c r="N5" s="112">
        <v>540.19000000000005</v>
      </c>
      <c r="O5" s="112">
        <v>171.91</v>
      </c>
      <c r="P5" s="112">
        <v>709.24</v>
      </c>
      <c r="Q5" s="112">
        <v>524.5</v>
      </c>
      <c r="R5" s="112">
        <v>182</v>
      </c>
      <c r="S5" s="112">
        <v>126.39</v>
      </c>
      <c r="T5" s="112">
        <v>463.38</v>
      </c>
      <c r="V5" s="106">
        <v>12</v>
      </c>
      <c r="W5" s="106">
        <v>31</v>
      </c>
      <c r="X5" s="106">
        <v>84</v>
      </c>
      <c r="Y5" s="17"/>
    </row>
    <row r="6" spans="1:25" ht="21" customHeight="1" x14ac:dyDescent="0.25">
      <c r="A6" s="8">
        <v>44472</v>
      </c>
      <c r="B6" s="111">
        <v>1.1075999999999999</v>
      </c>
      <c r="C6" s="112">
        <v>252.46</v>
      </c>
      <c r="D6" s="112">
        <v>7699233.7199999997</v>
      </c>
      <c r="E6" s="112">
        <v>8468540.9600000009</v>
      </c>
      <c r="F6" s="112">
        <v>2.6059000000000001</v>
      </c>
      <c r="G6" s="112">
        <v>824.45</v>
      </c>
      <c r="H6" s="112">
        <v>674.7</v>
      </c>
      <c r="I6" s="112">
        <v>264.63</v>
      </c>
      <c r="J6" s="112">
        <v>340.67</v>
      </c>
      <c r="K6" s="112">
        <v>367.14</v>
      </c>
      <c r="L6" s="112">
        <v>252.78</v>
      </c>
      <c r="M6" s="112">
        <v>590.53</v>
      </c>
      <c r="N6" s="112">
        <v>540.95000000000005</v>
      </c>
      <c r="O6" s="112">
        <v>172.11</v>
      </c>
      <c r="P6" s="112">
        <v>710.13</v>
      </c>
      <c r="Q6" s="112">
        <v>525.04</v>
      </c>
      <c r="R6" s="112">
        <v>182.23</v>
      </c>
      <c r="S6" s="112">
        <v>126.5</v>
      </c>
      <c r="T6" s="112">
        <v>463.86</v>
      </c>
      <c r="V6" s="106">
        <v>10</v>
      </c>
      <c r="W6" s="106">
        <v>22</v>
      </c>
      <c r="X6" s="106">
        <v>65</v>
      </c>
      <c r="Y6" s="17"/>
    </row>
    <row r="7" spans="1:25" ht="21" customHeight="1" x14ac:dyDescent="0.25">
      <c r="A7" s="8">
        <v>44473</v>
      </c>
      <c r="B7" s="111">
        <v>1.1089</v>
      </c>
      <c r="C7" s="112">
        <v>252.73</v>
      </c>
      <c r="D7" s="112">
        <v>7701405.2999999998</v>
      </c>
      <c r="E7" s="112">
        <v>8471445.9000000004</v>
      </c>
      <c r="F7" s="112">
        <v>2.6084000000000001</v>
      </c>
      <c r="G7" s="112">
        <v>825.35</v>
      </c>
      <c r="H7" s="112">
        <v>675.39</v>
      </c>
      <c r="I7" s="112">
        <v>264.89</v>
      </c>
      <c r="J7" s="112">
        <v>340.91</v>
      </c>
      <c r="K7" s="112">
        <v>367.36</v>
      </c>
      <c r="L7" s="112">
        <v>252.95</v>
      </c>
      <c r="M7" s="112">
        <v>591.34</v>
      </c>
      <c r="N7" s="112">
        <v>541.76</v>
      </c>
      <c r="O7" s="112">
        <v>172.3</v>
      </c>
      <c r="P7" s="112">
        <v>711.09</v>
      </c>
      <c r="Q7" s="112">
        <v>525.64</v>
      </c>
      <c r="R7" s="112">
        <v>182.46</v>
      </c>
      <c r="S7" s="112">
        <v>126.62</v>
      </c>
      <c r="T7" s="112">
        <v>464.33</v>
      </c>
      <c r="V7" s="106">
        <v>9</v>
      </c>
      <c r="W7" s="106">
        <v>24</v>
      </c>
      <c r="X7" s="106">
        <v>59</v>
      </c>
      <c r="Y7" s="17"/>
    </row>
    <row r="8" spans="1:25" ht="21" customHeight="1" x14ac:dyDescent="0.25">
      <c r="A8" s="8">
        <v>44474</v>
      </c>
      <c r="B8" s="111">
        <v>1.1101000000000001</v>
      </c>
      <c r="C8" s="112">
        <v>252.95</v>
      </c>
      <c r="D8" s="112">
        <v>7703570.7000000002</v>
      </c>
      <c r="E8" s="112">
        <v>8474312.6199999992</v>
      </c>
      <c r="F8" s="112">
        <v>2.6107999999999998</v>
      </c>
      <c r="G8" s="112">
        <v>826.2</v>
      </c>
      <c r="H8" s="112">
        <v>676.12</v>
      </c>
      <c r="I8" s="112">
        <v>265.16000000000003</v>
      </c>
      <c r="J8" s="112">
        <v>341.09</v>
      </c>
      <c r="K8" s="112">
        <v>367.59</v>
      </c>
      <c r="L8" s="112">
        <v>253.11</v>
      </c>
      <c r="M8" s="112">
        <v>592.01</v>
      </c>
      <c r="N8" s="112">
        <v>542.72</v>
      </c>
      <c r="O8" s="112">
        <v>172.49</v>
      </c>
      <c r="P8" s="112">
        <v>712.07</v>
      </c>
      <c r="Q8" s="112">
        <v>526.24</v>
      </c>
      <c r="R8" s="112">
        <v>182.7</v>
      </c>
      <c r="S8" s="112">
        <v>126.74</v>
      </c>
      <c r="T8" s="112">
        <v>464.81</v>
      </c>
      <c r="V8" s="106">
        <v>9</v>
      </c>
      <c r="W8" s="106">
        <v>25</v>
      </c>
      <c r="X8" s="106">
        <v>61</v>
      </c>
      <c r="Y8" s="17"/>
    </row>
    <row r="9" spans="1:25" ht="21" customHeight="1" x14ac:dyDescent="0.25">
      <c r="A9" s="8">
        <v>44475</v>
      </c>
      <c r="B9" s="113">
        <v>1.1113</v>
      </c>
      <c r="C9" s="114">
        <v>253.2</v>
      </c>
      <c r="D9" s="113">
        <v>7705739.96</v>
      </c>
      <c r="E9" s="115">
        <v>8477206.0800000001</v>
      </c>
      <c r="F9" s="114">
        <v>2.6132</v>
      </c>
      <c r="G9" s="113">
        <v>827.05</v>
      </c>
      <c r="H9" s="115">
        <v>676.83</v>
      </c>
      <c r="I9" s="115">
        <v>265.43</v>
      </c>
      <c r="J9" s="112">
        <v>341.31</v>
      </c>
      <c r="K9" s="112">
        <v>367.82</v>
      </c>
      <c r="L9" s="112">
        <v>253.27</v>
      </c>
      <c r="M9" s="112">
        <v>592.67999999999995</v>
      </c>
      <c r="N9" s="112">
        <v>543.25</v>
      </c>
      <c r="O9" s="112">
        <v>172.67</v>
      </c>
      <c r="P9" s="112">
        <v>713.07</v>
      </c>
      <c r="Q9" s="112">
        <v>526.84</v>
      </c>
      <c r="R9" s="112">
        <v>182.95</v>
      </c>
      <c r="S9" s="112">
        <v>126.86</v>
      </c>
      <c r="T9" s="112">
        <v>465.26</v>
      </c>
      <c r="V9" s="106">
        <v>10</v>
      </c>
      <c r="W9" s="106">
        <v>35</v>
      </c>
      <c r="X9" s="106">
        <v>77</v>
      </c>
      <c r="Y9" s="17"/>
    </row>
    <row r="10" spans="1:25" ht="21" customHeight="1" x14ac:dyDescent="0.25">
      <c r="A10" s="8">
        <v>44476</v>
      </c>
      <c r="B10" s="109">
        <v>1.1125</v>
      </c>
      <c r="C10" s="110">
        <v>253.44</v>
      </c>
      <c r="D10" s="110">
        <v>7707965.0899999999</v>
      </c>
      <c r="E10" s="110">
        <v>8480021.1099999994</v>
      </c>
      <c r="F10" s="110">
        <v>2.6156999999999999</v>
      </c>
      <c r="G10" s="110">
        <v>827.89</v>
      </c>
      <c r="H10" s="110">
        <v>677.56</v>
      </c>
      <c r="I10" s="110">
        <v>265.7</v>
      </c>
      <c r="J10" s="112">
        <v>341.53</v>
      </c>
      <c r="K10" s="112">
        <v>368.07</v>
      </c>
      <c r="L10" s="112">
        <v>253.44</v>
      </c>
      <c r="M10" s="112">
        <v>593.39</v>
      </c>
      <c r="N10" s="112">
        <v>544.1</v>
      </c>
      <c r="O10" s="112">
        <v>172.85</v>
      </c>
      <c r="P10" s="112">
        <v>714.05</v>
      </c>
      <c r="Q10" s="112">
        <v>527.49</v>
      </c>
      <c r="R10" s="112">
        <v>183.21</v>
      </c>
      <c r="S10" s="112">
        <v>126.98</v>
      </c>
      <c r="T10" s="112">
        <v>465.73</v>
      </c>
      <c r="V10" s="106">
        <v>12</v>
      </c>
      <c r="W10" s="106">
        <v>38</v>
      </c>
      <c r="X10" s="106">
        <v>80</v>
      </c>
      <c r="Y10" s="17"/>
    </row>
    <row r="11" spans="1:25" ht="21" customHeight="1" x14ac:dyDescent="0.25">
      <c r="A11" s="8">
        <v>44477</v>
      </c>
      <c r="B11" s="111">
        <v>1.1137999999999999</v>
      </c>
      <c r="C11" s="112">
        <v>253.68</v>
      </c>
      <c r="D11" s="112">
        <v>7710052.5099999998</v>
      </c>
      <c r="E11" s="112">
        <v>8482644.2699999996</v>
      </c>
      <c r="F11" s="112">
        <v>2.6181000000000001</v>
      </c>
      <c r="G11" s="112">
        <v>828.74</v>
      </c>
      <c r="H11" s="112">
        <v>678.3</v>
      </c>
      <c r="I11" s="112">
        <v>265.95999999999998</v>
      </c>
      <c r="J11" s="112">
        <v>341.73</v>
      </c>
      <c r="K11" s="112">
        <v>368.26</v>
      </c>
      <c r="L11" s="112">
        <v>253.65</v>
      </c>
      <c r="M11" s="112">
        <v>594.14</v>
      </c>
      <c r="N11" s="112">
        <v>544.97</v>
      </c>
      <c r="O11" s="112">
        <v>173.06</v>
      </c>
      <c r="P11" s="112">
        <v>714.95</v>
      </c>
      <c r="Q11" s="112">
        <v>528.14</v>
      </c>
      <c r="R11" s="112">
        <v>183.41</v>
      </c>
      <c r="S11" s="112">
        <v>127.09</v>
      </c>
      <c r="T11" s="112">
        <v>466.16</v>
      </c>
      <c r="V11" s="106">
        <v>12</v>
      </c>
      <c r="W11" s="106">
        <v>38</v>
      </c>
      <c r="X11" s="106">
        <v>80</v>
      </c>
      <c r="Y11" s="17"/>
    </row>
    <row r="12" spans="1:25" ht="21" customHeight="1" x14ac:dyDescent="0.25">
      <c r="A12" s="8">
        <v>44478</v>
      </c>
      <c r="B12" s="111">
        <v>1.1152</v>
      </c>
      <c r="C12" s="112">
        <v>253.98</v>
      </c>
      <c r="D12" s="112">
        <v>7712122.6600000001</v>
      </c>
      <c r="E12" s="112">
        <v>8485039.9600000009</v>
      </c>
      <c r="F12" s="112">
        <v>2.6206999999999998</v>
      </c>
      <c r="G12" s="112">
        <v>829.6</v>
      </c>
      <c r="H12" s="112">
        <v>679.01</v>
      </c>
      <c r="I12" s="112">
        <v>266.23</v>
      </c>
      <c r="J12" s="112">
        <v>341.87</v>
      </c>
      <c r="K12" s="112">
        <v>368.51</v>
      </c>
      <c r="L12" s="112">
        <v>253.77</v>
      </c>
      <c r="M12" s="112">
        <v>594.88</v>
      </c>
      <c r="N12" s="112">
        <v>545.85</v>
      </c>
      <c r="O12" s="112">
        <v>173.26</v>
      </c>
      <c r="P12" s="112">
        <v>715.86</v>
      </c>
      <c r="Q12" s="112">
        <v>528.77</v>
      </c>
      <c r="R12" s="112">
        <v>183.66</v>
      </c>
      <c r="S12" s="112">
        <v>127.21</v>
      </c>
      <c r="T12" s="112">
        <v>466.44</v>
      </c>
      <c r="V12" s="106">
        <v>16</v>
      </c>
      <c r="W12" s="106">
        <v>42</v>
      </c>
      <c r="X12" s="106">
        <v>103</v>
      </c>
      <c r="Y12" s="17"/>
    </row>
    <row r="13" spans="1:25" ht="21" customHeight="1" x14ac:dyDescent="0.25">
      <c r="A13" s="8">
        <v>44479</v>
      </c>
      <c r="B13" s="111">
        <v>1.1166</v>
      </c>
      <c r="C13" s="112">
        <v>254.23</v>
      </c>
      <c r="D13" s="112">
        <v>7714308.46</v>
      </c>
      <c r="E13" s="112">
        <v>8487989.5199999996</v>
      </c>
      <c r="F13" s="112">
        <v>2.6234999999999999</v>
      </c>
      <c r="G13" s="112">
        <v>830.56</v>
      </c>
      <c r="H13" s="112">
        <v>679.94</v>
      </c>
      <c r="I13" s="112">
        <v>266.51</v>
      </c>
      <c r="J13" s="112">
        <v>342.2</v>
      </c>
      <c r="K13" s="112">
        <v>368.85</v>
      </c>
      <c r="L13" s="112">
        <v>254.01</v>
      </c>
      <c r="M13" s="112">
        <v>595.71</v>
      </c>
      <c r="N13" s="112">
        <v>546.77</v>
      </c>
      <c r="O13" s="112">
        <v>173.48</v>
      </c>
      <c r="P13" s="112">
        <v>716.9</v>
      </c>
      <c r="Q13" s="112">
        <v>529.54</v>
      </c>
      <c r="R13" s="112">
        <v>183.91</v>
      </c>
      <c r="S13" s="112">
        <v>127.33</v>
      </c>
      <c r="T13" s="112">
        <v>466.91</v>
      </c>
      <c r="V13" s="106">
        <v>20</v>
      </c>
      <c r="W13" s="106">
        <v>53</v>
      </c>
      <c r="X13" s="106">
        <v>119</v>
      </c>
      <c r="Y13" s="17"/>
    </row>
    <row r="14" spans="1:25" ht="21" customHeight="1" x14ac:dyDescent="0.25">
      <c r="A14" s="8">
        <v>44480</v>
      </c>
      <c r="B14" s="111">
        <v>1.1177999999999999</v>
      </c>
      <c r="C14" s="112">
        <v>254.43</v>
      </c>
      <c r="D14" s="112">
        <v>7716267.4500000002</v>
      </c>
      <c r="E14" s="112">
        <v>8490741.4900000002</v>
      </c>
      <c r="F14" s="112">
        <v>2.6257000000000001</v>
      </c>
      <c r="G14" s="112">
        <v>831.45</v>
      </c>
      <c r="H14" s="112">
        <v>680.73</v>
      </c>
      <c r="I14" s="112">
        <v>266.77</v>
      </c>
      <c r="J14" s="112">
        <v>342.27</v>
      </c>
      <c r="K14" s="112">
        <v>369.01</v>
      </c>
      <c r="L14" s="112">
        <v>254.16</v>
      </c>
      <c r="M14" s="112">
        <v>596.51</v>
      </c>
      <c r="N14" s="112">
        <v>547.58000000000004</v>
      </c>
      <c r="O14" s="112">
        <v>173.68</v>
      </c>
      <c r="P14" s="112">
        <v>717.8</v>
      </c>
      <c r="Q14" s="112">
        <v>530.05999999999995</v>
      </c>
      <c r="R14" s="112">
        <v>184.13</v>
      </c>
      <c r="S14" s="112">
        <v>127.44</v>
      </c>
      <c r="T14" s="112">
        <v>467.4</v>
      </c>
      <c r="V14" s="106">
        <v>19</v>
      </c>
      <c r="W14" s="106">
        <v>48</v>
      </c>
      <c r="X14" s="106">
        <v>122</v>
      </c>
      <c r="Y14" s="17"/>
    </row>
    <row r="15" spans="1:25" ht="21" customHeight="1" x14ac:dyDescent="0.25">
      <c r="A15" s="8">
        <v>44481</v>
      </c>
      <c r="B15" s="111">
        <v>1.1191</v>
      </c>
      <c r="C15" s="112">
        <v>254.66</v>
      </c>
      <c r="D15" s="112">
        <v>7718414.7199999997</v>
      </c>
      <c r="E15" s="112">
        <v>8493784.1999999993</v>
      </c>
      <c r="F15" s="112">
        <v>2.6284000000000001</v>
      </c>
      <c r="G15" s="112">
        <v>832.31</v>
      </c>
      <c r="H15" s="112">
        <v>681.54</v>
      </c>
      <c r="I15" s="112">
        <v>267.02999999999997</v>
      </c>
      <c r="J15" s="112">
        <v>342.48</v>
      </c>
      <c r="K15" s="112">
        <v>369.26</v>
      </c>
      <c r="L15" s="112">
        <v>254.35</v>
      </c>
      <c r="M15" s="112">
        <v>597.42999999999995</v>
      </c>
      <c r="N15" s="112">
        <v>548.45000000000005</v>
      </c>
      <c r="O15" s="112">
        <v>173.94</v>
      </c>
      <c r="P15" s="112">
        <v>718.81</v>
      </c>
      <c r="Q15" s="112">
        <v>530.6</v>
      </c>
      <c r="R15" s="112">
        <v>184.37</v>
      </c>
      <c r="S15" s="112">
        <v>127.56</v>
      </c>
      <c r="T15" s="112">
        <v>467.89</v>
      </c>
      <c r="V15" s="106">
        <v>14</v>
      </c>
      <c r="W15" s="106">
        <v>39</v>
      </c>
      <c r="X15" s="106">
        <v>96</v>
      </c>
      <c r="Y15" s="17"/>
    </row>
    <row r="16" spans="1:25" ht="21" customHeight="1" x14ac:dyDescent="0.25">
      <c r="A16" s="8">
        <v>44482</v>
      </c>
      <c r="B16" s="111">
        <v>1.1204000000000001</v>
      </c>
      <c r="C16" s="112">
        <v>254.92</v>
      </c>
      <c r="D16" s="112">
        <v>7720650.3899999997</v>
      </c>
      <c r="E16" s="112">
        <v>8496799.0099999998</v>
      </c>
      <c r="F16" s="112">
        <v>2.6309</v>
      </c>
      <c r="G16" s="112">
        <v>833.15</v>
      </c>
      <c r="H16" s="112">
        <v>682.36</v>
      </c>
      <c r="I16" s="112">
        <v>267.31</v>
      </c>
      <c r="J16" s="112">
        <v>342.76</v>
      </c>
      <c r="K16" s="112">
        <v>369.51</v>
      </c>
      <c r="L16" s="112">
        <v>254.53</v>
      </c>
      <c r="M16" s="112">
        <v>598.29999999999995</v>
      </c>
      <c r="N16" s="112">
        <v>549.36</v>
      </c>
      <c r="O16" s="112">
        <v>174.21</v>
      </c>
      <c r="P16" s="112">
        <v>719.88</v>
      </c>
      <c r="Q16" s="112">
        <v>531.21</v>
      </c>
      <c r="R16" s="112">
        <v>184.55</v>
      </c>
      <c r="S16" s="112">
        <v>127.67</v>
      </c>
      <c r="T16" s="112">
        <v>468.4</v>
      </c>
      <c r="V16" s="106">
        <v>18</v>
      </c>
      <c r="W16" s="106">
        <v>47</v>
      </c>
      <c r="X16" s="106">
        <v>112</v>
      </c>
      <c r="Y16" s="17"/>
    </row>
    <row r="17" spans="1:25" ht="21" customHeight="1" x14ac:dyDescent="0.25">
      <c r="A17" s="8">
        <v>44483</v>
      </c>
      <c r="B17" s="111">
        <v>1.1215999999999999</v>
      </c>
      <c r="C17" s="112">
        <v>255.16</v>
      </c>
      <c r="D17" s="112">
        <v>7722753.4800000004</v>
      </c>
      <c r="E17" s="112">
        <v>8499812.7300000004</v>
      </c>
      <c r="F17" s="112">
        <v>2.6335000000000002</v>
      </c>
      <c r="G17" s="112">
        <v>833.93</v>
      </c>
      <c r="H17" s="112">
        <v>683.16</v>
      </c>
      <c r="I17" s="112">
        <v>267.58999999999997</v>
      </c>
      <c r="J17" s="112">
        <v>342.99</v>
      </c>
      <c r="K17" s="112">
        <v>369.78</v>
      </c>
      <c r="L17" s="112">
        <v>254.7</v>
      </c>
      <c r="M17" s="112">
        <v>599.16999999999996</v>
      </c>
      <c r="N17" s="112">
        <v>550.16</v>
      </c>
      <c r="O17" s="112">
        <v>174.51</v>
      </c>
      <c r="P17" s="112">
        <v>720.93</v>
      </c>
      <c r="Q17" s="112">
        <v>531.82000000000005</v>
      </c>
      <c r="R17" s="112">
        <v>184.79</v>
      </c>
      <c r="S17" s="112">
        <v>127.79</v>
      </c>
      <c r="T17" s="112">
        <v>468.9</v>
      </c>
      <c r="V17" s="106">
        <v>25</v>
      </c>
      <c r="W17" s="106">
        <v>73</v>
      </c>
      <c r="X17" s="106">
        <v>203</v>
      </c>
      <c r="Y17" s="17"/>
    </row>
    <row r="18" spans="1:25" ht="21" customHeight="1" x14ac:dyDescent="0.25">
      <c r="A18" s="8">
        <v>44484</v>
      </c>
      <c r="B18" s="111">
        <v>1.1229</v>
      </c>
      <c r="C18" s="112">
        <v>255.4</v>
      </c>
      <c r="D18" s="112">
        <v>7725067.8499999996</v>
      </c>
      <c r="E18" s="112">
        <v>8503335.9000000004</v>
      </c>
      <c r="F18" s="112">
        <v>2.6360999999999999</v>
      </c>
      <c r="G18" s="112">
        <v>834.84</v>
      </c>
      <c r="H18" s="112">
        <v>684</v>
      </c>
      <c r="I18" s="112">
        <v>267.89</v>
      </c>
      <c r="J18" s="112">
        <v>343.29</v>
      </c>
      <c r="K18" s="112">
        <v>370.05</v>
      </c>
      <c r="L18" s="112">
        <v>254.91</v>
      </c>
      <c r="M18" s="112">
        <v>600.12</v>
      </c>
      <c r="N18" s="112">
        <v>551.15</v>
      </c>
      <c r="O18" s="112">
        <v>174.79</v>
      </c>
      <c r="P18" s="112">
        <v>722.08</v>
      </c>
      <c r="Q18" s="112">
        <v>532.6</v>
      </c>
      <c r="R18" s="112">
        <v>185.04</v>
      </c>
      <c r="S18" s="112">
        <v>127.9</v>
      </c>
      <c r="T18" s="112">
        <v>469.37</v>
      </c>
      <c r="V18" s="106">
        <v>29</v>
      </c>
      <c r="W18" s="106">
        <v>86</v>
      </c>
      <c r="X18" s="106">
        <v>228</v>
      </c>
      <c r="Y18" s="17"/>
    </row>
    <row r="19" spans="1:25" ht="21" customHeight="1" x14ac:dyDescent="0.25">
      <c r="A19" s="8">
        <v>44485</v>
      </c>
      <c r="B19" s="111">
        <v>1.1249</v>
      </c>
      <c r="C19" s="112">
        <v>255.69</v>
      </c>
      <c r="D19" s="112">
        <v>7727456.1100000003</v>
      </c>
      <c r="E19" s="112">
        <v>8506580.3100000005</v>
      </c>
      <c r="F19" s="112">
        <v>2.6387999999999998</v>
      </c>
      <c r="G19" s="112">
        <v>835.79</v>
      </c>
      <c r="H19" s="112">
        <v>684.87</v>
      </c>
      <c r="I19" s="112">
        <v>268.2</v>
      </c>
      <c r="J19" s="112">
        <v>343.51</v>
      </c>
      <c r="K19" s="112">
        <v>370.28</v>
      </c>
      <c r="L19" s="112">
        <v>255.1</v>
      </c>
      <c r="M19" s="112">
        <v>601.04999999999995</v>
      </c>
      <c r="N19" s="112">
        <v>552.17999999999995</v>
      </c>
      <c r="O19" s="112">
        <v>175.09</v>
      </c>
      <c r="P19" s="112">
        <v>723.33</v>
      </c>
      <c r="Q19" s="112">
        <v>533.45000000000005</v>
      </c>
      <c r="R19" s="112">
        <v>185.27</v>
      </c>
      <c r="S19" s="112">
        <v>128.01</v>
      </c>
      <c r="T19" s="112">
        <v>469.66</v>
      </c>
      <c r="V19" s="106">
        <v>40</v>
      </c>
      <c r="W19" s="106">
        <v>118</v>
      </c>
      <c r="X19" s="106">
        <v>261</v>
      </c>
      <c r="Y19" s="17"/>
    </row>
    <row r="20" spans="1:25" ht="21" customHeight="1" x14ac:dyDescent="0.25">
      <c r="A20" s="8">
        <v>44486</v>
      </c>
      <c r="B20" s="111">
        <v>1.1253</v>
      </c>
      <c r="C20" s="112">
        <v>255.98</v>
      </c>
      <c r="D20" s="112">
        <v>7729856.3200000003</v>
      </c>
      <c r="E20" s="112">
        <v>8510058.8599999994</v>
      </c>
      <c r="F20" s="112">
        <v>2.6417000000000002</v>
      </c>
      <c r="G20" s="112">
        <v>836.77</v>
      </c>
      <c r="H20" s="112">
        <v>685.75</v>
      </c>
      <c r="I20" s="112">
        <v>268.45</v>
      </c>
      <c r="J20" s="112">
        <v>343.95</v>
      </c>
      <c r="K20" s="112">
        <v>370.67</v>
      </c>
      <c r="L20" s="112">
        <v>255.35</v>
      </c>
      <c r="M20" s="112">
        <v>601.96</v>
      </c>
      <c r="N20" s="112">
        <v>553</v>
      </c>
      <c r="O20" s="112">
        <v>175.39</v>
      </c>
      <c r="P20" s="112">
        <v>724.52</v>
      </c>
      <c r="Q20" s="112">
        <v>534.28</v>
      </c>
      <c r="R20" s="112">
        <v>185.52</v>
      </c>
      <c r="S20" s="112">
        <v>128.13</v>
      </c>
      <c r="T20" s="112">
        <v>470.15</v>
      </c>
      <c r="V20" s="106">
        <v>39</v>
      </c>
      <c r="W20" s="106">
        <v>123</v>
      </c>
      <c r="X20" s="106">
        <v>318</v>
      </c>
      <c r="Y20" s="17"/>
    </row>
    <row r="21" spans="1:25" ht="21" customHeight="1" x14ac:dyDescent="0.25">
      <c r="A21" s="8">
        <v>44487</v>
      </c>
      <c r="B21" s="111">
        <v>1.1262000000000001</v>
      </c>
      <c r="C21" s="112">
        <v>256.22000000000003</v>
      </c>
      <c r="D21" s="112">
        <v>7731473.9299999997</v>
      </c>
      <c r="E21" s="112">
        <v>8512461.5600000005</v>
      </c>
      <c r="F21" s="112">
        <v>2.6442000000000001</v>
      </c>
      <c r="G21" s="112">
        <v>837.43</v>
      </c>
      <c r="H21" s="112">
        <v>686.47</v>
      </c>
      <c r="I21" s="112">
        <v>268.69</v>
      </c>
      <c r="J21" s="112">
        <v>344.26</v>
      </c>
      <c r="K21" s="112">
        <v>370.88</v>
      </c>
      <c r="L21" s="112">
        <v>255.53</v>
      </c>
      <c r="M21" s="112">
        <v>602.62</v>
      </c>
      <c r="N21" s="112">
        <v>553.61</v>
      </c>
      <c r="O21" s="112">
        <v>175.65</v>
      </c>
      <c r="P21" s="112">
        <v>725.41</v>
      </c>
      <c r="Q21" s="112">
        <v>534.91</v>
      </c>
      <c r="R21" s="112">
        <v>185.76</v>
      </c>
      <c r="S21" s="112">
        <v>128.25</v>
      </c>
      <c r="T21" s="112">
        <v>470.64</v>
      </c>
      <c r="V21" s="106">
        <v>42</v>
      </c>
      <c r="W21" s="106">
        <v>128</v>
      </c>
      <c r="X21" s="106">
        <v>319</v>
      </c>
      <c r="Y21" s="17"/>
    </row>
    <row r="22" spans="1:25" ht="21" customHeight="1" x14ac:dyDescent="0.25">
      <c r="A22" s="8">
        <v>44488</v>
      </c>
      <c r="B22" s="111">
        <v>1.1271</v>
      </c>
      <c r="C22" s="112">
        <v>256.49</v>
      </c>
      <c r="D22" s="112">
        <v>7733158.3200000003</v>
      </c>
      <c r="E22" s="112">
        <v>8514811.0999999996</v>
      </c>
      <c r="F22" s="112">
        <v>2.6467999999999998</v>
      </c>
      <c r="G22" s="112">
        <v>838.16</v>
      </c>
      <c r="H22" s="112">
        <v>687.02</v>
      </c>
      <c r="I22" s="112">
        <v>268.89</v>
      </c>
      <c r="J22" s="112">
        <v>344.63</v>
      </c>
      <c r="K22" s="112">
        <v>371.19</v>
      </c>
      <c r="L22" s="112">
        <v>255.73</v>
      </c>
      <c r="M22" s="112">
        <v>603.19000000000005</v>
      </c>
      <c r="N22" s="112">
        <v>554.24</v>
      </c>
      <c r="O22" s="112">
        <v>175.91</v>
      </c>
      <c r="P22" s="112">
        <v>726.15</v>
      </c>
      <c r="Q22" s="112">
        <v>535.54</v>
      </c>
      <c r="R22" s="116">
        <v>186</v>
      </c>
      <c r="S22" s="112">
        <v>128.38</v>
      </c>
      <c r="T22" s="112">
        <v>471.09</v>
      </c>
      <c r="V22" s="106">
        <v>46</v>
      </c>
      <c r="W22" s="106">
        <v>135</v>
      </c>
      <c r="X22" s="106">
        <v>343</v>
      </c>
      <c r="Y22" s="17"/>
    </row>
    <row r="23" spans="1:25" ht="21" customHeight="1" x14ac:dyDescent="0.25">
      <c r="A23" s="8">
        <v>44489</v>
      </c>
      <c r="B23" s="111">
        <v>1.1283000000000001</v>
      </c>
      <c r="C23" s="112">
        <v>256.76</v>
      </c>
      <c r="D23" s="112">
        <v>7735619.25</v>
      </c>
      <c r="E23" s="112">
        <v>8517866.7400000002</v>
      </c>
      <c r="F23" s="112">
        <v>2.6495000000000002</v>
      </c>
      <c r="G23" s="112">
        <v>839.05</v>
      </c>
      <c r="H23" s="112">
        <v>687.81</v>
      </c>
      <c r="I23" s="112">
        <v>269.14</v>
      </c>
      <c r="J23" s="112">
        <v>345.1</v>
      </c>
      <c r="K23" s="112">
        <v>371.59</v>
      </c>
      <c r="L23" s="112">
        <v>255.95</v>
      </c>
      <c r="M23" s="112">
        <v>603.91999999999996</v>
      </c>
      <c r="N23" s="112">
        <v>555.02</v>
      </c>
      <c r="O23" s="112">
        <v>176.16</v>
      </c>
      <c r="P23" s="112">
        <v>727.15</v>
      </c>
      <c r="Q23" s="112">
        <v>536.28</v>
      </c>
      <c r="R23" s="112">
        <v>186.26</v>
      </c>
      <c r="S23" s="112">
        <v>128.52000000000001</v>
      </c>
      <c r="T23" s="112">
        <v>471.6</v>
      </c>
      <c r="V23" s="106">
        <v>45</v>
      </c>
      <c r="W23" s="106">
        <v>130</v>
      </c>
      <c r="X23" s="106">
        <v>326</v>
      </c>
      <c r="Y23" s="17"/>
    </row>
    <row r="24" spans="1:25" ht="21" customHeight="1" x14ac:dyDescent="0.25">
      <c r="A24" s="8">
        <v>44490</v>
      </c>
      <c r="B24" s="111">
        <v>1.1294</v>
      </c>
      <c r="C24" s="112">
        <v>257.02</v>
      </c>
      <c r="D24" s="112">
        <v>7738047.4100000001</v>
      </c>
      <c r="E24" s="112">
        <v>8520905.6699999999</v>
      </c>
      <c r="F24" s="112">
        <v>2.6522999999999999</v>
      </c>
      <c r="G24" s="112">
        <v>839.87</v>
      </c>
      <c r="H24" s="112">
        <v>688.51</v>
      </c>
      <c r="I24" s="112">
        <v>269.38</v>
      </c>
      <c r="J24" s="112">
        <v>345.56</v>
      </c>
      <c r="K24" s="112">
        <v>371.98</v>
      </c>
      <c r="L24" s="112">
        <v>256.17</v>
      </c>
      <c r="M24" s="112">
        <v>604.72</v>
      </c>
      <c r="N24" s="112">
        <v>555.78</v>
      </c>
      <c r="O24" s="112">
        <v>176.41</v>
      </c>
      <c r="P24" s="112">
        <v>728.19</v>
      </c>
      <c r="Q24" s="112">
        <v>537.02</v>
      </c>
      <c r="R24" s="112">
        <v>186.52</v>
      </c>
      <c r="S24" s="112">
        <v>128.65</v>
      </c>
      <c r="T24" s="112">
        <v>472.12</v>
      </c>
      <c r="V24" s="106">
        <v>47</v>
      </c>
      <c r="W24" s="106">
        <v>130</v>
      </c>
      <c r="X24" s="106">
        <v>370</v>
      </c>
      <c r="Y24" s="17"/>
    </row>
    <row r="25" spans="1:25" ht="21" customHeight="1" x14ac:dyDescent="0.25">
      <c r="A25" s="8">
        <v>44491</v>
      </c>
      <c r="B25" s="111">
        <v>1.1307</v>
      </c>
      <c r="C25" s="112">
        <v>257.29000000000002</v>
      </c>
      <c r="D25" s="112">
        <v>7740239.9400000004</v>
      </c>
      <c r="E25" s="112">
        <v>8523766.6099999994</v>
      </c>
      <c r="F25" s="112">
        <v>2.6549999999999998</v>
      </c>
      <c r="G25" s="112">
        <v>840.76</v>
      </c>
      <c r="H25" s="112">
        <v>689.4</v>
      </c>
      <c r="I25" s="112">
        <v>269.60000000000002</v>
      </c>
      <c r="J25" s="112">
        <v>346.04</v>
      </c>
      <c r="K25" s="112">
        <v>372.32</v>
      </c>
      <c r="L25" s="112">
        <v>256.41000000000003</v>
      </c>
      <c r="M25" s="112">
        <v>605.44000000000005</v>
      </c>
      <c r="N25" s="112">
        <v>556.54</v>
      </c>
      <c r="O25" s="112">
        <v>176.62</v>
      </c>
      <c r="P25" s="112">
        <v>729.14</v>
      </c>
      <c r="Q25" s="112">
        <v>537.74</v>
      </c>
      <c r="R25" s="112">
        <v>186.75</v>
      </c>
      <c r="S25" s="112">
        <v>128.77000000000001</v>
      </c>
      <c r="T25" s="112">
        <v>472.62</v>
      </c>
      <c r="V25" s="106">
        <v>49</v>
      </c>
      <c r="W25" s="106">
        <v>136</v>
      </c>
      <c r="X25" s="106">
        <v>376</v>
      </c>
      <c r="Y25" s="17"/>
    </row>
    <row r="26" spans="1:25" ht="21" customHeight="1" x14ac:dyDescent="0.25">
      <c r="A26" s="8">
        <v>44492</v>
      </c>
      <c r="B26" s="111">
        <v>1.1318999999999999</v>
      </c>
      <c r="C26" s="112">
        <v>257.55</v>
      </c>
      <c r="D26" s="112">
        <v>7742258.9299999997</v>
      </c>
      <c r="E26" s="112">
        <v>8526107.7200000007</v>
      </c>
      <c r="F26" s="112">
        <v>2.6577000000000002</v>
      </c>
      <c r="G26" s="112">
        <v>841.63</v>
      </c>
      <c r="H26" s="112">
        <v>690.25</v>
      </c>
      <c r="I26" s="112">
        <v>269.81</v>
      </c>
      <c r="J26" s="112">
        <v>346.46</v>
      </c>
      <c r="K26" s="112">
        <v>372.72</v>
      </c>
      <c r="L26" s="112">
        <v>256.64</v>
      </c>
      <c r="M26" s="112">
        <v>606.13</v>
      </c>
      <c r="N26" s="112">
        <v>557.29</v>
      </c>
      <c r="O26" s="112">
        <v>176.85</v>
      </c>
      <c r="P26" s="112">
        <v>729.96</v>
      </c>
      <c r="Q26" s="112">
        <v>538.54999999999995</v>
      </c>
      <c r="R26" s="112">
        <v>186.99</v>
      </c>
      <c r="S26" s="112">
        <v>128.88999999999999</v>
      </c>
      <c r="T26" s="112">
        <v>472.92</v>
      </c>
      <c r="V26" s="106">
        <v>42</v>
      </c>
      <c r="W26" s="106">
        <v>117</v>
      </c>
      <c r="X26" s="106">
        <v>334</v>
      </c>
      <c r="Y26" s="17"/>
    </row>
    <row r="27" spans="1:25" ht="21" customHeight="1" x14ac:dyDescent="0.25">
      <c r="A27" s="8">
        <v>44493</v>
      </c>
      <c r="B27" s="111">
        <v>1.1332</v>
      </c>
      <c r="C27" s="112">
        <v>257.82</v>
      </c>
      <c r="D27" s="112">
        <v>774440.76</v>
      </c>
      <c r="E27" s="112">
        <v>8529082.8399999999</v>
      </c>
      <c r="F27" s="112">
        <v>2.6604000000000001</v>
      </c>
      <c r="G27" s="112">
        <v>842.55</v>
      </c>
      <c r="H27" s="112">
        <v>691.11</v>
      </c>
      <c r="I27" s="112">
        <v>270.02</v>
      </c>
      <c r="J27" s="112">
        <v>346.83</v>
      </c>
      <c r="K27" s="112">
        <v>373.06</v>
      </c>
      <c r="L27" s="112">
        <v>256.85000000000002</v>
      </c>
      <c r="M27" s="112">
        <v>606.86</v>
      </c>
      <c r="N27" s="112">
        <v>558.04</v>
      </c>
      <c r="O27" s="112">
        <v>177.05</v>
      </c>
      <c r="P27" s="112">
        <v>730.84</v>
      </c>
      <c r="Q27" s="112">
        <v>539.33000000000004</v>
      </c>
      <c r="R27" s="112">
        <v>187.23</v>
      </c>
      <c r="S27" s="112">
        <v>129.01</v>
      </c>
      <c r="T27" s="112">
        <v>473.39</v>
      </c>
      <c r="V27" s="106">
        <v>46</v>
      </c>
      <c r="W27" s="106">
        <v>127</v>
      </c>
      <c r="X27" s="106">
        <v>346</v>
      </c>
      <c r="Y27" s="17"/>
    </row>
    <row r="28" spans="1:25" ht="21" customHeight="1" x14ac:dyDescent="0.25">
      <c r="A28" s="8">
        <v>44494</v>
      </c>
      <c r="B28" s="111">
        <v>1.1344000000000001</v>
      </c>
      <c r="C28" s="112">
        <v>258.08999999999997</v>
      </c>
      <c r="D28" s="112">
        <v>7746609.21</v>
      </c>
      <c r="E28" s="112">
        <v>8532293.1300000008</v>
      </c>
      <c r="F28" s="112">
        <v>2.6631999999999998</v>
      </c>
      <c r="G28" s="112">
        <v>843.6</v>
      </c>
      <c r="H28" s="112">
        <v>692.11</v>
      </c>
      <c r="I28" s="112">
        <v>270.27999999999997</v>
      </c>
      <c r="J28" s="112">
        <v>347.24</v>
      </c>
      <c r="K28" s="112">
        <v>373.42</v>
      </c>
      <c r="L28" s="112">
        <v>257.07</v>
      </c>
      <c r="M28" s="112">
        <v>607.64</v>
      </c>
      <c r="N28" s="112">
        <v>558.9</v>
      </c>
      <c r="O28" s="112">
        <v>177.3</v>
      </c>
      <c r="P28" s="112">
        <v>731.82</v>
      </c>
      <c r="Q28" s="112">
        <v>540.19000000000005</v>
      </c>
      <c r="R28" s="112">
        <v>187.47</v>
      </c>
      <c r="S28" s="112">
        <v>129.13</v>
      </c>
      <c r="T28" s="112">
        <v>473.94</v>
      </c>
      <c r="V28" s="106">
        <v>43</v>
      </c>
      <c r="W28" s="106">
        <v>109</v>
      </c>
      <c r="X28" s="106">
        <v>293</v>
      </c>
      <c r="Y28" s="17"/>
    </row>
    <row r="29" spans="1:25" ht="21" customHeight="1" x14ac:dyDescent="0.25">
      <c r="A29" s="8">
        <v>44495</v>
      </c>
      <c r="B29" s="111">
        <v>1.1355</v>
      </c>
      <c r="C29" s="112">
        <v>258.35000000000002</v>
      </c>
      <c r="D29" s="112">
        <v>7748635.21</v>
      </c>
      <c r="E29" s="112">
        <v>8535013.9299999997</v>
      </c>
      <c r="F29" s="112">
        <v>2.6659000000000002</v>
      </c>
      <c r="G29" s="112">
        <v>844.53</v>
      </c>
      <c r="H29" s="112">
        <v>692.99</v>
      </c>
      <c r="I29" s="112">
        <v>270.51</v>
      </c>
      <c r="J29" s="112">
        <v>347.72</v>
      </c>
      <c r="K29" s="112">
        <v>373.8</v>
      </c>
      <c r="L29" s="112">
        <v>257.32</v>
      </c>
      <c r="M29" s="112">
        <v>608.37</v>
      </c>
      <c r="N29" s="112">
        <v>559.84</v>
      </c>
      <c r="O29" s="112">
        <v>177.55</v>
      </c>
      <c r="P29" s="112">
        <v>732.16</v>
      </c>
      <c r="Q29" s="112">
        <v>541.08000000000004</v>
      </c>
      <c r="R29" s="112">
        <v>187.72</v>
      </c>
      <c r="S29" s="112">
        <v>129.25</v>
      </c>
      <c r="T29" s="112">
        <v>474.48</v>
      </c>
      <c r="V29" s="106">
        <v>50</v>
      </c>
      <c r="W29" s="106">
        <v>128</v>
      </c>
      <c r="X29" s="106">
        <v>316</v>
      </c>
      <c r="Y29" s="17"/>
    </row>
    <row r="30" spans="1:25" ht="21" customHeight="1" x14ac:dyDescent="0.25">
      <c r="A30" s="8">
        <v>44496</v>
      </c>
      <c r="B30" s="111">
        <v>1.1367</v>
      </c>
      <c r="C30" s="112">
        <v>258.60000000000002</v>
      </c>
      <c r="D30" s="112">
        <v>7750876.0599999996</v>
      </c>
      <c r="E30" s="112">
        <v>8537829.5099999998</v>
      </c>
      <c r="F30" s="112">
        <v>2.6686000000000001</v>
      </c>
      <c r="G30" s="112">
        <v>845.44</v>
      </c>
      <c r="H30" s="112">
        <v>693.79</v>
      </c>
      <c r="I30" s="112">
        <v>270.74</v>
      </c>
      <c r="J30" s="112">
        <v>348.17</v>
      </c>
      <c r="K30" s="112">
        <v>374.21</v>
      </c>
      <c r="L30" s="112">
        <v>257.52999999999997</v>
      </c>
      <c r="M30" s="112">
        <v>609</v>
      </c>
      <c r="N30" s="112">
        <v>560.66999999999996</v>
      </c>
      <c r="O30" s="112">
        <v>177.79</v>
      </c>
      <c r="P30" s="112">
        <v>733.56</v>
      </c>
      <c r="Q30" s="112">
        <v>541.86</v>
      </c>
      <c r="R30" s="112">
        <v>187.99</v>
      </c>
      <c r="S30" s="112">
        <v>129.37</v>
      </c>
      <c r="T30" s="112">
        <v>474.97</v>
      </c>
      <c r="V30" s="106">
        <v>48</v>
      </c>
      <c r="W30" s="106">
        <v>125</v>
      </c>
      <c r="X30" s="106">
        <v>348</v>
      </c>
      <c r="Y30" s="17"/>
    </row>
    <row r="31" spans="1:25" ht="21" customHeight="1" x14ac:dyDescent="0.25">
      <c r="A31" s="8">
        <v>44497</v>
      </c>
      <c r="B31" s="111">
        <v>1.1378999999999999</v>
      </c>
      <c r="C31" s="112">
        <v>258.87</v>
      </c>
      <c r="D31" s="112">
        <v>7753094.7199999997</v>
      </c>
      <c r="E31" s="112">
        <v>8540464.8100000005</v>
      </c>
      <c r="F31" s="112">
        <v>2.6713</v>
      </c>
      <c r="G31" s="112">
        <v>846.32</v>
      </c>
      <c r="H31" s="112">
        <v>694.51</v>
      </c>
      <c r="I31" s="112">
        <v>270.95999999999998</v>
      </c>
      <c r="J31" s="112">
        <v>348.67</v>
      </c>
      <c r="K31" s="112">
        <v>374.56</v>
      </c>
      <c r="L31" s="112">
        <v>257.76</v>
      </c>
      <c r="M31" s="112">
        <v>609.65</v>
      </c>
      <c r="N31" s="112">
        <v>561.49</v>
      </c>
      <c r="O31" s="112">
        <v>178.02</v>
      </c>
      <c r="P31" s="112">
        <v>734.41</v>
      </c>
      <c r="Q31" s="112">
        <v>542.55999999999995</v>
      </c>
      <c r="R31" s="112">
        <v>188.24</v>
      </c>
      <c r="S31" s="112">
        <v>129.49</v>
      </c>
      <c r="T31" s="112">
        <v>475.5</v>
      </c>
      <c r="V31" s="106">
        <v>39</v>
      </c>
      <c r="W31" s="106">
        <v>108</v>
      </c>
      <c r="X31" s="106">
        <v>348</v>
      </c>
      <c r="Y31" s="17"/>
    </row>
    <row r="32" spans="1:25" ht="21" customHeight="1" x14ac:dyDescent="0.25">
      <c r="A32" s="8">
        <v>44498</v>
      </c>
      <c r="B32" s="109">
        <v>1.1391</v>
      </c>
      <c r="C32" s="109">
        <v>259.13</v>
      </c>
      <c r="D32" s="109">
        <v>7755306.2800000003</v>
      </c>
      <c r="E32" s="117">
        <v>8543051.8100000005</v>
      </c>
      <c r="F32" s="109">
        <v>2.6739999999999999</v>
      </c>
      <c r="G32" s="109">
        <v>847.27</v>
      </c>
      <c r="H32" s="109">
        <v>695.16</v>
      </c>
      <c r="I32" s="109">
        <v>271.19</v>
      </c>
      <c r="J32" s="109">
        <v>349.16</v>
      </c>
      <c r="K32" s="109">
        <v>374.93</v>
      </c>
      <c r="L32" s="109">
        <v>258</v>
      </c>
      <c r="M32" s="109">
        <v>610.25</v>
      </c>
      <c r="N32" s="109">
        <v>562.39</v>
      </c>
      <c r="O32" s="109">
        <v>178.24</v>
      </c>
      <c r="P32" s="109">
        <v>735.27</v>
      </c>
      <c r="Q32" s="109">
        <v>543.39</v>
      </c>
      <c r="R32" s="109">
        <v>188.47</v>
      </c>
      <c r="S32" s="117">
        <v>129.6</v>
      </c>
      <c r="T32" s="109">
        <v>475.95</v>
      </c>
      <c r="V32" s="106">
        <v>42</v>
      </c>
      <c r="W32" s="106">
        <v>115</v>
      </c>
      <c r="X32" s="106">
        <v>316</v>
      </c>
      <c r="Y32" s="17"/>
    </row>
    <row r="33" spans="1:25" ht="19.5" customHeight="1" x14ac:dyDescent="0.25">
      <c r="A33" s="8">
        <v>44499</v>
      </c>
      <c r="B33" s="109">
        <v>1.1404000000000001</v>
      </c>
      <c r="C33" s="117">
        <v>259.39999999999998</v>
      </c>
      <c r="D33" s="109">
        <v>7757378.4000000004</v>
      </c>
      <c r="E33" s="117">
        <v>8545411.1199999992</v>
      </c>
      <c r="F33" s="109">
        <v>2.6766999999999999</v>
      </c>
      <c r="G33" s="109">
        <v>848.3</v>
      </c>
      <c r="H33" s="109">
        <v>695.85</v>
      </c>
      <c r="I33" s="109">
        <v>271.43</v>
      </c>
      <c r="J33" s="109">
        <v>349.62</v>
      </c>
      <c r="K33" s="109">
        <v>375.29</v>
      </c>
      <c r="L33" s="109">
        <v>258.20999999999998</v>
      </c>
      <c r="M33" s="109">
        <v>610.9</v>
      </c>
      <c r="N33" s="109">
        <v>563.32000000000005</v>
      </c>
      <c r="O33" s="109">
        <v>178.46</v>
      </c>
      <c r="P33" s="109">
        <v>736.12</v>
      </c>
      <c r="Q33" s="109">
        <v>544.23</v>
      </c>
      <c r="R33" s="109">
        <v>188.74</v>
      </c>
      <c r="S33" s="117">
        <v>129.72</v>
      </c>
      <c r="T33" s="109">
        <v>476.22</v>
      </c>
      <c r="V33" s="106"/>
      <c r="W33" s="106"/>
      <c r="X33" s="106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6"/>
      <c r="W34" s="106"/>
      <c r="X34" s="106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846</v>
      </c>
      <c r="W35" s="75">
        <f>SUM(W4:W34)</f>
        <v>2363</v>
      </c>
      <c r="X35" s="75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33" t="s">
        <v>32</v>
      </c>
      <c r="C2" s="133" t="s">
        <v>33</v>
      </c>
      <c r="D2" s="133" t="s">
        <v>119</v>
      </c>
      <c r="E2" s="131" t="s">
        <v>34</v>
      </c>
      <c r="F2" s="141" t="s">
        <v>35</v>
      </c>
      <c r="G2" s="142"/>
      <c r="H2" s="143"/>
      <c r="I2" s="144" t="s">
        <v>36</v>
      </c>
      <c r="J2" s="144" t="s">
        <v>37</v>
      </c>
      <c r="K2" s="144" t="s">
        <v>38</v>
      </c>
      <c r="L2" s="144" t="s">
        <v>39</v>
      </c>
      <c r="M2" s="145" t="s">
        <v>40</v>
      </c>
      <c r="N2" s="145"/>
      <c r="O2" s="145"/>
      <c r="P2" s="145"/>
      <c r="Q2" s="145"/>
      <c r="R2" s="145"/>
      <c r="S2" s="144" t="s">
        <v>41</v>
      </c>
      <c r="T2" s="144"/>
      <c r="U2" s="146" t="s">
        <v>42</v>
      </c>
      <c r="V2" s="144" t="s">
        <v>43</v>
      </c>
    </row>
    <row r="3" spans="1:22" x14ac:dyDescent="0.25">
      <c r="A3" s="132"/>
      <c r="B3" s="134"/>
      <c r="C3" s="134"/>
      <c r="D3" s="134"/>
      <c r="E3" s="132"/>
      <c r="F3" s="6" t="s">
        <v>27</v>
      </c>
      <c r="G3" s="6" t="s">
        <v>28</v>
      </c>
      <c r="H3" s="6" t="s">
        <v>29</v>
      </c>
      <c r="I3" s="144"/>
      <c r="J3" s="144"/>
      <c r="K3" s="144"/>
      <c r="L3" s="144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6"/>
      <c r="V3" s="144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649820</v>
      </c>
      <c r="C35" s="72">
        <f t="shared" ref="C35" si="2">SUM(C4:C34)</f>
        <v>-463120</v>
      </c>
      <c r="D35" s="72">
        <f t="shared" ref="D35" si="3">SUM(D4:D34)</f>
        <v>-2601400</v>
      </c>
      <c r="E35" s="72">
        <f t="shared" ref="E35" si="4">SUM(E4:E34)</f>
        <v>-251990</v>
      </c>
      <c r="F35" s="72">
        <f t="shared" ref="F35" si="5">SUM(F4:F34)</f>
        <v>-340260</v>
      </c>
      <c r="G35" s="72">
        <f t="shared" ref="G35:U35" si="6">SUM(G4:G34)</f>
        <v>-366680</v>
      </c>
      <c r="H35" s="72">
        <f t="shared" si="6"/>
        <v>-252430</v>
      </c>
      <c r="I35" s="72">
        <f t="shared" si="6"/>
        <v>-181759.99999999997</v>
      </c>
      <c r="J35" s="72">
        <f t="shared" si="6"/>
        <v>-126270</v>
      </c>
      <c r="K35" s="72">
        <f t="shared" si="6"/>
        <v>-264149.99999999994</v>
      </c>
      <c r="L35" s="72">
        <f t="shared" si="6"/>
        <v>-1105299.9999999998</v>
      </c>
      <c r="M35" s="72">
        <f t="shared" si="6"/>
        <v>-589020</v>
      </c>
      <c r="N35" s="72">
        <f t="shared" si="6"/>
        <v>-673549.99999999988</v>
      </c>
      <c r="O35" s="72">
        <f t="shared" si="6"/>
        <v>-708430</v>
      </c>
      <c r="P35" s="72">
        <f t="shared" si="6"/>
        <v>-822810</v>
      </c>
      <c r="Q35" s="72">
        <f t="shared" si="6"/>
        <v>-523950</v>
      </c>
      <c r="R35" s="72">
        <f t="shared" si="6"/>
        <v>-539500</v>
      </c>
      <c r="S35" s="72">
        <f t="shared" si="6"/>
        <v>-8463720.8399999999</v>
      </c>
      <c r="T35" s="72">
        <f t="shared" si="6"/>
        <v>-7695259.3700000001</v>
      </c>
      <c r="U35" s="72">
        <f t="shared" si="6"/>
        <v>-171699.99999999997</v>
      </c>
      <c r="V35" s="72">
        <f>SUM(V4:V34)</f>
        <v>26791120.209999997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0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0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0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0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0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0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0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0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0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0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0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0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0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0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0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0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0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0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0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0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0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0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0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0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0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0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0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0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0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0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643840</v>
      </c>
      <c r="C34" s="72">
        <f>SUM(C3:C33)</f>
        <v>-463120</v>
      </c>
      <c r="D34" s="72">
        <f t="shared" ref="D34:L34" si="1">SUM(D3:D33)</f>
        <v>-2601400</v>
      </c>
      <c r="E34" s="72">
        <f t="shared" si="1"/>
        <v>-251990</v>
      </c>
      <c r="F34" s="72">
        <f t="shared" si="1"/>
        <v>-959370</v>
      </c>
      <c r="G34" s="72">
        <f t="shared" si="1"/>
        <v>-308030</v>
      </c>
      <c r="H34" s="72">
        <f t="shared" si="1"/>
        <v>-1369449.9999999998</v>
      </c>
      <c r="I34" s="72">
        <f t="shared" si="1"/>
        <v>-3857260</v>
      </c>
      <c r="J34" s="72">
        <f t="shared" si="1"/>
        <v>-16158980.210000001</v>
      </c>
      <c r="K34" s="72">
        <f t="shared" si="1"/>
        <v>-171699.99999999997</v>
      </c>
      <c r="L34" s="72">
        <f t="shared" si="1"/>
        <v>26785140.210000001</v>
      </c>
      <c r="M34" s="81">
        <f>C34+D34+E34+F34+G34+H34+I34+J34+K34+L34</f>
        <v>643840</v>
      </c>
    </row>
    <row r="36" spans="1:13" ht="15.75" x14ac:dyDescent="0.25">
      <c r="A36" s="82" t="s">
        <v>63</v>
      </c>
      <c r="B36" s="83">
        <f>TOTAL!F2</f>
        <v>0.15</v>
      </c>
      <c r="C36" s="72">
        <f>C34*B36</f>
        <v>-69468</v>
      </c>
      <c r="D36" s="72">
        <f>D34*B36</f>
        <v>-390210</v>
      </c>
      <c r="E36" s="72">
        <f>E34*B36</f>
        <v>-37798.5</v>
      </c>
      <c r="F36" s="72">
        <f>F34*B36</f>
        <v>-143905.5</v>
      </c>
      <c r="G36" s="72">
        <f>G34*B36</f>
        <v>-46204.5</v>
      </c>
      <c r="H36" s="72">
        <f>H34*B36</f>
        <v>-205417.49999999997</v>
      </c>
      <c r="I36" s="72">
        <f>I34*B36</f>
        <v>-578589</v>
      </c>
      <c r="J36" s="72">
        <f>J34*B36</f>
        <v>-2423847.0315</v>
      </c>
      <c r="K36" s="72">
        <f>K34*B36</f>
        <v>-25754.999999999996</v>
      </c>
      <c r="L36" s="72">
        <f>L34*B36</f>
        <v>4017771.0315</v>
      </c>
      <c r="M36" s="81">
        <f>C36+D36+E36+F36+G36+H36+I36+J36+K36+L36</f>
        <v>96576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7" t="s">
        <v>52</v>
      </c>
      <c r="B34" s="147"/>
      <c r="C34" s="72">
        <f t="shared" ref="C34:L34" si="0">SUM(C3:C33)</f>
        <v>97473</v>
      </c>
      <c r="D34" s="72">
        <f t="shared" si="0"/>
        <v>-69468</v>
      </c>
      <c r="E34" s="72">
        <f t="shared" si="0"/>
        <v>-390210</v>
      </c>
      <c r="F34" s="72">
        <f t="shared" si="0"/>
        <v>-37798.5</v>
      </c>
      <c r="G34" s="72">
        <f t="shared" si="0"/>
        <v>-143905.5</v>
      </c>
      <c r="H34" s="72">
        <f t="shared" si="0"/>
        <v>-46204.5</v>
      </c>
      <c r="I34" s="72">
        <f t="shared" si="0"/>
        <v>-205417.49999999997</v>
      </c>
      <c r="J34" s="72">
        <f t="shared" si="0"/>
        <v>-578589</v>
      </c>
      <c r="K34" s="72">
        <f t="shared" si="0"/>
        <v>-2423847.0315</v>
      </c>
      <c r="L34" s="72">
        <f t="shared" si="0"/>
        <v>-25754.999999999996</v>
      </c>
      <c r="M34" s="72">
        <f>SUM(M3:M33)</f>
        <v>4018668.0314999996</v>
      </c>
      <c r="N34" s="81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44470</v>
      </c>
      <c r="B3" s="32">
        <v>186122</v>
      </c>
      <c r="C3" s="54">
        <v>148431</v>
      </c>
      <c r="D3" s="107">
        <v>223125</v>
      </c>
      <c r="E3" s="107">
        <v>253147</v>
      </c>
      <c r="F3" s="107">
        <v>66997</v>
      </c>
      <c r="G3" s="107">
        <v>113275</v>
      </c>
      <c r="H3" s="107">
        <v>56358</v>
      </c>
      <c r="I3" s="107">
        <v>66371</v>
      </c>
      <c r="J3" s="107">
        <v>21313</v>
      </c>
      <c r="K3" s="107">
        <v>1024</v>
      </c>
      <c r="L3" s="107">
        <v>17921</v>
      </c>
      <c r="M3" s="107">
        <v>25569</v>
      </c>
      <c r="N3" s="107">
        <v>7704</v>
      </c>
      <c r="O3" s="107">
        <v>1768</v>
      </c>
      <c r="P3" s="107">
        <v>28036</v>
      </c>
      <c r="Q3" s="107">
        <v>1011</v>
      </c>
      <c r="R3" s="107">
        <v>6759</v>
      </c>
    </row>
    <row r="4" spans="1:21" x14ac:dyDescent="0.25">
      <c r="A4" s="52">
        <v>44471</v>
      </c>
      <c r="B4" s="54">
        <v>186215</v>
      </c>
      <c r="C4" s="54">
        <v>148545</v>
      </c>
      <c r="D4" s="107">
        <v>223199</v>
      </c>
      <c r="E4" s="107">
        <v>253195</v>
      </c>
      <c r="F4" s="107">
        <v>66997</v>
      </c>
      <c r="G4" s="107">
        <v>113291</v>
      </c>
      <c r="H4" s="107">
        <v>56395</v>
      </c>
      <c r="I4" s="107">
        <v>66395</v>
      </c>
      <c r="J4" s="107">
        <v>21322</v>
      </c>
      <c r="K4" s="107">
        <v>1024</v>
      </c>
      <c r="L4" s="107">
        <v>17928</v>
      </c>
      <c r="M4" s="107">
        <v>25582</v>
      </c>
      <c r="N4" s="107">
        <v>7709</v>
      </c>
      <c r="O4" s="107">
        <v>1768</v>
      </c>
      <c r="P4" s="107">
        <v>28036</v>
      </c>
      <c r="Q4" s="107">
        <v>1012</v>
      </c>
      <c r="R4" s="107">
        <v>6761</v>
      </c>
    </row>
    <row r="5" spans="1:21" x14ac:dyDescent="0.25">
      <c r="A5" s="52">
        <v>44472</v>
      </c>
      <c r="B5" s="53">
        <v>186305</v>
      </c>
      <c r="C5" s="32">
        <v>148514</v>
      </c>
      <c r="D5" s="107">
        <v>223299</v>
      </c>
      <c r="E5" s="107">
        <v>253243</v>
      </c>
      <c r="F5" s="107">
        <v>66997</v>
      </c>
      <c r="G5" s="107">
        <v>113305</v>
      </c>
      <c r="H5" s="107">
        <v>56417</v>
      </c>
      <c r="I5" s="107">
        <v>66410</v>
      </c>
      <c r="J5" s="107">
        <v>21332</v>
      </c>
      <c r="K5" s="107">
        <v>1024</v>
      </c>
      <c r="L5" s="107">
        <v>17935</v>
      </c>
      <c r="M5" s="107">
        <v>25595</v>
      </c>
      <c r="N5" s="107">
        <v>7712</v>
      </c>
      <c r="O5" s="107">
        <v>1769</v>
      </c>
      <c r="P5" s="107">
        <v>28043</v>
      </c>
      <c r="Q5" s="107">
        <v>1014</v>
      </c>
      <c r="R5" s="107">
        <v>6767</v>
      </c>
    </row>
    <row r="6" spans="1:21" x14ac:dyDescent="0.25">
      <c r="A6" s="52">
        <v>44473</v>
      </c>
      <c r="B6" s="54">
        <v>186409</v>
      </c>
      <c r="C6" s="54">
        <v>148463</v>
      </c>
      <c r="D6" s="107">
        <v>223375</v>
      </c>
      <c r="E6" s="107">
        <v>253292</v>
      </c>
      <c r="F6" s="107">
        <v>66998</v>
      </c>
      <c r="G6" s="107">
        <v>113321</v>
      </c>
      <c r="H6" s="107">
        <v>56447</v>
      </c>
      <c r="I6" s="107">
        <v>66443</v>
      </c>
      <c r="J6" s="107">
        <v>21342</v>
      </c>
      <c r="K6" s="107">
        <v>1024</v>
      </c>
      <c r="L6" s="107">
        <v>17942</v>
      </c>
      <c r="M6" s="107">
        <v>25606</v>
      </c>
      <c r="N6" s="107">
        <v>7716</v>
      </c>
      <c r="O6" s="107">
        <v>1770</v>
      </c>
      <c r="P6" s="107">
        <v>28060</v>
      </c>
      <c r="Q6" s="107">
        <v>1016</v>
      </c>
      <c r="R6" s="107">
        <v>6772</v>
      </c>
    </row>
    <row r="7" spans="1:21" x14ac:dyDescent="0.25">
      <c r="A7" s="52">
        <v>44474</v>
      </c>
      <c r="B7" s="54">
        <v>186495</v>
      </c>
      <c r="C7" s="32">
        <v>149108</v>
      </c>
      <c r="D7" s="107">
        <v>223448</v>
      </c>
      <c r="E7" s="107">
        <v>253344</v>
      </c>
      <c r="F7" s="107">
        <v>66998</v>
      </c>
      <c r="G7" s="107">
        <v>113335</v>
      </c>
      <c r="H7" s="107">
        <v>56477</v>
      </c>
      <c r="I7" s="107">
        <v>66476</v>
      </c>
      <c r="J7" s="107">
        <v>21351</v>
      </c>
      <c r="K7" s="107">
        <v>1024</v>
      </c>
      <c r="L7" s="107">
        <v>17949</v>
      </c>
      <c r="M7" s="107">
        <v>25618</v>
      </c>
      <c r="N7" s="107">
        <v>7720</v>
      </c>
      <c r="O7" s="107">
        <v>1772</v>
      </c>
      <c r="P7" s="107">
        <v>28077</v>
      </c>
      <c r="Q7" s="107">
        <v>1020</v>
      </c>
      <c r="R7" s="107">
        <v>6777</v>
      </c>
    </row>
    <row r="8" spans="1:21" x14ac:dyDescent="0.25">
      <c r="A8" s="52">
        <v>44475</v>
      </c>
      <c r="B8" s="32">
        <v>186606</v>
      </c>
      <c r="C8" s="54">
        <v>149292</v>
      </c>
      <c r="D8" s="107">
        <v>223549</v>
      </c>
      <c r="E8" s="107">
        <v>253396</v>
      </c>
      <c r="F8" s="107">
        <v>66998</v>
      </c>
      <c r="G8" s="107">
        <v>113350</v>
      </c>
      <c r="H8" s="107">
        <v>56531</v>
      </c>
      <c r="I8" s="107">
        <v>66511</v>
      </c>
      <c r="J8" s="107">
        <v>21361</v>
      </c>
      <c r="K8" s="107">
        <v>1024</v>
      </c>
      <c r="L8" s="107">
        <v>17957</v>
      </c>
      <c r="M8" s="107">
        <v>25633</v>
      </c>
      <c r="N8" s="107">
        <v>7724</v>
      </c>
      <c r="O8" s="107">
        <v>1775</v>
      </c>
      <c r="P8" s="107">
        <v>28091</v>
      </c>
      <c r="Q8" s="107">
        <v>1028</v>
      </c>
      <c r="R8" s="107">
        <v>6781</v>
      </c>
    </row>
    <row r="9" spans="1:21" x14ac:dyDescent="0.25">
      <c r="A9" s="52">
        <v>44476</v>
      </c>
      <c r="B9" s="54">
        <v>186714</v>
      </c>
      <c r="C9" s="32">
        <v>149370</v>
      </c>
      <c r="D9" s="107">
        <v>223653</v>
      </c>
      <c r="E9" s="107">
        <v>253448</v>
      </c>
      <c r="F9" s="107">
        <v>66998</v>
      </c>
      <c r="G9" s="107">
        <v>113365</v>
      </c>
      <c r="H9" s="107">
        <v>56579</v>
      </c>
      <c r="I9" s="107">
        <v>66543</v>
      </c>
      <c r="J9" s="107">
        <v>21371</v>
      </c>
      <c r="K9" s="107">
        <v>1024</v>
      </c>
      <c r="L9" s="107">
        <v>17963</v>
      </c>
      <c r="M9" s="107">
        <v>25646</v>
      </c>
      <c r="N9" s="107">
        <v>7728</v>
      </c>
      <c r="O9" s="107">
        <v>1776</v>
      </c>
      <c r="P9" s="107">
        <v>28106</v>
      </c>
      <c r="Q9" s="107">
        <v>1032</v>
      </c>
      <c r="R9" s="107">
        <v>6786</v>
      </c>
    </row>
    <row r="10" spans="1:21" x14ac:dyDescent="0.25">
      <c r="A10" s="52">
        <v>44477</v>
      </c>
      <c r="B10" s="32">
        <v>186850</v>
      </c>
      <c r="C10" s="54">
        <v>149485</v>
      </c>
      <c r="D10" s="107">
        <v>223781</v>
      </c>
      <c r="E10" s="107">
        <v>253497</v>
      </c>
      <c r="F10" s="107">
        <v>66998</v>
      </c>
      <c r="G10" s="107">
        <v>113379</v>
      </c>
      <c r="H10" s="107">
        <v>56627</v>
      </c>
      <c r="I10" s="107">
        <v>66563</v>
      </c>
      <c r="J10" s="107">
        <v>21381</v>
      </c>
      <c r="K10" s="107">
        <v>1024</v>
      </c>
      <c r="L10" s="107">
        <v>17970</v>
      </c>
      <c r="M10" s="107">
        <v>25658</v>
      </c>
      <c r="N10" s="107">
        <v>7731</v>
      </c>
      <c r="O10" s="107">
        <v>1777</v>
      </c>
      <c r="P10" s="107">
        <v>28113</v>
      </c>
      <c r="Q10" s="107">
        <v>1033</v>
      </c>
      <c r="R10" s="107">
        <v>6791</v>
      </c>
    </row>
    <row r="11" spans="1:21" x14ac:dyDescent="0.25">
      <c r="A11" s="52">
        <v>44478</v>
      </c>
      <c r="B11" s="54">
        <v>186972</v>
      </c>
      <c r="C11" s="32">
        <v>149575</v>
      </c>
      <c r="D11" s="107">
        <v>223901</v>
      </c>
      <c r="E11" s="107">
        <v>253554</v>
      </c>
      <c r="F11" s="107">
        <v>66998</v>
      </c>
      <c r="G11" s="107">
        <v>113393</v>
      </c>
      <c r="H11" s="107">
        <v>56686</v>
      </c>
      <c r="I11" s="107">
        <v>66601</v>
      </c>
      <c r="J11" s="107">
        <v>21390</v>
      </c>
      <c r="K11" s="107">
        <v>1024</v>
      </c>
      <c r="L11" s="107">
        <v>17977</v>
      </c>
      <c r="M11" s="107">
        <v>25670</v>
      </c>
      <c r="N11" s="107">
        <v>7746</v>
      </c>
      <c r="O11" s="107">
        <v>1779</v>
      </c>
      <c r="P11" s="107">
        <v>28128</v>
      </c>
      <c r="Q11" s="107">
        <v>1036</v>
      </c>
      <c r="R11" s="107">
        <v>6792</v>
      </c>
    </row>
    <row r="12" spans="1:21" x14ac:dyDescent="0.25">
      <c r="A12" s="52">
        <v>44479</v>
      </c>
      <c r="B12" s="32">
        <v>187092</v>
      </c>
      <c r="C12" s="54">
        <v>150148</v>
      </c>
      <c r="D12" s="107">
        <v>224030</v>
      </c>
      <c r="E12" s="107">
        <v>253634</v>
      </c>
      <c r="F12" s="107">
        <v>66999</v>
      </c>
      <c r="G12" s="107">
        <v>113412</v>
      </c>
      <c r="H12" s="107">
        <v>56707</v>
      </c>
      <c r="I12" s="107">
        <v>66617</v>
      </c>
      <c r="J12" s="107">
        <v>21400</v>
      </c>
      <c r="K12" s="107">
        <v>1024</v>
      </c>
      <c r="L12" s="107">
        <v>17983</v>
      </c>
      <c r="M12" s="107">
        <v>25683</v>
      </c>
      <c r="N12" s="107">
        <v>7803</v>
      </c>
      <c r="O12" s="107">
        <v>1780</v>
      </c>
      <c r="P12" s="107">
        <v>28128</v>
      </c>
      <c r="Q12" s="107">
        <v>1037</v>
      </c>
      <c r="R12" s="107">
        <v>6797</v>
      </c>
    </row>
    <row r="13" spans="1:21" x14ac:dyDescent="0.25">
      <c r="A13" s="52">
        <v>44480</v>
      </c>
      <c r="B13" s="54">
        <v>187194</v>
      </c>
      <c r="C13" s="32">
        <v>150215</v>
      </c>
      <c r="D13" s="107">
        <v>224135</v>
      </c>
      <c r="E13" s="107">
        <v>253693</v>
      </c>
      <c r="F13" s="107">
        <v>67000</v>
      </c>
      <c r="G13" s="107">
        <v>113428</v>
      </c>
      <c r="H13" s="107">
        <v>56730</v>
      </c>
      <c r="I13" s="107">
        <v>66648</v>
      </c>
      <c r="J13" s="107">
        <v>21408</v>
      </c>
      <c r="K13" s="107">
        <v>1024</v>
      </c>
      <c r="L13" s="107">
        <v>17989</v>
      </c>
      <c r="M13" s="107">
        <v>25695</v>
      </c>
      <c r="N13" s="107">
        <v>7822</v>
      </c>
      <c r="O13" s="107">
        <v>1782</v>
      </c>
      <c r="P13" s="107">
        <v>28152</v>
      </c>
      <c r="Q13" s="107">
        <v>1039</v>
      </c>
      <c r="R13" s="107">
        <v>6803</v>
      </c>
    </row>
    <row r="14" spans="1:21" x14ac:dyDescent="0.25">
      <c r="A14" s="52">
        <v>44481</v>
      </c>
      <c r="B14" s="32">
        <v>187339</v>
      </c>
      <c r="C14" s="32">
        <v>150215</v>
      </c>
      <c r="D14" s="107">
        <v>224277</v>
      </c>
      <c r="E14" s="107">
        <v>253747</v>
      </c>
      <c r="F14" s="107">
        <v>67001</v>
      </c>
      <c r="G14" s="107">
        <v>113449</v>
      </c>
      <c r="H14" s="107">
        <v>56750</v>
      </c>
      <c r="I14" s="107">
        <v>66752</v>
      </c>
      <c r="J14" s="107">
        <v>21416</v>
      </c>
      <c r="K14" s="107">
        <v>1024</v>
      </c>
      <c r="L14" s="107">
        <v>17995</v>
      </c>
      <c r="M14" s="107">
        <v>25707</v>
      </c>
      <c r="N14" s="107">
        <v>7827</v>
      </c>
      <c r="O14" s="107">
        <v>1782</v>
      </c>
      <c r="P14" s="107">
        <v>28214</v>
      </c>
      <c r="Q14" s="107">
        <v>1042</v>
      </c>
      <c r="R14" s="107">
        <v>6809</v>
      </c>
    </row>
    <row r="15" spans="1:21" x14ac:dyDescent="0.25">
      <c r="A15" s="52">
        <v>44482</v>
      </c>
      <c r="B15" s="32">
        <v>187453</v>
      </c>
      <c r="C15" s="32">
        <v>150215</v>
      </c>
      <c r="D15" s="107">
        <v>224394</v>
      </c>
      <c r="E15" s="107">
        <v>253801</v>
      </c>
      <c r="F15" s="107">
        <v>67002</v>
      </c>
      <c r="G15" s="107">
        <v>113465</v>
      </c>
      <c r="H15" s="107">
        <v>56788</v>
      </c>
      <c r="I15" s="107">
        <v>66784</v>
      </c>
      <c r="J15" s="107">
        <v>21423</v>
      </c>
      <c r="K15" s="107">
        <v>1024</v>
      </c>
      <c r="L15" s="107">
        <v>18002</v>
      </c>
      <c r="M15" s="107">
        <v>25721</v>
      </c>
      <c r="N15" s="107">
        <v>7833</v>
      </c>
      <c r="O15" s="107">
        <v>1783</v>
      </c>
      <c r="P15" s="107">
        <v>28226</v>
      </c>
      <c r="Q15" s="107">
        <v>1044</v>
      </c>
      <c r="R15" s="107">
        <v>6814</v>
      </c>
      <c r="T15" s="105"/>
      <c r="U15" s="105"/>
    </row>
    <row r="16" spans="1:21" x14ac:dyDescent="0.25">
      <c r="A16" s="52">
        <v>44483</v>
      </c>
      <c r="B16" s="32"/>
      <c r="C16" s="54"/>
      <c r="D16" s="107">
        <v>224527</v>
      </c>
      <c r="E16" s="107">
        <v>253854</v>
      </c>
      <c r="F16" s="107">
        <v>67002</v>
      </c>
      <c r="G16" s="107">
        <v>113480</v>
      </c>
      <c r="H16" s="107">
        <v>56831</v>
      </c>
      <c r="I16" s="107">
        <v>66818</v>
      </c>
      <c r="J16" s="107">
        <v>21431</v>
      </c>
      <c r="K16" s="107">
        <v>1024</v>
      </c>
      <c r="L16" s="107">
        <v>18003</v>
      </c>
      <c r="M16" s="107">
        <v>25734</v>
      </c>
      <c r="N16" s="107">
        <v>7840</v>
      </c>
      <c r="O16" s="107">
        <v>1784</v>
      </c>
      <c r="P16" s="107">
        <v>28241</v>
      </c>
      <c r="Q16" s="107">
        <v>1045</v>
      </c>
      <c r="R16" s="107">
        <v>6820</v>
      </c>
    </row>
    <row r="17" spans="1:22" x14ac:dyDescent="0.25">
      <c r="A17" s="52">
        <v>44484</v>
      </c>
      <c r="B17" s="32"/>
      <c r="C17" s="32"/>
      <c r="D17" s="107">
        <v>224739</v>
      </c>
      <c r="E17" s="107">
        <v>253910</v>
      </c>
      <c r="F17" s="107">
        <v>67002</v>
      </c>
      <c r="G17" s="107">
        <v>113501</v>
      </c>
      <c r="H17" s="107">
        <v>56865</v>
      </c>
      <c r="I17" s="107">
        <v>66854</v>
      </c>
      <c r="J17" s="107">
        <v>21439</v>
      </c>
      <c r="K17" s="107">
        <v>1024</v>
      </c>
      <c r="L17" s="107">
        <v>18014</v>
      </c>
      <c r="M17" s="107">
        <v>25736</v>
      </c>
      <c r="N17" s="107">
        <v>7845</v>
      </c>
      <c r="O17" s="107">
        <v>1785</v>
      </c>
      <c r="P17" s="107">
        <v>28253</v>
      </c>
      <c r="Q17" s="107">
        <v>1045</v>
      </c>
      <c r="R17" s="107">
        <v>6825</v>
      </c>
    </row>
    <row r="18" spans="1:22" x14ac:dyDescent="0.25">
      <c r="A18" s="52">
        <v>44485</v>
      </c>
      <c r="B18" s="32"/>
      <c r="C18" s="54"/>
      <c r="D18" s="107">
        <v>224835</v>
      </c>
      <c r="E18" s="107">
        <v>253961</v>
      </c>
      <c r="F18" s="107">
        <v>67002</v>
      </c>
      <c r="G18" s="107">
        <v>113513</v>
      </c>
      <c r="H18" s="107">
        <v>56920</v>
      </c>
      <c r="I18" s="107">
        <v>66890</v>
      </c>
      <c r="J18" s="107">
        <v>21446</v>
      </c>
      <c r="K18" s="107">
        <v>1024</v>
      </c>
      <c r="L18" s="107">
        <v>18022</v>
      </c>
      <c r="M18" s="107">
        <v>25758</v>
      </c>
      <c r="N18" s="107">
        <v>7850</v>
      </c>
      <c r="O18" s="107">
        <v>1789</v>
      </c>
      <c r="P18" s="107">
        <v>28267</v>
      </c>
      <c r="Q18" s="107">
        <v>1049</v>
      </c>
      <c r="R18" s="107">
        <v>6826</v>
      </c>
      <c r="U18" s="105"/>
    </row>
    <row r="19" spans="1:22" x14ac:dyDescent="0.25">
      <c r="A19" s="52">
        <v>44486</v>
      </c>
      <c r="B19" s="32"/>
      <c r="C19" s="32"/>
      <c r="D19" s="107">
        <v>224969</v>
      </c>
      <c r="E19" s="107">
        <v>254019</v>
      </c>
      <c r="F19" s="107">
        <v>67003</v>
      </c>
      <c r="G19" s="107">
        <v>113539</v>
      </c>
      <c r="H19" s="107">
        <v>57001</v>
      </c>
      <c r="I19" s="107">
        <v>66914</v>
      </c>
      <c r="J19" s="107">
        <v>21452</v>
      </c>
      <c r="K19" s="107">
        <v>1024</v>
      </c>
      <c r="L19" s="107">
        <v>18027</v>
      </c>
      <c r="M19" s="107">
        <v>25769</v>
      </c>
      <c r="N19" s="107">
        <v>7859</v>
      </c>
      <c r="O19" s="107">
        <v>1787</v>
      </c>
      <c r="P19" s="107">
        <v>28287</v>
      </c>
      <c r="Q19" s="107">
        <v>1050</v>
      </c>
      <c r="R19" s="107">
        <v>6833</v>
      </c>
    </row>
    <row r="20" spans="1:22" x14ac:dyDescent="0.25">
      <c r="A20" s="52">
        <v>44487</v>
      </c>
      <c r="B20" s="32"/>
      <c r="C20" s="54"/>
      <c r="D20" s="108">
        <v>225081</v>
      </c>
      <c r="E20" s="107">
        <v>254073</v>
      </c>
      <c r="F20" s="107">
        <v>67003</v>
      </c>
      <c r="G20" s="107">
        <v>113560</v>
      </c>
      <c r="H20" s="107">
        <v>57049</v>
      </c>
      <c r="I20" s="107">
        <v>66958</v>
      </c>
      <c r="J20" s="107">
        <v>21461</v>
      </c>
      <c r="K20" s="107">
        <v>1024</v>
      </c>
      <c r="L20" s="107">
        <v>18030</v>
      </c>
      <c r="M20" s="107">
        <v>25782</v>
      </c>
      <c r="N20" s="107">
        <v>7863</v>
      </c>
      <c r="O20" s="107">
        <v>1788</v>
      </c>
      <c r="P20" s="107">
        <v>28287</v>
      </c>
      <c r="Q20" s="107">
        <v>1050</v>
      </c>
      <c r="R20" s="107">
        <v>6839</v>
      </c>
    </row>
    <row r="21" spans="1:22" x14ac:dyDescent="0.25">
      <c r="A21" s="52">
        <v>44488</v>
      </c>
      <c r="B21" s="32"/>
      <c r="C21" s="32"/>
      <c r="D21" s="107">
        <v>225181</v>
      </c>
      <c r="E21" s="107">
        <v>254127</v>
      </c>
      <c r="F21" s="107">
        <v>67004</v>
      </c>
      <c r="G21" s="107">
        <v>113575</v>
      </c>
      <c r="H21" s="107">
        <v>57070</v>
      </c>
      <c r="I21" s="107">
        <v>67036</v>
      </c>
      <c r="J21" s="107">
        <v>21468</v>
      </c>
      <c r="K21" s="107">
        <v>1024</v>
      </c>
      <c r="L21" s="107">
        <v>18040</v>
      </c>
      <c r="M21" s="107">
        <v>25794</v>
      </c>
      <c r="N21" s="107">
        <v>7867</v>
      </c>
      <c r="O21" s="107">
        <v>1788</v>
      </c>
      <c r="P21" s="107">
        <v>28295</v>
      </c>
      <c r="Q21" s="107">
        <v>1050</v>
      </c>
      <c r="R21" s="107">
        <v>6846</v>
      </c>
    </row>
    <row r="22" spans="1:22" x14ac:dyDescent="0.25">
      <c r="A22" s="52">
        <v>44489</v>
      </c>
      <c r="B22" s="32"/>
      <c r="C22" s="54"/>
      <c r="D22" s="107">
        <v>225315</v>
      </c>
      <c r="E22" s="107">
        <v>254188</v>
      </c>
      <c r="F22" s="107">
        <v>67004</v>
      </c>
      <c r="G22" s="107">
        <v>113601</v>
      </c>
      <c r="H22" s="107">
        <v>57123</v>
      </c>
      <c r="I22" s="107">
        <v>67078</v>
      </c>
      <c r="J22" s="107">
        <v>21476</v>
      </c>
      <c r="K22" s="107">
        <v>1024</v>
      </c>
      <c r="L22" s="107">
        <v>18048</v>
      </c>
      <c r="M22" s="107">
        <v>25808</v>
      </c>
      <c r="N22" s="107">
        <v>7871</v>
      </c>
      <c r="O22" s="107">
        <v>1789</v>
      </c>
      <c r="P22" s="107">
        <v>28307</v>
      </c>
      <c r="Q22" s="107">
        <v>1051</v>
      </c>
      <c r="R22" s="107">
        <v>6853</v>
      </c>
    </row>
    <row r="23" spans="1:22" x14ac:dyDescent="0.25">
      <c r="A23" s="52">
        <v>44490</v>
      </c>
      <c r="B23" s="32"/>
      <c r="C23" s="32"/>
      <c r="D23" s="107">
        <v>225452</v>
      </c>
      <c r="E23" s="107">
        <v>254243</v>
      </c>
      <c r="F23" s="107">
        <v>67005</v>
      </c>
      <c r="G23" s="107">
        <v>113624</v>
      </c>
      <c r="H23" s="107">
        <v>57172</v>
      </c>
      <c r="I23" s="107">
        <v>67103</v>
      </c>
      <c r="J23" s="107">
        <v>21483</v>
      </c>
      <c r="K23" s="107">
        <v>1024</v>
      </c>
      <c r="L23" s="107">
        <v>18052</v>
      </c>
      <c r="M23" s="107">
        <v>25820</v>
      </c>
      <c r="N23" s="107">
        <v>7877</v>
      </c>
      <c r="O23" s="107">
        <v>1790</v>
      </c>
      <c r="P23" s="107">
        <v>28307</v>
      </c>
      <c r="Q23" s="107">
        <v>1054</v>
      </c>
      <c r="R23" s="107">
        <v>6863</v>
      </c>
      <c r="S23" s="10" t="s">
        <v>127</v>
      </c>
    </row>
    <row r="24" spans="1:22" x14ac:dyDescent="0.25">
      <c r="A24" s="52">
        <v>44491</v>
      </c>
      <c r="B24" s="32"/>
      <c r="C24" s="54"/>
      <c r="D24" s="107">
        <v>225597</v>
      </c>
      <c r="E24" s="107">
        <v>254298</v>
      </c>
      <c r="F24" s="107">
        <v>67006</v>
      </c>
      <c r="G24" s="107">
        <v>113649</v>
      </c>
      <c r="H24" s="107">
        <v>57230</v>
      </c>
      <c r="I24" s="107">
        <v>67146</v>
      </c>
      <c r="J24" s="107">
        <v>21491</v>
      </c>
      <c r="K24" s="107">
        <v>1024</v>
      </c>
      <c r="L24" s="107">
        <v>18058</v>
      </c>
      <c r="M24" s="107">
        <v>25837</v>
      </c>
      <c r="N24" s="107">
        <v>7882</v>
      </c>
      <c r="O24" s="107">
        <v>1791</v>
      </c>
      <c r="P24" s="107">
        <v>28323</v>
      </c>
      <c r="Q24" s="107">
        <v>1056</v>
      </c>
      <c r="R24" s="107">
        <v>6868</v>
      </c>
    </row>
    <row r="25" spans="1:22" x14ac:dyDescent="0.25">
      <c r="A25" s="52">
        <v>44492</v>
      </c>
      <c r="B25" s="32"/>
      <c r="C25" s="32"/>
      <c r="D25" s="107">
        <v>225731</v>
      </c>
      <c r="E25" s="107">
        <v>254349</v>
      </c>
      <c r="F25" s="107">
        <v>67009</v>
      </c>
      <c r="G25" s="107">
        <v>113673</v>
      </c>
      <c r="H25" s="107">
        <v>57285</v>
      </c>
      <c r="I25" s="107">
        <v>67212</v>
      </c>
      <c r="J25" s="107">
        <v>21499</v>
      </c>
      <c r="K25" s="107">
        <v>1024</v>
      </c>
      <c r="L25" s="107">
        <v>18065</v>
      </c>
      <c r="M25" s="107">
        <v>25843</v>
      </c>
      <c r="N25" s="107">
        <v>7885</v>
      </c>
      <c r="O25" s="107">
        <v>1791</v>
      </c>
      <c r="P25" s="107">
        <v>28365</v>
      </c>
      <c r="Q25" s="107">
        <v>1059</v>
      </c>
      <c r="R25" s="107">
        <v>6869</v>
      </c>
    </row>
    <row r="26" spans="1:22" x14ac:dyDescent="0.25">
      <c r="A26" s="52">
        <v>44493</v>
      </c>
      <c r="B26" s="32"/>
      <c r="C26" s="54"/>
      <c r="D26" s="107">
        <v>225860</v>
      </c>
      <c r="E26" s="107">
        <v>254408</v>
      </c>
      <c r="F26" s="107">
        <v>67009</v>
      </c>
      <c r="G26" s="107">
        <v>113696</v>
      </c>
      <c r="H26" s="107">
        <v>57333</v>
      </c>
      <c r="I26" s="107">
        <v>67271</v>
      </c>
      <c r="J26" s="107">
        <v>21506</v>
      </c>
      <c r="K26" s="107">
        <v>1024</v>
      </c>
      <c r="L26" s="107">
        <v>18071</v>
      </c>
      <c r="M26" s="107">
        <v>25855</v>
      </c>
      <c r="N26" s="107">
        <v>7889</v>
      </c>
      <c r="O26" s="107">
        <v>1792</v>
      </c>
      <c r="P26" s="107">
        <v>28380</v>
      </c>
      <c r="Q26" s="107">
        <v>1061</v>
      </c>
      <c r="R26" s="107">
        <v>6876</v>
      </c>
    </row>
    <row r="27" spans="1:22" x14ac:dyDescent="0.25">
      <c r="A27" s="52">
        <v>44494</v>
      </c>
      <c r="B27" s="32"/>
      <c r="C27" s="32"/>
      <c r="D27" s="107">
        <v>226040</v>
      </c>
      <c r="E27" s="107">
        <v>254472</v>
      </c>
      <c r="F27" s="107">
        <v>67010</v>
      </c>
      <c r="G27" s="107">
        <v>113719</v>
      </c>
      <c r="H27" s="107">
        <v>57368</v>
      </c>
      <c r="I27" s="107">
        <v>67327</v>
      </c>
      <c r="J27" s="107">
        <v>21514</v>
      </c>
      <c r="K27" s="107">
        <v>1024</v>
      </c>
      <c r="L27" s="107">
        <v>18078</v>
      </c>
      <c r="M27" s="107">
        <v>25868</v>
      </c>
      <c r="N27" s="107">
        <v>7894</v>
      </c>
      <c r="O27" s="107">
        <v>1793</v>
      </c>
      <c r="P27" s="107">
        <v>28415</v>
      </c>
      <c r="Q27" s="107">
        <v>1063</v>
      </c>
      <c r="R27" s="107">
        <v>6882</v>
      </c>
    </row>
    <row r="28" spans="1:22" x14ac:dyDescent="0.25">
      <c r="A28" s="52">
        <v>44495</v>
      </c>
      <c r="B28" s="32"/>
      <c r="C28" s="54"/>
      <c r="D28" s="107">
        <v>226241</v>
      </c>
      <c r="E28" s="107">
        <v>254524</v>
      </c>
      <c r="F28" s="107">
        <v>67011</v>
      </c>
      <c r="G28" s="107">
        <v>113743</v>
      </c>
      <c r="H28" s="107">
        <v>57432</v>
      </c>
      <c r="I28" s="107">
        <v>67385</v>
      </c>
      <c r="J28" s="107">
        <v>21521</v>
      </c>
      <c r="K28" s="107">
        <v>10024</v>
      </c>
      <c r="L28" s="107">
        <v>18084</v>
      </c>
      <c r="M28" s="107">
        <v>25878</v>
      </c>
      <c r="N28" s="107">
        <v>7899</v>
      </c>
      <c r="O28" s="107">
        <v>1794</v>
      </c>
      <c r="P28" s="107">
        <v>28434</v>
      </c>
      <c r="Q28" s="107">
        <v>1064</v>
      </c>
      <c r="R28" s="107">
        <v>6888</v>
      </c>
    </row>
    <row r="29" spans="1:22" x14ac:dyDescent="0.25">
      <c r="A29" s="52">
        <v>44496</v>
      </c>
      <c r="B29" s="32"/>
      <c r="C29" s="32"/>
      <c r="D29" s="107">
        <v>226388</v>
      </c>
      <c r="E29" s="107">
        <v>254585</v>
      </c>
      <c r="F29" s="107">
        <v>67011</v>
      </c>
      <c r="G29" s="107">
        <v>113767</v>
      </c>
      <c r="H29" s="107">
        <v>57457</v>
      </c>
      <c r="I29" s="108">
        <v>67431</v>
      </c>
      <c r="J29" s="107">
        <v>21528</v>
      </c>
      <c r="K29" s="107">
        <v>1024</v>
      </c>
      <c r="L29" s="107">
        <v>18090</v>
      </c>
      <c r="M29" s="107">
        <v>25891</v>
      </c>
      <c r="N29" s="107">
        <v>7912</v>
      </c>
      <c r="O29" s="107">
        <v>1796</v>
      </c>
      <c r="P29" s="107">
        <v>28454</v>
      </c>
      <c r="Q29" s="107">
        <v>1064</v>
      </c>
      <c r="R29" s="107">
        <v>6894</v>
      </c>
    </row>
    <row r="30" spans="1:22" x14ac:dyDescent="0.25">
      <c r="A30" s="52">
        <v>44497</v>
      </c>
      <c r="B30" s="32"/>
      <c r="C30" s="54"/>
      <c r="D30" s="107">
        <v>226541</v>
      </c>
      <c r="E30" s="107">
        <v>254670</v>
      </c>
      <c r="F30" s="107">
        <v>67012</v>
      </c>
      <c r="G30" s="107">
        <v>11791</v>
      </c>
      <c r="H30" s="107">
        <v>57482</v>
      </c>
      <c r="I30" s="107">
        <v>67463</v>
      </c>
      <c r="J30" s="107">
        <v>21535</v>
      </c>
      <c r="K30" s="107">
        <v>1024</v>
      </c>
      <c r="L30" s="107">
        <v>18096</v>
      </c>
      <c r="M30" s="107">
        <v>25902</v>
      </c>
      <c r="N30" s="107">
        <v>7975</v>
      </c>
      <c r="O30" s="107">
        <v>1796</v>
      </c>
      <c r="P30" s="107">
        <v>28468</v>
      </c>
      <c r="Q30" s="107">
        <v>1064</v>
      </c>
      <c r="R30" s="107">
        <v>6902</v>
      </c>
    </row>
    <row r="31" spans="1:22" x14ac:dyDescent="0.25">
      <c r="A31" s="52">
        <v>44498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44499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44500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44501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5"/>
      <c r="C37" s="105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8" t="s">
        <v>31</v>
      </c>
      <c r="B2" s="149" t="s">
        <v>108</v>
      </c>
      <c r="C2" s="149" t="s">
        <v>109</v>
      </c>
      <c r="D2" s="149"/>
      <c r="E2" s="150" t="s">
        <v>97</v>
      </c>
      <c r="F2" s="151"/>
      <c r="G2" s="152" t="s">
        <v>112</v>
      </c>
      <c r="H2" s="151"/>
      <c r="I2" s="152" t="s">
        <v>110</v>
      </c>
      <c r="J2" s="151"/>
      <c r="K2" s="152" t="s">
        <v>111</v>
      </c>
      <c r="L2" s="151"/>
      <c r="M2" s="152" t="s">
        <v>107</v>
      </c>
      <c r="N2" s="151"/>
      <c r="O2" s="152" t="s">
        <v>106</v>
      </c>
      <c r="P2" s="151"/>
      <c r="Q2" s="152" t="s">
        <v>113</v>
      </c>
      <c r="R2" s="151"/>
      <c r="S2" s="152" t="s">
        <v>114</v>
      </c>
      <c r="T2" s="151"/>
      <c r="U2" s="152" t="s">
        <v>115</v>
      </c>
      <c r="V2" s="151"/>
      <c r="W2" s="152" t="s">
        <v>99</v>
      </c>
      <c r="X2" s="153"/>
      <c r="Y2" s="154" t="s">
        <v>52</v>
      </c>
      <c r="Z2" s="154"/>
    </row>
    <row r="3" spans="1:26" ht="30" x14ac:dyDescent="0.35">
      <c r="A3" s="148"/>
      <c r="B3" s="149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44470</v>
      </c>
      <c r="B4" s="63">
        <v>469</v>
      </c>
      <c r="C4" s="64">
        <f>('Water Reading'!B4-'Water Reading'!B3)+('Water Reading'!C4-'Water Reading'!C3)</f>
        <v>207</v>
      </c>
      <c r="D4" s="65">
        <f>C4/B4</f>
        <v>0.44136460554371004</v>
      </c>
      <c r="E4" s="85">
        <f>'Water Reading'!H4-'Water Reading'!H3</f>
        <v>37</v>
      </c>
      <c r="F4" s="86">
        <f>E4/C4</f>
        <v>0.17874396135265699</v>
      </c>
      <c r="G4" s="90">
        <f>('Water Reading'!D4-'Water Reading'!D3)-('Water Reading'!R4-'Water Reading'!R3)-('Water Reading'!Q4-'Water Reading'!Q3)</f>
        <v>71</v>
      </c>
      <c r="H4" s="86">
        <f>G4/C4</f>
        <v>0.34299516908212563</v>
      </c>
      <c r="I4" s="87">
        <f>'Water Reading'!P4-'Water Reading'!P3</f>
        <v>0</v>
      </c>
      <c r="J4" s="66">
        <f>I4/C4</f>
        <v>0</v>
      </c>
      <c r="K4" s="88">
        <f>('Water Reading'!I4-'Water Reading'!I3)-('Water Reading'!P4-'Water Reading'!P3)</f>
        <v>24</v>
      </c>
      <c r="L4" s="66">
        <f>K4/C4</f>
        <v>0.11594202898550725</v>
      </c>
      <c r="M4" s="87">
        <f>'Water Reading'!R4-'Water Reading'!R3</f>
        <v>2</v>
      </c>
      <c r="N4" s="89">
        <f>M4/C4</f>
        <v>9.6618357487922701E-3</v>
      </c>
      <c r="O4" s="87">
        <f>'Water Reading'!Q4-'Water Reading'!Q3</f>
        <v>1</v>
      </c>
      <c r="P4" s="96">
        <f>O4/C4</f>
        <v>4.830917874396135E-3</v>
      </c>
      <c r="Q4" s="88">
        <f>'Water Reading'!F4-'Water Reading'!F3</f>
        <v>0</v>
      </c>
      <c r="R4" s="97">
        <f>Q4/C4</f>
        <v>0</v>
      </c>
      <c r="S4" s="87">
        <f>'Water Reading'!E4-'Water Reading'!E3</f>
        <v>48</v>
      </c>
      <c r="T4" s="97">
        <f>S4/C4</f>
        <v>0.2318840579710145</v>
      </c>
      <c r="U4" s="87">
        <f>'Water Reading'!G4-'Water Reading'!G3</f>
        <v>16</v>
      </c>
      <c r="V4" s="97">
        <f>U4/C4</f>
        <v>7.7294685990338161E-2</v>
      </c>
      <c r="W4" s="87">
        <f>'Water Reading'!J4-'Water Reading'!J3</f>
        <v>9</v>
      </c>
      <c r="X4" s="97">
        <f>W4/C4</f>
        <v>4.3478260869565216E-2</v>
      </c>
      <c r="Y4" s="64">
        <f t="shared" ref="Y4:Y34" si="0">E4+I4+K4+M4+O4+G4+Q4+S4+U4+W4</f>
        <v>208</v>
      </c>
      <c r="Z4" s="65">
        <f t="shared" ref="Z4:Z35" si="1">Y4/B4</f>
        <v>0.44349680170575695</v>
      </c>
    </row>
    <row r="5" spans="1:26" x14ac:dyDescent="0.25">
      <c r="A5" s="8">
        <f>'Water Reading'!A4</f>
        <v>44471</v>
      </c>
      <c r="B5" s="63">
        <f>TOTAL!I3</f>
        <v>175</v>
      </c>
      <c r="C5" s="64">
        <v>385</v>
      </c>
      <c r="D5" s="65">
        <f t="shared" ref="D5:D34" si="2">C5/B5</f>
        <v>2.2000000000000002</v>
      </c>
      <c r="E5" s="85">
        <f>'Water Reading'!H5-'Water Reading'!H4</f>
        <v>22</v>
      </c>
      <c r="F5" s="86">
        <f t="shared" ref="F5:F34" si="3">E5/C5</f>
        <v>5.7142857142857141E-2</v>
      </c>
      <c r="G5" s="90">
        <f>('Water Reading'!D5-'Water Reading'!D4)-('Water Reading'!R5-'Water Reading'!R4)-('Water Reading'!Q5-'Water Reading'!Q4)</f>
        <v>92</v>
      </c>
      <c r="H5" s="86">
        <f t="shared" ref="H5:H34" si="4">G5/C5</f>
        <v>0.23896103896103896</v>
      </c>
      <c r="I5" s="87">
        <f>'Water Reading'!P5-'Water Reading'!P4</f>
        <v>7</v>
      </c>
      <c r="J5" s="66">
        <f t="shared" ref="J5:J34" si="5">I5/C5</f>
        <v>1.8181818181818181E-2</v>
      </c>
      <c r="K5" s="88">
        <f>('Water Reading'!I5-'Water Reading'!I4)-('Water Reading'!P5-'Water Reading'!P4)</f>
        <v>8</v>
      </c>
      <c r="L5" s="66">
        <f t="shared" ref="L5:L34" si="6">K5/C5</f>
        <v>2.0779220779220779E-2</v>
      </c>
      <c r="M5" s="87">
        <f>'Water Reading'!R5-'Water Reading'!R4</f>
        <v>6</v>
      </c>
      <c r="N5" s="89">
        <f t="shared" ref="N5:N34" si="7">M5/C5</f>
        <v>1.5584415584415584E-2</v>
      </c>
      <c r="O5" s="87">
        <f>'Water Reading'!Q5-'Water Reading'!Q4</f>
        <v>2</v>
      </c>
      <c r="P5" s="96">
        <f t="shared" ref="P5:P34" si="8">O5/C5</f>
        <v>5.1948051948051948E-3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48</v>
      </c>
      <c r="T5" s="97">
        <f t="shared" ref="T5:T34" si="10">S5/C5</f>
        <v>0.12467532467532468</v>
      </c>
      <c r="U5" s="87">
        <f>'Water Reading'!G5-'Water Reading'!G4</f>
        <v>14</v>
      </c>
      <c r="V5" s="97">
        <f t="shared" ref="V5:V34" si="11">U5/C5</f>
        <v>3.6363636363636362E-2</v>
      </c>
      <c r="W5" s="87">
        <f>'Water Reading'!J5-'Water Reading'!J4</f>
        <v>10</v>
      </c>
      <c r="X5" s="97">
        <f t="shared" ref="X5:X34" si="12">W5/C5</f>
        <v>2.5974025974025976E-2</v>
      </c>
      <c r="Y5" s="64">
        <f t="shared" si="0"/>
        <v>209</v>
      </c>
      <c r="Z5" s="65">
        <f t="shared" si="1"/>
        <v>1.1942857142857144</v>
      </c>
    </row>
    <row r="6" spans="1:26" x14ac:dyDescent="0.25">
      <c r="A6" s="8">
        <f>'Water Reading'!A5</f>
        <v>44472</v>
      </c>
      <c r="B6" s="63">
        <f>TOTAL!I4</f>
        <v>189</v>
      </c>
      <c r="C6" s="64">
        <f>('Water Reading'!B6-'Water Reading'!B5)+('Water Reading'!C6-'Water Reading'!C5)</f>
        <v>53</v>
      </c>
      <c r="D6" s="65">
        <f t="shared" si="2"/>
        <v>0.28042328042328041</v>
      </c>
      <c r="E6" s="85">
        <f>'Water Reading'!H6-'Water Reading'!H5</f>
        <v>30</v>
      </c>
      <c r="F6" s="86">
        <f t="shared" si="3"/>
        <v>0.56603773584905659</v>
      </c>
      <c r="G6" s="90">
        <f>('Water Reading'!D6-'Water Reading'!D5)-('Water Reading'!R6-'Water Reading'!R5)-('Water Reading'!Q6-'Water Reading'!Q5)</f>
        <v>69</v>
      </c>
      <c r="H6" s="86">
        <f t="shared" si="4"/>
        <v>1.3018867924528301</v>
      </c>
      <c r="I6" s="87">
        <f>'Water Reading'!P6-'Water Reading'!P5</f>
        <v>17</v>
      </c>
      <c r="J6" s="66">
        <f t="shared" si="5"/>
        <v>0.32075471698113206</v>
      </c>
      <c r="K6" s="88">
        <f>('Water Reading'!I6-'Water Reading'!I5)-('Water Reading'!P6-'Water Reading'!P5)</f>
        <v>16</v>
      </c>
      <c r="L6" s="66">
        <f t="shared" si="6"/>
        <v>0.30188679245283018</v>
      </c>
      <c r="M6" s="87">
        <f>'Water Reading'!R6-'Water Reading'!R5</f>
        <v>5</v>
      </c>
      <c r="N6" s="89">
        <f t="shared" si="7"/>
        <v>9.4339622641509441E-2</v>
      </c>
      <c r="O6" s="87">
        <f>'Water Reading'!Q6-'Water Reading'!Q5</f>
        <v>2</v>
      </c>
      <c r="P6" s="96">
        <f t="shared" si="8"/>
        <v>3.7735849056603772E-2</v>
      </c>
      <c r="Q6" s="88">
        <f>'Water Reading'!F6-'Water Reading'!F5</f>
        <v>1</v>
      </c>
      <c r="R6" s="97">
        <f t="shared" si="9"/>
        <v>1.8867924528301886E-2</v>
      </c>
      <c r="S6" s="87">
        <f>'Water Reading'!E6-'Water Reading'!E5</f>
        <v>49</v>
      </c>
      <c r="T6" s="97">
        <f t="shared" si="10"/>
        <v>0.92452830188679247</v>
      </c>
      <c r="U6" s="87">
        <f>'Water Reading'!G6-'Water Reading'!G5</f>
        <v>16</v>
      </c>
      <c r="V6" s="97">
        <f t="shared" si="11"/>
        <v>0.30188679245283018</v>
      </c>
      <c r="W6" s="87">
        <f>'Water Reading'!J6-'Water Reading'!J5</f>
        <v>10</v>
      </c>
      <c r="X6" s="97">
        <f t="shared" si="12"/>
        <v>0.18867924528301888</v>
      </c>
      <c r="Y6" s="64">
        <f t="shared" si="0"/>
        <v>215</v>
      </c>
      <c r="Z6" s="65">
        <f t="shared" si="1"/>
        <v>1.1375661375661377</v>
      </c>
    </row>
    <row r="7" spans="1:26" x14ac:dyDescent="0.25">
      <c r="A7" s="8">
        <f>'Water Reading'!A6</f>
        <v>44473</v>
      </c>
      <c r="B7" s="63">
        <f>TOTAL!I5</f>
        <v>183</v>
      </c>
      <c r="C7" s="64">
        <f>('Water Reading'!B7-'Water Reading'!B6)+('Water Reading'!C7-'Water Reading'!C6)</f>
        <v>731</v>
      </c>
      <c r="D7" s="65">
        <f t="shared" si="2"/>
        <v>3.9945355191256833</v>
      </c>
      <c r="E7" s="85">
        <f>'Water Reading'!H7-'Water Reading'!H6</f>
        <v>30</v>
      </c>
      <c r="F7" s="86">
        <f t="shared" si="3"/>
        <v>4.1039671682626538E-2</v>
      </c>
      <c r="G7" s="90">
        <f>('Water Reading'!D7-'Water Reading'!D6)-('Water Reading'!R7-'Water Reading'!R6)-('Water Reading'!Q7-'Water Reading'!Q6)</f>
        <v>64</v>
      </c>
      <c r="H7" s="86">
        <f t="shared" si="4"/>
        <v>8.7551299589603282E-2</v>
      </c>
      <c r="I7" s="87">
        <f>'Water Reading'!P7-'Water Reading'!P6</f>
        <v>17</v>
      </c>
      <c r="J7" s="66">
        <f t="shared" si="5"/>
        <v>2.3255813953488372E-2</v>
      </c>
      <c r="K7" s="88">
        <f>('Water Reading'!I7-'Water Reading'!I6)-('Water Reading'!P7-'Water Reading'!P6)</f>
        <v>16</v>
      </c>
      <c r="L7" s="66">
        <f t="shared" si="6"/>
        <v>2.188782489740082E-2</v>
      </c>
      <c r="M7" s="87">
        <f>'Water Reading'!R7-'Water Reading'!R6</f>
        <v>5</v>
      </c>
      <c r="N7" s="89">
        <f t="shared" si="7"/>
        <v>6.8399452804377564E-3</v>
      </c>
      <c r="O7" s="87">
        <f>'Water Reading'!Q7-'Water Reading'!Q6</f>
        <v>4</v>
      </c>
      <c r="P7" s="96">
        <f t="shared" si="8"/>
        <v>5.4719562243502051E-3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52</v>
      </c>
      <c r="T7" s="97">
        <f t="shared" si="10"/>
        <v>7.1135430916552667E-2</v>
      </c>
      <c r="U7" s="87">
        <f>'Water Reading'!G7-'Water Reading'!G6</f>
        <v>14</v>
      </c>
      <c r="V7" s="97">
        <f t="shared" si="11"/>
        <v>1.9151846785225718E-2</v>
      </c>
      <c r="W7" s="87">
        <f>'Water Reading'!J7-'Water Reading'!J6</f>
        <v>9</v>
      </c>
      <c r="X7" s="97">
        <f t="shared" si="12"/>
        <v>1.2311901504787962E-2</v>
      </c>
      <c r="Y7" s="64">
        <f t="shared" si="0"/>
        <v>211</v>
      </c>
      <c r="Z7" s="65">
        <f t="shared" si="1"/>
        <v>1.1530054644808743</v>
      </c>
    </row>
    <row r="8" spans="1:26" x14ac:dyDescent="0.25">
      <c r="A8" s="8">
        <f>'Water Reading'!A7</f>
        <v>44474</v>
      </c>
      <c r="B8" s="63">
        <f>TOTAL!I6</f>
        <v>254</v>
      </c>
      <c r="C8" s="64">
        <f>('Water Reading'!B8-'Water Reading'!B7)+('Water Reading'!C8-'Water Reading'!C7)</f>
        <v>295</v>
      </c>
      <c r="D8" s="65">
        <f t="shared" si="2"/>
        <v>1.1614173228346456</v>
      </c>
      <c r="E8" s="85">
        <f>'Water Reading'!H8-'Water Reading'!H7</f>
        <v>54</v>
      </c>
      <c r="F8" s="86">
        <f t="shared" si="3"/>
        <v>0.18305084745762712</v>
      </c>
      <c r="G8" s="90">
        <f>('Water Reading'!D8-'Water Reading'!D7)-('Water Reading'!R8-'Water Reading'!R7)-('Water Reading'!Q8-'Water Reading'!Q7)</f>
        <v>89</v>
      </c>
      <c r="H8" s="86">
        <f t="shared" si="4"/>
        <v>0.30169491525423731</v>
      </c>
      <c r="I8" s="87">
        <f>'Water Reading'!P8-'Water Reading'!P7</f>
        <v>14</v>
      </c>
      <c r="J8" s="66">
        <f t="shared" si="5"/>
        <v>4.7457627118644069E-2</v>
      </c>
      <c r="K8" s="88">
        <f>('Water Reading'!I8-'Water Reading'!I7)-('Water Reading'!P8-'Water Reading'!P7)</f>
        <v>21</v>
      </c>
      <c r="L8" s="66">
        <f t="shared" si="6"/>
        <v>7.1186440677966104E-2</v>
      </c>
      <c r="M8" s="87">
        <f>'Water Reading'!R8-'Water Reading'!R7</f>
        <v>4</v>
      </c>
      <c r="N8" s="89">
        <f t="shared" si="7"/>
        <v>1.3559322033898305E-2</v>
      </c>
      <c r="O8" s="87">
        <f>'Water Reading'!Q8-'Water Reading'!Q7</f>
        <v>8</v>
      </c>
      <c r="P8" s="96">
        <f t="shared" si="8"/>
        <v>2.7118644067796609E-2</v>
      </c>
      <c r="Q8" s="88">
        <f>'Water Reading'!F8-'Water Reading'!F7</f>
        <v>0</v>
      </c>
      <c r="R8" s="97">
        <f t="shared" si="9"/>
        <v>0</v>
      </c>
      <c r="S8" s="87">
        <f>'Water Reading'!E8-'Water Reading'!E7</f>
        <v>52</v>
      </c>
      <c r="T8" s="97">
        <f t="shared" si="10"/>
        <v>0.17627118644067796</v>
      </c>
      <c r="U8" s="87">
        <f>'Water Reading'!G8-'Water Reading'!G7</f>
        <v>15</v>
      </c>
      <c r="V8" s="97">
        <f t="shared" si="11"/>
        <v>5.0847457627118647E-2</v>
      </c>
      <c r="W8" s="87">
        <f>'Water Reading'!J8-'Water Reading'!J7</f>
        <v>10</v>
      </c>
      <c r="X8" s="97">
        <f t="shared" si="12"/>
        <v>3.3898305084745763E-2</v>
      </c>
      <c r="Y8" s="64">
        <f t="shared" si="0"/>
        <v>267</v>
      </c>
      <c r="Z8" s="65">
        <f t="shared" si="1"/>
        <v>1.0511811023622046</v>
      </c>
    </row>
    <row r="9" spans="1:26" x14ac:dyDescent="0.25">
      <c r="A9" s="8">
        <f>'Water Reading'!A8</f>
        <v>44475</v>
      </c>
      <c r="B9" s="63">
        <f>TOTAL!I7</f>
        <v>237</v>
      </c>
      <c r="C9" s="64">
        <f>('Water Reading'!B9-'Water Reading'!B8)+('Water Reading'!C9-'Water Reading'!C8)</f>
        <v>186</v>
      </c>
      <c r="D9" s="65">
        <f t="shared" si="2"/>
        <v>0.78481012658227844</v>
      </c>
      <c r="E9" s="85">
        <f>'Water Reading'!H9-'Water Reading'!H8</f>
        <v>48</v>
      </c>
      <c r="F9" s="86">
        <f t="shared" si="3"/>
        <v>0.25806451612903225</v>
      </c>
      <c r="G9" s="90">
        <f>('Water Reading'!D9-'Water Reading'!D8)-('Water Reading'!R9-'Water Reading'!R8)-('Water Reading'!Q9-'Water Reading'!Q8)</f>
        <v>95</v>
      </c>
      <c r="H9" s="86">
        <f t="shared" si="4"/>
        <v>0.510752688172043</v>
      </c>
      <c r="I9" s="87">
        <f>'Water Reading'!P9-'Water Reading'!P8</f>
        <v>15</v>
      </c>
      <c r="J9" s="66">
        <f t="shared" si="5"/>
        <v>8.0645161290322578E-2</v>
      </c>
      <c r="K9" s="88">
        <f>('Water Reading'!I9-'Water Reading'!I8)-('Water Reading'!P9-'Water Reading'!P8)</f>
        <v>17</v>
      </c>
      <c r="L9" s="66">
        <f t="shared" si="6"/>
        <v>9.1397849462365593E-2</v>
      </c>
      <c r="M9" s="87">
        <f>'Water Reading'!R9-'Water Reading'!R8</f>
        <v>5</v>
      </c>
      <c r="N9" s="89">
        <f t="shared" si="7"/>
        <v>2.6881720430107527E-2</v>
      </c>
      <c r="O9" s="87">
        <f>'Water Reading'!Q9-'Water Reading'!Q8</f>
        <v>4</v>
      </c>
      <c r="P9" s="96">
        <f t="shared" si="8"/>
        <v>2.1505376344086023E-2</v>
      </c>
      <c r="Q9" s="88">
        <f>'Water Reading'!F9-'Water Reading'!F8</f>
        <v>0</v>
      </c>
      <c r="R9" s="97">
        <f t="shared" si="9"/>
        <v>0</v>
      </c>
      <c r="S9" s="87">
        <f>'Water Reading'!E9-'Water Reading'!E8</f>
        <v>52</v>
      </c>
      <c r="T9" s="97">
        <f t="shared" si="10"/>
        <v>0.27956989247311825</v>
      </c>
      <c r="U9" s="87">
        <f>'Water Reading'!G9-'Water Reading'!G8</f>
        <v>15</v>
      </c>
      <c r="V9" s="97">
        <f t="shared" si="11"/>
        <v>8.0645161290322578E-2</v>
      </c>
      <c r="W9" s="87">
        <f>'Water Reading'!J9-'Water Reading'!J8</f>
        <v>10</v>
      </c>
      <c r="X9" s="97">
        <f t="shared" si="12"/>
        <v>5.3763440860215055E-2</v>
      </c>
      <c r="Y9" s="64">
        <f t="shared" si="0"/>
        <v>261</v>
      </c>
      <c r="Z9" s="65">
        <f t="shared" si="1"/>
        <v>1.1012658227848102</v>
      </c>
    </row>
    <row r="10" spans="1:26" x14ac:dyDescent="0.25">
      <c r="A10" s="8">
        <f>'Water Reading'!A9</f>
        <v>44476</v>
      </c>
      <c r="B10" s="63">
        <f>TOTAL!I8</f>
        <v>246</v>
      </c>
      <c r="C10" s="64">
        <f>('Water Reading'!B10-'Water Reading'!B9)+('Water Reading'!C10-'Water Reading'!C9)</f>
        <v>251</v>
      </c>
      <c r="D10" s="65">
        <f t="shared" si="2"/>
        <v>1.0203252032520325</v>
      </c>
      <c r="E10" s="85">
        <f>'Water Reading'!H10-'Water Reading'!H9</f>
        <v>48</v>
      </c>
      <c r="F10" s="86">
        <f t="shared" si="3"/>
        <v>0.19123505976095617</v>
      </c>
      <c r="G10" s="90">
        <f>('Water Reading'!D10-'Water Reading'!D9)-('Water Reading'!R10-'Water Reading'!R9)-('Water Reading'!Q10-'Water Reading'!Q9)</f>
        <v>122</v>
      </c>
      <c r="H10" s="86">
        <f t="shared" si="4"/>
        <v>0.48605577689243029</v>
      </c>
      <c r="I10" s="87">
        <f>'Water Reading'!P10-'Water Reading'!P9</f>
        <v>7</v>
      </c>
      <c r="J10" s="66">
        <f t="shared" si="5"/>
        <v>2.7888446215139442E-2</v>
      </c>
      <c r="K10" s="88">
        <f>('Water Reading'!I10-'Water Reading'!I9)-('Water Reading'!P10-'Water Reading'!P9)</f>
        <v>13</v>
      </c>
      <c r="L10" s="66">
        <f t="shared" si="6"/>
        <v>5.1792828685258967E-2</v>
      </c>
      <c r="M10" s="87">
        <f>'Water Reading'!R10-'Water Reading'!R9</f>
        <v>5</v>
      </c>
      <c r="N10" s="89">
        <f t="shared" si="7"/>
        <v>1.9920318725099601E-2</v>
      </c>
      <c r="O10" s="87">
        <f>'Water Reading'!Q10-'Water Reading'!Q9</f>
        <v>1</v>
      </c>
      <c r="P10" s="96">
        <f t="shared" si="8"/>
        <v>3.9840637450199202E-3</v>
      </c>
      <c r="Q10" s="88">
        <f>'Water Reading'!F10-'Water Reading'!F9</f>
        <v>0</v>
      </c>
      <c r="R10" s="97">
        <f t="shared" si="9"/>
        <v>0</v>
      </c>
      <c r="S10" s="87">
        <f>'Water Reading'!E10-'Water Reading'!E9</f>
        <v>49</v>
      </c>
      <c r="T10" s="97">
        <f t="shared" si="10"/>
        <v>0.19521912350597609</v>
      </c>
      <c r="U10" s="87">
        <f>'Water Reading'!G10-'Water Reading'!G9</f>
        <v>14</v>
      </c>
      <c r="V10" s="97">
        <f t="shared" si="11"/>
        <v>5.5776892430278883E-2</v>
      </c>
      <c r="W10" s="87">
        <f>'Water Reading'!J10-'Water Reading'!J9</f>
        <v>10</v>
      </c>
      <c r="X10" s="97">
        <f t="shared" si="12"/>
        <v>3.9840637450199202E-2</v>
      </c>
      <c r="Y10" s="64">
        <f t="shared" si="0"/>
        <v>269</v>
      </c>
      <c r="Z10" s="65">
        <f t="shared" si="1"/>
        <v>1.0934959349593496</v>
      </c>
    </row>
    <row r="11" spans="1:26" x14ac:dyDescent="0.25">
      <c r="A11" s="8">
        <f>'Water Reading'!A10</f>
        <v>44477</v>
      </c>
      <c r="B11" s="63">
        <f>TOTAL!I9</f>
        <v>265</v>
      </c>
      <c r="C11" s="64">
        <f>('Water Reading'!B11-'Water Reading'!B10)+('Water Reading'!C11-'Water Reading'!C10)</f>
        <v>212</v>
      </c>
      <c r="D11" s="65">
        <f t="shared" si="2"/>
        <v>0.8</v>
      </c>
      <c r="E11" s="85">
        <f>'Water Reading'!H11-'Water Reading'!H10</f>
        <v>59</v>
      </c>
      <c r="F11" s="86">
        <f t="shared" si="3"/>
        <v>0.27830188679245282</v>
      </c>
      <c r="G11" s="90">
        <f>('Water Reading'!D11-'Water Reading'!D10)-('Water Reading'!R11-'Water Reading'!R10)-('Water Reading'!Q11-'Water Reading'!Q10)</f>
        <v>116</v>
      </c>
      <c r="H11" s="86">
        <f t="shared" si="4"/>
        <v>0.54716981132075471</v>
      </c>
      <c r="I11" s="87">
        <f>'Water Reading'!P11-'Water Reading'!P10</f>
        <v>15</v>
      </c>
      <c r="J11" s="66">
        <f t="shared" si="5"/>
        <v>7.0754716981132074E-2</v>
      </c>
      <c r="K11" s="88">
        <f>('Water Reading'!I11-'Water Reading'!I10)-('Water Reading'!P11-'Water Reading'!P10)</f>
        <v>23</v>
      </c>
      <c r="L11" s="66">
        <f t="shared" si="6"/>
        <v>0.10849056603773585</v>
      </c>
      <c r="M11" s="87">
        <f>'Water Reading'!R11-'Water Reading'!R10</f>
        <v>1</v>
      </c>
      <c r="N11" s="89">
        <f t="shared" si="7"/>
        <v>4.7169811320754715E-3</v>
      </c>
      <c r="O11" s="95">
        <f>'Water Reading'!Q11-'Water Reading'!Q10</f>
        <v>3</v>
      </c>
      <c r="P11" s="96">
        <f t="shared" si="8"/>
        <v>1.4150943396226415E-2</v>
      </c>
      <c r="Q11" s="88">
        <f>'Water Reading'!F11-'Water Reading'!F10</f>
        <v>0</v>
      </c>
      <c r="R11" s="97">
        <f t="shared" si="9"/>
        <v>0</v>
      </c>
      <c r="S11" s="87">
        <f>'Water Reading'!E11-'Water Reading'!E10</f>
        <v>57</v>
      </c>
      <c r="T11" s="97">
        <f t="shared" si="10"/>
        <v>0.26886792452830188</v>
      </c>
      <c r="U11" s="87">
        <f>'Water Reading'!G11-'Water Reading'!G10</f>
        <v>14</v>
      </c>
      <c r="V11" s="97">
        <f t="shared" si="11"/>
        <v>6.6037735849056603E-2</v>
      </c>
      <c r="W11" s="87">
        <f>'Water Reading'!J11-'Water Reading'!J10</f>
        <v>9</v>
      </c>
      <c r="X11" s="97">
        <f t="shared" si="12"/>
        <v>4.2452830188679243E-2</v>
      </c>
      <c r="Y11" s="64">
        <f t="shared" si="0"/>
        <v>297</v>
      </c>
      <c r="Z11" s="65">
        <f t="shared" si="1"/>
        <v>1.120754716981132</v>
      </c>
    </row>
    <row r="12" spans="1:26" x14ac:dyDescent="0.25">
      <c r="A12" s="8">
        <f>'Water Reading'!A11</f>
        <v>44478</v>
      </c>
      <c r="B12" s="63">
        <f>TOTAL!I10</f>
        <v>272</v>
      </c>
      <c r="C12" s="64">
        <v>250</v>
      </c>
      <c r="D12" s="65">
        <f t="shared" si="2"/>
        <v>0.91911764705882348</v>
      </c>
      <c r="E12" s="85">
        <f>'Water Reading'!H12-'Water Reading'!H11</f>
        <v>21</v>
      </c>
      <c r="F12" s="86">
        <f t="shared" si="3"/>
        <v>8.4000000000000005E-2</v>
      </c>
      <c r="G12" s="90">
        <f>('Water Reading'!D12-'Water Reading'!D11)-('Water Reading'!R12-'Water Reading'!R11)-('Water Reading'!Q12-'Water Reading'!Q11)</f>
        <v>123</v>
      </c>
      <c r="H12" s="86">
        <f t="shared" si="4"/>
        <v>0.49199999999999999</v>
      </c>
      <c r="I12" s="87">
        <f>'Water Reading'!P12-'Water Reading'!P11</f>
        <v>0</v>
      </c>
      <c r="J12" s="66">
        <f t="shared" si="5"/>
        <v>0</v>
      </c>
      <c r="K12" s="88">
        <f>('Water Reading'!I12-'Water Reading'!I11)-('Water Reading'!P12-'Water Reading'!P11)</f>
        <v>16</v>
      </c>
      <c r="L12" s="66">
        <f t="shared" si="6"/>
        <v>6.4000000000000001E-2</v>
      </c>
      <c r="M12" s="87">
        <f>'Water Reading'!R12-'Water Reading'!R11</f>
        <v>5</v>
      </c>
      <c r="N12" s="89">
        <f t="shared" si="7"/>
        <v>0.02</v>
      </c>
      <c r="O12" s="95">
        <f>'Water Reading'!Q12-'Water Reading'!Q11</f>
        <v>1</v>
      </c>
      <c r="P12" s="96">
        <f t="shared" si="8"/>
        <v>4.0000000000000001E-3</v>
      </c>
      <c r="Q12" s="88">
        <f>'Water Reading'!F12-'Water Reading'!F11</f>
        <v>1</v>
      </c>
      <c r="R12" s="97">
        <f t="shared" si="9"/>
        <v>4.0000000000000001E-3</v>
      </c>
      <c r="S12" s="87">
        <f>'Water Reading'!E12-'Water Reading'!E11</f>
        <v>80</v>
      </c>
      <c r="T12" s="97">
        <f t="shared" si="10"/>
        <v>0.32</v>
      </c>
      <c r="U12" s="87">
        <f>'Water Reading'!G12-'Water Reading'!G11</f>
        <v>19</v>
      </c>
      <c r="V12" s="97">
        <f t="shared" si="11"/>
        <v>7.5999999999999998E-2</v>
      </c>
      <c r="W12" s="87">
        <f>'Water Reading'!J12-'Water Reading'!J11</f>
        <v>10</v>
      </c>
      <c r="X12" s="97">
        <f t="shared" si="12"/>
        <v>0.04</v>
      </c>
      <c r="Y12" s="64">
        <f t="shared" si="0"/>
        <v>276</v>
      </c>
      <c r="Z12" s="65">
        <f t="shared" si="1"/>
        <v>1.0147058823529411</v>
      </c>
    </row>
    <row r="13" spans="1:26" x14ac:dyDescent="0.25">
      <c r="A13" s="8">
        <f>'Water Reading'!A12</f>
        <v>44479</v>
      </c>
      <c r="B13" s="63">
        <f>TOTAL!I11</f>
        <v>223</v>
      </c>
      <c r="C13" s="64">
        <f>('Water Reading'!B13-'Water Reading'!B12)+('Water Reading'!C13-'Water Reading'!C12)</f>
        <v>169</v>
      </c>
      <c r="D13" s="65">
        <f t="shared" si="2"/>
        <v>0.75784753363228696</v>
      </c>
      <c r="E13" s="84">
        <f>'Water Reading'!H13-'Water Reading'!H12</f>
        <v>23</v>
      </c>
      <c r="F13" s="86">
        <f t="shared" si="3"/>
        <v>0.13609467455621302</v>
      </c>
      <c r="G13" s="90">
        <f>('Water Reading'!D13-'Water Reading'!D12)-('Water Reading'!R13-'Water Reading'!R12)-('Water Reading'!Q13-'Water Reading'!Q12)</f>
        <v>97</v>
      </c>
      <c r="H13" s="86">
        <f t="shared" si="4"/>
        <v>0.57396449704142016</v>
      </c>
      <c r="I13" s="87">
        <f>'Water Reading'!P13-'Water Reading'!P12</f>
        <v>24</v>
      </c>
      <c r="J13" s="66">
        <f t="shared" si="5"/>
        <v>0.14201183431952663</v>
      </c>
      <c r="K13" s="88">
        <f>('Water Reading'!I13-'Water Reading'!I12)-('Water Reading'!P13-'Water Reading'!P12)</f>
        <v>7</v>
      </c>
      <c r="L13" s="66">
        <f t="shared" si="6"/>
        <v>4.142011834319527E-2</v>
      </c>
      <c r="M13" s="87">
        <f>'Water Reading'!R13-'Water Reading'!R12</f>
        <v>6</v>
      </c>
      <c r="N13" s="89">
        <f t="shared" si="7"/>
        <v>3.5502958579881658E-2</v>
      </c>
      <c r="O13" s="87">
        <f>'Water Reading'!Q13-'Water Reading'!Q12</f>
        <v>2</v>
      </c>
      <c r="P13" s="96">
        <f t="shared" si="8"/>
        <v>1.1834319526627219E-2</v>
      </c>
      <c r="Q13" s="88">
        <f>'Water Reading'!F13-'Water Reading'!F12</f>
        <v>1</v>
      </c>
      <c r="R13" s="97">
        <f t="shared" si="9"/>
        <v>5.9171597633136093E-3</v>
      </c>
      <c r="S13" s="91">
        <f>'Water Reading'!E13-'Water Reading'!E12</f>
        <v>59</v>
      </c>
      <c r="T13" s="97">
        <f t="shared" si="10"/>
        <v>0.34911242603550297</v>
      </c>
      <c r="U13" s="87">
        <f>'Water Reading'!G13-'Water Reading'!G12</f>
        <v>16</v>
      </c>
      <c r="V13" s="97">
        <f t="shared" si="11"/>
        <v>9.4674556213017749E-2</v>
      </c>
      <c r="W13" s="87">
        <f>'Water Reading'!J13-'Water Reading'!J12</f>
        <v>8</v>
      </c>
      <c r="X13" s="97">
        <f t="shared" si="12"/>
        <v>4.7337278106508875E-2</v>
      </c>
      <c r="Y13" s="64">
        <f t="shared" si="0"/>
        <v>243</v>
      </c>
      <c r="Z13" s="65">
        <f t="shared" si="1"/>
        <v>1.0896860986547086</v>
      </c>
    </row>
    <row r="14" spans="1:26" x14ac:dyDescent="0.25">
      <c r="A14" s="8">
        <f>'Water Reading'!A13</f>
        <v>44480</v>
      </c>
      <c r="B14" s="63">
        <f>TOTAL!I12</f>
        <v>324</v>
      </c>
      <c r="C14" s="64">
        <f>('Water Reading'!B14-'Water Reading'!B13)+('Water Reading'!C14-'Water Reading'!C13)</f>
        <v>145</v>
      </c>
      <c r="D14" s="65">
        <f t="shared" si="2"/>
        <v>0.44753086419753085</v>
      </c>
      <c r="E14" s="85">
        <f>'Water Reading'!H14-'Water Reading'!H13</f>
        <v>20</v>
      </c>
      <c r="F14" s="86">
        <f t="shared" si="3"/>
        <v>0.13793103448275862</v>
      </c>
      <c r="G14" s="90">
        <f>('Water Reading'!D14-'Water Reading'!D13)-('Water Reading'!R14-'Water Reading'!R13)-('Water Reading'!Q14-'Water Reading'!Q13)</f>
        <v>133</v>
      </c>
      <c r="H14" s="86">
        <f t="shared" si="4"/>
        <v>0.91724137931034477</v>
      </c>
      <c r="I14" s="87">
        <f>'Water Reading'!P14-'Water Reading'!P13</f>
        <v>62</v>
      </c>
      <c r="J14" s="66">
        <f t="shared" si="5"/>
        <v>0.42758620689655175</v>
      </c>
      <c r="K14" s="88">
        <f>('Water Reading'!I14-'Water Reading'!I13)-('Water Reading'!P14-'Water Reading'!P13)</f>
        <v>42</v>
      </c>
      <c r="L14" s="66">
        <f t="shared" si="6"/>
        <v>0.28965517241379313</v>
      </c>
      <c r="M14" s="87">
        <f>'Water Reading'!R14-'Water Reading'!R13</f>
        <v>6</v>
      </c>
      <c r="N14" s="89">
        <f t="shared" si="7"/>
        <v>4.1379310344827586E-2</v>
      </c>
      <c r="O14" s="87">
        <f>'Water Reading'!Q14-'Water Reading'!Q13</f>
        <v>3</v>
      </c>
      <c r="P14" s="96">
        <f t="shared" si="8"/>
        <v>2.0689655172413793E-2</v>
      </c>
      <c r="Q14" s="88">
        <f>'Water Reading'!F14-'Water Reading'!F13</f>
        <v>1</v>
      </c>
      <c r="R14" s="97">
        <f t="shared" si="9"/>
        <v>6.8965517241379309E-3</v>
      </c>
      <c r="S14" s="91">
        <f>'Water Reading'!E14-'Water Reading'!E13</f>
        <v>54</v>
      </c>
      <c r="T14" s="97">
        <f t="shared" si="10"/>
        <v>0.3724137931034483</v>
      </c>
      <c r="U14" s="87">
        <f>'Water Reading'!G14-'Water Reading'!G13</f>
        <v>21</v>
      </c>
      <c r="V14" s="97">
        <f t="shared" si="11"/>
        <v>0.14482758620689656</v>
      </c>
      <c r="W14" s="87">
        <f>'Water Reading'!J14-'Water Reading'!J13</f>
        <v>8</v>
      </c>
      <c r="X14" s="97">
        <f t="shared" si="12"/>
        <v>5.5172413793103448E-2</v>
      </c>
      <c r="Y14" s="64">
        <f t="shared" si="0"/>
        <v>350</v>
      </c>
      <c r="Z14" s="65">
        <f t="shared" si="1"/>
        <v>1.0802469135802468</v>
      </c>
    </row>
    <row r="15" spans="1:26" x14ac:dyDescent="0.25">
      <c r="A15" s="8">
        <f>'Water Reading'!A14</f>
        <v>44481</v>
      </c>
      <c r="B15" s="63">
        <f>TOTAL!I13</f>
        <v>249</v>
      </c>
      <c r="C15" s="64">
        <f>('Water Reading'!B15-'Water Reading'!B14)+('Water Reading'!C15-'Water Reading'!C14)</f>
        <v>114</v>
      </c>
      <c r="D15" s="65">
        <f t="shared" si="2"/>
        <v>0.45783132530120479</v>
      </c>
      <c r="E15" s="84">
        <f>'Water Reading'!H15-'Water Reading'!H14</f>
        <v>38</v>
      </c>
      <c r="F15" s="86">
        <f t="shared" si="3"/>
        <v>0.33333333333333331</v>
      </c>
      <c r="G15" s="90">
        <f>('Water Reading'!D15-'Water Reading'!D14)-('Water Reading'!R15-'Water Reading'!R14)-('Water Reading'!Q15-'Water Reading'!Q14)</f>
        <v>110</v>
      </c>
      <c r="H15" s="86">
        <f t="shared" si="4"/>
        <v>0.96491228070175439</v>
      </c>
      <c r="I15" s="87">
        <f>'Water Reading'!P15-'Water Reading'!P14</f>
        <v>12</v>
      </c>
      <c r="J15" s="66">
        <f t="shared" si="5"/>
        <v>0.10526315789473684</v>
      </c>
      <c r="K15" s="88">
        <f>('Water Reading'!I15-'Water Reading'!I14)-('Water Reading'!P15-'Water Reading'!P14)</f>
        <v>20</v>
      </c>
      <c r="L15" s="66">
        <f t="shared" si="6"/>
        <v>0.17543859649122806</v>
      </c>
      <c r="M15" s="87">
        <f>'Water Reading'!R15-'Water Reading'!R14</f>
        <v>5</v>
      </c>
      <c r="N15" s="89">
        <f t="shared" si="7"/>
        <v>4.3859649122807015E-2</v>
      </c>
      <c r="O15" s="87">
        <f>'Water Reading'!Q15-'Water Reading'!Q14</f>
        <v>2</v>
      </c>
      <c r="P15" s="96">
        <f t="shared" si="8"/>
        <v>1.7543859649122806E-2</v>
      </c>
      <c r="Q15" s="88">
        <f>'Water Reading'!F15-'Water Reading'!F14</f>
        <v>1</v>
      </c>
      <c r="R15" s="97">
        <f t="shared" si="9"/>
        <v>8.771929824561403E-3</v>
      </c>
      <c r="S15" s="91">
        <f>'Water Reading'!E15-'Water Reading'!E14</f>
        <v>54</v>
      </c>
      <c r="T15" s="97">
        <f t="shared" si="10"/>
        <v>0.47368421052631576</v>
      </c>
      <c r="U15" s="87">
        <f>'Water Reading'!G15-'Water Reading'!G14</f>
        <v>16</v>
      </c>
      <c r="V15" s="97">
        <f t="shared" si="11"/>
        <v>0.14035087719298245</v>
      </c>
      <c r="W15" s="87">
        <f>'Water Reading'!J15-'Water Reading'!J14</f>
        <v>7</v>
      </c>
      <c r="X15" s="97">
        <f t="shared" si="12"/>
        <v>6.1403508771929821E-2</v>
      </c>
      <c r="Y15" s="64">
        <f t="shared" si="0"/>
        <v>265</v>
      </c>
      <c r="Z15" s="65">
        <f t="shared" si="1"/>
        <v>1.0642570281124497</v>
      </c>
    </row>
    <row r="16" spans="1:26" x14ac:dyDescent="0.25">
      <c r="A16" s="8">
        <f>'Water Reading'!A15</f>
        <v>44482</v>
      </c>
      <c r="B16" s="63">
        <f>TOTAL!I14</f>
        <v>265</v>
      </c>
      <c r="C16" s="64">
        <f>('Water Reading'!B16-'Water Reading'!B15)+('Water Reading'!C16-'Water Reading'!C15)</f>
        <v>-337668</v>
      </c>
      <c r="D16" s="65">
        <f t="shared" si="2"/>
        <v>-1274.2188679245282</v>
      </c>
      <c r="E16" s="84">
        <f>'Water Reading'!H16-'Water Reading'!H15</f>
        <v>43</v>
      </c>
      <c r="F16" s="86">
        <f t="shared" si="3"/>
        <v>-1.2734401838492246E-4</v>
      </c>
      <c r="G16" s="90">
        <f>('Water Reading'!D16-'Water Reading'!D15)-('Water Reading'!R16-'Water Reading'!R15)-('Water Reading'!Q16-'Water Reading'!Q15)</f>
        <v>126</v>
      </c>
      <c r="H16" s="86">
        <f t="shared" si="4"/>
        <v>-3.7314758875581932E-4</v>
      </c>
      <c r="I16" s="87">
        <f>'Water Reading'!P16-'Water Reading'!P15</f>
        <v>15</v>
      </c>
      <c r="J16" s="66">
        <f t="shared" si="5"/>
        <v>-4.4422331994740397E-5</v>
      </c>
      <c r="K16" s="88">
        <f>('Water Reading'!I16-'Water Reading'!I15)-('Water Reading'!P16-'Water Reading'!P15)</f>
        <v>19</v>
      </c>
      <c r="L16" s="66">
        <f t="shared" si="6"/>
        <v>-5.6268287193337834E-5</v>
      </c>
      <c r="M16" s="87">
        <f>'Water Reading'!R16-'Water Reading'!R15</f>
        <v>6</v>
      </c>
      <c r="N16" s="89">
        <f t="shared" si="7"/>
        <v>-1.7768932797896159E-5</v>
      </c>
      <c r="O16" s="87">
        <f>'Water Reading'!Q16-'Water Reading'!Q15</f>
        <v>1</v>
      </c>
      <c r="P16" s="96">
        <f t="shared" si="8"/>
        <v>-2.9614887996493597E-6</v>
      </c>
      <c r="Q16" s="88">
        <f>'Water Reading'!F16-'Water Reading'!F15</f>
        <v>0</v>
      </c>
      <c r="R16" s="97">
        <f t="shared" si="9"/>
        <v>0</v>
      </c>
      <c r="S16" s="91">
        <f>'Water Reading'!E16-'Water Reading'!E15</f>
        <v>53</v>
      </c>
      <c r="T16" s="97">
        <f t="shared" si="10"/>
        <v>-1.5695890638141606E-4</v>
      </c>
      <c r="U16" s="87">
        <f>'Water Reading'!G16-'Water Reading'!G15</f>
        <v>15</v>
      </c>
      <c r="V16" s="97">
        <f t="shared" si="11"/>
        <v>-4.4422331994740397E-5</v>
      </c>
      <c r="W16" s="87">
        <f>'Water Reading'!J16-'Water Reading'!J15</f>
        <v>8</v>
      </c>
      <c r="X16" s="97">
        <f t="shared" si="12"/>
        <v>-2.3691910397194877E-5</v>
      </c>
      <c r="Y16" s="64">
        <f t="shared" si="0"/>
        <v>286</v>
      </c>
      <c r="Z16" s="65">
        <f t="shared" si="1"/>
        <v>1.0792452830188679</v>
      </c>
    </row>
    <row r="17" spans="1:26" x14ac:dyDescent="0.25">
      <c r="A17" s="8">
        <f>'Water Reading'!A16</f>
        <v>44483</v>
      </c>
      <c r="B17" s="63">
        <f>TOTAL!I15</f>
        <v>304</v>
      </c>
      <c r="C17" s="64">
        <f>('Water Reading'!B17-'Water Reading'!B16)+('Water Reading'!C17-'Water Reading'!C16)</f>
        <v>0</v>
      </c>
      <c r="D17" s="65">
        <f t="shared" si="2"/>
        <v>0</v>
      </c>
      <c r="E17" s="84">
        <f>'Water Reading'!H17-'Water Reading'!H16</f>
        <v>34</v>
      </c>
      <c r="F17" s="86" t="e">
        <f t="shared" si="3"/>
        <v>#DIV/0!</v>
      </c>
      <c r="G17" s="90">
        <f>('Water Reading'!D17-'Water Reading'!D16)-('Water Reading'!R17-'Water Reading'!R16)-('Water Reading'!Q17-'Water Reading'!Q16)</f>
        <v>207</v>
      </c>
      <c r="H17" s="86" t="e">
        <f t="shared" si="4"/>
        <v>#DIV/0!</v>
      </c>
      <c r="I17" s="87">
        <f>'Water Reading'!P17-'Water Reading'!P16</f>
        <v>12</v>
      </c>
      <c r="J17" s="66" t="e">
        <f t="shared" si="5"/>
        <v>#DIV/0!</v>
      </c>
      <c r="K17" s="88">
        <f>('Water Reading'!I17-'Water Reading'!I16)-('Water Reading'!P17-'Water Reading'!P16)</f>
        <v>24</v>
      </c>
      <c r="L17" s="66" t="e">
        <f t="shared" si="6"/>
        <v>#DIV/0!</v>
      </c>
      <c r="M17" s="87">
        <f>'Water Reading'!R17-'Water Reading'!R16</f>
        <v>5</v>
      </c>
      <c r="N17" s="89" t="e">
        <f t="shared" si="7"/>
        <v>#DIV/0!</v>
      </c>
      <c r="O17" s="87">
        <f>'Water Reading'!Q17-'Water Reading'!Q16</f>
        <v>0</v>
      </c>
      <c r="P17" s="96" t="e">
        <f t="shared" si="8"/>
        <v>#DIV/0!</v>
      </c>
      <c r="Q17" s="88">
        <f>'Water Reading'!F17-'Water Reading'!F16</f>
        <v>0</v>
      </c>
      <c r="R17" s="97" t="e">
        <f t="shared" si="9"/>
        <v>#DIV/0!</v>
      </c>
      <c r="S17" s="91">
        <f>'Water Reading'!E17-'Water Reading'!E16</f>
        <v>56</v>
      </c>
      <c r="T17" s="97" t="e">
        <f t="shared" si="10"/>
        <v>#DIV/0!</v>
      </c>
      <c r="U17" s="87">
        <f>'Water Reading'!G17-'Water Reading'!G16</f>
        <v>21</v>
      </c>
      <c r="V17" s="97" t="e">
        <f t="shared" si="11"/>
        <v>#DIV/0!</v>
      </c>
      <c r="W17" s="87">
        <f>'Water Reading'!J17-'Water Reading'!J16</f>
        <v>8</v>
      </c>
      <c r="X17" s="97" t="e">
        <f t="shared" si="12"/>
        <v>#DIV/0!</v>
      </c>
      <c r="Y17" s="64">
        <f t="shared" si="0"/>
        <v>367</v>
      </c>
      <c r="Z17" s="65">
        <f t="shared" si="1"/>
        <v>1.2072368421052631</v>
      </c>
    </row>
    <row r="18" spans="1:26" x14ac:dyDescent="0.25">
      <c r="A18" s="8">
        <f>'Water Reading'!A17</f>
        <v>44484</v>
      </c>
      <c r="B18" s="63">
        <f>TOTAL!I16</f>
        <v>254</v>
      </c>
      <c r="C18" s="64">
        <f>('Water Reading'!B18-'Water Reading'!B17)+('Water Reading'!C18-'Water Reading'!C17)</f>
        <v>0</v>
      </c>
      <c r="D18" s="65">
        <f t="shared" si="2"/>
        <v>0</v>
      </c>
      <c r="E18" s="84">
        <f>'Water Reading'!H18-'Water Reading'!H17</f>
        <v>55</v>
      </c>
      <c r="F18" s="86" t="e">
        <f t="shared" si="3"/>
        <v>#DIV/0!</v>
      </c>
      <c r="G18" s="90">
        <f>('Water Reading'!D18-'Water Reading'!D17)-('Water Reading'!R18-'Water Reading'!R17)-('Water Reading'!Q18-'Water Reading'!Q17)</f>
        <v>91</v>
      </c>
      <c r="H18" s="86" t="e">
        <f t="shared" si="4"/>
        <v>#DIV/0!</v>
      </c>
      <c r="I18" s="87">
        <f>'Water Reading'!P18-'Water Reading'!P17</f>
        <v>14</v>
      </c>
      <c r="J18" s="66" t="e">
        <f t="shared" si="5"/>
        <v>#DIV/0!</v>
      </c>
      <c r="K18" s="88">
        <f>('Water Reading'!I18-'Water Reading'!I17)-('Water Reading'!P18-'Water Reading'!P17)</f>
        <v>22</v>
      </c>
      <c r="L18" s="66" t="e">
        <f t="shared" si="6"/>
        <v>#DIV/0!</v>
      </c>
      <c r="M18" s="87">
        <f>'Water Reading'!R18-'Water Reading'!R17</f>
        <v>1</v>
      </c>
      <c r="N18" s="89" t="e">
        <f t="shared" si="7"/>
        <v>#DIV/0!</v>
      </c>
      <c r="O18" s="87">
        <f>'Water Reading'!Q18-'Water Reading'!Q17</f>
        <v>4</v>
      </c>
      <c r="P18" s="96" t="e">
        <f t="shared" si="8"/>
        <v>#DIV/0!</v>
      </c>
      <c r="Q18" s="88">
        <f>'Water Reading'!F18-'Water Reading'!F17</f>
        <v>0</v>
      </c>
      <c r="R18" s="97" t="e">
        <f t="shared" si="9"/>
        <v>#DIV/0!</v>
      </c>
      <c r="S18" s="91">
        <f>'Water Reading'!E18-'Water Reading'!E17</f>
        <v>51</v>
      </c>
      <c r="T18" s="97" t="e">
        <f t="shared" si="10"/>
        <v>#DIV/0!</v>
      </c>
      <c r="U18" s="87">
        <f>'Water Reading'!G18-'Water Reading'!G17</f>
        <v>12</v>
      </c>
      <c r="V18" s="97" t="e">
        <f t="shared" si="11"/>
        <v>#DIV/0!</v>
      </c>
      <c r="W18" s="87">
        <f>'Water Reading'!J18-'Water Reading'!J17</f>
        <v>7</v>
      </c>
      <c r="X18" s="97" t="e">
        <f t="shared" si="12"/>
        <v>#DIV/0!</v>
      </c>
      <c r="Y18" s="64">
        <f t="shared" si="0"/>
        <v>257</v>
      </c>
      <c r="Z18" s="65">
        <f t="shared" si="1"/>
        <v>1.0118110236220472</v>
      </c>
    </row>
    <row r="19" spans="1:26" x14ac:dyDescent="0.25">
      <c r="A19" s="8">
        <f>'Water Reading'!A18</f>
        <v>44485</v>
      </c>
      <c r="B19" s="63">
        <f>TOTAL!I17</f>
        <v>314</v>
      </c>
      <c r="C19" s="64">
        <f>('Water Reading'!B19-'Water Reading'!B18)+('Water Reading'!C19-'Water Reading'!C18)</f>
        <v>0</v>
      </c>
      <c r="D19" s="65">
        <f t="shared" si="2"/>
        <v>0</v>
      </c>
      <c r="E19" s="84">
        <f>'Water Reading'!H19-'Water Reading'!H18</f>
        <v>81</v>
      </c>
      <c r="F19" s="86" t="e">
        <f t="shared" si="3"/>
        <v>#DIV/0!</v>
      </c>
      <c r="G19" s="90">
        <f>('Water Reading'!D19-'Water Reading'!D18)-('Water Reading'!R19-'Water Reading'!R18)-('Water Reading'!Q19-'Water Reading'!Q18)</f>
        <v>126</v>
      </c>
      <c r="H19" s="86" t="e">
        <f t="shared" si="4"/>
        <v>#DIV/0!</v>
      </c>
      <c r="I19" s="87">
        <f>'Water Reading'!P19-'Water Reading'!P18</f>
        <v>20</v>
      </c>
      <c r="J19" s="66" t="e">
        <f t="shared" si="5"/>
        <v>#DIV/0!</v>
      </c>
      <c r="K19" s="88">
        <f>('Water Reading'!I19-'Water Reading'!I18)-('Water Reading'!P19-'Water Reading'!P18)</f>
        <v>4</v>
      </c>
      <c r="L19" s="66" t="e">
        <f t="shared" si="6"/>
        <v>#DIV/0!</v>
      </c>
      <c r="M19" s="87">
        <f>'Water Reading'!R19-'Water Reading'!R18</f>
        <v>7</v>
      </c>
      <c r="N19" s="89" t="e">
        <f t="shared" si="7"/>
        <v>#DIV/0!</v>
      </c>
      <c r="O19" s="87">
        <f>'Water Reading'!Q19-'Water Reading'!Q18</f>
        <v>1</v>
      </c>
      <c r="P19" s="96" t="e">
        <f t="shared" si="8"/>
        <v>#DIV/0!</v>
      </c>
      <c r="Q19" s="88">
        <f>'Water Reading'!F19-'Water Reading'!F18</f>
        <v>1</v>
      </c>
      <c r="R19" s="97" t="e">
        <f t="shared" si="9"/>
        <v>#DIV/0!</v>
      </c>
      <c r="S19" s="91">
        <f>'Water Reading'!E19-'Water Reading'!E18</f>
        <v>58</v>
      </c>
      <c r="T19" s="97" t="e">
        <f t="shared" si="10"/>
        <v>#DIV/0!</v>
      </c>
      <c r="U19" s="87">
        <f>'Water Reading'!G19-'Water Reading'!G18</f>
        <v>26</v>
      </c>
      <c r="V19" s="97" t="e">
        <f t="shared" si="11"/>
        <v>#DIV/0!</v>
      </c>
      <c r="W19" s="87">
        <f>'Water Reading'!J19-'Water Reading'!J18</f>
        <v>6</v>
      </c>
      <c r="X19" s="97" t="e">
        <f t="shared" si="12"/>
        <v>#DIV/0!</v>
      </c>
      <c r="Y19" s="64">
        <f t="shared" si="0"/>
        <v>330</v>
      </c>
      <c r="Z19" s="65">
        <f t="shared" si="1"/>
        <v>1.0509554140127388</v>
      </c>
    </row>
    <row r="20" spans="1:26" x14ac:dyDescent="0.25">
      <c r="A20" s="8">
        <f>'Water Reading'!A19</f>
        <v>44486</v>
      </c>
      <c r="B20" s="63">
        <f>TOTAL!I18</f>
        <v>241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48</v>
      </c>
      <c r="F20" s="86" t="e">
        <f t="shared" si="3"/>
        <v>#DIV/0!</v>
      </c>
      <c r="G20" s="90">
        <f>('Water Reading'!D20-'Water Reading'!D19)-('Water Reading'!R20-'Water Reading'!R19)-('Water Reading'!Q20-'Water Reading'!Q19)</f>
        <v>106</v>
      </c>
      <c r="H20" s="86" t="e">
        <f t="shared" si="4"/>
        <v>#DIV/0!</v>
      </c>
      <c r="I20" s="87">
        <f>'Water Reading'!P20-'Water Reading'!P19</f>
        <v>0</v>
      </c>
      <c r="J20" s="66" t="e">
        <f t="shared" si="5"/>
        <v>#DIV/0!</v>
      </c>
      <c r="K20" s="88">
        <f>('Water Reading'!I20-'Water Reading'!I19)-('Water Reading'!P20-'Water Reading'!P19)</f>
        <v>44</v>
      </c>
      <c r="L20" s="66" t="e">
        <f t="shared" si="6"/>
        <v>#DIV/0!</v>
      </c>
      <c r="M20" s="87">
        <f>'Water Reading'!R20-'Water Reading'!R19</f>
        <v>6</v>
      </c>
      <c r="N20" s="89" t="e">
        <f t="shared" si="7"/>
        <v>#DIV/0!</v>
      </c>
      <c r="O20" s="87">
        <f>'Water Reading'!Q20-'Water Reading'!Q19</f>
        <v>0</v>
      </c>
      <c r="P20" s="96" t="e">
        <f t="shared" si="8"/>
        <v>#DIV/0!</v>
      </c>
      <c r="Q20" s="88">
        <f>'Water Reading'!F20-'Water Reading'!F19</f>
        <v>0</v>
      </c>
      <c r="R20" s="97" t="e">
        <f t="shared" si="9"/>
        <v>#DIV/0!</v>
      </c>
      <c r="S20" s="91">
        <f>'Water Reading'!E20-'Water Reading'!E19</f>
        <v>54</v>
      </c>
      <c r="T20" s="97" t="e">
        <f t="shared" si="10"/>
        <v>#DIV/0!</v>
      </c>
      <c r="U20" s="87">
        <f>'Water Reading'!G20-'Water Reading'!G19</f>
        <v>21</v>
      </c>
      <c r="V20" s="97" t="e">
        <f t="shared" si="11"/>
        <v>#DIV/0!</v>
      </c>
      <c r="W20" s="87">
        <f>'Water Reading'!J20-'Water Reading'!J19</f>
        <v>9</v>
      </c>
      <c r="X20" s="97" t="e">
        <f t="shared" si="12"/>
        <v>#DIV/0!</v>
      </c>
      <c r="Y20" s="64">
        <f t="shared" si="0"/>
        <v>288</v>
      </c>
      <c r="Z20" s="65">
        <f t="shared" si="1"/>
        <v>1.1950207468879668</v>
      </c>
    </row>
    <row r="21" spans="1:26" x14ac:dyDescent="0.25">
      <c r="A21" s="8">
        <f>'Water Reading'!A20</f>
        <v>44487</v>
      </c>
      <c r="B21" s="63">
        <f>TOTAL!I19</f>
        <v>263</v>
      </c>
      <c r="C21" s="64">
        <f>('Water Reading'!B21-'Water Reading'!B20)+('Water Reading'!C21-'Water Reading'!C20)</f>
        <v>0</v>
      </c>
      <c r="D21" s="65">
        <f t="shared" si="2"/>
        <v>0</v>
      </c>
      <c r="E21" s="84">
        <f>'Water Reading'!H21-'Water Reading'!H20</f>
        <v>21</v>
      </c>
      <c r="F21" s="86" t="e">
        <f t="shared" si="3"/>
        <v>#DIV/0!</v>
      </c>
      <c r="G21" s="90">
        <f>('Water Reading'!D21-'Water Reading'!D20)-('Water Reading'!R21-'Water Reading'!R20)-('Water Reading'!Q21-'Water Reading'!Q20)</f>
        <v>93</v>
      </c>
      <c r="H21" s="86" t="e">
        <f t="shared" si="4"/>
        <v>#DIV/0!</v>
      </c>
      <c r="I21" s="87">
        <f>'Water Reading'!P21-'Water Reading'!P20</f>
        <v>8</v>
      </c>
      <c r="J21" s="66" t="e">
        <f t="shared" si="5"/>
        <v>#DIV/0!</v>
      </c>
      <c r="K21" s="88">
        <f>('Water Reading'!I21-'Water Reading'!I20)-('Water Reading'!P21-'Water Reading'!P20)</f>
        <v>70</v>
      </c>
      <c r="L21" s="66" t="e">
        <f t="shared" si="6"/>
        <v>#DIV/0!</v>
      </c>
      <c r="M21" s="87">
        <f>'Water Reading'!R21-'Water Reading'!R20</f>
        <v>7</v>
      </c>
      <c r="N21" s="89" t="e">
        <f t="shared" si="7"/>
        <v>#DIV/0!</v>
      </c>
      <c r="O21" s="87">
        <f>'Water Reading'!Q21-'Water Reading'!Q20</f>
        <v>0</v>
      </c>
      <c r="P21" s="96" t="e">
        <f t="shared" si="8"/>
        <v>#DIV/0!</v>
      </c>
      <c r="Q21" s="88">
        <f>'Water Reading'!F21-'Water Reading'!F20</f>
        <v>1</v>
      </c>
      <c r="R21" s="97" t="e">
        <f t="shared" si="9"/>
        <v>#DIV/0!</v>
      </c>
      <c r="S21" s="91">
        <f>'Water Reading'!E21-'Water Reading'!E20</f>
        <v>54</v>
      </c>
      <c r="T21" s="97" t="e">
        <f t="shared" si="10"/>
        <v>#DIV/0!</v>
      </c>
      <c r="U21" s="87">
        <f>'Water Reading'!G21-'Water Reading'!G20</f>
        <v>15</v>
      </c>
      <c r="V21" s="97" t="e">
        <f t="shared" si="11"/>
        <v>#DIV/0!</v>
      </c>
      <c r="W21" s="87">
        <f>'Water Reading'!J21-'Water Reading'!J20</f>
        <v>7</v>
      </c>
      <c r="X21" s="97" t="e">
        <f t="shared" si="12"/>
        <v>#DIV/0!</v>
      </c>
      <c r="Y21" s="64">
        <f t="shared" si="0"/>
        <v>276</v>
      </c>
      <c r="Z21" s="65">
        <f t="shared" si="1"/>
        <v>1.0494296577946769</v>
      </c>
    </row>
    <row r="22" spans="1:26" x14ac:dyDescent="0.25">
      <c r="A22" s="8">
        <f>'Water Reading'!A21</f>
        <v>44488</v>
      </c>
      <c r="B22" s="63">
        <f>TOTAL!I20</f>
        <v>396</v>
      </c>
      <c r="C22" s="64">
        <f>('Water Reading'!B22-'Water Reading'!B21)+('Water Reading'!C22-'Water Reading'!C21)</f>
        <v>0</v>
      </c>
      <c r="D22" s="65">
        <f t="shared" si="2"/>
        <v>0</v>
      </c>
      <c r="E22" s="84">
        <f>'Water Reading'!H22-'Water Reading'!H21</f>
        <v>53</v>
      </c>
      <c r="F22" s="86" t="e">
        <f t="shared" si="3"/>
        <v>#DIV/0!</v>
      </c>
      <c r="G22" s="90">
        <f>('Water Reading'!D22-'Water Reading'!D21)-('Water Reading'!R22-'Water Reading'!R21)-('Water Reading'!Q22-'Water Reading'!Q21)</f>
        <v>126</v>
      </c>
      <c r="H22" s="86" t="e">
        <f t="shared" si="4"/>
        <v>#DIV/0!</v>
      </c>
      <c r="I22" s="87">
        <f>'Water Reading'!P22-'Water Reading'!P21</f>
        <v>12</v>
      </c>
      <c r="J22" s="66" t="e">
        <f t="shared" si="5"/>
        <v>#DIV/0!</v>
      </c>
      <c r="K22" s="88">
        <f>('Water Reading'!I22-'Water Reading'!I21)-('Water Reading'!P22-'Water Reading'!P21)</f>
        <v>30</v>
      </c>
      <c r="L22" s="66" t="e">
        <f t="shared" si="6"/>
        <v>#DIV/0!</v>
      </c>
      <c r="M22" s="87">
        <f>'Water Reading'!R22-'Water Reading'!R21</f>
        <v>7</v>
      </c>
      <c r="N22" s="89" t="e">
        <f t="shared" si="7"/>
        <v>#DIV/0!</v>
      </c>
      <c r="O22" s="87">
        <f>'Water Reading'!Q22-'Water Reading'!Q21</f>
        <v>1</v>
      </c>
      <c r="P22" s="96" t="e">
        <f t="shared" si="8"/>
        <v>#DIV/0!</v>
      </c>
      <c r="Q22" s="88">
        <f>'Water Reading'!F22-'Water Reading'!F21</f>
        <v>0</v>
      </c>
      <c r="R22" s="97" t="e">
        <f t="shared" si="9"/>
        <v>#DIV/0!</v>
      </c>
      <c r="S22" s="91">
        <f>'Water Reading'!E22-'Water Reading'!E21</f>
        <v>61</v>
      </c>
      <c r="T22" s="97" t="e">
        <f t="shared" si="10"/>
        <v>#DIV/0!</v>
      </c>
      <c r="U22" s="87">
        <f>'Water Reading'!G22-'Water Reading'!G21</f>
        <v>26</v>
      </c>
      <c r="V22" s="97" t="e">
        <f t="shared" si="11"/>
        <v>#DIV/0!</v>
      </c>
      <c r="W22" s="87">
        <f>'Water Reading'!J22-'Water Reading'!J21</f>
        <v>8</v>
      </c>
      <c r="X22" s="97" t="e">
        <f t="shared" si="12"/>
        <v>#DIV/0!</v>
      </c>
      <c r="Y22" s="64">
        <f t="shared" si="0"/>
        <v>324</v>
      </c>
      <c r="Z22" s="65">
        <f t="shared" si="1"/>
        <v>0.81818181818181823</v>
      </c>
    </row>
    <row r="23" spans="1:26" x14ac:dyDescent="0.25">
      <c r="A23" s="8">
        <f>'Water Reading'!A22</f>
        <v>44489</v>
      </c>
      <c r="B23" s="63">
        <f>TOTAL!I21</f>
        <v>204</v>
      </c>
      <c r="C23" s="64">
        <f>('Water Reading'!B23-'Water Reading'!B22)+('Water Reading'!C23-'Water Reading'!C22)</f>
        <v>0</v>
      </c>
      <c r="D23" s="65">
        <f t="shared" si="2"/>
        <v>0</v>
      </c>
      <c r="E23" s="84">
        <f>'Water Reading'!H23-'Water Reading'!H22</f>
        <v>49</v>
      </c>
      <c r="F23" s="86" t="e">
        <f t="shared" si="3"/>
        <v>#DIV/0!</v>
      </c>
      <c r="G23" s="90">
        <f>('Water Reading'!D23-'Water Reading'!D22)-('Water Reading'!R23-'Water Reading'!R22)-('Water Reading'!Q23-'Water Reading'!Q22)</f>
        <v>124</v>
      </c>
      <c r="H23" s="86" t="e">
        <f t="shared" si="4"/>
        <v>#DIV/0!</v>
      </c>
      <c r="I23" s="87">
        <f>'Water Reading'!P23-'Water Reading'!P22</f>
        <v>0</v>
      </c>
      <c r="J23" s="66" t="e">
        <f t="shared" si="5"/>
        <v>#DIV/0!</v>
      </c>
      <c r="K23" s="88">
        <f>('Water Reading'!I23-'Water Reading'!I22)-('Water Reading'!P23-'Water Reading'!P22)</f>
        <v>25</v>
      </c>
      <c r="L23" s="66" t="e">
        <f t="shared" si="6"/>
        <v>#DIV/0!</v>
      </c>
      <c r="M23" s="87">
        <f>'Water Reading'!R23-'Water Reading'!R22</f>
        <v>10</v>
      </c>
      <c r="N23" s="89" t="e">
        <f t="shared" si="7"/>
        <v>#DIV/0!</v>
      </c>
      <c r="O23" s="87">
        <f>'Water Reading'!Q23-'Water Reading'!Q22</f>
        <v>3</v>
      </c>
      <c r="P23" s="96" t="e">
        <f t="shared" si="8"/>
        <v>#DIV/0!</v>
      </c>
      <c r="Q23" s="88">
        <f>'Water Reading'!F23-'Water Reading'!F22</f>
        <v>1</v>
      </c>
      <c r="R23" s="97" t="e">
        <f t="shared" si="9"/>
        <v>#DIV/0!</v>
      </c>
      <c r="S23" s="91">
        <f>'Water Reading'!E23-'Water Reading'!E22</f>
        <v>55</v>
      </c>
      <c r="T23" s="97" t="e">
        <f t="shared" si="10"/>
        <v>#DIV/0!</v>
      </c>
      <c r="U23" s="87">
        <f>'Water Reading'!G23-'Water Reading'!G22</f>
        <v>23</v>
      </c>
      <c r="V23" s="97" t="e">
        <f t="shared" si="11"/>
        <v>#DIV/0!</v>
      </c>
      <c r="W23" s="87">
        <f>'Water Reading'!J23-'Water Reading'!J22</f>
        <v>7</v>
      </c>
      <c r="X23" s="97" t="e">
        <f t="shared" si="12"/>
        <v>#DIV/0!</v>
      </c>
      <c r="Y23" s="64">
        <f t="shared" si="0"/>
        <v>297</v>
      </c>
      <c r="Z23" s="65">
        <f t="shared" si="1"/>
        <v>1.4558823529411764</v>
      </c>
    </row>
    <row r="24" spans="1:26" x14ac:dyDescent="0.25">
      <c r="A24" s="8">
        <f>'Water Reading'!A23</f>
        <v>44490</v>
      </c>
      <c r="B24" s="63">
        <f>TOTAL!I22</f>
        <v>309</v>
      </c>
      <c r="C24" s="64">
        <f>('Water Reading'!B24-'Water Reading'!B23)+('Water Reading'!C24-'Water Reading'!C23)</f>
        <v>0</v>
      </c>
      <c r="D24" s="65">
        <f t="shared" si="2"/>
        <v>0</v>
      </c>
      <c r="E24" s="84">
        <f>'Water Reading'!H24-'Water Reading'!H23</f>
        <v>58</v>
      </c>
      <c r="F24" s="86" t="e">
        <f t="shared" si="3"/>
        <v>#DIV/0!</v>
      </c>
      <c r="G24" s="90">
        <f>('Water Reading'!D24-'Water Reading'!D23)-('Water Reading'!R24-'Water Reading'!R23)-('Water Reading'!Q24-'Water Reading'!Q23)</f>
        <v>138</v>
      </c>
      <c r="H24" s="86" t="e">
        <f t="shared" si="4"/>
        <v>#DIV/0!</v>
      </c>
      <c r="I24" s="87">
        <f>'Water Reading'!P24-'Water Reading'!P23</f>
        <v>16</v>
      </c>
      <c r="J24" s="66" t="e">
        <f t="shared" si="5"/>
        <v>#DIV/0!</v>
      </c>
      <c r="K24" s="88">
        <f>('Water Reading'!I24-'Water Reading'!I23)-('Water Reading'!P24-'Water Reading'!P23)</f>
        <v>27</v>
      </c>
      <c r="L24" s="66" t="e">
        <f t="shared" si="6"/>
        <v>#DIV/0!</v>
      </c>
      <c r="M24" s="87">
        <f>'Water Reading'!R24-'Water Reading'!R23</f>
        <v>5</v>
      </c>
      <c r="N24" s="89" t="e">
        <f t="shared" si="7"/>
        <v>#DIV/0!</v>
      </c>
      <c r="O24" s="87">
        <f>'Water Reading'!Q24-'Water Reading'!Q23</f>
        <v>2</v>
      </c>
      <c r="P24" s="96" t="e">
        <f t="shared" si="8"/>
        <v>#DIV/0!</v>
      </c>
      <c r="Q24" s="88">
        <f>'Water Reading'!F24-'Water Reading'!F23</f>
        <v>1</v>
      </c>
      <c r="R24" s="97" t="e">
        <f t="shared" si="9"/>
        <v>#DIV/0!</v>
      </c>
      <c r="S24" s="91">
        <f>'Water Reading'!E24-'Water Reading'!E23</f>
        <v>55</v>
      </c>
      <c r="T24" s="97" t="e">
        <f t="shared" si="10"/>
        <v>#DIV/0!</v>
      </c>
      <c r="U24" s="87">
        <f>'Water Reading'!G24-'Water Reading'!G23</f>
        <v>25</v>
      </c>
      <c r="V24" s="97" t="e">
        <f t="shared" si="11"/>
        <v>#DIV/0!</v>
      </c>
      <c r="W24" s="87">
        <f>'Water Reading'!J24-'Water Reading'!J23</f>
        <v>8</v>
      </c>
      <c r="X24" s="97" t="e">
        <f t="shared" si="12"/>
        <v>#DIV/0!</v>
      </c>
      <c r="Y24" s="64">
        <f t="shared" si="0"/>
        <v>335</v>
      </c>
      <c r="Z24" s="65">
        <f t="shared" si="1"/>
        <v>1.0841423948220066</v>
      </c>
    </row>
    <row r="25" spans="1:26" x14ac:dyDescent="0.25">
      <c r="A25" s="8">
        <f>'Water Reading'!A24</f>
        <v>44491</v>
      </c>
      <c r="B25" s="63">
        <f>TOTAL!I23</f>
        <v>310</v>
      </c>
      <c r="C25" s="64">
        <f>('Water Reading'!B25-'Water Reading'!B24)+('Water Reading'!C25-'Water Reading'!C24)</f>
        <v>0</v>
      </c>
      <c r="D25" s="65">
        <f t="shared" si="2"/>
        <v>0</v>
      </c>
      <c r="E25" s="84">
        <f>'Water Reading'!H25-'Water Reading'!H24</f>
        <v>55</v>
      </c>
      <c r="F25" s="86" t="e">
        <f t="shared" si="3"/>
        <v>#DIV/0!</v>
      </c>
      <c r="G25" s="90">
        <f>('Water Reading'!D25-'Water Reading'!D24)-('Water Reading'!R25-'Water Reading'!R24)-('Water Reading'!Q25-'Water Reading'!Q24)</f>
        <v>130</v>
      </c>
      <c r="H25" s="86" t="e">
        <f t="shared" si="4"/>
        <v>#DIV/0!</v>
      </c>
      <c r="I25" s="87">
        <f>'Water Reading'!P25-'Water Reading'!P24</f>
        <v>42</v>
      </c>
      <c r="J25" s="66" t="e">
        <f t="shared" si="5"/>
        <v>#DIV/0!</v>
      </c>
      <c r="K25" s="88">
        <f>('Water Reading'!I25-'Water Reading'!I24)-('Water Reading'!P25-'Water Reading'!P24)</f>
        <v>24</v>
      </c>
      <c r="L25" s="66" t="e">
        <f t="shared" si="6"/>
        <v>#DIV/0!</v>
      </c>
      <c r="M25" s="87">
        <f>'Water Reading'!R25-'Water Reading'!R24</f>
        <v>1</v>
      </c>
      <c r="N25" s="89" t="e">
        <f t="shared" si="7"/>
        <v>#DIV/0!</v>
      </c>
      <c r="O25" s="87">
        <f>'Water Reading'!Q25-'Water Reading'!Q24</f>
        <v>3</v>
      </c>
      <c r="P25" s="96" t="e">
        <f t="shared" si="8"/>
        <v>#DIV/0!</v>
      </c>
      <c r="Q25" s="88">
        <f>'Water Reading'!F25-'Water Reading'!F24</f>
        <v>3</v>
      </c>
      <c r="R25" s="97" t="e">
        <f t="shared" si="9"/>
        <v>#DIV/0!</v>
      </c>
      <c r="S25" s="91">
        <f>'Water Reading'!E25-'Water Reading'!E24</f>
        <v>51</v>
      </c>
      <c r="T25" s="97" t="e">
        <f t="shared" si="10"/>
        <v>#DIV/0!</v>
      </c>
      <c r="U25" s="87">
        <f>'Water Reading'!G25-'Water Reading'!G24</f>
        <v>24</v>
      </c>
      <c r="V25" s="97" t="e">
        <f t="shared" si="11"/>
        <v>#DIV/0!</v>
      </c>
      <c r="W25" s="87">
        <f>'Water Reading'!J25-'Water Reading'!J24</f>
        <v>8</v>
      </c>
      <c r="X25" s="97" t="e">
        <f t="shared" si="12"/>
        <v>#DIV/0!</v>
      </c>
      <c r="Y25" s="64">
        <f t="shared" si="0"/>
        <v>341</v>
      </c>
      <c r="Z25" s="65">
        <f t="shared" si="1"/>
        <v>1.1000000000000001</v>
      </c>
    </row>
    <row r="26" spans="1:26" x14ac:dyDescent="0.25">
      <c r="A26" s="8">
        <f>'Water Reading'!A25</f>
        <v>44492</v>
      </c>
      <c r="B26" s="63">
        <f>TOTAL!I24</f>
        <v>319</v>
      </c>
      <c r="C26" s="64">
        <f>('Water Reading'!B26-'Water Reading'!B25)+('Water Reading'!C26-'Water Reading'!C25)</f>
        <v>0</v>
      </c>
      <c r="D26" s="65">
        <f t="shared" si="2"/>
        <v>0</v>
      </c>
      <c r="E26" s="84">
        <f>'Water Reading'!H26-'Water Reading'!H25</f>
        <v>48</v>
      </c>
      <c r="F26" s="86" t="e">
        <f t="shared" si="3"/>
        <v>#DIV/0!</v>
      </c>
      <c r="G26" s="90">
        <f>('Water Reading'!D26-'Water Reading'!D25)-('Water Reading'!R26-'Water Reading'!R25)-('Water Reading'!Q26-'Water Reading'!Q25)</f>
        <v>120</v>
      </c>
      <c r="H26" s="86" t="e">
        <f t="shared" si="4"/>
        <v>#DIV/0!</v>
      </c>
      <c r="I26" s="87">
        <f>'Water Reading'!P26-'Water Reading'!P25</f>
        <v>15</v>
      </c>
      <c r="J26" s="66" t="e">
        <f t="shared" si="5"/>
        <v>#DIV/0!</v>
      </c>
      <c r="K26" s="88">
        <f>('Water Reading'!I26-'Water Reading'!I25)-('Water Reading'!P26-'Water Reading'!P25)</f>
        <v>44</v>
      </c>
      <c r="L26" s="66" t="e">
        <f t="shared" si="6"/>
        <v>#DIV/0!</v>
      </c>
      <c r="M26" s="87">
        <f>'Water Reading'!R26-'Water Reading'!R25</f>
        <v>7</v>
      </c>
      <c r="N26" s="89" t="e">
        <f t="shared" si="7"/>
        <v>#DIV/0!</v>
      </c>
      <c r="O26" s="87">
        <f>'Water Reading'!Q26-'Water Reading'!Q25</f>
        <v>2</v>
      </c>
      <c r="P26" s="96" t="e">
        <f t="shared" si="8"/>
        <v>#DIV/0!</v>
      </c>
      <c r="Q26" s="88">
        <f>'Water Reading'!F26-'Water Reading'!F25</f>
        <v>0</v>
      </c>
      <c r="R26" s="97" t="e">
        <f t="shared" si="9"/>
        <v>#DIV/0!</v>
      </c>
      <c r="S26" s="91">
        <f>'Water Reading'!E26-'Water Reading'!E25</f>
        <v>59</v>
      </c>
      <c r="T26" s="97" t="e">
        <f t="shared" si="10"/>
        <v>#DIV/0!</v>
      </c>
      <c r="U26" s="87">
        <f>'Water Reading'!G26-'Water Reading'!G25</f>
        <v>23</v>
      </c>
      <c r="V26" s="97" t="e">
        <f t="shared" si="11"/>
        <v>#DIV/0!</v>
      </c>
      <c r="W26" s="87">
        <f>'Water Reading'!J26-'Water Reading'!J25</f>
        <v>7</v>
      </c>
      <c r="X26" s="97" t="e">
        <f t="shared" si="12"/>
        <v>#DIV/0!</v>
      </c>
      <c r="Y26" s="64">
        <f t="shared" si="0"/>
        <v>325</v>
      </c>
      <c r="Z26" s="65">
        <f t="shared" si="1"/>
        <v>1.0188087774294672</v>
      </c>
    </row>
    <row r="27" spans="1:26" x14ac:dyDescent="0.25">
      <c r="A27" s="8">
        <f>'Water Reading'!A26</f>
        <v>44493</v>
      </c>
      <c r="B27" s="63">
        <f>TOTAL!I25</f>
        <v>351</v>
      </c>
      <c r="C27" s="64">
        <f>('Water Reading'!B27-'Water Reading'!B26)+('Water Reading'!C27-'Water Reading'!C26)</f>
        <v>0</v>
      </c>
      <c r="D27" s="65">
        <f t="shared" si="2"/>
        <v>0</v>
      </c>
      <c r="E27" s="84">
        <f>'Water Reading'!H27-'Water Reading'!H26</f>
        <v>35</v>
      </c>
      <c r="F27" s="86" t="e">
        <f t="shared" si="3"/>
        <v>#DIV/0!</v>
      </c>
      <c r="G27" s="90">
        <f>('Water Reading'!D27-'Water Reading'!D26)-('Water Reading'!R27-'Water Reading'!R26)-('Water Reading'!Q27-'Water Reading'!Q26)</f>
        <v>172</v>
      </c>
      <c r="H27" s="86" t="e">
        <f t="shared" si="4"/>
        <v>#DIV/0!</v>
      </c>
      <c r="I27" s="87">
        <f>'Water Reading'!P27-'Water Reading'!P26</f>
        <v>35</v>
      </c>
      <c r="J27" s="66" t="e">
        <f t="shared" si="5"/>
        <v>#DIV/0!</v>
      </c>
      <c r="K27" s="88">
        <f>('Water Reading'!I27-'Water Reading'!I26)-('Water Reading'!P27-'Water Reading'!P26)</f>
        <v>21</v>
      </c>
      <c r="L27" s="66" t="e">
        <f t="shared" si="6"/>
        <v>#DIV/0!</v>
      </c>
      <c r="M27" s="87">
        <f>'Water Reading'!R27-'Water Reading'!R26</f>
        <v>6</v>
      </c>
      <c r="N27" s="89" t="e">
        <f t="shared" si="7"/>
        <v>#DIV/0!</v>
      </c>
      <c r="O27" s="87">
        <f>'Water Reading'!Q27-'Water Reading'!Q26</f>
        <v>2</v>
      </c>
      <c r="P27" s="96" t="e">
        <f t="shared" si="8"/>
        <v>#DIV/0!</v>
      </c>
      <c r="Q27" s="88">
        <f>'Water Reading'!F27-'Water Reading'!F26</f>
        <v>1</v>
      </c>
      <c r="R27" s="97" t="e">
        <f t="shared" si="9"/>
        <v>#DIV/0!</v>
      </c>
      <c r="S27" s="91">
        <f>'Water Reading'!E27-'Water Reading'!E26</f>
        <v>64</v>
      </c>
      <c r="T27" s="97" t="e">
        <f t="shared" si="10"/>
        <v>#DIV/0!</v>
      </c>
      <c r="U27" s="87">
        <f>'Water Reading'!G27-'Water Reading'!G26</f>
        <v>23</v>
      </c>
      <c r="V27" s="97" t="e">
        <f t="shared" si="11"/>
        <v>#DIV/0!</v>
      </c>
      <c r="W27" s="87">
        <f>'Water Reading'!J27-'Water Reading'!J26</f>
        <v>8</v>
      </c>
      <c r="X27" s="97" t="e">
        <f t="shared" si="12"/>
        <v>#DIV/0!</v>
      </c>
      <c r="Y27" s="64">
        <f t="shared" si="0"/>
        <v>367</v>
      </c>
      <c r="Z27" s="65">
        <f t="shared" si="1"/>
        <v>1.0455840455840455</v>
      </c>
    </row>
    <row r="28" spans="1:26" x14ac:dyDescent="0.25">
      <c r="A28" s="8">
        <f>'Water Reading'!A27</f>
        <v>44494</v>
      </c>
      <c r="B28" s="63">
        <f>TOTAL!I26</f>
        <v>383</v>
      </c>
      <c r="C28" s="64">
        <f>('Water Reading'!B28-'Water Reading'!B27)+('Water Reading'!C28-'Water Reading'!C27)</f>
        <v>0</v>
      </c>
      <c r="D28" s="65">
        <f t="shared" si="2"/>
        <v>0</v>
      </c>
      <c r="E28" s="84">
        <f>'Water Reading'!H28-'Water Reading'!H27</f>
        <v>64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194</v>
      </c>
      <c r="H28" s="86" t="e">
        <f t="shared" si="4"/>
        <v>#DIV/0!</v>
      </c>
      <c r="I28" s="87">
        <f>'Water Reading'!P28-'Water Reading'!P27</f>
        <v>19</v>
      </c>
      <c r="J28" s="66" t="e">
        <f t="shared" si="5"/>
        <v>#DIV/0!</v>
      </c>
      <c r="K28" s="88">
        <f>('Water Reading'!I28-'Water Reading'!I27)-('Water Reading'!P28-'Water Reading'!P27)</f>
        <v>39</v>
      </c>
      <c r="L28" s="66" t="e">
        <f t="shared" si="6"/>
        <v>#DIV/0!</v>
      </c>
      <c r="M28" s="87">
        <f>'Water Reading'!R28-'Water Reading'!R27</f>
        <v>6</v>
      </c>
      <c r="N28" s="89" t="e">
        <f t="shared" si="7"/>
        <v>#DIV/0!</v>
      </c>
      <c r="O28" s="87">
        <f>'Water Reading'!Q28-'Water Reading'!Q27</f>
        <v>1</v>
      </c>
      <c r="P28" s="96" t="e">
        <f t="shared" si="8"/>
        <v>#DIV/0!</v>
      </c>
      <c r="Q28" s="88">
        <f>'Water Reading'!F28-'Water Reading'!F27</f>
        <v>1</v>
      </c>
      <c r="R28" s="97" t="e">
        <f t="shared" si="9"/>
        <v>#DIV/0!</v>
      </c>
      <c r="S28" s="91">
        <f>'Water Reading'!E28-'Water Reading'!E27</f>
        <v>52</v>
      </c>
      <c r="T28" s="97" t="e">
        <f t="shared" si="10"/>
        <v>#DIV/0!</v>
      </c>
      <c r="U28" s="87">
        <f>'Water Reading'!G28-'Water Reading'!G27</f>
        <v>24</v>
      </c>
      <c r="V28" s="97" t="e">
        <f t="shared" si="11"/>
        <v>#DIV/0!</v>
      </c>
      <c r="W28" s="87">
        <f>'Water Reading'!J28-'Water Reading'!J27</f>
        <v>7</v>
      </c>
      <c r="X28" s="97" t="e">
        <f t="shared" si="12"/>
        <v>#DIV/0!</v>
      </c>
      <c r="Y28" s="64">
        <f t="shared" si="0"/>
        <v>407</v>
      </c>
      <c r="Z28" s="65">
        <f t="shared" si="1"/>
        <v>1.0626631853785902</v>
      </c>
    </row>
    <row r="29" spans="1:26" x14ac:dyDescent="0.25">
      <c r="A29" s="8">
        <f>'Water Reading'!A28</f>
        <v>44495</v>
      </c>
      <c r="B29" s="63">
        <f>TOTAL!I27</f>
        <v>257</v>
      </c>
      <c r="C29" s="64">
        <f>('Water Reading'!B29-'Water Reading'!B28)+('Water Reading'!C29-'Water Reading'!C28)</f>
        <v>0</v>
      </c>
      <c r="D29" s="65">
        <f t="shared" si="2"/>
        <v>0</v>
      </c>
      <c r="E29" s="84">
        <f>'Water Reading'!H29-'Water Reading'!H28</f>
        <v>25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141</v>
      </c>
      <c r="H29" s="86" t="e">
        <f t="shared" si="4"/>
        <v>#DIV/0!</v>
      </c>
      <c r="I29" s="87">
        <f>'Water Reading'!P29-'Water Reading'!P28</f>
        <v>20</v>
      </c>
      <c r="J29" s="66" t="e">
        <f t="shared" si="5"/>
        <v>#DIV/0!</v>
      </c>
      <c r="K29" s="88">
        <f>('Water Reading'!I29-'Water Reading'!I28)-('Water Reading'!P29-'Water Reading'!P28)</f>
        <v>26</v>
      </c>
      <c r="L29" s="66" t="e">
        <f t="shared" si="6"/>
        <v>#DIV/0!</v>
      </c>
      <c r="M29" s="87">
        <f>'Water Reading'!R29-'Water Reading'!R28</f>
        <v>6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61</v>
      </c>
      <c r="T29" s="97" t="e">
        <f t="shared" si="10"/>
        <v>#DIV/0!</v>
      </c>
      <c r="U29" s="87">
        <f>'Water Reading'!G29-'Water Reading'!G28</f>
        <v>24</v>
      </c>
      <c r="V29" s="97" t="e">
        <f t="shared" si="11"/>
        <v>#DIV/0!</v>
      </c>
      <c r="W29" s="87">
        <f>'Water Reading'!J29-'Water Reading'!J28</f>
        <v>7</v>
      </c>
      <c r="X29" s="97" t="e">
        <f t="shared" si="12"/>
        <v>#DIV/0!</v>
      </c>
      <c r="Y29" s="64">
        <f t="shared" si="0"/>
        <v>310</v>
      </c>
      <c r="Z29" s="65">
        <f t="shared" si="1"/>
        <v>1.2062256809338521</v>
      </c>
    </row>
    <row r="30" spans="1:26" x14ac:dyDescent="0.25">
      <c r="A30" s="8">
        <f>'Water Reading'!A29</f>
        <v>44496</v>
      </c>
      <c r="B30" s="63">
        <f>TOTAL!I28</f>
        <v>285</v>
      </c>
      <c r="C30" s="64">
        <f>('Water Reading'!B30-'Water Reading'!B29)+('Water Reading'!C30-'Water Reading'!C29)</f>
        <v>0</v>
      </c>
      <c r="D30" s="65">
        <f t="shared" si="2"/>
        <v>0</v>
      </c>
      <c r="E30" s="84">
        <f>'Water Reading'!H30-'Water Reading'!H29</f>
        <v>25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145</v>
      </c>
      <c r="H30" s="86" t="e">
        <f t="shared" si="4"/>
        <v>#DIV/0!</v>
      </c>
      <c r="I30" s="87">
        <f>'Water Reading'!P30-'Water Reading'!P29</f>
        <v>14</v>
      </c>
      <c r="J30" s="66" t="e">
        <f t="shared" si="5"/>
        <v>#DIV/0!</v>
      </c>
      <c r="K30" s="88">
        <f>('Water Reading'!I30-'Water Reading'!I29)-('Water Reading'!P30-'Water Reading'!P29)</f>
        <v>18</v>
      </c>
      <c r="L30" s="66" t="e">
        <f t="shared" si="6"/>
        <v>#DIV/0!</v>
      </c>
      <c r="M30" s="87">
        <f>'Water Reading'!R30-'Water Reading'!R29</f>
        <v>8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1</v>
      </c>
      <c r="R30" s="97" t="e">
        <f t="shared" si="9"/>
        <v>#DIV/0!</v>
      </c>
      <c r="S30" s="91">
        <f>'Water Reading'!E30-'Water Reading'!E29</f>
        <v>85</v>
      </c>
      <c r="T30" s="97" t="e">
        <f t="shared" si="10"/>
        <v>#DIV/0!</v>
      </c>
      <c r="U30" s="87">
        <f>'Water Reading'!G30-'Water Reading'!G29</f>
        <v>-101976</v>
      </c>
      <c r="V30" s="97" t="e">
        <f t="shared" si="11"/>
        <v>#DIV/0!</v>
      </c>
      <c r="W30" s="87">
        <f>'Water Reading'!J30-'Water Reading'!J29</f>
        <v>7</v>
      </c>
      <c r="X30" s="97" t="e">
        <f t="shared" si="12"/>
        <v>#DIV/0!</v>
      </c>
      <c r="Y30" s="64">
        <f t="shared" si="0"/>
        <v>-101673</v>
      </c>
      <c r="Z30" s="65">
        <f t="shared" si="1"/>
        <v>-356.74736842105261</v>
      </c>
    </row>
    <row r="31" spans="1:26" x14ac:dyDescent="0.25">
      <c r="A31" s="8">
        <f>'Water Reading'!A30</f>
        <v>44497</v>
      </c>
      <c r="B31" s="63">
        <f>TOTAL!I29</f>
        <v>336</v>
      </c>
      <c r="C31" s="64">
        <f>('Water Reading'!B31-'Water Reading'!B30)+('Water Reading'!C31-'Water Reading'!C30)</f>
        <v>0</v>
      </c>
      <c r="D31" s="65">
        <f t="shared" si="2"/>
        <v>0</v>
      </c>
      <c r="E31" s="84">
        <f>'Water Reading'!H31-'Water Reading'!H30</f>
        <v>-57482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-218575</v>
      </c>
      <c r="H31" s="86" t="e">
        <f t="shared" si="4"/>
        <v>#DIV/0!</v>
      </c>
      <c r="I31" s="87">
        <f>'Water Reading'!P31-'Water Reading'!P30</f>
        <v>-28468</v>
      </c>
      <c r="J31" s="66" t="e">
        <f t="shared" si="5"/>
        <v>#DIV/0!</v>
      </c>
      <c r="K31" s="88">
        <f>('Water Reading'!I31-'Water Reading'!I30)-('Water Reading'!P31-'Water Reading'!P30)</f>
        <v>-38995</v>
      </c>
      <c r="L31" s="66" t="e">
        <f t="shared" si="6"/>
        <v>#DIV/0!</v>
      </c>
      <c r="M31" s="87">
        <f>'Water Reading'!R31-'Water Reading'!R30</f>
        <v>-6902</v>
      </c>
      <c r="N31" s="89" t="e">
        <f t="shared" si="7"/>
        <v>#DIV/0!</v>
      </c>
      <c r="O31" s="87">
        <f>'Water Reading'!Q31-'Water Reading'!Q30</f>
        <v>-1064</v>
      </c>
      <c r="P31" s="96" t="e">
        <f t="shared" si="8"/>
        <v>#DIV/0!</v>
      </c>
      <c r="Q31" s="88">
        <f>'Water Reading'!F31-'Water Reading'!F30</f>
        <v>-67012</v>
      </c>
      <c r="R31" s="97" t="e">
        <f t="shared" si="9"/>
        <v>#DIV/0!</v>
      </c>
      <c r="S31" s="91">
        <f>'Water Reading'!E31-'Water Reading'!E30</f>
        <v>-254670</v>
      </c>
      <c r="T31" s="97" t="e">
        <f t="shared" si="10"/>
        <v>#DIV/0!</v>
      </c>
      <c r="U31" s="87">
        <f>'Water Reading'!G31-'Water Reading'!G30</f>
        <v>-11791</v>
      </c>
      <c r="V31" s="97" t="e">
        <f t="shared" si="11"/>
        <v>#DIV/0!</v>
      </c>
      <c r="W31" s="87">
        <f>'Water Reading'!J31-'Water Reading'!J30</f>
        <v>-21535</v>
      </c>
      <c r="X31" s="97" t="e">
        <f t="shared" si="12"/>
        <v>#DIV/0!</v>
      </c>
      <c r="Y31" s="64">
        <f t="shared" si="0"/>
        <v>-706494</v>
      </c>
      <c r="Z31" s="65">
        <f t="shared" si="1"/>
        <v>-2102.6607142857142</v>
      </c>
    </row>
    <row r="32" spans="1:26" x14ac:dyDescent="0.25">
      <c r="A32" s="8">
        <f>'Water Reading'!A31</f>
        <v>44498</v>
      </c>
      <c r="B32" s="63">
        <f>TOTAL!I30</f>
        <v>315</v>
      </c>
      <c r="C32" s="64">
        <f>('Water Reading'!B32-'Water Reading'!B31)+('Water Reading'!C32-'Water Reading'!C31)</f>
        <v>0</v>
      </c>
      <c r="D32" s="65">
        <f t="shared" si="2"/>
        <v>0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>
        <f t="shared" si="1"/>
        <v>0</v>
      </c>
    </row>
    <row r="33" spans="1:26" x14ac:dyDescent="0.25">
      <c r="A33" s="8">
        <f>'Water Reading'!A32</f>
        <v>44499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44500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4">
        <f>SUM(B4:B34)</f>
        <v>8192</v>
      </c>
      <c r="C35" s="72">
        <f>SUM(C4:C34)</f>
        <v>-334670</v>
      </c>
      <c r="D35" s="93">
        <f>C35/B35</f>
        <v>-40.853271484375</v>
      </c>
      <c r="E35" s="7">
        <f>SUM(E4:E34)</f>
        <v>-56358</v>
      </c>
      <c r="F35" s="92">
        <f>E35/C35</f>
        <v>0.16839872112827561</v>
      </c>
      <c r="G35" s="72">
        <f>SUM(G4:G34)</f>
        <v>-215355</v>
      </c>
      <c r="H35" s="92">
        <f>G35/C35</f>
        <v>0.6434846266471449</v>
      </c>
      <c r="I35" s="7">
        <f>SUM(I4:I34)</f>
        <v>-28036</v>
      </c>
      <c r="J35" s="92">
        <f>I35/C35</f>
        <v>8.3772073983326853E-2</v>
      </c>
      <c r="K35" s="7">
        <f>SUM(K4:K34)</f>
        <v>-38335</v>
      </c>
      <c r="L35" s="92">
        <f>K35/C35</f>
        <v>0.11454567185585801</v>
      </c>
      <c r="M35" s="7">
        <f>SUM(M4:M34)</f>
        <v>-6759</v>
      </c>
      <c r="N35" s="92">
        <f>M35/C35</f>
        <v>2.0196013983924462E-2</v>
      </c>
      <c r="O35" s="7">
        <f>SUM(O4:O34)</f>
        <v>-1011</v>
      </c>
      <c r="P35" s="92">
        <f>O35/C35</f>
        <v>3.0208862461529266E-3</v>
      </c>
      <c r="Q35" s="7">
        <f>SUM(Q4:Q34)</f>
        <v>-66997</v>
      </c>
      <c r="R35" s="92">
        <f>Q35/C35</f>
        <v>0.20018824513700062</v>
      </c>
      <c r="S35" s="72">
        <f>SUM(S4:S34)</f>
        <v>-253147</v>
      </c>
      <c r="T35" s="92">
        <f>S35/C35</f>
        <v>0.7564078047031404</v>
      </c>
      <c r="U35" s="7">
        <f>SUM(U4:U34)</f>
        <v>-113275</v>
      </c>
      <c r="V35" s="92">
        <f>U35/C35</f>
        <v>0.33846774434517585</v>
      </c>
      <c r="W35" s="7">
        <f>SUM(W4:W34)</f>
        <v>-21313</v>
      </c>
      <c r="X35" s="92">
        <f>W35/C35</f>
        <v>6.3683628649117044E-2</v>
      </c>
      <c r="Y35" s="72">
        <f>SUM(Y4:Y34)</f>
        <v>-800586</v>
      </c>
      <c r="Z35" s="92">
        <f t="shared" si="1"/>
        <v>-97.727783203125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2021-11-01T07:47:28Z</dcterms:modified>
  <cp:category/>
  <cp:contentStatus/>
</cp:coreProperties>
</file>