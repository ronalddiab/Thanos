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Jan 2021\"/>
    </mc:Choice>
  </mc:AlternateContent>
  <xr:revisionPtr revIDLastSave="0" documentId="13_ncr:1_{E51DD5C3-370F-4A71-B83A-7E8BE7295AFE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an 2021" sheetId="31" r:id="rId2"/>
  </sheets>
  <calcPr calcId="191029"/>
</workbook>
</file>

<file path=xl/calcChain.xml><?xml version="1.0" encoding="utf-8"?>
<calcChain xmlns="http://schemas.openxmlformats.org/spreadsheetml/2006/main">
  <c r="L8" i="31" l="1"/>
  <c r="G8" i="31"/>
  <c r="I8" i="31"/>
  <c r="L7" i="31"/>
  <c r="I7" i="31"/>
  <c r="G7" i="31" l="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<sst xmlns="http://schemas.openxmlformats.org/spreadsheetml/2006/main" count="65" uniqueCount="32">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</sst>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D2" sqref="D2:D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</v>
      </c>
      <c r="D2">
        <v>2021</v>
      </c>
      <c r="E2" s="15">
        <f>'Jan 2021'!E5</f>
        <v>32614</v>
      </c>
      <c r="F2" s="10">
        <v>2.9000000000000001E-2</v>
      </c>
      <c r="G2" s="1">
        <f>'Jan 2021'!J5</f>
        <v>0</v>
      </c>
      <c r="H2" s="10">
        <v>0.112</v>
      </c>
      <c r="I2" s="1">
        <f>'Jan 2021'!G5*1000</f>
        <v>60000</v>
      </c>
      <c r="J2" s="10">
        <v>3.61E-2</v>
      </c>
      <c r="K2" s="1">
        <f>'Jan 2021'!I5</f>
        <v>742</v>
      </c>
      <c r="L2" s="10">
        <v>0.75</v>
      </c>
      <c r="M2" s="10">
        <f>'Jan 2021'!L5</f>
        <v>76</v>
      </c>
      <c r="N2" s="10">
        <v>0.56299999999999994</v>
      </c>
      <c r="O2" s="15">
        <f>'Jan 2021'!D5</f>
        <v>70</v>
      </c>
    </row>
    <row r="3" spans="1:17" x14ac:dyDescent="0.2">
      <c r="A3" t="s">
        <v>27</v>
      </c>
      <c r="B3">
        <f>B2+1</f>
        <v>2</v>
      </c>
      <c r="C3" s="5">
        <v>1</v>
      </c>
      <c r="D3">
        <v>2021</v>
      </c>
      <c r="E3" s="15">
        <f>'Jan 2021'!E6</f>
        <v>27619</v>
      </c>
      <c r="F3" s="10">
        <v>2.9000000000000001E-2</v>
      </c>
      <c r="G3" s="1">
        <f>'Jan 2021'!J6</f>
        <v>2970</v>
      </c>
      <c r="H3" s="10">
        <v>0.112</v>
      </c>
      <c r="I3" s="1">
        <f>'Jan 2021'!G6*1000</f>
        <v>25000</v>
      </c>
      <c r="J3" s="10">
        <v>3.61E-2</v>
      </c>
      <c r="K3" s="1">
        <f>'Jan 2021'!I6</f>
        <v>316</v>
      </c>
      <c r="L3" s="10">
        <v>0.75</v>
      </c>
      <c r="M3" s="10">
        <f>'Jan 2021'!L6</f>
        <v>71</v>
      </c>
      <c r="N3" s="10">
        <v>0.56299999999999994</v>
      </c>
      <c r="O3" s="15">
        <f>'Jan 2021'!D6</f>
        <v>40</v>
      </c>
    </row>
    <row r="4" spans="1:17" x14ac:dyDescent="0.2">
      <c r="A4" t="s">
        <v>27</v>
      </c>
      <c r="B4">
        <f t="shared" ref="B4:B29" si="0">B3+1</f>
        <v>3</v>
      </c>
      <c r="C4" s="5">
        <v>1</v>
      </c>
      <c r="D4">
        <v>2021</v>
      </c>
      <c r="E4" s="15">
        <f>'Jan 2021'!E7</f>
        <v>28659</v>
      </c>
      <c r="F4" s="10">
        <v>2.9000000000000001E-2</v>
      </c>
      <c r="G4" s="1">
        <f>'Jan 2021'!J7</f>
        <v>0</v>
      </c>
      <c r="H4" s="10">
        <v>0.112</v>
      </c>
      <c r="I4" s="1">
        <f>'Jan 2021'!G7*1000</f>
        <v>23000</v>
      </c>
      <c r="J4" s="10">
        <v>3.61E-2</v>
      </c>
      <c r="K4" s="1">
        <f>'Jan 2021'!I7</f>
        <v>246</v>
      </c>
      <c r="L4" s="10">
        <v>0.75</v>
      </c>
      <c r="M4" s="10">
        <f>'Jan 2021'!L7</f>
        <v>107</v>
      </c>
      <c r="N4" s="10">
        <v>0.56299999999999994</v>
      </c>
      <c r="O4" s="15">
        <f>'Jan 2021'!D7</f>
        <v>21</v>
      </c>
    </row>
    <row r="5" spans="1:17" x14ac:dyDescent="0.2">
      <c r="A5" t="s">
        <v>27</v>
      </c>
      <c r="B5">
        <f t="shared" si="0"/>
        <v>4</v>
      </c>
      <c r="C5" s="5">
        <v>1</v>
      </c>
      <c r="D5">
        <v>2021</v>
      </c>
      <c r="E5" s="15">
        <f>'Jan 2021'!E8</f>
        <v>29789</v>
      </c>
      <c r="F5" s="10">
        <v>2.9000000000000001E-2</v>
      </c>
      <c r="G5" s="1">
        <f>'Jan 2021'!J8</f>
        <v>2970</v>
      </c>
      <c r="H5" s="10">
        <v>0.112</v>
      </c>
      <c r="I5" s="1">
        <f>'Jan 2021'!G8*1000</f>
        <v>22000</v>
      </c>
      <c r="J5" s="10">
        <v>3.61E-2</v>
      </c>
      <c r="K5" s="1">
        <f>'Jan 2021'!I8</f>
        <v>280</v>
      </c>
      <c r="L5" s="10">
        <v>0.75</v>
      </c>
      <c r="M5" s="10">
        <f>'Jan 2021'!L8</f>
        <v>74</v>
      </c>
      <c r="N5" s="10">
        <v>0.56299999999999994</v>
      </c>
      <c r="O5" s="15">
        <f>'Jan 2021'!D8</f>
        <v>26</v>
      </c>
    </row>
    <row r="6" spans="1:17" x14ac:dyDescent="0.2">
      <c r="A6" t="s">
        <v>27</v>
      </c>
      <c r="B6">
        <f t="shared" si="0"/>
        <v>5</v>
      </c>
      <c r="C6" s="5">
        <v>1</v>
      </c>
      <c r="D6">
        <v>2021</v>
      </c>
      <c r="E6" s="15">
        <f>'Jan 2021'!E9</f>
        <v>0</v>
      </c>
      <c r="F6" s="10">
        <v>2.9000000000000001E-2</v>
      </c>
      <c r="G6" s="1">
        <f>'Jan 2021'!J9</f>
        <v>2970</v>
      </c>
      <c r="H6" s="10">
        <v>0.112</v>
      </c>
      <c r="I6" s="1">
        <f>'Jan 2021'!G9*1000</f>
        <v>0</v>
      </c>
      <c r="J6" s="10">
        <v>3.61E-2</v>
      </c>
      <c r="K6" s="1">
        <f>'Jan 2021'!I9</f>
        <v>0</v>
      </c>
      <c r="L6" s="10">
        <v>0.75</v>
      </c>
      <c r="M6" s="10">
        <f>'Jan 2021'!L9</f>
        <v>0</v>
      </c>
      <c r="N6" s="10">
        <v>0.56299999999999994</v>
      </c>
      <c r="O6" s="15">
        <f>'Jan 2021'!D9</f>
        <v>30</v>
      </c>
    </row>
    <row r="7" spans="1:17" x14ac:dyDescent="0.2">
      <c r="A7" t="s">
        <v>27</v>
      </c>
      <c r="B7">
        <f t="shared" si="0"/>
        <v>6</v>
      </c>
      <c r="C7" s="5">
        <v>1</v>
      </c>
      <c r="D7">
        <v>2021</v>
      </c>
      <c r="E7" s="15">
        <f>'Jan 2021'!E10</f>
        <v>0</v>
      </c>
      <c r="F7" s="10">
        <v>2.9000000000000001E-2</v>
      </c>
      <c r="G7" s="1">
        <v>0</v>
      </c>
      <c r="H7" s="10">
        <v>0.112</v>
      </c>
      <c r="I7" s="1">
        <f>'Jan 2021'!G10*1000</f>
        <v>0</v>
      </c>
      <c r="J7" s="10">
        <v>3.61E-2</v>
      </c>
      <c r="K7" s="1">
        <f>'Jan 2021'!I10</f>
        <v>0</v>
      </c>
      <c r="L7" s="10">
        <v>0.75</v>
      </c>
      <c r="M7" s="10">
        <f>'Jan 2021'!L10</f>
        <v>0</v>
      </c>
      <c r="N7" s="10">
        <v>0.56299999999999994</v>
      </c>
      <c r="O7" s="15">
        <f>'Jan 2021'!D10</f>
        <v>0</v>
      </c>
    </row>
    <row r="8" spans="1:17" x14ac:dyDescent="0.2">
      <c r="A8" t="s">
        <v>27</v>
      </c>
      <c r="B8">
        <f t="shared" si="0"/>
        <v>7</v>
      </c>
      <c r="C8" s="5">
        <v>1</v>
      </c>
      <c r="D8">
        <v>2021</v>
      </c>
      <c r="E8" s="15">
        <f>'Jan 2021'!E11</f>
        <v>0</v>
      </c>
      <c r="F8" s="10">
        <v>2.9000000000000001E-2</v>
      </c>
      <c r="G8" s="1">
        <f>'Jan 2021'!J11</f>
        <v>0</v>
      </c>
      <c r="H8" s="10">
        <v>0.112</v>
      </c>
      <c r="I8" s="1">
        <f>'Jan 2021'!G11*1000</f>
        <v>0</v>
      </c>
      <c r="J8" s="10">
        <v>3.61E-2</v>
      </c>
      <c r="K8" s="1">
        <f>'Jan 2021'!I11</f>
        <v>0</v>
      </c>
      <c r="L8" s="10">
        <v>0.75</v>
      </c>
      <c r="M8" s="10">
        <f>'Jan 2021'!L11</f>
        <v>0</v>
      </c>
      <c r="N8" s="10">
        <v>0.56299999999999994</v>
      </c>
      <c r="O8" s="15">
        <f>'Jan 2021'!D11</f>
        <v>0</v>
      </c>
    </row>
    <row r="9" spans="1:17" x14ac:dyDescent="0.2">
      <c r="A9" t="s">
        <v>27</v>
      </c>
      <c r="B9">
        <f t="shared" si="0"/>
        <v>8</v>
      </c>
      <c r="C9" s="5">
        <v>1</v>
      </c>
      <c r="D9">
        <v>2021</v>
      </c>
      <c r="E9" s="15">
        <f>'Jan 2021'!E12</f>
        <v>0</v>
      </c>
      <c r="F9" s="10">
        <v>2.9000000000000001E-2</v>
      </c>
      <c r="G9" s="1">
        <f>'Jan 2021'!J12</f>
        <v>0</v>
      </c>
      <c r="H9" s="10">
        <v>0.112</v>
      </c>
      <c r="I9" s="1">
        <f>'Jan 2021'!G12*1000</f>
        <v>0</v>
      </c>
      <c r="J9" s="10">
        <v>3.61E-2</v>
      </c>
      <c r="K9" s="1">
        <f>'Jan 2021'!I12</f>
        <v>0</v>
      </c>
      <c r="L9" s="10">
        <v>0.75</v>
      </c>
      <c r="M9" s="10">
        <f>'Jan 2021'!L12</f>
        <v>0</v>
      </c>
      <c r="N9" s="10">
        <v>0.56299999999999994</v>
      </c>
      <c r="O9" s="15">
        <f>'Jan 2021'!D12</f>
        <v>0</v>
      </c>
    </row>
    <row r="10" spans="1:17" x14ac:dyDescent="0.2">
      <c r="A10" t="s">
        <v>27</v>
      </c>
      <c r="B10">
        <f t="shared" si="0"/>
        <v>9</v>
      </c>
      <c r="C10" s="5">
        <v>1</v>
      </c>
      <c r="D10">
        <v>2021</v>
      </c>
      <c r="E10" s="15">
        <f>'Jan 2021'!E13</f>
        <v>0</v>
      </c>
      <c r="F10" s="10">
        <v>2.9000000000000001E-2</v>
      </c>
      <c r="G10" s="1">
        <f>'Jan 2021'!J13</f>
        <v>0</v>
      </c>
      <c r="H10" s="10">
        <v>0.112</v>
      </c>
      <c r="I10" s="1">
        <f>'Jan 2021'!G13*1000</f>
        <v>0</v>
      </c>
      <c r="J10" s="10">
        <v>3.61E-2</v>
      </c>
      <c r="K10" s="1">
        <f>'Jan 2021'!I13</f>
        <v>0</v>
      </c>
      <c r="L10" s="10">
        <v>0.75</v>
      </c>
      <c r="M10" s="10">
        <f>'Jan 2021'!L13</f>
        <v>0</v>
      </c>
      <c r="N10" s="10">
        <v>0.56299999999999994</v>
      </c>
      <c r="O10" s="15">
        <f>'Jan 2021'!D13</f>
        <v>0</v>
      </c>
    </row>
    <row r="11" spans="1:17" x14ac:dyDescent="0.2">
      <c r="A11" t="s">
        <v>27</v>
      </c>
      <c r="B11">
        <f t="shared" si="0"/>
        <v>10</v>
      </c>
      <c r="C11" s="5">
        <v>1</v>
      </c>
      <c r="D11">
        <v>2021</v>
      </c>
      <c r="E11" s="15">
        <f>'Jan 2021'!E14</f>
        <v>0</v>
      </c>
      <c r="F11" s="10">
        <v>2.9000000000000001E-2</v>
      </c>
      <c r="G11" s="1">
        <f>'Jan 2021'!J14</f>
        <v>0</v>
      </c>
      <c r="H11" s="10">
        <v>0.112</v>
      </c>
      <c r="I11" s="1">
        <f>'Jan 2021'!G14*1000</f>
        <v>0</v>
      </c>
      <c r="J11" s="10">
        <v>3.61E-2</v>
      </c>
      <c r="K11" s="1">
        <f>'Jan 2021'!I14</f>
        <v>0</v>
      </c>
      <c r="L11" s="10">
        <v>0.75</v>
      </c>
      <c r="M11" s="10">
        <f>'Jan 2021'!L14</f>
        <v>0</v>
      </c>
      <c r="N11" s="10">
        <v>0.56299999999999994</v>
      </c>
      <c r="O11" s="15">
        <f>'Jan 2021'!D14</f>
        <v>0</v>
      </c>
    </row>
    <row r="12" spans="1:17" x14ac:dyDescent="0.2">
      <c r="A12" t="s">
        <v>27</v>
      </c>
      <c r="B12">
        <f t="shared" si="0"/>
        <v>11</v>
      </c>
      <c r="C12" s="5">
        <v>1</v>
      </c>
      <c r="D12">
        <v>2021</v>
      </c>
      <c r="E12" s="15">
        <f>'Jan 2021'!E15</f>
        <v>0</v>
      </c>
      <c r="F12" s="10">
        <v>2.9000000000000001E-2</v>
      </c>
      <c r="G12" s="1">
        <f>'Jan 2021'!J15</f>
        <v>0</v>
      </c>
      <c r="H12" s="10">
        <v>0.112</v>
      </c>
      <c r="I12" s="1">
        <f>'Jan 2021'!G15*1000</f>
        <v>0</v>
      </c>
      <c r="J12" s="10">
        <v>3.61E-2</v>
      </c>
      <c r="K12" s="1">
        <f>'Jan 2021'!I15</f>
        <v>0</v>
      </c>
      <c r="L12" s="10">
        <v>0.75</v>
      </c>
      <c r="M12" s="10">
        <f>'Jan 2021'!L15</f>
        <v>0</v>
      </c>
      <c r="N12" s="10">
        <v>0.56299999999999994</v>
      </c>
      <c r="O12" s="15">
        <f>'Jan 2021'!D15</f>
        <v>0</v>
      </c>
    </row>
    <row r="13" spans="1:17" x14ac:dyDescent="0.2">
      <c r="A13" t="s">
        <v>27</v>
      </c>
      <c r="B13">
        <f t="shared" si="0"/>
        <v>12</v>
      </c>
      <c r="C13" s="5">
        <v>1</v>
      </c>
      <c r="D13">
        <v>2021</v>
      </c>
      <c r="E13" s="15">
        <f>'Jan 2021'!E16</f>
        <v>0</v>
      </c>
      <c r="F13" s="10">
        <v>2.9000000000000001E-2</v>
      </c>
      <c r="G13" s="1">
        <f>'Jan 2021'!J16</f>
        <v>0</v>
      </c>
      <c r="H13" s="10">
        <v>0.112</v>
      </c>
      <c r="I13" s="1">
        <f>'Jan 2021'!G16*1000</f>
        <v>0</v>
      </c>
      <c r="J13" s="10">
        <v>3.61E-2</v>
      </c>
      <c r="K13" s="1">
        <f>'Jan 2021'!I16</f>
        <v>0</v>
      </c>
      <c r="L13" s="10">
        <v>0.75</v>
      </c>
      <c r="M13" s="10">
        <f>'Jan 2021'!L16</f>
        <v>0</v>
      </c>
      <c r="N13" s="10">
        <v>0.56299999999999994</v>
      </c>
      <c r="O13" s="15">
        <f>'Jan 2021'!D16</f>
        <v>0</v>
      </c>
    </row>
    <row r="14" spans="1:17" x14ac:dyDescent="0.2">
      <c r="A14" t="s">
        <v>27</v>
      </c>
      <c r="B14">
        <f t="shared" si="0"/>
        <v>13</v>
      </c>
      <c r="C14" s="5">
        <v>1</v>
      </c>
      <c r="D14">
        <v>2021</v>
      </c>
      <c r="E14" s="15">
        <f>'Jan 2021'!E17</f>
        <v>0</v>
      </c>
      <c r="F14" s="10">
        <v>2.9000000000000001E-2</v>
      </c>
      <c r="G14" s="1">
        <f>'Jan 2021'!J17</f>
        <v>0</v>
      </c>
      <c r="H14" s="10">
        <v>0.112</v>
      </c>
      <c r="I14" s="1">
        <f>'Jan 2021'!G17*1000</f>
        <v>0</v>
      </c>
      <c r="J14" s="10">
        <v>3.61E-2</v>
      </c>
      <c r="K14" s="1">
        <f>'Jan 2021'!I17</f>
        <v>0</v>
      </c>
      <c r="L14" s="10">
        <v>0.75</v>
      </c>
      <c r="M14" s="10">
        <f>'Jan 2021'!L17</f>
        <v>0</v>
      </c>
      <c r="N14" s="10">
        <v>0.56299999999999994</v>
      </c>
      <c r="O14" s="15">
        <f>'Jan 2021'!D17</f>
        <v>0</v>
      </c>
    </row>
    <row r="15" spans="1:17" x14ac:dyDescent="0.2">
      <c r="A15" t="s">
        <v>27</v>
      </c>
      <c r="B15">
        <f t="shared" si="0"/>
        <v>14</v>
      </c>
      <c r="C15" s="5">
        <v>1</v>
      </c>
      <c r="D15">
        <v>2021</v>
      </c>
      <c r="E15" s="15">
        <f>'Jan 2021'!E18</f>
        <v>0</v>
      </c>
      <c r="F15" s="10">
        <v>2.9000000000000001E-2</v>
      </c>
      <c r="G15" s="1">
        <f>'Jan 2021'!J18</f>
        <v>0</v>
      </c>
      <c r="H15" s="10">
        <v>0.112</v>
      </c>
      <c r="I15" s="1">
        <f>'Jan 2021'!G18*1000</f>
        <v>0</v>
      </c>
      <c r="J15" s="10">
        <v>3.61E-2</v>
      </c>
      <c r="K15" s="1">
        <f>'Jan 2021'!I18</f>
        <v>0</v>
      </c>
      <c r="L15" s="10">
        <v>0.75</v>
      </c>
      <c r="M15" s="10">
        <f>'Jan 2021'!L18</f>
        <v>0</v>
      </c>
      <c r="N15" s="10">
        <v>0.56299999999999994</v>
      </c>
      <c r="O15" s="15">
        <f>'Jan 2021'!D18</f>
        <v>0</v>
      </c>
    </row>
    <row r="16" spans="1:17" x14ac:dyDescent="0.2">
      <c r="A16" t="s">
        <v>27</v>
      </c>
      <c r="B16">
        <f t="shared" si="0"/>
        <v>15</v>
      </c>
      <c r="C16" s="5">
        <v>1</v>
      </c>
      <c r="D16">
        <v>2021</v>
      </c>
      <c r="E16" s="15">
        <f>'Jan 2021'!E19</f>
        <v>0</v>
      </c>
      <c r="F16" s="10">
        <v>2.9000000000000001E-2</v>
      </c>
      <c r="G16" s="1">
        <f>'Jan 2021'!J19</f>
        <v>0</v>
      </c>
      <c r="H16" s="10">
        <v>0.112</v>
      </c>
      <c r="I16" s="1">
        <f>'Jan 2021'!G19*1000</f>
        <v>0</v>
      </c>
      <c r="J16" s="10">
        <v>3.61E-2</v>
      </c>
      <c r="K16" s="1">
        <f>'Jan 2021'!I19</f>
        <v>0</v>
      </c>
      <c r="L16" s="10">
        <v>0.75</v>
      </c>
      <c r="M16" s="10">
        <f>'Jan 2021'!L19</f>
        <v>0</v>
      </c>
      <c r="N16" s="10">
        <v>0.56299999999999994</v>
      </c>
      <c r="O16" s="15">
        <f>'Jan 2021'!D19</f>
        <v>0</v>
      </c>
    </row>
    <row r="17" spans="1:17" x14ac:dyDescent="0.2">
      <c r="A17" t="s">
        <v>27</v>
      </c>
      <c r="B17">
        <f t="shared" si="0"/>
        <v>16</v>
      </c>
      <c r="C17" s="5">
        <v>1</v>
      </c>
      <c r="D17">
        <v>2021</v>
      </c>
      <c r="E17" s="15">
        <f>'Jan 2021'!E20</f>
        <v>0</v>
      </c>
      <c r="F17" s="10">
        <v>2.9000000000000001E-2</v>
      </c>
      <c r="G17" s="1">
        <f>'Jan 2021'!J20</f>
        <v>0</v>
      </c>
      <c r="H17" s="10">
        <v>0.112</v>
      </c>
      <c r="I17" s="1">
        <f>'Jan 2021'!G20*1000</f>
        <v>0</v>
      </c>
      <c r="J17" s="10">
        <v>3.61E-2</v>
      </c>
      <c r="K17" s="1">
        <f>'Jan 2021'!I20</f>
        <v>0</v>
      </c>
      <c r="L17" s="10">
        <v>0.75</v>
      </c>
      <c r="M17" s="10">
        <f>'Jan 2021'!L20</f>
        <v>0</v>
      </c>
      <c r="N17" s="10">
        <v>0.56299999999999994</v>
      </c>
      <c r="O17" s="15">
        <f>'Jan 2021'!D20</f>
        <v>0</v>
      </c>
    </row>
    <row r="18" spans="1:17" x14ac:dyDescent="0.2">
      <c r="A18" t="s">
        <v>27</v>
      </c>
      <c r="B18">
        <f t="shared" si="0"/>
        <v>17</v>
      </c>
      <c r="C18" s="5">
        <v>1</v>
      </c>
      <c r="D18">
        <v>2021</v>
      </c>
      <c r="E18" s="15">
        <f>'Jan 2021'!E21</f>
        <v>0</v>
      </c>
      <c r="F18" s="10">
        <v>2.9000000000000001E-2</v>
      </c>
      <c r="G18" s="1">
        <f>'Jan 2021'!J21</f>
        <v>0</v>
      </c>
      <c r="H18" s="10">
        <v>0.112</v>
      </c>
      <c r="I18" s="1">
        <f>'Jan 2021'!G21*1000</f>
        <v>0</v>
      </c>
      <c r="J18" s="10">
        <v>3.61E-2</v>
      </c>
      <c r="K18" s="1">
        <f>'Jan 2021'!I21</f>
        <v>0</v>
      </c>
      <c r="L18" s="10">
        <v>0.75</v>
      </c>
      <c r="M18" s="10">
        <f>'Jan 2021'!L21</f>
        <v>0</v>
      </c>
      <c r="N18" s="10">
        <v>0.56299999999999994</v>
      </c>
      <c r="O18" s="15">
        <f>'Jan 2021'!D21</f>
        <v>0</v>
      </c>
    </row>
    <row r="19" spans="1:17" x14ac:dyDescent="0.2">
      <c r="A19" t="s">
        <v>27</v>
      </c>
      <c r="B19">
        <f t="shared" si="0"/>
        <v>18</v>
      </c>
      <c r="C19" s="5">
        <v>1</v>
      </c>
      <c r="D19">
        <v>2021</v>
      </c>
      <c r="E19" s="15">
        <f>'Jan 2021'!E22</f>
        <v>0</v>
      </c>
      <c r="F19" s="10">
        <v>2.9000000000000001E-2</v>
      </c>
      <c r="G19" s="1">
        <f>'Jan 2021'!J22</f>
        <v>0</v>
      </c>
      <c r="H19" s="10">
        <v>0.112</v>
      </c>
      <c r="I19" s="1">
        <f>'Jan 2021'!G22*1000</f>
        <v>0</v>
      </c>
      <c r="J19" s="10">
        <v>3.61E-2</v>
      </c>
      <c r="K19" s="1">
        <f>'Jan 2021'!I22</f>
        <v>0</v>
      </c>
      <c r="L19" s="10">
        <v>0.75</v>
      </c>
      <c r="M19" s="10">
        <f>'Jan 2021'!L22</f>
        <v>0</v>
      </c>
      <c r="N19" s="10">
        <v>0.56299999999999994</v>
      </c>
      <c r="O19" s="15">
        <f>'Jan 2021'!D22</f>
        <v>0</v>
      </c>
    </row>
    <row r="20" spans="1:17" x14ac:dyDescent="0.2">
      <c r="A20" t="s">
        <v>27</v>
      </c>
      <c r="B20">
        <f t="shared" si="0"/>
        <v>19</v>
      </c>
      <c r="C20" s="5">
        <v>1</v>
      </c>
      <c r="D20">
        <v>2021</v>
      </c>
      <c r="E20" s="15">
        <f>'Jan 2021'!E23</f>
        <v>0</v>
      </c>
      <c r="F20" s="10">
        <v>2.9000000000000001E-2</v>
      </c>
      <c r="G20" s="1">
        <f>'Jan 2021'!J23</f>
        <v>0</v>
      </c>
      <c r="H20" s="10">
        <v>0.112</v>
      </c>
      <c r="I20" s="1">
        <f>'Jan 2021'!G23*1000</f>
        <v>0</v>
      </c>
      <c r="J20" s="10">
        <v>3.61E-2</v>
      </c>
      <c r="K20" s="1">
        <f>'Jan 2021'!I23</f>
        <v>0</v>
      </c>
      <c r="L20" s="10">
        <v>0.75</v>
      </c>
      <c r="M20" s="10">
        <f>'Jan 2021'!L23</f>
        <v>0</v>
      </c>
      <c r="N20" s="10">
        <v>0.56299999999999994</v>
      </c>
      <c r="O20" s="15">
        <f>'Jan 2021'!D23</f>
        <v>0</v>
      </c>
    </row>
    <row r="21" spans="1:17" x14ac:dyDescent="0.2">
      <c r="A21" t="s">
        <v>27</v>
      </c>
      <c r="B21">
        <f t="shared" si="0"/>
        <v>20</v>
      </c>
      <c r="C21" s="5">
        <v>1</v>
      </c>
      <c r="D21">
        <v>2021</v>
      </c>
      <c r="E21" s="15">
        <f>'Jan 2021'!E24</f>
        <v>0</v>
      </c>
      <c r="F21" s="10">
        <v>2.9000000000000001E-2</v>
      </c>
      <c r="G21" s="1">
        <f>'Jan 2021'!J24</f>
        <v>0</v>
      </c>
      <c r="H21" s="10">
        <v>0.112</v>
      </c>
      <c r="I21" s="1">
        <f>'Jan 2021'!G24*1000</f>
        <v>0</v>
      </c>
      <c r="J21" s="10">
        <v>3.61E-2</v>
      </c>
      <c r="K21" s="1">
        <f>'Jan 2021'!I24</f>
        <v>0</v>
      </c>
      <c r="L21" s="10">
        <v>0.75</v>
      </c>
      <c r="M21" s="10">
        <f>'Jan 2021'!L24</f>
        <v>0</v>
      </c>
      <c r="N21" s="10">
        <v>0.56299999999999994</v>
      </c>
      <c r="O21" s="15">
        <f>'Jan 2021'!D24</f>
        <v>0</v>
      </c>
    </row>
    <row r="22" spans="1:17" x14ac:dyDescent="0.2">
      <c r="A22" t="s">
        <v>27</v>
      </c>
      <c r="B22">
        <f t="shared" si="0"/>
        <v>21</v>
      </c>
      <c r="C22" s="5">
        <v>1</v>
      </c>
      <c r="D22">
        <v>2021</v>
      </c>
      <c r="E22" s="15">
        <f>'Jan 2021'!E25</f>
        <v>0</v>
      </c>
      <c r="F22" s="10">
        <v>2.9000000000000001E-2</v>
      </c>
      <c r="G22" s="1">
        <f>'Jan 2021'!J25</f>
        <v>0</v>
      </c>
      <c r="H22" s="10">
        <v>0.112</v>
      </c>
      <c r="I22" s="1">
        <f>'Jan 2021'!G25*1000</f>
        <v>0</v>
      </c>
      <c r="J22" s="10">
        <v>3.61E-2</v>
      </c>
      <c r="K22" s="1">
        <f>'Jan 2021'!I25</f>
        <v>0</v>
      </c>
      <c r="L22" s="10">
        <v>0.75</v>
      </c>
      <c r="M22" s="10">
        <f>'Jan 2021'!L25</f>
        <v>0</v>
      </c>
      <c r="N22" s="10">
        <v>0.56299999999999994</v>
      </c>
      <c r="O22" s="15">
        <f>'Jan 2021'!D25</f>
        <v>0</v>
      </c>
    </row>
    <row r="23" spans="1:17" x14ac:dyDescent="0.2">
      <c r="A23" t="s">
        <v>27</v>
      </c>
      <c r="B23">
        <f t="shared" si="0"/>
        <v>22</v>
      </c>
      <c r="C23" s="5">
        <v>1</v>
      </c>
      <c r="D23">
        <v>2021</v>
      </c>
      <c r="E23" s="15">
        <f>'Jan 2021'!E26</f>
        <v>0</v>
      </c>
      <c r="F23" s="10">
        <v>2.9000000000000001E-2</v>
      </c>
      <c r="G23" s="1">
        <f>'Jan 2021'!J26</f>
        <v>0</v>
      </c>
      <c r="H23" s="10">
        <v>0.112</v>
      </c>
      <c r="I23" s="1">
        <f>'Jan 2021'!G26*1000</f>
        <v>0</v>
      </c>
      <c r="J23" s="10">
        <v>3.61E-2</v>
      </c>
      <c r="K23" s="1">
        <f>'Jan 2021'!I26</f>
        <v>0</v>
      </c>
      <c r="L23" s="10">
        <v>0.75</v>
      </c>
      <c r="M23" s="10">
        <f>'Jan 2021'!L26</f>
        <v>0</v>
      </c>
      <c r="N23" s="10">
        <v>0.56299999999999994</v>
      </c>
      <c r="O23" s="15">
        <f>'Jan 2021'!D26</f>
        <v>0</v>
      </c>
    </row>
    <row r="24" spans="1:17" ht="12" customHeight="1" x14ac:dyDescent="0.2">
      <c r="A24" t="s">
        <v>27</v>
      </c>
      <c r="B24">
        <f t="shared" si="0"/>
        <v>23</v>
      </c>
      <c r="C24" s="5">
        <v>1</v>
      </c>
      <c r="D24">
        <v>2021</v>
      </c>
      <c r="E24" s="15">
        <f>'Jan 2021'!E27</f>
        <v>0</v>
      </c>
      <c r="F24" s="10">
        <v>2.9000000000000001E-2</v>
      </c>
      <c r="G24" s="1">
        <f>'Jan 2021'!J27</f>
        <v>0</v>
      </c>
      <c r="H24" s="10">
        <v>0.112</v>
      </c>
      <c r="I24" s="1">
        <f>'Jan 2021'!G27*1000</f>
        <v>0</v>
      </c>
      <c r="J24" s="10">
        <v>3.61E-2</v>
      </c>
      <c r="K24" s="1">
        <f>'Jan 2021'!I27</f>
        <v>0</v>
      </c>
      <c r="L24" s="10">
        <v>0.75</v>
      </c>
      <c r="M24" s="10">
        <f>'Jan 2021'!L27</f>
        <v>0</v>
      </c>
      <c r="N24" s="10">
        <v>0.56299999999999994</v>
      </c>
      <c r="O24" s="15">
        <f>'Jan 2021'!D27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</v>
      </c>
      <c r="D25">
        <v>2021</v>
      </c>
      <c r="E25" s="15">
        <f>'Jan 2021'!E28</f>
        <v>0</v>
      </c>
      <c r="F25" s="10">
        <v>2.9000000000000001E-2</v>
      </c>
      <c r="G25" s="1">
        <f>'Jan 2021'!J28</f>
        <v>0</v>
      </c>
      <c r="H25" s="10">
        <v>0.112</v>
      </c>
      <c r="I25" s="1">
        <f>'Jan 2021'!G28*1000</f>
        <v>0</v>
      </c>
      <c r="J25" s="10">
        <v>3.61E-2</v>
      </c>
      <c r="K25" s="1">
        <f>'Jan 2021'!I28</f>
        <v>0</v>
      </c>
      <c r="L25" s="10">
        <v>0.75</v>
      </c>
      <c r="M25" s="10">
        <f>'Jan 2021'!L28</f>
        <v>0</v>
      </c>
      <c r="N25" s="10">
        <v>0.56299999999999994</v>
      </c>
      <c r="O25" s="15">
        <f>'Jan 2021'!D28</f>
        <v>0</v>
      </c>
    </row>
    <row r="26" spans="1:17" x14ac:dyDescent="0.2">
      <c r="A26" t="s">
        <v>27</v>
      </c>
      <c r="B26">
        <f>B25+1</f>
        <v>25</v>
      </c>
      <c r="C26" s="5">
        <v>1</v>
      </c>
      <c r="D26">
        <v>2021</v>
      </c>
      <c r="E26" s="15">
        <f>'Jan 2021'!E29</f>
        <v>0</v>
      </c>
      <c r="F26" s="10">
        <v>2.9000000000000001E-2</v>
      </c>
      <c r="G26" s="1">
        <f>'Jan 2021'!J29</f>
        <v>0</v>
      </c>
      <c r="H26" s="10">
        <v>0.112</v>
      </c>
      <c r="I26" s="1">
        <f>'Jan 2021'!G29*1000</f>
        <v>0</v>
      </c>
      <c r="J26" s="10">
        <v>3.61E-2</v>
      </c>
      <c r="K26" s="1">
        <f>'Jan 2021'!I29</f>
        <v>0</v>
      </c>
      <c r="L26" s="10">
        <v>0.75</v>
      </c>
      <c r="M26" s="10">
        <f>'Jan 2021'!L29</f>
        <v>0</v>
      </c>
      <c r="N26" s="10">
        <v>0.56299999999999994</v>
      </c>
      <c r="O26" s="15">
        <f>'Jan 2021'!D29</f>
        <v>0</v>
      </c>
    </row>
    <row r="27" spans="1:17" x14ac:dyDescent="0.2">
      <c r="A27" t="s">
        <v>27</v>
      </c>
      <c r="B27">
        <f t="shared" si="0"/>
        <v>26</v>
      </c>
      <c r="C27" s="5">
        <v>1</v>
      </c>
      <c r="D27">
        <v>2021</v>
      </c>
      <c r="E27" s="15">
        <f>'Jan 2021'!E30</f>
        <v>0</v>
      </c>
      <c r="F27" s="10">
        <v>2.9000000000000001E-2</v>
      </c>
      <c r="G27" s="1">
        <f>'Jan 2021'!J30</f>
        <v>0</v>
      </c>
      <c r="H27" s="10">
        <v>0.112</v>
      </c>
      <c r="I27" s="1">
        <f>'Jan 2021'!G30*1000</f>
        <v>0</v>
      </c>
      <c r="J27" s="10">
        <v>3.61E-2</v>
      </c>
      <c r="K27" s="1">
        <f>'Jan 2021'!I30</f>
        <v>0</v>
      </c>
      <c r="L27" s="10">
        <v>0.75</v>
      </c>
      <c r="M27" s="10">
        <f>'Jan 2021'!L30</f>
        <v>0</v>
      </c>
      <c r="N27" s="10">
        <v>0.56299999999999994</v>
      </c>
      <c r="O27" s="15">
        <f>'Jan 2021'!D30</f>
        <v>0</v>
      </c>
    </row>
    <row r="28" spans="1:17" x14ac:dyDescent="0.2">
      <c r="A28" t="s">
        <v>27</v>
      </c>
      <c r="B28">
        <f t="shared" si="0"/>
        <v>27</v>
      </c>
      <c r="C28" s="5">
        <v>1</v>
      </c>
      <c r="D28">
        <v>2021</v>
      </c>
      <c r="E28" s="15">
        <f>'Jan 2021'!E31</f>
        <v>0</v>
      </c>
      <c r="F28" s="10">
        <v>2.9000000000000001E-2</v>
      </c>
      <c r="G28" s="1">
        <f>'Jan 2021'!J31</f>
        <v>0</v>
      </c>
      <c r="H28" s="10">
        <v>0.112</v>
      </c>
      <c r="I28" s="1">
        <f>'Jan 2021'!G31*1000</f>
        <v>0</v>
      </c>
      <c r="J28" s="10">
        <v>3.61E-2</v>
      </c>
      <c r="K28" s="1">
        <f>'Jan 2021'!I31</f>
        <v>0</v>
      </c>
      <c r="L28" s="10">
        <v>0.75</v>
      </c>
      <c r="M28" s="10">
        <f>'Jan 2021'!L31</f>
        <v>0</v>
      </c>
      <c r="N28" s="10">
        <v>0.56299999999999994</v>
      </c>
      <c r="O28" s="15">
        <f>'Jan 2021'!D31</f>
        <v>0</v>
      </c>
    </row>
    <row r="29" spans="1:17" x14ac:dyDescent="0.2">
      <c r="A29" t="s">
        <v>27</v>
      </c>
      <c r="B29">
        <f t="shared" si="0"/>
        <v>28</v>
      </c>
      <c r="C29" s="5">
        <v>1</v>
      </c>
      <c r="D29">
        <v>2021</v>
      </c>
      <c r="E29" s="15">
        <f>'Jan 2021'!E32</f>
        <v>0</v>
      </c>
      <c r="F29" s="10">
        <v>2.9000000000000001E-2</v>
      </c>
      <c r="G29" s="1">
        <f>'Jan 2021'!J32</f>
        <v>0</v>
      </c>
      <c r="H29" s="10">
        <v>0.112</v>
      </c>
      <c r="I29" s="1">
        <f>'Jan 2021'!G32*1000</f>
        <v>0</v>
      </c>
      <c r="J29" s="10">
        <v>3.61E-2</v>
      </c>
      <c r="K29" s="1">
        <f>'Jan 2021'!I32</f>
        <v>0</v>
      </c>
      <c r="L29" s="10">
        <v>0.75</v>
      </c>
      <c r="M29" s="10">
        <f>'Jan 2021'!L32</f>
        <v>0</v>
      </c>
      <c r="N29" s="10">
        <v>0.56299999999999994</v>
      </c>
      <c r="O29" s="15">
        <f>'Jan 2021'!D32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</v>
      </c>
      <c r="D30">
        <v>2021</v>
      </c>
      <c r="E30" s="15">
        <f>'Jan 2021'!E33</f>
        <v>0</v>
      </c>
      <c r="F30" s="10">
        <v>2.9000000000000001E-2</v>
      </c>
      <c r="G30" s="1">
        <f>'Jan 2021'!J33</f>
        <v>0</v>
      </c>
      <c r="H30" s="10">
        <v>0.112</v>
      </c>
      <c r="I30" s="1">
        <f>'Jan 2021'!G33*1000</f>
        <v>0</v>
      </c>
      <c r="J30" s="10">
        <v>3.61E-2</v>
      </c>
      <c r="K30" s="1">
        <f>'Jan 2021'!I33</f>
        <v>0</v>
      </c>
      <c r="L30" s="10">
        <v>0.75</v>
      </c>
      <c r="M30" s="10">
        <f>'Jan 2021'!L33</f>
        <v>0</v>
      </c>
      <c r="N30" s="10">
        <v>0.56299999999999994</v>
      </c>
      <c r="O30" s="15">
        <f>'Jan 2021'!D33</f>
        <v>0</v>
      </c>
    </row>
    <row r="31" spans="1:17" x14ac:dyDescent="0.2">
      <c r="A31" t="s">
        <v>27</v>
      </c>
      <c r="B31">
        <v>30</v>
      </c>
      <c r="C31" s="5">
        <v>1</v>
      </c>
      <c r="D31">
        <v>2021</v>
      </c>
      <c r="E31" s="15">
        <f>'Jan 2021'!E34</f>
        <v>0</v>
      </c>
      <c r="F31" s="10">
        <v>2.9000000000000001E-2</v>
      </c>
      <c r="G31" s="1">
        <f>'Jan 2021'!J34</f>
        <v>0</v>
      </c>
      <c r="H31" s="10">
        <v>0.112</v>
      </c>
      <c r="I31" s="1">
        <f>'Jan 2021'!G34*1000</f>
        <v>0</v>
      </c>
      <c r="J31" s="10">
        <v>3.61E-2</v>
      </c>
      <c r="K31" s="1">
        <f>'Jan 2021'!I34</f>
        <v>0</v>
      </c>
      <c r="L31" s="10">
        <v>0.75</v>
      </c>
      <c r="M31" s="10">
        <f>'Jan 2021'!L34</f>
        <v>0</v>
      </c>
      <c r="N31" s="10">
        <v>0.56299999999999994</v>
      </c>
      <c r="O31" s="15">
        <f>'Jan 2021'!D34</f>
        <v>0</v>
      </c>
    </row>
    <row r="32" spans="1:17" x14ac:dyDescent="0.2">
      <c r="A32" t="s">
        <v>27</v>
      </c>
      <c r="B32">
        <v>31</v>
      </c>
      <c r="C32" s="5">
        <v>1</v>
      </c>
      <c r="D32">
        <v>2021</v>
      </c>
      <c r="E32" s="15">
        <f>'Jan 2021'!E35</f>
        <v>0</v>
      </c>
      <c r="F32" s="10">
        <v>2.9000000000000001E-2</v>
      </c>
      <c r="G32" s="1">
        <f>'Jan 2021'!J35</f>
        <v>0</v>
      </c>
      <c r="H32" s="10">
        <v>0.112</v>
      </c>
      <c r="I32" s="1">
        <f>'Jan 2021'!G35*1000</f>
        <v>0</v>
      </c>
      <c r="J32" s="10">
        <v>3.61E-2</v>
      </c>
      <c r="K32" s="1">
        <f>'Jan 2021'!I35</f>
        <v>0</v>
      </c>
      <c r="L32" s="10">
        <v>0.75</v>
      </c>
      <c r="M32" s="10">
        <f>'Jan 2021'!L35</f>
        <v>0</v>
      </c>
      <c r="N32" s="10">
        <v>0.56299999999999994</v>
      </c>
      <c r="O32" s="15">
        <f>'Jan 2021'!D35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D19" sqref="D19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44197</v>
      </c>
      <c r="D5" s="7">
        <v>70</v>
      </c>
      <c r="E5" s="12">
        <v>32614</v>
      </c>
      <c r="F5" s="31">
        <v>183800</v>
      </c>
      <c r="G5" s="8">
        <f>F6-F5</f>
        <v>60</v>
      </c>
      <c r="H5" s="7">
        <v>437541</v>
      </c>
      <c r="I5" s="3">
        <f>H6-H5</f>
        <v>742</v>
      </c>
      <c r="J5" s="3">
        <v>0</v>
      </c>
      <c r="K5" s="4">
        <v>269243</v>
      </c>
      <c r="L5" s="9">
        <f>K6-K5</f>
        <v>76</v>
      </c>
      <c r="N5" s="1"/>
    </row>
    <row r="6" spans="1:14" x14ac:dyDescent="0.2">
      <c r="B6" s="2">
        <v>2</v>
      </c>
      <c r="C6" s="11">
        <v>44198</v>
      </c>
      <c r="D6" s="7">
        <v>40</v>
      </c>
      <c r="E6" s="12">
        <v>27619</v>
      </c>
      <c r="F6" s="4">
        <v>183860</v>
      </c>
      <c r="G6" s="8">
        <f>F7-F6</f>
        <v>25</v>
      </c>
      <c r="H6" s="7">
        <v>438283</v>
      </c>
      <c r="I6" s="3">
        <f>H7-H6</f>
        <v>316</v>
      </c>
      <c r="J6" s="3">
        <v>2970</v>
      </c>
      <c r="K6" s="4">
        <v>269319</v>
      </c>
      <c r="L6" s="9">
        <f>K7-K6</f>
        <v>71</v>
      </c>
      <c r="N6" s="1"/>
    </row>
    <row r="7" spans="1:14" x14ac:dyDescent="0.2">
      <c r="B7" s="2">
        <v>3</v>
      </c>
      <c r="C7" s="11">
        <v>44199</v>
      </c>
      <c r="D7" s="7">
        <v>21</v>
      </c>
      <c r="E7" s="12">
        <v>28659</v>
      </c>
      <c r="F7" s="4">
        <v>183885</v>
      </c>
      <c r="G7" s="8">
        <f>F8-F7</f>
        <v>23</v>
      </c>
      <c r="H7" s="7">
        <v>438599</v>
      </c>
      <c r="I7" s="3">
        <f>H8-H7</f>
        <v>246</v>
      </c>
      <c r="J7" s="3">
        <v>0</v>
      </c>
      <c r="K7" s="4">
        <v>269390</v>
      </c>
      <c r="L7" s="9">
        <f>K8-K7</f>
        <v>107</v>
      </c>
      <c r="N7" s="1"/>
    </row>
    <row r="8" spans="1:14" x14ac:dyDescent="0.2">
      <c r="B8" s="2">
        <v>4</v>
      </c>
      <c r="C8" s="11">
        <v>44200</v>
      </c>
      <c r="D8" s="7">
        <v>26</v>
      </c>
      <c r="E8" s="12">
        <v>29789</v>
      </c>
      <c r="F8" s="4">
        <v>183908</v>
      </c>
      <c r="G8" s="8">
        <f>F9-F8</f>
        <v>22</v>
      </c>
      <c r="H8" s="17">
        <v>438845</v>
      </c>
      <c r="I8" s="3">
        <f>H9-H8</f>
        <v>280</v>
      </c>
      <c r="J8" s="3">
        <v>2970</v>
      </c>
      <c r="K8" s="4">
        <v>269497</v>
      </c>
      <c r="L8" s="9">
        <f>K9-K8</f>
        <v>74</v>
      </c>
      <c r="N8" s="1"/>
    </row>
    <row r="9" spans="1:14" x14ac:dyDescent="0.2">
      <c r="B9" s="2">
        <v>5</v>
      </c>
      <c r="C9" s="11">
        <v>44201</v>
      </c>
      <c r="D9" s="7">
        <v>30</v>
      </c>
      <c r="E9" s="12"/>
      <c r="F9" s="4">
        <v>183930</v>
      </c>
      <c r="G9" s="8"/>
      <c r="H9" s="7">
        <v>439125</v>
      </c>
      <c r="I9" s="3"/>
      <c r="J9" s="3">
        <v>2970</v>
      </c>
      <c r="K9" s="4">
        <v>269571</v>
      </c>
      <c r="L9" s="9"/>
      <c r="N9" s="1"/>
    </row>
    <row r="10" spans="1:14" x14ac:dyDescent="0.2">
      <c r="B10" s="2">
        <v>6</v>
      </c>
      <c r="C10" s="11">
        <v>44202</v>
      </c>
      <c r="D10" s="7"/>
      <c r="E10" s="12"/>
      <c r="F10" s="4"/>
      <c r="G10" s="8"/>
      <c r="H10" s="7"/>
      <c r="I10" s="3"/>
      <c r="J10" s="3"/>
      <c r="K10" s="4"/>
      <c r="L10" s="9"/>
      <c r="N10" s="1"/>
    </row>
    <row r="11" spans="1:14" x14ac:dyDescent="0.2">
      <c r="B11" s="2">
        <v>7</v>
      </c>
      <c r="C11" s="11">
        <v>44203</v>
      </c>
      <c r="D11" s="7"/>
      <c r="E11" s="12"/>
      <c r="F11" s="4"/>
      <c r="G11" s="8"/>
      <c r="H11" s="7"/>
      <c r="I11" s="3"/>
      <c r="J11" s="3"/>
      <c r="K11" s="4"/>
      <c r="L11" s="9"/>
      <c r="N11" s="1"/>
    </row>
    <row r="12" spans="1:14" x14ac:dyDescent="0.2">
      <c r="B12" s="2">
        <v>8</v>
      </c>
      <c r="C12" s="11">
        <v>44204</v>
      </c>
      <c r="D12" s="7"/>
      <c r="E12" s="12"/>
      <c r="F12" s="4"/>
      <c r="G12" s="8"/>
      <c r="H12" s="7"/>
      <c r="I12" s="3"/>
      <c r="J12" s="3"/>
      <c r="K12" s="4"/>
      <c r="L12" s="9"/>
      <c r="N12" s="1"/>
    </row>
    <row r="13" spans="1:14" x14ac:dyDescent="0.2">
      <c r="A13" t="s">
        <v>28</v>
      </c>
      <c r="B13" s="2">
        <v>9</v>
      </c>
      <c r="C13" s="11">
        <v>44205</v>
      </c>
      <c r="D13" s="7"/>
      <c r="E13" s="12"/>
      <c r="F13" s="31"/>
      <c r="G13" s="8"/>
      <c r="H13" s="17"/>
      <c r="I13" s="3"/>
      <c r="J13" s="3"/>
      <c r="K13" s="31"/>
      <c r="L13" s="9"/>
      <c r="N13" s="1"/>
    </row>
    <row r="14" spans="1:14" x14ac:dyDescent="0.2">
      <c r="B14" s="2">
        <v>10</v>
      </c>
      <c r="C14" s="11">
        <v>44206</v>
      </c>
      <c r="D14" s="7"/>
      <c r="E14" s="12"/>
      <c r="F14" s="31"/>
      <c r="G14" s="8"/>
      <c r="H14" s="17"/>
      <c r="I14" s="3"/>
      <c r="J14" s="3"/>
      <c r="K14" s="31"/>
      <c r="L14" s="9"/>
      <c r="N14" s="1"/>
    </row>
    <row r="15" spans="1:14" x14ac:dyDescent="0.2">
      <c r="B15" s="2">
        <v>11</v>
      </c>
      <c r="C15" s="11">
        <v>44207</v>
      </c>
      <c r="D15" s="7"/>
      <c r="E15" s="12"/>
      <c r="F15" s="4"/>
      <c r="G15" s="8"/>
      <c r="H15" s="7"/>
      <c r="I15" s="3"/>
      <c r="J15" s="3"/>
      <c r="K15" s="4"/>
      <c r="L15" s="9"/>
      <c r="N15" s="1"/>
    </row>
    <row r="16" spans="1:14" ht="13.5" customHeight="1" x14ac:dyDescent="0.2">
      <c r="A16">
        <v>1</v>
      </c>
      <c r="B16" s="2">
        <v>12</v>
      </c>
      <c r="C16" s="11">
        <v>44208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44209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44210</v>
      </c>
      <c r="D18" s="7"/>
      <c r="E18" s="13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44211</v>
      </c>
      <c r="D19" s="7"/>
      <c r="E19" s="13"/>
      <c r="F19" s="4"/>
      <c r="G19" s="8"/>
      <c r="H19" s="1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44212</v>
      </c>
      <c r="D20" s="7"/>
      <c r="E20" s="1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44213</v>
      </c>
      <c r="D21" s="7"/>
      <c r="E21" s="12"/>
      <c r="F21" s="4"/>
      <c r="G21" s="8"/>
      <c r="H21" s="4"/>
      <c r="I21" s="3"/>
      <c r="J21" s="3"/>
      <c r="K21" s="4"/>
      <c r="L21" s="9"/>
      <c r="N21" s="1"/>
    </row>
    <row r="22" spans="1:14" x14ac:dyDescent="0.2">
      <c r="B22" s="2">
        <v>18</v>
      </c>
      <c r="C22" s="11">
        <v>44214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44215</v>
      </c>
      <c r="D23" s="7"/>
      <c r="E23" s="13"/>
      <c r="F23" s="4"/>
      <c r="G23" s="8"/>
      <c r="H23" s="31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44216</v>
      </c>
      <c r="D24" s="7"/>
      <c r="E24" s="13"/>
      <c r="F24" s="31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44217</v>
      </c>
      <c r="D25" s="7"/>
      <c r="E25" s="12"/>
      <c r="F25" s="31"/>
      <c r="G25" s="8"/>
      <c r="H25" s="31"/>
      <c r="I25" s="3"/>
      <c r="J25" s="3"/>
      <c r="K25" s="31"/>
      <c r="L25" s="9"/>
      <c r="N25" s="1"/>
    </row>
    <row r="26" spans="1:14" x14ac:dyDescent="0.2">
      <c r="B26" s="2">
        <v>22</v>
      </c>
      <c r="C26" s="11">
        <v>44218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44219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44220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44221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44222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44223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44224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44225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44226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44227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2021-01-06T06:06:27Z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