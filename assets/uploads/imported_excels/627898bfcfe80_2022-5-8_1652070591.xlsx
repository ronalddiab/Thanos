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Ma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9" i="7" l="1"/>
  <c r="AV36" i="7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V29" i="7" l="1"/>
  <c r="AW29" i="7" s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7" i="7" l="1"/>
  <c r="R32" i="9" s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W36" i="7"/>
  <c r="R31" i="9"/>
  <c r="G31" i="5" s="1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30" i="7"/>
  <c r="AW30" i="7" s="1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W35" i="7"/>
  <c r="R30" i="9"/>
  <c r="AW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  <c r="AV41" i="7"/>
  <c r="AV39" i="7"/>
  <c r="AV40" i="7" s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<sst xmlns="http://schemas.openxmlformats.org/spreadsheetml/2006/main" count="128" uniqueCount="49">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</sst>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5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29060</v>
      </c>
      <c r="F2" s="11">
        <v>5.0000000000000001E-3</v>
      </c>
      <c r="G2" s="12">
        <f>Submetering!R2</f>
        <v>0</v>
      </c>
      <c r="H2" s="11">
        <v>0.52800000000000002</v>
      </c>
      <c r="I2" s="12">
        <f>Hotel!B7</f>
        <v>35</v>
      </c>
    </row>
    <row r="3" spans="1:9" s="15" customFormat="1" x14ac:dyDescent="0.25">
      <c r="A3" s="21" t="s">
        <v>31</v>
      </c>
      <c r="B3" s="14">
        <f>B2+1</f>
        <v>2</v>
      </c>
      <c r="C3" s="3">
        <v>5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65910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81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5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59830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163</v>
      </c>
    </row>
    <row r="5" spans="1:9" s="15" customFormat="1" x14ac:dyDescent="0.25">
      <c r="A5" s="21" t="s">
        <v>31</v>
      </c>
      <c r="B5" s="14">
        <f t="shared" si="0"/>
        <v>4</v>
      </c>
      <c r="C5" s="3">
        <v>5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62260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241</v>
      </c>
    </row>
    <row r="6" spans="1:9" s="15" customFormat="1" x14ac:dyDescent="0.25">
      <c r="A6" s="21" t="s">
        <v>31</v>
      </c>
      <c r="B6" s="14">
        <f t="shared" si="0"/>
        <v>5</v>
      </c>
      <c r="C6" s="3">
        <v>5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65950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248</v>
      </c>
    </row>
    <row r="7" spans="1:9" s="15" customFormat="1" x14ac:dyDescent="0.25">
      <c r="A7" s="21" t="s">
        <v>31</v>
      </c>
      <c r="B7" s="14">
        <f t="shared" si="0"/>
        <v>6</v>
      </c>
      <c r="C7" s="3">
        <v>5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66360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230</v>
      </c>
    </row>
    <row r="8" spans="1:9" s="15" customFormat="1" x14ac:dyDescent="0.25">
      <c r="A8" s="21" t="s">
        <v>31</v>
      </c>
      <c r="B8" s="14">
        <f t="shared" si="0"/>
        <v>7</v>
      </c>
      <c r="C8" s="3">
        <v>5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64120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132</v>
      </c>
    </row>
    <row r="9" spans="1:9" s="15" customFormat="1" x14ac:dyDescent="0.25">
      <c r="A9" s="21" t="s">
        <v>31</v>
      </c>
      <c r="B9" s="14">
        <f t="shared" si="0"/>
        <v>8</v>
      </c>
      <c r="C9" s="3">
        <v>5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61790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86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5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5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5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5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5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5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5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5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5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5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5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5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5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5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5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5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5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5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5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5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5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5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5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5</v>
      </c>
      <c r="D2" s="11">
        <v>2022</v>
      </c>
      <c r="E2" s="4">
        <f>Hotel!Q7</f>
        <v>6170</v>
      </c>
      <c r="F2" s="4">
        <f>Hotel!R7</f>
        <v>1790</v>
      </c>
      <c r="G2" s="4">
        <f>Hotel!S7</f>
        <v>0</v>
      </c>
      <c r="H2" s="4">
        <f>Hotel!T7</f>
        <v>680</v>
      </c>
      <c r="I2" s="4">
        <f>Hotel!U7</f>
        <v>2060</v>
      </c>
      <c r="J2" s="4">
        <f>Hotel!V7</f>
        <v>2070</v>
      </c>
      <c r="K2" s="4">
        <f>Hotel!W7</f>
        <v>1890</v>
      </c>
      <c r="L2" s="4">
        <f>Hotel!X7</f>
        <v>2140</v>
      </c>
      <c r="M2" s="4">
        <f>Hotel!Y7</f>
        <v>1700</v>
      </c>
      <c r="N2" s="4">
        <f>Hotel!Z7</f>
        <v>1140</v>
      </c>
      <c r="O2" s="4">
        <f>Hotel!AA7</f>
        <v>1180</v>
      </c>
      <c r="P2" s="4">
        <f>Hotel!AB7</f>
        <v>3360</v>
      </c>
      <c r="Q2" s="4">
        <f>Hotel!AC7</f>
        <v>4880</v>
      </c>
      <c r="R2" s="4">
        <f>Hotel!AV7*0.00378541*100</f>
        <v>0</v>
      </c>
      <c r="S2" s="4">
        <f>Hotel!B7</f>
        <v>35</v>
      </c>
    </row>
    <row r="3" spans="1:19" x14ac:dyDescent="0.25">
      <c r="A3" s="21" t="s">
        <v>31</v>
      </c>
      <c r="B3" s="2">
        <f>B2+1</f>
        <v>2</v>
      </c>
      <c r="C3" s="3">
        <v>5</v>
      </c>
      <c r="D3" s="11">
        <v>2022</v>
      </c>
      <c r="E3" s="4">
        <f>Hotel!Q8</f>
        <v>12130</v>
      </c>
      <c r="F3" s="4">
        <f>Hotel!R8</f>
        <v>10820</v>
      </c>
      <c r="G3" s="4">
        <f>Hotel!S8</f>
        <v>0</v>
      </c>
      <c r="H3" s="4">
        <f>Hotel!T8</f>
        <v>1470</v>
      </c>
      <c r="I3" s="4">
        <f>Hotel!U8</f>
        <v>4340</v>
      </c>
      <c r="J3" s="4">
        <f>Hotel!V8</f>
        <v>3910</v>
      </c>
      <c r="K3" s="4">
        <f>Hotel!W8</f>
        <v>2920</v>
      </c>
      <c r="L3" s="4">
        <f>Hotel!X8</f>
        <v>4430</v>
      </c>
      <c r="M3" s="4">
        <f>Hotel!Y8</f>
        <v>3730</v>
      </c>
      <c r="N3" s="4">
        <f>Hotel!Z8</f>
        <v>2510</v>
      </c>
      <c r="O3" s="4">
        <f>Hotel!AA8</f>
        <v>2600</v>
      </c>
      <c r="P3" s="4">
        <f>Hotel!AB8</f>
        <v>6880</v>
      </c>
      <c r="Q3" s="4">
        <f>Hotel!AC8</f>
        <v>10170</v>
      </c>
      <c r="R3" s="4">
        <f>Hotel!AV8*0.00378541*100</f>
        <v>0</v>
      </c>
      <c r="S3" s="4">
        <f>Hotel!B8</f>
        <v>81</v>
      </c>
    </row>
    <row r="4" spans="1:19" x14ac:dyDescent="0.25">
      <c r="A4" s="21" t="s">
        <v>31</v>
      </c>
      <c r="B4" s="2">
        <f t="shared" ref="B4:B29" si="0">B3+1</f>
        <v>3</v>
      </c>
      <c r="C4" s="3">
        <v>5</v>
      </c>
      <c r="D4" s="11">
        <v>2022</v>
      </c>
      <c r="E4" s="4">
        <f>Hotel!Q9</f>
        <v>12700</v>
      </c>
      <c r="F4" s="4">
        <f>Hotel!R9</f>
        <v>1890</v>
      </c>
      <c r="G4" s="4">
        <f>Hotel!S9</f>
        <v>0</v>
      </c>
      <c r="H4" s="4">
        <f>Hotel!T9</f>
        <v>1510</v>
      </c>
      <c r="I4" s="4">
        <f>Hotel!U9</f>
        <v>4710</v>
      </c>
      <c r="J4" s="4">
        <f>Hotel!V9</f>
        <v>4120</v>
      </c>
      <c r="K4" s="4">
        <f>Hotel!W9</f>
        <v>2820</v>
      </c>
      <c r="L4" s="4">
        <f>Hotel!X9</f>
        <v>4660</v>
      </c>
      <c r="M4" s="4">
        <f>Hotel!Y9</f>
        <v>4050</v>
      </c>
      <c r="N4" s="4">
        <f>Hotel!Z9</f>
        <v>2770</v>
      </c>
      <c r="O4" s="4">
        <f>Hotel!AA9</f>
        <v>3230</v>
      </c>
      <c r="P4" s="4">
        <f>Hotel!AB9</f>
        <v>7320</v>
      </c>
      <c r="Q4" s="4">
        <f>Hotel!AC9</f>
        <v>10050</v>
      </c>
      <c r="R4" s="4">
        <f>Hotel!AV9*0.00378541*100</f>
        <v>0</v>
      </c>
      <c r="S4" s="4">
        <f>Hotel!B9</f>
        <v>163</v>
      </c>
    </row>
    <row r="5" spans="1:19" x14ac:dyDescent="0.25">
      <c r="A5" s="21" t="s">
        <v>31</v>
      </c>
      <c r="B5" s="2">
        <f t="shared" si="0"/>
        <v>4</v>
      </c>
      <c r="C5" s="3">
        <v>5</v>
      </c>
      <c r="D5" s="11">
        <v>2022</v>
      </c>
      <c r="E5" s="4">
        <f>Hotel!Q10</f>
        <v>13500</v>
      </c>
      <c r="F5" s="4">
        <f>Hotel!R10</f>
        <v>1860</v>
      </c>
      <c r="G5" s="4">
        <f>Hotel!S10</f>
        <v>60</v>
      </c>
      <c r="H5" s="4">
        <f>Hotel!T10</f>
        <v>1520</v>
      </c>
      <c r="I5" s="4">
        <f>Hotel!U10</f>
        <v>4970</v>
      </c>
      <c r="J5" s="4">
        <f>Hotel!V10</f>
        <v>4250</v>
      </c>
      <c r="K5" s="4">
        <f>Hotel!W10</f>
        <v>3020</v>
      </c>
      <c r="L5" s="4">
        <f>Hotel!X10</f>
        <v>4760</v>
      </c>
      <c r="M5" s="4">
        <f>Hotel!Y10</f>
        <v>4660</v>
      </c>
      <c r="N5" s="4">
        <f>Hotel!Z10</f>
        <v>2940</v>
      </c>
      <c r="O5" s="4">
        <f>Hotel!AA10</f>
        <v>3510</v>
      </c>
      <c r="P5" s="4">
        <f>Hotel!AB10</f>
        <v>7200</v>
      </c>
      <c r="Q5" s="4">
        <f>Hotel!AC10</f>
        <v>10010</v>
      </c>
      <c r="R5" s="4">
        <f>Hotel!AV10*0.00378541*100</f>
        <v>0</v>
      </c>
      <c r="S5" s="4">
        <f>Hotel!B10</f>
        <v>241</v>
      </c>
    </row>
    <row r="6" spans="1:19" x14ac:dyDescent="0.25">
      <c r="A6" s="21" t="s">
        <v>31</v>
      </c>
      <c r="B6" s="2">
        <f t="shared" si="0"/>
        <v>5</v>
      </c>
      <c r="C6" s="3">
        <v>5</v>
      </c>
      <c r="D6" s="11">
        <v>2022</v>
      </c>
      <c r="E6" s="4">
        <f>Hotel!Q11</f>
        <v>11270</v>
      </c>
      <c r="F6" s="4">
        <f>Hotel!R11</f>
        <v>3170</v>
      </c>
      <c r="G6" s="4">
        <f>Hotel!S11</f>
        <v>2330</v>
      </c>
      <c r="H6" s="4">
        <f>Hotel!T11</f>
        <v>1600</v>
      </c>
      <c r="I6" s="4">
        <f>Hotel!U11</f>
        <v>5300</v>
      </c>
      <c r="J6" s="4">
        <f>Hotel!V11</f>
        <v>4210</v>
      </c>
      <c r="K6" s="4">
        <f>Hotel!W11</f>
        <v>3490</v>
      </c>
      <c r="L6" s="4">
        <f>Hotel!X11</f>
        <v>4440</v>
      </c>
      <c r="M6" s="4">
        <f>Hotel!Y11</f>
        <v>5850</v>
      </c>
      <c r="N6" s="4">
        <f>Hotel!Z11</f>
        <v>3000</v>
      </c>
      <c r="O6" s="4">
        <f>Hotel!AA11</f>
        <v>3710</v>
      </c>
      <c r="P6" s="4">
        <f>Hotel!AB11</f>
        <v>6940</v>
      </c>
      <c r="Q6" s="4">
        <f>Hotel!AC11</f>
        <v>10640</v>
      </c>
      <c r="R6" s="4">
        <f>Hotel!AV11*0.00378541*100</f>
        <v>0</v>
      </c>
      <c r="S6" s="4">
        <f>Hotel!B11</f>
        <v>248</v>
      </c>
    </row>
    <row r="7" spans="1:19" x14ac:dyDescent="0.25">
      <c r="A7" s="21" t="s">
        <v>31</v>
      </c>
      <c r="B7" s="2">
        <f t="shared" si="0"/>
        <v>6</v>
      </c>
      <c r="C7" s="3">
        <v>5</v>
      </c>
      <c r="D7" s="11">
        <v>2022</v>
      </c>
      <c r="E7" s="4">
        <f>Hotel!Q12</f>
        <v>9540</v>
      </c>
      <c r="F7" s="4">
        <f>Hotel!R12</f>
        <v>3780</v>
      </c>
      <c r="G7" s="4">
        <f>Hotel!S12</f>
        <v>3090</v>
      </c>
      <c r="H7" s="4">
        <f>Hotel!T12</f>
        <v>1590</v>
      </c>
      <c r="I7" s="4">
        <f>Hotel!U12</f>
        <v>5250</v>
      </c>
      <c r="J7" s="4">
        <f>Hotel!V12</f>
        <v>4440</v>
      </c>
      <c r="K7" s="4">
        <f>Hotel!W12</f>
        <v>3850</v>
      </c>
      <c r="L7" s="4">
        <f>Hotel!X12</f>
        <v>4480</v>
      </c>
      <c r="M7" s="4">
        <f>Hotel!Y12</f>
        <v>5260</v>
      </c>
      <c r="N7" s="4">
        <f>Hotel!Z12</f>
        <v>3050</v>
      </c>
      <c r="O7" s="4">
        <f>Hotel!AA12</f>
        <v>3830</v>
      </c>
      <c r="P7" s="4">
        <f>Hotel!AB12</f>
        <v>7310</v>
      </c>
      <c r="Q7" s="4">
        <f>Hotel!AC12</f>
        <v>10890</v>
      </c>
      <c r="R7" s="4">
        <f>Hotel!AV12*0.00378541*100</f>
        <v>0</v>
      </c>
      <c r="S7" s="4">
        <f>Hotel!B12</f>
        <v>230</v>
      </c>
    </row>
    <row r="8" spans="1:19" x14ac:dyDescent="0.25">
      <c r="A8" s="21" t="s">
        <v>31</v>
      </c>
      <c r="B8" s="2">
        <f t="shared" si="0"/>
        <v>7</v>
      </c>
      <c r="C8" s="3">
        <v>5</v>
      </c>
      <c r="D8" s="11">
        <v>2022</v>
      </c>
      <c r="E8" s="4">
        <f>Hotel!Q13</f>
        <v>9240</v>
      </c>
      <c r="F8" s="4">
        <f>Hotel!R13</f>
        <v>3730</v>
      </c>
      <c r="G8" s="4">
        <f>Hotel!S13</f>
        <v>2980</v>
      </c>
      <c r="H8" s="4">
        <f>Hotel!T13</f>
        <v>1630</v>
      </c>
      <c r="I8" s="4">
        <f>Hotel!U13</f>
        <v>4950</v>
      </c>
      <c r="J8" s="4">
        <f>Hotel!V13</f>
        <v>4230</v>
      </c>
      <c r="K8" s="4">
        <f>Hotel!W13</f>
        <v>3330</v>
      </c>
      <c r="L8" s="4">
        <f>Hotel!X13</f>
        <v>4170</v>
      </c>
      <c r="M8" s="4">
        <f>Hotel!Y13</f>
        <v>5620</v>
      </c>
      <c r="N8" s="4">
        <f>Hotel!Z13</f>
        <v>2830</v>
      </c>
      <c r="O8" s="4">
        <f>Hotel!AA13</f>
        <v>3520</v>
      </c>
      <c r="P8" s="4">
        <f>Hotel!AB13</f>
        <v>7310</v>
      </c>
      <c r="Q8" s="4">
        <f>Hotel!AC13</f>
        <v>10580</v>
      </c>
      <c r="R8" s="4">
        <f>Hotel!AV13*0.00378541*100</f>
        <v>0</v>
      </c>
      <c r="S8" s="4">
        <f>Hotel!B13</f>
        <v>132</v>
      </c>
    </row>
    <row r="9" spans="1:19" x14ac:dyDescent="0.25">
      <c r="A9" s="21" t="s">
        <v>31</v>
      </c>
      <c r="B9" s="2">
        <f t="shared" si="0"/>
        <v>8</v>
      </c>
      <c r="C9" s="3">
        <v>5</v>
      </c>
      <c r="D9" s="11">
        <v>2022</v>
      </c>
      <c r="E9" s="4">
        <f>Hotel!Q14</f>
        <v>3780</v>
      </c>
      <c r="F9" s="4">
        <f>Hotel!R14</f>
        <v>9300</v>
      </c>
      <c r="G9" s="4">
        <f>Hotel!S14</f>
        <v>1370</v>
      </c>
      <c r="H9" s="4">
        <f>Hotel!T14</f>
        <v>1660</v>
      </c>
      <c r="I9" s="4">
        <f>Hotel!U14</f>
        <v>4670</v>
      </c>
      <c r="J9" s="4">
        <f>Hotel!V14</f>
        <v>4030</v>
      </c>
      <c r="K9" s="4">
        <f>Hotel!W14</f>
        <v>3030</v>
      </c>
      <c r="L9" s="4">
        <f>Hotel!X14</f>
        <v>3940</v>
      </c>
      <c r="M9" s="4">
        <f>Hotel!Y14</f>
        <v>5410</v>
      </c>
      <c r="N9" s="4">
        <f>Hotel!Z14</f>
        <v>2560</v>
      </c>
      <c r="O9" s="4">
        <f>Hotel!AA14</f>
        <v>3260</v>
      </c>
      <c r="P9" s="4">
        <f>Hotel!AB14</f>
        <v>7490</v>
      </c>
      <c r="Q9" s="4">
        <f>Hotel!AC14</f>
        <v>11290</v>
      </c>
      <c r="R9" s="4">
        <f>Hotel!AV14*0.00378541*100</f>
        <v>0</v>
      </c>
      <c r="S9" s="4">
        <f>Hotel!B14</f>
        <v>86</v>
      </c>
    </row>
    <row r="10" spans="1:19" x14ac:dyDescent="0.25">
      <c r="A10" s="21" t="s">
        <v>31</v>
      </c>
      <c r="B10" s="2">
        <f t="shared" si="0"/>
        <v>9</v>
      </c>
      <c r="C10" s="3">
        <v>5</v>
      </c>
      <c r="D10" s="11">
        <v>2022</v>
      </c>
      <c r="E10" s="4" t="str">
        <f>Hotel!Q15</f>
        <v>0</v>
      </c>
      <c r="F10" s="4" t="str">
        <f>Hotel!R15</f>
        <v>0</v>
      </c>
      <c r="G10" s="4" t="str">
        <f>Hotel!S15</f>
        <v>0</v>
      </c>
      <c r="H10" s="4" t="str">
        <f>Hotel!T15</f>
        <v>0</v>
      </c>
      <c r="I10" s="4" t="str">
        <f>Hotel!U15</f>
        <v>0</v>
      </c>
      <c r="J10" s="4" t="str">
        <f>Hotel!V15</f>
        <v>0</v>
      </c>
      <c r="K10" s="4" t="str">
        <f>Hotel!W15</f>
        <v>0</v>
      </c>
      <c r="L10" s="4" t="str">
        <f>Hotel!X15</f>
        <v>0</v>
      </c>
      <c r="M10" s="4" t="str">
        <f>Hotel!Y15</f>
        <v>0</v>
      </c>
      <c r="N10" s="4" t="str">
        <f>Hotel!Z15</f>
        <v>0</v>
      </c>
      <c r="O10" s="4" t="str">
        <f>Hotel!AA15</f>
        <v>0</v>
      </c>
      <c r="P10" s="4" t="str">
        <f>Hotel!AB15</f>
        <v>0</v>
      </c>
      <c r="Q10" s="4" t="str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5</v>
      </c>
      <c r="D11" s="11">
        <v>2022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5</v>
      </c>
      <c r="D12" s="11">
        <v>2022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5</v>
      </c>
      <c r="D13" s="11">
        <v>2022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5</v>
      </c>
      <c r="D14" s="11">
        <v>2022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5</v>
      </c>
      <c r="D15" s="11">
        <v>2022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5</v>
      </c>
      <c r="D16" s="11">
        <v>2022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5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5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5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5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5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5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5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5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5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5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5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5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5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5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5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5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C16" sqref="C1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44681</v>
      </c>
      <c r="B2" s="40">
        <v>27</v>
      </c>
      <c r="C2" s="24">
        <v>7956030</v>
      </c>
      <c r="D2" s="24">
        <v>18554890</v>
      </c>
      <c r="E2" s="24">
        <v>3201530</v>
      </c>
      <c r="F2" s="24">
        <v>4006030</v>
      </c>
      <c r="G2" s="24">
        <v>11913290</v>
      </c>
      <c r="H2" s="24">
        <v>6787870</v>
      </c>
      <c r="I2" s="24">
        <v>5951340</v>
      </c>
      <c r="J2" s="52">
        <v>7335500</v>
      </c>
      <c r="K2" s="24">
        <v>10879590</v>
      </c>
      <c r="L2" s="24">
        <v>4674760</v>
      </c>
      <c r="M2" s="24">
        <v>8915390</v>
      </c>
      <c r="N2" s="24">
        <v>14369050</v>
      </c>
      <c r="O2" s="24">
        <v>20090400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663505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663505</v>
      </c>
    </row>
    <row r="7" spans="1:49" x14ac:dyDescent="0.25">
      <c r="A7" s="23">
        <v>44682</v>
      </c>
      <c r="B7" s="40">
        <v>35</v>
      </c>
      <c r="C7" s="24">
        <v>7962200</v>
      </c>
      <c r="D7" s="24">
        <v>18556680</v>
      </c>
      <c r="E7" s="24">
        <v>3201530</v>
      </c>
      <c r="F7" s="24">
        <v>4006710</v>
      </c>
      <c r="G7" s="24">
        <v>11915350</v>
      </c>
      <c r="H7" s="24">
        <v>6789940</v>
      </c>
      <c r="I7" s="24">
        <v>5953230</v>
      </c>
      <c r="J7" s="24">
        <v>7337640</v>
      </c>
      <c r="K7" s="24">
        <v>10881290</v>
      </c>
      <c r="L7" s="24">
        <v>4675900</v>
      </c>
      <c r="M7" s="24">
        <v>8916570</v>
      </c>
      <c r="N7" s="24">
        <v>14372410</v>
      </c>
      <c r="O7" s="24">
        <v>20095280</v>
      </c>
      <c r="Q7" s="37">
        <f>IF((C7-C2&lt;0), "0",C7-C2)</f>
        <v>6170</v>
      </c>
      <c r="R7" s="37">
        <f t="shared" ref="R7:AC7" si="0">IF((D7-D2&lt;0), "0",D7-D2)</f>
        <v>1790</v>
      </c>
      <c r="S7" s="37">
        <f>IF((E7-E2&lt;0), "0",E7-E2)</f>
        <v>0</v>
      </c>
      <c r="T7" s="37">
        <f t="shared" si="0"/>
        <v>680</v>
      </c>
      <c r="U7" s="37">
        <f t="shared" si="0"/>
        <v>2060</v>
      </c>
      <c r="V7" s="37">
        <f t="shared" si="0"/>
        <v>2070</v>
      </c>
      <c r="W7" s="37">
        <f t="shared" si="0"/>
        <v>1890</v>
      </c>
      <c r="X7" s="37">
        <f t="shared" si="0"/>
        <v>2140</v>
      </c>
      <c r="Y7" s="37">
        <f t="shared" si="0"/>
        <v>1700</v>
      </c>
      <c r="Z7" s="37">
        <f t="shared" si="0"/>
        <v>1140</v>
      </c>
      <c r="AA7" s="37">
        <f t="shared" si="0"/>
        <v>1180</v>
      </c>
      <c r="AB7" s="37">
        <f t="shared" si="0"/>
        <v>3360</v>
      </c>
      <c r="AC7" s="37">
        <f t="shared" si="0"/>
        <v>4880</v>
      </c>
      <c r="AD7" s="34">
        <f>SUM(Q7:AC7)</f>
        <v>29060</v>
      </c>
      <c r="AF7" s="20">
        <f t="shared" ref="AF7:AF36" si="1">Q7*$D$39</f>
        <v>30.85</v>
      </c>
      <c r="AG7" s="20">
        <f t="shared" ref="AG7:AG36" si="2">R7*$D$39</f>
        <v>8.9500000000000011</v>
      </c>
      <c r="AH7" s="20">
        <f t="shared" ref="AH7:AH36" si="3">S7*$D$39</f>
        <v>0</v>
      </c>
      <c r="AI7" s="20">
        <f t="shared" ref="AI7:AI36" si="4">T7*$D$39</f>
        <v>3.4</v>
      </c>
      <c r="AJ7" s="20">
        <f t="shared" ref="AJ7:AJ36" si="5">U7*$D$39</f>
        <v>10.3</v>
      </c>
      <c r="AK7" s="20">
        <f t="shared" ref="AK7:AK36" si="6">V7*$D$39</f>
        <v>10.35</v>
      </c>
      <c r="AL7" s="20">
        <f t="shared" ref="AL7:AL36" si="7">W7*$D$39</f>
        <v>9.4500000000000011</v>
      </c>
      <c r="AM7" s="20">
        <f t="shared" ref="AM7:AM36" si="8">X7*$D$39</f>
        <v>10.700000000000001</v>
      </c>
      <c r="AN7" s="20">
        <f t="shared" ref="AN7:AN36" si="9">Y7*$D$39</f>
        <v>8.5</v>
      </c>
      <c r="AO7" s="20">
        <f t="shared" ref="AO7:AO36" si="10">Z7*$D$39</f>
        <v>5.7</v>
      </c>
      <c r="AP7" s="20">
        <f t="shared" ref="AP7:AP36" si="11">AA7*$D$39</f>
        <v>5.9</v>
      </c>
      <c r="AQ7" s="20">
        <f t="shared" ref="AQ7:AQ36" si="12">AB7*$D$39</f>
        <v>16.8</v>
      </c>
      <c r="AR7" s="20">
        <f t="shared" ref="AR7:AR36" si="13">AC7*$D$39</f>
        <v>24.400000000000002</v>
      </c>
      <c r="AS7" s="35">
        <f>SUM(AF7:AR7)</f>
        <v>145.30000000000001</v>
      </c>
      <c r="AU7" s="47">
        <v>663505</v>
      </c>
      <c r="AV7" s="37">
        <f>IF((AU7-AU6&lt;0),"0",AU7-AU6)</f>
        <v>0</v>
      </c>
      <c r="AW7" s="35">
        <f t="shared" ref="AW7:AW35" si="14">AV7*$D$40</f>
        <v>0</v>
      </c>
    </row>
    <row r="8" spans="1:49" x14ac:dyDescent="0.25">
      <c r="A8" s="23">
        <v>44683</v>
      </c>
      <c r="B8" s="40">
        <v>81</v>
      </c>
      <c r="C8" s="24">
        <v>7974330</v>
      </c>
      <c r="D8" s="24">
        <v>18567500</v>
      </c>
      <c r="E8" s="24">
        <v>3201530</v>
      </c>
      <c r="F8" s="24">
        <v>4008180</v>
      </c>
      <c r="G8" s="24">
        <v>11919690</v>
      </c>
      <c r="H8" s="24">
        <v>6793850</v>
      </c>
      <c r="I8" s="24">
        <v>5956150</v>
      </c>
      <c r="J8" s="24">
        <v>7342070</v>
      </c>
      <c r="K8" s="24">
        <v>10885020</v>
      </c>
      <c r="L8" s="24">
        <v>4678410</v>
      </c>
      <c r="M8" s="24">
        <v>8919170</v>
      </c>
      <c r="N8" s="24">
        <v>14379290</v>
      </c>
      <c r="O8" s="24">
        <v>20105450</v>
      </c>
      <c r="Q8" s="37">
        <f>IF((C8-C7&lt;0), "0",C8-C7)</f>
        <v>12130</v>
      </c>
      <c r="R8" s="37">
        <f t="shared" ref="R8:AC8" si="15">IF((D8-D7&lt;0), "0",D8-D7)</f>
        <v>10820</v>
      </c>
      <c r="S8" s="37">
        <f t="shared" ref="S8:S35" si="16">IF((E8-E7&lt;0), "0",E8-E7)</f>
        <v>0</v>
      </c>
      <c r="T8" s="37">
        <f t="shared" si="15"/>
        <v>1470</v>
      </c>
      <c r="U8" s="37">
        <f t="shared" si="15"/>
        <v>4340</v>
      </c>
      <c r="V8" s="37">
        <f t="shared" si="15"/>
        <v>3910</v>
      </c>
      <c r="W8" s="37">
        <f t="shared" si="15"/>
        <v>2920</v>
      </c>
      <c r="X8" s="37">
        <f t="shared" si="15"/>
        <v>4430</v>
      </c>
      <c r="Y8" s="37">
        <f t="shared" si="15"/>
        <v>3730</v>
      </c>
      <c r="Z8" s="37">
        <f t="shared" si="15"/>
        <v>2510</v>
      </c>
      <c r="AA8" s="37">
        <f t="shared" si="15"/>
        <v>2600</v>
      </c>
      <c r="AB8" s="37">
        <f t="shared" si="15"/>
        <v>6880</v>
      </c>
      <c r="AC8" s="37">
        <f t="shared" si="15"/>
        <v>10170</v>
      </c>
      <c r="AD8" s="35">
        <f>SUM(Q8:AC8)</f>
        <v>65910</v>
      </c>
      <c r="AF8" s="20">
        <f t="shared" si="1"/>
        <v>60.65</v>
      </c>
      <c r="AG8" s="20">
        <f t="shared" si="2"/>
        <v>54.1</v>
      </c>
      <c r="AH8" s="20">
        <f t="shared" si="3"/>
        <v>0</v>
      </c>
      <c r="AI8" s="20">
        <f t="shared" si="4"/>
        <v>7.3500000000000005</v>
      </c>
      <c r="AJ8" s="20">
        <f t="shared" si="5"/>
        <v>21.7</v>
      </c>
      <c r="AK8" s="20">
        <f t="shared" si="6"/>
        <v>19.55</v>
      </c>
      <c r="AL8" s="20">
        <f t="shared" si="7"/>
        <v>14.6</v>
      </c>
      <c r="AM8" s="20">
        <f t="shared" si="8"/>
        <v>22.150000000000002</v>
      </c>
      <c r="AN8" s="20">
        <f t="shared" si="9"/>
        <v>18.650000000000002</v>
      </c>
      <c r="AO8" s="20">
        <f t="shared" si="10"/>
        <v>12.55</v>
      </c>
      <c r="AP8" s="20">
        <f t="shared" si="11"/>
        <v>13</v>
      </c>
      <c r="AQ8" s="20">
        <f t="shared" si="12"/>
        <v>34.4</v>
      </c>
      <c r="AR8" s="20">
        <f t="shared" si="13"/>
        <v>50.85</v>
      </c>
      <c r="AS8" s="35">
        <f>SUM(AF8:AR8)</f>
        <v>329.55</v>
      </c>
      <c r="AU8" s="47">
        <v>663505</v>
      </c>
      <c r="AV8" s="37">
        <f>IF((AU8-AU7&lt;0),"0",AU8-AU7)</f>
        <v>0</v>
      </c>
      <c r="AW8" s="35">
        <f t="shared" si="14"/>
        <v>0</v>
      </c>
    </row>
    <row r="9" spans="1:49" x14ac:dyDescent="0.25">
      <c r="A9" s="23">
        <v>44684</v>
      </c>
      <c r="B9" s="40">
        <v>163</v>
      </c>
      <c r="C9" s="24">
        <v>7987030</v>
      </c>
      <c r="D9" s="24">
        <v>18569390</v>
      </c>
      <c r="E9" s="24">
        <v>3201530</v>
      </c>
      <c r="F9" s="24">
        <v>4009690</v>
      </c>
      <c r="G9" s="24">
        <v>11924400</v>
      </c>
      <c r="H9" s="24">
        <v>6797970</v>
      </c>
      <c r="I9" s="24">
        <v>5958970</v>
      </c>
      <c r="J9" s="24">
        <v>7346730</v>
      </c>
      <c r="K9" s="24">
        <v>10889070</v>
      </c>
      <c r="L9" s="24">
        <v>4681180</v>
      </c>
      <c r="M9" s="24">
        <v>8922400</v>
      </c>
      <c r="N9" s="24">
        <v>14386610</v>
      </c>
      <c r="O9" s="24">
        <v>20115500</v>
      </c>
      <c r="Q9" s="37">
        <f t="shared" ref="Q9:Q30" si="17">IF((C9-C8&lt;0), "0",C9-C8)</f>
        <v>12700</v>
      </c>
      <c r="R9" s="37">
        <f t="shared" ref="R9:R37" si="18">IF((D9-D8&lt;0), "0",D9-D8)</f>
        <v>1890</v>
      </c>
      <c r="S9" s="37">
        <f t="shared" si="16"/>
        <v>0</v>
      </c>
      <c r="T9" s="37">
        <f t="shared" ref="T9:T35" si="19">IF((F9-F8&lt;0), "0",F9-F8)</f>
        <v>1510</v>
      </c>
      <c r="U9" s="37">
        <f t="shared" ref="U9:U35" si="20">IF((G9-G8&lt;0), "0",G9-G8)</f>
        <v>4710</v>
      </c>
      <c r="V9" s="37">
        <f t="shared" ref="V9:V35" si="21">IF((H9-H8&lt;0), "0",H9-H8)</f>
        <v>4120</v>
      </c>
      <c r="W9" s="37">
        <f t="shared" ref="W9:W35" si="22">IF((I9-I8&lt;0), "0",I9-I8)</f>
        <v>2820</v>
      </c>
      <c r="X9" s="37">
        <f t="shared" ref="X9:X37" si="23">IF((J9-J8&lt;0), "0",J9-J8)</f>
        <v>4660</v>
      </c>
      <c r="Y9" s="37">
        <f t="shared" ref="Y9:Y35" si="24">IF((K9-K8&lt;0), "0",K9-K8)</f>
        <v>4050</v>
      </c>
      <c r="Z9" s="37">
        <f t="shared" ref="Z9:Z35" si="25">IF((L9-L8&lt;0), "0",L9-L8)</f>
        <v>2770</v>
      </c>
      <c r="AA9" s="37">
        <f t="shared" ref="AA9:AA35" si="26">IF((M9-M8&lt;0), "0",M9-M8)</f>
        <v>3230</v>
      </c>
      <c r="AB9" s="37">
        <f t="shared" ref="AB9:AB37" si="27">IF((N9-N8&lt;0), "0",N9-N8)</f>
        <v>7320</v>
      </c>
      <c r="AC9" s="37">
        <f t="shared" ref="AC9:AC37" si="28">IF((O9-O8&lt;0), "0",O9-O8)</f>
        <v>10050</v>
      </c>
      <c r="AD9" s="35">
        <f t="shared" ref="AD9:AD37" si="29">SUM(Q9:AC9)</f>
        <v>59830</v>
      </c>
      <c r="AF9" s="20">
        <f t="shared" si="1"/>
        <v>63.5</v>
      </c>
      <c r="AG9" s="20">
        <f t="shared" si="2"/>
        <v>9.4500000000000011</v>
      </c>
      <c r="AH9" s="20">
        <f t="shared" si="3"/>
        <v>0</v>
      </c>
      <c r="AI9" s="20">
        <f t="shared" si="4"/>
        <v>7.55</v>
      </c>
      <c r="AJ9" s="20">
        <f t="shared" si="5"/>
        <v>23.55</v>
      </c>
      <c r="AK9" s="20">
        <f t="shared" si="6"/>
        <v>20.6</v>
      </c>
      <c r="AL9" s="20">
        <f t="shared" si="7"/>
        <v>14.1</v>
      </c>
      <c r="AM9" s="20">
        <f t="shared" si="8"/>
        <v>23.3</v>
      </c>
      <c r="AN9" s="20">
        <f t="shared" si="9"/>
        <v>20.25</v>
      </c>
      <c r="AO9" s="20">
        <f t="shared" si="10"/>
        <v>13.85</v>
      </c>
      <c r="AP9" s="20">
        <f t="shared" si="11"/>
        <v>16.149999999999999</v>
      </c>
      <c r="AQ9" s="20">
        <f t="shared" si="12"/>
        <v>36.6</v>
      </c>
      <c r="AR9" s="20">
        <f t="shared" si="13"/>
        <v>50.25</v>
      </c>
      <c r="AS9" s="35">
        <f t="shared" ref="AS9:AS33" si="30">SUM(AF9:AR9)</f>
        <v>299.14999999999998</v>
      </c>
      <c r="AU9" s="47">
        <v>663505</v>
      </c>
      <c r="AV9" s="37">
        <f>IF((AU9-AU8&lt;0),"0",AU9-AU8)</f>
        <v>0</v>
      </c>
      <c r="AW9" s="35">
        <f t="shared" si="14"/>
        <v>0</v>
      </c>
    </row>
    <row r="10" spans="1:49" x14ac:dyDescent="0.25">
      <c r="A10" s="23">
        <v>44685</v>
      </c>
      <c r="B10" s="40">
        <v>241</v>
      </c>
      <c r="C10" s="24">
        <v>8000530</v>
      </c>
      <c r="D10" s="24">
        <v>18571250</v>
      </c>
      <c r="E10" s="24">
        <v>3201590</v>
      </c>
      <c r="F10" s="24">
        <v>4011210</v>
      </c>
      <c r="G10" s="24">
        <v>11929370</v>
      </c>
      <c r="H10" s="24">
        <v>6802220</v>
      </c>
      <c r="I10" s="24">
        <v>5961990</v>
      </c>
      <c r="J10" s="24">
        <v>7351490</v>
      </c>
      <c r="K10" s="24">
        <v>10893730</v>
      </c>
      <c r="L10" s="24">
        <v>4684120</v>
      </c>
      <c r="M10" s="24">
        <v>8925910</v>
      </c>
      <c r="N10" s="24">
        <v>14393810</v>
      </c>
      <c r="O10" s="24">
        <v>20125510</v>
      </c>
      <c r="Q10" s="37">
        <f t="shared" si="17"/>
        <v>13500</v>
      </c>
      <c r="R10" s="37">
        <f t="shared" si="18"/>
        <v>1860</v>
      </c>
      <c r="S10" s="37">
        <f t="shared" si="16"/>
        <v>60</v>
      </c>
      <c r="T10" s="37">
        <f t="shared" si="19"/>
        <v>1520</v>
      </c>
      <c r="U10" s="37">
        <f t="shared" si="20"/>
        <v>4970</v>
      </c>
      <c r="V10" s="37">
        <f t="shared" si="21"/>
        <v>4250</v>
      </c>
      <c r="W10" s="37">
        <f t="shared" si="22"/>
        <v>3020</v>
      </c>
      <c r="X10" s="37">
        <f t="shared" si="23"/>
        <v>4760</v>
      </c>
      <c r="Y10" s="37">
        <f t="shared" si="24"/>
        <v>4660</v>
      </c>
      <c r="Z10" s="37">
        <f t="shared" si="25"/>
        <v>2940</v>
      </c>
      <c r="AA10" s="37">
        <f t="shared" si="26"/>
        <v>3510</v>
      </c>
      <c r="AB10" s="37">
        <f t="shared" si="27"/>
        <v>7200</v>
      </c>
      <c r="AC10" s="37">
        <f t="shared" si="28"/>
        <v>10010</v>
      </c>
      <c r="AD10" s="35">
        <f t="shared" si="29"/>
        <v>62260</v>
      </c>
      <c r="AF10" s="20">
        <f t="shared" si="1"/>
        <v>67.5</v>
      </c>
      <c r="AG10" s="20">
        <f t="shared" si="2"/>
        <v>9.3000000000000007</v>
      </c>
      <c r="AH10" s="20">
        <f t="shared" si="3"/>
        <v>0.3</v>
      </c>
      <c r="AI10" s="20">
        <f t="shared" si="4"/>
        <v>7.6000000000000005</v>
      </c>
      <c r="AJ10" s="20">
        <f t="shared" si="5"/>
        <v>24.85</v>
      </c>
      <c r="AK10" s="20">
        <f t="shared" si="6"/>
        <v>21.25</v>
      </c>
      <c r="AL10" s="20">
        <f t="shared" si="7"/>
        <v>15.1</v>
      </c>
      <c r="AM10" s="20">
        <f t="shared" si="8"/>
        <v>23.8</v>
      </c>
      <c r="AN10" s="20">
        <f t="shared" si="9"/>
        <v>23.3</v>
      </c>
      <c r="AO10" s="20">
        <f t="shared" si="10"/>
        <v>14.700000000000001</v>
      </c>
      <c r="AP10" s="20">
        <f t="shared" si="11"/>
        <v>17.55</v>
      </c>
      <c r="AQ10" s="20">
        <f t="shared" si="12"/>
        <v>36</v>
      </c>
      <c r="AR10" s="20">
        <f t="shared" si="13"/>
        <v>50.050000000000004</v>
      </c>
      <c r="AS10" s="35">
        <f t="shared" si="30"/>
        <v>311.3</v>
      </c>
      <c r="AU10" s="47">
        <v>663505</v>
      </c>
      <c r="AV10" s="37">
        <f t="shared" ref="AV10:AV26" si="31">IF((AU10-AU9&lt;0),"0",AU10-AU9)</f>
        <v>0</v>
      </c>
      <c r="AW10" s="35">
        <f t="shared" si="14"/>
        <v>0</v>
      </c>
    </row>
    <row r="11" spans="1:49" x14ac:dyDescent="0.25">
      <c r="A11" s="23">
        <v>44686</v>
      </c>
      <c r="B11" s="40">
        <v>248</v>
      </c>
      <c r="C11" s="24">
        <v>8011800</v>
      </c>
      <c r="D11" s="24">
        <v>18574420</v>
      </c>
      <c r="E11" s="24">
        <v>3203920</v>
      </c>
      <c r="F11" s="24">
        <v>4012810</v>
      </c>
      <c r="G11" s="24">
        <v>11934670</v>
      </c>
      <c r="H11" s="24">
        <v>6806430</v>
      </c>
      <c r="I11" s="24">
        <v>5965480</v>
      </c>
      <c r="J11" s="24">
        <v>7355930</v>
      </c>
      <c r="K11" s="24">
        <v>10899580</v>
      </c>
      <c r="L11" s="24">
        <v>4687120</v>
      </c>
      <c r="M11" s="24">
        <v>8929620</v>
      </c>
      <c r="N11" s="24">
        <v>14400750</v>
      </c>
      <c r="O11" s="24">
        <v>20136150</v>
      </c>
      <c r="Q11" s="37">
        <f t="shared" si="17"/>
        <v>11270</v>
      </c>
      <c r="R11" s="37">
        <f t="shared" si="18"/>
        <v>3170</v>
      </c>
      <c r="S11" s="37">
        <f t="shared" si="16"/>
        <v>2330</v>
      </c>
      <c r="T11" s="37">
        <f t="shared" si="19"/>
        <v>1600</v>
      </c>
      <c r="U11" s="37">
        <f t="shared" si="20"/>
        <v>5300</v>
      </c>
      <c r="V11" s="37">
        <f t="shared" si="21"/>
        <v>4210</v>
      </c>
      <c r="W11" s="37">
        <f t="shared" si="22"/>
        <v>3490</v>
      </c>
      <c r="X11" s="37">
        <f t="shared" si="23"/>
        <v>4440</v>
      </c>
      <c r="Y11" s="37">
        <f t="shared" si="24"/>
        <v>5850</v>
      </c>
      <c r="Z11" s="37">
        <f t="shared" si="25"/>
        <v>3000</v>
      </c>
      <c r="AA11" s="37">
        <f t="shared" si="26"/>
        <v>3710</v>
      </c>
      <c r="AB11" s="37">
        <f t="shared" si="27"/>
        <v>6940</v>
      </c>
      <c r="AC11" s="37">
        <f t="shared" si="28"/>
        <v>10640</v>
      </c>
      <c r="AD11" s="35">
        <f t="shared" si="29"/>
        <v>65950</v>
      </c>
      <c r="AF11" s="20">
        <f t="shared" si="1"/>
        <v>56.35</v>
      </c>
      <c r="AG11" s="20">
        <f t="shared" si="2"/>
        <v>15.85</v>
      </c>
      <c r="AH11" s="20">
        <f t="shared" si="3"/>
        <v>11.65</v>
      </c>
      <c r="AI11" s="20">
        <f t="shared" si="4"/>
        <v>8</v>
      </c>
      <c r="AJ11" s="20">
        <f t="shared" si="5"/>
        <v>26.5</v>
      </c>
      <c r="AK11" s="20">
        <f t="shared" si="6"/>
        <v>21.05</v>
      </c>
      <c r="AL11" s="20">
        <f t="shared" si="7"/>
        <v>17.45</v>
      </c>
      <c r="AM11" s="20">
        <f t="shared" si="8"/>
        <v>22.2</v>
      </c>
      <c r="AN11" s="20">
        <f t="shared" si="9"/>
        <v>29.25</v>
      </c>
      <c r="AO11" s="20">
        <f t="shared" si="10"/>
        <v>15</v>
      </c>
      <c r="AP11" s="20">
        <f t="shared" si="11"/>
        <v>18.55</v>
      </c>
      <c r="AQ11" s="20">
        <f t="shared" si="12"/>
        <v>34.700000000000003</v>
      </c>
      <c r="AR11" s="20">
        <f t="shared" si="13"/>
        <v>53.2</v>
      </c>
      <c r="AS11" s="35">
        <f t="shared" si="30"/>
        <v>329.75</v>
      </c>
      <c r="AU11" s="47">
        <v>663505</v>
      </c>
      <c r="AV11" s="37">
        <f t="shared" si="31"/>
        <v>0</v>
      </c>
      <c r="AW11" s="35">
        <f t="shared" si="14"/>
        <v>0</v>
      </c>
    </row>
    <row r="12" spans="1:49" x14ac:dyDescent="0.25">
      <c r="A12" s="23">
        <v>44687</v>
      </c>
      <c r="B12" s="40">
        <v>230</v>
      </c>
      <c r="C12" s="49">
        <v>8021340</v>
      </c>
      <c r="D12" s="24">
        <v>18578200</v>
      </c>
      <c r="E12" s="24">
        <v>3207010</v>
      </c>
      <c r="F12" s="24">
        <v>4014400</v>
      </c>
      <c r="G12" s="24">
        <v>11939920</v>
      </c>
      <c r="H12" s="24">
        <v>6810870</v>
      </c>
      <c r="I12" s="24">
        <v>5969330</v>
      </c>
      <c r="J12" s="24">
        <v>7360410</v>
      </c>
      <c r="K12" s="24">
        <v>10904840</v>
      </c>
      <c r="L12" s="24">
        <v>4690170</v>
      </c>
      <c r="M12" s="24">
        <v>8933450</v>
      </c>
      <c r="N12" s="24">
        <v>14408060</v>
      </c>
      <c r="O12" s="24">
        <v>20147040</v>
      </c>
      <c r="Q12" s="37">
        <f t="shared" si="17"/>
        <v>9540</v>
      </c>
      <c r="R12" s="37">
        <f t="shared" si="18"/>
        <v>3780</v>
      </c>
      <c r="S12" s="37">
        <f t="shared" si="16"/>
        <v>3090</v>
      </c>
      <c r="T12" s="37">
        <f t="shared" ref="T12:W14" si="32">IF((F12-F11&lt;0), "0",F12-F11)</f>
        <v>1590</v>
      </c>
      <c r="U12" s="37">
        <f t="shared" si="32"/>
        <v>5250</v>
      </c>
      <c r="V12" s="37">
        <f t="shared" si="32"/>
        <v>4440</v>
      </c>
      <c r="W12" s="37">
        <f t="shared" si="32"/>
        <v>3850</v>
      </c>
      <c r="X12" s="37">
        <f t="shared" si="23"/>
        <v>4480</v>
      </c>
      <c r="Y12" s="37">
        <f t="shared" si="24"/>
        <v>5260</v>
      </c>
      <c r="Z12" s="37">
        <f>IF((L12-L11&lt;0), "0",L12-L11)</f>
        <v>3050</v>
      </c>
      <c r="AA12" s="37">
        <f t="shared" si="26"/>
        <v>3830</v>
      </c>
      <c r="AB12" s="37">
        <f t="shared" si="27"/>
        <v>7310</v>
      </c>
      <c r="AC12" s="37">
        <f t="shared" si="28"/>
        <v>10890</v>
      </c>
      <c r="AD12" s="35">
        <f t="shared" si="29"/>
        <v>66360</v>
      </c>
      <c r="AF12" s="20">
        <f t="shared" si="1"/>
        <v>47.7</v>
      </c>
      <c r="AG12" s="20">
        <f t="shared" si="2"/>
        <v>18.900000000000002</v>
      </c>
      <c r="AH12" s="20">
        <f t="shared" si="3"/>
        <v>15.450000000000001</v>
      </c>
      <c r="AI12" s="20">
        <f t="shared" si="4"/>
        <v>7.95</v>
      </c>
      <c r="AJ12" s="20">
        <f t="shared" si="5"/>
        <v>26.25</v>
      </c>
      <c r="AK12" s="20">
        <f t="shared" si="6"/>
        <v>22.2</v>
      </c>
      <c r="AL12" s="20">
        <f t="shared" si="7"/>
        <v>19.25</v>
      </c>
      <c r="AM12" s="20">
        <f t="shared" si="8"/>
        <v>22.400000000000002</v>
      </c>
      <c r="AN12" s="20">
        <f t="shared" si="9"/>
        <v>26.3</v>
      </c>
      <c r="AO12" s="20">
        <f t="shared" si="10"/>
        <v>15.25</v>
      </c>
      <c r="AP12" s="20">
        <f t="shared" si="11"/>
        <v>19.150000000000002</v>
      </c>
      <c r="AQ12" s="20">
        <f t="shared" si="12"/>
        <v>36.550000000000004</v>
      </c>
      <c r="AR12" s="20">
        <f t="shared" si="13"/>
        <v>54.45</v>
      </c>
      <c r="AS12" s="35">
        <f t="shared" si="30"/>
        <v>331.8</v>
      </c>
      <c r="AU12" s="47">
        <v>663505</v>
      </c>
      <c r="AV12" s="37">
        <f t="shared" si="31"/>
        <v>0</v>
      </c>
      <c r="AW12" s="35">
        <f t="shared" si="14"/>
        <v>0</v>
      </c>
    </row>
    <row r="13" spans="1:49" x14ac:dyDescent="0.25">
      <c r="A13" s="23">
        <v>44688</v>
      </c>
      <c r="B13" s="40">
        <v>132</v>
      </c>
      <c r="C13" s="24">
        <v>8030580</v>
      </c>
      <c r="D13" s="24">
        <v>18581930</v>
      </c>
      <c r="E13" s="24">
        <v>3209990</v>
      </c>
      <c r="F13" s="24">
        <v>4016030</v>
      </c>
      <c r="G13" s="24">
        <v>11944870</v>
      </c>
      <c r="H13" s="24">
        <v>6815100</v>
      </c>
      <c r="I13" s="24">
        <v>5972660</v>
      </c>
      <c r="J13" s="24">
        <v>7364580</v>
      </c>
      <c r="K13" s="24">
        <v>10910460</v>
      </c>
      <c r="L13" s="24">
        <v>4693000</v>
      </c>
      <c r="M13" s="24">
        <v>8936970</v>
      </c>
      <c r="N13" s="24">
        <v>14415370</v>
      </c>
      <c r="O13" s="24">
        <v>20157620</v>
      </c>
      <c r="Q13" s="37">
        <f t="shared" si="17"/>
        <v>9240</v>
      </c>
      <c r="R13" s="37">
        <f t="shared" si="18"/>
        <v>3730</v>
      </c>
      <c r="S13" s="37">
        <f t="shared" si="16"/>
        <v>2980</v>
      </c>
      <c r="T13" s="37">
        <f t="shared" si="32"/>
        <v>1630</v>
      </c>
      <c r="U13" s="37">
        <f t="shared" si="32"/>
        <v>4950</v>
      </c>
      <c r="V13" s="37">
        <f t="shared" si="32"/>
        <v>4230</v>
      </c>
      <c r="W13" s="37">
        <f t="shared" si="32"/>
        <v>3330</v>
      </c>
      <c r="X13" s="37">
        <f t="shared" si="23"/>
        <v>4170</v>
      </c>
      <c r="Y13" s="37">
        <f t="shared" si="24"/>
        <v>5620</v>
      </c>
      <c r="Z13" s="37">
        <f>IF((L13-L12&lt;0), "0",L13-L12)</f>
        <v>2830</v>
      </c>
      <c r="AA13" s="37">
        <f t="shared" si="26"/>
        <v>3520</v>
      </c>
      <c r="AB13" s="37">
        <f t="shared" si="27"/>
        <v>7310</v>
      </c>
      <c r="AC13" s="37">
        <f t="shared" si="28"/>
        <v>10580</v>
      </c>
      <c r="AD13" s="35">
        <f t="shared" si="29"/>
        <v>64120</v>
      </c>
      <c r="AF13" s="20">
        <f t="shared" si="1"/>
        <v>46.2</v>
      </c>
      <c r="AG13" s="20">
        <f t="shared" si="2"/>
        <v>18.650000000000002</v>
      </c>
      <c r="AH13" s="20">
        <f t="shared" si="3"/>
        <v>14.9</v>
      </c>
      <c r="AI13" s="20">
        <f t="shared" si="4"/>
        <v>8.15</v>
      </c>
      <c r="AJ13" s="20">
        <f t="shared" si="5"/>
        <v>24.75</v>
      </c>
      <c r="AK13" s="20">
        <f t="shared" si="6"/>
        <v>21.150000000000002</v>
      </c>
      <c r="AL13" s="20">
        <f t="shared" si="7"/>
        <v>16.649999999999999</v>
      </c>
      <c r="AM13" s="20">
        <f t="shared" si="8"/>
        <v>20.85</v>
      </c>
      <c r="AN13" s="20">
        <f t="shared" si="9"/>
        <v>28.1</v>
      </c>
      <c r="AO13" s="20">
        <f t="shared" si="10"/>
        <v>14.15</v>
      </c>
      <c r="AP13" s="20">
        <f t="shared" si="11"/>
        <v>17.600000000000001</v>
      </c>
      <c r="AQ13" s="20">
        <f t="shared" si="12"/>
        <v>36.550000000000004</v>
      </c>
      <c r="AR13" s="20">
        <f t="shared" si="13"/>
        <v>52.9</v>
      </c>
      <c r="AS13" s="35">
        <f t="shared" si="30"/>
        <v>320.59999999999997</v>
      </c>
      <c r="AU13" s="47">
        <v>663505</v>
      </c>
      <c r="AV13" s="37">
        <f t="shared" si="31"/>
        <v>0</v>
      </c>
      <c r="AW13" s="35">
        <f t="shared" si="14"/>
        <v>0</v>
      </c>
    </row>
    <row r="14" spans="1:49" x14ac:dyDescent="0.25">
      <c r="A14" s="23">
        <v>44689</v>
      </c>
      <c r="B14" s="40">
        <v>86</v>
      </c>
      <c r="C14" s="24">
        <v>8034360</v>
      </c>
      <c r="D14" s="24">
        <v>18591230</v>
      </c>
      <c r="E14" s="24">
        <v>3211360</v>
      </c>
      <c r="F14" s="24">
        <v>4017690</v>
      </c>
      <c r="G14" s="24">
        <v>11949540</v>
      </c>
      <c r="H14" s="24">
        <v>6819130</v>
      </c>
      <c r="I14" s="24">
        <v>5975690</v>
      </c>
      <c r="J14" s="24">
        <v>7368520</v>
      </c>
      <c r="K14" s="24">
        <v>10915870</v>
      </c>
      <c r="L14" s="24">
        <v>4695560</v>
      </c>
      <c r="M14" s="24">
        <v>8940230</v>
      </c>
      <c r="N14" s="24">
        <v>14422860</v>
      </c>
      <c r="O14" s="24">
        <v>20168910</v>
      </c>
      <c r="P14" s="53"/>
      <c r="Q14" s="37">
        <f t="shared" si="17"/>
        <v>3780</v>
      </c>
      <c r="R14" s="37">
        <f t="shared" si="18"/>
        <v>9300</v>
      </c>
      <c r="S14" s="37">
        <f t="shared" si="16"/>
        <v>1370</v>
      </c>
      <c r="T14" s="37">
        <f t="shared" si="32"/>
        <v>1660</v>
      </c>
      <c r="U14" s="37">
        <f t="shared" si="32"/>
        <v>4670</v>
      </c>
      <c r="V14" s="37">
        <f t="shared" si="32"/>
        <v>4030</v>
      </c>
      <c r="W14" s="37">
        <f t="shared" si="32"/>
        <v>3030</v>
      </c>
      <c r="X14" s="37">
        <f t="shared" si="23"/>
        <v>3940</v>
      </c>
      <c r="Y14" s="37">
        <f t="shared" si="24"/>
        <v>5410</v>
      </c>
      <c r="Z14" s="37">
        <f>IF((L14-L13&lt;0), "0",L14-L13)</f>
        <v>2560</v>
      </c>
      <c r="AA14" s="37">
        <f t="shared" si="26"/>
        <v>3260</v>
      </c>
      <c r="AB14" s="37">
        <f t="shared" si="27"/>
        <v>7490</v>
      </c>
      <c r="AC14" s="37">
        <f t="shared" si="28"/>
        <v>11290</v>
      </c>
      <c r="AD14" s="35">
        <f t="shared" si="29"/>
        <v>61790</v>
      </c>
      <c r="AF14" s="20">
        <f t="shared" si="1"/>
        <v>18.900000000000002</v>
      </c>
      <c r="AG14" s="20">
        <f t="shared" si="2"/>
        <v>46.5</v>
      </c>
      <c r="AH14" s="20">
        <f t="shared" si="3"/>
        <v>6.8500000000000005</v>
      </c>
      <c r="AI14" s="20">
        <f t="shared" si="4"/>
        <v>8.3000000000000007</v>
      </c>
      <c r="AJ14" s="20">
        <f t="shared" si="5"/>
        <v>23.35</v>
      </c>
      <c r="AK14" s="20">
        <f t="shared" si="6"/>
        <v>20.150000000000002</v>
      </c>
      <c r="AL14" s="20">
        <f t="shared" si="7"/>
        <v>15.15</v>
      </c>
      <c r="AM14" s="20">
        <f t="shared" si="8"/>
        <v>19.7</v>
      </c>
      <c r="AN14" s="20">
        <f t="shared" si="9"/>
        <v>27.05</v>
      </c>
      <c r="AO14" s="20">
        <f t="shared" si="10"/>
        <v>12.8</v>
      </c>
      <c r="AP14" s="20">
        <f t="shared" si="11"/>
        <v>16.3</v>
      </c>
      <c r="AQ14" s="20">
        <f t="shared" si="12"/>
        <v>37.450000000000003</v>
      </c>
      <c r="AR14" s="20">
        <f t="shared" si="13"/>
        <v>56.45</v>
      </c>
      <c r="AS14" s="35">
        <f t="shared" si="30"/>
        <v>308.95000000000005</v>
      </c>
      <c r="AU14" s="47">
        <v>663505</v>
      </c>
      <c r="AV14" s="37">
        <f t="shared" si="31"/>
        <v>0</v>
      </c>
      <c r="AW14" s="35">
        <f t="shared" si="14"/>
        <v>0</v>
      </c>
    </row>
    <row r="15" spans="1:49" x14ac:dyDescent="0.25">
      <c r="A15" s="23">
        <v>44690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 t="str">
        <f t="shared" si="17"/>
        <v>0</v>
      </c>
      <c r="R15" s="37" t="str">
        <f t="shared" si="18"/>
        <v>0</v>
      </c>
      <c r="S15" s="37" t="str">
        <f t="shared" si="16"/>
        <v>0</v>
      </c>
      <c r="T15" s="37" t="str">
        <f t="shared" si="19"/>
        <v>0</v>
      </c>
      <c r="U15" s="37" t="str">
        <f t="shared" si="20"/>
        <v>0</v>
      </c>
      <c r="V15" s="37" t="str">
        <f t="shared" si="21"/>
        <v>0</v>
      </c>
      <c r="W15" s="37" t="str">
        <f t="shared" si="22"/>
        <v>0</v>
      </c>
      <c r="X15" s="37" t="str">
        <f t="shared" si="23"/>
        <v>0</v>
      </c>
      <c r="Y15" s="37" t="str">
        <f t="shared" si="24"/>
        <v>0</v>
      </c>
      <c r="Z15" s="37" t="str">
        <f t="shared" si="25"/>
        <v>0</v>
      </c>
      <c r="AA15" s="37" t="str">
        <f t="shared" si="26"/>
        <v>0</v>
      </c>
      <c r="AB15" s="37" t="str">
        <f t="shared" si="27"/>
        <v>0</v>
      </c>
      <c r="AC15" s="37" t="str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47"/>
      <c r="AV15" s="37" t="str">
        <f t="shared" si="31"/>
        <v>0</v>
      </c>
      <c r="AW15" s="35">
        <f t="shared" si="14"/>
        <v>0</v>
      </c>
    </row>
    <row r="16" spans="1:49" x14ac:dyDescent="0.25">
      <c r="A16" s="23">
        <v>44691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 t="shared" si="20"/>
        <v>0</v>
      </c>
      <c r="V16" s="37">
        <f t="shared" si="21"/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47"/>
      <c r="AV16" s="37">
        <f t="shared" si="31"/>
        <v>0</v>
      </c>
      <c r="AW16" s="35">
        <f t="shared" si="14"/>
        <v>0</v>
      </c>
    </row>
    <row r="17" spans="1:49" x14ac:dyDescent="0.25">
      <c r="A17" s="23">
        <v>44692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 t="shared" si="20"/>
        <v>0</v>
      </c>
      <c r="V17" s="37">
        <f t="shared" si="21"/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47"/>
      <c r="AV17" s="37">
        <f t="shared" si="31"/>
        <v>0</v>
      </c>
      <c r="AW17" s="35">
        <f t="shared" si="14"/>
        <v>0</v>
      </c>
    </row>
    <row r="18" spans="1:49" x14ac:dyDescent="0.25">
      <c r="A18" s="23">
        <v>44693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>
        <f t="shared" si="31"/>
        <v>0</v>
      </c>
      <c r="AW18" s="35">
        <f t="shared" si="14"/>
        <v>0</v>
      </c>
    </row>
    <row r="19" spans="1:49" x14ac:dyDescent="0.25">
      <c r="A19" s="23">
        <v>44694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5">
        <f t="shared" si="14"/>
        <v>0</v>
      </c>
    </row>
    <row r="20" spans="1:49" x14ac:dyDescent="0.25">
      <c r="A20" s="23">
        <v>44695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5">
        <f t="shared" si="14"/>
        <v>0</v>
      </c>
    </row>
    <row r="21" spans="1:49" x14ac:dyDescent="0.25">
      <c r="A21" s="23">
        <v>44696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44697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44698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44699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44700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44701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44702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44703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44704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>IF((AU29-AU28&lt;0),"0",AU29-AU28)</f>
        <v>0</v>
      </c>
      <c r="AW29" s="35">
        <f t="shared" si="14"/>
        <v>0</v>
      </c>
    </row>
    <row r="30" spans="1:49" x14ac:dyDescent="0.25">
      <c r="A30" s="23">
        <v>44705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ref="AV30:AV36" si="34">IF((AU30-AU29&lt;0),"0",AU30-AU29)</f>
        <v>0</v>
      </c>
      <c r="AW30" s="35">
        <f t="shared" si="14"/>
        <v>0</v>
      </c>
    </row>
    <row r="31" spans="1:49" x14ac:dyDescent="0.25">
      <c r="A31" s="23">
        <v>44706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44707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44708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44709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44710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44711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4"/>
        <v>0</v>
      </c>
      <c r="AW36" s="35">
        <f t="shared" ref="AW36:AW37" si="36">AV36*$D$40</f>
        <v>0</v>
      </c>
    </row>
    <row r="37" spans="1:49" x14ac:dyDescent="0.25">
      <c r="A37" s="23">
        <v>44712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7"/>
      <c r="AV37" s="37">
        <f t="shared" ref="AV37" si="59">IF((AU37-AU36&lt;0),"0",AU37-AU36)</f>
        <v>0</v>
      </c>
      <c r="AW37" s="35">
        <f t="shared" si="36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78330</v>
      </c>
      <c r="R38" s="38">
        <f t="shared" ref="R38:AD38" si="60">SUM(R7:R37)</f>
        <v>36340</v>
      </c>
      <c r="S38" s="38">
        <f t="shared" si="60"/>
        <v>9830</v>
      </c>
      <c r="T38" s="38">
        <f t="shared" si="60"/>
        <v>11660</v>
      </c>
      <c r="U38" s="38">
        <f t="shared" si="60"/>
        <v>36250</v>
      </c>
      <c r="V38" s="38">
        <f t="shared" si="60"/>
        <v>31260</v>
      </c>
      <c r="W38" s="38">
        <f t="shared" si="60"/>
        <v>24350</v>
      </c>
      <c r="X38" s="38">
        <f t="shared" si="60"/>
        <v>33020</v>
      </c>
      <c r="Y38" s="38">
        <f t="shared" si="60"/>
        <v>36280</v>
      </c>
      <c r="Z38" s="38">
        <f t="shared" si="60"/>
        <v>20800</v>
      </c>
      <c r="AA38" s="38">
        <f t="shared" si="60"/>
        <v>24840</v>
      </c>
      <c r="AB38" s="38">
        <f t="shared" si="60"/>
        <v>53810</v>
      </c>
      <c r="AC38" s="38">
        <f t="shared" si="60"/>
        <v>78510</v>
      </c>
      <c r="AD38" s="38">
        <f t="shared" si="60"/>
        <v>475280</v>
      </c>
      <c r="AF38" s="35">
        <f>SUM(AF7:AF37)</f>
        <v>391.65</v>
      </c>
      <c r="AG38" s="35">
        <f t="shared" ref="AG38:AS38" si="61">SUM(AG7:AG37)</f>
        <v>181.7</v>
      </c>
      <c r="AH38" s="35">
        <f t="shared" si="61"/>
        <v>49.150000000000006</v>
      </c>
      <c r="AI38" s="35">
        <f t="shared" si="61"/>
        <v>58.300000000000011</v>
      </c>
      <c r="AJ38" s="35">
        <f t="shared" si="61"/>
        <v>181.25</v>
      </c>
      <c r="AK38" s="35">
        <f t="shared" si="61"/>
        <v>156.30000000000001</v>
      </c>
      <c r="AL38" s="35">
        <f t="shared" si="61"/>
        <v>121.75</v>
      </c>
      <c r="AM38" s="35">
        <f t="shared" si="61"/>
        <v>165.1</v>
      </c>
      <c r="AN38" s="35">
        <f t="shared" si="61"/>
        <v>181.4</v>
      </c>
      <c r="AO38" s="35">
        <f t="shared" si="61"/>
        <v>104.00000000000001</v>
      </c>
      <c r="AP38" s="35">
        <f t="shared" si="61"/>
        <v>124.2</v>
      </c>
      <c r="AQ38" s="35">
        <f t="shared" si="61"/>
        <v>269.05</v>
      </c>
      <c r="AR38" s="35">
        <f t="shared" si="61"/>
        <v>392.54999999999995</v>
      </c>
      <c r="AS38" s="35">
        <f t="shared" si="61"/>
        <v>2376.3999999999996</v>
      </c>
      <c r="AU38" s="48"/>
      <c r="AV38" s="34">
        <f>SUM(AV7:AV37)</f>
        <v>0</v>
      </c>
      <c r="AW38" s="35">
        <f>SUM(AW7:AW37)</f>
        <v>0</v>
      </c>
    </row>
    <row r="39" spans="1:49" x14ac:dyDescent="0.25">
      <c r="B39" s="39">
        <f>SUM(B7:B36)</f>
        <v>1216</v>
      </c>
      <c r="D39">
        <v>5.0000000000000001E-3</v>
      </c>
      <c r="AV39" s="36">
        <f>AV38*0.00378541*1000</f>
        <v>0</v>
      </c>
    </row>
    <row r="40" spans="1:49" x14ac:dyDescent="0.25">
      <c r="D40">
        <v>2E-3</v>
      </c>
      <c r="AV40">
        <f>AV39/31</f>
        <v>0</v>
      </c>
    </row>
    <row r="41" spans="1:49" x14ac:dyDescent="0.25">
      <c r="AV41">
        <f>AV38*0.00378541</f>
        <v>0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2022-05-09T04:29:14Z</dcterms:modified>
</cp:coreProperties>
</file>