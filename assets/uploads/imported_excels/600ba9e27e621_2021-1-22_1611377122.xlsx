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filterPrivacy="1" defaultThemeVersion="124226"/>
  <xr:revisionPtr revIDLastSave="0" documentId="13_ncr:1_{378BF6F6-425F-4350-88AB-33ED43865AD5}" xr6:coauthVersionLast="36" xr6:coauthVersionMax="36" xr10:uidLastSave="{00000000-0000-0000-0000-000000000000}"/>
  <bookViews>
    <workbookView xWindow="0" yWindow="0" windowWidth="19440" windowHeight="754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H21" i="2" l="1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V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26" i="8" l="1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<sst xmlns="http://schemas.openxmlformats.org/spreadsheetml/2006/main" count="201" uniqueCount="128">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</sst>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-31043</c:v>
                </c:pt>
                <c:pt idx="7">
                  <c:v>0.1351293703858476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8" sqref="I2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457159.99999999942</v>
      </c>
      <c r="F33" s="104">
        <v>0</v>
      </c>
      <c r="G33" s="101">
        <f>SUM(G2:G32)</f>
        <v>126279</v>
      </c>
      <c r="H33" s="102">
        <v>0</v>
      </c>
      <c r="I33" s="103">
        <f>SUM(I2:I32)</f>
        <v>6200</v>
      </c>
      <c r="J33" s="104">
        <v>0</v>
      </c>
      <c r="K33" s="105">
        <v>0</v>
      </c>
      <c r="L33" s="102">
        <v>0</v>
      </c>
      <c r="M33" s="106">
        <f t="shared" ref="M33:O33" si="1">SUM(M2:M32)</f>
        <v>1054</v>
      </c>
      <c r="N33" s="106">
        <f t="shared" si="1"/>
        <v>2748</v>
      </c>
      <c r="O33" s="106">
        <f t="shared" si="1"/>
        <v>7764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F10" zoomScale="78" zoomScaleNormal="78" workbookViewId="0">
      <selection activeCell="W27" sqref="W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/>
      <c r="W25" s="71"/>
      <c r="X25" s="71"/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/>
      <c r="W26" s="71"/>
      <c r="X26" s="71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1054</v>
      </c>
      <c r="W35" s="78">
        <f>SUM(W4:W34)</f>
        <v>2748</v>
      </c>
      <c r="X35" s="78">
        <f>SUM(X4:X34)</f>
        <v>7764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J17" sqref="J1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-345970</v>
      </c>
      <c r="D26" s="2">
        <f>('Kwh Reading'!F27-'Kwh Reading'!F26)*1000000</f>
        <v>-1991000</v>
      </c>
      <c r="E26" s="2">
        <f>('Kwh Reading'!C27-'Kwh Reading'!C26)*1000</f>
        <v>-193170</v>
      </c>
      <c r="F26" s="2">
        <f>('Kwh Reading'!J27-'Kwh Reading'!J26)*1000</f>
        <v>-279340</v>
      </c>
      <c r="G26" s="2">
        <f>('Kwh Reading'!K27-'Kwh Reading'!K26)*1000</f>
        <v>-292250</v>
      </c>
      <c r="H26" s="2">
        <f>('Kwh Reading'!L27-'Kwh Reading'!L26)*1000</f>
        <v>-200710</v>
      </c>
      <c r="I26" s="2">
        <f>('Kwh Reading'!R27-'Kwh Reading'!R26)*1000</f>
        <v>-117950</v>
      </c>
      <c r="J26" s="2">
        <f>('Kwh Reading'!S27-'Kwh Reading'!S26)*1000</f>
        <v>-94261</v>
      </c>
      <c r="K26" s="2">
        <f>('Kwh Reading'!I27-'Kwh Reading'!I26)*1000</f>
        <v>-186830</v>
      </c>
      <c r="L26" s="2">
        <f>('Kwh Reading'!B27-'Kwh Reading'!B26)*1000</f>
        <v>-779730</v>
      </c>
      <c r="M26" s="2">
        <f>('Kwh Reading'!M27-'Kwh Reading'!M26)*1000</f>
        <v>-401390</v>
      </c>
      <c r="N26" s="2">
        <f>('Kwh Reading'!H27-'Kwh Reading'!H26)*1000</f>
        <v>-499320</v>
      </c>
      <c r="O26" s="2">
        <f>('Kwh Reading'!P27-'Kwh Reading'!P26)*1000</f>
        <v>-464280</v>
      </c>
      <c r="P26" s="2">
        <f>('Kwh Reading'!G27-'Kwh Reading'!G26)*1000</f>
        <v>-601210</v>
      </c>
      <c r="Q26" s="2">
        <f>('Kwh Reading'!Q27-'Kwh Reading'!Q26)*1000</f>
        <v>-344610</v>
      </c>
      <c r="R26" s="2">
        <f>('Kwh Reading'!N27-'Kwh Reading'!N26)*1000</f>
        <v>-346490</v>
      </c>
      <c r="S26" s="2">
        <f>'Kwh Reading'!E27-'Kwh Reading'!E26</f>
        <v>-7704846.3899999997</v>
      </c>
      <c r="T26" s="2">
        <f>'Kwh Reading'!D27-'Kwh Reading'!D26</f>
        <v>-7109098.8099999996</v>
      </c>
      <c r="U26" s="27">
        <f>('Kwh Reading'!O27-'Kwh Reading'!O26)*1000</f>
        <v>-112930</v>
      </c>
      <c r="V26" s="16">
        <f t="shared" si="0"/>
        <v>22065386.199999999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457159.99999999942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-272090</v>
      </c>
      <c r="G35" s="75">
        <f t="shared" ref="G35:U35" si="5">SUM(G4:G34)</f>
        <v>-283610</v>
      </c>
      <c r="H35" s="75">
        <f t="shared" si="5"/>
        <v>-194770</v>
      </c>
      <c r="I35" s="75">
        <f t="shared" si="5"/>
        <v>-114300</v>
      </c>
      <c r="J35" s="75">
        <f t="shared" si="5"/>
        <v>-91218.000000000015</v>
      </c>
      <c r="K35" s="75">
        <f t="shared" si="5"/>
        <v>-181590</v>
      </c>
      <c r="L35" s="75">
        <f t="shared" si="5"/>
        <v>-754530</v>
      </c>
      <c r="M35" s="75">
        <f t="shared" si="5"/>
        <v>-387460</v>
      </c>
      <c r="N35" s="75">
        <f t="shared" si="5"/>
        <v>-482030</v>
      </c>
      <c r="O35" s="75">
        <f t="shared" si="5"/>
        <v>-447390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22188933.879999999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0</v>
      </c>
      <c r="C25" s="1">
        <f>'Kwh Consumption'!C26</f>
        <v>-345970</v>
      </c>
      <c r="D25" s="1">
        <f>'Kwh Consumption'!D26</f>
        <v>-1991000</v>
      </c>
      <c r="E25" s="1">
        <f>'Kwh Consumption'!E26</f>
        <v>-193170</v>
      </c>
      <c r="F25" s="1">
        <f>('Kwh Consumption'!F26+'Kwh Consumption'!G26+'Kwh Consumption'!H26)</f>
        <v>-772300</v>
      </c>
      <c r="G25" s="16">
        <f>('Kwh Consumption'!I26+'Kwh Consumption'!J26)</f>
        <v>-212211</v>
      </c>
      <c r="H25" s="1">
        <f>('Kwh Consumption'!K26+'Kwh Consumption'!L26)</f>
        <v>-966560</v>
      </c>
      <c r="I25" s="1">
        <f>('Kwh Consumption'!M26+'Kwh Consumption'!N26+'Kwh Consumption'!O26+'Kwh Consumption'!P26+'Kwh Consumption'!Q26+'Kwh Consumption'!R26)</f>
        <v>-2657300</v>
      </c>
      <c r="J25" s="1">
        <f>('Kwh Consumption'!S26+'Kwh Consumption'!T26)</f>
        <v>-14813945.199999999</v>
      </c>
      <c r="K25" s="1">
        <f>'Kwh Consumption'!U26</f>
        <v>-112930</v>
      </c>
      <c r="L25" s="32">
        <f t="shared" si="0"/>
        <v>22065386.199999999</v>
      </c>
    </row>
    <row r="26" spans="1:12" x14ac:dyDescent="0.25">
      <c r="A26" s="14">
        <f>'Kwh Reading'!A27</f>
        <v>44220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457159.99999999942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22188933.879999999</v>
      </c>
      <c r="M34" s="84">
        <f>C34+D34+E34+F34+G34+H34+I34+J34+K34+L34</f>
        <v>457160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3106450.7432000004</v>
      </c>
      <c r="M36" s="84">
        <f>C36+D36+E36+F36+G36+H36+I36+J36+K36+L36</f>
        <v>64002.400000000373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-48435.8</v>
      </c>
      <c r="E25" s="1">
        <f>'Kwh Consumption'!D26*' Kwh area wise $ '!B25</f>
        <v>-278740</v>
      </c>
      <c r="F25" s="1">
        <f>'Kwh Consumption'!E26*' Kwh area wise $ '!B25</f>
        <v>-27043.800000000003</v>
      </c>
      <c r="G25" s="1">
        <f>('Kwh Consumption'!F26+'Kwh Consumption'!G26+'Kwh Consumption'!H26)*' Kwh area wise $ '!B25</f>
        <v>-108122.00000000001</v>
      </c>
      <c r="H25" s="16">
        <f>('Kwh Consumption'!I26+'Kwh Consumption'!J26)*' Kwh area wise $ '!B25</f>
        <v>-29709.540000000005</v>
      </c>
      <c r="I25" s="1">
        <f>('Kwh Consumption'!K26+'Kwh Consumption'!L26)*' Kwh area wise $ '!B25</f>
        <v>-135318.40000000002</v>
      </c>
      <c r="J25" s="1">
        <f>('Kwh Consumption'!M26+'Kwh Consumption'!N26+'Kwh Consumption'!O26+'Kwh Consumption'!P26+'Kwh Consumption'!Q26+'Kwh Consumption'!R26)*' Kwh area wise $ '!B25</f>
        <v>-372022.00000000006</v>
      </c>
      <c r="K25" s="1">
        <f>('Kwh Consumption'!S26+'Kwh Consumption'!T26)*' Kwh area wise $ '!B25</f>
        <v>-2073952.328</v>
      </c>
      <c r="L25" s="1">
        <f>'Kwh Consumption'!U26*' Kwh area wise $ '!B25</f>
        <v>-15810.2</v>
      </c>
      <c r="M25" s="1">
        <f>'Kwh Consumption'!V26*' Kwh area wise $ '!B25</f>
        <v>3089154.068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64002.399999999914</v>
      </c>
      <c r="D34" s="75">
        <f t="shared" si="0"/>
        <v>-46863.6</v>
      </c>
      <c r="E34" s="75">
        <f t="shared" si="0"/>
        <v>-270970</v>
      </c>
      <c r="F34" s="75">
        <f t="shared" si="0"/>
        <v>-26243.000000000004</v>
      </c>
      <c r="G34" s="75">
        <f t="shared" si="0"/>
        <v>-105065.80000000002</v>
      </c>
      <c r="H34" s="75">
        <f t="shared" si="0"/>
        <v>-28772.520000000004</v>
      </c>
      <c r="I34" s="75">
        <f t="shared" si="0"/>
        <v>-131056.80000000002</v>
      </c>
      <c r="J34" s="75">
        <f t="shared" si="0"/>
        <v>-358904.00000000006</v>
      </c>
      <c r="K34" s="75">
        <f t="shared" si="0"/>
        <v>-2059542.2232000001</v>
      </c>
      <c r="L34" s="75">
        <f t="shared" si="0"/>
        <v>-15030.4</v>
      </c>
      <c r="M34" s="75">
        <f>SUM(M3:M33)</f>
        <v>3106450.7431999999</v>
      </c>
      <c r="N34" s="84">
        <f>D34+E34+F34+G34+H34+I34+J34+K34+L34+M34</f>
        <v>64002.399999999441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R25" sqref="R2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44221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44222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Y25" sqref="Y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0</v>
      </c>
      <c r="C26" s="66">
        <f>('Water Reading'!B26-'Water Reading'!B25)+('Water Reading'!C26-'Water Reading'!C25)</f>
        <v>-237195</v>
      </c>
      <c r="D26" s="67" t="e">
        <f t="shared" si="2"/>
        <v>#DIV/0!</v>
      </c>
      <c r="E26" s="87">
        <f>'Water Reading'!H26-'Water Reading'!H25</f>
        <v>-45190</v>
      </c>
      <c r="F26" s="89">
        <f t="shared" si="3"/>
        <v>0.19051834988089969</v>
      </c>
      <c r="G26" s="93">
        <f>('Water Reading'!D26-'Water Reading'!D25)-('Water Reading'!R26-'Water Reading'!R25)-('Water Reading'!Q26-'Water Reading'!Q25)</f>
        <v>-181110</v>
      </c>
      <c r="H26" s="89">
        <f t="shared" si="4"/>
        <v>0.76354897868842087</v>
      </c>
      <c r="I26" s="90">
        <f>'Water Reading'!P26-'Water Reading'!P25</f>
        <v>-25782</v>
      </c>
      <c r="J26" s="68">
        <f t="shared" si="5"/>
        <v>0.10869537722127363</v>
      </c>
      <c r="K26" s="90">
        <f>('Water Reading'!I26-'Water Reading'!I25)-('Water Reading'!P26-'Water Reading'!P25)</f>
        <v>-31598</v>
      </c>
      <c r="L26" s="68">
        <f t="shared" si="6"/>
        <v>0.13321528700014756</v>
      </c>
      <c r="M26" s="90">
        <f>'Water Reading'!R26-'Water Reading'!R25</f>
        <v>-5408</v>
      </c>
      <c r="N26" s="92">
        <f t="shared" si="7"/>
        <v>2.2799806066738336E-2</v>
      </c>
      <c r="O26" s="90">
        <f>'Water Reading'!Q26-'Water Reading'!Q25</f>
        <v>-30</v>
      </c>
      <c r="P26" s="99">
        <f t="shared" si="8"/>
        <v>1.2647821412761651E-4</v>
      </c>
      <c r="Q26" s="91">
        <f>'Water Reading'!F26-'Water Reading'!F25</f>
        <v>-66840</v>
      </c>
      <c r="R26" s="100">
        <f t="shared" si="9"/>
        <v>0.28179346107632958</v>
      </c>
      <c r="S26" s="94">
        <f>'Water Reading'!E26-'Water Reading'!E25</f>
        <v>-238383</v>
      </c>
      <c r="T26" s="100">
        <f t="shared" si="10"/>
        <v>1.0050085372794537</v>
      </c>
      <c r="U26" s="90">
        <f>'Water Reading'!G26-'Water Reading'!G25</f>
        <v>-108577</v>
      </c>
      <c r="V26" s="100">
        <f t="shared" si="11"/>
        <v>0.45775416851114065</v>
      </c>
      <c r="W26" s="90">
        <f>'Water Reading'!J26-'Water Reading'!J25</f>
        <v>-18231</v>
      </c>
      <c r="X26" s="100">
        <f t="shared" si="12"/>
        <v>7.6860810725352557E-2</v>
      </c>
      <c r="Y26" s="66">
        <f t="shared" si="0"/>
        <v>-721149</v>
      </c>
      <c r="Z26" s="67" t="e">
        <f t="shared" si="1"/>
        <v>#DIV/0!</v>
      </c>
    </row>
    <row r="27" spans="1:26" x14ac:dyDescent="0.25">
      <c r="A27" s="8">
        <f>'Water Reading'!A26</f>
        <v>44220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44221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6200</v>
      </c>
      <c r="C35" s="75">
        <f>SUM(C4:C34)</f>
        <v>-229728</v>
      </c>
      <c r="D35" s="96">
        <f>C35/B35</f>
        <v>-37.052903225806453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-31043</v>
      </c>
      <c r="L35" s="95">
        <f>K35/C35</f>
        <v>0.1351293703858476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-714044</v>
      </c>
      <c r="Z35" s="95">
        <f t="shared" si="1"/>
        <v>-115.1683870967742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2021-01-23T04:38:32Z</dcterms:modified>
  <cp:category/>
  <cp:contentStatus/>
</cp:coreProperties>
</file>