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"/>
    </mc:Choice>
  </mc:AlternateContent>
  <xr:revisionPtr revIDLastSave="44" documentId="8_{5A9CD38F-6435-42F7-B247-CE2D98CD87B6}" xr6:coauthVersionLast="36" xr6:coauthVersionMax="47" xr10:uidLastSave="{6FB0A6B6-8CCB-473A-91F1-DA6DA161E245}"/>
  <bookViews>
    <workbookView xWindow="-90" yWindow="-90" windowWidth="18195" windowHeight="11475" tabRatio="500" firstSheet="2" activeTab="2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22" i="1"/>
  <c r="E23" i="1"/>
  <c r="E24" i="1"/>
  <c r="E25" i="1"/>
  <c r="E26" i="1"/>
  <c r="E27" i="1"/>
  <c r="E28" i="1"/>
  <c r="E29" i="1"/>
  <c r="E30" i="1"/>
  <c r="D10" i="4"/>
  <c r="D7" i="4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F10" i="21" s="1"/>
  <c r="F11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F17" i="18" s="1"/>
  <c r="E16" i="17"/>
  <c r="D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E20" i="1" s="1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E13" i="1" s="1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E12" i="1" s="1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I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21" i="1" l="1"/>
  <c r="E19" i="1"/>
  <c r="F16" i="18"/>
  <c r="F18" i="18"/>
  <c r="E18" i="1"/>
  <c r="F13" i="18"/>
  <c r="E17" i="1"/>
  <c r="E16" i="1"/>
  <c r="F13" i="16"/>
  <c r="E15" i="1"/>
  <c r="F13" i="14"/>
  <c r="F7" i="13"/>
  <c r="F8" i="13" s="1"/>
  <c r="F15" i="12"/>
  <c r="E14" i="1"/>
  <c r="F22" i="13"/>
  <c r="F23" i="13" s="1"/>
  <c r="G23" i="13" s="1"/>
  <c r="G31" i="13" s="1"/>
  <c r="E11" i="1"/>
  <c r="E7" i="1"/>
  <c r="E10" i="1"/>
  <c r="E9" i="1"/>
  <c r="E8" i="1"/>
  <c r="F22" i="10"/>
  <c r="F31" i="10" s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G11" i="7"/>
  <c r="G29" i="7" s="1"/>
  <c r="F29" i="7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9" i="17" l="1"/>
  <c r="F19" i="17"/>
  <c r="F19" i="14"/>
  <c r="F29" i="14"/>
  <c r="F23" i="10"/>
  <c r="G23" i="10" s="1"/>
  <c r="G31" i="10" s="1"/>
  <c r="F19" i="9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1" l="1"/>
  <c r="F30" i="12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<sst xmlns="http://schemas.openxmlformats.org/spreadsheetml/2006/main" count="2433" uniqueCount="181">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</sst>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#,##0.000"/>
    <numFmt numFmtId="173" formatCode="&quot;AED&quot;#,##0.00"/>
  </numFmts>
  <fonts count="4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2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3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4" fontId="45" fillId="0" borderId="8" xfId="1" applyNumberFormat="1" applyFont="1" applyBorder="1" applyAlignment="1" applyProtection="1">
      <alignment vertical="center"/>
    </xf>
    <xf numFmtId="168" fontId="46" fillId="8" borderId="8" xfId="1" applyFont="1" applyFill="1" applyBorder="1" applyProtection="1"/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or-my.sharepoint.com/personal/argie_domingo_ennismore_com/Documents/Desktop/25h%20Engineering%20-%20ARGIE/Budget/2024/utitility%20reading%202024/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M6" sqref="M6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16751.999999999607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16991.999999999825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0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N4" sqref="N4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0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L29" sqref="L29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x14ac:dyDescent="0.25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303" t="s">
        <v>26</v>
      </c>
      <c r="O2" s="304" t="s">
        <v>27</v>
      </c>
    </row>
    <row r="3" spans="1:17" s="13" customFormat="1" x14ac:dyDescent="0.25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03"/>
      <c r="O3" s="304"/>
    </row>
    <row r="4" spans="1:17" s="13" customFormat="1" x14ac:dyDescent="0.25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305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 x14ac:dyDescent="0.25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 x14ac:dyDescent="0.25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 x14ac:dyDescent="0.25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 x14ac:dyDescent="0.25">
      <c r="A10" s="28">
        <v>5</v>
      </c>
      <c r="B10" s="292">
        <v>54213.8</v>
      </c>
      <c r="C10" s="293">
        <v>210134</v>
      </c>
      <c r="D10" s="294"/>
      <c r="E10" s="294"/>
      <c r="F10" s="294"/>
      <c r="G10" s="295"/>
      <c r="H10" s="292">
        <v>6807.8</v>
      </c>
      <c r="I10" s="292">
        <v>4108.1000000000004</v>
      </c>
      <c r="J10" s="292">
        <v>4392</v>
      </c>
      <c r="K10" s="292">
        <v>2460.5</v>
      </c>
      <c r="L10" s="292">
        <v>5730.8</v>
      </c>
      <c r="M10" s="292">
        <v>15415.7</v>
      </c>
      <c r="N10" s="292">
        <v>94807.9</v>
      </c>
      <c r="O10" s="296">
        <v>87.33</v>
      </c>
    </row>
    <row r="11" spans="1:17" x14ac:dyDescent="0.25">
      <c r="A11" s="28">
        <v>6</v>
      </c>
      <c r="B11" s="292">
        <v>54231.9</v>
      </c>
      <c r="C11" s="293">
        <v>210330</v>
      </c>
      <c r="D11" s="294"/>
      <c r="E11" s="294"/>
      <c r="F11" s="294"/>
      <c r="G11" s="295"/>
      <c r="H11" s="292">
        <v>6814.6</v>
      </c>
      <c r="I11" s="292">
        <v>4112.7</v>
      </c>
      <c r="J11" s="292">
        <v>4396.8</v>
      </c>
      <c r="K11" s="292">
        <v>2463.3000000000002</v>
      </c>
      <c r="L11" s="292">
        <v>5735.3</v>
      </c>
      <c r="M11" s="292">
        <v>15427.4</v>
      </c>
      <c r="N11" s="292">
        <v>94936.7</v>
      </c>
      <c r="O11" s="296">
        <v>91.24</v>
      </c>
    </row>
    <row r="12" spans="1:17" x14ac:dyDescent="0.25">
      <c r="A12" s="28">
        <v>7</v>
      </c>
      <c r="B12" s="292">
        <v>54250.400000000001</v>
      </c>
      <c r="C12" s="293">
        <v>210513</v>
      </c>
      <c r="D12" s="294"/>
      <c r="E12" s="294"/>
      <c r="F12" s="294"/>
      <c r="G12" s="295"/>
      <c r="H12" s="292">
        <v>6821.4</v>
      </c>
      <c r="I12" s="292">
        <v>4117.2</v>
      </c>
      <c r="J12" s="292">
        <v>4401.3999999999996</v>
      </c>
      <c r="K12" s="292">
        <v>2466.1</v>
      </c>
      <c r="L12" s="292">
        <v>5739.8</v>
      </c>
      <c r="M12" s="292">
        <v>15439.1</v>
      </c>
      <c r="N12" s="292">
        <v>95073.3</v>
      </c>
      <c r="O12" s="299">
        <v>91.27</v>
      </c>
    </row>
    <row r="13" spans="1:17" x14ac:dyDescent="0.25">
      <c r="A13" s="28">
        <v>8</v>
      </c>
      <c r="B13" s="27">
        <v>54268</v>
      </c>
      <c r="C13" s="27">
        <v>210706</v>
      </c>
      <c r="D13" s="27"/>
      <c r="E13" s="27"/>
      <c r="F13" s="27"/>
      <c r="G13" s="27"/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99">
        <v>94.24</v>
      </c>
    </row>
    <row r="14" spans="1:17" x14ac:dyDescent="0.25">
      <c r="A14" s="28">
        <v>9</v>
      </c>
      <c r="B14" s="292">
        <v>54285.8</v>
      </c>
      <c r="C14" s="293">
        <v>210865</v>
      </c>
      <c r="D14" s="294"/>
      <c r="E14" s="294"/>
      <c r="F14" s="294"/>
      <c r="G14" s="295"/>
      <c r="H14" s="292">
        <v>6835.3</v>
      </c>
      <c r="I14" s="292">
        <v>4126.1000000000004</v>
      </c>
      <c r="J14" s="292">
        <v>4410.7</v>
      </c>
      <c r="K14" s="292">
        <v>2471.9</v>
      </c>
      <c r="L14" s="292">
        <v>5749</v>
      </c>
      <c r="M14" s="292">
        <v>15463.4</v>
      </c>
      <c r="N14" s="292">
        <v>95345.3</v>
      </c>
      <c r="O14" s="296">
        <v>90.32</v>
      </c>
    </row>
    <row r="15" spans="1:17" x14ac:dyDescent="0.25">
      <c r="A15" s="28">
        <v>10</v>
      </c>
      <c r="B15" s="292">
        <v>54303.6</v>
      </c>
      <c r="C15" s="293">
        <v>211142</v>
      </c>
      <c r="D15" s="294"/>
      <c r="E15" s="294"/>
      <c r="F15" s="294"/>
      <c r="G15" s="295"/>
      <c r="H15" s="292">
        <v>6842.6</v>
      </c>
      <c r="I15" s="292">
        <v>4130.6000000000004</v>
      </c>
      <c r="J15" s="292">
        <v>4415.6000000000004</v>
      </c>
      <c r="K15" s="292">
        <v>2474.6999999999998</v>
      </c>
      <c r="L15" s="292">
        <v>5753.7</v>
      </c>
      <c r="M15" s="292">
        <v>15474.9</v>
      </c>
      <c r="N15" s="292">
        <v>95497.7</v>
      </c>
      <c r="O15" s="296">
        <v>81.34</v>
      </c>
    </row>
    <row r="16" spans="1:17" x14ac:dyDescent="0.25">
      <c r="A16" s="28">
        <v>11</v>
      </c>
      <c r="B16" s="292">
        <v>54322.5</v>
      </c>
      <c r="C16" s="293">
        <v>211397</v>
      </c>
      <c r="D16" s="294"/>
      <c r="E16" s="294"/>
      <c r="F16" s="294"/>
      <c r="G16" s="295"/>
      <c r="H16" s="292">
        <v>6850</v>
      </c>
      <c r="I16" s="292">
        <v>4135</v>
      </c>
      <c r="J16" s="292">
        <v>4420.3999999999996</v>
      </c>
      <c r="K16" s="292">
        <v>2477.9</v>
      </c>
      <c r="L16" s="292">
        <v>5758.4</v>
      </c>
      <c r="M16" s="292">
        <v>15486.6</v>
      </c>
      <c r="N16" s="292">
        <v>95634.8</v>
      </c>
      <c r="O16" s="296">
        <v>88.48</v>
      </c>
    </row>
    <row r="17" spans="1:17" x14ac:dyDescent="0.25">
      <c r="A17" s="28">
        <v>12</v>
      </c>
      <c r="B17" s="292">
        <v>54338.9</v>
      </c>
      <c r="C17" s="293">
        <v>211607</v>
      </c>
      <c r="D17" s="294"/>
      <c r="E17" s="294"/>
      <c r="F17" s="294"/>
      <c r="G17" s="295"/>
      <c r="H17" s="292">
        <v>6857.1</v>
      </c>
      <c r="I17" s="292">
        <v>4139</v>
      </c>
      <c r="J17" s="292">
        <v>4424.8999999999996</v>
      </c>
      <c r="K17" s="292">
        <v>2480.6</v>
      </c>
      <c r="L17" s="292">
        <v>5763</v>
      </c>
      <c r="M17" s="292">
        <v>15498.3</v>
      </c>
      <c r="N17" s="292">
        <v>95776</v>
      </c>
      <c r="O17" s="296">
        <v>79.72</v>
      </c>
    </row>
    <row r="18" spans="1:17" x14ac:dyDescent="0.25">
      <c r="A18" s="28">
        <v>13</v>
      </c>
      <c r="B18" s="292">
        <v>54356.6</v>
      </c>
      <c r="C18" s="293">
        <v>211780</v>
      </c>
      <c r="D18" s="294"/>
      <c r="E18" s="294"/>
      <c r="F18" s="294"/>
      <c r="G18" s="295"/>
      <c r="H18" s="292">
        <v>6864.2</v>
      </c>
      <c r="I18" s="292">
        <v>4143.3</v>
      </c>
      <c r="J18" s="292">
        <v>4429.3</v>
      </c>
      <c r="K18" s="292">
        <v>2483.3000000000002</v>
      </c>
      <c r="L18" s="292">
        <v>5767.5</v>
      </c>
      <c r="M18" s="292">
        <v>15510.1</v>
      </c>
      <c r="N18" s="292">
        <v>95924.9</v>
      </c>
      <c r="O18" s="296">
        <v>75.81</v>
      </c>
    </row>
    <row r="19" spans="1:17" x14ac:dyDescent="0.25">
      <c r="A19" s="28">
        <v>14</v>
      </c>
      <c r="B19" s="292">
        <v>54375.9</v>
      </c>
      <c r="C19" s="293">
        <v>211967</v>
      </c>
      <c r="D19" s="294"/>
      <c r="E19" s="294"/>
      <c r="F19" s="294"/>
      <c r="G19" s="295"/>
      <c r="H19" s="292">
        <v>6871.3</v>
      </c>
      <c r="I19" s="292">
        <v>4147.7</v>
      </c>
      <c r="J19" s="292">
        <v>4433.5</v>
      </c>
      <c r="K19" s="292">
        <v>2486</v>
      </c>
      <c r="L19" s="292">
        <v>5772</v>
      </c>
      <c r="M19" s="292">
        <v>15521.7</v>
      </c>
      <c r="N19" s="292">
        <v>96067.3</v>
      </c>
      <c r="O19" s="296">
        <v>75.349999999999994</v>
      </c>
    </row>
    <row r="20" spans="1:17" x14ac:dyDescent="0.25">
      <c r="A20" s="28">
        <v>15</v>
      </c>
      <c r="B20" s="292">
        <v>54397.599999999999</v>
      </c>
      <c r="C20" s="293">
        <v>212121</v>
      </c>
      <c r="D20" s="294"/>
      <c r="E20" s="294"/>
      <c r="F20" s="294"/>
      <c r="G20" s="295"/>
      <c r="H20" s="292">
        <v>6878.4</v>
      </c>
      <c r="I20" s="292">
        <v>4152</v>
      </c>
      <c r="J20" s="292">
        <v>4437.8</v>
      </c>
      <c r="K20" s="292">
        <v>2488.9</v>
      </c>
      <c r="L20" s="292">
        <v>5776.5</v>
      </c>
      <c r="M20" s="292">
        <v>15533.5</v>
      </c>
      <c r="N20" s="292">
        <v>96190.5</v>
      </c>
      <c r="O20" s="296">
        <v>76.73</v>
      </c>
    </row>
    <row r="21" spans="1:17" x14ac:dyDescent="0.25">
      <c r="A21" s="28">
        <v>16</v>
      </c>
      <c r="B21" s="27">
        <v>54422.3</v>
      </c>
      <c r="C21" s="27">
        <v>212308</v>
      </c>
      <c r="D21" s="27"/>
      <c r="E21" s="27"/>
      <c r="F21" s="27"/>
      <c r="G21" s="27"/>
      <c r="H21" s="27">
        <v>6885.4</v>
      </c>
      <c r="I21" s="27">
        <v>4156.3999999999996</v>
      </c>
      <c r="J21" s="27">
        <v>4442</v>
      </c>
      <c r="K21" s="27">
        <v>2491.8000000000002</v>
      </c>
      <c r="L21" s="27">
        <v>5781</v>
      </c>
      <c r="M21" s="27">
        <v>15545.7</v>
      </c>
      <c r="N21" s="27">
        <v>96320.6</v>
      </c>
      <c r="O21" s="299">
        <v>77.650000000000006</v>
      </c>
    </row>
    <row r="22" spans="1:17" x14ac:dyDescent="0.25">
      <c r="A22" s="28">
        <v>17</v>
      </c>
      <c r="B22" s="292">
        <v>54449.599999999999</v>
      </c>
      <c r="C22" s="293">
        <v>212465</v>
      </c>
      <c r="D22" s="294"/>
      <c r="E22" s="294"/>
      <c r="F22" s="294"/>
      <c r="G22" s="295"/>
      <c r="H22" s="292">
        <v>6892.7</v>
      </c>
      <c r="I22" s="292">
        <v>4160.8</v>
      </c>
      <c r="J22" s="292">
        <v>4446.3999999999996</v>
      </c>
      <c r="K22" s="292">
        <v>2494.9</v>
      </c>
      <c r="L22" s="292">
        <v>5785.6</v>
      </c>
      <c r="M22" s="292">
        <v>15557.9</v>
      </c>
      <c r="N22" s="292">
        <v>96439.2</v>
      </c>
      <c r="O22" s="296">
        <v>70.739999999999995</v>
      </c>
    </row>
    <row r="23" spans="1:17" x14ac:dyDescent="0.25">
      <c r="A23" s="28">
        <v>18</v>
      </c>
      <c r="B23" s="292">
        <v>54476.6</v>
      </c>
      <c r="C23" s="293">
        <v>212684</v>
      </c>
      <c r="D23" s="294"/>
      <c r="E23" s="294"/>
      <c r="F23" s="294"/>
      <c r="G23" s="295"/>
      <c r="H23" s="292">
        <v>6899.9</v>
      </c>
      <c r="I23" s="292">
        <v>4164.8999999999996</v>
      </c>
      <c r="J23" s="292">
        <v>4450.8</v>
      </c>
      <c r="K23" s="292">
        <v>2497.9</v>
      </c>
      <c r="L23" s="292">
        <v>5790.2</v>
      </c>
      <c r="M23" s="292">
        <v>15569.9</v>
      </c>
      <c r="N23" s="292">
        <v>96592.3</v>
      </c>
      <c r="O23" s="296">
        <v>68.89</v>
      </c>
      <c r="P23" s="29"/>
      <c r="Q23" s="29"/>
    </row>
    <row r="24" spans="1:17" x14ac:dyDescent="0.25">
      <c r="A24" s="28">
        <v>19</v>
      </c>
      <c r="B24" s="292">
        <v>54499.6</v>
      </c>
      <c r="C24" s="293">
        <v>212869</v>
      </c>
      <c r="D24" s="294"/>
      <c r="E24" s="294"/>
      <c r="F24" s="294"/>
      <c r="G24" s="295"/>
      <c r="H24" s="292">
        <v>6907.1</v>
      </c>
      <c r="I24" s="292">
        <v>4169.1000000000004</v>
      </c>
      <c r="J24" s="292">
        <v>4455.3999999999996</v>
      </c>
      <c r="K24" s="292">
        <v>2500.8000000000002</v>
      </c>
      <c r="L24" s="292">
        <v>5794.7</v>
      </c>
      <c r="M24" s="292">
        <v>15581.8</v>
      </c>
      <c r="N24" s="292">
        <v>96740.2</v>
      </c>
      <c r="O24" s="296"/>
    </row>
    <row r="25" spans="1:17" x14ac:dyDescent="0.25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99" t="s">
        <v>12</v>
      </c>
    </row>
    <row r="26" spans="1:17" x14ac:dyDescent="0.25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99" t="s">
        <v>12</v>
      </c>
    </row>
    <row r="27" spans="1:17" x14ac:dyDescent="0.25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99" t="s">
        <v>12</v>
      </c>
    </row>
    <row r="28" spans="1:17" x14ac:dyDescent="0.25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99" t="s">
        <v>12</v>
      </c>
    </row>
    <row r="29" spans="1:17" x14ac:dyDescent="0.25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99" t="s">
        <v>12</v>
      </c>
      <c r="P29" s="30"/>
    </row>
    <row r="30" spans="1:17" x14ac:dyDescent="0.25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99" t="s">
        <v>12</v>
      </c>
      <c r="P30" s="31"/>
      <c r="Q30" s="31"/>
    </row>
    <row r="31" spans="1:17" x14ac:dyDescent="0.25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99" t="s">
        <v>12</v>
      </c>
    </row>
    <row r="32" spans="1:17" x14ac:dyDescent="0.25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99" t="s">
        <v>12</v>
      </c>
    </row>
    <row r="33" spans="1:17" x14ac:dyDescent="0.25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99" t="s">
        <v>12</v>
      </c>
    </row>
    <row r="34" spans="1:17" x14ac:dyDescent="0.25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99" t="s">
        <v>12</v>
      </c>
    </row>
    <row r="35" spans="1:17" x14ac:dyDescent="0.25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99" t="s">
        <v>12</v>
      </c>
    </row>
    <row r="36" spans="1:17" x14ac:dyDescent="0.25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x14ac:dyDescent="0.25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77.677777777777791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 t="s">
        <v>178</v>
      </c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 x14ac:dyDescent="0.25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91.27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5739.8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14196.152319999885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H29" sqref="H2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5004.3839999995862</v>
      </c>
      <c r="G8" s="66">
        <f>F8*0.63</f>
        <v>3152.7619199997393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42454.017</v>
      </c>
      <c r="G11" s="74">
        <f>F11*0.06</f>
        <v>2547.2410199999999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'7'!E17</f>
        <v>5739.8</v>
      </c>
      <c r="E17" s="61">
        <f>'Daily Meter'!L13</f>
        <v>5744.4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16991.999999999825</v>
      </c>
      <c r="G19" s="66">
        <f>F19*0.43</f>
        <v>7306.5599999999249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16991.999999999825</v>
      </c>
      <c r="G30" s="99">
        <f>G19</f>
        <v>7306.5599999999249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14282.137939999611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5061.2520000008271</v>
      </c>
      <c r="G8" s="66">
        <f>F8*0.63</f>
        <v>3188.5887600005212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34975.070999999996</v>
      </c>
      <c r="G11" s="74">
        <f>F11*0.06</f>
        <v>2098.5042599999997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5061.251999998758</v>
      </c>
      <c r="G8" s="66">
        <f>F8*0.63</f>
        <v>3188.5887599992175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60931.413</v>
      </c>
      <c r="G11" s="74">
        <f>F11*0.06</f>
        <v>3655.8847799999999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5374.0260000004137</v>
      </c>
      <c r="G8" s="66">
        <f>F8*0.63</f>
        <v>3385.6363800002605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56092.095000000001</v>
      </c>
      <c r="G11" s="74">
        <f>F11*0.06</f>
        <v>3365.5257000000001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4663.1760000004133</v>
      </c>
      <c r="G8" s="66">
        <f>F8*0.63</f>
        <v>2937.8008800002603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46193.49</v>
      </c>
      <c r="G11" s="74">
        <f>F11*0.06</f>
        <v>2771.6093999999998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5032.8179999991717</v>
      </c>
      <c r="G8" s="66">
        <f>F8*0.63</f>
        <v>3170.6753399994782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5487.7620000008274</v>
      </c>
      <c r="G8" s="66">
        <f>F8*0.63</f>
        <v>3457.2900600005214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6170.1779999991722</v>
      </c>
      <c r="G8" s="66">
        <f>F8*0.63</f>
        <v>3887.2121399994785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33875.226000000002</v>
      </c>
      <c r="G11" s="74">
        <f>F11*0.06</f>
        <v>2032.5135600000001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7023.1980000012409</v>
      </c>
      <c r="G8" s="66">
        <f>F8*0.63</f>
        <v>4424.6147400007821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7762.4819999987576</v>
      </c>
      <c r="G8" s="66">
        <f>F8*0.63</f>
        <v>4890.3636599992169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34535.133000000002</v>
      </c>
      <c r="G11" s="74">
        <f>F11*0.06</f>
        <v>2072.1079800000002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7677.1799999999994</v>
      </c>
      <c r="G8" s="66">
        <f>F8*0.63</f>
        <v>4836.6233999999995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48173.210999999996</v>
      </c>
      <c r="G11" s="74">
        <f>F11*0.06</f>
        <v>2890.3926599999995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6539.82</v>
      </c>
      <c r="G8" s="66">
        <f>F8*0.63</f>
        <v>4120.0865999999996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40694.264999999999</v>
      </c>
      <c r="G11" s="74">
        <f>F11*0.06</f>
        <v>2441.6558999999997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'19'!E7</f>
        <v>54499.6</v>
      </c>
      <c r="E7" s="61" t="str">
        <f>'Daily Meter'!B25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'19'!E10</f>
        <v>212869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51"/>
      <c r="G24" s="89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105"/>
      <c r="D26" s="312" t="s">
        <v>75</v>
      </c>
      <c r="E26" s="312"/>
      <c r="F26" s="312"/>
      <c r="G26" s="312"/>
      <c r="H26" s="96"/>
    </row>
    <row r="27" spans="1:11" ht="21" x14ac:dyDescent="0.25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x14ac:dyDescent="0.25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x14ac:dyDescent="0.25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x14ac:dyDescent="0.25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x14ac:dyDescent="0.25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 x14ac:dyDescent="0.25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77.677777777777791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 x14ac:dyDescent="0.2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 x14ac:dyDescent="0.25">
      <c r="A1" s="323" t="s">
        <v>45</v>
      </c>
      <c r="B1" s="323"/>
      <c r="C1" s="323"/>
      <c r="D1" s="323"/>
      <c r="E1" s="323"/>
      <c r="F1" s="323"/>
      <c r="G1" s="323"/>
      <c r="H1" s="108"/>
      <c r="P1" s="16" t="s">
        <v>22</v>
      </c>
    </row>
    <row r="2" spans="1:16" ht="12" customHeight="1" x14ac:dyDescent="0.25">
      <c r="A2" s="323"/>
      <c r="B2" s="323"/>
      <c r="C2" s="323"/>
      <c r="D2" s="323"/>
      <c r="E2" s="323"/>
      <c r="F2" s="323"/>
      <c r="G2" s="323"/>
      <c r="H2" s="108"/>
    </row>
    <row r="3" spans="1:16" ht="18" x14ac:dyDescent="0.25">
      <c r="A3" s="324" t="s">
        <v>47</v>
      </c>
      <c r="B3" s="324"/>
      <c r="C3" s="324"/>
      <c r="D3" s="324"/>
      <c r="E3" s="324"/>
      <c r="F3" s="324"/>
      <c r="G3" s="324"/>
      <c r="H3" s="108"/>
      <c r="P3" s="16" t="s">
        <v>46</v>
      </c>
    </row>
    <row r="4" spans="1:16" ht="18" x14ac:dyDescent="0.25">
      <c r="A4" s="325" t="s">
        <v>87</v>
      </c>
      <c r="B4" s="325"/>
      <c r="C4" s="325"/>
      <c r="D4" s="109" t="s">
        <v>88</v>
      </c>
      <c r="E4" s="110"/>
      <c r="F4" s="111" t="s">
        <v>89</v>
      </c>
      <c r="G4" s="326"/>
      <c r="H4" s="326"/>
    </row>
    <row r="5" spans="1:16" ht="27.75" customHeight="1" x14ac:dyDescent="0.25">
      <c r="A5" s="327" t="s">
        <v>49</v>
      </c>
      <c r="B5" s="328" t="s">
        <v>50</v>
      </c>
      <c r="C5" s="113"/>
      <c r="D5" s="115" t="s">
        <v>90</v>
      </c>
      <c r="E5" s="115" t="s">
        <v>91</v>
      </c>
      <c r="F5" s="329" t="s">
        <v>92</v>
      </c>
      <c r="G5" s="329" t="s">
        <v>93</v>
      </c>
      <c r="H5" s="329" t="s">
        <v>94</v>
      </c>
    </row>
    <row r="6" spans="1:16" ht="24" customHeight="1" x14ac:dyDescent="0.25">
      <c r="A6" s="327"/>
      <c r="B6" s="328"/>
      <c r="C6" s="116"/>
      <c r="D6" s="117" t="s">
        <v>95</v>
      </c>
      <c r="E6" s="117" t="s">
        <v>96</v>
      </c>
      <c r="F6" s="329"/>
      <c r="G6" s="329"/>
      <c r="H6" s="329"/>
    </row>
    <row r="7" spans="1:16" x14ac:dyDescent="0.25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 x14ac:dyDescent="0.25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 x14ac:dyDescent="0.2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 x14ac:dyDescent="0.25">
      <c r="A10" s="120"/>
      <c r="B10" s="126" t="s">
        <v>98</v>
      </c>
      <c r="C10" s="317"/>
      <c r="D10" s="317"/>
      <c r="E10" s="317"/>
      <c r="F10" s="128">
        <f>F9*0.568</f>
        <v>0</v>
      </c>
      <c r="G10" s="129"/>
      <c r="H10" s="129"/>
    </row>
    <row r="11" spans="1:16" x14ac:dyDescent="0.25">
      <c r="A11" s="120"/>
      <c r="B11" s="126" t="s">
        <v>99</v>
      </c>
      <c r="C11" s="317"/>
      <c r="D11" s="317"/>
      <c r="E11" s="317"/>
      <c r="F11" s="128">
        <f>F9*0.075</f>
        <v>0</v>
      </c>
      <c r="G11" s="129"/>
      <c r="H11" s="129"/>
    </row>
    <row r="12" spans="1:16" ht="15.75" customHeight="1" x14ac:dyDescent="0.25">
      <c r="A12" s="120"/>
      <c r="B12" s="130" t="s">
        <v>100</v>
      </c>
      <c r="C12" s="321"/>
      <c r="D12" s="321"/>
      <c r="E12" s="321"/>
      <c r="F12" s="132">
        <f>F10+F11</f>
        <v>0</v>
      </c>
      <c r="G12" s="133">
        <f>'dec. 1 to 31'!G12</f>
        <v>250000</v>
      </c>
      <c r="H12" s="134"/>
    </row>
    <row r="13" spans="1:16" ht="15.75" customHeight="1" x14ac:dyDescent="0.25">
      <c r="A13" s="120"/>
      <c r="B13" s="130" t="s">
        <v>101</v>
      </c>
      <c r="C13" s="321"/>
      <c r="D13" s="321"/>
      <c r="E13" s="321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 x14ac:dyDescent="0.25">
      <c r="A14" s="120"/>
      <c r="B14" s="322"/>
      <c r="C14" s="322"/>
      <c r="D14" s="322"/>
      <c r="E14" s="322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 x14ac:dyDescent="0.25">
      <c r="A15" s="118" t="s">
        <v>59</v>
      </c>
      <c r="B15" s="119" t="s">
        <v>60</v>
      </c>
      <c r="C15" s="319"/>
      <c r="D15" s="319"/>
      <c r="E15" s="319"/>
      <c r="F15" s="137"/>
      <c r="G15" s="138" t="s">
        <v>102</v>
      </c>
      <c r="H15" s="139">
        <f>(F14-H14)</f>
        <v>0</v>
      </c>
    </row>
    <row r="16" spans="1:16" ht="14.25" customHeight="1" x14ac:dyDescent="0.25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20" t="s">
        <v>103</v>
      </c>
      <c r="H16" s="320"/>
    </row>
    <row r="17" spans="1:8" ht="28.5" x14ac:dyDescent="0.2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 x14ac:dyDescent="0.25">
      <c r="A18" s="68"/>
      <c r="B18" s="126" t="s">
        <v>105</v>
      </c>
      <c r="C18" s="317"/>
      <c r="D18" s="317"/>
      <c r="E18" s="317"/>
      <c r="F18" s="142">
        <v>350</v>
      </c>
      <c r="G18" s="143"/>
      <c r="H18" s="137"/>
    </row>
    <row r="19" spans="1:8" x14ac:dyDescent="0.25">
      <c r="A19" s="68"/>
      <c r="B19" s="126" t="s">
        <v>106</v>
      </c>
      <c r="C19" s="317"/>
      <c r="D19" s="317"/>
      <c r="E19" s="317"/>
      <c r="F19" s="142">
        <v>400</v>
      </c>
      <c r="G19" s="143"/>
      <c r="H19" s="137"/>
    </row>
    <row r="20" spans="1:8" x14ac:dyDescent="0.25">
      <c r="A20" s="68"/>
      <c r="B20" s="126" t="s">
        <v>107</v>
      </c>
      <c r="C20" s="317"/>
      <c r="D20" s="317"/>
      <c r="E20" s="317"/>
      <c r="F20" s="142">
        <f>SUM(F17-20000)*0.046</f>
        <v>-920</v>
      </c>
      <c r="G20" s="143"/>
      <c r="H20" s="137"/>
    </row>
    <row r="21" spans="1:8" x14ac:dyDescent="0.25">
      <c r="A21" s="68"/>
      <c r="B21" s="126" t="s">
        <v>108</v>
      </c>
      <c r="C21" s="317"/>
      <c r="D21" s="317"/>
      <c r="E21" s="317"/>
      <c r="F21" s="144">
        <f>F17*0.005</f>
        <v>0</v>
      </c>
      <c r="G21" s="143"/>
      <c r="H21" s="137"/>
    </row>
    <row r="22" spans="1:8" x14ac:dyDescent="0.25">
      <c r="A22" s="68"/>
      <c r="B22" s="126" t="s">
        <v>109</v>
      </c>
      <c r="C22" s="317"/>
      <c r="D22" s="317"/>
      <c r="E22" s="317"/>
      <c r="F22" s="144">
        <f>F17*0.01</f>
        <v>0</v>
      </c>
      <c r="G22" s="143"/>
      <c r="H22" s="137"/>
    </row>
    <row r="23" spans="1:8" x14ac:dyDescent="0.25">
      <c r="A23" s="68"/>
      <c r="B23" s="130" t="s">
        <v>100</v>
      </c>
      <c r="C23" s="318"/>
      <c r="D23" s="318"/>
      <c r="E23" s="318"/>
      <c r="F23" s="146">
        <f>SUM(F18:F22)</f>
        <v>-170</v>
      </c>
      <c r="G23" s="147">
        <f>'dec. 1 to 31'!G23</f>
        <v>59385</v>
      </c>
      <c r="H23" s="137"/>
    </row>
    <row r="24" spans="1:8" x14ac:dyDescent="0.25">
      <c r="A24" s="118" t="s">
        <v>65</v>
      </c>
      <c r="B24" s="119" t="s">
        <v>66</v>
      </c>
      <c r="C24" s="319"/>
      <c r="D24" s="319"/>
      <c r="E24" s="319"/>
      <c r="F24" s="148"/>
      <c r="G24" s="149"/>
      <c r="H24" s="137"/>
    </row>
    <row r="25" spans="1:8" x14ac:dyDescent="0.25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 x14ac:dyDescent="0.25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 x14ac:dyDescent="0.25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 x14ac:dyDescent="0.25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 x14ac:dyDescent="0.25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 x14ac:dyDescent="0.25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 x14ac:dyDescent="0.25">
      <c r="A31" s="120"/>
      <c r="B31" s="150" t="s">
        <v>110</v>
      </c>
      <c r="C31" s="319"/>
      <c r="D31" s="319"/>
      <c r="E31" s="319"/>
      <c r="F31" s="151">
        <f>SUM(F25:F30)</f>
        <v>0</v>
      </c>
      <c r="G31" s="152"/>
      <c r="H31" s="137"/>
    </row>
    <row r="32" spans="1:8" x14ac:dyDescent="0.25">
      <c r="A32" s="56"/>
      <c r="B32" s="126" t="s">
        <v>111</v>
      </c>
      <c r="C32" s="317"/>
      <c r="D32" s="317"/>
      <c r="E32" s="317"/>
      <c r="F32" s="128">
        <v>460</v>
      </c>
      <c r="G32" s="153"/>
      <c r="H32" s="137"/>
    </row>
    <row r="33" spans="1:8" x14ac:dyDescent="0.25">
      <c r="A33" s="56"/>
      <c r="B33" s="126" t="s">
        <v>112</v>
      </c>
      <c r="C33" s="317"/>
      <c r="D33" s="317"/>
      <c r="E33" s="317"/>
      <c r="F33" s="128">
        <v>560</v>
      </c>
      <c r="G33" s="153"/>
      <c r="H33" s="137"/>
    </row>
    <row r="34" spans="1:8" x14ac:dyDescent="0.25">
      <c r="A34" s="56"/>
      <c r="B34" s="126" t="s">
        <v>113</v>
      </c>
      <c r="C34" s="317"/>
      <c r="D34" s="317"/>
      <c r="E34" s="317"/>
      <c r="F34" s="128">
        <v>640</v>
      </c>
      <c r="G34" s="153"/>
      <c r="H34" s="137"/>
    </row>
    <row r="35" spans="1:8" x14ac:dyDescent="0.25">
      <c r="A35" s="56"/>
      <c r="B35" s="126" t="s">
        <v>114</v>
      </c>
      <c r="C35" s="317"/>
      <c r="D35" s="317"/>
      <c r="E35" s="317"/>
      <c r="F35" s="128">
        <f>SUM(F31-6000)*0.38</f>
        <v>-2280</v>
      </c>
      <c r="G35" s="153"/>
      <c r="H35" s="137"/>
    </row>
    <row r="36" spans="1:8" x14ac:dyDescent="0.25">
      <c r="A36" s="56"/>
      <c r="B36" s="126" t="s">
        <v>115</v>
      </c>
      <c r="C36" s="317"/>
      <c r="D36" s="317"/>
      <c r="E36" s="317"/>
      <c r="F36" s="128">
        <f>F31*0.065</f>
        <v>0</v>
      </c>
      <c r="G36" s="153"/>
      <c r="H36" s="137"/>
    </row>
    <row r="37" spans="1:8" x14ac:dyDescent="0.25">
      <c r="A37" s="56"/>
      <c r="B37" s="130" t="s">
        <v>100</v>
      </c>
      <c r="C37" s="314"/>
      <c r="D37" s="314"/>
      <c r="E37" s="314"/>
      <c r="F37" s="132">
        <f>SUM(F32:F36)</f>
        <v>-620</v>
      </c>
      <c r="G37" s="155">
        <f>'dec. 1 to 31'!G37</f>
        <v>281577</v>
      </c>
      <c r="H37" s="137"/>
    </row>
    <row r="38" spans="1:8" x14ac:dyDescent="0.25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 x14ac:dyDescent="0.25">
      <c r="A39" s="120">
        <v>1</v>
      </c>
      <c r="B39" s="156" t="s">
        <v>71</v>
      </c>
      <c r="C39" s="315"/>
      <c r="D39" s="315"/>
      <c r="E39" s="315"/>
      <c r="F39" s="151"/>
      <c r="G39" s="152"/>
      <c r="H39" s="137"/>
    </row>
    <row r="40" spans="1:8" x14ac:dyDescent="0.25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 x14ac:dyDescent="0.25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 x14ac:dyDescent="0.25">
      <c r="A42" s="120"/>
      <c r="B42" s="130" t="s">
        <v>118</v>
      </c>
      <c r="C42" s="314"/>
      <c r="D42" s="314"/>
      <c r="E42" s="314"/>
      <c r="F42" s="132">
        <f>F41*2.5</f>
        <v>0</v>
      </c>
      <c r="G42" s="159">
        <f>'dec. 1 to 31'!G42</f>
        <v>13040</v>
      </c>
      <c r="H42" s="137"/>
    </row>
    <row r="43" spans="1:8" x14ac:dyDescent="0.25">
      <c r="A43" s="160"/>
      <c r="B43" s="160"/>
      <c r="C43" s="161"/>
      <c r="D43" s="160"/>
      <c r="E43" s="160"/>
      <c r="F43" s="162"/>
      <c r="G43" s="162"/>
      <c r="H43" s="162"/>
    </row>
    <row r="44" spans="1:8" ht="21" x14ac:dyDescent="0.25">
      <c r="A44" s="94"/>
      <c r="B44" s="316" t="s">
        <v>75</v>
      </c>
      <c r="C44" s="316"/>
      <c r="D44" s="316"/>
      <c r="E44" s="316"/>
      <c r="F44" s="105"/>
      <c r="G44" s="105"/>
      <c r="H44" s="105"/>
    </row>
    <row r="45" spans="1:8" ht="21" x14ac:dyDescent="0.25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 x14ac:dyDescent="0.2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 x14ac:dyDescent="0.25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 x14ac:dyDescent="0.25">
      <c r="A2" s="331"/>
      <c r="B2" s="331"/>
      <c r="C2" s="331"/>
      <c r="D2" s="331"/>
      <c r="E2" s="331"/>
      <c r="F2" s="331"/>
      <c r="G2" s="331"/>
    </row>
    <row r="3" spans="1:14" ht="21.75" customHeight="1" x14ac:dyDescent="0.25">
      <c r="A3" s="332" t="s">
        <v>47</v>
      </c>
      <c r="B3" s="332"/>
      <c r="C3" s="332"/>
      <c r="D3" s="332"/>
      <c r="E3" s="332"/>
      <c r="F3" s="332"/>
      <c r="G3" s="332"/>
    </row>
    <row r="4" spans="1:14" ht="36" x14ac:dyDescent="0.25">
      <c r="A4" s="333" t="s">
        <v>123</v>
      </c>
      <c r="B4" s="333"/>
      <c r="C4" s="168" t="s">
        <v>124</v>
      </c>
      <c r="D4" s="112"/>
      <c r="E4" s="169" t="s">
        <v>88</v>
      </c>
      <c r="F4" s="334"/>
      <c r="G4" s="334"/>
    </row>
    <row r="5" spans="1:14" ht="27.75" customHeight="1" x14ac:dyDescent="0.25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35" t="s">
        <v>125</v>
      </c>
      <c r="G5" s="336" t="s">
        <v>93</v>
      </c>
      <c r="N5" s="16"/>
    </row>
    <row r="6" spans="1:14" ht="21.75" customHeight="1" x14ac:dyDescent="0.25">
      <c r="A6" s="171"/>
      <c r="B6" s="172"/>
      <c r="C6" s="116"/>
      <c r="D6" s="117" t="s">
        <v>126</v>
      </c>
      <c r="E6" s="117" t="s">
        <v>127</v>
      </c>
      <c r="F6" s="335"/>
      <c r="G6" s="336"/>
    </row>
    <row r="7" spans="1:14" x14ac:dyDescent="0.25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 x14ac:dyDescent="0.25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 x14ac:dyDescent="0.2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 x14ac:dyDescent="0.2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 x14ac:dyDescent="0.2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 x14ac:dyDescent="0.2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 x14ac:dyDescent="0.2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 x14ac:dyDescent="0.2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 x14ac:dyDescent="0.25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 x14ac:dyDescent="0.25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 x14ac:dyDescent="0.2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 x14ac:dyDescent="0.25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 x14ac:dyDescent="0.25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 x14ac:dyDescent="0.25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 x14ac:dyDescent="0.25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 x14ac:dyDescent="0.25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 x14ac:dyDescent="0.25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 x14ac:dyDescent="0.25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 x14ac:dyDescent="0.25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 x14ac:dyDescent="0.25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 x14ac:dyDescent="0.25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 x14ac:dyDescent="0.25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 x14ac:dyDescent="0.25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 x14ac:dyDescent="0.25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 x14ac:dyDescent="0.25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 x14ac:dyDescent="0.25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 x14ac:dyDescent="0.25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 x14ac:dyDescent="0.25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 x14ac:dyDescent="0.25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 x14ac:dyDescent="0.25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 x14ac:dyDescent="0.25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 x14ac:dyDescent="0.25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 x14ac:dyDescent="0.25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 x14ac:dyDescent="0.25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 x14ac:dyDescent="0.25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 x14ac:dyDescent="0.25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 x14ac:dyDescent="0.25">
      <c r="A43" s="160"/>
      <c r="B43" s="160"/>
      <c r="C43" s="161"/>
      <c r="D43" s="160"/>
      <c r="E43" s="160"/>
      <c r="F43" s="162"/>
      <c r="G43" s="162"/>
    </row>
    <row r="44" spans="1:7" ht="18.75" customHeight="1" x14ac:dyDescent="0.25">
      <c r="A44" s="94"/>
      <c r="B44" s="330" t="s">
        <v>75</v>
      </c>
      <c r="C44" s="330"/>
      <c r="D44" s="330"/>
      <c r="E44" s="330"/>
      <c r="F44" s="105"/>
      <c r="G44" s="105"/>
    </row>
    <row r="45" spans="1:7" ht="18.75" customHeight="1" x14ac:dyDescent="0.25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5.5" x14ac:dyDescent="0.25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 x14ac:dyDescent="0.25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 x14ac:dyDescent="0.25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 x14ac:dyDescent="0.25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 x14ac:dyDescent="0.25">
      <c r="A4" s="337"/>
      <c r="B4" s="337"/>
      <c r="C4" s="337"/>
      <c r="D4" s="337"/>
      <c r="E4" s="337"/>
      <c r="F4" s="337"/>
      <c r="G4" s="337"/>
      <c r="H4" s="337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 x14ac:dyDescent="0.25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 x14ac:dyDescent="0.25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 x14ac:dyDescent="0.25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 x14ac:dyDescent="0.25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 x14ac:dyDescent="0.25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 x14ac:dyDescent="0.25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 x14ac:dyDescent="0.25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 x14ac:dyDescent="0.25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 x14ac:dyDescent="0.25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x14ac:dyDescent="0.25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 x14ac:dyDescent="0.25">
      <c r="A15" s="337"/>
      <c r="B15" s="337"/>
      <c r="C15" s="337"/>
      <c r="D15" s="337"/>
      <c r="E15" s="337"/>
      <c r="F15" s="337"/>
      <c r="G15" s="337"/>
      <c r="H15" s="337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 x14ac:dyDescent="0.25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1" x14ac:dyDescent="0.2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 x14ac:dyDescent="0.25">
      <c r="A18" s="337"/>
      <c r="B18" s="337"/>
      <c r="C18" s="337"/>
      <c r="D18" s="337"/>
      <c r="E18" s="337"/>
      <c r="F18" s="337"/>
      <c r="G18" s="337"/>
      <c r="H18" s="337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 x14ac:dyDescent="0.25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x14ac:dyDescent="0.2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0.25" x14ac:dyDescent="0.25"/>
  <cols>
    <col min="1" max="1" width="35.85546875" style="236" customWidth="1"/>
    <col min="2" max="16384" width="35.7109375" style="236"/>
  </cols>
  <sheetData>
    <row r="1" spans="1:14" ht="72" customHeight="1" x14ac:dyDescent="0.25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 x14ac:dyDescent="0.25">
      <c r="A2" s="242"/>
      <c r="B2" s="243"/>
      <c r="C2" s="239"/>
      <c r="D2" s="240"/>
      <c r="E2" s="244"/>
    </row>
    <row r="3" spans="1:14" ht="72" customHeight="1" x14ac:dyDescent="0.25">
      <c r="A3" s="245"/>
      <c r="B3" s="246"/>
      <c r="C3" s="239"/>
      <c r="D3" s="240"/>
      <c r="E3" s="244"/>
    </row>
    <row r="4" spans="1:14" ht="72" customHeight="1" x14ac:dyDescent="0.25">
      <c r="A4" s="245"/>
      <c r="B4" s="246"/>
      <c r="C4" s="239"/>
      <c r="D4" s="240"/>
      <c r="E4" s="244"/>
    </row>
    <row r="5" spans="1:14" ht="72" customHeight="1" x14ac:dyDescent="0.25">
      <c r="A5" s="247"/>
      <c r="B5" s="248"/>
      <c r="C5" s="239"/>
      <c r="D5" s="240"/>
      <c r="E5" s="244"/>
    </row>
    <row r="6" spans="1:14" ht="6.75" customHeight="1" x14ac:dyDescent="0.25">
      <c r="A6" s="249"/>
      <c r="B6" s="249"/>
      <c r="C6" s="250"/>
      <c r="D6" s="250"/>
      <c r="E6" s="244"/>
    </row>
    <row r="7" spans="1:14" ht="72" customHeight="1" x14ac:dyDescent="0.25">
      <c r="A7" s="251"/>
      <c r="B7" s="252"/>
      <c r="C7" s="253"/>
      <c r="D7" s="254"/>
      <c r="E7" s="244"/>
    </row>
    <row r="8" spans="1:14" ht="72" customHeight="1" x14ac:dyDescent="0.25">
      <c r="A8" s="255"/>
      <c r="B8" s="256"/>
      <c r="C8" s="253"/>
      <c r="D8" s="254"/>
      <c r="E8" s="244"/>
    </row>
    <row r="9" spans="1:14" ht="72" customHeight="1" x14ac:dyDescent="0.25">
      <c r="A9" s="255"/>
      <c r="B9" s="256"/>
      <c r="C9" s="253"/>
      <c r="D9" s="254"/>
      <c r="E9" s="244"/>
    </row>
    <row r="10" spans="1:14" ht="72" customHeight="1" x14ac:dyDescent="0.25">
      <c r="A10" s="255"/>
      <c r="B10" s="256"/>
      <c r="C10" s="253"/>
      <c r="D10" s="254"/>
      <c r="E10" s="244"/>
    </row>
    <row r="11" spans="1:14" ht="72" customHeight="1" x14ac:dyDescent="0.25">
      <c r="A11" s="257"/>
      <c r="B11" s="258"/>
      <c r="C11" s="253"/>
      <c r="D11" s="254"/>
      <c r="E11" s="244"/>
    </row>
    <row r="12" spans="1:14" ht="60" customHeight="1" x14ac:dyDescent="0.25">
      <c r="A12" s="246"/>
      <c r="B12" s="238"/>
      <c r="C12" s="250"/>
      <c r="D12" s="250"/>
      <c r="E12" s="244"/>
    </row>
    <row r="13" spans="1:14" ht="60" customHeight="1" x14ac:dyDescent="0.25">
      <c r="A13" s="246"/>
      <c r="B13" s="246"/>
      <c r="C13" s="250"/>
      <c r="D13" s="250"/>
      <c r="E13" s="244"/>
    </row>
    <row r="14" spans="1:14" ht="60" customHeight="1" x14ac:dyDescent="0.25">
      <c r="A14" s="248"/>
      <c r="B14" s="238"/>
    </row>
    <row r="15" spans="1:14" ht="64.5" customHeight="1" x14ac:dyDescent="0.25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 x14ac:dyDescent="0.25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 x14ac:dyDescent="0.25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 x14ac:dyDescent="0.25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 x14ac:dyDescent="0.25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 x14ac:dyDescent="0.25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0.25" x14ac:dyDescent="0.2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 x14ac:dyDescent="0.25">
      <c r="A1" s="263"/>
      <c r="B1" s="249"/>
      <c r="C1" s="241"/>
      <c r="D1" s="241"/>
      <c r="E1" s="264" t="s">
        <v>156</v>
      </c>
      <c r="F1" s="339"/>
      <c r="G1" s="339"/>
      <c r="H1" s="241"/>
      <c r="I1" s="241"/>
      <c r="J1" s="241"/>
      <c r="K1" s="241"/>
      <c r="L1" s="241"/>
    </row>
    <row r="2" spans="1:12" ht="69.75" customHeight="1" x14ac:dyDescent="0.25">
      <c r="A2" s="265"/>
      <c r="B2" s="249"/>
      <c r="C2" s="244"/>
      <c r="E2" s="264" t="s">
        <v>157</v>
      </c>
      <c r="F2" s="340" t="s">
        <v>158</v>
      </c>
      <c r="G2" s="340"/>
      <c r="H2" s="266"/>
    </row>
    <row r="3" spans="1:12" ht="69.75" customHeight="1" x14ac:dyDescent="0.25">
      <c r="A3" s="265"/>
      <c r="B3" s="249"/>
      <c r="C3" s="244"/>
      <c r="E3" s="267" t="s">
        <v>159</v>
      </c>
      <c r="F3" s="341">
        <v>1292977.78</v>
      </c>
      <c r="G3" s="341"/>
      <c r="H3" s="268"/>
    </row>
    <row r="4" spans="1:12" ht="69.75" customHeight="1" x14ac:dyDescent="0.25">
      <c r="A4" s="265"/>
      <c r="B4" s="269"/>
      <c r="C4" s="244"/>
      <c r="E4" s="270" t="s">
        <v>160</v>
      </c>
      <c r="F4" s="338">
        <v>553296</v>
      </c>
      <c r="G4" s="338"/>
      <c r="H4" s="268"/>
    </row>
    <row r="5" spans="1:12" ht="69.75" customHeight="1" x14ac:dyDescent="0.25">
      <c r="A5" s="265"/>
      <c r="B5" s="271"/>
      <c r="C5" s="244"/>
      <c r="E5" s="270" t="s">
        <v>161</v>
      </c>
      <c r="F5" s="338">
        <v>528379</v>
      </c>
      <c r="G5" s="338"/>
      <c r="H5" s="268"/>
    </row>
    <row r="6" spans="1:12" ht="69.75" customHeight="1" x14ac:dyDescent="0.25">
      <c r="A6" s="265"/>
      <c r="B6" s="271"/>
      <c r="C6" s="244"/>
      <c r="E6" s="270" t="s">
        <v>162</v>
      </c>
      <c r="F6" s="338">
        <v>13436.55</v>
      </c>
      <c r="G6" s="338"/>
      <c r="H6" s="272"/>
    </row>
    <row r="7" spans="1:12" ht="60" customHeight="1" x14ac:dyDescent="0.25">
      <c r="A7" s="265"/>
      <c r="B7" s="273"/>
    </row>
    <row r="8" spans="1:12" ht="60" customHeight="1" x14ac:dyDescent="0.25">
      <c r="A8" s="265"/>
      <c r="B8" s="273"/>
    </row>
    <row r="10" spans="1:12" ht="64.5" customHeight="1" x14ac:dyDescent="0.25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 x14ac:dyDescent="0.25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 x14ac:dyDescent="0.25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 x14ac:dyDescent="0.25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 x14ac:dyDescent="0.25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 x14ac:dyDescent="0.25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 x14ac:dyDescent="0.25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 x14ac:dyDescent="0.25"/>
  <sheetData>
    <row r="3" spans="2:22" x14ac:dyDescent="0.25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 x14ac:dyDescent="0.25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 x14ac:dyDescent="0.25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 x14ac:dyDescent="0.25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 x14ac:dyDescent="0.25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 x14ac:dyDescent="0.25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 x14ac:dyDescent="0.25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 x14ac:dyDescent="0.25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cp:lastPrinted>2024-02-08T05:42:03Z</cp:lastPrinted>
  <dcterms:created xsi:type="dcterms:W3CDTF">2015-06-05T18:17:20Z</dcterms:created>
  <dcterms:modified xsi:type="dcterms:W3CDTF">2024-02-19T04:39:01Z</dcterms:modified>
  <dc:language>en-IN</dc:language>
</cp:coreProperties>
</file>