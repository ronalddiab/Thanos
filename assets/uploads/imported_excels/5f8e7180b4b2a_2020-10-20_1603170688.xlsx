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5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25" i="23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9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4" i="10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9" l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G33"/>
  <c r="G36"/>
  <c r="G37"/>
  <c r="G38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4" l="1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<sst xmlns="http://schemas.openxmlformats.org/spreadsheetml/2006/main" count="543" uniqueCount="329">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</sst>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809728"/>
        <c:axId val="1208156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817152"/>
        <c:axId val="120818688"/>
      </c:lineChart>
      <c:catAx>
        <c:axId val="12080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15616"/>
        <c:crosses val="autoZero"/>
        <c:auto val="1"/>
        <c:lblAlgn val="ctr"/>
        <c:lblOffset val="100"/>
      </c:catAx>
      <c:valAx>
        <c:axId val="12081561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09728"/>
        <c:crosses val="autoZero"/>
        <c:crossBetween val="between"/>
        <c:majorUnit val="200"/>
      </c:valAx>
      <c:catAx>
        <c:axId val="120817152"/>
        <c:scaling>
          <c:orientation val="minMax"/>
        </c:scaling>
        <c:delete val="1"/>
        <c:axPos val="b"/>
        <c:tickLblPos val="none"/>
        <c:crossAx val="120818688"/>
        <c:crosses val="autoZero"/>
        <c:auto val="1"/>
        <c:lblAlgn val="ctr"/>
        <c:lblOffset val="100"/>
      </c:catAx>
      <c:valAx>
        <c:axId val="1208186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17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765696"/>
        <c:axId val="1227672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768768"/>
        <c:axId val="122774656"/>
      </c:lineChart>
      <c:catAx>
        <c:axId val="12276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7232"/>
        <c:crosses val="autoZero"/>
        <c:auto val="1"/>
        <c:lblAlgn val="ctr"/>
        <c:lblOffset val="100"/>
      </c:catAx>
      <c:valAx>
        <c:axId val="1227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5696"/>
        <c:crosses val="autoZero"/>
        <c:crossBetween val="between"/>
        <c:majorUnit val="200"/>
      </c:valAx>
      <c:catAx>
        <c:axId val="122768768"/>
        <c:scaling>
          <c:orientation val="minMax"/>
        </c:scaling>
        <c:delete val="1"/>
        <c:axPos val="b"/>
        <c:tickLblPos val="none"/>
        <c:crossAx val="122774656"/>
        <c:crosses val="autoZero"/>
        <c:auto val="1"/>
        <c:lblAlgn val="ctr"/>
        <c:lblOffset val="100"/>
      </c:catAx>
      <c:valAx>
        <c:axId val="122774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8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3598336"/>
        <c:axId val="123599872"/>
      </c:lineChart>
      <c:catAx>
        <c:axId val="1235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99872"/>
        <c:crosses val="autoZero"/>
        <c:auto val="1"/>
        <c:lblAlgn val="ctr"/>
        <c:lblOffset val="200"/>
        <c:tickLblSkip val="1"/>
      </c:catAx>
      <c:valAx>
        <c:axId val="123599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9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2706944"/>
        <c:axId val="122737408"/>
      </c:lineChart>
      <c:catAx>
        <c:axId val="12270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37408"/>
        <c:crosses val="autoZero"/>
        <c:auto val="1"/>
        <c:lblAlgn val="ctr"/>
        <c:lblOffset val="100"/>
      </c:catAx>
      <c:valAx>
        <c:axId val="1227374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0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3441920"/>
        <c:axId val="123443840"/>
      </c:lineChart>
      <c:catAx>
        <c:axId val="123441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43840"/>
        <c:crosses val="autoZero"/>
        <c:auto val="1"/>
        <c:lblAlgn val="ctr"/>
        <c:lblOffset val="100"/>
      </c:catAx>
      <c:valAx>
        <c:axId val="123443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41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0035456"/>
        <c:axId val="150045824"/>
      </c:lineChart>
      <c:catAx>
        <c:axId val="150035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45824"/>
        <c:crosses val="autoZero"/>
        <c:auto val="1"/>
        <c:lblAlgn val="ctr"/>
        <c:lblOffset val="100"/>
      </c:catAx>
      <c:valAx>
        <c:axId val="150045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35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-320178.71600000001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0038016"/>
        <c:axId val="150039552"/>
      </c:lineChart>
      <c:catAx>
        <c:axId val="15003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39552"/>
        <c:crosses val="autoZero"/>
        <c:auto val="1"/>
        <c:lblAlgn val="ctr"/>
        <c:lblOffset val="100"/>
      </c:catAx>
      <c:valAx>
        <c:axId val="150039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3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089152"/>
        <c:axId val="151090688"/>
      </c:lineChart>
      <c:catAx>
        <c:axId val="15108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90688"/>
        <c:crosses val="autoZero"/>
        <c:auto val="1"/>
        <c:lblAlgn val="ctr"/>
        <c:lblOffset val="100"/>
      </c:catAx>
      <c:valAx>
        <c:axId val="15109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266432"/>
        <c:axId val="151267968"/>
      </c:lineChart>
      <c:catAx>
        <c:axId val="15126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7968"/>
        <c:crosses val="autoZero"/>
        <c:auto val="1"/>
        <c:lblAlgn val="ctr"/>
        <c:lblOffset val="100"/>
      </c:catAx>
      <c:valAx>
        <c:axId val="15126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75"/>
          <c:y val="7.471324705111370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288448"/>
        <c:axId val="151298432"/>
      </c:lineChart>
      <c:catAx>
        <c:axId val="15128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8432"/>
        <c:crosses val="autoZero"/>
        <c:auto val="1"/>
        <c:lblAlgn val="ctr"/>
        <c:lblOffset val="200"/>
        <c:tickLblSkip val="1"/>
      </c:catAx>
      <c:valAx>
        <c:axId val="151298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8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0237952"/>
        <c:axId val="150239488"/>
      </c:lineChart>
      <c:catAx>
        <c:axId val="15023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39488"/>
        <c:crosses val="autoZero"/>
        <c:auto val="1"/>
        <c:lblAlgn val="ctr"/>
        <c:lblOffset val="100"/>
      </c:catAx>
      <c:valAx>
        <c:axId val="15023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3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0251776"/>
        <c:axId val="151802240"/>
      </c:lineChart>
      <c:catAx>
        <c:axId val="15025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02240"/>
        <c:crosses val="autoZero"/>
        <c:auto val="1"/>
        <c:lblAlgn val="ctr"/>
        <c:lblOffset val="100"/>
      </c:catAx>
      <c:valAx>
        <c:axId val="151802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51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986944"/>
        <c:axId val="151988864"/>
      </c:lineChart>
      <c:catAx>
        <c:axId val="151986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88864"/>
        <c:crosses val="autoZero"/>
        <c:auto val="1"/>
        <c:lblAlgn val="ctr"/>
        <c:lblOffset val="100"/>
      </c:catAx>
      <c:valAx>
        <c:axId val="151988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86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013824"/>
        <c:axId val="152019712"/>
      </c:lineChart>
      <c:catAx>
        <c:axId val="15201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19712"/>
        <c:crosses val="autoZero"/>
        <c:auto val="1"/>
        <c:lblAlgn val="ctr"/>
        <c:lblOffset val="100"/>
      </c:catAx>
      <c:valAx>
        <c:axId val="15201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1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036864"/>
        <c:axId val="152038400"/>
      </c:lineChart>
      <c:catAx>
        <c:axId val="1520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38400"/>
        <c:crosses val="autoZero"/>
        <c:auto val="1"/>
        <c:lblAlgn val="ctr"/>
        <c:lblOffset val="100"/>
      </c:catAx>
      <c:valAx>
        <c:axId val="15203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439424"/>
        <c:axId val="152445312"/>
      </c:lineChart>
      <c:catAx>
        <c:axId val="15243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5312"/>
        <c:crosses val="autoZero"/>
        <c:auto val="1"/>
        <c:lblAlgn val="ctr"/>
        <c:lblOffset val="100"/>
      </c:catAx>
      <c:valAx>
        <c:axId val="15244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3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94"/>
          <c:y val="7.471324705111409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129728"/>
        <c:axId val="1531312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3141248"/>
        <c:axId val="153142784"/>
      </c:lineChart>
      <c:catAx>
        <c:axId val="1531297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31264"/>
        <c:crosses val="autoZero"/>
        <c:lblAlgn val="ctr"/>
        <c:lblOffset val="100"/>
        <c:tickMarkSkip val="1"/>
      </c:catAx>
      <c:valAx>
        <c:axId val="153131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9728"/>
        <c:crosses val="autoZero"/>
        <c:crossBetween val="between"/>
      </c:valAx>
      <c:catAx>
        <c:axId val="153141248"/>
        <c:scaling>
          <c:orientation val="minMax"/>
        </c:scaling>
        <c:delete val="1"/>
        <c:axPos val="b"/>
        <c:numFmt formatCode="[$-409]d\-mmm\-yy;@" sourceLinked="1"/>
        <c:tickLblPos val="none"/>
        <c:crossAx val="153142784"/>
        <c:crosses val="autoZero"/>
        <c:lblAlgn val="ctr"/>
        <c:lblOffset val="100"/>
      </c:catAx>
      <c:valAx>
        <c:axId val="1531427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1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638976"/>
        <c:axId val="152640512"/>
      </c:lineChart>
      <c:catAx>
        <c:axId val="15263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40512"/>
        <c:crosses val="autoZero"/>
        <c:auto val="1"/>
        <c:lblAlgn val="ctr"/>
        <c:lblOffset val="100"/>
      </c:catAx>
      <c:valAx>
        <c:axId val="1526405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677376"/>
        <c:axId val="152691456"/>
      </c:lineChart>
      <c:catAx>
        <c:axId val="15267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91456"/>
        <c:crosses val="autoZero"/>
        <c:auto val="1"/>
        <c:lblAlgn val="ctr"/>
        <c:lblOffset val="100"/>
      </c:catAx>
      <c:valAx>
        <c:axId val="1526914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7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651648"/>
        <c:axId val="1546575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659072"/>
        <c:axId val="155058176"/>
      </c:lineChart>
      <c:catAx>
        <c:axId val="1546516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7536"/>
        <c:crosses val="autoZero"/>
        <c:lblAlgn val="ctr"/>
        <c:lblOffset val="100"/>
        <c:tickMarkSkip val="1"/>
      </c:catAx>
      <c:valAx>
        <c:axId val="15465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1648"/>
        <c:crosses val="autoZero"/>
        <c:crossBetween val="between"/>
      </c:valAx>
      <c:catAx>
        <c:axId val="154659072"/>
        <c:scaling>
          <c:orientation val="minMax"/>
        </c:scaling>
        <c:delete val="1"/>
        <c:axPos val="b"/>
        <c:numFmt formatCode="General" sourceLinked="1"/>
        <c:tickLblPos val="none"/>
        <c:crossAx val="155058176"/>
        <c:crosses val="autoZero"/>
        <c:lblAlgn val="ctr"/>
        <c:lblOffset val="100"/>
      </c:catAx>
      <c:valAx>
        <c:axId val="155058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9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099136"/>
        <c:axId val="155100672"/>
      </c:lineChart>
      <c:catAx>
        <c:axId val="1550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0672"/>
        <c:crosses val="autoZero"/>
        <c:auto val="1"/>
        <c:lblAlgn val="ctr"/>
        <c:lblOffset val="100"/>
      </c:catAx>
      <c:valAx>
        <c:axId val="15510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469312"/>
        <c:axId val="155470848"/>
      </c:lineChart>
      <c:catAx>
        <c:axId val="15546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70848"/>
        <c:crosses val="autoZero"/>
        <c:auto val="1"/>
        <c:lblAlgn val="ctr"/>
        <c:lblOffset val="100"/>
      </c:catAx>
      <c:valAx>
        <c:axId val="15547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6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562240"/>
        <c:axId val="1215637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3351424"/>
        <c:axId val="123352960"/>
      </c:lineChart>
      <c:catAx>
        <c:axId val="1215622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3776"/>
        <c:crosses val="autoZero"/>
        <c:lblAlgn val="ctr"/>
        <c:lblOffset val="100"/>
        <c:tickMarkSkip val="1"/>
      </c:catAx>
      <c:valAx>
        <c:axId val="1215637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62240"/>
        <c:crosses val="autoZero"/>
        <c:crossBetween val="between"/>
      </c:valAx>
      <c:catAx>
        <c:axId val="123351424"/>
        <c:scaling>
          <c:orientation val="minMax"/>
        </c:scaling>
        <c:delete val="1"/>
        <c:axPos val="b"/>
        <c:numFmt formatCode="[$-409]d\-mmm\-yy;@" sourceLinked="1"/>
        <c:tickLblPos val="none"/>
        <c:crossAx val="123352960"/>
        <c:crosses val="autoZero"/>
        <c:lblAlgn val="ctr"/>
        <c:lblOffset val="100"/>
      </c:catAx>
      <c:valAx>
        <c:axId val="1233529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51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3386880"/>
        <c:axId val="123388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3390208"/>
        <c:axId val="123392000"/>
      </c:lineChart>
      <c:catAx>
        <c:axId val="123386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88672"/>
        <c:crosses val="autoZero"/>
        <c:lblAlgn val="ctr"/>
        <c:lblOffset val="100"/>
        <c:tickMarkSkip val="1"/>
      </c:catAx>
      <c:valAx>
        <c:axId val="12338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86880"/>
        <c:crosses val="autoZero"/>
        <c:crossBetween val="between"/>
      </c:valAx>
      <c:catAx>
        <c:axId val="123390208"/>
        <c:scaling>
          <c:orientation val="minMax"/>
        </c:scaling>
        <c:delete val="1"/>
        <c:axPos val="b"/>
        <c:numFmt formatCode="General" sourceLinked="1"/>
        <c:tickLblPos val="none"/>
        <c:crossAx val="123392000"/>
        <c:crosses val="autoZero"/>
        <c:lblAlgn val="ctr"/>
        <c:lblOffset val="100"/>
      </c:catAx>
      <c:valAx>
        <c:axId val="123392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90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969216"/>
        <c:axId val="1569832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984832"/>
        <c:axId val="156986368"/>
      </c:lineChart>
      <c:catAx>
        <c:axId val="1569692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3296"/>
        <c:crosses val="autoZero"/>
        <c:lblAlgn val="ctr"/>
        <c:lblOffset val="100"/>
        <c:tickMarkSkip val="1"/>
      </c:catAx>
      <c:valAx>
        <c:axId val="156983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69216"/>
        <c:crosses val="autoZero"/>
        <c:crossBetween val="between"/>
      </c:valAx>
      <c:catAx>
        <c:axId val="156984832"/>
        <c:scaling>
          <c:orientation val="minMax"/>
        </c:scaling>
        <c:delete val="1"/>
        <c:axPos val="b"/>
        <c:numFmt formatCode="[$-409]d\-mmm\-yy;@" sourceLinked="1"/>
        <c:tickLblPos val="none"/>
        <c:crossAx val="156986368"/>
        <c:crosses val="autoZero"/>
        <c:lblAlgn val="ctr"/>
        <c:lblOffset val="100"/>
      </c:catAx>
      <c:valAx>
        <c:axId val="1569863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4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282496"/>
        <c:axId val="1582840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285824"/>
        <c:axId val="158287360"/>
      </c:lineChart>
      <c:catAx>
        <c:axId val="1582824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4032"/>
        <c:crosses val="autoZero"/>
        <c:lblAlgn val="ctr"/>
        <c:lblOffset val="100"/>
        <c:tickMarkSkip val="1"/>
      </c:catAx>
      <c:valAx>
        <c:axId val="1582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2496"/>
        <c:crosses val="autoZero"/>
        <c:crossBetween val="between"/>
      </c:valAx>
      <c:catAx>
        <c:axId val="158285824"/>
        <c:scaling>
          <c:orientation val="minMax"/>
        </c:scaling>
        <c:delete val="1"/>
        <c:axPos val="b"/>
        <c:numFmt formatCode="General" sourceLinked="1"/>
        <c:tickLblPos val="none"/>
        <c:crossAx val="158287360"/>
        <c:crosses val="autoZero"/>
        <c:lblAlgn val="ctr"/>
        <c:lblOffset val="100"/>
      </c:catAx>
      <c:valAx>
        <c:axId val="1582873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5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586752"/>
        <c:axId val="158212096"/>
      </c:lineChart>
      <c:catAx>
        <c:axId val="158586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12096"/>
        <c:crosses val="autoZero"/>
        <c:auto val="1"/>
        <c:lblAlgn val="ctr"/>
        <c:lblOffset val="100"/>
      </c:catAx>
      <c:valAx>
        <c:axId val="1582120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8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253440"/>
        <c:axId val="158255360"/>
      </c:lineChart>
      <c:catAx>
        <c:axId val="158253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5360"/>
        <c:crosses val="autoZero"/>
        <c:auto val="1"/>
        <c:lblAlgn val="ctr"/>
        <c:lblOffset val="100"/>
      </c:catAx>
      <c:valAx>
        <c:axId val="158255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3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734976"/>
        <c:axId val="158740864"/>
      </c:lineChart>
      <c:catAx>
        <c:axId val="15873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40864"/>
        <c:crosses val="autoZero"/>
        <c:auto val="1"/>
        <c:lblAlgn val="ctr"/>
        <c:lblOffset val="200"/>
        <c:tickLblSkip val="1"/>
      </c:catAx>
      <c:valAx>
        <c:axId val="158740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777728"/>
        <c:axId val="158779264"/>
      </c:lineChart>
      <c:catAx>
        <c:axId val="15877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79264"/>
        <c:crosses val="autoZero"/>
        <c:auto val="1"/>
        <c:lblAlgn val="ctr"/>
        <c:lblOffset val="100"/>
      </c:catAx>
      <c:valAx>
        <c:axId val="158779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7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-320178.71600000001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340416"/>
        <c:axId val="159341952"/>
      </c:lineChart>
      <c:catAx>
        <c:axId val="15934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1952"/>
        <c:crosses val="autoZero"/>
        <c:auto val="1"/>
        <c:lblAlgn val="ctr"/>
        <c:lblOffset val="100"/>
      </c:catAx>
      <c:valAx>
        <c:axId val="159341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304512"/>
        <c:axId val="160323072"/>
      </c:lineChart>
      <c:catAx>
        <c:axId val="16030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3072"/>
        <c:crosses val="autoZero"/>
        <c:auto val="1"/>
        <c:lblAlgn val="ctr"/>
        <c:lblOffset val="100"/>
      </c:catAx>
      <c:valAx>
        <c:axId val="160323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4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343936"/>
        <c:axId val="160243712"/>
      </c:lineChart>
      <c:catAx>
        <c:axId val="160343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3712"/>
        <c:crosses val="autoZero"/>
        <c:auto val="1"/>
        <c:lblAlgn val="ctr"/>
        <c:lblOffset val="100"/>
      </c:catAx>
      <c:valAx>
        <c:axId val="160243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39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268672"/>
        <c:axId val="160270208"/>
      </c:lineChart>
      <c:catAx>
        <c:axId val="1602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0208"/>
        <c:crosses val="autoZero"/>
        <c:auto val="1"/>
        <c:lblAlgn val="ctr"/>
        <c:lblOffset val="200"/>
        <c:tickLblSkip val="1"/>
      </c:catAx>
      <c:valAx>
        <c:axId val="160270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101696"/>
        <c:axId val="161103232"/>
      </c:lineChart>
      <c:catAx>
        <c:axId val="1611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3232"/>
        <c:crosses val="autoZero"/>
        <c:auto val="1"/>
        <c:lblAlgn val="ctr"/>
        <c:lblOffset val="100"/>
      </c:catAx>
      <c:valAx>
        <c:axId val="161103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-320178.71600000001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308608"/>
        <c:axId val="161133696"/>
      </c:lineChart>
      <c:catAx>
        <c:axId val="16030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33696"/>
        <c:crosses val="autoZero"/>
        <c:auto val="1"/>
        <c:lblAlgn val="ctr"/>
        <c:lblOffset val="100"/>
      </c:catAx>
      <c:valAx>
        <c:axId val="161133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560256"/>
        <c:axId val="160562176"/>
      </c:lineChart>
      <c:catAx>
        <c:axId val="160560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2176"/>
        <c:crosses val="autoZero"/>
        <c:auto val="1"/>
        <c:lblAlgn val="ctr"/>
        <c:lblOffset val="100"/>
      </c:catAx>
      <c:valAx>
        <c:axId val="160562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0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016640"/>
        <c:axId val="162035200"/>
      </c:lineChart>
      <c:catAx>
        <c:axId val="162016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5200"/>
        <c:crosses val="autoZero"/>
        <c:auto val="1"/>
        <c:lblAlgn val="ctr"/>
        <c:lblOffset val="100"/>
      </c:catAx>
      <c:valAx>
        <c:axId val="1620352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068352"/>
        <c:axId val="162069888"/>
      </c:lineChart>
      <c:catAx>
        <c:axId val="16206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9888"/>
        <c:crosses val="autoZero"/>
        <c:auto val="1"/>
        <c:lblAlgn val="ctr"/>
        <c:lblOffset val="200"/>
        <c:tickLblSkip val="1"/>
      </c:catAx>
      <c:valAx>
        <c:axId val="162069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241920"/>
        <c:axId val="162243712"/>
      </c:lineChart>
      <c:catAx>
        <c:axId val="16224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3712"/>
        <c:crosses val="autoZero"/>
        <c:auto val="1"/>
        <c:lblAlgn val="ctr"/>
        <c:lblOffset val="100"/>
      </c:catAx>
      <c:valAx>
        <c:axId val="16224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2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530432"/>
        <c:axId val="162531968"/>
      </c:lineChart>
      <c:catAx>
        <c:axId val="16253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1968"/>
        <c:crosses val="autoZero"/>
        <c:auto val="1"/>
        <c:lblAlgn val="ctr"/>
        <c:lblOffset val="100"/>
      </c:catAx>
      <c:valAx>
        <c:axId val="16253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581120"/>
        <c:axId val="162927360"/>
      </c:lineChart>
      <c:catAx>
        <c:axId val="162581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27360"/>
        <c:crosses val="autoZero"/>
        <c:auto val="1"/>
        <c:lblAlgn val="ctr"/>
        <c:lblOffset val="100"/>
      </c:catAx>
      <c:valAx>
        <c:axId val="1629273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1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972800"/>
        <c:axId val="162974720"/>
      </c:lineChart>
      <c:catAx>
        <c:axId val="162972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74720"/>
        <c:crosses val="autoZero"/>
        <c:auto val="1"/>
        <c:lblAlgn val="ctr"/>
        <c:lblOffset val="100"/>
      </c:catAx>
      <c:valAx>
        <c:axId val="162974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72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77792"/>
        <c:axId val="162878592"/>
      </c:lineChart>
      <c:catAx>
        <c:axId val="1625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78592"/>
        <c:crosses val="autoZero"/>
        <c:auto val="1"/>
        <c:lblAlgn val="ctr"/>
        <c:lblOffset val="200"/>
        <c:tickLblSkip val="1"/>
      </c:catAx>
      <c:valAx>
        <c:axId val="162878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919552"/>
        <c:axId val="162921088"/>
      </c:lineChart>
      <c:catAx>
        <c:axId val="16291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21088"/>
        <c:crosses val="autoZero"/>
        <c:auto val="1"/>
        <c:lblAlgn val="ctr"/>
        <c:lblOffset val="100"/>
      </c:catAx>
      <c:valAx>
        <c:axId val="16292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1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2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265152"/>
        <c:axId val="163271040"/>
      </c:lineChart>
      <c:catAx>
        <c:axId val="1632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71040"/>
        <c:crosses val="autoZero"/>
        <c:auto val="1"/>
        <c:lblAlgn val="ctr"/>
        <c:lblOffset val="100"/>
      </c:catAx>
      <c:valAx>
        <c:axId val="16327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2673</v>
      </c>
      <c r="F20" s="426">
        <f>('UTILITY REPORT 1'!E21*'UTILITY REPORT 1'!D21)/'UTILITY REPORT 1'!F21</f>
        <v>0.41876169098391319</v>
      </c>
      <c r="G20" s="426" t="str">
        <f>IF('Utility summery'!M24&lt;0,"0",'Utility summery'!M24)</f>
        <v>0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2">
        <v>0</v>
      </c>
      <c r="I21" s="426" t="str">
        <f>IF('UTILITY REPORT 1'!G22&lt;0,"0",'UTILITY REPORT 1'!G22)</f>
        <v>0</v>
      </c>
      <c r="J21" s="432">
        <v>0</v>
      </c>
      <c r="K21" s="425">
        <f>'UTILITY REPORT 1'!C22</f>
        <v>10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10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2673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 t="str">
        <f>IF('Kit report'!F23&lt;0,"0",'Kit report'!F23)</f>
        <v>0</v>
      </c>
      <c r="I21" s="466" t="str">
        <f>IF('Kit report'!X23&lt;0,"0",'Kit report'!X23)</f>
        <v>0</v>
      </c>
      <c r="J21" s="466" t="str">
        <f>IF('Utility summery'!H25&lt;0,"0",'Utility summery'!H25)</f>
        <v>0</v>
      </c>
      <c r="K21" s="467" t="str">
        <f>IF('UTILITY REPORT 1'!H22&lt;0,"0",'UTILITY REPORT 1'!H22)</f>
        <v>0</v>
      </c>
      <c r="L21" s="466" t="str">
        <f>'Water-Meter'!K25</f>
        <v>0</v>
      </c>
      <c r="M21" s="467" t="str">
        <f>'Water-Meter'!H25</f>
        <v>0</v>
      </c>
      <c r="N21" s="467" t="str">
        <f>'Water-Meter'!Q25</f>
        <v>0</v>
      </c>
      <c r="O21" s="466" t="e">
        <f>K21*E21+H21*I21+#REF!*#REF!+J21*L21</f>
        <v>#REF!</v>
      </c>
      <c r="P21" s="472" t="str">
        <f>'Water-Meter'!E25</f>
        <v>0</v>
      </c>
      <c r="Q21" s="243" t="str">
        <f>IF('Water-Meter'!U25&lt;0,"0",'Water-Meter'!U25)</f>
        <v>0</v>
      </c>
      <c r="R21" s="243" t="str">
        <f>IF('Water-Meter'!X25&lt;0,"0",'Water-Meter'!X25)</f>
        <v>0</v>
      </c>
      <c r="S21" s="243" t="str">
        <f>IF('Water-Meter'!AA25&lt;0,"0",'Water-Meter'!AA25)</f>
        <v>0</v>
      </c>
      <c r="T21" s="243" t="str">
        <f>IF('Water-Meter'!AD25&lt;0,"0",'Water-Meter'!AD25)</f>
        <v>0</v>
      </c>
      <c r="U21" s="243" t="str">
        <f>IF('Water-Meter'!AG25&lt;0,"0",'Water-Meter'!AG25)</f>
        <v>0</v>
      </c>
      <c r="V21" s="243" t="str">
        <f>IF('Water-Meter'!AJ25&lt;0,"0",'Water-Meter'!AJ25)</f>
        <v>0</v>
      </c>
      <c r="W21" s="31">
        <f>'Water-Meter'!AN25</f>
        <v>0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8" t="s">
        <v>315</v>
      </c>
      <c r="B1" s="848"/>
      <c r="C1" s="848"/>
      <c r="D1" s="848"/>
      <c r="E1" s="848"/>
      <c r="F1" s="848"/>
      <c r="G1" s="848"/>
      <c r="H1" s="848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2673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0</v>
      </c>
      <c r="F22" s="413">
        <f>Gen!U30</f>
        <v>0</v>
      </c>
      <c r="G22" s="413" t="str">
        <f>'Water-Meter'!E25</f>
        <v>0</v>
      </c>
      <c r="H22" s="413">
        <f>'Utility report '!AC25</f>
        <v>-40270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10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9" t="s">
        <v>135</v>
      </c>
      <c r="E4" s="849"/>
      <c r="F4" s="849"/>
      <c r="G4" s="850" t="s">
        <v>20</v>
      </c>
      <c r="H4" s="850"/>
      <c r="I4" s="850"/>
      <c r="J4" s="851" t="s">
        <v>54</v>
      </c>
      <c r="K4" s="851"/>
      <c r="L4" s="851"/>
      <c r="M4" s="851"/>
      <c r="N4" s="852" t="s">
        <v>143</v>
      </c>
      <c r="O4" s="852"/>
      <c r="P4" s="852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2673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-320178.71600000001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-40270</v>
      </c>
      <c r="H25" s="154">
        <f>'Utility report '!AE25</f>
        <v>-206356</v>
      </c>
      <c r="I25" s="297" t="str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0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0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114</v>
      </c>
      <c r="C39" s="463">
        <f>SUM(C7:C35)</f>
        <v>42901</v>
      </c>
      <c r="D39" s="463">
        <f>SUM(D7:D35)</f>
        <v>18140.159999999996</v>
      </c>
      <c r="E39" s="463">
        <f t="shared" ref="E39:S39" si="3">SUM(E7:E35)</f>
        <v>1025.4100000000001</v>
      </c>
      <c r="F39" s="463">
        <f t="shared" si="3"/>
        <v>19165.57</v>
      </c>
      <c r="G39" s="463">
        <f t="shared" si="3"/>
        <v>-39215</v>
      </c>
      <c r="H39" s="463">
        <f t="shared" si="3"/>
        <v>-205706</v>
      </c>
      <c r="I39" s="463">
        <f t="shared" si="3"/>
        <v>1003</v>
      </c>
      <c r="J39" s="463">
        <f t="shared" si="3"/>
        <v>1348</v>
      </c>
      <c r="K39" s="463">
        <f t="shared" si="3"/>
        <v>1275</v>
      </c>
      <c r="L39" s="463">
        <f t="shared" si="3"/>
        <v>1275</v>
      </c>
      <c r="M39" s="463">
        <f t="shared" si="3"/>
        <v>-319017.42400000006</v>
      </c>
      <c r="N39" s="463">
        <f t="shared" si="3"/>
        <v>25396.223999999998</v>
      </c>
      <c r="O39" s="463">
        <f t="shared" si="3"/>
        <v>1435.5739999999998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K1" activePane="topRight" state="frozen"/>
      <selection pane="topRight" activeCell="AB26" sqref="AB2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60" t="s">
        <v>314</v>
      </c>
      <c r="B1" s="861"/>
      <c r="C1" s="861"/>
      <c r="D1" s="861"/>
      <c r="E1" s="861"/>
      <c r="F1" s="861"/>
      <c r="G1" s="861"/>
      <c r="H1" s="861"/>
      <c r="I1" s="861"/>
      <c r="J1" s="862"/>
      <c r="K1" s="862"/>
      <c r="L1" s="862"/>
      <c r="M1" s="862"/>
      <c r="N1" s="862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3"/>
    </row>
    <row r="2" spans="1:37" ht="61.5" customHeight="1" thickBot="1">
      <c r="A2" s="138" t="s">
        <v>98</v>
      </c>
      <c r="B2" s="864" t="s">
        <v>99</v>
      </c>
      <c r="C2" s="865"/>
      <c r="D2" s="866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3" t="s">
        <v>103</v>
      </c>
      <c r="P2" s="853"/>
      <c r="Q2" s="853"/>
      <c r="R2" s="853"/>
      <c r="S2" s="853"/>
      <c r="T2" s="853"/>
      <c r="U2" s="853"/>
      <c r="V2" s="853"/>
      <c r="W2" s="853"/>
      <c r="X2" s="853"/>
      <c r="Y2" s="853"/>
      <c r="Z2" s="853"/>
      <c r="AA2" s="285" t="s">
        <v>104</v>
      </c>
      <c r="AB2" s="864" t="s">
        <v>164</v>
      </c>
      <c r="AC2" s="866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7">
        <f>SUM(D3/B3)</f>
        <v>1.3262195121951219</v>
      </c>
      <c r="G3" s="868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3" t="s">
        <v>112</v>
      </c>
      <c r="P3" s="853"/>
      <c r="Q3" s="853"/>
      <c r="R3" s="853"/>
      <c r="S3" s="854" t="s">
        <v>113</v>
      </c>
      <c r="T3" s="855"/>
      <c r="U3" s="855"/>
      <c r="V3" s="856"/>
      <c r="W3" s="857" t="s">
        <v>114</v>
      </c>
      <c r="X3" s="858"/>
      <c r="Y3" s="858"/>
      <c r="Z3" s="859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755094.6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1103599.7999999998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8">
        <f>Gen!D22</f>
        <v>42120.06</v>
      </c>
      <c r="I17" s="778">
        <f>Gen!F22</f>
        <v>0</v>
      </c>
      <c r="J17" s="817">
        <f>Gen!T22</f>
        <v>935.25</v>
      </c>
      <c r="K17" s="822">
        <f>Gen!AK22</f>
        <v>71</v>
      </c>
      <c r="L17" s="813">
        <f t="shared" si="17"/>
        <v>1006.25</v>
      </c>
      <c r="M17" s="458">
        <f>'Water-Meter'!K57</f>
        <v>528.49955112729583</v>
      </c>
      <c r="N17" s="773">
        <f>'Water-Meter'!E17</f>
        <v>42</v>
      </c>
      <c r="O17" s="761"/>
      <c r="P17" s="771">
        <v>19032</v>
      </c>
      <c r="Q17" s="783">
        <f>SUM(P18-P16)</f>
        <v>0</v>
      </c>
      <c r="R17" s="435">
        <f t="shared" si="5"/>
        <v>0</v>
      </c>
      <c r="S17" s="755"/>
      <c r="T17" s="756">
        <v>17058</v>
      </c>
      <c r="U17" s="783">
        <f t="shared" si="6"/>
        <v>0</v>
      </c>
      <c r="V17" s="436">
        <f t="shared" ref="V17:V36" si="19">SUM(U17*S17)</f>
        <v>0</v>
      </c>
      <c r="W17" s="755">
        <v>2.2999999999999998</v>
      </c>
      <c r="X17" s="762">
        <v>25254</v>
      </c>
      <c r="Y17" s="783">
        <f t="shared" si="8"/>
        <v>0</v>
      </c>
      <c r="Z17" s="759">
        <f t="shared" si="9"/>
        <v>0</v>
      </c>
      <c r="AA17" s="769">
        <f t="shared" si="10"/>
        <v>0</v>
      </c>
      <c r="AB17" s="766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7">
        <f>'Lpg (2)'!B21*2000/85</f>
        <v>1717.6470588235295</v>
      </c>
      <c r="AG17" s="267">
        <f>'Lpg (2)'!C21*1000/85</f>
        <v>1000</v>
      </c>
      <c r="AH17" s="790">
        <f>'Lpg (2)'!D21*1000/85</f>
        <v>1000</v>
      </c>
      <c r="AI17" s="780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11">
        <f>Gen!B23</f>
        <v>44117</v>
      </c>
      <c r="B18" s="434">
        <f>'Summery Report'!E17</f>
        <v>5</v>
      </c>
      <c r="C18" s="816">
        <f>Gen!C23</f>
        <v>5.1900000000000002E-2</v>
      </c>
      <c r="D18" s="778">
        <f>'Summery Report'!E17</f>
        <v>5</v>
      </c>
      <c r="E18" s="778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8">
        <f>Gen!D23</f>
        <v>41113.81</v>
      </c>
      <c r="I18" s="778">
        <f>Gen!F23</f>
        <v>0</v>
      </c>
      <c r="J18" s="817">
        <f>Gen!T23</f>
        <v>995.96</v>
      </c>
      <c r="K18" s="822">
        <f>Gen!AK23</f>
        <v>71.09</v>
      </c>
      <c r="L18" s="813">
        <f t="shared" si="17"/>
        <v>1067.05</v>
      </c>
      <c r="M18" s="458">
        <f>'Water-Meter'!K58</f>
        <v>517.78614801070182</v>
      </c>
      <c r="N18" s="773">
        <f>'Water-Meter'!E18</f>
        <v>53</v>
      </c>
      <c r="O18" s="761"/>
      <c r="P18" s="771">
        <v>19032</v>
      </c>
      <c r="Q18" s="783"/>
      <c r="R18" s="435">
        <f t="shared" si="5"/>
        <v>0</v>
      </c>
      <c r="S18" s="755"/>
      <c r="T18" s="756">
        <v>17058</v>
      </c>
      <c r="U18" s="783">
        <f t="shared" si="6"/>
        <v>0</v>
      </c>
      <c r="V18" s="436">
        <f t="shared" si="19"/>
        <v>0</v>
      </c>
      <c r="W18" s="755">
        <v>2.2999999999999998</v>
      </c>
      <c r="X18" s="762">
        <v>25254</v>
      </c>
      <c r="Y18" s="783">
        <f t="shared" si="8"/>
        <v>0</v>
      </c>
      <c r="Z18" s="759">
        <f t="shared" si="9"/>
        <v>0</v>
      </c>
      <c r="AA18" s="769">
        <f t="shared" si="10"/>
        <v>0</v>
      </c>
      <c r="AB18" s="766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7">
        <f>'Lpg (2)'!B22*2000/85</f>
        <v>1647.0588235294117</v>
      </c>
      <c r="AG18" s="267">
        <f>'Lpg (2)'!C22*1000/85</f>
        <v>1000</v>
      </c>
      <c r="AH18" s="790">
        <f>'Lpg (2)'!D22*1000/85</f>
        <v>1000</v>
      </c>
      <c r="AI18" s="780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11">
        <f>Gen!B24</f>
        <v>44118</v>
      </c>
      <c r="B19" s="434">
        <f>'Summery Report'!E18</f>
        <v>2</v>
      </c>
      <c r="C19" s="816">
        <f>Gen!C24</f>
        <v>1.2999999999999999E-2</v>
      </c>
      <c r="D19" s="778">
        <f>'Summery Report'!E18</f>
        <v>2</v>
      </c>
      <c r="E19" s="778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8">
        <f>Gen!D24</f>
        <v>40046.759999999995</v>
      </c>
      <c r="I19" s="778">
        <f>Gen!F24</f>
        <v>0</v>
      </c>
      <c r="J19" s="817">
        <f>Gen!T24</f>
        <v>974.17000000000007</v>
      </c>
      <c r="K19" s="822">
        <f>Gen!AK24</f>
        <v>58.87</v>
      </c>
      <c r="L19" s="813">
        <f t="shared" si="17"/>
        <v>1033.04</v>
      </c>
      <c r="M19" s="458">
        <f>'Water-Meter'!K59</f>
        <v>579.4304360893284</v>
      </c>
      <c r="N19" s="773">
        <f>'Water-Meter'!E19</f>
        <v>43</v>
      </c>
      <c r="O19" s="761"/>
      <c r="P19" s="771">
        <v>19032</v>
      </c>
      <c r="Q19" s="783"/>
      <c r="R19" s="435">
        <f t="shared" si="5"/>
        <v>0</v>
      </c>
      <c r="S19" s="755"/>
      <c r="T19" s="756">
        <v>17058</v>
      </c>
      <c r="U19" s="783">
        <f t="shared" si="6"/>
        <v>0</v>
      </c>
      <c r="V19" s="436">
        <f t="shared" si="19"/>
        <v>0</v>
      </c>
      <c r="W19" s="755">
        <v>2.2999999999999998</v>
      </c>
      <c r="X19" s="762">
        <v>25254</v>
      </c>
      <c r="Y19" s="783">
        <f t="shared" si="8"/>
        <v>0</v>
      </c>
      <c r="Z19" s="759">
        <f t="shared" si="9"/>
        <v>0</v>
      </c>
      <c r="AA19" s="769">
        <f t="shared" si="10"/>
        <v>0</v>
      </c>
      <c r="AB19" s="766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7">
        <f>'Lpg (2)'!B23*2000/85</f>
        <v>1623.5294117647059</v>
      </c>
      <c r="AG19" s="267">
        <f>'Lpg (2)'!C23*1000/85</f>
        <v>1000</v>
      </c>
      <c r="AH19" s="790">
        <f>'Lpg (2)'!D23*1000/85</f>
        <v>1000</v>
      </c>
      <c r="AI19" s="780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11">
        <f>Gen!B25</f>
        <v>44119</v>
      </c>
      <c r="B20" s="434">
        <f>'Summery Report'!E19</f>
        <v>5</v>
      </c>
      <c r="C20" s="816">
        <f>Gen!C25</f>
        <v>5.1900000000000002E-2</v>
      </c>
      <c r="D20" s="778">
        <f>'Summery Report'!E19</f>
        <v>5</v>
      </c>
      <c r="E20" s="778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8">
        <f>Gen!D25</f>
        <v>39013.719999999994</v>
      </c>
      <c r="I20" s="778">
        <f>Gen!F25</f>
        <v>0</v>
      </c>
      <c r="J20" s="817">
        <f>Gen!T25</f>
        <v>1042.8800000000001</v>
      </c>
      <c r="K20" s="822">
        <f>Gen!AK25</f>
        <v>0</v>
      </c>
      <c r="L20" s="813">
        <f t="shared" si="17"/>
        <v>1042.8800000000001</v>
      </c>
      <c r="M20" s="458">
        <f>'Water-Meter'!K60</f>
        <v>611.01162357951932</v>
      </c>
      <c r="N20" s="773">
        <f>'Water-Meter'!E20</f>
        <v>48</v>
      </c>
      <c r="O20" s="761"/>
      <c r="P20" s="771">
        <v>19032</v>
      </c>
      <c r="Q20" s="783">
        <f t="shared" si="2"/>
        <v>0</v>
      </c>
      <c r="R20" s="435">
        <f t="shared" si="5"/>
        <v>0</v>
      </c>
      <c r="S20" s="755"/>
      <c r="T20" s="756">
        <v>17058</v>
      </c>
      <c r="U20" s="783">
        <f t="shared" si="6"/>
        <v>0</v>
      </c>
      <c r="V20" s="436">
        <f t="shared" si="19"/>
        <v>0</v>
      </c>
      <c r="W20" s="755">
        <v>2.2999999999999998</v>
      </c>
      <c r="X20" s="762">
        <v>25254</v>
      </c>
      <c r="Y20" s="783">
        <f t="shared" si="8"/>
        <v>0</v>
      </c>
      <c r="Z20" s="759">
        <f t="shared" si="9"/>
        <v>0</v>
      </c>
      <c r="AA20" s="769">
        <f t="shared" si="10"/>
        <v>0</v>
      </c>
      <c r="AB20" s="766">
        <v>40031</v>
      </c>
      <c r="AC20" s="742">
        <f t="shared" si="11"/>
        <v>45</v>
      </c>
      <c r="AD20" s="745">
        <v>206199</v>
      </c>
      <c r="AE20" s="179">
        <f t="shared" si="15"/>
        <v>34</v>
      </c>
      <c r="AF20" s="777">
        <f>'Lpg (2)'!B24*2000/85</f>
        <v>1600</v>
      </c>
      <c r="AG20" s="267">
        <f>'Lpg (2)'!C24*1000/85</f>
        <v>1000</v>
      </c>
      <c r="AH20" s="790">
        <f>'Lpg (2)'!D24*1000/85</f>
        <v>1000</v>
      </c>
      <c r="AI20" s="780">
        <f t="shared" si="18"/>
        <v>5200000</v>
      </c>
      <c r="AJ20" s="437">
        <f t="shared" si="4"/>
        <v>47058.823529411107</v>
      </c>
      <c r="AK20" s="133"/>
    </row>
    <row r="21" spans="1:37" ht="18.75">
      <c r="A21" s="811">
        <f>Gen!B26</f>
        <v>44120</v>
      </c>
      <c r="B21" s="434">
        <f>'Summery Report'!E20</f>
        <v>10</v>
      </c>
      <c r="C21" s="816">
        <f>Gen!C26</f>
        <v>0.1169</v>
      </c>
      <c r="D21" s="778">
        <f>'Summery Report'!E20</f>
        <v>10</v>
      </c>
      <c r="E21" s="778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8">
        <f>Gen!D26</f>
        <v>37970.839999999997</v>
      </c>
      <c r="I21" s="778">
        <f>Gen!F26</f>
        <v>0</v>
      </c>
      <c r="J21" s="817">
        <f>Gen!T26</f>
        <v>1176.97</v>
      </c>
      <c r="K21" s="822">
        <f>Gen!AK26</f>
        <v>102.83999999999999</v>
      </c>
      <c r="L21" s="813">
        <f t="shared" si="17"/>
        <v>1279.81</v>
      </c>
      <c r="M21" s="458">
        <f>'Water-Meter'!K61</f>
        <v>609.10561835758722</v>
      </c>
      <c r="N21" s="773">
        <f>'Water-Meter'!E21</f>
        <v>56</v>
      </c>
      <c r="O21" s="761"/>
      <c r="P21" s="771">
        <v>19032</v>
      </c>
      <c r="Q21" s="783">
        <f t="shared" si="2"/>
        <v>0</v>
      </c>
      <c r="R21" s="435">
        <f t="shared" si="5"/>
        <v>0</v>
      </c>
      <c r="S21" s="755"/>
      <c r="T21" s="756">
        <v>17058</v>
      </c>
      <c r="U21" s="783">
        <f>T22-T20</f>
        <v>59</v>
      </c>
      <c r="V21" s="436">
        <f t="shared" si="19"/>
        <v>0</v>
      </c>
      <c r="W21" s="755">
        <v>2.2999999999999998</v>
      </c>
      <c r="X21" s="762">
        <v>25254</v>
      </c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>
        <v>40091</v>
      </c>
      <c r="AC21" s="742">
        <f t="shared" si="11"/>
        <v>60</v>
      </c>
      <c r="AD21" s="745">
        <v>206242</v>
      </c>
      <c r="AE21" s="179">
        <f t="shared" si="15"/>
        <v>43</v>
      </c>
      <c r="AF21" s="777">
        <f>'Lpg (2)'!B25*2000/85</f>
        <v>1576.4705882352941</v>
      </c>
      <c r="AG21" s="267">
        <f>'Lpg (2)'!C25*1000/85</f>
        <v>1000</v>
      </c>
      <c r="AH21" s="790">
        <f>'Lpg (2)'!D25*1000/85</f>
        <v>1000</v>
      </c>
      <c r="AI21" s="780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11">
        <f>Gen!B27</f>
        <v>44121</v>
      </c>
      <c r="B22" s="434">
        <f>'Summery Report'!E21</f>
        <v>12</v>
      </c>
      <c r="C22" s="816">
        <f>Gen!C27</f>
        <v>0.15790000000000001</v>
      </c>
      <c r="D22" s="778">
        <f>'Summery Report'!E21</f>
        <v>12</v>
      </c>
      <c r="E22" s="778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8">
        <f>Gen!D27</f>
        <v>36691.03</v>
      </c>
      <c r="I22" s="778">
        <f>Gen!F27</f>
        <v>0</v>
      </c>
      <c r="J22" s="817">
        <f>Gen!T27</f>
        <v>997.16000000000008</v>
      </c>
      <c r="K22" s="822">
        <f>Gen!AK27</f>
        <v>163</v>
      </c>
      <c r="L22" s="813">
        <f t="shared" si="17"/>
        <v>1160.1600000000001</v>
      </c>
      <c r="M22" s="458">
        <f>'Water-Meter'!K62</f>
        <v>611.72006005166338</v>
      </c>
      <c r="N22" s="773">
        <f>'Water-Meter'!E22</f>
        <v>71</v>
      </c>
      <c r="O22" s="761"/>
      <c r="P22" s="771">
        <v>19032</v>
      </c>
      <c r="Q22" s="783">
        <f t="shared" si="2"/>
        <v>0</v>
      </c>
      <c r="R22" s="435">
        <f t="shared" si="5"/>
        <v>0</v>
      </c>
      <c r="S22" s="755">
        <v>6.6</v>
      </c>
      <c r="T22" s="756">
        <v>17117</v>
      </c>
      <c r="U22" s="783">
        <f t="shared" ref="U22:U23" si="20">T23-T21</f>
        <v>61</v>
      </c>
      <c r="V22" s="436">
        <f t="shared" si="19"/>
        <v>402.59999999999997</v>
      </c>
      <c r="W22" s="755">
        <v>2.2999999999999998</v>
      </c>
      <c r="X22" s="762">
        <v>25254</v>
      </c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>
        <v>40175</v>
      </c>
      <c r="AC22" s="742">
        <f t="shared" si="11"/>
        <v>84</v>
      </c>
      <c r="AD22" s="745">
        <v>206289</v>
      </c>
      <c r="AE22" s="179">
        <f t="shared" si="15"/>
        <v>47</v>
      </c>
      <c r="AF22" s="777">
        <f>'Lpg (2)'!B26*2000/85</f>
        <v>1529.4117647058824</v>
      </c>
      <c r="AG22" s="267">
        <f>'Lpg (2)'!C26*1000/85</f>
        <v>1000</v>
      </c>
      <c r="AH22" s="790">
        <f>'Lpg (2)'!D26*1000/85</f>
        <v>1000</v>
      </c>
      <c r="AI22" s="780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11">
        <f>Gen!B28</f>
        <v>44122</v>
      </c>
      <c r="B23" s="434">
        <f>'Summery Report'!E22</f>
        <v>12</v>
      </c>
      <c r="C23" s="816">
        <f>Gen!C28</f>
        <v>0.15790000000000001</v>
      </c>
      <c r="D23" s="778">
        <f>'Summery Report'!E22</f>
        <v>12</v>
      </c>
      <c r="E23" s="778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8">
        <f>Gen!D28</f>
        <v>35530.869999999995</v>
      </c>
      <c r="I23" s="778">
        <f>Gen!F28</f>
        <v>0</v>
      </c>
      <c r="J23" s="817">
        <f>Gen!T28</f>
        <v>1208.03</v>
      </c>
      <c r="K23" s="822">
        <f>Gen!AK28</f>
        <v>210.26999999999998</v>
      </c>
      <c r="L23" s="813">
        <f t="shared" si="17"/>
        <v>1418.3</v>
      </c>
      <c r="M23" s="458">
        <f>'Water-Meter'!K63</f>
        <v>544.2797257068147</v>
      </c>
      <c r="N23" s="773">
        <f>'Water-Meter'!E23</f>
        <v>57</v>
      </c>
      <c r="O23" s="761"/>
      <c r="P23" s="771">
        <v>19032</v>
      </c>
      <c r="Q23" s="783">
        <f t="shared" si="2"/>
        <v>0</v>
      </c>
      <c r="R23" s="435">
        <f t="shared" si="5"/>
        <v>0</v>
      </c>
      <c r="S23" s="755">
        <v>6.6</v>
      </c>
      <c r="T23" s="756">
        <v>17119</v>
      </c>
      <c r="U23" s="783">
        <f t="shared" si="20"/>
        <v>4</v>
      </c>
      <c r="V23" s="436">
        <f t="shared" si="19"/>
        <v>26.4</v>
      </c>
      <c r="W23" s="755">
        <v>2.4</v>
      </c>
      <c r="X23" s="762">
        <v>25264</v>
      </c>
      <c r="Y23" s="783">
        <f t="shared" si="8"/>
        <v>10</v>
      </c>
      <c r="Z23" s="759">
        <f t="shared" si="9"/>
        <v>24</v>
      </c>
      <c r="AA23" s="769">
        <f t="shared" si="10"/>
        <v>0</v>
      </c>
      <c r="AB23" s="766">
        <v>40219</v>
      </c>
      <c r="AC23" s="742">
        <f t="shared" si="11"/>
        <v>44</v>
      </c>
      <c r="AD23" s="746">
        <v>206337</v>
      </c>
      <c r="AE23" s="179">
        <f t="shared" si="15"/>
        <v>48</v>
      </c>
      <c r="AF23" s="777">
        <f>'Lpg (2)'!B27*2000/85</f>
        <v>1482.3529411764705</v>
      </c>
      <c r="AG23" s="267">
        <f>'Lpg (2)'!C27*1000/85</f>
        <v>1000</v>
      </c>
      <c r="AH23" s="790">
        <f>'Lpg (2)'!D27*1000/85</f>
        <v>1000</v>
      </c>
      <c r="AI23" s="780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11">
        <f>Gen!B29</f>
        <v>44123</v>
      </c>
      <c r="B24" s="434">
        <f>'Summery Report'!E23</f>
        <v>12</v>
      </c>
      <c r="C24" s="816">
        <f>Gen!C29</f>
        <v>0.12989999999999999</v>
      </c>
      <c r="D24" s="778">
        <f>'Summery Report'!E23</f>
        <v>12</v>
      </c>
      <c r="E24" s="778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8">
        <f>Gen!D29</f>
        <v>34112.569999999992</v>
      </c>
      <c r="I24" s="778">
        <f>Gen!F29</f>
        <v>0</v>
      </c>
      <c r="J24" s="817">
        <f>Gen!T29</f>
        <v>1119.3499999999999</v>
      </c>
      <c r="K24" s="822">
        <f>Gen!AK29</f>
        <v>66.3</v>
      </c>
      <c r="L24" s="813">
        <f t="shared" si="17"/>
        <v>1185.6499999999999</v>
      </c>
      <c r="M24" s="458">
        <f>'Water-Meter'!K64</f>
        <v>509.6764132208159</v>
      </c>
      <c r="N24" s="773">
        <f>'Water-Meter'!E24</f>
        <v>58</v>
      </c>
      <c r="O24" s="761"/>
      <c r="P24" s="771">
        <v>19032</v>
      </c>
      <c r="Q24" s="783">
        <f t="shared" si="2"/>
        <v>0</v>
      </c>
      <c r="R24" s="435">
        <f t="shared" si="5"/>
        <v>0</v>
      </c>
      <c r="S24" s="755">
        <v>6.6</v>
      </c>
      <c r="T24" s="756">
        <v>17121</v>
      </c>
      <c r="U24" s="783">
        <f t="shared" si="6"/>
        <v>2</v>
      </c>
      <c r="V24" s="436">
        <f t="shared" si="19"/>
        <v>13.2</v>
      </c>
      <c r="W24" s="755">
        <v>2.4</v>
      </c>
      <c r="X24" s="762">
        <v>25288</v>
      </c>
      <c r="Y24" s="783">
        <f t="shared" si="8"/>
        <v>24</v>
      </c>
      <c r="Z24" s="759">
        <f t="shared" si="9"/>
        <v>57.599999999999994</v>
      </c>
      <c r="AA24" s="769">
        <f t="shared" si="10"/>
        <v>0</v>
      </c>
      <c r="AB24" s="766">
        <v>40270</v>
      </c>
      <c r="AC24" s="742">
        <f t="shared" si="11"/>
        <v>51</v>
      </c>
      <c r="AD24" s="746">
        <v>206356</v>
      </c>
      <c r="AE24" s="179">
        <f t="shared" si="15"/>
        <v>19</v>
      </c>
      <c r="AF24" s="777">
        <f>'Lpg (2)'!B28*2000/85</f>
        <v>1411.7647058823529</v>
      </c>
      <c r="AG24" s="267">
        <f>'Lpg (2)'!C28*1000/85</f>
        <v>1000</v>
      </c>
      <c r="AH24" s="790">
        <f>'Lpg (2)'!D28*1000/85</f>
        <v>1000</v>
      </c>
      <c r="AI24" s="780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11">
        <f>Gen!B30</f>
        <v>44124</v>
      </c>
      <c r="B25" s="434">
        <f>'Summery Report'!E24</f>
        <v>10</v>
      </c>
      <c r="C25" s="816">
        <f>Gen!C30</f>
        <v>0.1169</v>
      </c>
      <c r="D25" s="778">
        <f>'Summery Report'!E24</f>
        <v>10</v>
      </c>
      <c r="E25" s="778">
        <f t="shared" si="13"/>
        <v>1.3262195121951219</v>
      </c>
      <c r="F25" s="447">
        <f t="shared" si="14"/>
        <v>0</v>
      </c>
      <c r="G25" s="447">
        <f t="shared" si="0"/>
        <v>0</v>
      </c>
      <c r="H25" s="778">
        <f>Gen!D30</f>
        <v>32926.919999999991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487.90259577201755</v>
      </c>
      <c r="N25" s="773" t="str">
        <f>'Water-Meter'!E25</f>
        <v>0</v>
      </c>
      <c r="O25" s="761"/>
      <c r="P25" s="771"/>
      <c r="Q25" s="783">
        <f t="shared" si="2"/>
        <v>-19032</v>
      </c>
      <c r="R25" s="435">
        <f t="shared" si="5"/>
        <v>0</v>
      </c>
      <c r="S25" s="755"/>
      <c r="T25" s="756"/>
      <c r="U25" s="783">
        <f t="shared" si="6"/>
        <v>-17121</v>
      </c>
      <c r="V25" s="436">
        <f t="shared" si="19"/>
        <v>0</v>
      </c>
      <c r="W25" s="755"/>
      <c r="X25" s="762"/>
      <c r="Y25" s="783">
        <f t="shared" si="8"/>
        <v>-25288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-40270</v>
      </c>
      <c r="AD25" s="746"/>
      <c r="AE25" s="179">
        <f t="shared" si="15"/>
        <v>-206356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4823529.4117647056</v>
      </c>
      <c r="AK25" s="133"/>
    </row>
    <row r="26" spans="1:37" ht="18.75">
      <c r="A26" s="811">
        <f>Gen!B31</f>
        <v>44125</v>
      </c>
      <c r="B26" s="434">
        <f>'Summery Report'!E25</f>
        <v>10</v>
      </c>
      <c r="C26" s="816">
        <f>Gen!C31</f>
        <v>0</v>
      </c>
      <c r="D26" s="778">
        <f>'Summery Report'!E25</f>
        <v>10</v>
      </c>
      <c r="E26" s="778">
        <f t="shared" si="13"/>
        <v>1.3262195121951219</v>
      </c>
      <c r="F26" s="447">
        <f>SUM(J26*E26)/D26</f>
        <v>0</v>
      </c>
      <c r="G26" s="447">
        <f t="shared" si="0"/>
        <v>0</v>
      </c>
      <c r="H26" s="778">
        <f>Gen!D31</f>
        <v>32926.919999999991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32926.919999999991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32926.919999999991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32926.919999999991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32926.919999999991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32926.919999999991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32926.919999999991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32926.919999999991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32926.919999999991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32926.919999999991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32926.919999999991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19051.199999999997</v>
      </c>
      <c r="K37" s="828"/>
      <c r="L37" s="814">
        <f t="shared" si="17"/>
        <v>19051.199999999997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abSelected="1" zoomScale="70" zoomScaleNormal="70" workbookViewId="0">
      <selection activeCell="W26" sqref="W2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9" t="s">
        <v>150</v>
      </c>
      <c r="C1" s="870"/>
      <c r="D1" s="870"/>
      <c r="E1" s="870"/>
      <c r="F1" s="871"/>
      <c r="G1" s="158"/>
      <c r="H1" s="869" t="s">
        <v>151</v>
      </c>
      <c r="I1" s="870"/>
      <c r="J1" s="870"/>
      <c r="K1" s="870"/>
      <c r="L1" s="871"/>
      <c r="M1" s="869" t="s">
        <v>170</v>
      </c>
      <c r="N1" s="870"/>
      <c r="O1" s="870"/>
      <c r="P1" s="870"/>
      <c r="Q1" s="871"/>
      <c r="R1" s="158"/>
      <c r="T1" s="869" t="s">
        <v>166</v>
      </c>
      <c r="U1" s="870"/>
      <c r="V1" s="870"/>
      <c r="W1" s="870"/>
      <c r="X1" s="871"/>
      <c r="Y1" s="869" t="s">
        <v>169</v>
      </c>
      <c r="Z1" s="870"/>
      <c r="AA1" s="870"/>
      <c r="AB1" s="870"/>
      <c r="AC1" s="871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2" t="s">
        <v>156</v>
      </c>
      <c r="C3" s="873"/>
      <c r="D3" s="167"/>
      <c r="E3" s="669">
        <v>8844.6</v>
      </c>
      <c r="F3" s="607" t="s">
        <v>157</v>
      </c>
      <c r="G3" s="608"/>
      <c r="H3" s="872" t="s">
        <v>156</v>
      </c>
      <c r="I3" s="873"/>
      <c r="J3" s="635">
        <f>'Water-Meter'!G5</f>
        <v>38000</v>
      </c>
      <c r="K3" s="609">
        <f>'Water-Meter'!G5</f>
        <v>38000</v>
      </c>
      <c r="L3" s="242"/>
      <c r="M3" s="872" t="s">
        <v>156</v>
      </c>
      <c r="N3" s="873"/>
      <c r="O3" s="167">
        <f>'Water-Meter'!J5</f>
        <v>8050</v>
      </c>
      <c r="P3" s="610">
        <f>'Water-Meter'!J5</f>
        <v>8050</v>
      </c>
      <c r="Q3" s="166"/>
      <c r="R3" s="242"/>
      <c r="S3" s="670"/>
      <c r="T3" s="872" t="s">
        <v>156</v>
      </c>
      <c r="U3" s="873"/>
      <c r="V3" s="167"/>
      <c r="W3" s="671">
        <v>7829.2</v>
      </c>
      <c r="X3" s="611">
        <f t="shared" ref="X3:X35" si="0">(W3-V3)*200</f>
        <v>1565840</v>
      </c>
      <c r="Y3" s="872" t="s">
        <v>156</v>
      </c>
      <c r="Z3" s="873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50">
        <f t="shared" si="6"/>
        <v>44123</v>
      </c>
      <c r="I22" s="599"/>
      <c r="J22" s="651">
        <f>'Water-Meter'!G24</f>
        <v>38000</v>
      </c>
      <c r="K22" s="652">
        <f>'Water-Meter'!G24</f>
        <v>38000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3">
        <f t="shared" si="14"/>
        <v>-4.9969040247678018</v>
      </c>
      <c r="S22" s="654">
        <f>Gen!T29</f>
        <v>1119.3499999999999</v>
      </c>
      <c r="T22" s="650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50">
        <f t="shared" si="10"/>
        <v>44123</v>
      </c>
      <c r="Z22" s="599"/>
      <c r="AA22" s="599"/>
      <c r="AB22" s="603">
        <f>'Water-Meter'!P24</f>
        <v>20362</v>
      </c>
      <c r="AC22" s="662">
        <f t="shared" si="11"/>
        <v>-20360</v>
      </c>
    </row>
    <row r="23" spans="1:29" ht="18.75">
      <c r="A23" s="673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/>
      <c r="F23" s="604">
        <f t="shared" ref="F23:F34" si="15">SUM(E23-D23)*120</f>
        <v>-1065552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-8071</v>
      </c>
      <c r="R23" s="653">
        <f t="shared" si="14"/>
        <v>-4.9975232198142416</v>
      </c>
      <c r="S23" s="654">
        <f>Gen!T30</f>
        <v>0</v>
      </c>
      <c r="T23" s="650">
        <f t="shared" si="9"/>
        <v>44124</v>
      </c>
      <c r="U23" s="602"/>
      <c r="V23" s="604">
        <f t="shared" si="5"/>
        <v>7836.6</v>
      </c>
      <c r="W23" s="601"/>
      <c r="X23" s="604">
        <f t="shared" si="0"/>
        <v>-1567320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-20362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3" sqref="E3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4" t="s">
        <v>319</v>
      </c>
      <c r="B2" s="875"/>
      <c r="C2" s="875"/>
      <c r="D2" s="875"/>
      <c r="E2" s="876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37970.839999999997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36691.03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35530.869999999995</v>
      </c>
      <c r="K22" s="296">
        <f>'Water-Meter'!E23</f>
        <v>57</v>
      </c>
      <c r="L22" s="685">
        <f>'Lpg (2)'!G27</f>
        <v>92.707999999966717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34112.569999999992</v>
      </c>
      <c r="K23" s="296">
        <f>'Water-Meter'!E24</f>
        <v>58</v>
      </c>
      <c r="L23" s="685">
        <f>'Lpg (2)'!G28</f>
        <v>-320178.71600000001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-154864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0</v>
      </c>
      <c r="I24" s="86">
        <f t="shared" si="1"/>
        <v>1208.03</v>
      </c>
      <c r="J24" s="456">
        <f>Gen!D30</f>
        <v>32926.919999999991</v>
      </c>
      <c r="K24" s="296" t="str">
        <f>'Water-Meter'!E25</f>
        <v>0</v>
      </c>
      <c r="L24" s="685">
        <f>'Lpg (2)'!G29</f>
        <v>0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10</v>
      </c>
      <c r="E25" s="75">
        <v>10</v>
      </c>
      <c r="F25" s="71">
        <f>Gen!U29</f>
        <v>2673</v>
      </c>
      <c r="G25" s="86">
        <f>Gen!T29</f>
        <v>1119.3499999999999</v>
      </c>
      <c r="H25" s="86">
        <f>Gen!AK31</f>
        <v>0</v>
      </c>
      <c r="I25" s="86">
        <f t="shared" si="1"/>
        <v>1119.3499999999999</v>
      </c>
      <c r="J25" s="456">
        <f>Gen!D31</f>
        <v>32926.919999999991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32926.919999999991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32926.919999999991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32926.919999999991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32926.919999999991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32926.919999999991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32926.919999999991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32926.919999999991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32926.919999999991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32926.919999999991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32926.919999999991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32926.919999999991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6" workbookViewId="0">
      <pane xSplit="1" topLeftCell="C1" activePane="topRight" state="frozen"/>
      <selection pane="topRight" activeCell="D31" sqref="D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7">
        <f>A6</f>
        <v>44105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20"/>
    </row>
    <row r="2" spans="1:29" ht="12" customHeight="1" thickBot="1">
      <c r="A2" s="878"/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9" t="s">
        <v>298</v>
      </c>
      <c r="L3" s="880"/>
      <c r="M3" s="881"/>
      <c r="N3" s="879" t="s">
        <v>299</v>
      </c>
      <c r="O3" s="880"/>
      <c r="P3" s="881"/>
      <c r="Q3" s="879" t="s">
        <v>300</v>
      </c>
      <c r="R3" s="880"/>
      <c r="S3" s="881"/>
      <c r="T3" s="879" t="s">
        <v>301</v>
      </c>
      <c r="U3" s="880"/>
      <c r="V3" s="881"/>
      <c r="W3" s="879" t="s">
        <v>302</v>
      </c>
      <c r="X3" s="880"/>
      <c r="Y3" s="881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3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4">
        <f>Gen!T25</f>
        <v>1042.8800000000001</v>
      </c>
    </row>
    <row r="21" spans="1:29" ht="20.100000000000001" customHeight="1">
      <c r="A21" s="717">
        <f>Gen!B26</f>
        <v>44120</v>
      </c>
      <c r="B21" s="711"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3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4">
        <f>Gen!T26</f>
        <v>1176.97</v>
      </c>
    </row>
    <row r="22" spans="1:29" ht="18.75" customHeight="1">
      <c r="A22" s="717">
        <f>Gen!B27</f>
        <v>44121</v>
      </c>
      <c r="B22" s="711">
        <v>0.1578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3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4">
        <f>Gen!T27</f>
        <v>997.16000000000008</v>
      </c>
    </row>
    <row r="23" spans="1:29" ht="20.100000000000001" customHeight="1">
      <c r="A23" s="717">
        <f>Gen!B28</f>
        <v>44122</v>
      </c>
      <c r="B23" s="711">
        <v>0.1578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3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4">
        <f>Gen!T28</f>
        <v>1208.03</v>
      </c>
    </row>
    <row r="24" spans="1:29" ht="20.100000000000001" customHeight="1">
      <c r="A24" s="717">
        <f>Gen!B29</f>
        <v>44123</v>
      </c>
      <c r="B24" s="711"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2">
        <v>20659.099999999999</v>
      </c>
      <c r="K24" s="723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/>
      <c r="AB24" s="126"/>
      <c r="AC24" s="724">
        <f>Gen!T29</f>
        <v>1119.3499999999999</v>
      </c>
    </row>
    <row r="25" spans="1:29" ht="18.75" customHeight="1">
      <c r="A25" s="717">
        <f>Gen!B30</f>
        <v>44124</v>
      </c>
      <c r="B25" s="711"/>
      <c r="C25" s="307">
        <v>11086.72</v>
      </c>
      <c r="D25" s="307">
        <v>21840.2</v>
      </c>
      <c r="E25" s="307"/>
      <c r="F25" s="307"/>
      <c r="G25" s="307"/>
      <c r="H25" s="307"/>
      <c r="I25" s="307"/>
      <c r="J25" s="712"/>
      <c r="K25" s="723">
        <f t="shared" si="0"/>
        <v>35293</v>
      </c>
      <c r="L25" s="307"/>
      <c r="M25" s="306">
        <f t="shared" si="1"/>
        <v>-35293</v>
      </c>
      <c r="N25" s="308">
        <f t="shared" si="2"/>
        <v>30202</v>
      </c>
      <c r="O25" s="307"/>
      <c r="P25" s="306">
        <f t="shared" si="3"/>
        <v>-30202</v>
      </c>
      <c r="Q25" s="306">
        <f t="shared" si="4"/>
        <v>35756</v>
      </c>
      <c r="R25" s="307"/>
      <c r="S25" s="306">
        <f t="shared" si="5"/>
        <v>-35756</v>
      </c>
      <c r="T25" s="306">
        <f t="shared" si="6"/>
        <v>32491</v>
      </c>
      <c r="U25" s="307"/>
      <c r="V25" s="306">
        <f t="shared" si="7"/>
        <v>-32491</v>
      </c>
      <c r="W25" s="308">
        <f t="shared" si="8"/>
        <v>21122</v>
      </c>
      <c r="X25" s="307"/>
      <c r="Y25" s="306">
        <f t="shared" si="9"/>
        <v>-21122</v>
      </c>
      <c r="Z25" s="309">
        <f t="shared" si="10"/>
        <v>-154864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6" zoomScale="110" zoomScaleNormal="110" workbookViewId="0">
      <pane xSplit="2" topLeftCell="C1" activePane="topRight" state="frozen"/>
      <selection pane="topRight" activeCell="C35" sqref="C35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8"/>
      <c r="C1" s="888"/>
    </row>
    <row r="2" spans="2:47" ht="26.25">
      <c r="B2" s="888"/>
      <c r="C2" s="888"/>
      <c r="E2" s="889" t="s">
        <v>320</v>
      </c>
      <c r="F2" s="889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0"/>
      <c r="X2" s="890"/>
      <c r="Y2" s="890"/>
      <c r="Z2" s="890"/>
      <c r="AA2" s="890"/>
      <c r="AB2" s="890"/>
      <c r="AC2" s="890"/>
      <c r="AD2" s="890"/>
      <c r="AE2" s="890"/>
      <c r="AF2" s="890"/>
      <c r="AG2" s="890"/>
      <c r="AH2" s="890"/>
      <c r="AI2" s="890"/>
      <c r="AJ2" s="890"/>
      <c r="AK2" s="890"/>
      <c r="AL2" s="890"/>
      <c r="AM2" s="890"/>
      <c r="AN2" s="890"/>
      <c r="AO2" s="890"/>
      <c r="AP2" s="890"/>
      <c r="AQ2" s="890"/>
      <c r="AR2" s="890"/>
      <c r="AS2" s="890"/>
      <c r="AT2" s="890"/>
      <c r="AU2" s="890"/>
    </row>
    <row r="3" spans="2:47" ht="12.75" customHeight="1">
      <c r="B3" s="888"/>
      <c r="C3" s="888"/>
      <c r="I3" s="906"/>
      <c r="J3" s="906"/>
      <c r="K3" s="906"/>
      <c r="L3" s="182"/>
      <c r="R3" s="182"/>
    </row>
    <row r="4" spans="2:47">
      <c r="B4" s="888"/>
      <c r="C4" s="888"/>
      <c r="I4" s="906"/>
      <c r="J4" s="906"/>
      <c r="K4" s="906"/>
      <c r="L4" s="182"/>
      <c r="R4" s="182"/>
    </row>
    <row r="5" spans="2:47" ht="12" thickBot="1">
      <c r="B5" s="888"/>
      <c r="C5" s="888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8"/>
      <c r="C6" s="888"/>
      <c r="D6" s="187"/>
      <c r="G6" s="897" t="s">
        <v>57</v>
      </c>
      <c r="H6" s="898"/>
      <c r="I6" s="898"/>
      <c r="J6" s="898"/>
      <c r="K6" s="898"/>
      <c r="L6" s="898"/>
      <c r="M6" s="899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1" t="s">
        <v>201</v>
      </c>
      <c r="H7" s="892"/>
      <c r="I7" s="892"/>
      <c r="J7" s="892"/>
      <c r="K7" s="892"/>
      <c r="L7" s="892"/>
      <c r="M7" s="893"/>
      <c r="N7" s="894" t="s">
        <v>40</v>
      </c>
      <c r="O7" s="895"/>
      <c r="P7" s="895"/>
      <c r="Q7" s="895"/>
      <c r="R7" s="895"/>
      <c r="S7" s="896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6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6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5.1900000000000002E-2</v>
      </c>
      <c r="D25" s="733">
        <f t="shared" si="6"/>
        <v>39013.719999999994</v>
      </c>
      <c r="E25" s="737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>
        <v>0.1169</v>
      </c>
      <c r="D26" s="733">
        <f t="shared" si="6"/>
        <v>37970.839999999997</v>
      </c>
      <c r="E26" s="737"/>
      <c r="F26" s="596"/>
      <c r="G26" s="846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37970.839999999997</v>
      </c>
    </row>
    <row r="27" spans="2:47" ht="14.25">
      <c r="B27" s="598">
        <v>44121</v>
      </c>
      <c r="C27" s="592">
        <v>0.15790000000000001</v>
      </c>
      <c r="D27" s="733">
        <f t="shared" si="6"/>
        <v>36691.03</v>
      </c>
      <c r="E27" s="737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36691.03</v>
      </c>
    </row>
    <row r="28" spans="2:47" ht="14.25">
      <c r="B28" s="598">
        <v>44122</v>
      </c>
      <c r="C28" s="592">
        <v>0.15790000000000001</v>
      </c>
      <c r="D28" s="733">
        <f t="shared" si="6"/>
        <v>35530.869999999995</v>
      </c>
      <c r="E28" s="737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35530.869999999995</v>
      </c>
    </row>
    <row r="29" spans="2:47" ht="14.25">
      <c r="B29" s="598">
        <v>44123</v>
      </c>
      <c r="C29" s="592">
        <v>0.12989999999999999</v>
      </c>
      <c r="D29" s="733">
        <f t="shared" si="6"/>
        <v>34112.569999999992</v>
      </c>
      <c r="E29" s="737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1457</v>
      </c>
      <c r="S29" s="579"/>
      <c r="T29" s="587">
        <f t="shared" si="0"/>
        <v>1119.3499999999999</v>
      </c>
      <c r="U29" s="219">
        <f t="shared" si="1"/>
        <v>2673</v>
      </c>
      <c r="V29" s="588">
        <f t="shared" si="4"/>
        <v>0.41876169098391319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34112.569999999992</v>
      </c>
    </row>
    <row r="30" spans="2:47" ht="14.25">
      <c r="B30" s="598">
        <v>44124</v>
      </c>
      <c r="C30" s="592">
        <v>0.1169</v>
      </c>
      <c r="D30" s="733">
        <f t="shared" si="6"/>
        <v>32926.919999999991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32926.919999999991</v>
      </c>
    </row>
    <row r="31" spans="2:47" ht="14.25">
      <c r="B31" s="598">
        <v>44125</v>
      </c>
      <c r="C31" s="592"/>
      <c r="D31" s="733">
        <f t="shared" si="6"/>
        <v>32926.919999999991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32926.919999999991</v>
      </c>
    </row>
    <row r="32" spans="2:47" ht="14.25">
      <c r="B32" s="598">
        <v>44126</v>
      </c>
      <c r="C32" s="592"/>
      <c r="D32" s="733">
        <f t="shared" si="6"/>
        <v>32926.919999999991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32926.919999999991</v>
      </c>
    </row>
    <row r="33" spans="2:47" ht="14.25">
      <c r="B33" s="598">
        <v>44127</v>
      </c>
      <c r="C33" s="592"/>
      <c r="D33" s="733">
        <f t="shared" si="6"/>
        <v>32926.919999999991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32926.919999999991</v>
      </c>
    </row>
    <row r="34" spans="2:47" ht="14.25">
      <c r="B34" s="598">
        <v>44128</v>
      </c>
      <c r="C34" s="592"/>
      <c r="D34" s="733">
        <f t="shared" si="6"/>
        <v>32926.919999999991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32926.919999999991</v>
      </c>
    </row>
    <row r="35" spans="2:47" ht="14.25">
      <c r="B35" s="598">
        <v>44129</v>
      </c>
      <c r="C35" s="592"/>
      <c r="D35" s="733">
        <f t="shared" si="6"/>
        <v>32926.919999999991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32926.919999999991</v>
      </c>
    </row>
    <row r="36" spans="2:47" ht="14.25">
      <c r="B36" s="598">
        <v>44130</v>
      </c>
      <c r="C36" s="592"/>
      <c r="D36" s="733">
        <f t="shared" si="6"/>
        <v>32926.919999999991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32926.919999999991</v>
      </c>
    </row>
    <row r="37" spans="2:47" ht="14.25">
      <c r="B37" s="598">
        <v>44131</v>
      </c>
      <c r="C37" s="592"/>
      <c r="D37" s="733">
        <f t="shared" si="6"/>
        <v>32926.919999999991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32926.919999999991</v>
      </c>
    </row>
    <row r="38" spans="2:47" ht="14.25">
      <c r="B38" s="598">
        <v>44132</v>
      </c>
      <c r="C38" s="592"/>
      <c r="D38" s="733">
        <f t="shared" si="6"/>
        <v>32926.919999999991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32926.919999999991</v>
      </c>
    </row>
    <row r="39" spans="2:47" ht="14.25">
      <c r="B39" s="598">
        <v>44133</v>
      </c>
      <c r="C39" s="592"/>
      <c r="D39" s="733">
        <f t="shared" si="6"/>
        <v>32926.919999999991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32926.919999999991</v>
      </c>
    </row>
    <row r="40" spans="2:47" ht="14.25">
      <c r="B40" s="598">
        <v>44134</v>
      </c>
      <c r="C40" s="592"/>
      <c r="D40" s="733">
        <f t="shared" si="6"/>
        <v>32926.919999999991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32926.919999999991</v>
      </c>
    </row>
    <row r="41" spans="2:47" ht="14.25">
      <c r="B41" s="598">
        <v>44135</v>
      </c>
      <c r="C41" s="592"/>
      <c r="D41" s="733">
        <f t="shared" si="6"/>
        <v>32926.919999999991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32926.919999999991</v>
      </c>
    </row>
    <row r="42" spans="2:47" ht="14.25">
      <c r="B42" s="598">
        <v>44136</v>
      </c>
      <c r="C42" s="593"/>
      <c r="D42" s="733">
        <f t="shared" si="6"/>
        <v>32926.919999999991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32926.919999999991</v>
      </c>
    </row>
    <row r="43" spans="2:47" ht="14.25">
      <c r="B43" s="507" t="s">
        <v>25</v>
      </c>
      <c r="C43" s="479">
        <f>AVERAGE(C11:C42)</f>
        <v>6.0945000000000006E-2</v>
      </c>
      <c r="D43" s="732">
        <f t="shared" si="6"/>
        <v>32926.919999999991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32926.919999999991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4544.2899999999991</v>
      </c>
      <c r="I45" s="310">
        <f t="shared" si="8"/>
        <v>1701.27</v>
      </c>
      <c r="J45" s="315">
        <f t="shared" si="8"/>
        <v>0</v>
      </c>
      <c r="K45" s="310">
        <f t="shared" si="8"/>
        <v>3691.96</v>
      </c>
      <c r="L45" s="315">
        <f t="shared" si="8"/>
        <v>4587.7</v>
      </c>
      <c r="M45" s="310">
        <f t="shared" si="8"/>
        <v>4525.9799999999996</v>
      </c>
      <c r="N45" s="315">
        <f t="shared" si="8"/>
        <v>10641</v>
      </c>
      <c r="O45" s="567">
        <f t="shared" si="8"/>
        <v>2615</v>
      </c>
      <c r="P45" s="315">
        <f t="shared" si="8"/>
        <v>0</v>
      </c>
      <c r="Q45" s="310">
        <f>SUM(Q11:Q43)</f>
        <v>9969</v>
      </c>
      <c r="R45" s="315">
        <f>SUM(R11:R44)</f>
        <v>10884</v>
      </c>
      <c r="S45" s="310">
        <f>SUM(S11:S44)</f>
        <v>11006</v>
      </c>
      <c r="T45" s="564">
        <f t="shared" si="0"/>
        <v>19051.2</v>
      </c>
      <c r="U45" s="310">
        <f>SUM(N45:S45)</f>
        <v>45115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89.65</v>
      </c>
      <c r="Y45" s="559">
        <f t="shared" si="9"/>
        <v>81.490000000000009</v>
      </c>
      <c r="Z45" s="235">
        <f t="shared" si="9"/>
        <v>71.09</v>
      </c>
      <c r="AA45" s="559">
        <f t="shared" si="9"/>
        <v>304.18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459</v>
      </c>
      <c r="AJ45" s="235">
        <f>SUM(AJ9:AJ39)</f>
        <v>20</v>
      </c>
      <c r="AK45" s="559">
        <f>SUM(AK9:AK44)</f>
        <v>1025.4100000000001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20076.61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44103528</v>
      </c>
      <c r="V47" s="320" t="s">
        <v>244</v>
      </c>
      <c r="AS47" s="534">
        <f>AS45*2143</f>
        <v>43024175.230000004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19267.596330275228</v>
      </c>
      <c r="V48" s="320" t="s">
        <v>245</v>
      </c>
      <c r="X48" s="192"/>
      <c r="Y48" s="192"/>
      <c r="Z48" s="192"/>
      <c r="AA48" s="192"/>
      <c r="AB48" s="192"/>
      <c r="AS48" s="319">
        <f>AS47/2289</f>
        <v>18796.057330712105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2" t="s">
        <v>241</v>
      </c>
      <c r="D50" s="883"/>
      <c r="E50" s="883"/>
      <c r="F50" s="883"/>
      <c r="G50" s="884"/>
      <c r="H50" s="538"/>
      <c r="I50" s="885" t="s">
        <v>213</v>
      </c>
      <c r="J50" s="886"/>
      <c r="K50" s="886"/>
      <c r="L50" s="886"/>
      <c r="M50" s="887"/>
      <c r="N50" s="538"/>
      <c r="O50" s="900" t="s">
        <v>309</v>
      </c>
      <c r="P50" s="901"/>
      <c r="Q50" s="901"/>
      <c r="R50" s="901"/>
      <c r="S50" s="902"/>
      <c r="U50" s="903" t="s">
        <v>226</v>
      </c>
      <c r="V50" s="904"/>
      <c r="W50" s="904"/>
      <c r="X50" s="904"/>
      <c r="Y50" s="904"/>
      <c r="Z50" s="905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44122</v>
      </c>
      <c r="D54" s="304" t="s">
        <v>327</v>
      </c>
      <c r="E54" s="389">
        <v>134</v>
      </c>
      <c r="F54" s="304" t="s">
        <v>328</v>
      </c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31" zoomScale="70" zoomScaleNormal="70" workbookViewId="0">
      <selection activeCell="F31" sqref="F3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8"/>
      <c r="D6" s="909"/>
      <c r="E6" s="910"/>
      <c r="F6" s="910"/>
      <c r="G6" s="49" t="s">
        <v>4</v>
      </c>
      <c r="H6" s="47" t="s">
        <v>14</v>
      </c>
      <c r="I6" s="42"/>
      <c r="J6" s="114"/>
    </row>
    <row r="7" spans="1:15" ht="18" customHeight="1">
      <c r="A7" s="911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2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/>
      <c r="G28" s="269">
        <f t="shared" si="0"/>
        <v>-320178.71600000001</v>
      </c>
      <c r="H28" s="112">
        <f>Gen!C29</f>
        <v>0.12989999999999999</v>
      </c>
      <c r="I28" s="6">
        <f t="shared" si="2"/>
        <v>0</v>
      </c>
      <c r="J28" s="117" t="e">
        <f t="shared" si="1"/>
        <v>#DIV/0!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0.1169</v>
      </c>
      <c r="I29" s="6">
        <f t="shared" ref="I29:I41" si="3">SUM(F29/H29)</f>
        <v>0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7" t="s">
        <v>6</v>
      </c>
      <c r="D42" s="907"/>
      <c r="E42" s="2">
        <f t="shared" ref="E42:F42" si="4">SUM(E10:E40)</f>
        <v>0</v>
      </c>
      <c r="F42" s="2">
        <f t="shared" si="4"/>
        <v>1307282.75</v>
      </c>
      <c r="G42" s="102">
        <f>SUM(G10:G40)</f>
        <v>-318961.5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S1" activePane="topRight" state="frozen"/>
      <selection pane="topRight" activeCell="AI26" sqref="AI2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7" t="s">
        <v>316</v>
      </c>
      <c r="B1" s="918"/>
      <c r="C1" s="918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918"/>
      <c r="P1" s="918"/>
      <c r="Q1" s="918"/>
      <c r="R1" s="918"/>
      <c r="S1" s="918"/>
      <c r="T1" s="918"/>
      <c r="U1" s="918"/>
      <c r="V1" s="918"/>
      <c r="W1" s="918"/>
      <c r="X1" s="918"/>
      <c r="Y1" s="918"/>
      <c r="Z1" s="918"/>
      <c r="AA1" s="918"/>
      <c r="AB1" s="918"/>
      <c r="AC1" s="918"/>
      <c r="AD1" s="918"/>
      <c r="AE1" s="918"/>
      <c r="AF1" s="918"/>
      <c r="AG1" s="918"/>
      <c r="AH1" s="918"/>
      <c r="AI1" s="918"/>
      <c r="AJ1" s="918"/>
      <c r="AK1" s="918"/>
      <c r="AL1" s="918"/>
      <c r="AM1" s="918"/>
      <c r="AN1" s="918"/>
    </row>
    <row r="2" spans="1:40" ht="13.5" customHeight="1" thickTop="1">
      <c r="A2" s="30"/>
      <c r="B2" s="30"/>
      <c r="C2" s="914" t="s">
        <v>52</v>
      </c>
      <c r="D2" s="914"/>
      <c r="E2" s="914"/>
      <c r="F2" s="914" t="s">
        <v>17</v>
      </c>
      <c r="G2" s="914"/>
      <c r="H2" s="914"/>
      <c r="I2" s="914" t="s">
        <v>131</v>
      </c>
      <c r="J2" s="914"/>
      <c r="K2" s="914"/>
      <c r="L2" s="914" t="s">
        <v>134</v>
      </c>
      <c r="M2" s="914"/>
      <c r="N2" s="914"/>
      <c r="O2" s="914" t="s">
        <v>132</v>
      </c>
      <c r="P2" s="914"/>
      <c r="Q2" s="914"/>
      <c r="R2" s="253"/>
      <c r="S2" s="925" t="s">
        <v>181</v>
      </c>
      <c r="T2" s="926"/>
      <c r="U2" s="927"/>
      <c r="V2" s="925" t="s">
        <v>182</v>
      </c>
      <c r="W2" s="926"/>
      <c r="X2" s="927"/>
      <c r="Y2" s="925" t="s">
        <v>183</v>
      </c>
      <c r="Z2" s="926"/>
      <c r="AA2" s="927"/>
      <c r="AB2" s="925" t="s">
        <v>184</v>
      </c>
      <c r="AC2" s="926"/>
      <c r="AD2" s="927"/>
      <c r="AE2" s="919" t="s">
        <v>239</v>
      </c>
      <c r="AF2" s="920"/>
      <c r="AG2" s="931"/>
      <c r="AH2" s="919" t="s">
        <v>243</v>
      </c>
      <c r="AI2" s="920"/>
      <c r="AJ2" s="931"/>
      <c r="AK2" s="919" t="s">
        <v>240</v>
      </c>
      <c r="AL2" s="920"/>
      <c r="AM2" s="920"/>
      <c r="AN2" s="923" t="s">
        <v>189</v>
      </c>
    </row>
    <row r="3" spans="1:40" ht="21.75" customHeight="1" thickBot="1">
      <c r="A3" s="915" t="s">
        <v>7</v>
      </c>
      <c r="B3" s="30"/>
      <c r="C3" s="914" t="s">
        <v>133</v>
      </c>
      <c r="D3" s="914" t="s">
        <v>15</v>
      </c>
      <c r="E3" s="914" t="s">
        <v>16</v>
      </c>
      <c r="F3" s="914" t="s">
        <v>133</v>
      </c>
      <c r="G3" s="914" t="s">
        <v>15</v>
      </c>
      <c r="H3" s="914" t="s">
        <v>16</v>
      </c>
      <c r="I3" s="914" t="s">
        <v>133</v>
      </c>
      <c r="J3" s="914" t="s">
        <v>15</v>
      </c>
      <c r="K3" s="914" t="s">
        <v>16</v>
      </c>
      <c r="L3" s="914" t="s">
        <v>133</v>
      </c>
      <c r="M3" s="914" t="s">
        <v>15</v>
      </c>
      <c r="N3" s="914" t="s">
        <v>16</v>
      </c>
      <c r="O3" s="914" t="s">
        <v>133</v>
      </c>
      <c r="P3" s="914" t="s">
        <v>15</v>
      </c>
      <c r="Q3" s="914" t="s">
        <v>16</v>
      </c>
      <c r="R3" s="933" t="s">
        <v>185</v>
      </c>
      <c r="S3" s="928"/>
      <c r="T3" s="929"/>
      <c r="U3" s="930"/>
      <c r="V3" s="928"/>
      <c r="W3" s="929"/>
      <c r="X3" s="930"/>
      <c r="Y3" s="928"/>
      <c r="Z3" s="929"/>
      <c r="AA3" s="930"/>
      <c r="AB3" s="928"/>
      <c r="AC3" s="929"/>
      <c r="AD3" s="930"/>
      <c r="AE3" s="921"/>
      <c r="AF3" s="922"/>
      <c r="AG3" s="932"/>
      <c r="AH3" s="921"/>
      <c r="AI3" s="922"/>
      <c r="AJ3" s="932"/>
      <c r="AK3" s="921"/>
      <c r="AL3" s="922"/>
      <c r="AM3" s="922"/>
      <c r="AN3" s="924"/>
    </row>
    <row r="4" spans="1:40" ht="15.75" thickTop="1">
      <c r="A4" s="916"/>
      <c r="B4" s="245"/>
      <c r="C4" s="914"/>
      <c r="D4" s="914"/>
      <c r="E4" s="914"/>
      <c r="F4" s="914"/>
      <c r="G4" s="914"/>
      <c r="H4" s="914"/>
      <c r="I4" s="914"/>
      <c r="J4" s="914"/>
      <c r="K4" s="914"/>
      <c r="L4" s="914"/>
      <c r="M4" s="914"/>
      <c r="N4" s="914"/>
      <c r="O4" s="914"/>
      <c r="P4" s="914"/>
      <c r="Q4" s="914"/>
      <c r="R4" s="933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/>
      <c r="E25" s="484" t="str">
        <f t="shared" si="28"/>
        <v>0</v>
      </c>
      <c r="F25" s="96">
        <f t="shared" si="2"/>
        <v>38000</v>
      </c>
      <c r="G25" s="394"/>
      <c r="H25" s="484" t="str">
        <f>IF((G26-G24)&lt;0,"0",(G26-G24))</f>
        <v>0</v>
      </c>
      <c r="I25" s="96">
        <f t="shared" ref="I25:I37" si="31">J24</f>
        <v>8071</v>
      </c>
      <c r="J25" s="1"/>
      <c r="K25" s="484" t="str">
        <f t="shared" si="26"/>
        <v>0</v>
      </c>
      <c r="L25" s="96">
        <f t="shared" ref="L25:L37" si="32">M24</f>
        <v>12907</v>
      </c>
      <c r="M25" s="1"/>
      <c r="N25" s="484" t="str">
        <f t="shared" ref="N25:N37" si="33">IF((M25-M24)&lt;0,"0",(M25-M24))</f>
        <v>0</v>
      </c>
      <c r="O25" s="96">
        <f t="shared" si="6"/>
        <v>20362</v>
      </c>
      <c r="P25" s="390"/>
      <c r="Q25" s="484" t="str">
        <f t="shared" si="7"/>
        <v>0</v>
      </c>
      <c r="R25" s="251"/>
      <c r="S25" s="246">
        <f t="shared" ref="S25:S37" si="34">T24</f>
        <v>60264</v>
      </c>
      <c r="T25" s="391"/>
      <c r="U25" s="485" t="str">
        <f t="shared" ref="U25:U37" si="35">IF((T25-T24)&lt;0,"0",(T25-T24))</f>
        <v>0</v>
      </c>
      <c r="V25" s="246">
        <f t="shared" si="30"/>
        <v>73031</v>
      </c>
      <c r="W25" s="391"/>
      <c r="X25" s="485" t="str">
        <f t="shared" si="17"/>
        <v>0</v>
      </c>
      <c r="Y25" s="246">
        <f t="shared" si="9"/>
        <v>84753</v>
      </c>
      <c r="Z25" s="391"/>
      <c r="AA25" s="485" t="str">
        <f t="shared" si="18"/>
        <v>0</v>
      </c>
      <c r="AB25" s="630">
        <f t="shared" si="22"/>
        <v>16018</v>
      </c>
      <c r="AC25" s="631"/>
      <c r="AD25" s="633" t="str">
        <f t="shared" si="23"/>
        <v>0</v>
      </c>
      <c r="AE25" s="246">
        <f t="shared" si="10"/>
        <v>18300</v>
      </c>
      <c r="AF25" s="392"/>
      <c r="AG25" s="485" t="str">
        <f t="shared" si="19"/>
        <v>0</v>
      </c>
      <c r="AH25" s="246">
        <f t="shared" si="11"/>
        <v>26358</v>
      </c>
      <c r="AI25" s="392"/>
      <c r="AJ25" s="485" t="str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677</v>
      </c>
    </row>
    <row r="38" spans="1:41" ht="18.75">
      <c r="A38" s="58"/>
      <c r="B38" s="22"/>
      <c r="C38" s="913" t="s">
        <v>6</v>
      </c>
      <c r="D38" s="913"/>
      <c r="E38" s="23">
        <f>SUM(E6:E36)</f>
        <v>1039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21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1039</v>
      </c>
      <c r="S38" s="248"/>
      <c r="T38" s="248"/>
      <c r="U38" s="258">
        <f>SUM(U6:U37)</f>
        <v>677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677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9"/>
      <c r="B42" s="278"/>
      <c r="C42" s="936" t="s">
        <v>222</v>
      </c>
      <c r="D42" s="937"/>
      <c r="E42" s="937"/>
      <c r="F42" s="937"/>
      <c r="G42" s="937"/>
      <c r="H42" s="937"/>
      <c r="I42" s="937"/>
      <c r="J42" s="937"/>
      <c r="K42" s="938"/>
      <c r="R42" s="20"/>
    </row>
    <row r="43" spans="1:41" ht="24.75" customHeight="1">
      <c r="A43" s="940"/>
      <c r="B43" s="20"/>
      <c r="C43" s="942" t="s">
        <v>216</v>
      </c>
      <c r="D43" s="943"/>
      <c r="E43" s="944" t="s">
        <v>237</v>
      </c>
      <c r="F43" s="945"/>
      <c r="G43" s="946" t="s">
        <v>217</v>
      </c>
      <c r="H43" s="947"/>
      <c r="I43" s="946" t="s">
        <v>238</v>
      </c>
      <c r="J43" s="947"/>
      <c r="K43" s="934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40"/>
      <c r="B44" s="20"/>
      <c r="C44" s="948" t="s">
        <v>218</v>
      </c>
      <c r="D44" s="949"/>
      <c r="E44" s="948" t="s">
        <v>219</v>
      </c>
      <c r="F44" s="949"/>
      <c r="G44" s="948" t="s">
        <v>220</v>
      </c>
      <c r="H44" s="949"/>
      <c r="I44" s="948" t="s">
        <v>221</v>
      </c>
      <c r="J44" s="949"/>
      <c r="K44" s="935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41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8"/>
        <v>191.68333333333334</v>
      </c>
      <c r="E59" s="6">
        <v>230</v>
      </c>
      <c r="F59" s="328">
        <f t="shared" si="49"/>
        <v>69.377049180327873</v>
      </c>
      <c r="G59" s="487">
        <v>300</v>
      </c>
      <c r="H59" s="328">
        <f t="shared" si="50"/>
        <v>114.36031331592689</v>
      </c>
      <c r="I59" s="6">
        <v>295</v>
      </c>
      <c r="J59" s="328">
        <f t="shared" si="51"/>
        <v>204.00974025974025</v>
      </c>
      <c r="K59" s="334">
        <f t="shared" si="52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8"/>
        <v>217</v>
      </c>
      <c r="E60" s="6">
        <v>295</v>
      </c>
      <c r="F60" s="328">
        <f t="shared" si="49"/>
        <v>88.983606557377044</v>
      </c>
      <c r="G60" s="487">
        <v>265</v>
      </c>
      <c r="H60" s="328">
        <f t="shared" si="50"/>
        <v>101.0182767624021</v>
      </c>
      <c r="I60" s="6">
        <v>295</v>
      </c>
      <c r="J60" s="328">
        <f t="shared" si="51"/>
        <v>204.00974025974025</v>
      </c>
      <c r="K60" s="334">
        <f t="shared" si="52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8"/>
        <v>217</v>
      </c>
      <c r="E61" s="6">
        <v>295</v>
      </c>
      <c r="F61" s="328">
        <f t="shared" si="49"/>
        <v>88.983606557377044</v>
      </c>
      <c r="G61" s="487">
        <v>260</v>
      </c>
      <c r="H61" s="328">
        <f t="shared" si="50"/>
        <v>99.112271540469976</v>
      </c>
      <c r="I61" s="6">
        <v>295</v>
      </c>
      <c r="J61" s="328">
        <f t="shared" si="51"/>
        <v>204.00974025974025</v>
      </c>
      <c r="K61" s="334">
        <f t="shared" si="52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8"/>
        <v>217</v>
      </c>
      <c r="E62" s="6">
        <v>295</v>
      </c>
      <c r="F62" s="328">
        <f t="shared" si="49"/>
        <v>88.983606557377044</v>
      </c>
      <c r="G62" s="487">
        <v>285</v>
      </c>
      <c r="H62" s="328">
        <f t="shared" si="50"/>
        <v>108.64229765013054</v>
      </c>
      <c r="I62" s="6">
        <v>285</v>
      </c>
      <c r="J62" s="328">
        <f t="shared" si="51"/>
        <v>197.09415584415584</v>
      </c>
      <c r="K62" s="334">
        <f t="shared" si="52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8"/>
        <v>167.09</v>
      </c>
      <c r="E63" s="6">
        <v>195</v>
      </c>
      <c r="F63" s="328">
        <f t="shared" si="49"/>
        <v>58.819672131147541</v>
      </c>
      <c r="G63" s="487">
        <v>300</v>
      </c>
      <c r="H63" s="328">
        <f t="shared" si="50"/>
        <v>114.36031331592689</v>
      </c>
      <c r="I63" s="6">
        <v>295</v>
      </c>
      <c r="J63" s="328">
        <f t="shared" si="51"/>
        <v>204.00974025974025</v>
      </c>
      <c r="K63" s="334">
        <f t="shared" si="52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8"/>
        <v>156.24</v>
      </c>
      <c r="E64" s="6">
        <v>180</v>
      </c>
      <c r="F64" s="328">
        <f t="shared" si="49"/>
        <v>54.295081967213115</v>
      </c>
      <c r="G64" s="487">
        <v>255</v>
      </c>
      <c r="H64" s="328">
        <f t="shared" si="50"/>
        <v>97.206266318537857</v>
      </c>
      <c r="I64" s="6">
        <v>292</v>
      </c>
      <c r="J64" s="328">
        <f t="shared" si="51"/>
        <v>201.93506493506493</v>
      </c>
      <c r="K64" s="334">
        <f t="shared" si="52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8"/>
        <v>133.81666666666666</v>
      </c>
      <c r="E65" s="6">
        <v>150</v>
      </c>
      <c r="F65" s="328">
        <f t="shared" si="49"/>
        <v>45.245901639344261</v>
      </c>
      <c r="G65" s="487">
        <v>275</v>
      </c>
      <c r="H65" s="328">
        <f t="shared" si="50"/>
        <v>104.83028720626632</v>
      </c>
      <c r="I65" s="6">
        <v>295</v>
      </c>
      <c r="J65" s="328">
        <f t="shared" si="51"/>
        <v>204.00974025974025</v>
      </c>
      <c r="K65" s="334">
        <f t="shared" si="52"/>
        <v>487.90259577201755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4" t="s">
        <v>317</v>
      </c>
      <c r="B2" s="875"/>
      <c r="C2" s="875"/>
      <c r="D2" s="875"/>
      <c r="E2" s="876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2673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-320178.71600000001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-396787.1335277778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 t="str">
        <f>'Water-Meter'!E25</f>
        <v>0</v>
      </c>
      <c r="L24" s="457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1039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0" t="s">
        <v>180</v>
      </c>
      <c r="B1" s="951"/>
      <c r="C1" s="951"/>
      <c r="D1" s="951"/>
      <c r="E1" s="951"/>
      <c r="F1" s="951"/>
      <c r="G1" s="952"/>
    </row>
    <row r="2" spans="1:7" ht="13.5" thickBot="1">
      <c r="A2" s="302"/>
      <c r="B2" s="953" t="s">
        <v>175</v>
      </c>
      <c r="C2" s="954"/>
      <c r="D2" s="955"/>
      <c r="E2" s="953" t="s">
        <v>176</v>
      </c>
      <c r="F2" s="954"/>
      <c r="G2" s="955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E39" sqref="E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0" t="s">
        <v>230</v>
      </c>
      <c r="B1" s="951"/>
      <c r="C1" s="951"/>
      <c r="D1" s="951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7">
        <v>8470098</v>
      </c>
      <c r="D36" s="399">
        <f t="shared" si="1"/>
        <v>15727</v>
      </c>
      <c r="E36" s="847">
        <v>15726.66</v>
      </c>
      <c r="F36" s="498">
        <f t="shared" si="2"/>
        <v>0.34000000000014552</v>
      </c>
      <c r="G36" s="499">
        <f t="shared" si="3"/>
        <v>270861</v>
      </c>
      <c r="H36" s="847">
        <v>271447</v>
      </c>
      <c r="I36" s="270">
        <f t="shared" si="4"/>
        <v>586</v>
      </c>
      <c r="J36" s="847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6"/>
      <c r="C76" s="957"/>
      <c r="D76" s="957"/>
      <c r="E76" s="958"/>
      <c r="H76" s="956"/>
      <c r="I76" s="957"/>
      <c r="J76" s="957"/>
      <c r="K76" s="957"/>
      <c r="L76" s="958"/>
    </row>
    <row r="77" spans="1:12">
      <c r="B77" s="959"/>
      <c r="C77" s="960"/>
      <c r="D77" s="960"/>
      <c r="E77" s="961"/>
      <c r="H77" s="959"/>
      <c r="I77" s="960"/>
      <c r="J77" s="960"/>
      <c r="K77" s="960"/>
      <c r="L77" s="961"/>
    </row>
    <row r="78" spans="1:12">
      <c r="B78" s="959"/>
      <c r="C78" s="960"/>
      <c r="D78" s="960"/>
      <c r="E78" s="961"/>
      <c r="H78" s="959"/>
      <c r="I78" s="960"/>
      <c r="J78" s="960"/>
      <c r="K78" s="960"/>
      <c r="L78" s="961"/>
    </row>
    <row r="79" spans="1:12">
      <c r="B79" s="959"/>
      <c r="C79" s="960"/>
      <c r="D79" s="960"/>
      <c r="E79" s="961"/>
      <c r="H79" s="959"/>
      <c r="I79" s="960"/>
      <c r="J79" s="960"/>
      <c r="K79" s="960"/>
      <c r="L79" s="961"/>
    </row>
    <row r="80" spans="1:12">
      <c r="B80" s="959"/>
      <c r="C80" s="960"/>
      <c r="D80" s="960"/>
      <c r="E80" s="961"/>
      <c r="H80" s="959"/>
      <c r="I80" s="960"/>
      <c r="J80" s="960"/>
      <c r="K80" s="960"/>
      <c r="L80" s="961"/>
    </row>
    <row r="81" spans="2:12">
      <c r="B81" s="959"/>
      <c r="C81" s="960"/>
      <c r="D81" s="960"/>
      <c r="E81" s="961"/>
      <c r="H81" s="959"/>
      <c r="I81" s="960"/>
      <c r="J81" s="960"/>
      <c r="K81" s="960"/>
      <c r="L81" s="961"/>
    </row>
    <row r="82" spans="2:12">
      <c r="B82" s="959"/>
      <c r="C82" s="960"/>
      <c r="D82" s="960"/>
      <c r="E82" s="961"/>
      <c r="H82" s="959"/>
      <c r="I82" s="960"/>
      <c r="J82" s="960"/>
      <c r="K82" s="960"/>
      <c r="L82" s="961"/>
    </row>
    <row r="83" spans="2:12">
      <c r="B83" s="959"/>
      <c r="C83" s="960"/>
      <c r="D83" s="960"/>
      <c r="E83" s="961"/>
      <c r="H83" s="959"/>
      <c r="I83" s="960"/>
      <c r="J83" s="960"/>
      <c r="K83" s="960"/>
      <c r="L83" s="961"/>
    </row>
    <row r="84" spans="2:12">
      <c r="B84" s="959"/>
      <c r="C84" s="960"/>
      <c r="D84" s="960"/>
      <c r="E84" s="961"/>
      <c r="H84" s="959"/>
      <c r="I84" s="960"/>
      <c r="J84" s="960"/>
      <c r="K84" s="960"/>
      <c r="L84" s="961"/>
    </row>
    <row r="85" spans="2:12">
      <c r="B85" s="959"/>
      <c r="C85" s="960"/>
      <c r="D85" s="960"/>
      <c r="E85" s="961"/>
      <c r="H85" s="959"/>
      <c r="I85" s="960"/>
      <c r="J85" s="960"/>
      <c r="K85" s="960"/>
      <c r="L85" s="961"/>
    </row>
    <row r="86" spans="2:12">
      <c r="B86" s="959"/>
      <c r="C86" s="960"/>
      <c r="D86" s="960"/>
      <c r="E86" s="961"/>
      <c r="H86" s="959"/>
      <c r="I86" s="960"/>
      <c r="J86" s="960"/>
      <c r="K86" s="960"/>
      <c r="L86" s="961"/>
    </row>
    <row r="87" spans="2:12">
      <c r="B87" s="959"/>
      <c r="C87" s="960"/>
      <c r="D87" s="960"/>
      <c r="E87" s="961"/>
      <c r="H87" s="959"/>
      <c r="I87" s="960"/>
      <c r="J87" s="960"/>
      <c r="K87" s="960"/>
      <c r="L87" s="961"/>
    </row>
    <row r="88" spans="2:12">
      <c r="B88" s="959"/>
      <c r="C88" s="960"/>
      <c r="D88" s="960"/>
      <c r="E88" s="961"/>
      <c r="H88" s="959"/>
      <c r="I88" s="960"/>
      <c r="J88" s="960"/>
      <c r="K88" s="960"/>
      <c r="L88" s="961"/>
    </row>
    <row r="89" spans="2:12">
      <c r="B89" s="959"/>
      <c r="C89" s="960"/>
      <c r="D89" s="960"/>
      <c r="E89" s="961"/>
      <c r="H89" s="959"/>
      <c r="I89" s="960"/>
      <c r="J89" s="960"/>
      <c r="K89" s="960"/>
      <c r="L89" s="961"/>
    </row>
    <row r="90" spans="2:12" ht="13.5" thickBot="1">
      <c r="B90" s="962"/>
      <c r="C90" s="963"/>
      <c r="D90" s="963"/>
      <c r="E90" s="964"/>
      <c r="H90" s="962"/>
      <c r="I90" s="963"/>
      <c r="J90" s="963"/>
      <c r="K90" s="963"/>
      <c r="L90" s="964"/>
    </row>
    <row r="91" spans="2:12">
      <c r="B91" s="965" t="s">
        <v>312</v>
      </c>
      <c r="C91" s="966"/>
      <c r="D91" s="966"/>
      <c r="E91" s="967"/>
      <c r="H91" s="965" t="s">
        <v>313</v>
      </c>
      <c r="I91" s="966"/>
      <c r="J91" s="966"/>
      <c r="K91" s="966"/>
      <c r="L91" s="967"/>
    </row>
    <row r="92" spans="2:12">
      <c r="B92" s="968"/>
      <c r="C92" s="969"/>
      <c r="D92" s="969"/>
      <c r="E92" s="970"/>
      <c r="H92" s="968"/>
      <c r="I92" s="969"/>
      <c r="J92" s="969"/>
      <c r="K92" s="969"/>
      <c r="L92" s="970"/>
    </row>
    <row r="93" spans="2:12" ht="13.5" thickBot="1">
      <c r="B93" s="971"/>
      <c r="C93" s="972"/>
      <c r="D93" s="972"/>
      <c r="E93" s="973"/>
      <c r="H93" s="971"/>
      <c r="I93" s="972"/>
      <c r="J93" s="972"/>
      <c r="K93" s="972"/>
      <c r="L93" s="97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27" sqref="N2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4" t="s">
        <v>254</v>
      </c>
      <c r="B1" s="974"/>
      <c r="C1" s="974"/>
      <c r="D1" s="974"/>
      <c r="E1" s="974"/>
      <c r="F1" s="974"/>
      <c r="G1" s="974"/>
      <c r="H1" s="974"/>
      <c r="I1" s="974"/>
      <c r="J1" s="974"/>
    </row>
    <row r="2" spans="1:10" ht="19.5" thickBot="1">
      <c r="A2" s="983">
        <f>A5</f>
        <v>44105</v>
      </c>
      <c r="B2" s="984"/>
      <c r="C2" s="984"/>
      <c r="D2" s="984"/>
      <c r="E2" s="984"/>
      <c r="F2" s="984"/>
      <c r="G2" s="984"/>
      <c r="H2" s="984"/>
      <c r="I2" s="984"/>
      <c r="J2" s="984"/>
    </row>
    <row r="3" spans="1:10" ht="15.75" thickBot="1">
      <c r="A3" s="975" t="s">
        <v>7</v>
      </c>
      <c r="B3" s="977" t="s">
        <v>255</v>
      </c>
      <c r="C3" s="449"/>
      <c r="D3" s="979" t="s">
        <v>256</v>
      </c>
      <c r="E3" s="980"/>
      <c r="F3" s="981" t="s">
        <v>257</v>
      </c>
      <c r="G3" s="982"/>
      <c r="H3" s="980"/>
      <c r="I3" s="981" t="s">
        <v>258</v>
      </c>
      <c r="J3" s="980"/>
    </row>
    <row r="4" spans="1:10" ht="30.75" thickBot="1">
      <c r="A4" s="976"/>
      <c r="B4" s="978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39013.719999999994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37970.839999999997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36691.03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35530.869999999995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34112.569999999992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0</v>
      </c>
      <c r="D24" s="454">
        <f>Gen!T30</f>
        <v>0</v>
      </c>
      <c r="E24" s="402">
        <f>Gen!D30</f>
        <v>32926.919999999991</v>
      </c>
      <c r="F24" s="403" t="str">
        <f>'Water-Meter'!E25</f>
        <v>0</v>
      </c>
      <c r="G24" s="404">
        <f>'Water-Meter'!AN25</f>
        <v>0</v>
      </c>
      <c r="H24" s="402">
        <f>'Utility report '!AC25</f>
        <v>-40270</v>
      </c>
      <c r="I24" s="401">
        <f>'Kit report'!F23</f>
        <v>-1065552</v>
      </c>
      <c r="J24" s="402">
        <f>'Kit report'!X23</f>
        <v>-1567320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32926.919999999991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32926.919999999991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32926.919999999991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32926.919999999991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32926.919999999991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32926.919999999991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32926.919999999991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32926.919999999991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32926.919999999991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32926.919999999991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32926.919999999991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32926.919999999991</v>
      </c>
      <c r="F36" s="403">
        <f>'Water-Meter'!E37</f>
        <v>0</v>
      </c>
      <c r="G36" s="404">
        <f>'Water-Meter'!AN37</f>
        <v>677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2020-10-20T04:14:08Z</dcterms:modified>
</cp:coreProperties>
</file>