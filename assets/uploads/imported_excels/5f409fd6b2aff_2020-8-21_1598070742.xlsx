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8 - 2020" sheetId="1" r:id="rId3"/>
  </sheets>
  <definedNames>
    <definedName name="_xlnm.Print_Area" localSheetId="2">'08 - 2020'!$A$1:$J$36</definedName>
  </definedNames>
  <calcPr calcId="162913"/>
</workbook>
</file>

<file path=xl/calcChain.xml><?xml version="1.0" encoding="utf-8"?>
<calcChain xmlns="http://schemas.openxmlformats.org/spreadsheetml/2006/main">
  <c r="L23" i="3" l="1"/>
  <c r="K23" i="3"/>
  <c r="I23" i="3"/>
  <c r="G23" i="3"/>
  <c r="E23" i="3"/>
  <c r="L22" i="3"/>
  <c r="K22" i="3"/>
  <c r="I22" i="3"/>
  <c r="G22" i="3"/>
  <c r="E22" i="3"/>
  <c r="J23" i="2"/>
  <c r="I23" i="2"/>
  <c r="H23" i="2"/>
  <c r="F23" i="2"/>
  <c r="E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2" i="2"/>
  <c r="I12" i="2"/>
  <c r="H12" i="2"/>
  <c r="F12" i="2"/>
  <c r="E12" i="2"/>
  <c r="L8" i="3" l="1"/>
  <c r="K8" i="3"/>
  <c r="I8" i="3"/>
  <c r="G8" i="3"/>
  <c r="E8" i="3"/>
  <c r="J8" i="2"/>
  <c r="I8" i="2"/>
  <c r="H8" i="2"/>
  <c r="F8" i="2"/>
  <c r="E8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2" i="3" l="1"/>
  <c r="K2" i="3"/>
  <c r="I2" i="3"/>
  <c r="G2" i="3"/>
  <c r="E2" i="3"/>
  <c r="J2" i="2"/>
  <c r="I2" i="2"/>
  <c r="H2" i="2"/>
  <c r="F2" i="2"/>
  <c r="E2" i="2"/>
  <c r="H40" i="1" l="1"/>
  <c r="K39" i="1"/>
  <c r="J39" i="1"/>
  <c r="I39" i="1"/>
  <c r="I40" i="1" s="1"/>
  <c r="H39" i="1"/>
  <c r="G39" i="1"/>
  <c r="F39" i="1"/>
  <c r="E39" i="1"/>
  <c r="C39" i="1"/>
  <c r="B39" i="1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19" i="3" l="1"/>
  <c r="K19" i="3"/>
  <c r="I19" i="3"/>
  <c r="G19" i="3"/>
  <c r="E19" i="3"/>
  <c r="J19" i="2"/>
  <c r="I19" i="2"/>
  <c r="H19" i="2"/>
  <c r="F19" i="2"/>
  <c r="E19" i="2"/>
  <c r="J17" i="2" l="1"/>
  <c r="I17" i="2"/>
  <c r="H17" i="2"/>
  <c r="F17" i="2"/>
  <c r="E17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7" i="2"/>
  <c r="I7" i="2"/>
  <c r="H7" i="2"/>
  <c r="F7" i="2"/>
  <c r="E7" i="2"/>
  <c r="B32" i="3" l="1"/>
  <c r="L29" i="3" l="1"/>
  <c r="K29" i="3"/>
  <c r="I29" i="3"/>
  <c r="G29" i="3"/>
  <c r="E29" i="3"/>
  <c r="J29" i="2"/>
  <c r="I29" i="2"/>
  <c r="H29" i="2"/>
  <c r="F29" i="2"/>
  <c r="E29" i="2"/>
  <c r="J13" i="2" l="1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J16" i="2" l="1"/>
  <c r="I16" i="2"/>
  <c r="H16" i="2"/>
  <c r="F16" i="2"/>
  <c r="E16" i="2"/>
  <c r="J14" i="2" l="1"/>
  <c r="I14" i="2"/>
  <c r="H14" i="2"/>
  <c r="F14" i="2"/>
  <c r="E14" i="2"/>
  <c r="L10" i="3" l="1"/>
  <c r="K10" i="3"/>
  <c r="I10" i="3"/>
  <c r="G10" i="3"/>
  <c r="E10" i="3"/>
  <c r="J10" i="2"/>
  <c r="I10" i="2"/>
  <c r="H10" i="2"/>
  <c r="F10" i="2"/>
  <c r="E10" i="2"/>
  <c r="L6" i="3" l="1"/>
  <c r="K6" i="3"/>
  <c r="I6" i="3"/>
  <c r="G6" i="3"/>
  <c r="E6" i="3"/>
  <c r="J6" i="2"/>
  <c r="I6" i="2"/>
  <c r="H6" i="2"/>
  <c r="F6" i="2"/>
  <c r="E6" i="2"/>
  <c r="L3" i="3" l="1"/>
  <c r="L25" i="3"/>
  <c r="L28" i="3"/>
  <c r="L30" i="3"/>
  <c r="K3" i="3"/>
  <c r="K25" i="3"/>
  <c r="K28" i="3"/>
  <c r="K30" i="3"/>
  <c r="I3" i="3"/>
  <c r="I25" i="3"/>
  <c r="I28" i="3"/>
  <c r="I30" i="3"/>
  <c r="G3" i="3"/>
  <c r="G25" i="3"/>
  <c r="G28" i="3"/>
  <c r="G30" i="3"/>
  <c r="E3" i="3" l="1"/>
  <c r="E25" i="3"/>
  <c r="E28" i="3"/>
  <c r="E30" i="3"/>
  <c r="J3" i="2" l="1"/>
  <c r="J15" i="2"/>
  <c r="J25" i="2"/>
  <c r="J28" i="2"/>
  <c r="J30" i="2"/>
  <c r="I3" i="2"/>
  <c r="I15" i="2"/>
  <c r="I25" i="2"/>
  <c r="I28" i="2"/>
  <c r="I30" i="2"/>
  <c r="H3" i="2"/>
  <c r="H15" i="2"/>
  <c r="H25" i="2"/>
  <c r="H28" i="2"/>
  <c r="H30" i="2"/>
  <c r="F30" i="2" l="1"/>
  <c r="F28" i="2"/>
  <c r="F25" i="2"/>
  <c r="F15" i="2"/>
  <c r="F3" i="2"/>
  <c r="E3" i="2" l="1"/>
  <c r="E15" i="2"/>
  <c r="E25" i="2"/>
  <c r="E28" i="2"/>
  <c r="E30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<sst xmlns="http://schemas.openxmlformats.org/spreadsheetml/2006/main" count="108" uniqueCount="39">
  <si>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</si>
  <si>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</si>
  <si>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</si>
  <si>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</si>
  <si>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</si>
  <si>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</si>
  <si>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</si>
  <si>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</si>
  <si>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</si>
  <si>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</si>
  <si>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</si>
  <si>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</si>
  <si>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</si>
  <si>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</si>
  <si>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</si>
  <si>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</si>
  <si>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</si>
  <si>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</si>
  <si>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</si>
  <si>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</si>
  <si>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</si>
  <si>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</si>
  <si>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</si>
  <si>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</si>
  <si>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</si>
  <si>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</si>
  <si>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</si>
  <si>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</si>
  <si>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</si>
  <si>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</si>
  <si>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</si>
  <si>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</si>
  <si>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</si>
  <si>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</si>
  <si>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</si>
  <si>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</si>
  <si>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AUGUST' 2020</t>
  </si>
  <si>
    <t>Electricity</t>
  </si>
  <si>
    <t>4500 Ltrs.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</si>
</sst>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P18" sqref="P18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8</v>
      </c>
      <c r="D2">
        <v>2020</v>
      </c>
      <c r="E2" s="24">
        <f>'08 - 2020'!B8-'08 - 2020'!B7+'08 - 2020'!C8-'08 - 2020'!C7</f>
        <v>6445</v>
      </c>
      <c r="F2" s="22">
        <v>0.11799999999999999</v>
      </c>
      <c r="G2" s="24">
        <f>(('08 - 2020'!E8-'08 - 2020'!E7)+('08 - 2020'!F8-'08 - 2020'!F7)+('08 - 2020'!G8-'08 - 2020'!G7))*1.81</f>
        <v>71.096800000005302</v>
      </c>
      <c r="H2" s="22">
        <v>0.99</v>
      </c>
      <c r="I2" s="24">
        <f>'08 - 2020'!J8-'08 - 2020'!J7</f>
        <v>28492</v>
      </c>
      <c r="J2" s="22">
        <v>8.1000000000000003E-2</v>
      </c>
      <c r="K2" s="56">
        <f>'08 - 2020'!H8-'08 - 2020'!H7</f>
        <v>0</v>
      </c>
      <c r="L2" s="24">
        <f>'08 - 2020'!I8-'08 - 2020'!I7</f>
        <v>44</v>
      </c>
      <c r="M2" s="23">
        <v>4.393629424766913</v>
      </c>
      <c r="N2" s="48">
        <v>0</v>
      </c>
    </row>
    <row r="3" spans="1:15" x14ac:dyDescent="0.25">
      <c r="A3" t="s">
        <v>27</v>
      </c>
      <c r="B3">
        <f>B2+1</f>
        <v>2</v>
      </c>
      <c r="C3" s="22">
        <v>8</v>
      </c>
      <c r="D3" s="22">
        <v>2020</v>
      </c>
      <c r="E3" s="24">
        <f>'08 - 2020'!B9-'08 - 2020'!B8+'08 - 2020'!C9-'08 - 2020'!C8</f>
        <v>6848</v>
      </c>
      <c r="F3" s="22">
        <v>0.11799999999999999</v>
      </c>
      <c r="G3" s="24">
        <f>(('08 - 2020'!E9-'08 - 2020'!E8)+('08 - 2020'!F9-'08 - 2020'!F8)+('08 - 2020'!G9-'08 - 2020'!G8))*1.81</f>
        <v>68.019799999996579</v>
      </c>
      <c r="H3" s="22">
        <v>0.99</v>
      </c>
      <c r="I3" s="24">
        <f>'08 - 2020'!J9-'08 - 2020'!J8</f>
        <v>31695</v>
      </c>
      <c r="J3" s="22">
        <v>8.1000000000000003E-2</v>
      </c>
      <c r="K3" s="56">
        <f>'08 - 2020'!H9-'08 - 2020'!H8</f>
        <v>0</v>
      </c>
      <c r="L3" s="24">
        <f>'08 - 2020'!I9-'08 - 2020'!I8</f>
        <v>50</v>
      </c>
      <c r="M3" s="23">
        <v>4.393629424766913</v>
      </c>
      <c r="N3" s="48">
        <v>0</v>
      </c>
    </row>
    <row r="4" spans="1:15" x14ac:dyDescent="0.25">
      <c r="A4" t="s">
        <v>27</v>
      </c>
      <c r="B4">
        <f t="shared" ref="B4:B31" si="0">B3+1</f>
        <v>3</v>
      </c>
      <c r="C4" s="22">
        <v>8</v>
      </c>
      <c r="D4" s="22">
        <v>2020</v>
      </c>
      <c r="E4" s="24">
        <f>'08 - 2020'!B10-'08 - 2020'!B9+'08 - 2020'!C10-'08 - 2020'!C9</f>
        <v>6851</v>
      </c>
      <c r="F4" s="22">
        <v>0.11799999999999999</v>
      </c>
      <c r="G4" s="24">
        <f>(('08 - 2020'!E10-'08 - 2020'!E9)+('08 - 2020'!F10-'08 - 2020'!F9)+('08 - 2020'!G10-'08 - 2020'!G9))*1.81</f>
        <v>74.716800000001186</v>
      </c>
      <c r="H4" s="22">
        <v>0.99</v>
      </c>
      <c r="I4" s="24">
        <f>'08 - 2020'!J10-'08 - 2020'!J9</f>
        <v>30951</v>
      </c>
      <c r="J4" s="22">
        <v>8.1000000000000003E-2</v>
      </c>
      <c r="K4" s="56">
        <f>'08 - 2020'!H10-'08 - 2020'!H9</f>
        <v>0</v>
      </c>
      <c r="L4" s="24">
        <f>'08 - 2020'!I10-'08 - 2020'!I9</f>
        <v>44</v>
      </c>
      <c r="M4" s="23">
        <v>4.393629424766913</v>
      </c>
      <c r="N4" s="48">
        <v>0</v>
      </c>
    </row>
    <row r="5" spans="1:15" x14ac:dyDescent="0.25">
      <c r="A5" t="s">
        <v>27</v>
      </c>
      <c r="B5">
        <f t="shared" si="0"/>
        <v>4</v>
      </c>
      <c r="C5" s="22">
        <v>8</v>
      </c>
      <c r="D5" s="22">
        <v>2020</v>
      </c>
      <c r="E5" s="24">
        <f>'08 - 2020'!B11-'08 - 2020'!B10+'08 - 2020'!C11-'08 - 2020'!C10</f>
        <v>6300</v>
      </c>
      <c r="F5" s="22">
        <v>0.11799999999999999</v>
      </c>
      <c r="G5" s="24">
        <f>(('08 - 2020'!E11-'08 - 2020'!E10)+('08 - 2020'!F11-'08 - 2020'!F10)+('08 - 2020'!G11-'08 - 2020'!G10))*1.81</f>
        <v>63.476699999997003</v>
      </c>
      <c r="H5" s="22">
        <v>0.99</v>
      </c>
      <c r="I5" s="24">
        <f>'08 - 2020'!J11-'08 - 2020'!J10</f>
        <v>29181</v>
      </c>
      <c r="J5" s="22">
        <v>8.1000000000000003E-2</v>
      </c>
      <c r="K5" s="56">
        <f>'08 - 2020'!H11-'08 - 2020'!H10</f>
        <v>0</v>
      </c>
      <c r="L5" s="24">
        <f>'08 - 2020'!I11-'08 - 2020'!I10</f>
        <v>41</v>
      </c>
      <c r="M5" s="23">
        <v>4.393629424766913</v>
      </c>
      <c r="N5" s="48">
        <v>0</v>
      </c>
    </row>
    <row r="6" spans="1:15" x14ac:dyDescent="0.25">
      <c r="A6" t="s">
        <v>27</v>
      </c>
      <c r="B6">
        <f t="shared" si="0"/>
        <v>5</v>
      </c>
      <c r="C6" s="22">
        <v>8</v>
      </c>
      <c r="D6" s="22">
        <v>2020</v>
      </c>
      <c r="E6" s="24">
        <f>'08 - 2020'!B12-'08 - 2020'!B11+'08 - 2020'!C12-'08 - 2020'!C11</f>
        <v>6441</v>
      </c>
      <c r="F6" s="22">
        <v>0.11799999999999999</v>
      </c>
      <c r="G6" s="24">
        <f>(('08 - 2020'!E12-'08 - 2020'!E11)+('08 - 2020'!F12-'08 - 2020'!F11)+('08 - 2020'!G12-'08 - 2020'!G11))*1.81</f>
        <v>69.395400000001914</v>
      </c>
      <c r="H6" s="22">
        <v>0.99</v>
      </c>
      <c r="I6" s="24">
        <f>'08 - 2020'!J12-'08 - 2020'!J11</f>
        <v>32367</v>
      </c>
      <c r="J6" s="22">
        <v>8.1000000000000003E-2</v>
      </c>
      <c r="K6" s="56">
        <f>'08 - 2020'!H12-'08 - 2020'!H11</f>
        <v>0</v>
      </c>
      <c r="L6" s="24">
        <f>'08 - 2020'!I12-'08 - 2020'!I11</f>
        <v>39</v>
      </c>
      <c r="M6" s="23">
        <v>4.3936294247669103</v>
      </c>
      <c r="N6" s="48">
        <v>0</v>
      </c>
    </row>
    <row r="7" spans="1:15" x14ac:dyDescent="0.25">
      <c r="A7" t="s">
        <v>27</v>
      </c>
      <c r="B7">
        <f t="shared" si="0"/>
        <v>6</v>
      </c>
      <c r="C7" s="22">
        <v>8</v>
      </c>
      <c r="D7" s="22">
        <v>2020</v>
      </c>
      <c r="E7" s="24">
        <f>'08 - 2020'!B13-'08 - 2020'!B12+'08 - 2020'!C13-'08 - 2020'!C12</f>
        <v>6984</v>
      </c>
      <c r="F7" s="22">
        <v>0.11799999999999999</v>
      </c>
      <c r="G7" s="24">
        <f>(('08 - 2020'!E13-'08 - 2020'!E12)+('08 - 2020'!F13-'08 - 2020'!F12)+('08 - 2020'!G13-'08 - 2020'!G12))*1.81</f>
        <v>70.644300000003653</v>
      </c>
      <c r="H7" s="22">
        <v>0.99</v>
      </c>
      <c r="I7" s="24">
        <f>'08 - 2020'!J13-'08 - 2020'!J12</f>
        <v>38768</v>
      </c>
      <c r="J7" s="22">
        <v>8.1000000000000003E-2</v>
      </c>
      <c r="K7" s="56">
        <f>'08 - 2020'!H13-'08 - 2020'!H12</f>
        <v>0</v>
      </c>
      <c r="L7" s="24">
        <f>'08 - 2020'!I13-'08 - 2020'!I12</f>
        <v>44</v>
      </c>
      <c r="M7" s="23">
        <v>4.3936294247669103</v>
      </c>
      <c r="N7" s="48">
        <v>0</v>
      </c>
    </row>
    <row r="8" spans="1:15" x14ac:dyDescent="0.25">
      <c r="A8" t="s">
        <v>27</v>
      </c>
      <c r="B8">
        <f t="shared" si="0"/>
        <v>7</v>
      </c>
      <c r="C8" s="22">
        <v>8</v>
      </c>
      <c r="D8" s="22">
        <v>2020</v>
      </c>
      <c r="E8" s="24">
        <f>'08 - 2020'!B14-'08 - 2020'!B13+'08 - 2020'!C14-'08 - 2020'!C13</f>
        <v>7148</v>
      </c>
      <c r="F8" s="22">
        <v>0.11799999999999999</v>
      </c>
      <c r="G8" s="24">
        <f>(('08 - 2020'!E14-'08 - 2020'!E13)+('08 - 2020'!F14-'08 - 2020'!F13)+('08 - 2020'!G14-'08 - 2020'!G13))*1.81</f>
        <v>74.644399999994675</v>
      </c>
      <c r="H8" s="22">
        <v>0.99</v>
      </c>
      <c r="I8" s="24">
        <f>'08 - 2020'!J14-'08 - 2020'!J13</f>
        <v>42246</v>
      </c>
      <c r="J8" s="22">
        <v>8.1000000000000003E-2</v>
      </c>
      <c r="K8" s="56">
        <f>'08 - 2020'!H14-'08 - 2020'!H13</f>
        <v>0</v>
      </c>
      <c r="L8" s="24">
        <f>'08 - 2020'!I14-'08 - 2020'!I13</f>
        <v>48</v>
      </c>
      <c r="M8" s="23">
        <v>4.3936294247669103</v>
      </c>
      <c r="N8" s="48">
        <v>0</v>
      </c>
      <c r="O8" s="24"/>
    </row>
    <row r="9" spans="1:15" x14ac:dyDescent="0.25">
      <c r="A9" t="s">
        <v>27</v>
      </c>
      <c r="B9">
        <f t="shared" si="0"/>
        <v>8</v>
      </c>
      <c r="C9" s="22">
        <v>8</v>
      </c>
      <c r="D9" s="22">
        <v>2020</v>
      </c>
      <c r="E9" s="24">
        <f>'08 - 2020'!B15-'08 - 2020'!B14+'08 - 2020'!C15-'08 - 2020'!C14</f>
        <v>7202</v>
      </c>
      <c r="F9" s="22">
        <v>0.11799999999999999</v>
      </c>
      <c r="G9" s="24">
        <f>(('08 - 2020'!E15-'08 - 2020'!E14)+('08 - 2020'!F15-'08 - 2020'!F14)+('08 - 2020'!G15-'08 - 2020'!G14))*1.81</f>
        <v>83.097100000004673</v>
      </c>
      <c r="H9" s="22">
        <v>0.99</v>
      </c>
      <c r="I9" s="24">
        <f>'08 - 2020'!J15-'08 - 2020'!J14</f>
        <v>40701</v>
      </c>
      <c r="J9" s="22">
        <v>8.1000000000000003E-2</v>
      </c>
      <c r="K9" s="56">
        <f>'08 - 2020'!H15-'08 - 2020'!H14</f>
        <v>0</v>
      </c>
      <c r="L9" s="24">
        <f>'08 - 2020'!I15-'08 - 2020'!I14</f>
        <v>49</v>
      </c>
      <c r="M9" s="23">
        <v>4.3936294247669103</v>
      </c>
      <c r="N9" s="48">
        <v>0</v>
      </c>
    </row>
    <row r="10" spans="1:15" x14ac:dyDescent="0.25">
      <c r="A10" t="s">
        <v>27</v>
      </c>
      <c r="B10">
        <f t="shared" si="0"/>
        <v>9</v>
      </c>
      <c r="C10" s="22">
        <v>8</v>
      </c>
      <c r="D10" s="22">
        <v>2020</v>
      </c>
      <c r="E10" s="24">
        <f>'08 - 2020'!B16-'08 - 2020'!B15+'08 - 2020'!C16-'08 - 2020'!C15</f>
        <v>6927</v>
      </c>
      <c r="F10" s="22">
        <v>0.11799999999999999</v>
      </c>
      <c r="G10" s="24">
        <f>(('08 - 2020'!E16-'08 - 2020'!E15)+('08 - 2020'!F16-'08 - 2020'!F15)+('08 - 2020'!G16-'08 - 2020'!G15))*1.81</f>
        <v>58.119100000001055</v>
      </c>
      <c r="H10" s="22">
        <v>0.99</v>
      </c>
      <c r="I10" s="24">
        <f>'08 - 2020'!J16-'08 - 2020'!J15</f>
        <v>38419</v>
      </c>
      <c r="J10" s="22">
        <v>8.1000000000000003E-2</v>
      </c>
      <c r="K10" s="56">
        <f>'08 - 2020'!H16-'08 - 2020'!H15</f>
        <v>0</v>
      </c>
      <c r="L10" s="24">
        <f>'08 - 2020'!I16-'08 - 2020'!I15</f>
        <v>44</v>
      </c>
      <c r="M10" s="23">
        <v>4.3936294247669103</v>
      </c>
      <c r="N10" s="48">
        <v>0</v>
      </c>
    </row>
    <row r="11" spans="1:15" x14ac:dyDescent="0.25">
      <c r="A11" t="s">
        <v>27</v>
      </c>
      <c r="B11">
        <f t="shared" si="0"/>
        <v>10</v>
      </c>
      <c r="C11" s="22">
        <v>8</v>
      </c>
      <c r="D11" s="22">
        <v>2020</v>
      </c>
      <c r="E11" s="24">
        <f>'08 - 2020'!B17-'08 - 2020'!B16+'08 - 2020'!C17-'08 - 2020'!C16</f>
        <v>6886</v>
      </c>
      <c r="F11" s="22">
        <v>0.11799999999999999</v>
      </c>
      <c r="G11" s="24">
        <f>(('08 - 2020'!E17-'08 - 2020'!E16)+('08 - 2020'!F17-'08 - 2020'!F16)+('08 - 2020'!G17-'08 - 2020'!G16))*1.81</f>
        <v>68.70760000000007</v>
      </c>
      <c r="H11" s="22">
        <v>0.99</v>
      </c>
      <c r="I11" s="24">
        <f>'08 - 2020'!J17-'08 - 2020'!J16</f>
        <v>36032</v>
      </c>
      <c r="J11" s="22">
        <v>8.1000000000000003E-2</v>
      </c>
      <c r="K11" s="56">
        <f>'08 - 2020'!H17-'08 - 2020'!H16</f>
        <v>0</v>
      </c>
      <c r="L11" s="24">
        <f>'08 - 2020'!I17-'08 - 2020'!I16</f>
        <v>37</v>
      </c>
      <c r="M11" s="23">
        <v>4.3936294247669103</v>
      </c>
      <c r="N11" s="48">
        <v>0</v>
      </c>
    </row>
    <row r="12" spans="1:15" x14ac:dyDescent="0.25">
      <c r="A12" t="s">
        <v>27</v>
      </c>
      <c r="B12">
        <f t="shared" si="0"/>
        <v>11</v>
      </c>
      <c r="C12" s="22">
        <v>8</v>
      </c>
      <c r="D12" s="22">
        <v>2020</v>
      </c>
      <c r="E12" s="24">
        <f>'08 - 2020'!B18-'08 - 2020'!B17+'08 - 2020'!C18-'08 - 2020'!C17</f>
        <v>7808</v>
      </c>
      <c r="F12" s="22">
        <v>0.11799999999999999</v>
      </c>
      <c r="G12" s="24">
        <f>(('08 - 2020'!E18-'08 - 2020'!E17)+('08 - 2020'!F18-'08 - 2020'!F17)+('08 - 2020'!G18-'08 - 2020'!G17))*1.81</f>
        <v>67.621599999999404</v>
      </c>
      <c r="H12" s="22">
        <v>0.99</v>
      </c>
      <c r="I12" s="24">
        <f>'08 - 2020'!J18-'08 - 2020'!J17</f>
        <v>40445</v>
      </c>
      <c r="J12" s="22">
        <v>8.1000000000000003E-2</v>
      </c>
      <c r="K12" s="56">
        <f>'08 - 2020'!H18-'08 - 2020'!H17</f>
        <v>0</v>
      </c>
      <c r="L12" s="24">
        <f>'08 - 2020'!I18-'08 - 2020'!I17</f>
        <v>46</v>
      </c>
      <c r="M12" s="23">
        <v>4.3936294247669103</v>
      </c>
      <c r="N12" s="24">
        <v>0</v>
      </c>
    </row>
    <row r="13" spans="1:15" x14ac:dyDescent="0.25">
      <c r="A13" t="s">
        <v>27</v>
      </c>
      <c r="B13">
        <f t="shared" si="0"/>
        <v>12</v>
      </c>
      <c r="C13" s="22">
        <v>8</v>
      </c>
      <c r="D13" s="22">
        <v>2020</v>
      </c>
      <c r="E13" s="24">
        <f>'08 - 2020'!B19-'08 - 2020'!B18+'08 - 2020'!C19-'08 - 2020'!C18</f>
        <v>6597</v>
      </c>
      <c r="F13" s="22">
        <v>0.11799999999999999</v>
      </c>
      <c r="G13" s="24">
        <f>(('08 - 2020'!E19-'08 - 2020'!E18)+('08 - 2020'!F19-'08 - 2020'!F18)+('08 - 2020'!G19-'08 - 2020'!G18))*1.81</f>
        <v>72.508599999995795</v>
      </c>
      <c r="H13" s="22">
        <v>0.99</v>
      </c>
      <c r="I13" s="24">
        <f>'08 - 2020'!J19-'08 - 2020'!J18</f>
        <v>38717</v>
      </c>
      <c r="J13" s="22">
        <v>8.1000000000000003E-2</v>
      </c>
      <c r="K13" s="56">
        <f>'08 - 2020'!H19-'08 - 2020'!H18</f>
        <v>0</v>
      </c>
      <c r="L13" s="24">
        <f>'08 - 2020'!I19-'08 - 2020'!I18</f>
        <v>38</v>
      </c>
      <c r="M13" s="23">
        <v>4.3936294247669103</v>
      </c>
      <c r="N13" s="24">
        <v>0</v>
      </c>
    </row>
    <row r="14" spans="1:15" x14ac:dyDescent="0.25">
      <c r="A14" t="s">
        <v>27</v>
      </c>
      <c r="B14">
        <f t="shared" si="0"/>
        <v>13</v>
      </c>
      <c r="C14" s="22">
        <v>8</v>
      </c>
      <c r="D14" s="22">
        <v>2020</v>
      </c>
      <c r="E14" s="24">
        <f>'08 - 2020'!B20-'08 - 2020'!B19+'08 - 2020'!C20-'08 - 2020'!C19</f>
        <v>7251</v>
      </c>
      <c r="F14" s="22">
        <v>0.11799999999999999</v>
      </c>
      <c r="G14" s="24">
        <f>(('08 - 2020'!E20-'08 - 2020'!E19)+('08 - 2020'!F20-'08 - 2020'!F19)+('08 - 2020'!G20-'08 - 2020'!G19))*1.81</f>
        <v>75.440800000006291</v>
      </c>
      <c r="H14" s="22">
        <v>0.99</v>
      </c>
      <c r="I14" s="24">
        <f>'08 - 2020'!J20-'08 - 2020'!J19</f>
        <v>42845</v>
      </c>
      <c r="J14" s="22">
        <v>8.1000000000000003E-2</v>
      </c>
      <c r="K14" s="56">
        <f>'08 - 2020'!H20-'08 - 2020'!H19</f>
        <v>0</v>
      </c>
      <c r="L14" s="24">
        <f>'08 - 2020'!I20-'08 - 2020'!I19</f>
        <v>41</v>
      </c>
      <c r="M14" s="23">
        <v>4.3936294247669103</v>
      </c>
      <c r="N14" s="24">
        <v>0</v>
      </c>
      <c r="O14" s="24"/>
    </row>
    <row r="15" spans="1:15" x14ac:dyDescent="0.25">
      <c r="A15" t="s">
        <v>27</v>
      </c>
      <c r="B15">
        <f t="shared" si="0"/>
        <v>14</v>
      </c>
      <c r="C15" s="22">
        <v>8</v>
      </c>
      <c r="D15" s="22">
        <v>2020</v>
      </c>
      <c r="E15" s="24">
        <f>'08 - 2020'!B21-'08 - 2020'!B20+'08 - 2020'!C21-'08 - 2020'!C20</f>
        <v>7419</v>
      </c>
      <c r="F15" s="22">
        <v>0.11799999999999999</v>
      </c>
      <c r="G15" s="24">
        <f>(('08 - 2020'!E21-'08 - 2020'!E20)+('08 - 2020'!F21-'08 - 2020'!F20)+('08 - 2020'!G21-'08 - 2020'!G20))*1.81</f>
        <v>77.178399999997296</v>
      </c>
      <c r="H15" s="22">
        <v>0.99</v>
      </c>
      <c r="I15" s="24">
        <f>'08 - 2020'!J21-'08 - 2020'!J20</f>
        <v>41968</v>
      </c>
      <c r="J15" s="22">
        <v>8.1000000000000003E-2</v>
      </c>
      <c r="K15" s="56">
        <f>'08 - 2020'!H21-'08 - 2020'!H20</f>
        <v>0</v>
      </c>
      <c r="L15" s="24">
        <f>'08 - 2020'!I21-'08 - 2020'!I20</f>
        <v>52</v>
      </c>
      <c r="M15" s="23">
        <v>4.3936294247669103</v>
      </c>
      <c r="N15" s="24">
        <v>0</v>
      </c>
    </row>
    <row r="16" spans="1:15" x14ac:dyDescent="0.25">
      <c r="A16" t="s">
        <v>27</v>
      </c>
      <c r="B16">
        <f t="shared" si="0"/>
        <v>15</v>
      </c>
      <c r="C16" s="22">
        <v>8</v>
      </c>
      <c r="D16" s="22">
        <v>2020</v>
      </c>
      <c r="E16" s="24">
        <f>'08 - 2020'!B22-'08 - 2020'!B21+'08 - 2020'!C22-'08 - 2020'!C21</f>
        <v>7261</v>
      </c>
      <c r="F16" s="22">
        <v>0.11799999999999999</v>
      </c>
      <c r="G16" s="24">
        <f>(('08 - 2020'!E22-'08 - 2020'!E21)+('08 - 2020'!F22-'08 - 2020'!F21)+('08 - 2020'!G22-'08 - 2020'!G21))*1.81</f>
        <v>75.893299999998888</v>
      </c>
      <c r="H16" s="22">
        <v>0.99</v>
      </c>
      <c r="I16" s="24">
        <f>'08 - 2020'!J22-'08 - 2020'!J21</f>
        <v>39478</v>
      </c>
      <c r="J16" s="22">
        <v>8.1000000000000003E-2</v>
      </c>
      <c r="K16" s="56">
        <f>'08 - 2020'!H22-'08 - 2020'!H21</f>
        <v>0</v>
      </c>
      <c r="L16" s="24">
        <f>'08 - 2020'!I22-'08 - 2020'!I21</f>
        <v>47</v>
      </c>
      <c r="M16" s="23">
        <v>4.3936294247669103</v>
      </c>
      <c r="N16" s="24">
        <v>0</v>
      </c>
    </row>
    <row r="17" spans="1:16" x14ac:dyDescent="0.25">
      <c r="A17" t="s">
        <v>27</v>
      </c>
      <c r="B17">
        <f t="shared" si="0"/>
        <v>16</v>
      </c>
      <c r="C17" s="22">
        <v>8</v>
      </c>
      <c r="D17" s="22">
        <v>2020</v>
      </c>
      <c r="E17" s="24">
        <f>'08 - 2020'!B23-'08 - 2020'!B22+'08 - 2020'!C23-'08 - 2020'!C22</f>
        <v>7160</v>
      </c>
      <c r="F17" s="22">
        <v>0.11799999999999999</v>
      </c>
      <c r="G17" s="24">
        <f>(('08 - 2020'!E23-'08 - 2020'!E22)+('08 - 2020'!F23-'08 - 2020'!F22)+('08 - 2020'!G23-'08 - 2020'!G22))*1.81</f>
        <v>60.743600000002374</v>
      </c>
      <c r="H17" s="22">
        <v>0.99</v>
      </c>
      <c r="I17" s="24">
        <f>'08 - 2020'!J23-'08 - 2020'!J22</f>
        <v>40793</v>
      </c>
      <c r="J17" s="22">
        <v>8.1000000000000003E-2</v>
      </c>
      <c r="K17" s="56">
        <f>'08 - 2020'!H23-'08 - 2020'!H22</f>
        <v>0</v>
      </c>
      <c r="L17" s="24">
        <f>'08 - 2020'!I23-'08 - 2020'!I22</f>
        <v>42</v>
      </c>
      <c r="M17" s="23">
        <v>4.3936294247669103</v>
      </c>
      <c r="N17" s="24">
        <v>0</v>
      </c>
    </row>
    <row r="18" spans="1:16" x14ac:dyDescent="0.25">
      <c r="A18" t="s">
        <v>27</v>
      </c>
      <c r="B18">
        <f t="shared" si="0"/>
        <v>17</v>
      </c>
      <c r="C18" s="22">
        <v>8</v>
      </c>
      <c r="D18" s="22">
        <v>2020</v>
      </c>
      <c r="E18" s="24">
        <f>'08 - 2020'!B24-'08 - 2020'!B23+'08 - 2020'!C24-'08 - 2020'!C23</f>
        <v>7237</v>
      </c>
      <c r="F18" s="22">
        <v>0.11799999999999999</v>
      </c>
      <c r="G18" s="24">
        <f>(('08 - 2020'!E24-'08 - 2020'!E23)+('08 - 2020'!F24-'08 - 2020'!F23)+('08 - 2020'!G24-'08 - 2020'!G23))*1.81</f>
        <v>70.13749999999753</v>
      </c>
      <c r="H18" s="22">
        <v>0.99</v>
      </c>
      <c r="I18" s="24">
        <f>'08 - 2020'!J24-'08 - 2020'!J23</f>
        <v>41130</v>
      </c>
      <c r="J18" s="22">
        <v>8.1000000000000003E-2</v>
      </c>
      <c r="K18" s="56">
        <f>'08 - 2020'!H24-'08 - 2020'!H23</f>
        <v>0</v>
      </c>
      <c r="L18" s="24">
        <f>'08 - 2020'!I24-'08 - 2020'!I23</f>
        <v>39</v>
      </c>
      <c r="M18" s="23">
        <v>4.3936294247669103</v>
      </c>
      <c r="N18" s="24">
        <v>0</v>
      </c>
    </row>
    <row r="19" spans="1:16" x14ac:dyDescent="0.25">
      <c r="A19" t="s">
        <v>27</v>
      </c>
      <c r="B19">
        <f>B18+1</f>
        <v>18</v>
      </c>
      <c r="C19" s="22">
        <v>8</v>
      </c>
      <c r="D19" s="22">
        <v>2020</v>
      </c>
      <c r="E19" s="24">
        <f>'08 - 2020'!B25-'08 - 2020'!B24+'08 - 2020'!C25-'08 - 2020'!C24</f>
        <v>7418</v>
      </c>
      <c r="F19" s="22">
        <v>0.11799999999999999</v>
      </c>
      <c r="G19" s="24">
        <f>(('08 - 2020'!E25-'08 - 2020'!E24)+('08 - 2020'!F25-'08 - 2020'!F24)+('08 - 2020'!G25-'08 - 2020'!G24))*1.81</f>
        <v>67.856900000000437</v>
      </c>
      <c r="H19" s="22">
        <v>0.99</v>
      </c>
      <c r="I19" s="24">
        <f>'08 - 2020'!J25-'08 - 2020'!J24</f>
        <v>45719</v>
      </c>
      <c r="J19" s="22">
        <v>8.1000000000000003E-2</v>
      </c>
      <c r="K19" s="56">
        <f>'08 - 2020'!H25-'08 - 2020'!H24</f>
        <v>0</v>
      </c>
      <c r="L19" s="24">
        <f>'08 - 2020'!I25-'08 - 2020'!I24</f>
        <v>40</v>
      </c>
      <c r="M19" s="23">
        <v>4.3936294247669103</v>
      </c>
      <c r="N19" s="49">
        <v>0</v>
      </c>
    </row>
    <row r="20" spans="1:16" x14ac:dyDescent="0.25">
      <c r="A20" t="s">
        <v>27</v>
      </c>
      <c r="B20">
        <f t="shared" si="0"/>
        <v>19</v>
      </c>
      <c r="C20" s="22">
        <v>8</v>
      </c>
      <c r="D20" s="22">
        <v>2020</v>
      </c>
      <c r="E20" s="24">
        <f>'08 - 2020'!B26-'08 - 2020'!B25+'08 - 2020'!C26-'08 - 2020'!C25</f>
        <v>7684</v>
      </c>
      <c r="F20" s="22">
        <v>0.11799999999999999</v>
      </c>
      <c r="G20" s="24">
        <f>(('08 - 2020'!E26-'08 - 2020'!E25)+('08 - 2020'!F26-'08 - 2020'!F25)+('08 - 2020'!G26-'08 - 2020'!G25))*1.81</f>
        <v>69.087699999996019</v>
      </c>
      <c r="H20" s="22">
        <v>0.99</v>
      </c>
      <c r="I20" s="24">
        <f>'08 - 2020'!J26-'08 - 2020'!J25</f>
        <v>42882</v>
      </c>
      <c r="J20" s="22">
        <v>8.1000000000000003E-2</v>
      </c>
      <c r="K20" s="56">
        <f>'08 - 2020'!H26-'08 - 2020'!H25</f>
        <v>0</v>
      </c>
      <c r="L20" s="24">
        <f>'08 - 2020'!I26-'08 - 2020'!I25</f>
        <v>41</v>
      </c>
      <c r="M20" s="23">
        <v>4.3936294247669103</v>
      </c>
      <c r="N20" s="49">
        <v>0</v>
      </c>
    </row>
    <row r="21" spans="1:16" x14ac:dyDescent="0.25">
      <c r="A21" t="s">
        <v>27</v>
      </c>
      <c r="B21">
        <f t="shared" si="0"/>
        <v>20</v>
      </c>
      <c r="C21" s="22">
        <v>8</v>
      </c>
      <c r="D21" s="22">
        <v>2020</v>
      </c>
      <c r="E21" s="24">
        <f>'08 - 2020'!B27-'08 - 2020'!B26+'08 - 2020'!C27-'08 - 2020'!C26</f>
        <v>7214</v>
      </c>
      <c r="F21" s="22">
        <v>0.11799999999999999</v>
      </c>
      <c r="G21" s="24">
        <f>(('08 - 2020'!E27-'08 - 2020'!E26)+('08 - 2020'!F27-'08 - 2020'!F26)+('08 - 2020'!G27-'08 - 2020'!G26))*1.81</f>
        <v>67.657800000004315</v>
      </c>
      <c r="H21" s="22">
        <v>0.99</v>
      </c>
      <c r="I21" s="24">
        <f>'08 - 2020'!J27-'08 - 2020'!J26</f>
        <v>41030</v>
      </c>
      <c r="J21" s="22">
        <v>8.1000000000000003E-2</v>
      </c>
      <c r="K21" s="56">
        <f>'08 - 2020'!H27-'08 - 2020'!H26</f>
        <v>0</v>
      </c>
      <c r="L21" s="24">
        <f>'08 - 2020'!I27-'08 - 2020'!I26</f>
        <v>42</v>
      </c>
      <c r="M21" s="23">
        <v>4.3936294247669103</v>
      </c>
      <c r="N21" s="49">
        <v>0</v>
      </c>
    </row>
    <row r="22" spans="1:16" x14ac:dyDescent="0.25">
      <c r="A22" t="s">
        <v>27</v>
      </c>
      <c r="B22">
        <f t="shared" si="0"/>
        <v>21</v>
      </c>
      <c r="C22" s="22">
        <v>8</v>
      </c>
      <c r="D22" s="22">
        <v>2020</v>
      </c>
      <c r="E22" s="24">
        <f>'08 - 2020'!B28-'08 - 2020'!B27+'08 - 2020'!C28-'08 - 2020'!C27</f>
        <v>7838</v>
      </c>
      <c r="F22" s="22">
        <v>0.11799999999999999</v>
      </c>
      <c r="G22" s="24">
        <f>(('08 - 2020'!E28-'08 - 2020'!E27)+('08 - 2020'!F28-'08 - 2020'!F27)+('08 - 2020'!G28-'08 - 2020'!G27))*1.81</f>
        <v>73.82989999999829</v>
      </c>
      <c r="H22" s="22">
        <v>0.99</v>
      </c>
      <c r="I22" s="24">
        <f>'08 - 2020'!J28-'08 - 2020'!J27</f>
        <v>48654</v>
      </c>
      <c r="J22" s="22">
        <v>8.1000000000000003E-2</v>
      </c>
      <c r="K22" s="56">
        <f>'08 - 2020'!H28-'08 - 2020'!H27</f>
        <v>0</v>
      </c>
      <c r="L22" s="24">
        <f>'08 - 2020'!I28-'08 - 2020'!I27</f>
        <v>51</v>
      </c>
      <c r="M22" s="23">
        <v>4.3936294247669103</v>
      </c>
      <c r="N22" s="49">
        <v>0</v>
      </c>
    </row>
    <row r="23" spans="1:16" x14ac:dyDescent="0.25">
      <c r="A23" t="s">
        <v>27</v>
      </c>
      <c r="B23">
        <f t="shared" si="0"/>
        <v>22</v>
      </c>
      <c r="C23" s="22">
        <v>8</v>
      </c>
      <c r="D23" s="22">
        <v>2020</v>
      </c>
      <c r="E23" s="24">
        <f>'08 - 2020'!B29-'08 - 2020'!B28+'08 - 2020'!C29-'08 - 2020'!C28</f>
        <v>7699</v>
      </c>
      <c r="F23" s="22">
        <v>0.11799999999999999</v>
      </c>
      <c r="G23" s="24">
        <f>(('08 - 2020'!E29-'08 - 2020'!E28)+('08 - 2020'!F29-'08 - 2020'!F28)+('08 - 2020'!G29-'08 - 2020'!G28))*1.81</f>
        <v>85.178599999999904</v>
      </c>
      <c r="H23" s="22">
        <v>0.99</v>
      </c>
      <c r="I23" s="24">
        <f>'08 - 2020'!J29-'08 - 2020'!J28</f>
        <v>45113</v>
      </c>
      <c r="J23" s="22">
        <v>8.1000000000000003E-2</v>
      </c>
      <c r="K23" s="56">
        <f>'08 - 2020'!H29-'08 - 2020'!H28</f>
        <v>0</v>
      </c>
      <c r="L23" s="24">
        <f>'08 - 2020'!I29-'08 - 2020'!I28</f>
        <v>46</v>
      </c>
      <c r="M23" s="23">
        <v>4.3936294247669103</v>
      </c>
      <c r="N23" s="49">
        <v>0</v>
      </c>
    </row>
    <row r="24" spans="1:16" x14ac:dyDescent="0.25">
      <c r="A24" t="s">
        <v>27</v>
      </c>
      <c r="B24">
        <f t="shared" si="0"/>
        <v>23</v>
      </c>
      <c r="C24" s="22">
        <v>8</v>
      </c>
      <c r="D24" s="22">
        <v>2020</v>
      </c>
      <c r="E24" s="24">
        <v>0</v>
      </c>
      <c r="F24" s="22">
        <v>0.11799999999999999</v>
      </c>
      <c r="G24" s="24">
        <v>0</v>
      </c>
      <c r="H24" s="22">
        <v>0.99</v>
      </c>
      <c r="I24" s="24">
        <v>0</v>
      </c>
      <c r="J24" s="22">
        <v>8.1000000000000003E-2</v>
      </c>
      <c r="K24" s="56">
        <v>0</v>
      </c>
      <c r="L24" s="24">
        <v>0</v>
      </c>
      <c r="M24" s="23">
        <v>4.3936294247669103</v>
      </c>
      <c r="N24" s="49">
        <v>0</v>
      </c>
    </row>
    <row r="25" spans="1:16" x14ac:dyDescent="0.25">
      <c r="A25" t="s">
        <v>27</v>
      </c>
      <c r="B25">
        <f t="shared" si="0"/>
        <v>24</v>
      </c>
      <c r="C25" s="22">
        <v>8</v>
      </c>
      <c r="D25" s="22">
        <v>2020</v>
      </c>
      <c r="E25" s="24">
        <f>'08 - 2020'!B31-'08 - 2020'!B30+'08 - 2020'!C31-'08 - 2020'!C30</f>
        <v>0</v>
      </c>
      <c r="F25" s="22">
        <v>0.11799999999999999</v>
      </c>
      <c r="G25" s="24">
        <f>(('08 - 2020'!E31-'08 - 2020'!E30)+('08 - 2020'!F31-'08 - 2020'!F30)+('08 - 2020'!G31-'08 - 2020'!G30))*1.81</f>
        <v>0</v>
      </c>
      <c r="H25" s="22">
        <v>0.99</v>
      </c>
      <c r="I25" s="24">
        <f>'08 - 2020'!J31-'08 - 2020'!J30</f>
        <v>0</v>
      </c>
      <c r="J25" s="22">
        <v>8.1000000000000003E-2</v>
      </c>
      <c r="K25" s="56">
        <f>'08 - 2020'!H31-'08 - 2020'!H30</f>
        <v>0</v>
      </c>
      <c r="L25" s="24">
        <f>'08 - 2020'!I31-'08 - 2020'!I30</f>
        <v>0</v>
      </c>
      <c r="M25" s="23">
        <v>4.3936294247669103</v>
      </c>
      <c r="N25" s="49">
        <v>0</v>
      </c>
      <c r="P25" s="14"/>
    </row>
    <row r="26" spans="1:16" x14ac:dyDescent="0.25">
      <c r="A26" t="s">
        <v>27</v>
      </c>
      <c r="B26">
        <f>B25+1</f>
        <v>25</v>
      </c>
      <c r="C26" s="22">
        <v>8</v>
      </c>
      <c r="D26" s="22">
        <v>2020</v>
      </c>
      <c r="E26" s="24">
        <f>'08 - 2020'!B32-'08 - 2020'!B31+'08 - 2020'!C32-'08 - 2020'!C31</f>
        <v>0</v>
      </c>
      <c r="F26" s="22">
        <v>0.11799999999999999</v>
      </c>
      <c r="G26" s="24">
        <f>(('08 - 2020'!E32-'08 - 2020'!E31)+('08 - 2020'!F32-'08 - 2020'!F31)+('08 - 2020'!G32-'08 - 2020'!G31))*1.81</f>
        <v>0</v>
      </c>
      <c r="H26" s="22">
        <v>0.99</v>
      </c>
      <c r="I26" s="24">
        <f>'08 - 2020'!J32-'08 - 2020'!J31</f>
        <v>0</v>
      </c>
      <c r="J26" s="22">
        <v>8.1000000000000003E-2</v>
      </c>
      <c r="K26" s="56">
        <f>'08 - 2020'!H32-'08 - 2020'!H31</f>
        <v>0</v>
      </c>
      <c r="L26" s="24">
        <f>'08 - 2020'!I32-'08 - 2020'!I31</f>
        <v>0</v>
      </c>
      <c r="M26" s="23">
        <v>4.3936294247669103</v>
      </c>
      <c r="N26" s="49">
        <v>0</v>
      </c>
    </row>
    <row r="27" spans="1:16" x14ac:dyDescent="0.25">
      <c r="A27" t="s">
        <v>27</v>
      </c>
      <c r="B27">
        <f t="shared" si="0"/>
        <v>26</v>
      </c>
      <c r="C27" s="22">
        <v>8</v>
      </c>
      <c r="D27" s="22">
        <v>2020</v>
      </c>
      <c r="E27" s="24">
        <f>'08 - 2020'!B33-'08 - 2020'!B32+'08 - 2020'!C33-'08 - 2020'!C32</f>
        <v>0</v>
      </c>
      <c r="F27" s="22">
        <v>0.11799999999999999</v>
      </c>
      <c r="G27" s="24">
        <f>(('08 - 2020'!E33-'08 - 2020'!E32)+('08 - 2020'!F33-'08 - 2020'!F32)+('08 - 2020'!G33-'08 - 2020'!G32))*1.81</f>
        <v>0</v>
      </c>
      <c r="H27" s="22">
        <v>0.99</v>
      </c>
      <c r="I27" s="24">
        <f>'08 - 2020'!J33-'08 - 2020'!J32</f>
        <v>0</v>
      </c>
      <c r="J27" s="22">
        <v>8.1000000000000003E-2</v>
      </c>
      <c r="K27" s="56">
        <f>'08 - 2020'!H33-'08 - 2020'!H32</f>
        <v>0</v>
      </c>
      <c r="L27" s="24">
        <f>'08 - 2020'!I33-'08 - 2020'!I32</f>
        <v>0</v>
      </c>
      <c r="M27" s="23">
        <v>4.3936294247669103</v>
      </c>
      <c r="N27" s="49">
        <v>0</v>
      </c>
    </row>
    <row r="28" spans="1:16" x14ac:dyDescent="0.25">
      <c r="A28" t="s">
        <v>27</v>
      </c>
      <c r="B28">
        <f t="shared" si="0"/>
        <v>27</v>
      </c>
      <c r="C28" s="22">
        <v>8</v>
      </c>
      <c r="D28" s="22">
        <v>2020</v>
      </c>
      <c r="E28" s="24">
        <f>'08 - 2020'!B34-'08 - 2020'!B33+'08 - 2020'!C34-'08 - 2020'!C33</f>
        <v>0</v>
      </c>
      <c r="F28" s="22">
        <v>0.11799999999999999</v>
      </c>
      <c r="G28" s="24">
        <f>(('08 - 2020'!E34-'08 - 2020'!E33)+('08 - 2020'!F34-'08 - 2020'!F33)+('08 - 2020'!G34-'08 - 2020'!G33))*1.81</f>
        <v>0</v>
      </c>
      <c r="H28" s="22">
        <v>0.99</v>
      </c>
      <c r="I28" s="24">
        <f>'08 - 2020'!J34-'08 - 2020'!J33</f>
        <v>0</v>
      </c>
      <c r="J28" s="22">
        <v>8.1000000000000003E-2</v>
      </c>
      <c r="K28" s="56">
        <f>'08 - 2020'!H34-'08 - 2020'!H33</f>
        <v>0</v>
      </c>
      <c r="L28" s="24">
        <f>'08 - 2020'!I34-'08 - 2020'!I33</f>
        <v>0</v>
      </c>
      <c r="M28" s="23">
        <v>4.3936294247669103</v>
      </c>
      <c r="N28" s="49">
        <v>0</v>
      </c>
    </row>
    <row r="29" spans="1:16" x14ac:dyDescent="0.25">
      <c r="A29" t="s">
        <v>27</v>
      </c>
      <c r="B29">
        <f t="shared" si="0"/>
        <v>28</v>
      </c>
      <c r="C29" s="22">
        <v>8</v>
      </c>
      <c r="D29" s="22">
        <v>2020</v>
      </c>
      <c r="E29" s="24">
        <f>'08 - 2020'!B35-'08 - 2020'!B34+'08 - 2020'!C35-'08 - 2020'!C34</f>
        <v>0</v>
      </c>
      <c r="F29" s="22">
        <v>0.11799999999999999</v>
      </c>
      <c r="G29" s="24">
        <f>(('08 - 2020'!E35-'08 - 2020'!E34)+('08 - 2020'!F35-'08 - 2020'!F34)+('08 - 2020'!G35-'08 - 2020'!G34))*1.81</f>
        <v>0</v>
      </c>
      <c r="H29" s="22">
        <v>0.99</v>
      </c>
      <c r="I29" s="24">
        <f>'08 - 2020'!J35-'08 - 2020'!J34</f>
        <v>0</v>
      </c>
      <c r="J29" s="22">
        <v>8.1000000000000003E-2</v>
      </c>
      <c r="K29" s="56">
        <f>'08 - 2020'!H35-'08 - 2020'!H34</f>
        <v>0</v>
      </c>
      <c r="L29" s="24">
        <f>'08 - 2020'!I35-'08 - 2020'!I34</f>
        <v>0</v>
      </c>
      <c r="M29" s="23">
        <v>4.3936294247669103</v>
      </c>
      <c r="N29" s="49">
        <v>0</v>
      </c>
    </row>
    <row r="30" spans="1:16" x14ac:dyDescent="0.25">
      <c r="A30" t="s">
        <v>27</v>
      </c>
      <c r="B30">
        <f t="shared" si="0"/>
        <v>29</v>
      </c>
      <c r="C30" s="22">
        <v>8</v>
      </c>
      <c r="D30" s="22">
        <v>2020</v>
      </c>
      <c r="E30" s="24">
        <f>'08 - 2020'!B36-'08 - 2020'!B35+'08 - 2020'!C36-'08 - 2020'!C35</f>
        <v>0</v>
      </c>
      <c r="F30" s="22">
        <v>0.11799999999999999</v>
      </c>
      <c r="G30" s="24">
        <f>(('08 - 2020'!E36-'08 - 2020'!E35)+('08 - 2020'!F36-'08 - 2020'!F35)+('08 - 2020'!G36-'08 - 2020'!G35))*1.81</f>
        <v>0</v>
      </c>
      <c r="H30" s="22">
        <v>0.99</v>
      </c>
      <c r="I30" s="24">
        <f>'08 - 2020'!J36-'08 - 2020'!J35</f>
        <v>0</v>
      </c>
      <c r="J30" s="22">
        <v>8.1000000000000003E-2</v>
      </c>
      <c r="K30" s="56">
        <f>'08 - 2020'!H36-'08 - 2020'!H35</f>
        <v>0</v>
      </c>
      <c r="L30" s="24">
        <f>'08 - 2020'!I36-'08 - 2020'!I35</f>
        <v>0</v>
      </c>
      <c r="M30" s="23">
        <v>4.3936294247669103</v>
      </c>
      <c r="N30" s="49">
        <v>0</v>
      </c>
    </row>
    <row r="31" spans="1:16" x14ac:dyDescent="0.25">
      <c r="A31" s="22" t="s">
        <v>27</v>
      </c>
      <c r="B31" s="22">
        <f t="shared" si="0"/>
        <v>30</v>
      </c>
      <c r="C31" s="22">
        <v>8</v>
      </c>
      <c r="D31" s="22">
        <v>2020</v>
      </c>
      <c r="E31" s="24">
        <f>'08 - 2020'!B37-'08 - 2020'!B36+'08 - 2020'!C37-'08 - 2020'!C36</f>
        <v>0</v>
      </c>
      <c r="F31" s="22">
        <v>0.11799999999999999</v>
      </c>
      <c r="G31" s="24">
        <f>(('08 - 2020'!E37-'08 - 2020'!E36)+('08 - 2020'!F37-'08 - 2020'!F36)+('08 - 2020'!G37-'08 - 2020'!G36))*1.81</f>
        <v>0</v>
      </c>
      <c r="H31" s="22">
        <v>0.99</v>
      </c>
      <c r="I31" s="24">
        <f>'08 - 2020'!J37-'08 - 2020'!J36</f>
        <v>0</v>
      </c>
      <c r="J31" s="22">
        <v>8.1000000000000003E-2</v>
      </c>
      <c r="K31" s="56">
        <f>'08 - 2020'!H37-'08 - 2020'!H36</f>
        <v>0</v>
      </c>
      <c r="L31" s="24">
        <f>'08 - 2020'!I37-'08 - 2020'!I36</f>
        <v>0</v>
      </c>
      <c r="M31" s="23">
        <v>4.3936294247669103</v>
      </c>
      <c r="N31" s="50">
        <v>0</v>
      </c>
    </row>
    <row r="32" spans="1:16" x14ac:dyDescent="0.25">
      <c r="A32" s="22" t="s">
        <v>27</v>
      </c>
      <c r="B32" s="22">
        <f>B31+1</f>
        <v>31</v>
      </c>
      <c r="C32" s="22">
        <v>8</v>
      </c>
      <c r="D32" s="22">
        <v>2020</v>
      </c>
      <c r="E32" s="24">
        <f>'08 - 2020'!B38-'08 - 2020'!B37+'08 - 2020'!C38-'08 - 2020'!C37</f>
        <v>0</v>
      </c>
      <c r="F32" s="22">
        <v>0.11799999999999999</v>
      </c>
      <c r="G32" s="24">
        <f>(('08 - 2020'!E38-'08 - 2020'!E37)+('08 - 2020'!F38-'08 - 2020'!F37)+('08 - 2020'!G38-'08 - 2020'!G37))*1.81</f>
        <v>0</v>
      </c>
      <c r="H32" s="22">
        <v>0.99</v>
      </c>
      <c r="I32" s="24">
        <f>'08 - 2020'!J38-'08 - 2020'!J37</f>
        <v>0</v>
      </c>
      <c r="J32" s="22">
        <v>8.1000000000000003E-2</v>
      </c>
      <c r="K32" s="56">
        <f>'08 - 2020'!H38-'08 - 2020'!H37</f>
        <v>0</v>
      </c>
      <c r="L32" s="24">
        <f>'08 - 2020'!I38-'08 - 2020'!I37</f>
        <v>0</v>
      </c>
      <c r="M32" s="23">
        <v>4.3936294247669103</v>
      </c>
      <c r="N32" s="5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24" sqref="K2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8</v>
      </c>
      <c r="D2">
        <v>2020</v>
      </c>
      <c r="E2" s="24">
        <f>'08 - 2020'!B8-'08 - 2020'!B7</f>
        <v>1802</v>
      </c>
      <c r="F2" s="24">
        <f>'08 - 2020'!C8-'08 - 2020'!C7</f>
        <v>4643</v>
      </c>
      <c r="G2" s="22">
        <v>0.11799999999999999</v>
      </c>
      <c r="H2" s="24">
        <f>'08 - 2020'!E8-'08 - 2020'!E7</f>
        <v>12.260000000000218</v>
      </c>
      <c r="I2" s="24">
        <f>'08 - 2020'!F8-'08 - 2020'!F7</f>
        <v>6.0599999999999454</v>
      </c>
      <c r="J2" s="24">
        <f>'08 - 2020'!G8-'08 - 2020'!G7</f>
        <v>20.960000000002765</v>
      </c>
      <c r="K2" s="22">
        <v>0.74</v>
      </c>
      <c r="L2" s="24">
        <v>0</v>
      </c>
      <c r="M2" s="12"/>
    </row>
    <row r="3" spans="1:13" x14ac:dyDescent="0.25">
      <c r="A3" t="s">
        <v>27</v>
      </c>
      <c r="B3">
        <f>B2+1</f>
        <v>2</v>
      </c>
      <c r="C3" s="22">
        <v>8</v>
      </c>
      <c r="D3" s="22">
        <v>2020</v>
      </c>
      <c r="E3" s="24">
        <f>'08 - 2020'!B9-'08 - 2020'!B8</f>
        <v>1893</v>
      </c>
      <c r="F3" s="24">
        <f>'08 - 2020'!C9-'08 - 2020'!C8</f>
        <v>4955</v>
      </c>
      <c r="G3" s="22">
        <v>0.11799999999999999</v>
      </c>
      <c r="H3" s="24">
        <f>'08 - 2020'!E9-'08 - 2020'!E8</f>
        <v>11.319999999999709</v>
      </c>
      <c r="I3" s="24">
        <f>'08 - 2020'!F9-'08 - 2020'!F8</f>
        <v>4.5</v>
      </c>
      <c r="J3" s="24">
        <f>'08 - 2020'!G9-'08 - 2020'!G8</f>
        <v>21.759999999998399</v>
      </c>
      <c r="K3" s="22">
        <v>0.74</v>
      </c>
      <c r="L3" s="48">
        <v>0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8</v>
      </c>
      <c r="D4" s="22">
        <v>2020</v>
      </c>
      <c r="E4" s="24">
        <f>'08 - 2020'!B10-'08 - 2020'!B9</f>
        <v>1960</v>
      </c>
      <c r="F4" s="24">
        <f>'08 - 2020'!C10-'08 - 2020'!C9</f>
        <v>4891</v>
      </c>
      <c r="G4" s="22">
        <v>0.11799999999999999</v>
      </c>
      <c r="H4" s="24">
        <f>'08 - 2020'!E10-'08 - 2020'!E9</f>
        <v>11.659999999999854</v>
      </c>
      <c r="I4" s="24">
        <f>'08 - 2020'!F10-'08 - 2020'!F9</f>
        <v>4.5100000000002183</v>
      </c>
      <c r="J4" s="24">
        <f>'08 - 2020'!G10-'08 - 2020'!G9</f>
        <v>25.110000000000582</v>
      </c>
      <c r="K4" s="22">
        <v>0.74</v>
      </c>
      <c r="L4" s="48">
        <v>0</v>
      </c>
      <c r="M4" s="12"/>
    </row>
    <row r="5" spans="1:13" x14ac:dyDescent="0.25">
      <c r="A5" t="s">
        <v>27</v>
      </c>
      <c r="B5">
        <f t="shared" si="0"/>
        <v>4</v>
      </c>
      <c r="C5" s="22">
        <v>8</v>
      </c>
      <c r="D5" s="22">
        <v>2020</v>
      </c>
      <c r="E5" s="24">
        <f>'08 - 2020'!B11-'08 - 2020'!B10</f>
        <v>1845</v>
      </c>
      <c r="F5" s="24">
        <f>'08 - 2020'!C11-'08 - 2020'!C10</f>
        <v>4455</v>
      </c>
      <c r="G5" s="22">
        <v>0.11799999999999999</v>
      </c>
      <c r="H5" s="24">
        <f>'08 - 2020'!E11-'08 - 2020'!E10</f>
        <v>11.770000000000437</v>
      </c>
      <c r="I5" s="24">
        <f>'08 - 2020'!F11-'08 - 2020'!F10</f>
        <v>5.5599999999999454</v>
      </c>
      <c r="J5" s="24">
        <f>'08 - 2020'!G11-'08 - 2020'!G10</f>
        <v>17.739999999997963</v>
      </c>
      <c r="K5" s="22">
        <v>0.74</v>
      </c>
      <c r="L5" s="48">
        <v>0</v>
      </c>
      <c r="M5" s="12"/>
    </row>
    <row r="6" spans="1:13" x14ac:dyDescent="0.25">
      <c r="A6" t="s">
        <v>27</v>
      </c>
      <c r="B6">
        <f t="shared" si="0"/>
        <v>5</v>
      </c>
      <c r="C6" s="22">
        <v>8</v>
      </c>
      <c r="D6" s="22">
        <v>2020</v>
      </c>
      <c r="E6" s="24">
        <f>'08 - 2020'!B12-'08 - 2020'!B11</f>
        <v>1883</v>
      </c>
      <c r="F6" s="24">
        <f>'08 - 2020'!C12-'08 - 2020'!C11</f>
        <v>4558</v>
      </c>
      <c r="G6" s="22">
        <v>0.11799999999999999</v>
      </c>
      <c r="H6" s="24">
        <f>'08 - 2020'!E12-'08 - 2020'!E11</f>
        <v>12.020000000000437</v>
      </c>
      <c r="I6" s="24">
        <f>'08 - 2020'!F12-'08 - 2020'!F11</f>
        <v>4.2100000000000364</v>
      </c>
      <c r="J6" s="24">
        <f>'08 - 2020'!G12-'08 - 2020'!G11</f>
        <v>22.110000000000582</v>
      </c>
      <c r="K6" s="22">
        <v>0.74</v>
      </c>
      <c r="L6" s="48">
        <v>0</v>
      </c>
      <c r="M6" s="13"/>
    </row>
    <row r="7" spans="1:13" x14ac:dyDescent="0.25">
      <c r="A7" t="s">
        <v>27</v>
      </c>
      <c r="B7">
        <f t="shared" si="0"/>
        <v>6</v>
      </c>
      <c r="C7" s="22">
        <v>8</v>
      </c>
      <c r="D7" s="22">
        <v>2020</v>
      </c>
      <c r="E7" s="24">
        <f>'08 - 2020'!B13-'08 - 2020'!B12</f>
        <v>1937</v>
      </c>
      <c r="F7" s="24">
        <f>'08 - 2020'!C13-'08 - 2020'!C12</f>
        <v>5047</v>
      </c>
      <c r="G7" s="22">
        <v>0.11799999999999999</v>
      </c>
      <c r="H7" s="24">
        <f>'08 - 2020'!E13-'08 - 2020'!E12</f>
        <v>12.840000000000146</v>
      </c>
      <c r="I7" s="24">
        <f>'08 - 2020'!F13-'08 - 2020'!F12</f>
        <v>4.1100000000001273</v>
      </c>
      <c r="J7" s="24">
        <f>'08 - 2020'!G13-'08 - 2020'!G12</f>
        <v>22.080000000001746</v>
      </c>
      <c r="K7" s="22">
        <v>0.74</v>
      </c>
      <c r="L7" s="48">
        <v>0</v>
      </c>
      <c r="M7" s="13"/>
    </row>
    <row r="8" spans="1:13" x14ac:dyDescent="0.25">
      <c r="A8" t="s">
        <v>27</v>
      </c>
      <c r="B8">
        <f t="shared" si="0"/>
        <v>7</v>
      </c>
      <c r="C8" s="22">
        <v>8</v>
      </c>
      <c r="D8" s="22">
        <v>2020</v>
      </c>
      <c r="E8" s="24">
        <f>'08 - 2020'!B14-'08 - 2020'!B13</f>
        <v>2045</v>
      </c>
      <c r="F8" s="24">
        <f>'08 - 2020'!C14-'08 - 2020'!C13</f>
        <v>5103</v>
      </c>
      <c r="G8" s="22">
        <v>0.11799999999999999</v>
      </c>
      <c r="H8" s="24">
        <f>'08 - 2020'!E14-'08 - 2020'!E13</f>
        <v>11.519999999998618</v>
      </c>
      <c r="I8" s="24">
        <f>'08 - 2020'!F14-'08 - 2020'!F13</f>
        <v>5.5299999999997453</v>
      </c>
      <c r="J8" s="24">
        <f>'08 - 2020'!G14-'08 - 2020'!G13</f>
        <v>24.18999999999869</v>
      </c>
      <c r="K8" s="22">
        <v>0.74</v>
      </c>
      <c r="L8" s="48">
        <v>0</v>
      </c>
      <c r="M8" s="13"/>
    </row>
    <row r="9" spans="1:13" x14ac:dyDescent="0.25">
      <c r="A9" t="s">
        <v>27</v>
      </c>
      <c r="B9">
        <f t="shared" si="0"/>
        <v>8</v>
      </c>
      <c r="C9" s="22">
        <v>8</v>
      </c>
      <c r="D9" s="22">
        <v>2020</v>
      </c>
      <c r="E9" s="24">
        <f>'08 - 2020'!B15-'08 - 2020'!B14</f>
        <v>2032</v>
      </c>
      <c r="F9" s="24">
        <f>'08 - 2020'!C15-'08 - 2020'!C14</f>
        <v>5170</v>
      </c>
      <c r="G9" s="22">
        <v>0.11799999999999999</v>
      </c>
      <c r="H9" s="24">
        <f>'08 - 2020'!E15-'08 - 2020'!E14</f>
        <v>15.280000000000655</v>
      </c>
      <c r="I9" s="24">
        <f>'08 - 2020'!F15-'08 - 2020'!F14</f>
        <v>5.0500000000001819</v>
      </c>
      <c r="J9" s="24">
        <f>'08 - 2020'!G15-'08 - 2020'!G14</f>
        <v>25.580000000001746</v>
      </c>
      <c r="K9" s="22">
        <v>0.74</v>
      </c>
      <c r="L9" s="48">
        <v>0</v>
      </c>
      <c r="M9" s="13"/>
    </row>
    <row r="10" spans="1:13" x14ac:dyDescent="0.25">
      <c r="A10" t="s">
        <v>27</v>
      </c>
      <c r="B10">
        <f t="shared" si="0"/>
        <v>9</v>
      </c>
      <c r="C10" s="22">
        <v>8</v>
      </c>
      <c r="D10" s="22">
        <v>2020</v>
      </c>
      <c r="E10" s="24">
        <f>'08 - 2020'!B16-'08 - 2020'!B15</f>
        <v>1973</v>
      </c>
      <c r="F10" s="24">
        <f>'08 - 2020'!C16-'08 - 2020'!C15</f>
        <v>4954</v>
      </c>
      <c r="G10" s="22">
        <v>0.11799999999999999</v>
      </c>
      <c r="H10" s="24">
        <f>'08 - 2020'!E16-'08 - 2020'!E15</f>
        <v>10.75</v>
      </c>
      <c r="I10" s="24">
        <f>'08 - 2020'!F16-'08 - 2020'!F15</f>
        <v>0</v>
      </c>
      <c r="J10" s="24">
        <f>'08 - 2020'!G16-'08 - 2020'!G15</f>
        <v>21.360000000000582</v>
      </c>
      <c r="K10" s="22">
        <v>0.74</v>
      </c>
      <c r="L10" s="48">
        <v>0</v>
      </c>
      <c r="M10" s="13"/>
    </row>
    <row r="11" spans="1:13" x14ac:dyDescent="0.25">
      <c r="A11" t="s">
        <v>27</v>
      </c>
      <c r="B11">
        <f t="shared" si="0"/>
        <v>10</v>
      </c>
      <c r="C11" s="22">
        <v>8</v>
      </c>
      <c r="D11" s="22">
        <v>2020</v>
      </c>
      <c r="E11" s="24">
        <f>'08 - 2020'!B17-'08 - 2020'!B16</f>
        <v>1972</v>
      </c>
      <c r="F11" s="24">
        <f>'08 - 2020'!C17-'08 - 2020'!C16</f>
        <v>4914</v>
      </c>
      <c r="G11" s="22">
        <v>0.11799999999999999</v>
      </c>
      <c r="H11" s="24">
        <f>'08 - 2020'!E17-'08 - 2020'!E16</f>
        <v>12.710000000000946</v>
      </c>
      <c r="I11" s="24">
        <f>'08 - 2020'!F17-'08 - 2020'!F16</f>
        <v>4.6300000000001091</v>
      </c>
      <c r="J11" s="24">
        <f>'08 - 2020'!G17-'08 - 2020'!G16</f>
        <v>20.619999999998981</v>
      </c>
      <c r="K11" s="22">
        <v>0.74</v>
      </c>
      <c r="L11" s="48">
        <v>0</v>
      </c>
      <c r="M11" s="13"/>
    </row>
    <row r="12" spans="1:13" x14ac:dyDescent="0.25">
      <c r="A12" t="s">
        <v>27</v>
      </c>
      <c r="B12">
        <f t="shared" si="0"/>
        <v>11</v>
      </c>
      <c r="C12" s="22">
        <v>8</v>
      </c>
      <c r="D12" s="22">
        <v>2020</v>
      </c>
      <c r="E12" s="24">
        <f>'08 - 2020'!B18-'08 - 2020'!B17</f>
        <v>2645</v>
      </c>
      <c r="F12" s="24">
        <f>'08 - 2020'!C18-'08 - 2020'!C17</f>
        <v>5163</v>
      </c>
      <c r="G12" s="22">
        <v>0.11799999999999999</v>
      </c>
      <c r="H12" s="24">
        <f>'08 - 2020'!E18-'08 - 2020'!E17</f>
        <v>11.139999999999418</v>
      </c>
      <c r="I12" s="24">
        <f>'08 - 2020'!F18-'08 - 2020'!F17</f>
        <v>5.1099999999996726</v>
      </c>
      <c r="J12" s="24">
        <f>'08 - 2020'!G18-'08 - 2020'!G17</f>
        <v>21.110000000000582</v>
      </c>
      <c r="K12" s="22">
        <v>0.74</v>
      </c>
      <c r="L12" s="24">
        <v>0</v>
      </c>
      <c r="M12" s="13"/>
    </row>
    <row r="13" spans="1:13" x14ac:dyDescent="0.25">
      <c r="A13" t="s">
        <v>27</v>
      </c>
      <c r="B13">
        <f t="shared" si="0"/>
        <v>12</v>
      </c>
      <c r="C13" s="22">
        <v>8</v>
      </c>
      <c r="D13" s="22">
        <v>2020</v>
      </c>
      <c r="E13" s="24">
        <f>'08 - 2020'!B19-'08 - 2020'!B18</f>
        <v>1486</v>
      </c>
      <c r="F13" s="24">
        <f>'08 - 2020'!C19-'08 - 2020'!C18</f>
        <v>5111</v>
      </c>
      <c r="G13" s="22">
        <v>0.11799999999999999</v>
      </c>
      <c r="H13" s="24">
        <f>'08 - 2020'!E19-'08 - 2020'!E18</f>
        <v>12.559999999999491</v>
      </c>
      <c r="I13" s="24">
        <f>'08 - 2020'!F19-'08 - 2020'!F18</f>
        <v>5.0799999999999272</v>
      </c>
      <c r="J13" s="24">
        <f>'08 - 2020'!G19-'08 - 2020'!G18</f>
        <v>22.419999999998254</v>
      </c>
      <c r="K13" s="22">
        <v>0.74</v>
      </c>
      <c r="L13" s="24">
        <v>0</v>
      </c>
      <c r="M13" s="13"/>
    </row>
    <row r="14" spans="1:13" x14ac:dyDescent="0.25">
      <c r="A14" t="s">
        <v>27</v>
      </c>
      <c r="B14">
        <f t="shared" si="0"/>
        <v>13</v>
      </c>
      <c r="C14" s="22">
        <v>8</v>
      </c>
      <c r="D14" s="22">
        <v>2020</v>
      </c>
      <c r="E14" s="24">
        <f>'08 - 2020'!B20-'08 - 2020'!B19</f>
        <v>2121</v>
      </c>
      <c r="F14" s="24">
        <f>'08 - 2020'!C20-'08 - 2020'!C19</f>
        <v>5130</v>
      </c>
      <c r="G14" s="22">
        <v>0.11799999999999999</v>
      </c>
      <c r="H14" s="24">
        <f>'08 - 2020'!E20-'08 - 2020'!E19</f>
        <v>12.630000000001019</v>
      </c>
      <c r="I14" s="24">
        <f>'08 - 2020'!F20-'08 - 2020'!F19</f>
        <v>5.4500000000002728</v>
      </c>
      <c r="J14" s="24">
        <f>'08 - 2020'!G20-'08 - 2020'!G19</f>
        <v>23.600000000002183</v>
      </c>
      <c r="K14" s="22">
        <v>0.74</v>
      </c>
      <c r="L14" s="24">
        <v>0</v>
      </c>
      <c r="M14" s="13"/>
    </row>
    <row r="15" spans="1:13" x14ac:dyDescent="0.25">
      <c r="A15" t="s">
        <v>27</v>
      </c>
      <c r="B15">
        <f t="shared" si="0"/>
        <v>14</v>
      </c>
      <c r="C15" s="22">
        <v>8</v>
      </c>
      <c r="D15" s="22">
        <v>2020</v>
      </c>
      <c r="E15" s="24">
        <f>'08 - 2020'!B21-'08 - 2020'!B20</f>
        <v>2126</v>
      </c>
      <c r="F15" s="24">
        <f>'08 - 2020'!C21-'08 - 2020'!C20</f>
        <v>5293</v>
      </c>
      <c r="G15" s="22">
        <v>0.11799999999999999</v>
      </c>
      <c r="H15" s="24">
        <f>'08 - 2020'!E21-'08 - 2020'!E20</f>
        <v>12.8799999999992</v>
      </c>
      <c r="I15" s="24">
        <f>'08 - 2020'!F21-'08 - 2020'!F20</f>
        <v>5.6199999999998909</v>
      </c>
      <c r="J15" s="24">
        <f>'08 - 2020'!G21-'08 - 2020'!G20</f>
        <v>24.139999999999418</v>
      </c>
      <c r="K15" s="22">
        <v>0.74</v>
      </c>
      <c r="L15" s="24">
        <v>0</v>
      </c>
      <c r="M15" s="13"/>
    </row>
    <row r="16" spans="1:13" x14ac:dyDescent="0.25">
      <c r="A16" t="s">
        <v>27</v>
      </c>
      <c r="B16">
        <f t="shared" si="0"/>
        <v>15</v>
      </c>
      <c r="C16" s="22">
        <v>8</v>
      </c>
      <c r="D16" s="22">
        <v>2020</v>
      </c>
      <c r="E16" s="24">
        <f>'08 - 2020'!B22-'08 - 2020'!B21</f>
        <v>2037</v>
      </c>
      <c r="F16" s="24">
        <f>'08 - 2020'!C22-'08 - 2020'!C21</f>
        <v>5224</v>
      </c>
      <c r="G16" s="22">
        <v>0.11799999999999999</v>
      </c>
      <c r="H16" s="24">
        <f>'08 - 2020'!E22-'08 - 2020'!E21</f>
        <v>11.559999999999491</v>
      </c>
      <c r="I16" s="24">
        <f>'08 - 2020'!F22-'08 - 2020'!F21</f>
        <v>5.8699999999998909</v>
      </c>
      <c r="J16" s="24">
        <f>'08 - 2020'!G22-'08 - 2020'!G21</f>
        <v>24.5</v>
      </c>
      <c r="K16" s="22">
        <v>0.74</v>
      </c>
      <c r="L16" s="24">
        <v>0</v>
      </c>
      <c r="M16" s="13"/>
    </row>
    <row r="17" spans="1:13" x14ac:dyDescent="0.25">
      <c r="A17" t="s">
        <v>27</v>
      </c>
      <c r="B17">
        <f t="shared" si="0"/>
        <v>16</v>
      </c>
      <c r="C17" s="22">
        <v>8</v>
      </c>
      <c r="D17" s="22">
        <v>2020</v>
      </c>
      <c r="E17" s="24">
        <f>'08 - 2020'!B23-'08 - 2020'!B22</f>
        <v>1998</v>
      </c>
      <c r="F17" s="24">
        <f>'08 - 2020'!C23-'08 - 2020'!C22</f>
        <v>5162</v>
      </c>
      <c r="G17" s="22">
        <v>0.11799999999999999</v>
      </c>
      <c r="H17" s="24">
        <f>'08 - 2020'!E23-'08 - 2020'!E22</f>
        <v>11.81000000000131</v>
      </c>
      <c r="I17" s="24">
        <f>'08 - 2020'!F23-'08 - 2020'!F22</f>
        <v>0.18000000000029104</v>
      </c>
      <c r="J17" s="24">
        <f>'08 - 2020'!G23-'08 - 2020'!G22</f>
        <v>21.569999999999709</v>
      </c>
      <c r="K17" s="22">
        <v>0.74</v>
      </c>
      <c r="L17" s="24">
        <v>0</v>
      </c>
      <c r="M17" s="13"/>
    </row>
    <row r="18" spans="1:13" x14ac:dyDescent="0.25">
      <c r="A18" t="s">
        <v>27</v>
      </c>
      <c r="B18">
        <f t="shared" si="0"/>
        <v>17</v>
      </c>
      <c r="C18" s="22">
        <v>8</v>
      </c>
      <c r="D18" s="22">
        <v>2020</v>
      </c>
      <c r="E18" s="24">
        <f>'08 - 2020'!B24-'08 - 2020'!B23</f>
        <v>2209</v>
      </c>
      <c r="F18" s="24">
        <f>'08 - 2020'!C24-'08 - 2020'!C23</f>
        <v>5028</v>
      </c>
      <c r="G18" s="22">
        <v>0.11799999999999999</v>
      </c>
      <c r="H18" s="24">
        <f>'08 - 2020'!E24-'08 - 2020'!E23</f>
        <v>13.869999999998981</v>
      </c>
      <c r="I18" s="24">
        <f>'08 - 2020'!F24-'08 - 2020'!F23</f>
        <v>3.1299999999996544</v>
      </c>
      <c r="J18" s="24">
        <f>'08 - 2020'!G24-'08 - 2020'!G23</f>
        <v>21.75</v>
      </c>
      <c r="K18" s="22">
        <v>0.74</v>
      </c>
      <c r="L18" s="24">
        <v>0</v>
      </c>
      <c r="M18" s="13"/>
    </row>
    <row r="19" spans="1:13" x14ac:dyDescent="0.25">
      <c r="A19" t="s">
        <v>27</v>
      </c>
      <c r="B19">
        <f>B18+1</f>
        <v>18</v>
      </c>
      <c r="C19" s="22">
        <v>8</v>
      </c>
      <c r="D19" s="22">
        <v>2020</v>
      </c>
      <c r="E19" s="24">
        <f>'08 - 2020'!B25-'08 - 2020'!B24</f>
        <v>2233</v>
      </c>
      <c r="F19" s="24">
        <f>'08 - 2020'!C25-'08 - 2020'!C24</f>
        <v>5185</v>
      </c>
      <c r="G19" s="22">
        <v>0.11799999999999999</v>
      </c>
      <c r="H19" s="24">
        <f>'08 - 2020'!E25-'08 - 2020'!E24</f>
        <v>12.1200000000008</v>
      </c>
      <c r="I19" s="24">
        <f>'08 - 2020'!F25-'08 - 2020'!F24</f>
        <v>4.3200000000001637</v>
      </c>
      <c r="J19" s="24">
        <f>'08 - 2020'!G25-'08 - 2020'!G24</f>
        <v>21.049999999999272</v>
      </c>
      <c r="K19" s="22">
        <v>0.74</v>
      </c>
      <c r="L19" s="24">
        <v>0</v>
      </c>
      <c r="M19" s="13"/>
    </row>
    <row r="20" spans="1:13" x14ac:dyDescent="0.25">
      <c r="A20" t="s">
        <v>27</v>
      </c>
      <c r="B20">
        <f t="shared" si="0"/>
        <v>19</v>
      </c>
      <c r="C20" s="22">
        <v>8</v>
      </c>
      <c r="D20" s="22">
        <v>2020</v>
      </c>
      <c r="E20" s="24">
        <f>'08 - 2020'!B26-'08 - 2020'!B25</f>
        <v>2346</v>
      </c>
      <c r="F20" s="24">
        <f>'08 - 2020'!C26-'08 - 2020'!C25</f>
        <v>5338</v>
      </c>
      <c r="G20" s="22">
        <v>0.11799999999999999</v>
      </c>
      <c r="H20" s="24">
        <f>'08 - 2020'!E26-'08 - 2020'!E25</f>
        <v>11.109999999998763</v>
      </c>
      <c r="I20" s="24">
        <f>'08 - 2020'!F26-'08 - 2020'!F25</f>
        <v>4.5999999999999091</v>
      </c>
      <c r="J20" s="24">
        <f>'08 - 2020'!G26-'08 - 2020'!G25</f>
        <v>22.459999999999127</v>
      </c>
      <c r="K20" s="22">
        <v>0.74</v>
      </c>
      <c r="L20" s="6">
        <v>0</v>
      </c>
      <c r="M20" s="13"/>
    </row>
    <row r="21" spans="1:13" x14ac:dyDescent="0.25">
      <c r="A21" t="s">
        <v>27</v>
      </c>
      <c r="B21">
        <f t="shared" si="0"/>
        <v>20</v>
      </c>
      <c r="C21" s="22">
        <v>8</v>
      </c>
      <c r="D21" s="22">
        <v>2020</v>
      </c>
      <c r="E21" s="24">
        <f>'08 - 2020'!B27-'08 - 2020'!B26</f>
        <v>2245</v>
      </c>
      <c r="F21" s="24">
        <f>'08 - 2020'!C27-'08 - 2020'!C26</f>
        <v>4969</v>
      </c>
      <c r="G21" s="22">
        <v>0.11799999999999999</v>
      </c>
      <c r="H21" s="24">
        <f>'08 - 2020'!E27-'08 - 2020'!E26</f>
        <v>11.329999999999927</v>
      </c>
      <c r="I21" s="24">
        <f>'08 - 2020'!F27-'08 - 2020'!F26</f>
        <v>4.2699999999999818</v>
      </c>
      <c r="J21" s="24">
        <f>'08 - 2020'!G27-'08 - 2020'!G26</f>
        <v>21.780000000002474</v>
      </c>
      <c r="K21" s="22">
        <v>0.74</v>
      </c>
      <c r="L21" s="6">
        <v>0</v>
      </c>
      <c r="M21" s="13"/>
    </row>
    <row r="22" spans="1:13" x14ac:dyDescent="0.25">
      <c r="A22" t="s">
        <v>27</v>
      </c>
      <c r="B22">
        <f t="shared" si="0"/>
        <v>21</v>
      </c>
      <c r="C22" s="22">
        <v>8</v>
      </c>
      <c r="D22" s="22">
        <v>2020</v>
      </c>
      <c r="E22" s="24">
        <f>'08 - 2020'!B28-'08 - 2020'!B27</f>
        <v>2516</v>
      </c>
      <c r="F22" s="24">
        <f>'08 - 2020'!C28-'08 - 2020'!C27</f>
        <v>5322</v>
      </c>
      <c r="G22" s="22">
        <v>0.11799999999999999</v>
      </c>
      <c r="H22" s="24">
        <f>'08 - 2020'!E28-'08 - 2020'!E27</f>
        <v>12.75</v>
      </c>
      <c r="I22" s="24">
        <f>'08 - 2020'!F28-'08 - 2020'!F27</f>
        <v>5.2600000000002183</v>
      </c>
      <c r="J22" s="24">
        <f>'08 - 2020'!G28-'08 - 2020'!G27</f>
        <v>22.779999999998836</v>
      </c>
      <c r="K22" s="22">
        <v>0.74</v>
      </c>
      <c r="L22" s="24">
        <v>0</v>
      </c>
      <c r="M22" s="13"/>
    </row>
    <row r="23" spans="1:13" x14ac:dyDescent="0.25">
      <c r="A23" t="s">
        <v>27</v>
      </c>
      <c r="B23">
        <f t="shared" si="0"/>
        <v>22</v>
      </c>
      <c r="C23" s="22">
        <v>8</v>
      </c>
      <c r="D23" s="22">
        <v>2020</v>
      </c>
      <c r="E23" s="24">
        <f>'08 - 2020'!B29-'08 - 2020'!B28</f>
        <v>2514</v>
      </c>
      <c r="F23" s="24">
        <f>'08 - 2020'!C29-'08 - 2020'!C28</f>
        <v>5185</v>
      </c>
      <c r="G23" s="22">
        <v>0.11799999999999999</v>
      </c>
      <c r="H23" s="24">
        <f>'08 - 2020'!E29-'08 - 2020'!E28</f>
        <v>13.940000000000509</v>
      </c>
      <c r="I23" s="24">
        <f>'08 - 2020'!F29-'08 - 2020'!F28</f>
        <v>5.2300000000000182</v>
      </c>
      <c r="J23" s="24">
        <f>'08 - 2020'!G29-'08 - 2020'!G28</f>
        <v>27.889999999999418</v>
      </c>
      <c r="K23" s="22">
        <v>0.74</v>
      </c>
      <c r="L23" s="24">
        <v>0</v>
      </c>
      <c r="M23" s="13"/>
    </row>
    <row r="24" spans="1:13" x14ac:dyDescent="0.25">
      <c r="A24" t="s">
        <v>27</v>
      </c>
      <c r="B24">
        <f t="shared" si="0"/>
        <v>23</v>
      </c>
      <c r="C24" s="22">
        <v>8</v>
      </c>
      <c r="D24" s="22">
        <v>2020</v>
      </c>
      <c r="E24" s="24">
        <v>0</v>
      </c>
      <c r="F24" s="24">
        <v>0</v>
      </c>
      <c r="G24" s="22">
        <v>0.11799999999999999</v>
      </c>
      <c r="H24" s="24">
        <v>0</v>
      </c>
      <c r="I24" s="24">
        <v>0</v>
      </c>
      <c r="J24" s="24">
        <v>0</v>
      </c>
      <c r="K24" s="22">
        <v>0.74</v>
      </c>
      <c r="L24" s="24">
        <v>0</v>
      </c>
      <c r="M24" s="13"/>
    </row>
    <row r="25" spans="1:13" x14ac:dyDescent="0.25">
      <c r="A25" t="s">
        <v>27</v>
      </c>
      <c r="B25">
        <f t="shared" si="0"/>
        <v>24</v>
      </c>
      <c r="C25" s="22">
        <v>8</v>
      </c>
      <c r="D25" s="22">
        <v>2020</v>
      </c>
      <c r="E25" s="24">
        <f>'08 - 2020'!B31-'08 - 2020'!B30</f>
        <v>0</v>
      </c>
      <c r="F25" s="24">
        <f>'08 - 2020'!C31-'08 - 2020'!C30</f>
        <v>0</v>
      </c>
      <c r="G25" s="22">
        <v>0.11799999999999999</v>
      </c>
      <c r="H25" s="24">
        <f>'08 - 2020'!E31-'08 - 2020'!E30</f>
        <v>0</v>
      </c>
      <c r="I25" s="24">
        <f>'08 - 2020'!F31-'08 - 2020'!F30</f>
        <v>0</v>
      </c>
      <c r="J25" s="24">
        <f>'08 - 2020'!G31-'08 - 2020'!G30</f>
        <v>0</v>
      </c>
      <c r="K25" s="22">
        <v>0.74</v>
      </c>
      <c r="L25" s="6">
        <v>0</v>
      </c>
      <c r="M25" s="13"/>
    </row>
    <row r="26" spans="1:13" x14ac:dyDescent="0.25">
      <c r="A26" t="s">
        <v>27</v>
      </c>
      <c r="B26">
        <f>B25+1</f>
        <v>25</v>
      </c>
      <c r="C26" s="22">
        <v>8</v>
      </c>
      <c r="D26" s="22">
        <v>2020</v>
      </c>
      <c r="E26" s="24">
        <f>'08 - 2020'!B32-'08 - 2020'!B31</f>
        <v>0</v>
      </c>
      <c r="F26" s="24">
        <f>'08 - 2020'!C32-'08 - 2020'!C31</f>
        <v>0</v>
      </c>
      <c r="G26" s="22">
        <v>0.11799999999999999</v>
      </c>
      <c r="H26" s="24">
        <f>'08 - 2020'!E32-'08 - 2020'!E31</f>
        <v>0</v>
      </c>
      <c r="I26" s="24">
        <f>'08 - 2020'!F32-'08 - 2020'!F31</f>
        <v>0</v>
      </c>
      <c r="J26" s="24">
        <f>'08 - 2020'!G32-'08 - 2020'!G31</f>
        <v>0</v>
      </c>
      <c r="K26" s="22">
        <v>0.74</v>
      </c>
      <c r="L26" s="6">
        <v>0</v>
      </c>
      <c r="M26" s="13"/>
    </row>
    <row r="27" spans="1:13" x14ac:dyDescent="0.25">
      <c r="A27" t="s">
        <v>27</v>
      </c>
      <c r="B27">
        <f t="shared" si="0"/>
        <v>26</v>
      </c>
      <c r="C27" s="22">
        <v>8</v>
      </c>
      <c r="D27" s="22">
        <v>2020</v>
      </c>
      <c r="E27" s="24">
        <f>'08 - 2020'!B33-'08 - 2020'!B32</f>
        <v>0</v>
      </c>
      <c r="F27" s="24">
        <f>'08 - 2020'!C33-'08 - 2020'!C32</f>
        <v>0</v>
      </c>
      <c r="G27" s="22">
        <v>0.11799999999999999</v>
      </c>
      <c r="H27" s="24">
        <f>'08 - 2020'!E33-'08 - 2020'!E32</f>
        <v>0</v>
      </c>
      <c r="I27" s="24">
        <f>'08 - 2020'!F33-'08 - 2020'!F32</f>
        <v>0</v>
      </c>
      <c r="J27" s="24">
        <f>'08 - 2020'!G33-'08 - 2020'!G32</f>
        <v>0</v>
      </c>
      <c r="K27" s="22">
        <v>0.74</v>
      </c>
      <c r="L27" s="6">
        <v>0</v>
      </c>
      <c r="M27" s="13"/>
    </row>
    <row r="28" spans="1:13" x14ac:dyDescent="0.25">
      <c r="A28" t="s">
        <v>27</v>
      </c>
      <c r="B28">
        <f t="shared" si="0"/>
        <v>27</v>
      </c>
      <c r="C28" s="22">
        <v>8</v>
      </c>
      <c r="D28" s="22">
        <v>2020</v>
      </c>
      <c r="E28" s="24">
        <f>'08 - 2020'!B34-'08 - 2020'!B33</f>
        <v>0</v>
      </c>
      <c r="F28" s="24">
        <f>'08 - 2020'!C34-'08 - 2020'!C33</f>
        <v>0</v>
      </c>
      <c r="G28" s="22">
        <v>0.11799999999999999</v>
      </c>
      <c r="H28" s="24">
        <f>'08 - 2020'!E34-'08 - 2020'!E33</f>
        <v>0</v>
      </c>
      <c r="I28" s="24">
        <f>'08 - 2020'!F34-'08 - 2020'!F33</f>
        <v>0</v>
      </c>
      <c r="J28" s="24">
        <f>'08 - 2020'!G34-'08 - 2020'!G33</f>
        <v>0</v>
      </c>
      <c r="K28" s="22">
        <v>0.74</v>
      </c>
      <c r="L28" s="6">
        <v>0</v>
      </c>
      <c r="M28" s="13"/>
    </row>
    <row r="29" spans="1:13" x14ac:dyDescent="0.25">
      <c r="A29" t="s">
        <v>27</v>
      </c>
      <c r="B29">
        <f t="shared" si="0"/>
        <v>28</v>
      </c>
      <c r="C29" s="22">
        <v>8</v>
      </c>
      <c r="D29" s="22">
        <v>2020</v>
      </c>
      <c r="E29" s="24">
        <f>'08 - 2020'!B35-'08 - 2020'!B34</f>
        <v>0</v>
      </c>
      <c r="F29" s="24">
        <f>'08 - 2020'!C35-'08 - 2020'!C34</f>
        <v>0</v>
      </c>
      <c r="G29" s="22">
        <v>0.11799999999999999</v>
      </c>
      <c r="H29" s="24">
        <f>'08 - 2020'!E35-'08 - 2020'!E34</f>
        <v>0</v>
      </c>
      <c r="I29" s="24">
        <f>'08 - 2020'!F35-'08 - 2020'!F34</f>
        <v>0</v>
      </c>
      <c r="J29" s="24">
        <f>'08 - 2020'!G35-'08 - 2020'!G34</f>
        <v>0</v>
      </c>
      <c r="K29" s="22">
        <v>0.74</v>
      </c>
      <c r="L29" s="6">
        <v>0</v>
      </c>
      <c r="M29" s="13"/>
    </row>
    <row r="30" spans="1:13" x14ac:dyDescent="0.25">
      <c r="A30" t="s">
        <v>27</v>
      </c>
      <c r="B30">
        <f t="shared" si="0"/>
        <v>29</v>
      </c>
      <c r="C30" s="22">
        <v>8</v>
      </c>
      <c r="D30" s="22">
        <v>2020</v>
      </c>
      <c r="E30" s="24">
        <f>'08 - 2020'!B36-'08 - 2020'!B35</f>
        <v>0</v>
      </c>
      <c r="F30" s="24">
        <f>'08 - 2020'!C36-'08 - 2020'!C35</f>
        <v>0</v>
      </c>
      <c r="G30" s="22">
        <v>0.11799999999999999</v>
      </c>
      <c r="H30" s="24">
        <f>'08 - 2020'!E36-'08 - 2020'!E35</f>
        <v>0</v>
      </c>
      <c r="I30" s="24">
        <f>'08 - 2020'!F36-'08 - 2020'!F35</f>
        <v>0</v>
      </c>
      <c r="J30" s="24">
        <f>'08 - 2020'!G36-'08 - 2020'!G35</f>
        <v>0</v>
      </c>
      <c r="K30" s="22">
        <v>0.74</v>
      </c>
      <c r="L30" s="6">
        <v>0</v>
      </c>
    </row>
    <row r="31" spans="1:13" x14ac:dyDescent="0.25">
      <c r="A31" s="22" t="s">
        <v>27</v>
      </c>
      <c r="B31" s="22">
        <v>30</v>
      </c>
      <c r="C31" s="22">
        <v>8</v>
      </c>
      <c r="D31" s="22">
        <v>2020</v>
      </c>
      <c r="E31" s="24">
        <f>'08 - 2020'!B37-'08 - 2020'!B36</f>
        <v>0</v>
      </c>
      <c r="F31" s="24">
        <f>'08 - 2020'!C37-'08 - 2020'!C36</f>
        <v>0</v>
      </c>
      <c r="G31" s="22">
        <v>0.11799999999999999</v>
      </c>
      <c r="H31" s="24">
        <f>'08 - 2020'!E37-'08 - 2020'!E36</f>
        <v>0</v>
      </c>
      <c r="I31" s="24">
        <f>'08 - 2020'!F37-'08 - 2020'!F36</f>
        <v>0</v>
      </c>
      <c r="J31" s="24">
        <f>'08 - 2020'!G37-'08 - 2020'!G36</f>
        <v>0</v>
      </c>
      <c r="K31" s="22">
        <v>0.74</v>
      </c>
      <c r="L31" s="24">
        <v>0</v>
      </c>
    </row>
    <row r="32" spans="1:13" x14ac:dyDescent="0.25">
      <c r="A32" s="22" t="s">
        <v>27</v>
      </c>
      <c r="B32" s="22">
        <v>31</v>
      </c>
      <c r="C32" s="22">
        <v>8</v>
      </c>
      <c r="D32" s="22">
        <v>2020</v>
      </c>
      <c r="E32" s="24">
        <f>'08 - 2020'!B38-'08 - 2020'!B37</f>
        <v>0</v>
      </c>
      <c r="F32" s="24">
        <f>'08 - 2020'!C38-'08 - 2020'!C37</f>
        <v>0</v>
      </c>
      <c r="G32" s="22">
        <v>0.11799999999999999</v>
      </c>
      <c r="H32" s="24">
        <f>'08 - 2020'!E38-'08 - 2020'!E37</f>
        <v>0</v>
      </c>
      <c r="I32" s="24">
        <f>'08 - 2020'!F38-'08 - 2020'!F37</f>
        <v>0</v>
      </c>
      <c r="J32" s="24">
        <f>'08 - 2020'!G38-'08 - 2020'!G37</f>
        <v>0</v>
      </c>
      <c r="K32" s="22">
        <v>0.74</v>
      </c>
      <c r="L32" s="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Normal="100" workbookViewId="0">
      <selection activeCell="C33" sqref="C33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  <c r="K3" s="22"/>
      <c r="L3" s="22"/>
      <c r="M3" s="22"/>
    </row>
    <row r="4" spans="1:15" ht="16.5" thickBot="1" x14ac:dyDescent="0.3">
      <c r="A4" s="63" t="s">
        <v>36</v>
      </c>
      <c r="B4" s="63"/>
      <c r="C4" s="63"/>
      <c r="D4" s="63"/>
      <c r="E4" s="63"/>
      <c r="F4" s="63"/>
      <c r="G4" s="63"/>
      <c r="H4" s="63"/>
      <c r="I4" s="63"/>
      <c r="J4" s="63"/>
      <c r="K4" s="22"/>
      <c r="L4" s="22"/>
      <c r="M4" s="22"/>
    </row>
    <row r="5" spans="1:15" ht="16.5" thickBot="1" x14ac:dyDescent="0.3">
      <c r="A5" s="2"/>
      <c r="B5" s="64" t="s">
        <v>37</v>
      </c>
      <c r="C5" s="65"/>
      <c r="D5" s="64" t="s">
        <v>0</v>
      </c>
      <c r="E5" s="66"/>
      <c r="F5" s="66"/>
      <c r="G5" s="67"/>
      <c r="H5" s="68" t="s">
        <v>1</v>
      </c>
      <c r="I5" s="69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44043</v>
      </c>
      <c r="B7" s="15">
        <v>747680</v>
      </c>
      <c r="C7" s="15">
        <v>1116307</v>
      </c>
      <c r="D7" s="16">
        <v>0.66</v>
      </c>
      <c r="E7" s="17">
        <v>11345.99</v>
      </c>
      <c r="F7" s="17">
        <v>2189.85</v>
      </c>
      <c r="G7" s="17">
        <v>20199.349999999999</v>
      </c>
      <c r="H7" s="15">
        <v>14528</v>
      </c>
      <c r="I7" s="15">
        <v>95704</v>
      </c>
      <c r="J7" s="15">
        <v>39962872</v>
      </c>
      <c r="K7" s="52"/>
      <c r="L7" s="53"/>
      <c r="M7" s="46"/>
    </row>
    <row r="8" spans="1:15" ht="12.75" customHeight="1" x14ac:dyDescent="0.25">
      <c r="A8" s="45">
        <v>44044</v>
      </c>
      <c r="B8" s="34">
        <v>749482</v>
      </c>
      <c r="C8" s="35">
        <v>1120950</v>
      </c>
      <c r="D8" s="36">
        <v>0.6</v>
      </c>
      <c r="E8" s="37">
        <v>11358.25</v>
      </c>
      <c r="F8" s="37">
        <v>2195.91</v>
      </c>
      <c r="G8" s="37">
        <v>20220.310000000001</v>
      </c>
      <c r="H8" s="38">
        <v>14528</v>
      </c>
      <c r="I8" s="38">
        <v>95748</v>
      </c>
      <c r="J8" s="38">
        <v>39991364</v>
      </c>
      <c r="K8" s="39"/>
      <c r="L8" s="40"/>
      <c r="M8" s="46"/>
    </row>
    <row r="9" spans="1:15" ht="12.75" customHeight="1" x14ac:dyDescent="0.25">
      <c r="A9" s="45">
        <v>44045</v>
      </c>
      <c r="B9" s="25">
        <v>751375</v>
      </c>
      <c r="C9" s="19">
        <v>1125905</v>
      </c>
      <c r="D9" s="36">
        <v>0.56000000000000005</v>
      </c>
      <c r="E9" s="21">
        <v>11369.57</v>
      </c>
      <c r="F9" s="21">
        <v>2200.41</v>
      </c>
      <c r="G9" s="21">
        <v>20242.07</v>
      </c>
      <c r="H9" s="19">
        <v>14528</v>
      </c>
      <c r="I9" s="15">
        <v>95798</v>
      </c>
      <c r="J9" s="15">
        <v>40023059</v>
      </c>
      <c r="K9" s="18"/>
      <c r="L9" s="30"/>
      <c r="M9" s="46"/>
    </row>
    <row r="10" spans="1:15" ht="12.75" customHeight="1" x14ac:dyDescent="0.25">
      <c r="A10" s="45">
        <v>44046</v>
      </c>
      <c r="B10" s="15">
        <v>753335</v>
      </c>
      <c r="C10" s="15">
        <v>1130796</v>
      </c>
      <c r="D10" s="16">
        <v>0.51</v>
      </c>
      <c r="E10" s="21">
        <v>11381.23</v>
      </c>
      <c r="F10" s="21">
        <v>2204.92</v>
      </c>
      <c r="G10" s="21">
        <v>20267.18</v>
      </c>
      <c r="H10" s="19">
        <v>14528</v>
      </c>
      <c r="I10" s="15">
        <v>95842</v>
      </c>
      <c r="J10" s="61">
        <v>40054010</v>
      </c>
      <c r="K10" s="18"/>
      <c r="L10" s="30"/>
      <c r="M10" s="46"/>
    </row>
    <row r="11" spans="1:15" ht="12.75" customHeight="1" x14ac:dyDescent="0.25">
      <c r="A11" s="45">
        <v>44047</v>
      </c>
      <c r="B11" s="15">
        <v>755180</v>
      </c>
      <c r="C11" s="15">
        <v>1135251</v>
      </c>
      <c r="D11" s="16">
        <v>0.47</v>
      </c>
      <c r="E11" s="21">
        <v>11393</v>
      </c>
      <c r="F11" s="21">
        <v>2210.48</v>
      </c>
      <c r="G11" s="21">
        <v>20284.919999999998</v>
      </c>
      <c r="H11" s="19">
        <v>14528</v>
      </c>
      <c r="I11" s="15">
        <v>95883</v>
      </c>
      <c r="J11" s="15">
        <v>40083191</v>
      </c>
      <c r="K11" s="18"/>
      <c r="L11" s="30"/>
      <c r="M11" s="46"/>
    </row>
    <row r="12" spans="1:15" ht="12.75" customHeight="1" x14ac:dyDescent="0.25">
      <c r="A12" s="45">
        <v>44048</v>
      </c>
      <c r="B12" s="15">
        <v>757063</v>
      </c>
      <c r="C12" s="15">
        <v>1139809</v>
      </c>
      <c r="D12" s="16">
        <v>0.42</v>
      </c>
      <c r="E12" s="21">
        <v>11405.02</v>
      </c>
      <c r="F12" s="21">
        <v>2214.69</v>
      </c>
      <c r="G12" s="21">
        <v>20307.03</v>
      </c>
      <c r="H12" s="15">
        <v>14528</v>
      </c>
      <c r="I12" s="15">
        <v>95922</v>
      </c>
      <c r="J12" s="15">
        <v>40115558</v>
      </c>
      <c r="K12" s="18"/>
      <c r="L12" s="30"/>
      <c r="M12" s="46"/>
    </row>
    <row r="13" spans="1:15" ht="12.75" customHeight="1" x14ac:dyDescent="0.25">
      <c r="A13" s="45">
        <v>44049</v>
      </c>
      <c r="B13" s="15">
        <v>759000</v>
      </c>
      <c r="C13" s="15">
        <v>1144856</v>
      </c>
      <c r="D13" s="16">
        <v>0.36</v>
      </c>
      <c r="E13" s="21">
        <v>11417.86</v>
      </c>
      <c r="F13" s="21">
        <v>2218.8000000000002</v>
      </c>
      <c r="G13" s="21">
        <v>20329.11</v>
      </c>
      <c r="H13" s="15">
        <v>14528</v>
      </c>
      <c r="I13" s="17">
        <v>95966</v>
      </c>
      <c r="J13" s="17">
        <v>40154326</v>
      </c>
      <c r="K13" s="18"/>
      <c r="L13" s="30"/>
      <c r="M13" s="46"/>
    </row>
    <row r="14" spans="1:15" ht="12.75" customHeight="1" x14ac:dyDescent="0.25">
      <c r="A14" s="45">
        <v>44050</v>
      </c>
      <c r="B14" s="15">
        <v>761045</v>
      </c>
      <c r="C14" s="15">
        <v>1149959</v>
      </c>
      <c r="D14" s="16">
        <v>0.3</v>
      </c>
      <c r="E14" s="21">
        <v>11429.38</v>
      </c>
      <c r="F14" s="21">
        <v>2224.33</v>
      </c>
      <c r="G14" s="17">
        <v>20353.3</v>
      </c>
      <c r="H14" s="15">
        <v>14528</v>
      </c>
      <c r="I14" s="15">
        <v>96014</v>
      </c>
      <c r="J14" s="15">
        <v>40196572</v>
      </c>
      <c r="K14" s="25"/>
      <c r="L14" s="30"/>
      <c r="M14" s="46"/>
      <c r="O14" s="24"/>
    </row>
    <row r="15" spans="1:15" ht="12.75" customHeight="1" x14ac:dyDescent="0.25">
      <c r="A15" s="45">
        <v>44051</v>
      </c>
      <c r="B15" s="19">
        <v>763077</v>
      </c>
      <c r="C15" s="15">
        <v>1155129</v>
      </c>
      <c r="D15" s="16">
        <v>0.82</v>
      </c>
      <c r="E15" s="21">
        <v>11444.66</v>
      </c>
      <c r="F15" s="21">
        <v>2229.38</v>
      </c>
      <c r="G15" s="17">
        <v>20378.88</v>
      </c>
      <c r="H15" s="15">
        <v>14528</v>
      </c>
      <c r="I15" s="15">
        <v>96063</v>
      </c>
      <c r="J15" s="15">
        <v>40237273</v>
      </c>
      <c r="K15" s="18"/>
      <c r="L15" s="30"/>
      <c r="M15" s="46"/>
      <c r="O15" s="24"/>
    </row>
    <row r="16" spans="1:15" ht="12.75" customHeight="1" x14ac:dyDescent="0.25">
      <c r="A16" s="45">
        <v>44052</v>
      </c>
      <c r="B16" s="46">
        <v>765050</v>
      </c>
      <c r="C16" s="15">
        <v>1160083</v>
      </c>
      <c r="D16" s="16">
        <v>0.78</v>
      </c>
      <c r="E16" s="21">
        <v>11455.41</v>
      </c>
      <c r="F16" s="21">
        <v>2229.38</v>
      </c>
      <c r="G16" s="17">
        <v>20400.240000000002</v>
      </c>
      <c r="H16" s="15">
        <v>14528</v>
      </c>
      <c r="I16" s="15">
        <v>96107</v>
      </c>
      <c r="J16" s="15">
        <v>40275692</v>
      </c>
      <c r="K16" s="18"/>
      <c r="L16" s="30"/>
      <c r="M16" s="46"/>
    </row>
    <row r="17" spans="1:16" ht="12.75" customHeight="1" x14ac:dyDescent="0.25">
      <c r="A17" s="45">
        <v>44053</v>
      </c>
      <c r="B17" s="17">
        <v>767022</v>
      </c>
      <c r="C17" s="17">
        <v>1164997</v>
      </c>
      <c r="D17" s="26">
        <v>0.73</v>
      </c>
      <c r="E17" s="21">
        <v>11468.12</v>
      </c>
      <c r="F17" s="21">
        <v>2234.0100000000002</v>
      </c>
      <c r="G17" s="17">
        <v>20420.86</v>
      </c>
      <c r="H17" s="15">
        <v>14528</v>
      </c>
      <c r="I17" s="17">
        <v>96144</v>
      </c>
      <c r="J17" s="17">
        <v>40311724</v>
      </c>
      <c r="K17" s="18"/>
      <c r="L17" s="30"/>
      <c r="M17" s="46"/>
    </row>
    <row r="18" spans="1:16" ht="12.75" customHeight="1" x14ac:dyDescent="0.25">
      <c r="A18" s="45">
        <v>44054</v>
      </c>
      <c r="B18" s="15">
        <v>769667</v>
      </c>
      <c r="C18" s="15">
        <v>1170160</v>
      </c>
      <c r="D18" s="16">
        <v>0.69</v>
      </c>
      <c r="E18" s="21">
        <v>11479.26</v>
      </c>
      <c r="F18" s="21">
        <v>2239.12</v>
      </c>
      <c r="G18" s="17">
        <v>20441.97</v>
      </c>
      <c r="H18" s="15">
        <v>14528</v>
      </c>
      <c r="I18" s="15">
        <v>96190</v>
      </c>
      <c r="J18" s="15">
        <v>40352169</v>
      </c>
      <c r="K18" s="18"/>
      <c r="L18" s="30"/>
      <c r="M18" s="46"/>
      <c r="P18" s="24"/>
    </row>
    <row r="19" spans="1:16" ht="12.75" customHeight="1" x14ac:dyDescent="0.25">
      <c r="A19" s="45">
        <v>44055</v>
      </c>
      <c r="B19" s="57">
        <v>771153</v>
      </c>
      <c r="C19" s="57">
        <v>1175271</v>
      </c>
      <c r="D19" s="16">
        <v>0.64</v>
      </c>
      <c r="E19" s="58">
        <v>11491.82</v>
      </c>
      <c r="F19" s="21">
        <v>2244.1999999999998</v>
      </c>
      <c r="G19" s="58">
        <v>20464.39</v>
      </c>
      <c r="H19" s="15">
        <v>14528</v>
      </c>
      <c r="I19" s="57">
        <v>96228</v>
      </c>
      <c r="J19" s="57">
        <v>40390886</v>
      </c>
      <c r="K19" s="18"/>
      <c r="L19" s="30"/>
      <c r="M19" s="46"/>
      <c r="P19" s="24"/>
    </row>
    <row r="20" spans="1:16" ht="12.75" customHeight="1" x14ac:dyDescent="0.25">
      <c r="A20" s="45">
        <v>44056</v>
      </c>
      <c r="B20" s="57">
        <v>773274</v>
      </c>
      <c r="C20" s="57">
        <v>1180401</v>
      </c>
      <c r="D20" s="16">
        <v>0.6</v>
      </c>
      <c r="E20" s="58">
        <v>11504.45</v>
      </c>
      <c r="F20" s="21">
        <v>2249.65</v>
      </c>
      <c r="G20" s="58">
        <v>20487.990000000002</v>
      </c>
      <c r="H20" s="15">
        <v>14528</v>
      </c>
      <c r="I20" s="57">
        <v>96269</v>
      </c>
      <c r="J20" s="57">
        <v>40433731</v>
      </c>
      <c r="K20" s="18"/>
      <c r="L20" s="30"/>
      <c r="M20" s="46"/>
    </row>
    <row r="21" spans="1:16" ht="12.75" customHeight="1" x14ac:dyDescent="0.25">
      <c r="A21" s="45">
        <v>44057</v>
      </c>
      <c r="B21" s="57">
        <v>775400</v>
      </c>
      <c r="C21" s="57">
        <v>1185694</v>
      </c>
      <c r="D21" s="16">
        <v>0.54</v>
      </c>
      <c r="E21" s="58">
        <v>11517.33</v>
      </c>
      <c r="F21" s="21">
        <v>2255.27</v>
      </c>
      <c r="G21" s="58">
        <v>20512.13</v>
      </c>
      <c r="H21" s="15">
        <v>14528</v>
      </c>
      <c r="I21" s="57">
        <v>96321</v>
      </c>
      <c r="J21" s="57">
        <v>40475699</v>
      </c>
      <c r="K21" s="18"/>
      <c r="L21" s="30"/>
      <c r="M21" s="46"/>
    </row>
    <row r="22" spans="1:16" ht="12.75" customHeight="1" x14ac:dyDescent="0.25">
      <c r="A22" s="45">
        <v>44058</v>
      </c>
      <c r="B22" s="57">
        <v>777437</v>
      </c>
      <c r="C22" s="57">
        <v>1190918</v>
      </c>
      <c r="D22" s="16">
        <v>0.49</v>
      </c>
      <c r="E22" s="58">
        <v>11528.89</v>
      </c>
      <c r="F22" s="21">
        <v>2261.14</v>
      </c>
      <c r="G22" s="58">
        <v>20536.63</v>
      </c>
      <c r="H22" s="15">
        <v>14528</v>
      </c>
      <c r="I22" s="58">
        <v>96368</v>
      </c>
      <c r="J22" s="57">
        <v>40515177</v>
      </c>
      <c r="K22" s="25"/>
      <c r="L22" s="30"/>
      <c r="M22" s="46"/>
    </row>
    <row r="23" spans="1:16" ht="12.75" customHeight="1" x14ac:dyDescent="0.25">
      <c r="A23" s="45">
        <v>44059</v>
      </c>
      <c r="B23" s="57">
        <v>779435</v>
      </c>
      <c r="C23" s="57">
        <v>1196080</v>
      </c>
      <c r="D23" s="16">
        <v>0.45</v>
      </c>
      <c r="E23" s="58">
        <v>11540.7</v>
      </c>
      <c r="F23" s="21">
        <v>2261.3200000000002</v>
      </c>
      <c r="G23" s="58">
        <v>20558.2</v>
      </c>
      <c r="H23" s="15">
        <v>14528</v>
      </c>
      <c r="I23" s="57">
        <v>96410</v>
      </c>
      <c r="J23" s="57">
        <v>40555970</v>
      </c>
      <c r="K23" s="25"/>
      <c r="L23" s="30"/>
      <c r="M23" s="46"/>
    </row>
    <row r="24" spans="1:16" ht="12.75" customHeight="1" x14ac:dyDescent="0.25">
      <c r="A24" s="45">
        <v>44060</v>
      </c>
      <c r="B24" s="57">
        <v>781644</v>
      </c>
      <c r="C24" s="57">
        <v>1201108</v>
      </c>
      <c r="D24" s="16">
        <v>0.4</v>
      </c>
      <c r="E24" s="58">
        <v>11554.57</v>
      </c>
      <c r="F24" s="21">
        <v>2264.4499999999998</v>
      </c>
      <c r="G24" s="58">
        <v>20579.95</v>
      </c>
      <c r="H24" s="15">
        <v>14528</v>
      </c>
      <c r="I24" s="57">
        <v>96449</v>
      </c>
      <c r="J24" s="57">
        <v>40597100</v>
      </c>
      <c r="K24" s="18"/>
      <c r="L24" s="31"/>
      <c r="M24" s="46"/>
    </row>
    <row r="25" spans="1:16" ht="12.75" customHeight="1" x14ac:dyDescent="0.25">
      <c r="A25" s="45">
        <v>44061</v>
      </c>
      <c r="B25" s="58">
        <v>783877</v>
      </c>
      <c r="C25" s="58">
        <v>1206293</v>
      </c>
      <c r="D25" s="26">
        <v>0.35</v>
      </c>
      <c r="E25" s="58">
        <v>11566.69</v>
      </c>
      <c r="F25" s="21">
        <v>2268.77</v>
      </c>
      <c r="G25" s="58">
        <v>20601</v>
      </c>
      <c r="H25" s="15">
        <v>14528</v>
      </c>
      <c r="I25" s="57">
        <v>96489</v>
      </c>
      <c r="J25" s="57">
        <v>40642819</v>
      </c>
      <c r="K25" s="25"/>
      <c r="L25" s="31"/>
      <c r="M25" s="46"/>
    </row>
    <row r="26" spans="1:16" ht="12.75" customHeight="1" x14ac:dyDescent="0.25">
      <c r="A26" s="45">
        <v>44062</v>
      </c>
      <c r="B26" s="58">
        <v>786223</v>
      </c>
      <c r="C26" s="58">
        <v>1211631</v>
      </c>
      <c r="D26" s="26">
        <v>0.3</v>
      </c>
      <c r="E26" s="58">
        <v>11577.8</v>
      </c>
      <c r="F26" s="21">
        <v>2273.37</v>
      </c>
      <c r="G26" s="58">
        <v>20623.46</v>
      </c>
      <c r="H26" s="15">
        <v>14528</v>
      </c>
      <c r="I26" s="57">
        <v>96530</v>
      </c>
      <c r="J26" s="57">
        <v>40685701</v>
      </c>
      <c r="K26" s="25"/>
      <c r="L26" s="31"/>
      <c r="M26" s="46"/>
    </row>
    <row r="27" spans="1:16" ht="12.75" customHeight="1" x14ac:dyDescent="0.25">
      <c r="A27" s="45">
        <v>44063</v>
      </c>
      <c r="B27" s="57">
        <v>788468</v>
      </c>
      <c r="C27" s="57">
        <v>1216600</v>
      </c>
      <c r="D27" s="16">
        <v>0.25</v>
      </c>
      <c r="E27" s="58">
        <v>11589.13</v>
      </c>
      <c r="F27" s="21">
        <v>2277.64</v>
      </c>
      <c r="G27" s="58">
        <v>20645.240000000002</v>
      </c>
      <c r="H27" s="15">
        <v>14528</v>
      </c>
      <c r="I27" s="57">
        <v>96572</v>
      </c>
      <c r="J27" s="57">
        <v>40726731</v>
      </c>
      <c r="K27" s="18"/>
      <c r="L27" s="30"/>
      <c r="M27" s="46"/>
    </row>
    <row r="28" spans="1:16" ht="12.75" customHeight="1" x14ac:dyDescent="0.25">
      <c r="A28" s="45">
        <v>44064</v>
      </c>
      <c r="B28" s="59">
        <v>790984</v>
      </c>
      <c r="C28" s="57">
        <v>1221922</v>
      </c>
      <c r="D28" s="16">
        <v>0.85</v>
      </c>
      <c r="E28" s="58">
        <v>11601.88</v>
      </c>
      <c r="F28" s="21">
        <v>2282.9</v>
      </c>
      <c r="G28" s="58">
        <v>20668.02</v>
      </c>
      <c r="H28" s="15">
        <v>14528</v>
      </c>
      <c r="I28" s="57">
        <v>96623</v>
      </c>
      <c r="J28" s="57">
        <v>40775385</v>
      </c>
      <c r="K28" s="18" t="s">
        <v>38</v>
      </c>
      <c r="L28" s="30"/>
      <c r="M28" s="46"/>
    </row>
    <row r="29" spans="1:16" ht="12.75" customHeight="1" x14ac:dyDescent="0.25">
      <c r="A29" s="45">
        <v>44065</v>
      </c>
      <c r="B29" s="57">
        <v>793498</v>
      </c>
      <c r="C29" s="57">
        <v>1227107</v>
      </c>
      <c r="D29" s="16">
        <v>0.8</v>
      </c>
      <c r="E29" s="58">
        <v>11615.82</v>
      </c>
      <c r="F29" s="21">
        <v>2288.13</v>
      </c>
      <c r="G29" s="58">
        <v>20695.91</v>
      </c>
      <c r="H29" s="15">
        <v>14528</v>
      </c>
      <c r="I29" s="57">
        <v>96669</v>
      </c>
      <c r="J29" s="57">
        <v>40820498</v>
      </c>
      <c r="K29" s="18"/>
      <c r="L29" s="30"/>
      <c r="M29" s="46"/>
      <c r="P29" s="6"/>
    </row>
    <row r="30" spans="1:16" ht="12.75" customHeight="1" x14ac:dyDescent="0.25">
      <c r="A30" s="45">
        <v>44066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v>44067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v>44068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v>44069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v>44070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v>44071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v>44072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v>44073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5">
        <v>44074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30"/>
      <c r="M38" s="46"/>
    </row>
    <row r="39" spans="1:16" x14ac:dyDescent="0.25">
      <c r="A39" s="47" t="s">
        <v>35</v>
      </c>
      <c r="B39" s="33">
        <f>B36-B7</f>
        <v>-747680</v>
      </c>
      <c r="C39" s="33">
        <f>C36-C7</f>
        <v>-1116307</v>
      </c>
      <c r="D39" s="33">
        <v>0</v>
      </c>
      <c r="E39" s="33">
        <f t="shared" ref="E39:J39" si="0">E36-E7</f>
        <v>-11345.99</v>
      </c>
      <c r="F39" s="33">
        <f t="shared" si="0"/>
        <v>-2189.85</v>
      </c>
      <c r="G39" s="33">
        <f t="shared" si="0"/>
        <v>-20199.349999999999</v>
      </c>
      <c r="H39" s="33">
        <f t="shared" si="0"/>
        <v>-14528</v>
      </c>
      <c r="I39" s="33">
        <f t="shared" si="0"/>
        <v>-95704</v>
      </c>
      <c r="J39" s="33">
        <f t="shared" si="0"/>
        <v>-39962872</v>
      </c>
      <c r="K39" s="33">
        <f>SUM(K7:K38)</f>
        <v>0</v>
      </c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-3195709.6319999998</v>
      </c>
      <c r="I40" s="33">
        <f>I39*219.969</f>
        <v>-21051913.175999999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08 - 2020</vt:lpstr>
      <vt:lpstr>'08 - 2020'!Print_Area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2020-08-22T04:30:32Z</dcterms:modified>
</cp:coreProperties>
</file>