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29" i="7" l="1"/>
  <c r="BL27" i="7"/>
  <c r="BL28" i="7"/>
  <c r="BL30" i="7"/>
  <c r="AP29" i="7"/>
  <c r="AP30" i="7"/>
  <c r="AP31" i="7"/>
  <c r="AJ21" i="7" l="1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20" i="7" l="1"/>
  <c r="AJ19" i="7"/>
  <c r="CJ24" i="7" l="1"/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<sst xmlns="http://schemas.openxmlformats.org/spreadsheetml/2006/main" count="317" uniqueCount="149">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</sst>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13900.000000001244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121</v>
      </c>
      <c r="J22" s="11">
        <f t="shared" si="2"/>
        <v>10.487297712684205</v>
      </c>
      <c r="K22" s="13">
        <f>'FS Desroches Daily'!CN24</f>
        <v>44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13499.999999999212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39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14400.000000000524</v>
      </c>
      <c r="F24" s="11">
        <f t="shared" si="0"/>
        <v>0.58765030286592534</v>
      </c>
      <c r="G24" s="12">
        <f>(Submetering!AX24+Submetering!AY24+Submetering!AZ24+Submetering!BA24+Submetering!BB24)</f>
        <v>16.483499999999999</v>
      </c>
      <c r="H24" s="11">
        <f t="shared" si="1"/>
        <v>0.99</v>
      </c>
      <c r="I24" s="12">
        <f>'FS Desroches Daily'!CM26</f>
        <v>179</v>
      </c>
      <c r="J24" s="11">
        <f t="shared" si="2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14599.999999999916</v>
      </c>
      <c r="F25" s="11">
        <f t="shared" si="0"/>
        <v>0.58765030286592534</v>
      </c>
      <c r="G25" s="12">
        <f>(Submetering!AX25+Submetering!AY25+Submetering!AZ25+Submetering!BA25+Submetering!BB25)</f>
        <v>9.1574999999999989</v>
      </c>
      <c r="H25" s="11">
        <f t="shared" si="1"/>
        <v>0.99</v>
      </c>
      <c r="I25" s="12">
        <f>'FS Desroches Daily'!CM27</f>
        <v>146</v>
      </c>
      <c r="J25" s="11">
        <f t="shared" si="2"/>
        <v>10.487297712684205</v>
      </c>
      <c r="K25" s="13">
        <f>'FS Desroches Daily'!CN27</f>
        <v>39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14299.999999999425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154.5</v>
      </c>
      <c r="J26" s="11">
        <f t="shared" si="2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13700.000000000453</v>
      </c>
      <c r="F27" s="11">
        <f t="shared" si="0"/>
        <v>0.58765030286592534</v>
      </c>
      <c r="G27" s="12">
        <f>(Submetering!AX27+Submetering!AY27+Submetering!AZ27+Submetering!BA27+Submetering!BB27)</f>
        <v>7.3259999999999996</v>
      </c>
      <c r="H27" s="11">
        <f t="shared" si="1"/>
        <v>0.99</v>
      </c>
      <c r="I27" s="12">
        <f>'FS Desroches Daily'!CM29</f>
        <v>149.70000000000073</v>
      </c>
      <c r="J27" s="11">
        <f t="shared" si="2"/>
        <v>10.487297712684205</v>
      </c>
      <c r="K27" s="13">
        <f>'FS Desroches Daily'!CN29</f>
        <v>45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14599.999999999614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137.79999999999927</v>
      </c>
      <c r="J28" s="11">
        <f t="shared" si="2"/>
        <v>10.487297712684205</v>
      </c>
      <c r="K28" s="13">
        <f>'FS Desroches Daily'!CN30</f>
        <v>47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 t="e">
        <f>Submetering!E29+Submetering!F29+Submetering!G29+Submetering!H29+Submetering!J29-Submetering!AV29</f>
        <v>#VALUE!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 t="e">
        <f>'FS Desroches Daily'!CM31</f>
        <v>#VALUE!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720.00000000002728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600.00000000002274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600.00000000002274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3000.0000000001137</v>
      </c>
      <c r="F22" s="32">
        <f>'FS Desroches Daily'!F24</f>
        <v>4000.0000000004475</v>
      </c>
      <c r="G22" s="31">
        <f>'FS Desroches Daily'!H24</f>
        <v>4000.0000000004475</v>
      </c>
      <c r="H22" s="32">
        <f>'FS Desroches Daily'!J24</f>
        <v>2000.0000000002237</v>
      </c>
      <c r="I22" s="31">
        <f>'FS Desroches Daily'!L24</f>
        <v>2800.0000000001355</v>
      </c>
      <c r="J22" s="32">
        <f>'FS Desroches Daily'!N24</f>
        <v>1900.0000000000127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1500</v>
      </c>
      <c r="N22" s="31">
        <f>'FS Desroches Daily'!V24</f>
        <v>463.40000000002328</v>
      </c>
      <c r="O22" s="31">
        <f>'FS Desroches Daily'!X24</f>
        <v>379.99999999999545</v>
      </c>
      <c r="P22" s="31">
        <f>'FS Desroches Daily'!Z24</f>
        <v>3000.0000000001137</v>
      </c>
      <c r="Q22" s="31">
        <f>'FS Desroches Daily'!AB24</f>
        <v>440.00000000005457</v>
      </c>
      <c r="R22" s="31">
        <f>'FS Desroches Daily'!AD24</f>
        <v>409.99999999996817</v>
      </c>
      <c r="S22" s="31">
        <f>'FS Desroches Daily'!AF24</f>
        <v>909.99999999996817</v>
      </c>
      <c r="T22" s="31">
        <f>'FS Desroches Daily'!AH24</f>
        <v>42</v>
      </c>
      <c r="U22" s="35">
        <f>'FS Desroches Daily'!AJ24</f>
        <v>699.99999999993179</v>
      </c>
      <c r="V22" s="35">
        <f>'FS Desroches Daily'!AL24</f>
        <v>310.00000000000227</v>
      </c>
      <c r="W22" s="35">
        <f>'FS Desroches Daily'!AN24</f>
        <v>209.99999999997954</v>
      </c>
      <c r="X22" s="35">
        <f>'FS Desroches Daily'!AP24</f>
        <v>230.00000000001819</v>
      </c>
      <c r="Y22" s="35">
        <f>'FS Desroches Daily'!AR24</f>
        <v>250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180.00000000000682</v>
      </c>
      <c r="AC22" s="35">
        <f>'FS Desroches Daily'!AZ24</f>
        <v>120.00000000000455</v>
      </c>
      <c r="AD22" s="35">
        <f>'FS Desroches Daily'!BB24</f>
        <v>230.00000000001819</v>
      </c>
      <c r="AE22" s="35">
        <f>'FS Desroches Daily'!BD24</f>
        <v>160.00000000002501</v>
      </c>
      <c r="AF22" s="31">
        <f>'FS Desroches Daily'!BF24</f>
        <v>44</v>
      </c>
      <c r="AG22" s="32">
        <f>'FS Desroches Daily'!BH24</f>
        <v>50.000000000011369</v>
      </c>
      <c r="AH22" s="32">
        <f>'FS Desroches Daily'!BJ24</f>
        <v>39.99999999996362</v>
      </c>
      <c r="AI22" s="32">
        <f>'FS Desroches Daily'!BL24</f>
        <v>49.999999999954525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43</v>
      </c>
      <c r="AM22" s="32">
        <f>'FS Desroches Daily'!BT24</f>
        <v>49.999999999982947</v>
      </c>
      <c r="AN22" s="32">
        <f>'FS Desroches Daily'!BV24</f>
        <v>47</v>
      </c>
      <c r="AO22" s="32">
        <f>'FS Desroches Daily'!BX24</f>
        <v>40.000000000020464</v>
      </c>
      <c r="AP22" s="32">
        <f>'FS Desroches Daily'!BZ24</f>
        <v>51</v>
      </c>
      <c r="AQ22" s="31">
        <f>'FS Desroches Daily'!CB24</f>
        <v>62.69999999999709</v>
      </c>
      <c r="AR22" s="31">
        <f>'FS Desroches Daily'!CD24</f>
        <v>16.399999999997817</v>
      </c>
      <c r="AS22" s="31">
        <f>'FS Desroches Daily'!CF24</f>
        <v>4.7000000000007276</v>
      </c>
      <c r="AT22" s="31">
        <f>'FS Desroches Daily'!CH24</f>
        <v>59.5</v>
      </c>
      <c r="AU22" s="31">
        <f>'FS Desroches Daily'!CJ24</f>
        <v>325</v>
      </c>
      <c r="AV22" s="31">
        <f>'FS Desroches Daily'!CL24</f>
        <v>1000</v>
      </c>
      <c r="AW22" s="31">
        <f>'FS Desroches Daily'!CM24</f>
        <v>121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44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3400.0000000000696</v>
      </c>
      <c r="F23" s="32">
        <f>'FS Desroches Daily'!F25</f>
        <v>3000.0000000001137</v>
      </c>
      <c r="G23" s="31">
        <f>'FS Desroches Daily'!H25</f>
        <v>3999.9999999995593</v>
      </c>
      <c r="H23" s="32">
        <f>'FS Desroches Daily'!J25</f>
        <v>1999.9999999997797</v>
      </c>
      <c r="I23" s="31">
        <f>'FS Desroches Daily'!L25</f>
        <v>2699.9999999999245</v>
      </c>
      <c r="J23" s="32">
        <f>'FS Desroches Daily'!N25</f>
        <v>1999.9999999997797</v>
      </c>
      <c r="K23" s="13">
        <f>'FS Desroches Daily'!P25</f>
        <v>22</v>
      </c>
      <c r="L23" s="31">
        <f>'FS Desroches Daily'!R25</f>
        <v>7</v>
      </c>
      <c r="M23" s="31">
        <f>'FS Desroches Daily'!T25</f>
        <v>1900.0000000000909</v>
      </c>
      <c r="N23" s="31">
        <f>'FS Desroches Daily'!V25</f>
        <v>689.19999999995343</v>
      </c>
      <c r="O23" s="31">
        <f>'FS Desroches Daily'!X25</f>
        <v>460.00000000003638</v>
      </c>
      <c r="P23" s="31">
        <f>'FS Desroches Daily'!Z25</f>
        <v>3599.9999999996035</v>
      </c>
      <c r="Q23" s="31">
        <f>'FS Desroches Daily'!AB25</f>
        <v>440.00000000005457</v>
      </c>
      <c r="R23" s="31">
        <f>'FS Desroches Daily'!AD25</f>
        <v>420.00000000007276</v>
      </c>
      <c r="S23" s="31">
        <f>'FS Desroches Daily'!AF25</f>
        <v>1139.9999999999864</v>
      </c>
      <c r="T23" s="31">
        <f>'FS Desroches Daily'!AH25</f>
        <v>48</v>
      </c>
      <c r="U23" s="35">
        <f>'FS Desroches Daily'!AJ25</f>
        <v>900.00000000009095</v>
      </c>
      <c r="V23" s="35">
        <f>'FS Desroches Daily'!AL25</f>
        <v>339.99999999997499</v>
      </c>
      <c r="W23" s="35">
        <f>'FS Desroches Daily'!AN25</f>
        <v>189.99999999999773</v>
      </c>
      <c r="X23" s="35">
        <f>'FS Desroches Daily'!AP25</f>
        <v>269.99999999998181</v>
      </c>
      <c r="Y23" s="35">
        <f>'FS Desroches Daily'!AR25</f>
        <v>350.00000000002274</v>
      </c>
      <c r="Z23" s="35">
        <f>'FS Desroches Daily'!AT25</f>
        <v>219.99999999997044</v>
      </c>
      <c r="AA23" s="35">
        <f>'FS Desroches Daily'!AT25</f>
        <v>219.99999999997044</v>
      </c>
      <c r="AB23" s="35">
        <f>'FS Desroches Daily'!AV25</f>
        <v>250</v>
      </c>
      <c r="AC23" s="35">
        <f>'FS Desroches Daily'!AZ25</f>
        <v>180.00000000000682</v>
      </c>
      <c r="AD23" s="35">
        <f>'FS Desroches Daily'!BB25</f>
        <v>250</v>
      </c>
      <c r="AE23" s="35">
        <f>'FS Desroches Daily'!BD25</f>
        <v>189.99999999999773</v>
      </c>
      <c r="AF23" s="31">
        <f>'FS Desroches Daily'!BF25</f>
        <v>49</v>
      </c>
      <c r="AG23" s="32">
        <f>'FS Desroches Daily'!BH25</f>
        <v>40.000000000020464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29.999999999972715</v>
      </c>
      <c r="AL23" s="32">
        <f>'FS Desroches Daily'!BR25</f>
        <v>46</v>
      </c>
      <c r="AM23" s="32">
        <f>'FS Desroches Daily'!BT25</f>
        <v>50.000000000011369</v>
      </c>
      <c r="AN23" s="32">
        <f>'FS Desroches Daily'!BV25</f>
        <v>46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66.30000000000291</v>
      </c>
      <c r="AR23" s="31">
        <f>'FS Desroches Daily'!CD25</f>
        <v>20</v>
      </c>
      <c r="AS23" s="31">
        <f>'FS Desroches Daily'!CF25</f>
        <v>3.7000000000007276</v>
      </c>
      <c r="AT23" s="31">
        <f>'FS Desroches Daily'!CH25</f>
        <v>59.899999999994179</v>
      </c>
      <c r="AU23" s="31">
        <f>'FS Desroches Daily'!CJ25</f>
        <v>332</v>
      </c>
      <c r="AV23" s="31">
        <f>'FS Desroches Daily'!CL25</f>
        <v>900.00000000009095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39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3400.0000000000696</v>
      </c>
      <c r="F24" s="32">
        <f>'FS Desroches Daily'!F26</f>
        <v>3999.9999999995593</v>
      </c>
      <c r="G24" s="31">
        <f>'FS Desroches Daily'!H26</f>
        <v>4000.0000000004475</v>
      </c>
      <c r="H24" s="32">
        <f>'FS Desroches Daily'!J26</f>
        <v>2000.0000000002237</v>
      </c>
      <c r="I24" s="31">
        <f>'FS Desroches Daily'!L26</f>
        <v>2799.9999999996917</v>
      </c>
      <c r="J24" s="32">
        <f>'FS Desroches Daily'!N26</f>
        <v>2000.0000000002237</v>
      </c>
      <c r="K24" s="13">
        <f>'FS Desroches Daily'!P26</f>
        <v>52</v>
      </c>
      <c r="L24" s="31">
        <f>'FS Desroches Daily'!R26</f>
        <v>4</v>
      </c>
      <c r="M24" s="31">
        <f>'FS Desroches Daily'!T26</f>
        <v>1299.9999999999545</v>
      </c>
      <c r="N24" s="31">
        <f>'FS Desroches Daily'!V26</f>
        <v>402.80000000004657</v>
      </c>
      <c r="O24" s="31">
        <f>'FS Desroches Daily'!X26</f>
        <v>379.99999999999545</v>
      </c>
      <c r="P24" s="31">
        <f>'FS Desroches Daily'!Z26</f>
        <v>3100.000000000769</v>
      </c>
      <c r="Q24" s="31">
        <f>'FS Desroches Daily'!AB26</f>
        <v>419.99999999995907</v>
      </c>
      <c r="R24" s="31">
        <f>'FS Desroches Daily'!AD26</f>
        <v>379.99999999999545</v>
      </c>
      <c r="S24" s="31">
        <f>'FS Desroches Daily'!AF26</f>
        <v>1029.9999999999727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320.00000000005002</v>
      </c>
      <c r="W24" s="35">
        <f>'FS Desroches Daily'!AN26</f>
        <v>240.00000000000909</v>
      </c>
      <c r="X24" s="35">
        <f>'FS Desroches Daily'!AP26</f>
        <v>240.00000000000909</v>
      </c>
      <c r="Y24" s="35">
        <f>'FS Desroches Daily'!AR26</f>
        <v>230.00000000001819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199.99999999998863</v>
      </c>
      <c r="AC24" s="35">
        <f>'FS Desroches Daily'!AZ26</f>
        <v>120.00000000000455</v>
      </c>
      <c r="AD24" s="35">
        <f>'FS Desroches Daily'!BB26</f>
        <v>209.99999999997954</v>
      </c>
      <c r="AE24" s="35">
        <f>'FS Desroches Daily'!BD26</f>
        <v>139.99999999998636</v>
      </c>
      <c r="AF24" s="31">
        <f>'FS Desroches Daily'!BF26</f>
        <v>61</v>
      </c>
      <c r="AG24" s="32">
        <f>'FS Desroches Daily'!BH26</f>
        <v>60.000000000002274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60.000000000002274</v>
      </c>
      <c r="AN24" s="32">
        <f>'FS Desroches Daily'!BV26</f>
        <v>48</v>
      </c>
      <c r="AO24" s="32">
        <f>'FS Desroches Daily'!BX26</f>
        <v>39.999999999992042</v>
      </c>
      <c r="AP24" s="32">
        <f>'FS Desroches Daily'!BZ26</f>
        <v>69</v>
      </c>
      <c r="AQ24" s="31">
        <f>'FS Desroches Daily'!CB26</f>
        <v>58.900000000001455</v>
      </c>
      <c r="AR24" s="31">
        <f>'FS Desroches Daily'!CD26</f>
        <v>8.9000000000014552</v>
      </c>
      <c r="AS24" s="31">
        <f>'FS Desroches Daily'!CF26</f>
        <v>4.1999999999989086</v>
      </c>
      <c r="AT24" s="31">
        <f>'FS Desroches Daily'!CH26</f>
        <v>62</v>
      </c>
      <c r="AU24" s="31">
        <f>'FS Desroches Daily'!CJ26</f>
        <v>349</v>
      </c>
      <c r="AV24" s="31">
        <f>'FS Desroches Daily'!CL26</f>
        <v>1000</v>
      </c>
      <c r="AW24" s="31">
        <f>'FS Desroches Daily'!CM26</f>
        <v>179</v>
      </c>
      <c r="AX24" s="31">
        <f>IF(LPG!F31-LPG!F30&lt;0,"0",(LPG!F31-LPG!F30)*1.8315)</f>
        <v>0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3699.9999999998145</v>
      </c>
      <c r="F25" s="32">
        <f>'FS Desroches Daily'!F27</f>
        <v>4000.0000000004475</v>
      </c>
      <c r="G25" s="31">
        <f>'FS Desroches Daily'!H27</f>
        <v>4999.9999999998936</v>
      </c>
      <c r="H25" s="32">
        <f>'FS Desroches Daily'!J27</f>
        <v>999.99999999988984</v>
      </c>
      <c r="I25" s="31">
        <f>'FS Desroches Daily'!L27</f>
        <v>3000.0000000001137</v>
      </c>
      <c r="J25" s="32">
        <f>'FS Desroches Daily'!N27</f>
        <v>1999.9999999997797</v>
      </c>
      <c r="K25" s="13">
        <f>'FS Desroches Daily'!P27</f>
        <v>45</v>
      </c>
      <c r="L25" s="31">
        <f>'FS Desroches Daily'!R27</f>
        <v>4</v>
      </c>
      <c r="M25" s="31">
        <f>'FS Desroches Daily'!T27</f>
        <v>1799.9999999999545</v>
      </c>
      <c r="N25" s="31">
        <f>'FS Desroches Daily'!V27</f>
        <v>580.80000000004657</v>
      </c>
      <c r="O25" s="31">
        <f>'FS Desroches Daily'!X27</f>
        <v>460.00000000003638</v>
      </c>
      <c r="P25" s="31">
        <f>'FS Desroches Daily'!Z27</f>
        <v>3899.9999999997926</v>
      </c>
      <c r="Q25" s="31">
        <f>'FS Desroches Daily'!AB27</f>
        <v>419.99999999995907</v>
      </c>
      <c r="R25" s="31">
        <f>'FS Desroches Daily'!AD27</f>
        <v>549.99999999995453</v>
      </c>
      <c r="S25" s="31">
        <f>'FS Desroches Daily'!AF27</f>
        <v>980.00000000001819</v>
      </c>
      <c r="T25" s="31">
        <f>'FS Desroches Daily'!AH27</f>
        <v>51</v>
      </c>
      <c r="U25" s="35">
        <f>'FS Desroches Daily'!AJ27</f>
        <v>899.99999999997726</v>
      </c>
      <c r="V25" s="35">
        <f>'FS Desroches Daily'!AL27</f>
        <v>309.99999999994543</v>
      </c>
      <c r="W25" s="35">
        <f>'FS Desroches Daily'!AN27</f>
        <v>270.00000000003865</v>
      </c>
      <c r="X25" s="35">
        <f>'FS Desroches Daily'!AP27</f>
        <v>279.99999999997272</v>
      </c>
      <c r="Y25" s="35">
        <f>'FS Desroches Daily'!AR27</f>
        <v>279.99999999997272</v>
      </c>
      <c r="Z25" s="35">
        <f>'FS Desroches Daily'!AT27</f>
        <v>320.00000000005002</v>
      </c>
      <c r="AA25" s="35">
        <f>'FS Desroches Daily'!AT27</f>
        <v>320.00000000005002</v>
      </c>
      <c r="AB25" s="35">
        <f>'FS Desroches Daily'!AV27</f>
        <v>269.99999999998181</v>
      </c>
      <c r="AC25" s="35">
        <f>'FS Desroches Daily'!AZ27</f>
        <v>379.99999999999545</v>
      </c>
      <c r="AD25" s="35">
        <f>'FS Desroches Daily'!BB27</f>
        <v>220.00000000002728</v>
      </c>
      <c r="AE25" s="35">
        <f>'FS Desroches Daily'!BD27</f>
        <v>199.99999999998863</v>
      </c>
      <c r="AF25" s="31">
        <f>'FS Desroches Daily'!BF27</f>
        <v>45</v>
      </c>
      <c r="AG25" s="32">
        <f>'FS Desroches Daily'!BH27</f>
        <v>60.000000000002274</v>
      </c>
      <c r="AH25" s="32">
        <f>'FS Desroches Daily'!BJ27</f>
        <v>49.999999999954525</v>
      </c>
      <c r="AI25" s="32">
        <f>'FS Desroches Daily'!BL27</f>
        <v>69.999999999993179</v>
      </c>
      <c r="AJ25" s="32">
        <f>'FS Desroches Daily'!BN27</f>
        <v>50.000000000011369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50.000000000011369</v>
      </c>
      <c r="AN25" s="32">
        <f>'FS Desroches Daily'!BV27</f>
        <v>44</v>
      </c>
      <c r="AO25" s="32">
        <f>'FS Desroches Daily'!BX27</f>
        <v>50.000000000011369</v>
      </c>
      <c r="AP25" s="32">
        <f>'FS Desroches Daily'!BZ27</f>
        <v>61</v>
      </c>
      <c r="AQ25" s="31">
        <f>'FS Desroches Daily'!CB27</f>
        <v>69</v>
      </c>
      <c r="AR25" s="31">
        <f>'FS Desroches Daily'!CD27</f>
        <v>23.299999999999272</v>
      </c>
      <c r="AS25" s="31">
        <f>'FS Desroches Daily'!CF27</f>
        <v>2.5</v>
      </c>
      <c r="AT25" s="31">
        <f>'FS Desroches Daily'!CH27</f>
        <v>64.899999999994179</v>
      </c>
      <c r="AU25" s="31">
        <f>'FS Desroches Daily'!CJ27</f>
        <v>342</v>
      </c>
      <c r="AV25" s="31">
        <f>'FS Desroches Daily'!CL27</f>
        <v>1099.9999999999091</v>
      </c>
      <c r="AW25" s="31">
        <f>'FS Desroches Daily'!CM27</f>
        <v>146</v>
      </c>
      <c r="AX25" s="31">
        <f>IF(LPG!F32-LPG!F31&lt;0,"0",(LPG!F32-LPG!F31)*1.8315)</f>
        <v>0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39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3500.0000000002806</v>
      </c>
      <c r="F26" s="32">
        <f>'FS Desroches Daily'!F28</f>
        <v>3999.9999999995593</v>
      </c>
      <c r="G26" s="31">
        <f>'FS Desroches Daily'!H28</f>
        <v>3999.9999999995593</v>
      </c>
      <c r="H26" s="32">
        <f>'FS Desroches Daily'!J28</f>
        <v>1999.9999999997797</v>
      </c>
      <c r="I26" s="31">
        <f>'FS Desroches Daily'!L28</f>
        <v>2800.0000000001355</v>
      </c>
      <c r="J26" s="32">
        <f>'FS Desroches Daily'!N28</f>
        <v>1800.0000000002458</v>
      </c>
      <c r="K26" s="13">
        <f>'FS Desroches Daily'!P28</f>
        <v>38</v>
      </c>
      <c r="L26" s="31">
        <f>'FS Desroches Daily'!R28</f>
        <v>7</v>
      </c>
      <c r="M26" s="31">
        <f>'FS Desroches Daily'!T28</f>
        <v>1500</v>
      </c>
      <c r="N26" s="31">
        <f>'FS Desroches Daily'!V28</f>
        <v>495.09999999997672</v>
      </c>
      <c r="O26" s="31">
        <f>'FS Desroches Daily'!X28</f>
        <v>319.99999999993634</v>
      </c>
      <c r="P26" s="31">
        <f>'FS Desroches Daily'!Z28</f>
        <v>2699.9999999999245</v>
      </c>
      <c r="Q26" s="31">
        <f>'FS Desroches Daily'!AB28</f>
        <v>350.00000000002274</v>
      </c>
      <c r="R26" s="31">
        <f>'FS Desroches Daily'!AD28</f>
        <v>420.00000000007276</v>
      </c>
      <c r="S26" s="31">
        <f>'FS Desroches Daily'!AF28</f>
        <v>860.00000000001364</v>
      </c>
      <c r="T26" s="31">
        <f>'FS Desroches Daily'!AH28</f>
        <v>38</v>
      </c>
      <c r="U26" s="35">
        <f>'FS Desroches Daily'!AJ28</f>
        <v>800.00000000006821</v>
      </c>
      <c r="V26" s="35">
        <f>'FS Desroches Daily'!AL28</f>
        <v>230.00000000001819</v>
      </c>
      <c r="W26" s="35">
        <f>'FS Desroches Daily'!AN28</f>
        <v>229.99999999996135</v>
      </c>
      <c r="X26" s="35">
        <f>'FS Desroches Daily'!AP28</f>
        <v>200.00000000004547</v>
      </c>
      <c r="Y26" s="35">
        <f>'FS Desroches Daily'!AR28</f>
        <v>240.00000000000909</v>
      </c>
      <c r="Z26" s="35">
        <f>'FS Desroches Daily'!AT28</f>
        <v>239.99999999995225</v>
      </c>
      <c r="AA26" s="35">
        <f>'FS Desroches Daily'!AT28</f>
        <v>239.99999999995225</v>
      </c>
      <c r="AB26" s="35">
        <f>'FS Desroches Daily'!AV28</f>
        <v>180.00000000000682</v>
      </c>
      <c r="AC26" s="35">
        <f>'FS Desroches Daily'!AZ28</f>
        <v>160.00000000002501</v>
      </c>
      <c r="AD26" s="35">
        <f>'FS Desroches Daily'!BB28</f>
        <v>209.99999999997954</v>
      </c>
      <c r="AE26" s="35">
        <f>'FS Desroches Daily'!BD28</f>
        <v>170.00000000001592</v>
      </c>
      <c r="AF26" s="31">
        <f>'FS Desroches Daily'!BF28</f>
        <v>35</v>
      </c>
      <c r="AG26" s="32">
        <f>'FS Desroches Daily'!BH28</f>
        <v>50.000000000011369</v>
      </c>
      <c r="AH26" s="32">
        <f>'FS Desroches Daily'!BJ28</f>
        <v>40.000000000020464</v>
      </c>
      <c r="AI26" s="32">
        <f>'FS Desroches Daily'!BL28</f>
        <v>70.000000000050022</v>
      </c>
      <c r="AJ26" s="32">
        <f>'FS Desroches Daily'!BN28</f>
        <v>49.999999999982947</v>
      </c>
      <c r="AK26" s="32">
        <f>'FS Desroches Daily'!BP28</f>
        <v>39.99999999996362</v>
      </c>
      <c r="AL26" s="32">
        <f>'FS Desroches Daily'!BR28</f>
        <v>51</v>
      </c>
      <c r="AM26" s="32">
        <f>'FS Desroches Daily'!BT28</f>
        <v>60.000000000002274</v>
      </c>
      <c r="AN26" s="32">
        <f>'FS Desroches Daily'!BV28</f>
        <v>50</v>
      </c>
      <c r="AO26" s="32">
        <f>'FS Desroches Daily'!BX28</f>
        <v>49.999999999982947</v>
      </c>
      <c r="AP26" s="32">
        <f>'FS Desroches Daily'!BZ28</f>
        <v>60</v>
      </c>
      <c r="AQ26" s="31">
        <f>'FS Desroches Daily'!CB28</f>
        <v>53.19999999999709</v>
      </c>
      <c r="AR26" s="31">
        <f>'FS Desroches Daily'!CD28</f>
        <v>6.2000000000007276</v>
      </c>
      <c r="AS26" s="31">
        <f>'FS Desroches Daily'!CF28</f>
        <v>2.1000000000003638</v>
      </c>
      <c r="AT26" s="31">
        <f>'FS Desroches Daily'!CH28</f>
        <v>37.700000000011642</v>
      </c>
      <c r="AU26" s="31">
        <f>'FS Desroches Daily'!CJ28</f>
        <v>326</v>
      </c>
      <c r="AV26" s="31">
        <f>'FS Desroches Daily'!CL28</f>
        <v>1000</v>
      </c>
      <c r="AW26" s="31">
        <f>'FS Desroches Daily'!CM28</f>
        <v>154.5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3699.9999999998145</v>
      </c>
      <c r="F27" s="32">
        <f>'FS Desroches Daily'!F29</f>
        <v>3000.0000000001137</v>
      </c>
      <c r="G27" s="31">
        <f>'FS Desroches Daily'!H29</f>
        <v>4000.0000000004475</v>
      </c>
      <c r="H27" s="32">
        <f>'FS Desroches Daily'!J29</f>
        <v>2000.0000000002237</v>
      </c>
      <c r="I27" s="31">
        <f>'FS Desroches Daily'!L29</f>
        <v>3200.0000000000919</v>
      </c>
      <c r="J27" s="32">
        <f>'FS Desroches Daily'!N29</f>
        <v>2099.9999999999909</v>
      </c>
      <c r="K27" s="13">
        <f>'FS Desroches Daily'!P29</f>
        <v>62</v>
      </c>
      <c r="L27" s="31">
        <f>'FS Desroches Daily'!R29</f>
        <v>6</v>
      </c>
      <c r="M27" s="31">
        <f>'FS Desroches Daily'!T29</f>
        <v>1700.0000000000455</v>
      </c>
      <c r="N27" s="31">
        <f>'FS Desroches Daily'!V29</f>
        <v>614</v>
      </c>
      <c r="O27" s="31">
        <f>'FS Desroches Daily'!X29</f>
        <v>440.00000000005457</v>
      </c>
      <c r="P27" s="31">
        <f>'FS Desroches Daily'!Z29</f>
        <v>3400.0000000000696</v>
      </c>
      <c r="Q27" s="31">
        <f>'FS Desroches Daily'!AB29</f>
        <v>509.99999999999091</v>
      </c>
      <c r="R27" s="31">
        <f>'FS Desroches Daily'!AD29</f>
        <v>429.99999999994998</v>
      </c>
      <c r="S27" s="31">
        <f>'FS Desroches Daily'!AF29</f>
        <v>1049.9999999999545</v>
      </c>
      <c r="T27" s="31">
        <f>'FS Desroches Daily'!AH29</f>
        <v>56</v>
      </c>
      <c r="U27" s="35">
        <f>'FS Desroches Daily'!AJ29</f>
        <v>799.99999999995453</v>
      </c>
      <c r="V27" s="35">
        <f>'FS Desroches Daily'!AL29</f>
        <v>329.99999999998408</v>
      </c>
      <c r="W27" s="35">
        <f>'FS Desroches Daily'!AN29</f>
        <v>250</v>
      </c>
      <c r="X27" s="35">
        <f>'FS Desroches Daily'!AP29</f>
        <v>259.99999999999091</v>
      </c>
      <c r="Y27" s="35">
        <f>'FS Desroches Daily'!AR29</f>
        <v>310.00000000000227</v>
      </c>
      <c r="Z27" s="35">
        <f>'FS Desroches Daily'!AT29</f>
        <v>250</v>
      </c>
      <c r="AA27" s="35">
        <f>'FS Desroches Daily'!AT29</f>
        <v>250</v>
      </c>
      <c r="AB27" s="35">
        <f>'FS Desroches Daily'!AV29</f>
        <v>230.00000000001819</v>
      </c>
      <c r="AC27" s="35">
        <f>'FS Desroches Daily'!AZ29</f>
        <v>169.99999999995907</v>
      </c>
      <c r="AD27" s="35">
        <f>'FS Desroches Daily'!BB29</f>
        <v>260.00000000004775</v>
      </c>
      <c r="AE27" s="35">
        <f>'FS Desroches Daily'!BD29</f>
        <v>219.99999999997044</v>
      </c>
      <c r="AF27" s="31">
        <f>'FS Desroches Daily'!BF29</f>
        <v>47</v>
      </c>
      <c r="AG27" s="32">
        <f>'FS Desroches Daily'!BH29</f>
        <v>60.000000000002274</v>
      </c>
      <c r="AH27" s="32">
        <f>'FS Desroches Daily'!BJ29</f>
        <v>50.000000000011369</v>
      </c>
      <c r="AI27" s="32">
        <f>'FS Desroches Daily'!BL29</f>
        <v>69.999999999993179</v>
      </c>
      <c r="AJ27" s="32">
        <f>'FS Desroches Daily'!BN29</f>
        <v>50.000000000011369</v>
      </c>
      <c r="AK27" s="32">
        <f>'FS Desroches Daily'!BP29</f>
        <v>40.000000000020464</v>
      </c>
      <c r="AL27" s="32">
        <f>'FS Desroches Daily'!BR29</f>
        <v>53</v>
      </c>
      <c r="AM27" s="32">
        <f>'FS Desroches Daily'!BT29</f>
        <v>59.999999999973852</v>
      </c>
      <c r="AN27" s="32">
        <f>'FS Desroches Daily'!BV29</f>
        <v>54</v>
      </c>
      <c r="AO27" s="32">
        <f>'FS Desroches Daily'!BX29</f>
        <v>50.000000000011369</v>
      </c>
      <c r="AP27" s="32">
        <f>'FS Desroches Daily'!BZ29</f>
        <v>64</v>
      </c>
      <c r="AQ27" s="31">
        <f>'FS Desroches Daily'!CB29</f>
        <v>60.099999999998545</v>
      </c>
      <c r="AR27" s="31">
        <f>'FS Desroches Daily'!CD29</f>
        <v>11.400000000001455</v>
      </c>
      <c r="AS27" s="31">
        <f>'FS Desroches Daily'!CF29</f>
        <v>8</v>
      </c>
      <c r="AT27" s="31">
        <f>'FS Desroches Daily'!CH29</f>
        <v>60.799999999988358</v>
      </c>
      <c r="AU27" s="31">
        <f>'FS Desroches Daily'!CJ29</f>
        <v>346</v>
      </c>
      <c r="AV27" s="31">
        <f>'FS Desroches Daily'!CL29</f>
        <v>1100.0000000001364</v>
      </c>
      <c r="AW27" s="31">
        <f>'FS Desroches Daily'!CM29</f>
        <v>149.70000000000073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45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3600.0000000000477</v>
      </c>
      <c r="F28" s="32">
        <f>'FS Desroches Daily'!F30</f>
        <v>4000.0000000004475</v>
      </c>
      <c r="G28" s="31">
        <f>'FS Desroches Daily'!H30</f>
        <v>3999.9999999995593</v>
      </c>
      <c r="H28" s="32">
        <f>'FS Desroches Daily'!J30</f>
        <v>1999.9999999997797</v>
      </c>
      <c r="I28" s="31">
        <f>'FS Desroches Daily'!L30</f>
        <v>3299.9999999998586</v>
      </c>
      <c r="J28" s="32">
        <f>'FS Desroches Daily'!N30</f>
        <v>1999.9999999997797</v>
      </c>
      <c r="K28" s="13">
        <f>'FS Desroches Daily'!P30</f>
        <v>34</v>
      </c>
      <c r="L28" s="31">
        <f>'FS Desroches Daily'!R30</f>
        <v>6</v>
      </c>
      <c r="M28" s="31">
        <f>'FS Desroches Daily'!T30</f>
        <v>1799.9999999999545</v>
      </c>
      <c r="N28" s="31">
        <f>'FS Desroches Daily'!V30</f>
        <v>597</v>
      </c>
      <c r="O28" s="31">
        <f>'FS Desroches Daily'!X30</f>
        <v>470.00000000002728</v>
      </c>
      <c r="P28" s="31">
        <f>'FS Desroches Daily'!Z30</f>
        <v>3599.9999999996035</v>
      </c>
      <c r="Q28" s="31">
        <f>'FS Desroches Daily'!AB30</f>
        <v>430.00000000006366</v>
      </c>
      <c r="R28" s="31">
        <f>'FS Desroches Daily'!AD30</f>
        <v>440.00000000005457</v>
      </c>
      <c r="S28" s="31">
        <f>'FS Desroches Daily'!AF30</f>
        <v>1040.0000000000773</v>
      </c>
      <c r="T28" s="31">
        <f>'FS Desroches Daily'!AH30</f>
        <v>53</v>
      </c>
      <c r="U28" s="35">
        <f>'FS Desroches Daily'!AJ30</f>
        <v>799.99999999995453</v>
      </c>
      <c r="V28" s="35">
        <f>'FS Desroches Daily'!AL30</f>
        <v>330.00000000004093</v>
      </c>
      <c r="W28" s="35">
        <f>'FS Desroches Daily'!AN30</f>
        <v>250</v>
      </c>
      <c r="X28" s="35">
        <f>'FS Desroches Daily'!AP30</f>
        <v>230.00000000001819</v>
      </c>
      <c r="Y28" s="35">
        <f>'FS Desroches Daily'!AR30</f>
        <v>279.99999999997272</v>
      </c>
      <c r="Z28" s="35">
        <f>'FS Desroches Daily'!AT30</f>
        <v>210.00000000003638</v>
      </c>
      <c r="AA28" s="35">
        <f>'FS Desroches Daily'!AT30</f>
        <v>210.00000000003638</v>
      </c>
      <c r="AB28" s="35">
        <f>'FS Desroches Daily'!AV30</f>
        <v>149.99999999997726</v>
      </c>
      <c r="AC28" s="35">
        <f>'FS Desroches Daily'!AZ30</f>
        <v>180.00000000000682</v>
      </c>
      <c r="AD28" s="35">
        <f>'FS Desroches Daily'!BB30</f>
        <v>279.99999999997272</v>
      </c>
      <c r="AE28" s="35">
        <f>'FS Desroches Daily'!BD30</f>
        <v>200.00000000004547</v>
      </c>
      <c r="AF28" s="31">
        <f>'FS Desroches Daily'!BF30</f>
        <v>48</v>
      </c>
      <c r="AG28" s="32">
        <f>'FS Desroches Daily'!BH30</f>
        <v>49.999999999954525</v>
      </c>
      <c r="AH28" s="32">
        <f>'FS Desroches Daily'!BJ30</f>
        <v>40.000000000020464</v>
      </c>
      <c r="AI28" s="32">
        <f>'FS Desroches Daily'!BL30</f>
        <v>60.000000000002274</v>
      </c>
      <c r="AJ28" s="32">
        <f>'FS Desroches Daily'!BN30</f>
        <v>49.999999999982947</v>
      </c>
      <c r="AK28" s="32">
        <f>'FS Desroches Daily'!BP30</f>
        <v>40.000000000020464</v>
      </c>
      <c r="AL28" s="32">
        <f>'FS Desroches Daily'!BR30</f>
        <v>51</v>
      </c>
      <c r="AM28" s="32">
        <f>'FS Desroches Daily'!BT30</f>
        <v>50.000000000011369</v>
      </c>
      <c r="AN28" s="32">
        <f>'FS Desroches Daily'!BV30</f>
        <v>52</v>
      </c>
      <c r="AO28" s="32">
        <f>'FS Desroches Daily'!BX30</f>
        <v>39.999999999992042</v>
      </c>
      <c r="AP28" s="32">
        <f>'FS Desroches Daily'!BZ30</f>
        <v>55</v>
      </c>
      <c r="AQ28" s="31">
        <f>'FS Desroches Daily'!CB30</f>
        <v>64.900000000001455</v>
      </c>
      <c r="AR28" s="31">
        <f>'FS Desroches Daily'!CD30</f>
        <v>15.899999999997817</v>
      </c>
      <c r="AS28" s="31">
        <f>'FS Desroches Daily'!CF30</f>
        <v>4.5</v>
      </c>
      <c r="AT28" s="31">
        <f>'FS Desroches Daily'!CH30</f>
        <v>57.900000000008731</v>
      </c>
      <c r="AU28" s="31">
        <f>'FS Desroches Daily'!CJ30</f>
        <v>327</v>
      </c>
      <c r="AV28" s="31">
        <f>'FS Desroches Daily'!CL30</f>
        <v>1000</v>
      </c>
      <c r="AW28" s="31">
        <f>'FS Desroches Daily'!CM30</f>
        <v>137.79999999999927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47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e">
        <f>'FS Desroches Daily'!T31</f>
        <v>#VALUE!</v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84000.000000000087</v>
      </c>
      <c r="F33" s="17">
        <f t="shared" ref="F33:BC33" si="0">SUM(F2:F32)</f>
        <v>93399.999999999985</v>
      </c>
      <c r="G33" s="17">
        <f t="shared" si="0"/>
        <v>97399.999999999534</v>
      </c>
      <c r="H33" s="17">
        <f t="shared" si="0"/>
        <v>47600.000000000116</v>
      </c>
      <c r="I33" s="17">
        <f t="shared" si="0"/>
        <v>69900.000000000087</v>
      </c>
      <c r="J33" s="17">
        <f t="shared" si="0"/>
        <v>49999.999999999847</v>
      </c>
      <c r="K33" s="17">
        <f t="shared" si="0"/>
        <v>1037</v>
      </c>
      <c r="L33" s="17">
        <f t="shared" si="0"/>
        <v>147</v>
      </c>
      <c r="M33" s="17" t="e">
        <f t="shared" si="0"/>
        <v>#VALUE!</v>
      </c>
      <c r="N33" s="17">
        <f t="shared" si="0"/>
        <v>12930</v>
      </c>
      <c r="O33" s="17">
        <f t="shared" si="0"/>
        <v>10060.000000000173</v>
      </c>
      <c r="P33" s="17">
        <f t="shared" si="0"/>
        <v>84099.999999999432</v>
      </c>
      <c r="Q33" s="17">
        <f t="shared" si="0"/>
        <v>10220.000000000025</v>
      </c>
      <c r="R33" s="17">
        <f t="shared" si="0"/>
        <v>11340.000000000033</v>
      </c>
      <c r="S33" s="17">
        <f t="shared" si="0"/>
        <v>25749.999999999996</v>
      </c>
      <c r="T33" s="17">
        <f t="shared" si="0"/>
        <v>1082</v>
      </c>
      <c r="U33" s="35">
        <f t="shared" si="0"/>
        <v>22549.999999999956</v>
      </c>
      <c r="V33" s="35">
        <f t="shared" si="0"/>
        <v>6610.0000000000136</v>
      </c>
      <c r="W33" s="35">
        <f t="shared" si="0"/>
        <v>6389.9999999999873</v>
      </c>
      <c r="X33" s="35">
        <f t="shared" si="0"/>
        <v>5370.0000000000045</v>
      </c>
      <c r="Y33" s="35">
        <f t="shared" si="0"/>
        <v>5669.9999999999582</v>
      </c>
      <c r="Z33" s="35">
        <f t="shared" si="0"/>
        <v>5779.2800000000334</v>
      </c>
      <c r="AA33" s="35">
        <f t="shared" si="0"/>
        <v>5779.2800000000334</v>
      </c>
      <c r="AB33" s="35">
        <f t="shared" si="0"/>
        <v>5620.0000000000064</v>
      </c>
      <c r="AC33" s="35">
        <f t="shared" si="0"/>
        <v>4189.9999999999982</v>
      </c>
      <c r="AD33" s="35">
        <f t="shared" si="0"/>
        <v>5279.9999999999727</v>
      </c>
      <c r="AE33" s="35">
        <f t="shared" si="0"/>
        <v>4180.0000000000073</v>
      </c>
      <c r="AF33" s="17">
        <f t="shared" si="0"/>
        <v>1326</v>
      </c>
      <c r="AG33" s="32">
        <f t="shared" si="0"/>
        <v>1379.9999999999955</v>
      </c>
      <c r="AH33" s="32">
        <f t="shared" si="0"/>
        <v>1200.0000000000455</v>
      </c>
      <c r="AI33" s="32">
        <f t="shared" si="0"/>
        <v>1510.0000000000477</v>
      </c>
      <c r="AJ33" s="32">
        <f t="shared" si="0"/>
        <v>1329.9999999999841</v>
      </c>
      <c r="AK33" s="32">
        <f t="shared" si="0"/>
        <v>1170.0000000000159</v>
      </c>
      <c r="AL33" s="32">
        <f t="shared" si="0"/>
        <v>1343</v>
      </c>
      <c r="AM33" s="32">
        <f t="shared" si="0"/>
        <v>1389.9999999999864</v>
      </c>
      <c r="AN33" s="32">
        <f t="shared" si="0"/>
        <v>1226</v>
      </c>
      <c r="AO33" s="32">
        <f t="shared" si="0"/>
        <v>1210.000000000008</v>
      </c>
      <c r="AP33" s="32">
        <f t="shared" si="0"/>
        <v>1513</v>
      </c>
      <c r="AQ33" s="17">
        <f t="shared" si="0"/>
        <v>1510.5999999999985</v>
      </c>
      <c r="AR33" s="17">
        <f t="shared" si="0"/>
        <v>321.39999999999782</v>
      </c>
      <c r="AS33" s="17">
        <f t="shared" si="0"/>
        <v>83.600000000000364</v>
      </c>
      <c r="AT33" s="17">
        <f t="shared" si="0"/>
        <v>1530.6000000000058</v>
      </c>
      <c r="AU33" s="17">
        <f t="shared" si="0"/>
        <v>9026</v>
      </c>
      <c r="AV33" s="17">
        <f t="shared" si="0"/>
        <v>25299.999999999956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161.17199999999994</v>
      </c>
      <c r="BC33" s="17">
        <f t="shared" si="0"/>
        <v>683</v>
      </c>
    </row>
    <row r="35" spans="5:55" x14ac:dyDescent="0.25">
      <c r="E35" s="38">
        <f>E33/E37</f>
        <v>0.2310625024069016</v>
      </c>
      <c r="G35" s="29" t="e">
        <f>G33-M36</f>
        <v>#VALUE!</v>
      </c>
      <c r="AE35" s="35">
        <f>SUM(U33:AE33)</f>
        <v>77418.559999999969</v>
      </c>
      <c r="AG35" s="32">
        <f>SUM(AG33:AP33)</f>
        <v>13272.000000000084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363537.99999999953</v>
      </c>
      <c r="G37" s="37" t="e">
        <f>M36/E37</f>
        <v>#VALUE!</v>
      </c>
      <c r="M37" s="35">
        <f>AE35</f>
        <v>77418.559999999969</v>
      </c>
    </row>
    <row r="38" spans="5:55" x14ac:dyDescent="0.25">
      <c r="L38" s="27">
        <f>M38/E37</f>
        <v>3.6507875380290648E-2</v>
      </c>
      <c r="M38" s="29">
        <f>AG35</f>
        <v>13272.000000000084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BT1" zoomScale="82" zoomScaleNormal="82" workbookViewId="0">
      <pane ySplit="1" topLeftCell="A11" activePane="bottomLeft" state="frozen"/>
      <selection pane="bottomLeft" activeCell="CQ30" sqref="CQ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1000.4</v>
      </c>
      <c r="AJ21" s="65">
        <f t="shared" si="65"/>
        <v>720.00000000002728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1001</v>
      </c>
      <c r="AJ22" s="65">
        <f t="shared" si="65"/>
        <v>600.00000000002274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1001.6</v>
      </c>
      <c r="AJ23" s="65">
        <f t="shared" si="65"/>
        <v>600.00000000002274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>
        <v>3.7507999999999999</v>
      </c>
      <c r="D24" s="64">
        <f t="shared" si="50"/>
        <v>3000.0000000001137</v>
      </c>
      <c r="E24" s="58">
        <v>4.9950000000000001</v>
      </c>
      <c r="F24" s="64">
        <f t="shared" si="51"/>
        <v>4000.0000000004475</v>
      </c>
      <c r="G24" s="58">
        <v>5.0030000000000001</v>
      </c>
      <c r="H24" s="64">
        <f t="shared" si="52"/>
        <v>4000.0000000004475</v>
      </c>
      <c r="I24" s="58">
        <v>2.4780000000000002</v>
      </c>
      <c r="J24" s="64">
        <f t="shared" si="53"/>
        <v>2000.0000000002237</v>
      </c>
      <c r="K24" s="58">
        <v>3.8029000000000002</v>
      </c>
      <c r="L24" s="64">
        <f t="shared" si="54"/>
        <v>2800.0000000001355</v>
      </c>
      <c r="M24" s="58">
        <v>2.2953000000000001</v>
      </c>
      <c r="N24" s="64">
        <f t="shared" si="55"/>
        <v>1900.0000000000127</v>
      </c>
      <c r="O24" s="58">
        <v>27250</v>
      </c>
      <c r="P24" s="67">
        <f t="shared" si="56"/>
        <v>30</v>
      </c>
      <c r="Q24" s="58">
        <v>3375</v>
      </c>
      <c r="R24" s="67">
        <f t="shared" si="57"/>
        <v>4</v>
      </c>
      <c r="S24" s="58">
        <v>1617.6</v>
      </c>
      <c r="T24" s="67">
        <f t="shared" si="8"/>
        <v>1500</v>
      </c>
      <c r="U24" s="58">
        <v>641066</v>
      </c>
      <c r="V24" s="67">
        <f t="shared" si="58"/>
        <v>463.40000000002328</v>
      </c>
      <c r="W24" s="58">
        <v>580.55999999999995</v>
      </c>
      <c r="X24" s="65">
        <f t="shared" si="59"/>
        <v>379.99999999999545</v>
      </c>
      <c r="Y24" s="58">
        <v>4.4047000000000001</v>
      </c>
      <c r="Z24" s="65">
        <f t="shared" si="60"/>
        <v>3000.0000000001137</v>
      </c>
      <c r="AA24" s="58">
        <v>588.25</v>
      </c>
      <c r="AB24" s="65">
        <f t="shared" si="61"/>
        <v>440.00000000005457</v>
      </c>
      <c r="AC24" s="58">
        <v>591.29999999999995</v>
      </c>
      <c r="AD24" s="65">
        <f t="shared" si="62"/>
        <v>409.99999999996817</v>
      </c>
      <c r="AE24" s="58">
        <v>935.37</v>
      </c>
      <c r="AF24" s="65">
        <f t="shared" si="63"/>
        <v>909.99999999996817</v>
      </c>
      <c r="AG24" s="58">
        <v>25111</v>
      </c>
      <c r="AH24" s="67">
        <f t="shared" si="64"/>
        <v>42</v>
      </c>
      <c r="AI24" s="58">
        <v>1002.3</v>
      </c>
      <c r="AJ24" s="65">
        <f t="shared" si="65"/>
        <v>699.99999999993179</v>
      </c>
      <c r="AK24" s="58">
        <v>332.06</v>
      </c>
      <c r="AL24" s="65">
        <f t="shared" si="66"/>
        <v>310.00000000000227</v>
      </c>
      <c r="AM24" s="58">
        <v>305.45999999999998</v>
      </c>
      <c r="AN24" s="65">
        <f t="shared" si="67"/>
        <v>209.99999999997954</v>
      </c>
      <c r="AO24" s="58">
        <v>294.99</v>
      </c>
      <c r="AP24" s="65">
        <f t="shared" si="68"/>
        <v>230.00000000001819</v>
      </c>
      <c r="AQ24" s="58">
        <v>347.96</v>
      </c>
      <c r="AR24" s="65">
        <f t="shared" si="69"/>
        <v>250</v>
      </c>
      <c r="AS24" s="58">
        <v>472.91</v>
      </c>
      <c r="AT24" s="65">
        <f t="shared" si="70"/>
        <v>200.00000000004547</v>
      </c>
      <c r="AU24" s="58">
        <v>379.86</v>
      </c>
      <c r="AV24" s="65">
        <f t="shared" si="71"/>
        <v>180.00000000000682</v>
      </c>
      <c r="AW24" s="58">
        <v>406.87</v>
      </c>
      <c r="AX24" s="65">
        <f t="shared" si="72"/>
        <v>139.99999999998636</v>
      </c>
      <c r="AY24" s="58">
        <v>442.39</v>
      </c>
      <c r="AZ24" s="65">
        <f t="shared" si="73"/>
        <v>120.00000000000455</v>
      </c>
      <c r="BA24" s="58">
        <v>459.57</v>
      </c>
      <c r="BB24" s="65">
        <f t="shared" si="74"/>
        <v>230.00000000001819</v>
      </c>
      <c r="BC24" s="58">
        <v>293.86</v>
      </c>
      <c r="BD24" s="65">
        <f t="shared" si="75"/>
        <v>160.00000000002501</v>
      </c>
      <c r="BE24" s="59">
        <v>59464</v>
      </c>
      <c r="BF24" s="67">
        <f t="shared" si="76"/>
        <v>44</v>
      </c>
      <c r="BG24" s="60">
        <v>256.2</v>
      </c>
      <c r="BH24" s="65">
        <f t="shared" si="77"/>
        <v>50.000000000011369</v>
      </c>
      <c r="BI24" s="60">
        <v>310.39</v>
      </c>
      <c r="BJ24" s="65">
        <f t="shared" si="78"/>
        <v>39.99999999996362</v>
      </c>
      <c r="BK24" s="60">
        <v>261.95999999999998</v>
      </c>
      <c r="BL24" s="65">
        <f t="shared" si="79"/>
        <v>49.999999999954525</v>
      </c>
      <c r="BM24" s="60">
        <v>246.09</v>
      </c>
      <c r="BN24" s="65">
        <f t="shared" si="80"/>
        <v>50.000000000011369</v>
      </c>
      <c r="BO24" s="60">
        <v>314.8</v>
      </c>
      <c r="BP24" s="65">
        <f t="shared" si="81"/>
        <v>40.000000000020464</v>
      </c>
      <c r="BQ24" s="60">
        <v>64433</v>
      </c>
      <c r="BR24" s="65">
        <f t="shared" si="82"/>
        <v>43</v>
      </c>
      <c r="BS24" s="60">
        <v>224.14</v>
      </c>
      <c r="BT24" s="65">
        <f t="shared" si="83"/>
        <v>49.999999999982947</v>
      </c>
      <c r="BU24" s="60">
        <v>61911</v>
      </c>
      <c r="BV24" s="65">
        <f t="shared" si="84"/>
        <v>47</v>
      </c>
      <c r="BW24" s="60">
        <v>252.36</v>
      </c>
      <c r="BX24" s="65">
        <f t="shared" si="85"/>
        <v>40.000000000020464</v>
      </c>
      <c r="BY24" s="60">
        <v>83281</v>
      </c>
      <c r="BZ24" s="67">
        <f t="shared" si="86"/>
        <v>51</v>
      </c>
      <c r="CA24" s="60">
        <v>59809.1</v>
      </c>
      <c r="CB24" s="67">
        <f t="shared" si="87"/>
        <v>62.69999999999709</v>
      </c>
      <c r="CC24" s="60">
        <v>18238.599999999999</v>
      </c>
      <c r="CD24" s="67">
        <f t="shared" si="88"/>
        <v>16.399999999997817</v>
      </c>
      <c r="CE24" s="60">
        <v>8937</v>
      </c>
      <c r="CF24" s="67">
        <f t="shared" si="89"/>
        <v>4.7000000000007276</v>
      </c>
      <c r="CG24" s="60">
        <v>84506.1</v>
      </c>
      <c r="CH24" s="67">
        <f t="shared" si="90"/>
        <v>59.5</v>
      </c>
      <c r="CI24" s="60">
        <v>1110536</v>
      </c>
      <c r="CJ24" s="67">
        <f t="shared" si="91"/>
        <v>325</v>
      </c>
      <c r="CK24" s="60">
        <v>1186.5999999999999</v>
      </c>
      <c r="CL24" s="64">
        <f t="shared" si="97"/>
        <v>1000</v>
      </c>
      <c r="CM24" s="65">
        <f t="shared" si="98"/>
        <v>121</v>
      </c>
      <c r="CN24" s="62">
        <v>44</v>
      </c>
      <c r="CO24" s="62">
        <v>112</v>
      </c>
      <c r="CP24" s="68">
        <v>49811</v>
      </c>
      <c r="CQ24" s="67">
        <f t="shared" si="92"/>
        <v>94</v>
      </c>
      <c r="CR24" s="68">
        <v>26536</v>
      </c>
      <c r="CS24" s="67">
        <f t="shared" si="93"/>
        <v>27</v>
      </c>
      <c r="CT24" s="75">
        <v>12451</v>
      </c>
      <c r="CU24" s="67">
        <f t="shared" si="94"/>
        <v>18</v>
      </c>
      <c r="CV24" s="68">
        <v>30549</v>
      </c>
      <c r="CW24" s="67">
        <f t="shared" si="95"/>
        <v>24</v>
      </c>
      <c r="CX24" s="58">
        <v>5457.1</v>
      </c>
      <c r="CY24" s="67">
        <f t="shared" si="96"/>
        <v>13.100000000000364</v>
      </c>
    </row>
    <row r="25" spans="1:103" ht="25.5" customHeight="1" thickBot="1" x14ac:dyDescent="0.45">
      <c r="A25" s="63">
        <v>44917</v>
      </c>
      <c r="B25" s="44"/>
      <c r="C25" s="58">
        <v>3.7542</v>
      </c>
      <c r="D25" s="64">
        <f t="shared" si="50"/>
        <v>3400.0000000000696</v>
      </c>
      <c r="E25" s="58">
        <v>4.9980000000000002</v>
      </c>
      <c r="F25" s="64">
        <f t="shared" si="51"/>
        <v>3000.0000000001137</v>
      </c>
      <c r="G25" s="58">
        <v>5.0069999999999997</v>
      </c>
      <c r="H25" s="64">
        <f t="shared" si="52"/>
        <v>3999.9999999995593</v>
      </c>
      <c r="I25" s="58">
        <v>2.48</v>
      </c>
      <c r="J25" s="64">
        <f t="shared" si="53"/>
        <v>1999.9999999997797</v>
      </c>
      <c r="K25" s="58">
        <v>3.8056000000000001</v>
      </c>
      <c r="L25" s="64">
        <f t="shared" si="54"/>
        <v>2699.9999999999245</v>
      </c>
      <c r="M25" s="58">
        <v>2.2972999999999999</v>
      </c>
      <c r="N25" s="64">
        <f t="shared" si="55"/>
        <v>1999.9999999997797</v>
      </c>
      <c r="O25" s="58">
        <v>27272</v>
      </c>
      <c r="P25" s="67">
        <f t="shared" si="56"/>
        <v>22</v>
      </c>
      <c r="Q25" s="58">
        <v>3382</v>
      </c>
      <c r="R25" s="67">
        <f t="shared" si="57"/>
        <v>7</v>
      </c>
      <c r="S25" s="58">
        <v>1619.5</v>
      </c>
      <c r="T25" s="67">
        <f t="shared" si="8"/>
        <v>1900.0000000000909</v>
      </c>
      <c r="U25" s="58">
        <v>641755.19999999995</v>
      </c>
      <c r="V25" s="67">
        <f t="shared" si="58"/>
        <v>689.19999999995343</v>
      </c>
      <c r="W25" s="58">
        <v>581.02</v>
      </c>
      <c r="X25" s="65">
        <f t="shared" si="59"/>
        <v>460.00000000003638</v>
      </c>
      <c r="Y25" s="58">
        <v>4.4082999999999997</v>
      </c>
      <c r="Z25" s="65">
        <f t="shared" si="60"/>
        <v>3599.9999999996035</v>
      </c>
      <c r="AA25" s="58">
        <v>588.69000000000005</v>
      </c>
      <c r="AB25" s="65">
        <f t="shared" si="61"/>
        <v>440.00000000005457</v>
      </c>
      <c r="AC25" s="58">
        <v>591.72</v>
      </c>
      <c r="AD25" s="65">
        <f t="shared" si="62"/>
        <v>420.00000000007276</v>
      </c>
      <c r="AE25" s="58">
        <v>936.51</v>
      </c>
      <c r="AF25" s="65">
        <f t="shared" si="63"/>
        <v>1139.9999999999864</v>
      </c>
      <c r="AG25" s="58">
        <v>25159</v>
      </c>
      <c r="AH25" s="67">
        <f t="shared" si="64"/>
        <v>48</v>
      </c>
      <c r="AI25" s="58">
        <v>1003.2</v>
      </c>
      <c r="AJ25" s="65">
        <f t="shared" si="65"/>
        <v>900.00000000009095</v>
      </c>
      <c r="AK25" s="58">
        <v>332.4</v>
      </c>
      <c r="AL25" s="65">
        <f t="shared" si="66"/>
        <v>339.99999999997499</v>
      </c>
      <c r="AM25" s="58">
        <v>305.64999999999998</v>
      </c>
      <c r="AN25" s="65">
        <f t="shared" si="67"/>
        <v>189.99999999999773</v>
      </c>
      <c r="AO25" s="58">
        <v>295.26</v>
      </c>
      <c r="AP25" s="65">
        <f t="shared" si="68"/>
        <v>269.99999999998181</v>
      </c>
      <c r="AQ25" s="58">
        <v>348.31</v>
      </c>
      <c r="AR25" s="65">
        <f t="shared" si="69"/>
        <v>350.00000000002274</v>
      </c>
      <c r="AS25" s="58">
        <v>473.13</v>
      </c>
      <c r="AT25" s="65">
        <f t="shared" si="70"/>
        <v>219.99999999997044</v>
      </c>
      <c r="AU25" s="58">
        <v>380.11</v>
      </c>
      <c r="AV25" s="65">
        <f t="shared" si="71"/>
        <v>250</v>
      </c>
      <c r="AW25" s="58">
        <v>407.06</v>
      </c>
      <c r="AX25" s="65">
        <f t="shared" si="72"/>
        <v>189.99999999999773</v>
      </c>
      <c r="AY25" s="58">
        <v>442.57</v>
      </c>
      <c r="AZ25" s="65">
        <f t="shared" si="73"/>
        <v>180.00000000000682</v>
      </c>
      <c r="BA25" s="58">
        <v>459.82</v>
      </c>
      <c r="BB25" s="65">
        <f t="shared" si="74"/>
        <v>250</v>
      </c>
      <c r="BC25" s="58">
        <v>294.05</v>
      </c>
      <c r="BD25" s="65">
        <f t="shared" si="75"/>
        <v>189.99999999999773</v>
      </c>
      <c r="BE25" s="59">
        <v>59513</v>
      </c>
      <c r="BF25" s="67">
        <f t="shared" si="76"/>
        <v>49</v>
      </c>
      <c r="BG25" s="60">
        <v>256.24</v>
      </c>
      <c r="BH25" s="65">
        <f t="shared" si="77"/>
        <v>40.000000000020464</v>
      </c>
      <c r="BI25" s="60">
        <v>310.43</v>
      </c>
      <c r="BJ25" s="65">
        <f t="shared" si="78"/>
        <v>40.000000000020464</v>
      </c>
      <c r="BK25" s="60">
        <v>262.02</v>
      </c>
      <c r="BL25" s="65">
        <f t="shared" si="79"/>
        <v>60.000000000002274</v>
      </c>
      <c r="BM25" s="60">
        <v>246.14</v>
      </c>
      <c r="BN25" s="65">
        <f t="shared" si="80"/>
        <v>49.999999999982947</v>
      </c>
      <c r="BO25" s="60">
        <v>314.83</v>
      </c>
      <c r="BP25" s="65">
        <f t="shared" si="81"/>
        <v>29.999999999972715</v>
      </c>
      <c r="BQ25" s="60">
        <v>64479</v>
      </c>
      <c r="BR25" s="65">
        <f t="shared" si="82"/>
        <v>46</v>
      </c>
      <c r="BS25" s="60">
        <v>224.19</v>
      </c>
      <c r="BT25" s="65">
        <f t="shared" si="83"/>
        <v>50.000000000011369</v>
      </c>
      <c r="BU25" s="60">
        <v>61957</v>
      </c>
      <c r="BV25" s="65">
        <f t="shared" si="84"/>
        <v>46</v>
      </c>
      <c r="BW25" s="60">
        <v>252.4</v>
      </c>
      <c r="BX25" s="65">
        <f t="shared" si="85"/>
        <v>39.999999999992042</v>
      </c>
      <c r="BY25" s="60">
        <v>83338</v>
      </c>
      <c r="BZ25" s="67">
        <f t="shared" si="86"/>
        <v>57</v>
      </c>
      <c r="CA25" s="60">
        <v>59875.4</v>
      </c>
      <c r="CB25" s="67">
        <f t="shared" si="87"/>
        <v>66.30000000000291</v>
      </c>
      <c r="CC25" s="60">
        <v>18258.599999999999</v>
      </c>
      <c r="CD25" s="67">
        <f t="shared" si="88"/>
        <v>20</v>
      </c>
      <c r="CE25" s="60">
        <v>8940.7000000000007</v>
      </c>
      <c r="CF25" s="67">
        <f t="shared" si="89"/>
        <v>3.7000000000007276</v>
      </c>
      <c r="CG25" s="60">
        <v>84566</v>
      </c>
      <c r="CH25" s="67">
        <f t="shared" si="90"/>
        <v>59.899999999994179</v>
      </c>
      <c r="CI25" s="60">
        <v>1110868</v>
      </c>
      <c r="CJ25" s="67">
        <f t="shared" si="91"/>
        <v>332</v>
      </c>
      <c r="CK25" s="60">
        <v>1187.5</v>
      </c>
      <c r="CL25" s="64">
        <f t="shared" si="97"/>
        <v>900.00000000009095</v>
      </c>
      <c r="CM25" s="65">
        <f t="shared" si="98"/>
        <v>128</v>
      </c>
      <c r="CN25" s="62">
        <v>39</v>
      </c>
      <c r="CO25" s="62">
        <v>95</v>
      </c>
      <c r="CP25" s="68">
        <v>49908</v>
      </c>
      <c r="CQ25" s="67">
        <f t="shared" si="92"/>
        <v>97</v>
      </c>
      <c r="CR25" s="68">
        <v>26567</v>
      </c>
      <c r="CS25" s="67">
        <f t="shared" si="93"/>
        <v>31</v>
      </c>
      <c r="CT25" s="75">
        <v>12469</v>
      </c>
      <c r="CU25" s="67">
        <f t="shared" si="94"/>
        <v>18</v>
      </c>
      <c r="CV25" s="68">
        <v>30585</v>
      </c>
      <c r="CW25" s="67">
        <f t="shared" si="95"/>
        <v>36</v>
      </c>
      <c r="CX25" s="58">
        <v>5470</v>
      </c>
      <c r="CY25" s="67">
        <f t="shared" si="96"/>
        <v>12.899999999999636</v>
      </c>
    </row>
    <row r="26" spans="1:103" ht="25.5" customHeight="1" thickBot="1" x14ac:dyDescent="0.45">
      <c r="A26" s="63">
        <v>44918</v>
      </c>
      <c r="B26" s="44"/>
      <c r="C26" s="58">
        <v>3.7576000000000001</v>
      </c>
      <c r="D26" s="64">
        <f t="shared" si="50"/>
        <v>3400.0000000000696</v>
      </c>
      <c r="E26" s="58">
        <v>5.0019999999999998</v>
      </c>
      <c r="F26" s="64">
        <f t="shared" si="51"/>
        <v>3999.9999999995593</v>
      </c>
      <c r="G26" s="58">
        <v>5.0110000000000001</v>
      </c>
      <c r="H26" s="64">
        <f t="shared" si="52"/>
        <v>4000.0000000004475</v>
      </c>
      <c r="I26" s="58">
        <v>2.4820000000000002</v>
      </c>
      <c r="J26" s="64">
        <f t="shared" si="53"/>
        <v>2000.0000000002237</v>
      </c>
      <c r="K26" s="58">
        <v>3.8083999999999998</v>
      </c>
      <c r="L26" s="64">
        <f t="shared" si="54"/>
        <v>2799.9999999996917</v>
      </c>
      <c r="M26" s="58">
        <v>2.2993000000000001</v>
      </c>
      <c r="N26" s="64">
        <f t="shared" si="55"/>
        <v>2000.0000000002237</v>
      </c>
      <c r="O26" s="58">
        <v>27324</v>
      </c>
      <c r="P26" s="67">
        <f t="shared" si="56"/>
        <v>52</v>
      </c>
      <c r="Q26" s="58">
        <v>3386</v>
      </c>
      <c r="R26" s="67">
        <f t="shared" si="57"/>
        <v>4</v>
      </c>
      <c r="S26" s="58">
        <v>1620.8</v>
      </c>
      <c r="T26" s="67">
        <f t="shared" si="8"/>
        <v>1299.9999999999545</v>
      </c>
      <c r="U26" s="58">
        <v>642158</v>
      </c>
      <c r="V26" s="67">
        <f t="shared" si="58"/>
        <v>402.80000000004657</v>
      </c>
      <c r="W26" s="58">
        <v>581.4</v>
      </c>
      <c r="X26" s="65">
        <f t="shared" si="59"/>
        <v>379.99999999999545</v>
      </c>
      <c r="Y26" s="58">
        <v>4.4114000000000004</v>
      </c>
      <c r="Z26" s="65">
        <f t="shared" si="60"/>
        <v>3100.000000000769</v>
      </c>
      <c r="AA26" s="58">
        <v>589.11</v>
      </c>
      <c r="AB26" s="65">
        <f t="shared" si="61"/>
        <v>419.99999999995907</v>
      </c>
      <c r="AC26" s="58">
        <v>592.1</v>
      </c>
      <c r="AD26" s="65">
        <f t="shared" si="62"/>
        <v>379.99999999999545</v>
      </c>
      <c r="AE26" s="58">
        <v>937.54</v>
      </c>
      <c r="AF26" s="65">
        <f t="shared" si="63"/>
        <v>1029.9999999999727</v>
      </c>
      <c r="AG26" s="58">
        <v>25204</v>
      </c>
      <c r="AH26" s="67">
        <f t="shared" si="64"/>
        <v>45</v>
      </c>
      <c r="AI26" s="58">
        <v>1004</v>
      </c>
      <c r="AJ26" s="65">
        <f t="shared" si="65"/>
        <v>799.99999999995453</v>
      </c>
      <c r="AK26" s="58">
        <v>332.72</v>
      </c>
      <c r="AL26" s="65">
        <f t="shared" si="66"/>
        <v>320.00000000005002</v>
      </c>
      <c r="AM26" s="58">
        <v>305.89</v>
      </c>
      <c r="AN26" s="65">
        <f t="shared" si="67"/>
        <v>240.00000000000909</v>
      </c>
      <c r="AO26" s="58">
        <v>295.5</v>
      </c>
      <c r="AP26" s="65">
        <f t="shared" si="68"/>
        <v>240.00000000000909</v>
      </c>
      <c r="AQ26" s="58">
        <v>348.54</v>
      </c>
      <c r="AR26" s="65">
        <f t="shared" si="69"/>
        <v>230.00000000001819</v>
      </c>
      <c r="AS26" s="58">
        <v>473.34</v>
      </c>
      <c r="AT26" s="65">
        <f t="shared" si="70"/>
        <v>209.99999999997954</v>
      </c>
      <c r="AU26" s="58">
        <v>380.31</v>
      </c>
      <c r="AV26" s="65">
        <f t="shared" si="71"/>
        <v>199.99999999998863</v>
      </c>
      <c r="AW26" s="58">
        <v>407.25</v>
      </c>
      <c r="AX26" s="65">
        <f t="shared" si="72"/>
        <v>189.99999999999773</v>
      </c>
      <c r="AY26" s="58">
        <v>442.69</v>
      </c>
      <c r="AZ26" s="65">
        <f t="shared" si="73"/>
        <v>120.00000000000455</v>
      </c>
      <c r="BA26" s="58">
        <v>460.03</v>
      </c>
      <c r="BB26" s="65">
        <f t="shared" si="74"/>
        <v>209.99999999997954</v>
      </c>
      <c r="BC26" s="58">
        <v>294.19</v>
      </c>
      <c r="BD26" s="65">
        <f t="shared" si="75"/>
        <v>139.99999999998636</v>
      </c>
      <c r="BE26" s="59">
        <v>59574</v>
      </c>
      <c r="BF26" s="67">
        <f t="shared" si="76"/>
        <v>61</v>
      </c>
      <c r="BG26" s="60">
        <v>256.3</v>
      </c>
      <c r="BH26" s="65">
        <f t="shared" si="77"/>
        <v>60.000000000002274</v>
      </c>
      <c r="BI26" s="60">
        <v>310.48</v>
      </c>
      <c r="BJ26" s="65">
        <f t="shared" si="78"/>
        <v>50.000000000011369</v>
      </c>
      <c r="BK26" s="60">
        <v>262.08</v>
      </c>
      <c r="BL26" s="65">
        <f t="shared" si="79"/>
        <v>60.000000000002274</v>
      </c>
      <c r="BM26" s="60">
        <v>246.19</v>
      </c>
      <c r="BN26" s="65">
        <f t="shared" si="80"/>
        <v>50.000000000011369</v>
      </c>
      <c r="BO26" s="60">
        <v>314.88</v>
      </c>
      <c r="BP26" s="65">
        <f t="shared" si="81"/>
        <v>50.000000000011369</v>
      </c>
      <c r="BQ26" s="60">
        <v>64527</v>
      </c>
      <c r="BR26" s="65">
        <f t="shared" si="82"/>
        <v>48</v>
      </c>
      <c r="BS26" s="60">
        <v>224.25</v>
      </c>
      <c r="BT26" s="65">
        <f t="shared" si="83"/>
        <v>60.000000000002274</v>
      </c>
      <c r="BU26" s="60">
        <v>62005</v>
      </c>
      <c r="BV26" s="65">
        <f t="shared" si="84"/>
        <v>48</v>
      </c>
      <c r="BW26" s="60">
        <v>252.44</v>
      </c>
      <c r="BX26" s="65">
        <f t="shared" si="85"/>
        <v>39.999999999992042</v>
      </c>
      <c r="BY26" s="60">
        <v>83407</v>
      </c>
      <c r="BZ26" s="67">
        <f t="shared" si="86"/>
        <v>69</v>
      </c>
      <c r="CA26" s="60">
        <v>59934.3</v>
      </c>
      <c r="CB26" s="67">
        <f t="shared" si="87"/>
        <v>58.900000000001455</v>
      </c>
      <c r="CC26" s="60">
        <v>18267.5</v>
      </c>
      <c r="CD26" s="67">
        <f t="shared" si="88"/>
        <v>8.9000000000014552</v>
      </c>
      <c r="CE26" s="60">
        <v>8944.9</v>
      </c>
      <c r="CF26" s="67">
        <f t="shared" si="89"/>
        <v>4.1999999999989086</v>
      </c>
      <c r="CG26" s="60">
        <v>84628</v>
      </c>
      <c r="CH26" s="67">
        <f t="shared" si="90"/>
        <v>62</v>
      </c>
      <c r="CI26" s="60">
        <v>1111217</v>
      </c>
      <c r="CJ26" s="67">
        <f t="shared" si="91"/>
        <v>349</v>
      </c>
      <c r="CK26" s="60">
        <v>1188.5</v>
      </c>
      <c r="CL26" s="64">
        <f t="shared" si="97"/>
        <v>1000</v>
      </c>
      <c r="CM26" s="65">
        <f t="shared" si="98"/>
        <v>179</v>
      </c>
      <c r="CN26" s="62">
        <v>41</v>
      </c>
      <c r="CO26" s="62">
        <v>104</v>
      </c>
      <c r="CP26" s="68">
        <v>50020</v>
      </c>
      <c r="CQ26" s="67">
        <f t="shared" si="92"/>
        <v>112</v>
      </c>
      <c r="CR26" s="68">
        <v>26634</v>
      </c>
      <c r="CS26" s="67">
        <f t="shared" si="93"/>
        <v>67</v>
      </c>
      <c r="CT26" s="75">
        <v>12486</v>
      </c>
      <c r="CU26" s="67">
        <f t="shared" si="94"/>
        <v>17</v>
      </c>
      <c r="CV26" s="68">
        <v>30620</v>
      </c>
      <c r="CW26" s="67">
        <f t="shared" si="95"/>
        <v>35</v>
      </c>
      <c r="CX26" s="58">
        <v>5483.6</v>
      </c>
      <c r="CY26" s="67">
        <f t="shared" si="96"/>
        <v>13.600000000000364</v>
      </c>
    </row>
    <row r="27" spans="1:103" ht="25.5" customHeight="1" thickBot="1" x14ac:dyDescent="0.45">
      <c r="A27" s="63">
        <v>44919</v>
      </c>
      <c r="B27" s="44"/>
      <c r="C27" s="58">
        <v>3.7612999999999999</v>
      </c>
      <c r="D27" s="64">
        <f t="shared" si="50"/>
        <v>3699.9999999998145</v>
      </c>
      <c r="E27" s="58">
        <v>5.0060000000000002</v>
      </c>
      <c r="F27" s="64">
        <f t="shared" si="51"/>
        <v>4000.0000000004475</v>
      </c>
      <c r="G27" s="58">
        <v>5.016</v>
      </c>
      <c r="H27" s="64">
        <f t="shared" si="52"/>
        <v>4999.9999999998936</v>
      </c>
      <c r="I27" s="58">
        <v>2.4830000000000001</v>
      </c>
      <c r="J27" s="64">
        <f t="shared" si="53"/>
        <v>999.99999999988984</v>
      </c>
      <c r="K27" s="58">
        <v>3.8113999999999999</v>
      </c>
      <c r="L27" s="64">
        <f t="shared" si="54"/>
        <v>3000.0000000001137</v>
      </c>
      <c r="M27" s="58">
        <v>2.3012999999999999</v>
      </c>
      <c r="N27" s="64">
        <f t="shared" si="55"/>
        <v>1999.9999999997797</v>
      </c>
      <c r="O27" s="58">
        <v>27369</v>
      </c>
      <c r="P27" s="67">
        <f t="shared" si="56"/>
        <v>45</v>
      </c>
      <c r="Q27" s="58">
        <v>3390</v>
      </c>
      <c r="R27" s="67">
        <f t="shared" si="57"/>
        <v>4</v>
      </c>
      <c r="S27" s="58">
        <v>1622.6</v>
      </c>
      <c r="T27" s="67">
        <f t="shared" si="8"/>
        <v>1799.9999999999545</v>
      </c>
      <c r="U27" s="58">
        <v>642738.80000000005</v>
      </c>
      <c r="V27" s="67">
        <f t="shared" si="58"/>
        <v>580.80000000004657</v>
      </c>
      <c r="W27" s="58">
        <v>581.86</v>
      </c>
      <c r="X27" s="65">
        <f t="shared" si="59"/>
        <v>460.00000000003638</v>
      </c>
      <c r="Y27" s="58">
        <v>4.4153000000000002</v>
      </c>
      <c r="Z27" s="65">
        <f t="shared" si="60"/>
        <v>3899.9999999997926</v>
      </c>
      <c r="AA27" s="58">
        <v>589.53</v>
      </c>
      <c r="AB27" s="65">
        <f t="shared" si="61"/>
        <v>419.99999999995907</v>
      </c>
      <c r="AC27" s="58">
        <v>592.65</v>
      </c>
      <c r="AD27" s="65">
        <f t="shared" si="62"/>
        <v>549.99999999995453</v>
      </c>
      <c r="AE27" s="58">
        <v>938.52</v>
      </c>
      <c r="AF27" s="65">
        <f t="shared" si="63"/>
        <v>980.00000000001819</v>
      </c>
      <c r="AG27" s="58">
        <v>25255</v>
      </c>
      <c r="AH27" s="67">
        <f t="shared" si="64"/>
        <v>51</v>
      </c>
      <c r="AI27" s="58">
        <v>1004.9</v>
      </c>
      <c r="AJ27" s="65">
        <f t="shared" si="65"/>
        <v>899.99999999997726</v>
      </c>
      <c r="AK27" s="58">
        <v>333.03</v>
      </c>
      <c r="AL27" s="65">
        <f t="shared" si="66"/>
        <v>309.99999999994543</v>
      </c>
      <c r="AM27" s="58">
        <v>306.16000000000003</v>
      </c>
      <c r="AN27" s="65">
        <f t="shared" si="67"/>
        <v>270.00000000003865</v>
      </c>
      <c r="AO27" s="58">
        <v>295.77999999999997</v>
      </c>
      <c r="AP27" s="65">
        <f t="shared" si="68"/>
        <v>279.99999999997272</v>
      </c>
      <c r="AQ27" s="58">
        <v>348.82</v>
      </c>
      <c r="AR27" s="65">
        <f t="shared" si="69"/>
        <v>279.99999999997272</v>
      </c>
      <c r="AS27" s="58">
        <v>473.66</v>
      </c>
      <c r="AT27" s="65">
        <f t="shared" si="70"/>
        <v>320.00000000005002</v>
      </c>
      <c r="AU27" s="58">
        <v>380.58</v>
      </c>
      <c r="AV27" s="65">
        <f t="shared" si="71"/>
        <v>269.99999999998181</v>
      </c>
      <c r="AW27" s="58">
        <v>407.45</v>
      </c>
      <c r="AX27" s="65">
        <f t="shared" si="72"/>
        <v>199.99999999998863</v>
      </c>
      <c r="AY27" s="58">
        <v>443.07</v>
      </c>
      <c r="AZ27" s="65">
        <f t="shared" si="73"/>
        <v>379.99999999999545</v>
      </c>
      <c r="BA27" s="58">
        <v>460.25</v>
      </c>
      <c r="BB27" s="65">
        <f t="shared" si="74"/>
        <v>220.00000000002728</v>
      </c>
      <c r="BC27" s="58">
        <v>294.39</v>
      </c>
      <c r="BD27" s="65">
        <f t="shared" si="75"/>
        <v>199.99999999998863</v>
      </c>
      <c r="BE27" s="59">
        <v>59619</v>
      </c>
      <c r="BF27" s="67">
        <f t="shared" si="76"/>
        <v>45</v>
      </c>
      <c r="BG27" s="60">
        <v>256.36</v>
      </c>
      <c r="BH27" s="65">
        <f t="shared" si="77"/>
        <v>60.000000000002274</v>
      </c>
      <c r="BI27" s="60">
        <v>310.52999999999997</v>
      </c>
      <c r="BJ27" s="65">
        <f t="shared" si="78"/>
        <v>49.999999999954525</v>
      </c>
      <c r="BK27" s="60">
        <v>262.14999999999998</v>
      </c>
      <c r="BL27" s="65">
        <f t="shared" si="79"/>
        <v>69.999999999993179</v>
      </c>
      <c r="BM27" s="60">
        <v>246.24</v>
      </c>
      <c r="BN27" s="65">
        <f t="shared" si="80"/>
        <v>50.000000000011369</v>
      </c>
      <c r="BO27" s="60">
        <v>314.92</v>
      </c>
      <c r="BP27" s="65">
        <f t="shared" si="81"/>
        <v>40.000000000020464</v>
      </c>
      <c r="BQ27" s="60">
        <v>64576</v>
      </c>
      <c r="BR27" s="65">
        <f t="shared" si="82"/>
        <v>49</v>
      </c>
      <c r="BS27" s="60">
        <v>224.3</v>
      </c>
      <c r="BT27" s="65">
        <f t="shared" si="83"/>
        <v>50.000000000011369</v>
      </c>
      <c r="BU27" s="60">
        <v>62049</v>
      </c>
      <c r="BV27" s="65">
        <f t="shared" si="84"/>
        <v>44</v>
      </c>
      <c r="BW27" s="60">
        <v>252.49</v>
      </c>
      <c r="BX27" s="65">
        <f t="shared" si="85"/>
        <v>50.000000000011369</v>
      </c>
      <c r="BY27" s="60">
        <v>83468</v>
      </c>
      <c r="BZ27" s="67">
        <f t="shared" si="86"/>
        <v>61</v>
      </c>
      <c r="CA27" s="60">
        <v>60003.3</v>
      </c>
      <c r="CB27" s="67">
        <f t="shared" si="87"/>
        <v>69</v>
      </c>
      <c r="CC27" s="60">
        <v>18290.8</v>
      </c>
      <c r="CD27" s="67">
        <f t="shared" si="88"/>
        <v>23.299999999999272</v>
      </c>
      <c r="CE27" s="60">
        <v>8947.4</v>
      </c>
      <c r="CF27" s="67">
        <f t="shared" si="89"/>
        <v>2.5</v>
      </c>
      <c r="CG27" s="60">
        <v>84692.9</v>
      </c>
      <c r="CH27" s="67">
        <f t="shared" si="90"/>
        <v>64.899999999994179</v>
      </c>
      <c r="CI27" s="60">
        <v>1111559</v>
      </c>
      <c r="CJ27" s="67">
        <f t="shared" si="91"/>
        <v>342</v>
      </c>
      <c r="CK27" s="60">
        <v>1189.5999999999999</v>
      </c>
      <c r="CL27" s="64">
        <f t="shared" si="97"/>
        <v>1099.9999999999091</v>
      </c>
      <c r="CM27" s="65">
        <f t="shared" si="98"/>
        <v>146</v>
      </c>
      <c r="CN27" s="62">
        <v>39</v>
      </c>
      <c r="CO27" s="62">
        <v>99</v>
      </c>
      <c r="CP27" s="68">
        <v>50135</v>
      </c>
      <c r="CQ27" s="67">
        <f t="shared" si="92"/>
        <v>115</v>
      </c>
      <c r="CR27" s="68">
        <v>26665</v>
      </c>
      <c r="CS27" s="67">
        <f t="shared" si="93"/>
        <v>31</v>
      </c>
      <c r="CT27" s="75">
        <v>12505</v>
      </c>
      <c r="CU27" s="67">
        <f t="shared" si="94"/>
        <v>19</v>
      </c>
      <c r="CV27" s="68">
        <v>30666</v>
      </c>
      <c r="CW27" s="67">
        <f t="shared" si="95"/>
        <v>46</v>
      </c>
      <c r="CX27" s="58">
        <v>5497.5</v>
      </c>
      <c r="CY27" s="67">
        <f t="shared" si="96"/>
        <v>13.899999999999636</v>
      </c>
    </row>
    <row r="28" spans="1:103" ht="25.5" customHeight="1" thickBot="1" x14ac:dyDescent="0.45">
      <c r="A28" s="63">
        <v>44920</v>
      </c>
      <c r="B28" s="44"/>
      <c r="C28" s="58">
        <v>3.7648000000000001</v>
      </c>
      <c r="D28" s="64">
        <f t="shared" si="50"/>
        <v>3500.0000000002806</v>
      </c>
      <c r="E28" s="58">
        <v>5.01</v>
      </c>
      <c r="F28" s="64">
        <f t="shared" si="51"/>
        <v>3999.9999999995593</v>
      </c>
      <c r="G28" s="58">
        <v>5.0199999999999996</v>
      </c>
      <c r="H28" s="64">
        <f t="shared" si="52"/>
        <v>3999.9999999995593</v>
      </c>
      <c r="I28" s="58">
        <v>2.4849999999999999</v>
      </c>
      <c r="J28" s="64">
        <f t="shared" si="53"/>
        <v>1999.9999999997797</v>
      </c>
      <c r="K28" s="58">
        <v>3.8142</v>
      </c>
      <c r="L28" s="64">
        <f t="shared" si="54"/>
        <v>2800.0000000001355</v>
      </c>
      <c r="M28" s="58">
        <v>2.3031000000000001</v>
      </c>
      <c r="N28" s="64">
        <f t="shared" si="55"/>
        <v>1800.0000000002458</v>
      </c>
      <c r="O28" s="58">
        <v>27407</v>
      </c>
      <c r="P28" s="67">
        <f t="shared" si="56"/>
        <v>38</v>
      </c>
      <c r="Q28" s="58">
        <v>3397</v>
      </c>
      <c r="R28" s="67">
        <f t="shared" si="57"/>
        <v>7</v>
      </c>
      <c r="S28" s="58">
        <v>1624.1</v>
      </c>
      <c r="T28" s="67">
        <f t="shared" si="8"/>
        <v>1500</v>
      </c>
      <c r="U28" s="58">
        <v>643233.9</v>
      </c>
      <c r="V28" s="67">
        <f t="shared" si="58"/>
        <v>495.09999999997672</v>
      </c>
      <c r="W28" s="58">
        <v>582.17999999999995</v>
      </c>
      <c r="X28" s="65">
        <f t="shared" si="59"/>
        <v>319.99999999993634</v>
      </c>
      <c r="Y28" s="58">
        <v>4.4180000000000001</v>
      </c>
      <c r="Z28" s="65">
        <f t="shared" si="60"/>
        <v>2699.9999999999245</v>
      </c>
      <c r="AA28" s="58">
        <v>589.88</v>
      </c>
      <c r="AB28" s="65">
        <f t="shared" si="61"/>
        <v>350.00000000002274</v>
      </c>
      <c r="AC28" s="58">
        <v>593.07000000000005</v>
      </c>
      <c r="AD28" s="65">
        <f t="shared" si="62"/>
        <v>420.00000000007276</v>
      </c>
      <c r="AE28" s="58">
        <v>939.38</v>
      </c>
      <c r="AF28" s="65">
        <f t="shared" si="63"/>
        <v>860.00000000001364</v>
      </c>
      <c r="AG28" s="58">
        <v>25293</v>
      </c>
      <c r="AH28" s="67">
        <f t="shared" si="64"/>
        <v>38</v>
      </c>
      <c r="AI28" s="58">
        <v>1005.7</v>
      </c>
      <c r="AJ28" s="65">
        <f t="shared" si="65"/>
        <v>800.00000000006821</v>
      </c>
      <c r="AK28" s="58">
        <v>333.26</v>
      </c>
      <c r="AL28" s="65">
        <f t="shared" si="66"/>
        <v>230.00000000001819</v>
      </c>
      <c r="AM28" s="58">
        <v>306.39</v>
      </c>
      <c r="AN28" s="65">
        <f t="shared" si="67"/>
        <v>229.99999999996135</v>
      </c>
      <c r="AO28" s="58">
        <v>295.98</v>
      </c>
      <c r="AP28" s="65">
        <f t="shared" si="68"/>
        <v>200.00000000004547</v>
      </c>
      <c r="AQ28" s="58">
        <v>349.06</v>
      </c>
      <c r="AR28" s="65">
        <f t="shared" si="69"/>
        <v>240.00000000000909</v>
      </c>
      <c r="AS28" s="58">
        <v>473.9</v>
      </c>
      <c r="AT28" s="65">
        <f t="shared" si="70"/>
        <v>239.99999999995225</v>
      </c>
      <c r="AU28" s="58">
        <v>380.76</v>
      </c>
      <c r="AV28" s="65">
        <f t="shared" si="71"/>
        <v>180.00000000000682</v>
      </c>
      <c r="AW28" s="58">
        <v>407.68</v>
      </c>
      <c r="AX28" s="65">
        <f t="shared" si="72"/>
        <v>230.00000000001819</v>
      </c>
      <c r="AY28" s="58">
        <v>443.23</v>
      </c>
      <c r="AZ28" s="65">
        <f t="shared" si="73"/>
        <v>160.00000000002501</v>
      </c>
      <c r="BA28" s="58">
        <v>460.46</v>
      </c>
      <c r="BB28" s="65">
        <f t="shared" si="74"/>
        <v>209.99999999997954</v>
      </c>
      <c r="BC28" s="58">
        <v>294.56</v>
      </c>
      <c r="BD28" s="65">
        <f t="shared" si="75"/>
        <v>170.00000000001592</v>
      </c>
      <c r="BE28" s="59">
        <v>59654</v>
      </c>
      <c r="BF28" s="67">
        <f t="shared" si="76"/>
        <v>35</v>
      </c>
      <c r="BG28" s="60">
        <v>256.41000000000003</v>
      </c>
      <c r="BH28" s="65">
        <f t="shared" si="77"/>
        <v>50.000000000011369</v>
      </c>
      <c r="BI28" s="60">
        <v>310.57</v>
      </c>
      <c r="BJ28" s="65">
        <f t="shared" si="78"/>
        <v>40.000000000020464</v>
      </c>
      <c r="BK28" s="60">
        <v>262.22000000000003</v>
      </c>
      <c r="BL28" s="65">
        <f t="shared" si="79"/>
        <v>70.000000000050022</v>
      </c>
      <c r="BM28" s="60">
        <v>246.29</v>
      </c>
      <c r="BN28" s="65">
        <f t="shared" si="80"/>
        <v>49.999999999982947</v>
      </c>
      <c r="BO28" s="60">
        <v>314.95999999999998</v>
      </c>
      <c r="BP28" s="65">
        <f t="shared" si="81"/>
        <v>39.99999999996362</v>
      </c>
      <c r="BQ28" s="60">
        <v>64627</v>
      </c>
      <c r="BR28" s="65">
        <f t="shared" si="82"/>
        <v>51</v>
      </c>
      <c r="BS28" s="60">
        <v>224.36</v>
      </c>
      <c r="BT28" s="65">
        <f t="shared" si="83"/>
        <v>60.000000000002274</v>
      </c>
      <c r="BU28" s="60">
        <v>62099</v>
      </c>
      <c r="BV28" s="65">
        <f t="shared" si="84"/>
        <v>50</v>
      </c>
      <c r="BW28" s="60">
        <v>252.54</v>
      </c>
      <c r="BX28" s="65">
        <f t="shared" si="85"/>
        <v>49.999999999982947</v>
      </c>
      <c r="BY28" s="60">
        <v>83528</v>
      </c>
      <c r="BZ28" s="67">
        <f t="shared" si="86"/>
        <v>60</v>
      </c>
      <c r="CA28" s="60">
        <v>60056.5</v>
      </c>
      <c r="CB28" s="67">
        <f t="shared" si="87"/>
        <v>53.19999999999709</v>
      </c>
      <c r="CC28" s="60">
        <v>18297</v>
      </c>
      <c r="CD28" s="67">
        <f t="shared" si="88"/>
        <v>6.2000000000007276</v>
      </c>
      <c r="CE28" s="60">
        <v>8949.5</v>
      </c>
      <c r="CF28" s="67">
        <f t="shared" si="89"/>
        <v>2.1000000000003638</v>
      </c>
      <c r="CG28" s="60">
        <v>84730.6</v>
      </c>
      <c r="CH28" s="67">
        <f t="shared" si="90"/>
        <v>37.700000000011642</v>
      </c>
      <c r="CI28" s="60">
        <v>1111885</v>
      </c>
      <c r="CJ28" s="67">
        <f t="shared" si="91"/>
        <v>326</v>
      </c>
      <c r="CK28" s="60">
        <v>1190.5999999999999</v>
      </c>
      <c r="CL28" s="64">
        <f t="shared" si="97"/>
        <v>1000</v>
      </c>
      <c r="CM28" s="65">
        <f t="shared" si="98"/>
        <v>154.5</v>
      </c>
      <c r="CN28" s="62">
        <v>45</v>
      </c>
      <c r="CO28" s="62">
        <v>119</v>
      </c>
      <c r="CP28" s="68">
        <v>50244</v>
      </c>
      <c r="CQ28" s="67">
        <f t="shared" si="92"/>
        <v>109</v>
      </c>
      <c r="CR28" s="68">
        <v>26710.5</v>
      </c>
      <c r="CS28" s="67">
        <f t="shared" si="93"/>
        <v>45.5</v>
      </c>
      <c r="CT28" s="75">
        <v>12521</v>
      </c>
      <c r="CU28" s="67">
        <f t="shared" si="94"/>
        <v>16</v>
      </c>
      <c r="CV28" s="68">
        <v>30700</v>
      </c>
      <c r="CW28" s="67">
        <f t="shared" si="95"/>
        <v>34</v>
      </c>
      <c r="CX28" s="58">
        <v>5508</v>
      </c>
      <c r="CY28" s="67">
        <f t="shared" si="96"/>
        <v>10.5</v>
      </c>
    </row>
    <row r="29" spans="1:103" ht="25.5" customHeight="1" thickBot="1" x14ac:dyDescent="0.45">
      <c r="A29" s="63">
        <v>44921</v>
      </c>
      <c r="B29" s="44"/>
      <c r="C29" s="58">
        <v>3.7685</v>
      </c>
      <c r="D29" s="64">
        <f t="shared" si="50"/>
        <v>3699.9999999998145</v>
      </c>
      <c r="E29" s="58">
        <v>5.0129999999999999</v>
      </c>
      <c r="F29" s="64">
        <f t="shared" si="51"/>
        <v>3000.0000000001137</v>
      </c>
      <c r="G29" s="58">
        <v>5.024</v>
      </c>
      <c r="H29" s="64">
        <f t="shared" si="52"/>
        <v>4000.0000000004475</v>
      </c>
      <c r="I29" s="58">
        <v>2.4870000000000001</v>
      </c>
      <c r="J29" s="64">
        <f t="shared" si="53"/>
        <v>2000.0000000002237</v>
      </c>
      <c r="K29" s="58">
        <v>3.8174000000000001</v>
      </c>
      <c r="L29" s="64">
        <f t="shared" si="54"/>
        <v>3200.0000000000919</v>
      </c>
      <c r="M29" s="58">
        <v>2.3052000000000001</v>
      </c>
      <c r="N29" s="64">
        <f t="shared" si="55"/>
        <v>2099.9999999999909</v>
      </c>
      <c r="O29" s="58">
        <v>27469</v>
      </c>
      <c r="P29" s="67">
        <f t="shared" si="56"/>
        <v>62</v>
      </c>
      <c r="Q29" s="58">
        <v>3403</v>
      </c>
      <c r="R29" s="67">
        <f t="shared" si="57"/>
        <v>6</v>
      </c>
      <c r="S29" s="58">
        <v>1625.8</v>
      </c>
      <c r="T29" s="67">
        <f t="shared" si="8"/>
        <v>1700.0000000000455</v>
      </c>
      <c r="U29" s="58">
        <v>643847.9</v>
      </c>
      <c r="V29" s="67">
        <f t="shared" si="58"/>
        <v>614</v>
      </c>
      <c r="W29" s="58">
        <v>582.62</v>
      </c>
      <c r="X29" s="65">
        <f t="shared" si="59"/>
        <v>440.00000000005457</v>
      </c>
      <c r="Y29" s="58">
        <v>4.4214000000000002</v>
      </c>
      <c r="Z29" s="65">
        <f t="shared" si="60"/>
        <v>3400.0000000000696</v>
      </c>
      <c r="AA29" s="58">
        <v>590.39</v>
      </c>
      <c r="AB29" s="65">
        <f t="shared" si="61"/>
        <v>509.99999999999091</v>
      </c>
      <c r="AC29" s="58">
        <v>593.5</v>
      </c>
      <c r="AD29" s="65">
        <f t="shared" si="62"/>
        <v>429.99999999994998</v>
      </c>
      <c r="AE29" s="58">
        <v>940.43</v>
      </c>
      <c r="AF29" s="65">
        <f t="shared" si="63"/>
        <v>1049.9999999999545</v>
      </c>
      <c r="AG29" s="58">
        <v>25349</v>
      </c>
      <c r="AH29" s="67">
        <f t="shared" si="64"/>
        <v>56</v>
      </c>
      <c r="AI29" s="58">
        <v>1006.5</v>
      </c>
      <c r="AJ29" s="65">
        <f t="shared" si="65"/>
        <v>799.99999999995453</v>
      </c>
      <c r="AK29" s="58">
        <v>333.59</v>
      </c>
      <c r="AL29" s="65">
        <f t="shared" si="66"/>
        <v>329.99999999998408</v>
      </c>
      <c r="AM29" s="58">
        <v>306.64</v>
      </c>
      <c r="AN29" s="65">
        <f t="shared" si="67"/>
        <v>250</v>
      </c>
      <c r="AO29" s="58">
        <v>296.24</v>
      </c>
      <c r="AP29" s="65">
        <f t="shared" si="68"/>
        <v>259.99999999999091</v>
      </c>
      <c r="AQ29" s="58">
        <v>349.37</v>
      </c>
      <c r="AR29" s="65">
        <f t="shared" si="69"/>
        <v>310.00000000000227</v>
      </c>
      <c r="AS29" s="58">
        <v>474.15</v>
      </c>
      <c r="AT29" s="65">
        <f t="shared" si="70"/>
        <v>250</v>
      </c>
      <c r="AU29" s="58">
        <v>380.99</v>
      </c>
      <c r="AV29" s="65">
        <f t="shared" si="71"/>
        <v>230.00000000001819</v>
      </c>
      <c r="AW29" s="58">
        <v>407.96</v>
      </c>
      <c r="AX29" s="65">
        <f t="shared" si="72"/>
        <v>279.99999999997272</v>
      </c>
      <c r="AY29" s="58">
        <v>443.4</v>
      </c>
      <c r="AZ29" s="65">
        <f t="shared" si="73"/>
        <v>169.99999999995907</v>
      </c>
      <c r="BA29" s="58">
        <v>460.72</v>
      </c>
      <c r="BB29" s="65">
        <f t="shared" si="74"/>
        <v>260.00000000004775</v>
      </c>
      <c r="BC29" s="58">
        <v>294.77999999999997</v>
      </c>
      <c r="BD29" s="65">
        <f t="shared" si="75"/>
        <v>219.99999999997044</v>
      </c>
      <c r="BE29" s="59">
        <v>59701</v>
      </c>
      <c r="BF29" s="67">
        <f t="shared" si="76"/>
        <v>47</v>
      </c>
      <c r="BG29" s="60">
        <v>256.47000000000003</v>
      </c>
      <c r="BH29" s="65">
        <f t="shared" si="77"/>
        <v>60.000000000002274</v>
      </c>
      <c r="BI29" s="60">
        <v>310.62</v>
      </c>
      <c r="BJ29" s="65">
        <f t="shared" si="78"/>
        <v>50.000000000011369</v>
      </c>
      <c r="BK29" s="60">
        <v>262.29000000000002</v>
      </c>
      <c r="BL29" s="65">
        <f t="shared" si="79"/>
        <v>69.999999999993179</v>
      </c>
      <c r="BM29" s="60">
        <v>246.34</v>
      </c>
      <c r="BN29" s="65">
        <f t="shared" si="80"/>
        <v>50.000000000011369</v>
      </c>
      <c r="BO29" s="60">
        <v>315</v>
      </c>
      <c r="BP29" s="65">
        <f t="shared" si="81"/>
        <v>40.000000000020464</v>
      </c>
      <c r="BQ29" s="60">
        <v>64680</v>
      </c>
      <c r="BR29" s="65">
        <f t="shared" si="82"/>
        <v>53</v>
      </c>
      <c r="BS29" s="60">
        <v>224.42</v>
      </c>
      <c r="BT29" s="65">
        <f t="shared" si="83"/>
        <v>59.999999999973852</v>
      </c>
      <c r="BU29" s="60">
        <v>62153</v>
      </c>
      <c r="BV29" s="65">
        <f t="shared" si="84"/>
        <v>54</v>
      </c>
      <c r="BW29" s="60">
        <v>252.59</v>
      </c>
      <c r="BX29" s="65">
        <f t="shared" si="85"/>
        <v>50.000000000011369</v>
      </c>
      <c r="BY29" s="60">
        <v>83592</v>
      </c>
      <c r="BZ29" s="67">
        <f t="shared" si="86"/>
        <v>64</v>
      </c>
      <c r="CA29" s="60">
        <v>60116.6</v>
      </c>
      <c r="CB29" s="67">
        <f t="shared" si="87"/>
        <v>60.099999999998545</v>
      </c>
      <c r="CC29" s="60">
        <v>18308.400000000001</v>
      </c>
      <c r="CD29" s="67">
        <f t="shared" si="88"/>
        <v>11.400000000001455</v>
      </c>
      <c r="CE29" s="60">
        <v>8957.5</v>
      </c>
      <c r="CF29" s="67">
        <f t="shared" si="89"/>
        <v>8</v>
      </c>
      <c r="CG29" s="60">
        <v>84791.4</v>
      </c>
      <c r="CH29" s="67">
        <f t="shared" si="90"/>
        <v>60.799999999988358</v>
      </c>
      <c r="CI29" s="60">
        <v>1112231</v>
      </c>
      <c r="CJ29" s="67">
        <f t="shared" si="91"/>
        <v>346</v>
      </c>
      <c r="CK29" s="60">
        <v>1191.7</v>
      </c>
      <c r="CL29" s="64">
        <f t="shared" si="97"/>
        <v>1100.0000000001364</v>
      </c>
      <c r="CM29" s="65">
        <f t="shared" si="98"/>
        <v>149.70000000000073</v>
      </c>
      <c r="CN29" s="62">
        <v>45</v>
      </c>
      <c r="CO29" s="62">
        <v>119</v>
      </c>
      <c r="CP29" s="68">
        <v>50354</v>
      </c>
      <c r="CQ29" s="67">
        <f t="shared" si="92"/>
        <v>110</v>
      </c>
      <c r="CR29" s="68">
        <v>26750.2</v>
      </c>
      <c r="CS29" s="67">
        <f t="shared" si="93"/>
        <v>39.700000000000728</v>
      </c>
      <c r="CT29" s="75">
        <v>12537</v>
      </c>
      <c r="CU29" s="67">
        <f t="shared" si="94"/>
        <v>16</v>
      </c>
      <c r="CV29" s="68">
        <v>30726</v>
      </c>
      <c r="CW29" s="67">
        <f t="shared" si="95"/>
        <v>26</v>
      </c>
      <c r="CX29" s="58">
        <v>5522.1</v>
      </c>
      <c r="CY29" s="67">
        <f t="shared" si="96"/>
        <v>14.100000000000364</v>
      </c>
    </row>
    <row r="30" spans="1:103" ht="25.5" customHeight="1" thickBot="1" x14ac:dyDescent="0.45">
      <c r="A30" s="63">
        <v>44922</v>
      </c>
      <c r="B30" s="44"/>
      <c r="C30" s="58">
        <v>3.7721</v>
      </c>
      <c r="D30" s="64">
        <f t="shared" si="50"/>
        <v>3600.0000000000477</v>
      </c>
      <c r="E30" s="58">
        <v>5.0170000000000003</v>
      </c>
      <c r="F30" s="64">
        <f t="shared" si="51"/>
        <v>4000.0000000004475</v>
      </c>
      <c r="G30" s="58">
        <v>5.0279999999999996</v>
      </c>
      <c r="H30" s="64">
        <f t="shared" si="52"/>
        <v>3999.9999999995593</v>
      </c>
      <c r="I30" s="58">
        <v>2.4889999999999999</v>
      </c>
      <c r="J30" s="64">
        <f t="shared" si="53"/>
        <v>1999.9999999997797</v>
      </c>
      <c r="K30" s="58">
        <v>3.8207</v>
      </c>
      <c r="L30" s="64">
        <f t="shared" si="54"/>
        <v>3299.9999999998586</v>
      </c>
      <c r="M30" s="58">
        <v>2.3071999999999999</v>
      </c>
      <c r="N30" s="64">
        <f t="shared" si="55"/>
        <v>1999.9999999997797</v>
      </c>
      <c r="O30" s="58">
        <v>27503</v>
      </c>
      <c r="P30" s="67">
        <f t="shared" si="56"/>
        <v>34</v>
      </c>
      <c r="Q30" s="58">
        <v>3409</v>
      </c>
      <c r="R30" s="67">
        <f t="shared" si="57"/>
        <v>6</v>
      </c>
      <c r="S30" s="58">
        <v>1627.6</v>
      </c>
      <c r="T30" s="67">
        <f t="shared" si="8"/>
        <v>1799.9999999999545</v>
      </c>
      <c r="U30" s="58">
        <v>644444.9</v>
      </c>
      <c r="V30" s="67">
        <f t="shared" si="58"/>
        <v>597</v>
      </c>
      <c r="W30" s="58">
        <v>583.09</v>
      </c>
      <c r="X30" s="65">
        <f t="shared" si="59"/>
        <v>470.00000000002728</v>
      </c>
      <c r="Y30" s="58">
        <v>4.4249999999999998</v>
      </c>
      <c r="Z30" s="65">
        <f t="shared" si="60"/>
        <v>3599.9999999996035</v>
      </c>
      <c r="AA30" s="58">
        <v>590.82000000000005</v>
      </c>
      <c r="AB30" s="65">
        <f t="shared" si="61"/>
        <v>430.00000000006366</v>
      </c>
      <c r="AC30" s="58">
        <v>593.94000000000005</v>
      </c>
      <c r="AD30" s="65">
        <f t="shared" si="62"/>
        <v>440.00000000005457</v>
      </c>
      <c r="AE30" s="58">
        <v>941.47</v>
      </c>
      <c r="AF30" s="65">
        <f t="shared" si="63"/>
        <v>1040.0000000000773</v>
      </c>
      <c r="AG30" s="58">
        <v>25402</v>
      </c>
      <c r="AH30" s="67">
        <f t="shared" si="64"/>
        <v>53</v>
      </c>
      <c r="AI30" s="58">
        <v>1007.3</v>
      </c>
      <c r="AJ30" s="65">
        <f t="shared" si="65"/>
        <v>799.99999999995453</v>
      </c>
      <c r="AK30" s="58">
        <v>333.92</v>
      </c>
      <c r="AL30" s="65">
        <f t="shared" si="66"/>
        <v>330.00000000004093</v>
      </c>
      <c r="AM30" s="58">
        <v>306.89</v>
      </c>
      <c r="AN30" s="65">
        <f t="shared" si="67"/>
        <v>250</v>
      </c>
      <c r="AO30" s="58">
        <v>296.47000000000003</v>
      </c>
      <c r="AP30" s="65">
        <f t="shared" si="68"/>
        <v>230.00000000001819</v>
      </c>
      <c r="AQ30" s="58">
        <v>349.65</v>
      </c>
      <c r="AR30" s="65">
        <f t="shared" si="69"/>
        <v>279.99999999997272</v>
      </c>
      <c r="AS30" s="58">
        <v>474.36</v>
      </c>
      <c r="AT30" s="65">
        <f t="shared" si="70"/>
        <v>210.00000000003638</v>
      </c>
      <c r="AU30" s="58">
        <v>381.14</v>
      </c>
      <c r="AV30" s="65">
        <f t="shared" si="71"/>
        <v>149.99999999997726</v>
      </c>
      <c r="AW30" s="58">
        <v>408.26</v>
      </c>
      <c r="AX30" s="65">
        <f t="shared" si="72"/>
        <v>300.00000000001137</v>
      </c>
      <c r="AY30" s="58">
        <v>443.58</v>
      </c>
      <c r="AZ30" s="65">
        <f t="shared" si="73"/>
        <v>180.00000000000682</v>
      </c>
      <c r="BA30" s="58">
        <v>461</v>
      </c>
      <c r="BB30" s="65">
        <f t="shared" si="74"/>
        <v>279.99999999997272</v>
      </c>
      <c r="BC30" s="58">
        <v>294.98</v>
      </c>
      <c r="BD30" s="65">
        <f t="shared" si="75"/>
        <v>200.00000000004547</v>
      </c>
      <c r="BE30" s="59">
        <v>59749</v>
      </c>
      <c r="BF30" s="67">
        <f t="shared" si="76"/>
        <v>48</v>
      </c>
      <c r="BG30" s="60">
        <v>256.52</v>
      </c>
      <c r="BH30" s="65">
        <f t="shared" si="77"/>
        <v>49.999999999954525</v>
      </c>
      <c r="BI30" s="60">
        <v>310.66000000000003</v>
      </c>
      <c r="BJ30" s="65">
        <f t="shared" si="78"/>
        <v>40.000000000020464</v>
      </c>
      <c r="BK30" s="60">
        <v>262.35000000000002</v>
      </c>
      <c r="BL30" s="65">
        <f t="shared" si="79"/>
        <v>60.000000000002274</v>
      </c>
      <c r="BM30" s="60">
        <v>246.39</v>
      </c>
      <c r="BN30" s="65">
        <f t="shared" si="80"/>
        <v>49.999999999982947</v>
      </c>
      <c r="BO30" s="60">
        <v>315.04000000000002</v>
      </c>
      <c r="BP30" s="65">
        <f t="shared" si="81"/>
        <v>40.000000000020464</v>
      </c>
      <c r="BQ30" s="60">
        <v>64731</v>
      </c>
      <c r="BR30" s="65">
        <f t="shared" si="82"/>
        <v>51</v>
      </c>
      <c r="BS30" s="60">
        <v>224.47</v>
      </c>
      <c r="BT30" s="65">
        <f t="shared" si="83"/>
        <v>50.000000000011369</v>
      </c>
      <c r="BU30" s="60">
        <v>62205</v>
      </c>
      <c r="BV30" s="65">
        <f t="shared" si="84"/>
        <v>52</v>
      </c>
      <c r="BW30" s="60">
        <v>252.63</v>
      </c>
      <c r="BX30" s="65">
        <f t="shared" si="85"/>
        <v>39.999999999992042</v>
      </c>
      <c r="BY30" s="60">
        <v>83647</v>
      </c>
      <c r="BZ30" s="67">
        <f t="shared" si="86"/>
        <v>55</v>
      </c>
      <c r="CA30" s="60">
        <v>60181.5</v>
      </c>
      <c r="CB30" s="67">
        <f t="shared" si="87"/>
        <v>64.900000000001455</v>
      </c>
      <c r="CC30" s="60">
        <v>18324.3</v>
      </c>
      <c r="CD30" s="67">
        <f t="shared" si="88"/>
        <v>15.899999999997817</v>
      </c>
      <c r="CE30" s="60">
        <v>8962</v>
      </c>
      <c r="CF30" s="67">
        <f t="shared" si="89"/>
        <v>4.5</v>
      </c>
      <c r="CG30" s="60">
        <v>84849.3</v>
      </c>
      <c r="CH30" s="67">
        <f t="shared" si="90"/>
        <v>57.900000000008731</v>
      </c>
      <c r="CI30" s="60">
        <v>1112558</v>
      </c>
      <c r="CJ30" s="67">
        <f t="shared" si="91"/>
        <v>327</v>
      </c>
      <c r="CK30" s="60">
        <v>1192.7</v>
      </c>
      <c r="CL30" s="64">
        <f t="shared" si="97"/>
        <v>1000</v>
      </c>
      <c r="CM30" s="65">
        <f t="shared" si="98"/>
        <v>137.79999999999927</v>
      </c>
      <c r="CN30" s="62">
        <v>47</v>
      </c>
      <c r="CO30" s="62">
        <v>133</v>
      </c>
      <c r="CP30" s="68">
        <v>50460</v>
      </c>
      <c r="CQ30" s="67">
        <f t="shared" si="92"/>
        <v>106</v>
      </c>
      <c r="CR30" s="68">
        <v>26782</v>
      </c>
      <c r="CS30" s="67">
        <f t="shared" si="93"/>
        <v>31.799999999999272</v>
      </c>
      <c r="CT30" s="75">
        <v>12556</v>
      </c>
      <c r="CU30" s="67">
        <f t="shared" si="94"/>
        <v>19</v>
      </c>
      <c r="CV30" s="68">
        <v>30751</v>
      </c>
      <c r="CW30" s="67">
        <f t="shared" si="95"/>
        <v>25</v>
      </c>
      <c r="CX30" s="58">
        <v>5536.2</v>
      </c>
      <c r="CY30" s="67">
        <f t="shared" si="96"/>
        <v>14.099999999999454</v>
      </c>
    </row>
    <row r="31" spans="1:103" ht="25.5" customHeight="1" thickBot="1" x14ac:dyDescent="0.45">
      <c r="A31" s="63">
        <v>44923</v>
      </c>
      <c r="B31" s="66"/>
      <c r="C31" s="58"/>
      <c r="D31" s="64" t="str">
        <f t="shared" si="50"/>
        <v>0</v>
      </c>
      <c r="E31" s="58"/>
      <c r="F31" s="64" t="str">
        <f t="shared" si="51"/>
        <v>0</v>
      </c>
      <c r="G31" s="58"/>
      <c r="H31" s="64" t="str">
        <f t="shared" si="52"/>
        <v>0</v>
      </c>
      <c r="I31" s="58"/>
      <c r="J31" s="64" t="str">
        <f t="shared" si="53"/>
        <v>0</v>
      </c>
      <c r="K31" s="58"/>
      <c r="L31" s="64" t="str">
        <f t="shared" si="54"/>
        <v>0</v>
      </c>
      <c r="M31" s="58"/>
      <c r="N31" s="64" t="str">
        <f t="shared" si="55"/>
        <v/>
      </c>
      <c r="O31" s="58"/>
      <c r="P31" s="67" t="str">
        <f t="shared" si="56"/>
        <v/>
      </c>
      <c r="Q31" s="58"/>
      <c r="R31" s="67" t="str">
        <f t="shared" si="57"/>
        <v/>
      </c>
      <c r="S31" s="58"/>
      <c r="T31" s="67" t="e">
        <f t="shared" si="8"/>
        <v>#VALUE!</v>
      </c>
      <c r="U31" s="58"/>
      <c r="V31" s="67" t="str">
        <f t="shared" si="58"/>
        <v/>
      </c>
      <c r="W31" s="58"/>
      <c r="X31" s="65" t="str">
        <f t="shared" si="59"/>
        <v/>
      </c>
      <c r="Y31" s="58"/>
      <c r="Z31" s="65" t="str">
        <f t="shared" si="60"/>
        <v/>
      </c>
      <c r="AA31" s="58"/>
      <c r="AB31" s="65" t="str">
        <f t="shared" si="61"/>
        <v/>
      </c>
      <c r="AC31" s="58"/>
      <c r="AD31" s="65" t="str">
        <f t="shared" si="62"/>
        <v/>
      </c>
      <c r="AE31" s="58"/>
      <c r="AF31" s="65" t="str">
        <f t="shared" si="63"/>
        <v/>
      </c>
      <c r="AG31" s="58"/>
      <c r="AH31" s="67" t="str">
        <f t="shared" si="64"/>
        <v/>
      </c>
      <c r="AI31" s="58"/>
      <c r="AJ31" s="65" t="str">
        <f t="shared" si="65"/>
        <v/>
      </c>
      <c r="AK31" s="58"/>
      <c r="AL31" s="65" t="str">
        <f t="shared" si="66"/>
        <v/>
      </c>
      <c r="AM31" s="58"/>
      <c r="AN31" s="65" t="str">
        <f t="shared" si="67"/>
        <v/>
      </c>
      <c r="AO31" s="58"/>
      <c r="AP31" s="65" t="str">
        <f t="shared" si="68"/>
        <v/>
      </c>
      <c r="AQ31" s="58"/>
      <c r="AR31" s="65" t="str">
        <f t="shared" si="69"/>
        <v/>
      </c>
      <c r="AS31" s="58"/>
      <c r="AT31" s="65" t="str">
        <f t="shared" si="70"/>
        <v/>
      </c>
      <c r="AU31" s="58"/>
      <c r="AV31" s="65" t="str">
        <f t="shared" si="71"/>
        <v/>
      </c>
      <c r="AW31" s="58"/>
      <c r="AX31" s="65" t="str">
        <f t="shared" si="72"/>
        <v/>
      </c>
      <c r="AY31" s="58"/>
      <c r="AZ31" s="65" t="str">
        <f t="shared" si="73"/>
        <v/>
      </c>
      <c r="BA31" s="58"/>
      <c r="BB31" s="65" t="str">
        <f t="shared" si="74"/>
        <v/>
      </c>
      <c r="BC31" s="58"/>
      <c r="BD31" s="65" t="str">
        <f t="shared" si="75"/>
        <v/>
      </c>
      <c r="BE31" s="59"/>
      <c r="BF31" s="67" t="str">
        <f t="shared" si="76"/>
        <v/>
      </c>
      <c r="BG31" s="60"/>
      <c r="BH31" s="65" t="str">
        <f t="shared" si="77"/>
        <v/>
      </c>
      <c r="BI31" s="60"/>
      <c r="BJ31" s="65" t="str">
        <f t="shared" si="78"/>
        <v/>
      </c>
      <c r="BK31" s="60"/>
      <c r="BL31" s="65" t="str">
        <f t="shared" si="79"/>
        <v/>
      </c>
      <c r="BM31" s="60"/>
      <c r="BN31" s="65" t="str">
        <f t="shared" si="80"/>
        <v/>
      </c>
      <c r="BO31" s="60"/>
      <c r="BP31" s="65" t="str">
        <f t="shared" si="81"/>
        <v/>
      </c>
      <c r="BQ31" s="60"/>
      <c r="BR31" s="65" t="str">
        <f t="shared" si="82"/>
        <v/>
      </c>
      <c r="BS31" s="60"/>
      <c r="BT31" s="65" t="str">
        <f t="shared" si="83"/>
        <v/>
      </c>
      <c r="BU31" s="60"/>
      <c r="BV31" s="65" t="str">
        <f t="shared" si="84"/>
        <v/>
      </c>
      <c r="BW31" s="60"/>
      <c r="BX31" s="65" t="str">
        <f t="shared" si="85"/>
        <v/>
      </c>
      <c r="BY31" s="60"/>
      <c r="BZ31" s="67" t="str">
        <f t="shared" si="86"/>
        <v/>
      </c>
      <c r="CA31" s="60"/>
      <c r="CB31" s="67" t="str">
        <f t="shared" si="87"/>
        <v/>
      </c>
      <c r="CC31" s="60"/>
      <c r="CD31" s="67" t="str">
        <f t="shared" si="88"/>
        <v/>
      </c>
      <c r="CE31" s="60"/>
      <c r="CF31" s="67" t="str">
        <f t="shared" si="89"/>
        <v/>
      </c>
      <c r="CG31" s="60"/>
      <c r="CH31" s="67" t="str">
        <f t="shared" si="90"/>
        <v/>
      </c>
      <c r="CI31" s="60"/>
      <c r="CJ31" s="67" t="str">
        <f t="shared" si="91"/>
        <v/>
      </c>
      <c r="CK31" s="60"/>
      <c r="CL31" s="64" t="str">
        <f t="shared" si="97"/>
        <v/>
      </c>
      <c r="CM31" s="65" t="e">
        <f t="shared" si="98"/>
        <v>#VALUE!</v>
      </c>
      <c r="CN31" s="62"/>
      <c r="CO31" s="62"/>
      <c r="CP31" s="68"/>
      <c r="CQ31" s="67" t="str">
        <f t="shared" si="92"/>
        <v/>
      </c>
      <c r="CR31" s="68"/>
      <c r="CS31" s="67" t="str">
        <f t="shared" si="93"/>
        <v/>
      </c>
      <c r="CT31" s="75"/>
      <c r="CU31" s="67" t="str">
        <f t="shared" si="94"/>
        <v/>
      </c>
      <c r="CV31" s="68"/>
      <c r="CW31" s="67" t="str">
        <f t="shared" si="95"/>
        <v/>
      </c>
      <c r="CX31" s="58"/>
      <c r="CY31" s="67" t="str">
        <f t="shared" si="96"/>
        <v/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8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8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8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34" sqref="C34:Q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>
        <v>51</v>
      </c>
      <c r="C28" s="40">
        <v>44</v>
      </c>
      <c r="D28" s="40">
        <v>112</v>
      </c>
      <c r="E28" s="41">
        <v>55</v>
      </c>
      <c r="F28" s="41">
        <v>6834</v>
      </c>
      <c r="G28" s="41">
        <v>85</v>
      </c>
      <c r="H28" s="41">
        <v>1228</v>
      </c>
      <c r="I28" s="41">
        <v>85</v>
      </c>
      <c r="J28" s="41">
        <v>2212</v>
      </c>
      <c r="K28" s="42">
        <v>8</v>
      </c>
      <c r="L28" s="42">
        <v>85</v>
      </c>
      <c r="M28" s="42">
        <v>1914</v>
      </c>
      <c r="N28" s="39">
        <v>0</v>
      </c>
      <c r="O28" s="39">
        <v>40</v>
      </c>
      <c r="P28" s="39">
        <v>85</v>
      </c>
      <c r="Q28" s="39">
        <v>5682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44917</v>
      </c>
      <c r="B29" s="40">
        <v>44</v>
      </c>
      <c r="C29" s="40">
        <v>39</v>
      </c>
      <c r="D29" s="40">
        <v>95</v>
      </c>
      <c r="E29" s="41">
        <v>30</v>
      </c>
      <c r="F29" s="41">
        <v>6834</v>
      </c>
      <c r="G29" s="41">
        <v>85</v>
      </c>
      <c r="H29" s="41">
        <v>1231</v>
      </c>
      <c r="I29" s="41">
        <v>85</v>
      </c>
      <c r="J29" s="41">
        <v>2212</v>
      </c>
      <c r="K29" s="42">
        <v>8</v>
      </c>
      <c r="L29" s="42">
        <v>85</v>
      </c>
      <c r="M29" s="42">
        <v>1914</v>
      </c>
      <c r="N29" s="39">
        <v>0</v>
      </c>
      <c r="O29" s="39">
        <v>38</v>
      </c>
      <c r="P29" s="39">
        <v>85</v>
      </c>
      <c r="Q29" s="39">
        <v>5686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44918</v>
      </c>
      <c r="B30" s="40">
        <v>46</v>
      </c>
      <c r="C30" s="40">
        <v>41</v>
      </c>
      <c r="D30" s="40">
        <v>104</v>
      </c>
      <c r="E30" s="41">
        <v>25</v>
      </c>
      <c r="F30" s="41">
        <v>6834</v>
      </c>
      <c r="G30" s="41">
        <v>85</v>
      </c>
      <c r="H30" s="41">
        <v>1234</v>
      </c>
      <c r="I30" s="41">
        <v>85</v>
      </c>
      <c r="J30" s="41">
        <v>2212</v>
      </c>
      <c r="K30" s="42">
        <v>4</v>
      </c>
      <c r="L30" s="42">
        <v>85</v>
      </c>
      <c r="M30" s="42">
        <v>1914</v>
      </c>
      <c r="N30" s="39">
        <v>0</v>
      </c>
      <c r="O30" s="39">
        <v>30</v>
      </c>
      <c r="P30" s="39">
        <v>85</v>
      </c>
      <c r="Q30" s="39">
        <v>5689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44919</v>
      </c>
      <c r="B31" s="40"/>
      <c r="C31" s="40">
        <v>39</v>
      </c>
      <c r="D31" s="40">
        <v>99</v>
      </c>
      <c r="E31" s="41">
        <v>10</v>
      </c>
      <c r="F31" s="41">
        <v>6834</v>
      </c>
      <c r="G31" s="41">
        <v>85</v>
      </c>
      <c r="H31" s="41">
        <v>1238</v>
      </c>
      <c r="I31" s="41">
        <v>85</v>
      </c>
      <c r="J31" s="41">
        <v>2212</v>
      </c>
      <c r="K31" s="42">
        <v>3</v>
      </c>
      <c r="L31" s="42">
        <v>85</v>
      </c>
      <c r="M31" s="42">
        <v>1914</v>
      </c>
      <c r="N31" s="39">
        <v>0</v>
      </c>
      <c r="O31" s="39">
        <v>25</v>
      </c>
      <c r="P31" s="39">
        <v>85</v>
      </c>
      <c r="Q31" s="39">
        <v>5694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44920</v>
      </c>
      <c r="B32" s="40"/>
      <c r="C32" s="40">
        <v>45</v>
      </c>
      <c r="D32" s="40">
        <v>119</v>
      </c>
      <c r="E32" s="41">
        <v>5</v>
      </c>
      <c r="F32" s="41">
        <v>6834</v>
      </c>
      <c r="G32" s="41">
        <v>85</v>
      </c>
      <c r="H32" s="41">
        <v>1240</v>
      </c>
      <c r="I32" s="41">
        <v>85</v>
      </c>
      <c r="J32" s="41">
        <v>2212</v>
      </c>
      <c r="K32" s="42">
        <v>3</v>
      </c>
      <c r="L32" s="42">
        <v>85</v>
      </c>
      <c r="M32" s="42">
        <v>1914</v>
      </c>
      <c r="N32" s="39">
        <v>0</v>
      </c>
      <c r="O32" s="39">
        <v>20</v>
      </c>
      <c r="P32" s="39">
        <v>85</v>
      </c>
      <c r="Q32" s="39">
        <v>5697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44921</v>
      </c>
      <c r="B33" s="40"/>
      <c r="C33" s="40">
        <v>45</v>
      </c>
      <c r="D33" s="40">
        <v>119</v>
      </c>
      <c r="E33" s="41">
        <v>5</v>
      </c>
      <c r="F33" s="41">
        <v>6834</v>
      </c>
      <c r="G33" s="41">
        <v>75</v>
      </c>
      <c r="H33" s="41">
        <v>1243</v>
      </c>
      <c r="I33" s="41">
        <v>85</v>
      </c>
      <c r="J33" s="41">
        <v>2212</v>
      </c>
      <c r="K33" s="42">
        <v>0</v>
      </c>
      <c r="L33" s="42">
        <v>80</v>
      </c>
      <c r="M33" s="42">
        <v>1914</v>
      </c>
      <c r="N33" s="39">
        <v>0</v>
      </c>
      <c r="O33" s="39">
        <v>18</v>
      </c>
      <c r="P33" s="39">
        <v>85</v>
      </c>
      <c r="Q33" s="39">
        <v>5700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44922</v>
      </c>
      <c r="B34" s="40"/>
      <c r="C34" s="40">
        <v>47</v>
      </c>
      <c r="D34" s="40">
        <v>133</v>
      </c>
      <c r="E34" s="41">
        <v>5</v>
      </c>
      <c r="F34" s="41">
        <v>6834</v>
      </c>
      <c r="G34" s="41">
        <v>62</v>
      </c>
      <c r="H34" s="41">
        <v>1246</v>
      </c>
      <c r="I34" s="41">
        <v>85</v>
      </c>
      <c r="J34" s="41">
        <v>2212</v>
      </c>
      <c r="K34" s="42">
        <v>0</v>
      </c>
      <c r="L34" s="42">
        <v>80</v>
      </c>
      <c r="M34" s="42">
        <v>1914</v>
      </c>
      <c r="N34" s="39">
        <v>0</v>
      </c>
      <c r="O34" s="39">
        <v>15</v>
      </c>
      <c r="P34" s="39">
        <v>85</v>
      </c>
      <c r="Q34" s="39">
        <v>5704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-233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2022-12-28T18:54:02Z</dcterms:modified>
</cp:coreProperties>
</file>