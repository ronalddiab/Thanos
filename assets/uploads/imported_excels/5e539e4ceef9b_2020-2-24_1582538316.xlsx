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65" yWindow="-255" windowWidth="12345" windowHeight="11760" tabRatio="588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20" sheetId="74" r:id="rId14"/>
    <sheet name="Utility Cost " sheetId="77" r:id="rId15"/>
    <sheet name="MDB" sheetId="78" r:id="rId16"/>
    <sheet name="Sheet3" sheetId="86" r:id="rId17"/>
    <sheet name="Swimming Pool quality check " sheetId="79" r:id="rId18"/>
    <sheet name="Sheet2" sheetId="83" state="hidden" r:id="rId19"/>
    <sheet name="Sheet6" sheetId="84" r:id="rId20"/>
    <sheet name="Sheet7" sheetId="85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3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A26" i="2"/>
  <c r="AC26"/>
  <c r="AR28" i="1"/>
  <c r="AR29" s="1"/>
  <c r="AR30" s="1"/>
  <c r="AR31" s="1"/>
  <c r="AR32" s="1"/>
  <c r="AR33" s="1"/>
  <c r="AR34" s="1"/>
  <c r="AR35" s="1"/>
  <c r="AP28"/>
  <c r="AP29" s="1"/>
  <c r="AP30" s="1"/>
  <c r="AP31" s="1"/>
  <c r="AP32" s="1"/>
  <c r="AP33" s="1"/>
  <c r="AP34" s="1"/>
  <c r="AP35" s="1"/>
  <c r="AN28"/>
  <c r="AN29" s="1"/>
  <c r="AN30" s="1"/>
  <c r="AN31" s="1"/>
  <c r="AN32" s="1"/>
  <c r="AN33" s="1"/>
  <c r="AN34" s="1"/>
  <c r="AN35" s="1"/>
  <c r="F28"/>
  <c r="H28"/>
  <c r="H29" s="1"/>
  <c r="H30" s="1"/>
  <c r="H31" s="1"/>
  <c r="H32" s="1"/>
  <c r="H33" s="1"/>
  <c r="H34" s="1"/>
  <c r="H35" s="1"/>
  <c r="M28"/>
  <c r="M29" s="1"/>
  <c r="M30" s="1"/>
  <c r="M31" s="1"/>
  <c r="M32" s="1"/>
  <c r="M33" s="1"/>
  <c r="M34" s="1"/>
  <c r="M35" s="1"/>
  <c r="Q28"/>
  <c r="Q29" s="1"/>
  <c r="Q30" s="1"/>
  <c r="Q31" s="1"/>
  <c r="Q32" s="1"/>
  <c r="Q33" s="1"/>
  <c r="Q34" s="1"/>
  <c r="Q35" s="1"/>
  <c r="AC28"/>
  <c r="AC29" s="1"/>
  <c r="AC30" s="1"/>
  <c r="AC31" s="1"/>
  <c r="AC32" s="1"/>
  <c r="AC33" s="1"/>
  <c r="AC34" s="1"/>
  <c r="AC35" s="1"/>
  <c r="Z28"/>
  <c r="Z29" s="1"/>
  <c r="Z30" s="1"/>
  <c r="Z31" s="1"/>
  <c r="Z32" s="1"/>
  <c r="Z33" s="1"/>
  <c r="Z34" s="1"/>
  <c r="Z35" s="1"/>
  <c r="X28"/>
  <c r="X29" s="1"/>
  <c r="X30" s="1"/>
  <c r="X31" s="1"/>
  <c r="X32" s="1"/>
  <c r="X33" s="1"/>
  <c r="X34" s="1"/>
  <c r="X35" s="1"/>
  <c r="C28"/>
  <c r="C29" s="1"/>
  <c r="C30" s="1"/>
  <c r="C31" s="1"/>
  <c r="C32" s="1"/>
  <c r="C33" s="1"/>
  <c r="C34" s="1"/>
  <c r="C35" s="1"/>
  <c r="B28"/>
  <c r="B29" s="1"/>
  <c r="B30" s="1"/>
  <c r="B31" s="1"/>
  <c r="B32" s="1"/>
  <c r="B33" s="1"/>
  <c r="B34" s="1"/>
  <c r="B35" s="1"/>
  <c r="I27" i="79"/>
  <c r="P23" i="3"/>
  <c r="R25" i="1"/>
  <c r="R26"/>
  <c r="Y23" i="2"/>
  <c r="D17" i="77"/>
  <c r="AO28" i="1" l="1"/>
  <c r="AN13" i="5"/>
  <c r="AA22" i="1"/>
  <c r="Z19" i="3" l="1"/>
  <c r="Z18"/>
  <c r="Z17"/>
  <c r="Z16"/>
  <c r="Z15"/>
  <c r="P16"/>
  <c r="D18" i="77"/>
  <c r="H17" i="79" l="1"/>
  <c r="H19" s="1"/>
  <c r="H22" s="1"/>
  <c r="H29" s="1"/>
  <c r="H30" s="1"/>
  <c r="H31" s="1"/>
  <c r="H32" s="1"/>
  <c r="H33" s="1"/>
  <c r="H34" s="1"/>
  <c r="H35" s="1"/>
  <c r="H36" s="1"/>
  <c r="M15"/>
  <c r="M14"/>
  <c r="M13"/>
  <c r="M12"/>
  <c r="M10"/>
  <c r="AO13" i="1"/>
  <c r="K13" i="5"/>
  <c r="U9" i="3"/>
  <c r="U6" l="1"/>
  <c r="U5"/>
  <c r="U4"/>
  <c r="K13" i="73" l="1"/>
  <c r="O5"/>
  <c r="N5"/>
  <c r="M5"/>
  <c r="L5"/>
  <c r="K5"/>
  <c r="J5"/>
  <c r="I5"/>
  <c r="H5"/>
  <c r="G5"/>
  <c r="F5"/>
  <c r="E5"/>
  <c r="D5"/>
  <c r="C5"/>
  <c r="B5"/>
  <c r="C18" i="77"/>
  <c r="C19" s="1"/>
  <c r="C17"/>
  <c r="C16"/>
  <c r="C15"/>
  <c r="C14"/>
  <c r="X13" i="76"/>
  <c r="W13"/>
  <c r="V13"/>
  <c r="Y16"/>
  <c r="X16"/>
  <c r="W16"/>
  <c r="V16"/>
  <c r="Y15"/>
  <c r="X15"/>
  <c r="W15"/>
  <c r="V15"/>
  <c r="V14"/>
  <c r="Y13"/>
  <c r="Z11"/>
  <c r="Z10"/>
  <c r="Z9"/>
  <c r="Y11"/>
  <c r="Y10"/>
  <c r="Y9"/>
  <c r="X11"/>
  <c r="X10"/>
  <c r="X9"/>
  <c r="W11"/>
  <c r="W10"/>
  <c r="W9"/>
  <c r="C5" i="79" l="1"/>
  <c r="D5"/>
  <c r="E5"/>
  <c r="F5"/>
  <c r="G5"/>
  <c r="B5"/>
  <c r="M5"/>
  <c r="M6" s="1"/>
  <c r="M7" s="1"/>
  <c r="V28" i="76"/>
  <c r="V27"/>
  <c r="W12"/>
  <c r="W17"/>
  <c r="V12"/>
  <c r="V26"/>
  <c r="C3"/>
  <c r="D3"/>
  <c r="E3"/>
  <c r="F3"/>
  <c r="F27" s="1"/>
  <c r="F28" s="1"/>
  <c r="F29" s="1"/>
  <c r="F30" s="1"/>
  <c r="F31" s="1"/>
  <c r="F32" s="1"/>
  <c r="W28" s="1"/>
  <c r="G3"/>
  <c r="H3"/>
  <c r="H27" s="1"/>
  <c r="H28" s="1"/>
  <c r="H29" s="1"/>
  <c r="H30" s="1"/>
  <c r="H31" s="1"/>
  <c r="H32" s="1"/>
  <c r="W27" s="1"/>
  <c r="I3"/>
  <c r="J3"/>
  <c r="J27" s="1"/>
  <c r="J28" s="1"/>
  <c r="J29" s="1"/>
  <c r="J30" s="1"/>
  <c r="J31" s="1"/>
  <c r="J32" s="1"/>
  <c r="W26" s="1"/>
  <c r="K3"/>
  <c r="L3"/>
  <c r="M3"/>
  <c r="N3"/>
  <c r="Q3"/>
  <c r="S3"/>
  <c r="B3"/>
  <c r="B27" s="1"/>
  <c r="B28" s="1"/>
  <c r="B29" s="1"/>
  <c r="B30" s="1"/>
  <c r="B31" s="1"/>
  <c r="B32" s="1"/>
  <c r="C2" i="3"/>
  <c r="D2"/>
  <c r="D3" s="1"/>
  <c r="D6" s="1"/>
  <c r="D8" s="1"/>
  <c r="D9" s="1"/>
  <c r="D10" s="1"/>
  <c r="D11" s="1"/>
  <c r="D14" s="1"/>
  <c r="D16" s="1"/>
  <c r="D17" s="1"/>
  <c r="D18" s="1"/>
  <c r="D22" s="1"/>
  <c r="D23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6" s="1"/>
  <c r="J8" s="1"/>
  <c r="J9" s="1"/>
  <c r="J10" s="1"/>
  <c r="J11" s="1"/>
  <c r="J14" s="1"/>
  <c r="J16" s="1"/>
  <c r="J17" s="1"/>
  <c r="J18" s="1"/>
  <c r="J23" s="1"/>
  <c r="J24" s="1"/>
  <c r="J26" s="1"/>
  <c r="J27" s="1"/>
  <c r="J28" s="1"/>
  <c r="J29" s="1"/>
  <c r="J30" s="1"/>
  <c r="J31" s="1"/>
  <c r="J32" s="1"/>
  <c r="J33" s="1"/>
  <c r="K2"/>
  <c r="L2"/>
  <c r="L3" s="1"/>
  <c r="L6" s="1"/>
  <c r="L8" s="1"/>
  <c r="L9" s="1"/>
  <c r="L10" s="1"/>
  <c r="L11" s="1"/>
  <c r="L12" s="1"/>
  <c r="L14" s="1"/>
  <c r="L16" s="1"/>
  <c r="L17" s="1"/>
  <c r="L18" s="1"/>
  <c r="L22" s="1"/>
  <c r="L23" s="1"/>
  <c r="L26" s="1"/>
  <c r="L27" s="1"/>
  <c r="L28" s="1"/>
  <c r="L29" s="1"/>
  <c r="L30" s="1"/>
  <c r="L31" s="1"/>
  <c r="L32" s="1"/>
  <c r="L33" s="1"/>
  <c r="M2"/>
  <c r="N2"/>
  <c r="O2"/>
  <c r="P2"/>
  <c r="Q2"/>
  <c r="R2"/>
  <c r="R24" s="1"/>
  <c r="R26" s="1"/>
  <c r="R27" s="1"/>
  <c r="R28" s="1"/>
  <c r="R29" s="1"/>
  <c r="R30" s="1"/>
  <c r="R31" s="1"/>
  <c r="R32" s="1"/>
  <c r="R33" s="1"/>
  <c r="S2"/>
  <c r="T2"/>
  <c r="U2"/>
  <c r="V2"/>
  <c r="W2"/>
  <c r="Z2"/>
  <c r="AA2"/>
  <c r="AB2"/>
  <c r="AC2"/>
  <c r="AD2"/>
  <c r="AE2"/>
  <c r="AF2"/>
  <c r="AG2"/>
  <c r="AH2"/>
  <c r="AI2"/>
  <c r="AJ2"/>
  <c r="AK2"/>
  <c r="B2"/>
  <c r="B3" s="1"/>
  <c r="B6" s="1"/>
  <c r="B8" s="1"/>
  <c r="B9" s="1"/>
  <c r="B10" s="1"/>
  <c r="B11" s="1"/>
  <c r="B14" s="1"/>
  <c r="B16" s="1"/>
  <c r="B17" s="1"/>
  <c r="B18" s="1"/>
  <c r="B23" s="1"/>
  <c r="B26" s="1"/>
  <c r="B27" s="1"/>
  <c r="B28" s="1"/>
  <c r="B29" s="1"/>
  <c r="B30" s="1"/>
  <c r="B31" s="1"/>
  <c r="B32" s="1"/>
  <c r="B33" s="1"/>
  <c r="AR5" i="7"/>
  <c r="AS5"/>
  <c r="AT5"/>
  <c r="AU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G9" i="5"/>
  <c r="G11" s="1"/>
  <c r="G13" s="1"/>
  <c r="G14" s="1"/>
  <c r="G17" s="1"/>
  <c r="G19" s="1"/>
  <c r="G20" s="1"/>
  <c r="G21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R5"/>
  <c r="S5"/>
  <c r="T5"/>
  <c r="T29" s="1"/>
  <c r="T30" s="1"/>
  <c r="T31" s="1"/>
  <c r="T32" s="1"/>
  <c r="T33" s="1"/>
  <c r="T34" s="1"/>
  <c r="T35" s="1"/>
  <c r="T36" s="1"/>
  <c r="U5"/>
  <c r="V5"/>
  <c r="V7" s="1"/>
  <c r="V11" s="1"/>
  <c r="V14" s="1"/>
  <c r="V17" s="1"/>
  <c r="V20" s="1"/>
  <c r="V29" s="1"/>
  <c r="V30" s="1"/>
  <c r="V31" s="1"/>
  <c r="V32" s="1"/>
  <c r="V33" s="1"/>
  <c r="V34" s="1"/>
  <c r="V35" s="1"/>
  <c r="V36" s="1"/>
  <c r="W5"/>
  <c r="X5"/>
  <c r="X13" s="1"/>
  <c r="X17" s="1"/>
  <c r="X20" s="1"/>
  <c r="X26" s="1"/>
  <c r="X29" s="1"/>
  <c r="X30" s="1"/>
  <c r="X31" s="1"/>
  <c r="X32" s="1"/>
  <c r="X33" s="1"/>
  <c r="X34" s="1"/>
  <c r="X35" s="1"/>
  <c r="X36" s="1"/>
  <c r="Y5"/>
  <c r="Z5"/>
  <c r="Z13" s="1"/>
  <c r="Z17" s="1"/>
  <c r="Z20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11" s="1"/>
  <c r="AE21" s="1"/>
  <c r="AE29" s="1"/>
  <c r="AE30" s="1"/>
  <c r="AE31" s="1"/>
  <c r="AE32" s="1"/>
  <c r="AE33" s="1"/>
  <c r="AE34" s="1"/>
  <c r="AE35" s="1"/>
  <c r="AE36" s="1"/>
  <c r="AF5"/>
  <c r="AG5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T5"/>
  <c r="AT17" s="1"/>
  <c r="AT29" s="1"/>
  <c r="AT30" s="1"/>
  <c r="AT31" s="1"/>
  <c r="AT32" s="1"/>
  <c r="AT33" s="1"/>
  <c r="AT34" s="1"/>
  <c r="AT35" s="1"/>
  <c r="AT36" s="1"/>
  <c r="AU5"/>
  <c r="AV5"/>
  <c r="AV29" s="1"/>
  <c r="AV30" s="1"/>
  <c r="AV31" s="1"/>
  <c r="AV32" s="1"/>
  <c r="AV33" s="1"/>
  <c r="AV34" s="1"/>
  <c r="AV35" s="1"/>
  <c r="AV36" s="1"/>
  <c r="AW5"/>
  <c r="AX5"/>
  <c r="AX29" s="1"/>
  <c r="AX30" s="1"/>
  <c r="AX31" s="1"/>
  <c r="AX32" s="1"/>
  <c r="AX33" s="1"/>
  <c r="AX34" s="1"/>
  <c r="AX35" s="1"/>
  <c r="AX36" s="1"/>
  <c r="AZ5"/>
  <c r="BA5"/>
  <c r="BC5"/>
  <c r="BD5"/>
  <c r="B5"/>
  <c r="B9" s="1"/>
  <c r="B11" s="1"/>
  <c r="B12" s="1"/>
  <c r="B13" s="1"/>
  <c r="B14" s="1"/>
  <c r="B17" s="1"/>
  <c r="B19" s="1"/>
  <c r="B20" s="1"/>
  <c r="B21" s="1"/>
  <c r="B27" s="1"/>
  <c r="B29" s="1"/>
  <c r="B30" s="1"/>
  <c r="B31" s="1"/>
  <c r="B32" s="1"/>
  <c r="B33" s="1"/>
  <c r="B34" s="1"/>
  <c r="B35" s="1"/>
  <c r="B36" s="1"/>
  <c r="C4" i="1"/>
  <c r="D4"/>
  <c r="E4"/>
  <c r="F4"/>
  <c r="F12" s="1"/>
  <c r="F18" s="1"/>
  <c r="F29" s="1"/>
  <c r="F30" s="1"/>
  <c r="F31" s="1"/>
  <c r="F32" s="1"/>
  <c r="F33" s="1"/>
  <c r="F34" s="1"/>
  <c r="F35" s="1"/>
  <c r="G4"/>
  <c r="H4"/>
  <c r="H12" s="1"/>
  <c r="H18" s="1"/>
  <c r="I4"/>
  <c r="J4"/>
  <c r="K4"/>
  <c r="K10" s="1"/>
  <c r="K13" s="1"/>
  <c r="K16" s="1"/>
  <c r="K18" s="1"/>
  <c r="K19" s="1"/>
  <c r="K25" s="1"/>
  <c r="K28" s="1"/>
  <c r="K29" s="1"/>
  <c r="K30" s="1"/>
  <c r="K31" s="1"/>
  <c r="K32" s="1"/>
  <c r="K33" s="1"/>
  <c r="K34" s="1"/>
  <c r="K35" s="1"/>
  <c r="L4"/>
  <c r="M4"/>
  <c r="M10" s="1"/>
  <c r="M13" s="1"/>
  <c r="M16" s="1"/>
  <c r="M18" s="1"/>
  <c r="M19" s="1"/>
  <c r="M25" s="1"/>
  <c r="N4"/>
  <c r="O4"/>
  <c r="P4"/>
  <c r="P5" s="1"/>
  <c r="P11" s="1"/>
  <c r="P20" s="1"/>
  <c r="P29" s="1"/>
  <c r="P30" s="1"/>
  <c r="P31" s="1"/>
  <c r="P32" s="1"/>
  <c r="P33" s="1"/>
  <c r="P34" s="1"/>
  <c r="P35" s="1"/>
  <c r="Q4"/>
  <c r="Q5" s="1"/>
  <c r="Q11" s="1"/>
  <c r="Q20" s="1"/>
  <c r="R4"/>
  <c r="S4"/>
  <c r="T4"/>
  <c r="U4"/>
  <c r="V4"/>
  <c r="W4"/>
  <c r="X4"/>
  <c r="X5" s="1"/>
  <c r="X10" s="1"/>
  <c r="X12" s="1"/>
  <c r="X13" s="1"/>
  <c r="X16" s="1"/>
  <c r="X19" s="1"/>
  <c r="X20" s="1"/>
  <c r="Y4"/>
  <c r="Z4"/>
  <c r="Z5" s="1"/>
  <c r="Z10" s="1"/>
  <c r="Z13" s="1"/>
  <c r="Z16" s="1"/>
  <c r="AA4"/>
  <c r="AB4"/>
  <c r="AC4"/>
  <c r="AC5" s="1"/>
  <c r="AC8" s="1"/>
  <c r="AC10" s="1"/>
  <c r="AC11" s="1"/>
  <c r="AC13" s="1"/>
  <c r="AC16" s="1"/>
  <c r="AC18" s="1"/>
  <c r="AC19" s="1"/>
  <c r="AC20" s="1"/>
  <c r="AC22" s="1"/>
  <c r="AC25" s="1"/>
  <c r="AC26" s="1"/>
  <c r="AD4"/>
  <c r="AE4"/>
  <c r="AE5" s="1"/>
  <c r="AE8" s="1"/>
  <c r="AE10" s="1"/>
  <c r="AE11" s="1"/>
  <c r="AE13" s="1"/>
  <c r="AE16" s="1"/>
  <c r="AE20" s="1"/>
  <c r="AE22" s="1"/>
  <c r="AE25" s="1"/>
  <c r="AE26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25" s="1"/>
  <c r="AO4"/>
  <c r="AP4"/>
  <c r="AP25" s="1"/>
  <c r="AQ4"/>
  <c r="AR4"/>
  <c r="AS4"/>
  <c r="AT4"/>
  <c r="AU4"/>
  <c r="AV4"/>
  <c r="AW4"/>
  <c r="B4"/>
  <c r="E2" i="2"/>
  <c r="G2"/>
  <c r="H26"/>
  <c r="H27" s="1"/>
  <c r="H28" s="1"/>
  <c r="H29" s="1"/>
  <c r="H30" s="1"/>
  <c r="H31" s="1"/>
  <c r="H32" s="1"/>
  <c r="H33" s="1"/>
  <c r="I2"/>
  <c r="J2"/>
  <c r="J26" s="1"/>
  <c r="J27" s="1"/>
  <c r="J28" s="1"/>
  <c r="J29" s="1"/>
  <c r="J30" s="1"/>
  <c r="J31" s="1"/>
  <c r="J32" s="1"/>
  <c r="J33" s="1"/>
  <c r="K2"/>
  <c r="L2"/>
  <c r="L26" s="1"/>
  <c r="L27" s="1"/>
  <c r="L28" s="1"/>
  <c r="L29" s="1"/>
  <c r="L30" s="1"/>
  <c r="L31" s="1"/>
  <c r="L32" s="1"/>
  <c r="L33" s="1"/>
  <c r="M2"/>
  <c r="N2"/>
  <c r="O2"/>
  <c r="P2"/>
  <c r="P26" s="1"/>
  <c r="P27" s="1"/>
  <c r="P28" s="1"/>
  <c r="P29" s="1"/>
  <c r="P30" s="1"/>
  <c r="P31" s="1"/>
  <c r="P32" s="1"/>
  <c r="P33" s="1"/>
  <c r="Q2"/>
  <c r="R2"/>
  <c r="S2"/>
  <c r="S6" s="1"/>
  <c r="S8" s="1"/>
  <c r="S17" s="1"/>
  <c r="S18" s="1"/>
  <c r="S24" s="1"/>
  <c r="S26" s="1"/>
  <c r="S27" s="1"/>
  <c r="S28" s="1"/>
  <c r="S29" s="1"/>
  <c r="S30" s="1"/>
  <c r="S31" s="1"/>
  <c r="S32" s="1"/>
  <c r="S33" s="1"/>
  <c r="T2"/>
  <c r="U2"/>
  <c r="U6" s="1"/>
  <c r="U8" s="1"/>
  <c r="U11" s="1"/>
  <c r="U17" s="1"/>
  <c r="U18" s="1"/>
  <c r="U23" s="1"/>
  <c r="U24" s="1"/>
  <c r="U26" s="1"/>
  <c r="U27" s="1"/>
  <c r="U28" s="1"/>
  <c r="U29" s="1"/>
  <c r="U30" s="1"/>
  <c r="U31" s="1"/>
  <c r="U32" s="1"/>
  <c r="U33" s="1"/>
  <c r="V2"/>
  <c r="W2"/>
  <c r="W3" s="1"/>
  <c r="W6" s="1"/>
  <c r="W9" s="1"/>
  <c r="W11" s="1"/>
  <c r="W14" s="1"/>
  <c r="W16" s="1"/>
  <c r="W17" s="1"/>
  <c r="W18" s="1"/>
  <c r="W23" s="1"/>
  <c r="W24" s="1"/>
  <c r="W26" s="1"/>
  <c r="W27" s="1"/>
  <c r="W28" s="1"/>
  <c r="W29" s="1"/>
  <c r="W30" s="1"/>
  <c r="W31" s="1"/>
  <c r="W32" s="1"/>
  <c r="W33" s="1"/>
  <c r="X2"/>
  <c r="Y2"/>
  <c r="Z2"/>
  <c r="AA2"/>
  <c r="AA3" s="1"/>
  <c r="AA9" s="1"/>
  <c r="AA14" s="1"/>
  <c r="AA27" s="1"/>
  <c r="AA28" s="1"/>
  <c r="AA29" s="1"/>
  <c r="AA30" s="1"/>
  <c r="AA31" s="1"/>
  <c r="AA32" s="1"/>
  <c r="AA33" s="1"/>
  <c r="AB2"/>
  <c r="AC2"/>
  <c r="AC3" s="1"/>
  <c r="AC9" s="1"/>
  <c r="AC27" s="1"/>
  <c r="AC28" s="1"/>
  <c r="AC29" s="1"/>
  <c r="AC30" s="1"/>
  <c r="AC31" s="1"/>
  <c r="AC32" s="1"/>
  <c r="AC33" s="1"/>
  <c r="AD2"/>
  <c r="AE2"/>
  <c r="AF2"/>
  <c r="AG2"/>
  <c r="AH2"/>
  <c r="AI2"/>
  <c r="AJ2"/>
  <c r="B2"/>
  <c r="A2"/>
  <c r="Z28" i="7" l="1"/>
  <c r="AA28" s="1"/>
  <c r="R28" i="1"/>
  <c r="R27"/>
  <c r="R29"/>
  <c r="Y6" i="2"/>
  <c r="Y9" s="1"/>
  <c r="Y11" s="1"/>
  <c r="Y14" s="1"/>
  <c r="Y16" s="1"/>
  <c r="Y17" s="1"/>
  <c r="Y18" s="1"/>
  <c r="Y24" s="1"/>
  <c r="Y26" s="1"/>
  <c r="Y27" s="1"/>
  <c r="Y28" s="1"/>
  <c r="Y29" s="1"/>
  <c r="Y30" s="1"/>
  <c r="Y31" s="1"/>
  <c r="Y32" s="1"/>
  <c r="Y33" s="1"/>
  <c r="Y3"/>
  <c r="Y4" s="1"/>
  <c r="U3" i="3"/>
  <c r="G5" i="2"/>
  <c r="G4"/>
  <c r="E5"/>
  <c r="E4"/>
  <c r="E3"/>
  <c r="R30" i="1" l="1"/>
  <c r="U7" i="3"/>
  <c r="G6" i="2"/>
  <c r="G7"/>
  <c r="E6"/>
  <c r="R31" i="1" l="1"/>
  <c r="U8" i="3"/>
  <c r="G8" i="2"/>
  <c r="E7"/>
  <c r="R32" i="1" l="1"/>
  <c r="G9" i="2"/>
  <c r="E8"/>
  <c r="R33" i="1" l="1"/>
  <c r="U10" i="3"/>
  <c r="G10" i="2"/>
  <c r="E9"/>
  <c r="R35" i="1" l="1"/>
  <c r="R34"/>
  <c r="U11" i="3"/>
  <c r="G11" i="2"/>
  <c r="E10"/>
  <c r="U12" i="3" l="1"/>
  <c r="G12" i="2"/>
  <c r="E11"/>
  <c r="U13" i="3" l="1"/>
  <c r="G13" i="2"/>
  <c r="E12"/>
  <c r="U14" i="3" l="1"/>
  <c r="G14" i="2"/>
  <c r="E13"/>
  <c r="U15" i="3" l="1"/>
  <c r="G15" i="2"/>
  <c r="E14"/>
  <c r="U16" i="3" l="1"/>
  <c r="G16" i="2"/>
  <c r="E15"/>
  <c r="U17" i="3" l="1"/>
  <c r="G17" i="2"/>
  <c r="E16"/>
  <c r="U18" i="3" l="1"/>
  <c r="G18" i="2"/>
  <c r="E17"/>
  <c r="U19" i="3" l="1"/>
  <c r="G19" i="2"/>
  <c r="E18"/>
  <c r="U20" i="3" l="1"/>
  <c r="G20" i="2"/>
  <c r="E19"/>
  <c r="U21" i="3" l="1"/>
  <c r="G21" i="2"/>
  <c r="E20"/>
  <c r="U22" i="3" l="1"/>
  <c r="G22" i="2"/>
  <c r="E21"/>
  <c r="U23" i="3" l="1"/>
  <c r="G23" i="2"/>
  <c r="E22"/>
  <c r="U24" i="3" l="1"/>
  <c r="G24" i="2"/>
  <c r="E23"/>
  <c r="T26" i="3" l="1"/>
  <c r="U25"/>
  <c r="F26" i="2"/>
  <c r="G25"/>
  <c r="E24"/>
  <c r="T27" i="3" l="1"/>
  <c r="U26"/>
  <c r="G26" i="2"/>
  <c r="F27"/>
  <c r="D26"/>
  <c r="E25"/>
  <c r="T28" i="3" l="1"/>
  <c r="U27"/>
  <c r="G27" i="2"/>
  <c r="F28"/>
  <c r="D27"/>
  <c r="E26"/>
  <c r="T29" i="3" l="1"/>
  <c r="U28"/>
  <c r="G28" i="2"/>
  <c r="F29"/>
  <c r="E27"/>
  <c r="D28"/>
  <c r="T30" i="3" l="1"/>
  <c r="U29"/>
  <c r="F30" i="2"/>
  <c r="G29"/>
  <c r="E28"/>
  <c r="D29"/>
  <c r="T31" i="3" l="1"/>
  <c r="U30"/>
  <c r="F31" i="2"/>
  <c r="F32" s="1"/>
  <c r="F33" s="1"/>
  <c r="G33" s="1"/>
  <c r="G30"/>
  <c r="E29"/>
  <c r="D30"/>
  <c r="T32" i="3" l="1"/>
  <c r="U31"/>
  <c r="G31" i="2"/>
  <c r="G32"/>
  <c r="D31"/>
  <c r="D32" s="1"/>
  <c r="D33" s="1"/>
  <c r="E33" s="1"/>
  <c r="E30"/>
  <c r="T33" i="3" l="1"/>
  <c r="U33" s="1"/>
  <c r="U32"/>
  <c r="E32" i="2"/>
  <c r="E31"/>
  <c r="G11" i="74" l="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E23" i="3"/>
  <c r="E24"/>
  <c r="E25"/>
  <c r="Y7" i="5"/>
  <c r="A5" i="1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4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O12" i="79"/>
  <c r="O13"/>
  <c r="K14" i="5"/>
  <c r="O15" i="79"/>
  <c r="K15" i="5" s="1"/>
  <c r="I11" i="77"/>
  <c r="J5" i="79"/>
  <c r="I13" l="1"/>
  <c r="I14"/>
  <c r="I15"/>
  <c r="W43" i="74"/>
  <c r="S43"/>
  <c r="O43"/>
  <c r="R43"/>
  <c r="N43"/>
  <c r="J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A10" i="3"/>
  <c r="A11"/>
  <c r="A12"/>
  <c r="A13"/>
  <c r="I9" i="79"/>
  <c r="I8"/>
  <c r="I7"/>
  <c r="I6"/>
  <c r="N5"/>
  <c r="O5"/>
  <c r="L5"/>
  <c r="I5"/>
  <c r="A3" i="76" l="1"/>
  <c r="BH5" i="7"/>
  <c r="BG5"/>
  <c r="BF5"/>
  <c r="BE5"/>
  <c r="BD5"/>
  <c r="BC5"/>
  <c r="AP5"/>
  <c r="A5"/>
  <c r="G10" i="74"/>
  <c r="F10"/>
  <c r="H10" l="1"/>
  <c r="F43" s="1"/>
  <c r="C40"/>
  <c r="B40"/>
  <c r="C39"/>
  <c r="B39"/>
  <c r="C38"/>
  <c r="B38"/>
  <c r="C37"/>
  <c r="B37"/>
  <c r="D37" s="1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K12" i="5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40" l="1"/>
  <c r="D39"/>
  <c r="D38"/>
  <c r="D10"/>
  <c r="D30"/>
  <c r="D13"/>
  <c r="D17"/>
  <c r="D21"/>
  <c r="D33"/>
  <c r="D18"/>
  <c r="D26"/>
  <c r="D12"/>
  <c r="D16"/>
  <c r="D14"/>
  <c r="D11"/>
  <c r="D15"/>
  <c r="D19"/>
  <c r="D27"/>
  <c r="D36"/>
  <c r="D35"/>
  <c r="D34"/>
  <c r="D32"/>
  <c r="D31"/>
  <c r="D29"/>
  <c r="D28"/>
  <c r="D25"/>
  <c r="D24"/>
  <c r="D23"/>
  <c r="D22"/>
  <c r="D20"/>
  <c r="A2" i="3" l="1"/>
  <c r="A5" i="73"/>
  <c r="N7" i="1" l="1"/>
  <c r="C6" i="77"/>
  <c r="AA17" i="76"/>
  <c r="AS37" i="7" l="1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18" i="5" l="1"/>
  <c r="BA18" i="7"/>
  <c r="AM11" i="5"/>
  <c r="BA11" i="7"/>
  <c r="AM20" i="5"/>
  <c r="BA20" i="7"/>
  <c r="AM12" i="5"/>
  <c r="BA12" i="7"/>
  <c r="AM10" i="5"/>
  <c r="BA10" i="7"/>
  <c r="AM19" i="5"/>
  <c r="BA19" i="7"/>
  <c r="AM21" i="5"/>
  <c r="BA21" i="7"/>
  <c r="AM13" i="5"/>
  <c r="BA13" i="7"/>
  <c r="AM22" i="5"/>
  <c r="BA22" i="7"/>
  <c r="AM14" i="5"/>
  <c r="BA14" i="7"/>
  <c r="AM16" i="5"/>
  <c r="BA16" i="7"/>
  <c r="AM8" i="5"/>
  <c r="BA8" i="7"/>
  <c r="AM15" i="5"/>
  <c r="BA15" i="7"/>
  <c r="AM7" i="5"/>
  <c r="BA7" i="7"/>
  <c r="AM17" i="5"/>
  <c r="BA17" i="7"/>
  <c r="AM9" i="5"/>
  <c r="BA9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S3" i="3"/>
  <c r="P3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K7" i="3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AK38" i="5"/>
  <c r="AU6"/>
  <c r="AZ6" s="1"/>
  <c r="BC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P10"/>
  <c r="E7" i="77"/>
  <c r="B32" i="63"/>
  <c r="A32"/>
  <c r="E32"/>
  <c r="C32"/>
  <c r="Z41" i="76"/>
  <c r="BA33" i="7"/>
  <c r="BA36"/>
  <c r="M5" i="3"/>
  <c r="AJ7" i="5"/>
  <c r="AQ5" i="1"/>
  <c r="AS6"/>
  <c r="M4" i="2"/>
  <c r="E3" i="82" s="1"/>
  <c r="K4" i="2"/>
  <c r="F3" i="82" s="1"/>
  <c r="H4"/>
  <c r="H3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J3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I4"/>
  <c r="H2"/>
  <c r="A5" i="79"/>
  <c r="J2" i="63"/>
  <c r="K31" i="73"/>
  <c r="AB4" i="2"/>
  <c r="AD6" i="1"/>
  <c r="H7" i="5"/>
  <c r="AD4" i="2"/>
  <c r="I5" i="1"/>
  <c r="AF5"/>
  <c r="AA6" i="5"/>
  <c r="J4" i="63"/>
  <c r="AD8" i="5"/>
  <c r="M6" i="3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S6" i="3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1"/>
  <c r="I6"/>
  <c r="G7"/>
  <c r="AF6"/>
  <c r="AO7"/>
  <c r="X5" i="2"/>
  <c r="H5" i="82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I6"/>
  <c r="H6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S8" i="3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I7"/>
  <c r="J23" i="63"/>
  <c r="J17"/>
  <c r="A13" i="65"/>
  <c r="R14" i="1"/>
  <c r="H2" i="63"/>
  <c r="F5" i="65"/>
  <c r="H11" i="3"/>
  <c r="R12" i="1"/>
  <c r="H7" i="82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H8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I12" i="3"/>
  <c r="H13"/>
  <c r="L16" i="1"/>
  <c r="L15"/>
  <c r="H9" i="82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I10"/>
  <c r="I11"/>
  <c r="V7" i="2"/>
  <c r="H14" i="3"/>
  <c r="S12"/>
  <c r="AD19" i="5"/>
  <c r="H14"/>
  <c r="AS15" i="1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J11" i="1" l="1"/>
  <c r="AF3" i="2"/>
  <c r="H5" i="65" s="1"/>
  <c r="K8" i="5"/>
  <c r="H9" i="79"/>
  <c r="I10" s="1"/>
  <c r="K7" i="5"/>
  <c r="K10"/>
  <c r="B26" i="2"/>
  <c r="L25" i="82" s="1"/>
  <c r="AZ29" i="7"/>
  <c r="B18" i="2"/>
  <c r="O17" i="81" s="1"/>
  <c r="AZ21" i="7"/>
  <c r="B27" i="2"/>
  <c r="AZ30" i="7"/>
  <c r="B11" i="2"/>
  <c r="L10" i="82" s="1"/>
  <c r="AZ14" i="7"/>
  <c r="B21" i="2"/>
  <c r="O20" i="81" s="1"/>
  <c r="AZ24" i="7"/>
  <c r="B23" i="2"/>
  <c r="L22" i="82" s="1"/>
  <c r="AZ26" i="7"/>
  <c r="B12" i="2"/>
  <c r="L11" i="82" s="1"/>
  <c r="AZ15" i="7"/>
  <c r="B6" i="2"/>
  <c r="O5" i="81" s="1"/>
  <c r="AZ9" i="7"/>
  <c r="B16" i="2"/>
  <c r="O15" i="81" s="1"/>
  <c r="AZ19" i="7"/>
  <c r="D13" i="5"/>
  <c r="E13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O22" i="81"/>
  <c r="B33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D4" i="76"/>
  <c r="E4" s="1"/>
  <c r="G43" i="74"/>
  <c r="B17" i="77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I13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L26" i="82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B9"/>
  <c r="P76" i="74"/>
  <c r="L15" i="82" l="1"/>
  <c r="O11" i="81"/>
  <c r="E17" i="77"/>
  <c r="K9" i="5"/>
  <c r="L9" s="1"/>
  <c r="H6" i="63" s="1"/>
  <c r="AB4" i="3"/>
  <c r="O11" i="2"/>
  <c r="L5" i="82"/>
  <c r="O10" i="81"/>
  <c r="L17" i="82"/>
  <c r="O28" i="81"/>
  <c r="V81" i="74"/>
  <c r="AA20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AD7"/>
  <c r="AE7" s="1"/>
  <c r="AD10"/>
  <c r="AF10" s="1"/>
  <c r="AD34" i="5"/>
  <c r="C81" i="74"/>
  <c r="G81"/>
  <c r="K81"/>
  <c r="B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3" i="2"/>
  <c r="O3" i="81"/>
  <c r="L29" i="82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L13" i="5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I12" i="82"/>
  <c r="N81" i="74"/>
  <c r="K15" i="76"/>
  <c r="N15" s="1"/>
  <c r="I14"/>
  <c r="M14" s="1"/>
  <c r="L13"/>
  <c r="D13"/>
  <c r="E13" s="1"/>
  <c r="G14"/>
  <c r="C13"/>
  <c r="S15" i="3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I14"/>
  <c r="N12" i="2"/>
  <c r="S12" i="76"/>
  <c r="R11" i="2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H10" i="63" l="1"/>
  <c r="AK13" i="5"/>
  <c r="L10"/>
  <c r="AK10" s="1"/>
  <c r="E14" i="77"/>
  <c r="J11" i="65"/>
  <c r="F8"/>
  <c r="AF7" i="7"/>
  <c r="AG7" s="1"/>
  <c r="AF14" i="5"/>
  <c r="AI14" s="1"/>
  <c r="AJ5" i="1"/>
  <c r="AK5" s="1"/>
  <c r="P6" i="3"/>
  <c r="Q5"/>
  <c r="AH4"/>
  <c r="J4" i="81"/>
  <c r="AX8" i="1"/>
  <c r="AK8" i="5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9" i="5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AF12" i="7"/>
  <c r="AH12" s="1"/>
  <c r="F14" i="65"/>
  <c r="AD36" i="5"/>
  <c r="AD3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S16" i="3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I15"/>
  <c r="O12" i="2"/>
  <c r="H11" i="82"/>
  <c r="AI11" i="2"/>
  <c r="J13" i="65"/>
  <c r="L15" i="5"/>
  <c r="AK15" s="1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7" i="63" l="1"/>
  <c r="F10" i="65"/>
  <c r="AH7" i="7"/>
  <c r="AI7" s="1"/>
  <c r="AF15" i="5"/>
  <c r="AI15" s="1"/>
  <c r="P7" i="3"/>
  <c r="Q6"/>
  <c r="AB12"/>
  <c r="AX9" i="1"/>
  <c r="J5" i="81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S17" i="3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I16"/>
  <c r="E11" i="81"/>
  <c r="S13" i="76"/>
  <c r="R12" i="2"/>
  <c r="C11" i="63"/>
  <c r="D11" s="1"/>
  <c r="H12" i="82"/>
  <c r="N13" i="2"/>
  <c r="O13" s="1"/>
  <c r="F15" i="65"/>
  <c r="H12" i="63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J7" l="1"/>
  <c r="AK7" s="1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S18" i="3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I17"/>
  <c r="J14" i="65"/>
  <c r="AI12" i="2"/>
  <c r="R13"/>
  <c r="S14" i="76"/>
  <c r="C12" i="63"/>
  <c r="D12" s="1"/>
  <c r="E12" i="81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L7" l="1"/>
  <c r="AM7" s="1"/>
  <c r="AO7" s="1"/>
  <c r="AN7" s="1"/>
  <c r="F8" i="3"/>
  <c r="AB8" s="1"/>
  <c r="P9"/>
  <c r="Q8"/>
  <c r="J7" i="81"/>
  <c r="AX11" i="1"/>
  <c r="AO9" i="7"/>
  <c r="AN9" s="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I18"/>
  <c r="H14"/>
  <c r="N15" i="2"/>
  <c r="O15" s="1"/>
  <c r="E13" i="81"/>
  <c r="C13" i="63"/>
  <c r="D13" s="1"/>
  <c r="R14" i="2"/>
  <c r="S15" i="76"/>
  <c r="AI13" i="2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Q9" i="3" l="1"/>
  <c r="AX12" i="1"/>
  <c r="J8" i="81"/>
  <c r="AO8" i="7"/>
  <c r="AN8" s="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AE16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I19"/>
  <c r="R15" i="2"/>
  <c r="C14" i="63"/>
  <c r="D14" s="1"/>
  <c r="S16" i="76"/>
  <c r="E14" i="81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Q10" i="3" l="1"/>
  <c r="P1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I20"/>
  <c r="Y22" i="5"/>
  <c r="J18" i="82" s="1"/>
  <c r="AO22" i="1"/>
  <c r="AT21"/>
  <c r="AU21" s="1"/>
  <c r="I18" i="81" s="1"/>
  <c r="Y22" i="1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I20"/>
  <c r="AI15" i="2"/>
  <c r="J17" i="65"/>
  <c r="C15" i="63"/>
  <c r="D15" s="1"/>
  <c r="E15" i="81"/>
  <c r="R16" i="2"/>
  <c r="S17" i="76"/>
  <c r="N17" i="2"/>
  <c r="O17" s="1"/>
  <c r="H16" i="8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Q11" i="3" l="1"/>
  <c r="P12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AE18"/>
  <c r="AF18" s="1"/>
  <c r="AG18" s="1"/>
  <c r="F17" i="63"/>
  <c r="AK17" i="3"/>
  <c r="AC17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I21"/>
  <c r="N18" i="2"/>
  <c r="O18" s="1"/>
  <c r="H17" i="8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Q12" i="3" l="1"/>
  <c r="P13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S23" i="3"/>
  <c r="M22"/>
  <c r="K20"/>
  <c r="F18" i="63"/>
  <c r="AC18" i="3"/>
  <c r="AH18" s="1"/>
  <c r="AK18"/>
  <c r="AH17"/>
  <c r="N19"/>
  <c r="AE19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I22"/>
  <c r="J19" i="65"/>
  <c r="AI17" i="2"/>
  <c r="R18"/>
  <c r="E17" i="81"/>
  <c r="C17" i="63"/>
  <c r="D17" s="1"/>
  <c r="S19" i="76"/>
  <c r="N19" i="2"/>
  <c r="O19" s="1"/>
  <c r="H18" i="8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Q13" i="3" l="1"/>
  <c r="P14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I14"/>
  <c r="AW15" i="7" s="1"/>
  <c r="G10" i="81"/>
  <c r="AJ13" i="1"/>
  <c r="AK13" s="1"/>
  <c r="AT24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S24" i="3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H19"/>
  <c r="N20" i="2"/>
  <c r="O20" s="1"/>
  <c r="AI18"/>
  <c r="J20" i="65"/>
  <c r="C18" i="63"/>
  <c r="D18" s="1"/>
  <c r="E18" i="81"/>
  <c r="S20" i="76"/>
  <c r="R19" i="2"/>
  <c r="AQ7" i="7"/>
  <c r="X12"/>
  <c r="AR12"/>
  <c r="Y6"/>
  <c r="Q14" i="3" l="1"/>
  <c r="P15"/>
  <c r="Q18"/>
  <c r="X9" i="7"/>
  <c r="D23" i="76"/>
  <c r="E23" s="1"/>
  <c r="X15" i="7"/>
  <c r="J13" i="81"/>
  <c r="AX17" i="1"/>
  <c r="AB20" i="3"/>
  <c r="AU22" i="5"/>
  <c r="AZ21"/>
  <c r="BC21" s="1"/>
  <c r="X11" i="7"/>
  <c r="AR10"/>
  <c r="BC10" s="1"/>
  <c r="AR13"/>
  <c r="AS14" s="1"/>
  <c r="AX14" s="1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S25" i="3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I24"/>
  <c r="N21" i="2"/>
  <c r="O21" s="1"/>
  <c r="H20" i="82"/>
  <c r="J21" i="65"/>
  <c r="AI19" i="2"/>
  <c r="C19" i="63"/>
  <c r="D19" s="1"/>
  <c r="R20" i="2"/>
  <c r="E19" i="81"/>
  <c r="S21" i="76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Q15" i="3" l="1"/>
  <c r="AA22"/>
  <c r="V22"/>
  <c r="J14" i="81"/>
  <c r="AX18" i="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S26" i="3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S27" i="1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I25"/>
  <c r="E20" i="81"/>
  <c r="R21" i="2"/>
  <c r="S22" i="76"/>
  <c r="C20" i="63"/>
  <c r="D20" s="1"/>
  <c r="N22" i="2"/>
  <c r="O22" s="1"/>
  <c r="H21" i="82"/>
  <c r="J22" i="65"/>
  <c r="AI20" i="2"/>
  <c r="AY15" i="7"/>
  <c r="Q13" i="76"/>
  <c r="AY9" i="7"/>
  <c r="Q7" i="76"/>
  <c r="BC6" i="7"/>
  <c r="AS6"/>
  <c r="AS7"/>
  <c r="AX7" s="1"/>
  <c r="AY12"/>
  <c r="Q10" i="76"/>
  <c r="Q6"/>
  <c r="AY8" i="7"/>
  <c r="AL26" i="5" l="1"/>
  <c r="P17" i="3"/>
  <c r="Q16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T27" i="1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T28" s="1"/>
  <c r="AF27"/>
  <c r="AH27" s="1"/>
  <c r="C27" i="65" s="1"/>
  <c r="AG26" i="1"/>
  <c r="AM26"/>
  <c r="F27" i="75" s="1"/>
  <c r="G27" s="1"/>
  <c r="AD27" i="1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I26"/>
  <c r="AI21" i="2"/>
  <c r="J23" i="65"/>
  <c r="C21" i="63"/>
  <c r="D21" s="1"/>
  <c r="S23" i="76"/>
  <c r="E21" i="81"/>
  <c r="R22" i="2"/>
  <c r="N23"/>
  <c r="O23" s="1"/>
  <c r="H22" i="82"/>
  <c r="AX6" i="7"/>
  <c r="Q4" i="76" s="1"/>
  <c r="AY7" i="7"/>
  <c r="Q5" i="76"/>
  <c r="AU28" i="1" l="1"/>
  <c r="I25" i="81" s="1"/>
  <c r="AN21" i="7"/>
  <c r="Q17" i="3"/>
  <c r="P18"/>
  <c r="P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AN22" s="1"/>
  <c r="E28" i="3"/>
  <c r="C27"/>
  <c r="F27" s="1"/>
  <c r="I27"/>
  <c r="Y29" i="5"/>
  <c r="J25" i="82" s="1"/>
  <c r="AO29" i="1"/>
  <c r="AT29" s="1"/>
  <c r="AU29" s="1"/>
  <c r="AA29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AD28"/>
  <c r="AM27"/>
  <c r="F28" i="75" s="1"/>
  <c r="G28" s="1"/>
  <c r="AG27" i="1"/>
  <c r="S29"/>
  <c r="T29" s="1"/>
  <c r="I30"/>
  <c r="AL27"/>
  <c r="D28" i="75" s="1"/>
  <c r="E28" s="1"/>
  <c r="U27" i="1"/>
  <c r="J27"/>
  <c r="G28"/>
  <c r="U28" s="1"/>
  <c r="AL23" i="7"/>
  <c r="AM23" s="1"/>
  <c r="AK23"/>
  <c r="AC27"/>
  <c r="AD27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I27"/>
  <c r="N24" i="2"/>
  <c r="O24" s="1"/>
  <c r="H23" i="82"/>
  <c r="J24" i="65"/>
  <c r="AI22" i="2"/>
  <c r="R23"/>
  <c r="S24" i="76"/>
  <c r="E22" i="81"/>
  <c r="C22" i="63"/>
  <c r="D22" s="1"/>
  <c r="AY6" i="7"/>
  <c r="C28" i="65" l="1"/>
  <c r="Q19" i="3"/>
  <c r="P20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AR18" i="7"/>
  <c r="AQ18" s="1"/>
  <c r="E29" i="3"/>
  <c r="I28"/>
  <c r="C28"/>
  <c r="F28" s="1"/>
  <c r="Y30" i="5"/>
  <c r="J26" i="82" s="1"/>
  <c r="AO30" i="1"/>
  <c r="I26" i="8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S29" i="3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I28"/>
  <c r="AI23" i="2"/>
  <c r="J25" i="65"/>
  <c r="C23" i="63"/>
  <c r="D23" s="1"/>
  <c r="R24" i="2"/>
  <c r="E23" i="81"/>
  <c r="S25" i="76"/>
  <c r="H24" i="82"/>
  <c r="N25" i="2"/>
  <c r="O25" s="1"/>
  <c r="Q20" i="3" l="1"/>
  <c r="P21"/>
  <c r="J18" i="81"/>
  <c r="AX22" i="1"/>
  <c r="AU27" i="5"/>
  <c r="AZ26"/>
  <c r="BC26" s="1"/>
  <c r="BC18" i="7"/>
  <c r="AS18"/>
  <c r="AX18" s="1"/>
  <c r="AY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S30" i="3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I29"/>
  <c r="H25"/>
  <c r="N26" i="2"/>
  <c r="O26" s="1"/>
  <c r="J26" i="65"/>
  <c r="AI24" i="2"/>
  <c r="E24" i="81"/>
  <c r="R25" i="2"/>
  <c r="C24" i="63"/>
  <c r="D24" s="1"/>
  <c r="S26" i="76"/>
  <c r="Q21" i="3" l="1"/>
  <c r="P22"/>
  <c r="AX23" i="1"/>
  <c r="J19" i="81"/>
  <c r="AU28" i="5"/>
  <c r="AZ27"/>
  <c r="BC27" s="1"/>
  <c r="Q16" i="76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S31" i="3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I30"/>
  <c r="N27" i="2"/>
  <c r="O27" s="1"/>
  <c r="H26" i="82"/>
  <c r="S27" i="76"/>
  <c r="E25" i="81"/>
  <c r="C25" i="63"/>
  <c r="D25" s="1"/>
  <c r="R26" i="2"/>
  <c r="J27" i="65"/>
  <c r="AI25" i="2"/>
  <c r="AS21" i="7" l="1"/>
  <c r="AX21" s="1"/>
  <c r="Q22" i="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S32" i="3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S33" i="1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N28" i="2"/>
  <c r="O28" s="1"/>
  <c r="H27" i="82"/>
  <c r="C26" i="63"/>
  <c r="D26" s="1"/>
  <c r="E26" i="81"/>
  <c r="S28" i="76"/>
  <c r="R27" i="2"/>
  <c r="J28" i="65"/>
  <c r="AI26" i="2"/>
  <c r="AO27" i="7" l="1"/>
  <c r="AN27" s="1"/>
  <c r="Q23" i="3"/>
  <c r="P24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6" i="5"/>
  <c r="H35"/>
  <c r="D1"/>
  <c r="AT33" i="1"/>
  <c r="AU33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I32" i="76"/>
  <c r="M32" s="1"/>
  <c r="G32"/>
  <c r="D31"/>
  <c r="E31" s="1"/>
  <c r="L31"/>
  <c r="C31"/>
  <c r="S33" i="3"/>
  <c r="M32"/>
  <c r="M3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K32"/>
  <c r="I32"/>
  <c r="I33"/>
  <c r="J29" i="65"/>
  <c r="AI27" i="2"/>
  <c r="N29"/>
  <c r="O29" s="1"/>
  <c r="H28" i="82"/>
  <c r="C27" i="63"/>
  <c r="D27" s="1"/>
  <c r="R28" i="2"/>
  <c r="E27" i="81"/>
  <c r="S29" i="76"/>
  <c r="AO28" i="7" l="1"/>
  <c r="Q24" i="3"/>
  <c r="P25"/>
  <c r="T34" i="1"/>
  <c r="T35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AT35" i="1"/>
  <c r="Y24" i="7"/>
  <c r="X24" s="1"/>
  <c r="AT34" i="1"/>
  <c r="AU34" s="1"/>
  <c r="I33" i="3"/>
  <c r="C33"/>
  <c r="Y36" i="5"/>
  <c r="Y35"/>
  <c r="X23" i="7"/>
  <c r="AA26" i="76"/>
  <c r="AB26" s="1"/>
  <c r="N33"/>
  <c r="N34" s="1"/>
  <c r="L32"/>
  <c r="D32"/>
  <c r="E32" s="1"/>
  <c r="C32"/>
  <c r="A34" s="1"/>
  <c r="V33" i="3"/>
  <c r="S35"/>
  <c r="Z30"/>
  <c r="AE30" s="1"/>
  <c r="AF30" s="1"/>
  <c r="AG30" s="1"/>
  <c r="N30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O29" s="1"/>
  <c r="AL29"/>
  <c r="AM29" s="1"/>
  <c r="AH31"/>
  <c r="AG31"/>
  <c r="Z35"/>
  <c r="Z36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Q21" i="76" s="1"/>
  <c r="AQ23" i="7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M32"/>
  <c r="C28" i="63"/>
  <c r="D28" s="1"/>
  <c r="S30" i="76"/>
  <c r="E28" i="81"/>
  <c r="R29" i="2"/>
  <c r="N30"/>
  <c r="O30" s="1"/>
  <c r="H29" i="82"/>
  <c r="J30" i="65"/>
  <c r="AI28" i="2"/>
  <c r="AN28" i="7" l="1"/>
  <c r="Q25" i="3"/>
  <c r="P26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BD36" i="5"/>
  <c r="AR24" i="7"/>
  <c r="BC24" s="1"/>
  <c r="AU35" i="1"/>
  <c r="AN29" i="7"/>
  <c r="Y25"/>
  <c r="AR25" s="1"/>
  <c r="F33" i="3"/>
  <c r="C35"/>
  <c r="Y37" i="5"/>
  <c r="M33" i="76"/>
  <c r="M34" s="1"/>
  <c r="AA27"/>
  <c r="AB27" s="1"/>
  <c r="AA28"/>
  <c r="AA33" i="3"/>
  <c r="AC30"/>
  <c r="AH30" s="1"/>
  <c r="F30" i="63"/>
  <c r="AK30" i="3"/>
  <c r="K32"/>
  <c r="N31"/>
  <c r="Z31"/>
  <c r="AJ35" i="5"/>
  <c r="AA3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O5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P29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AB31" i="3" l="1"/>
  <c r="Q26"/>
  <c r="P27"/>
  <c r="I37" i="5"/>
  <c r="G39" s="1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L33"/>
  <c r="L34" s="1"/>
  <c r="AK31" i="3"/>
  <c r="F31" i="63"/>
  <c r="AC31" i="3"/>
  <c r="Z32"/>
  <c r="N32"/>
  <c r="K33"/>
  <c r="AE31"/>
  <c r="AF31" s="1"/>
  <c r="AG31" s="1"/>
  <c r="AA36" i="5"/>
  <c r="AJ36"/>
  <c r="AL36" s="1"/>
  <c r="AL35"/>
  <c r="J35"/>
  <c r="J36"/>
  <c r="B6" i="77"/>
  <c r="C38" i="5"/>
  <c r="H39" s="1"/>
  <c r="D37"/>
  <c r="O19" i="1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N32" i="2"/>
  <c r="N33"/>
  <c r="E32" i="81" s="1"/>
  <c r="AI30" i="2"/>
  <c r="J32" i="65"/>
  <c r="R31" i="2"/>
  <c r="E30" i="81"/>
  <c r="C30" i="63"/>
  <c r="D30" s="1"/>
  <c r="S32" i="76"/>
  <c r="O32" i="2" l="1"/>
  <c r="E31" i="81"/>
  <c r="Q27" i="3"/>
  <c r="P28"/>
  <c r="I38" i="5"/>
  <c r="J25" i="81"/>
  <c r="AX29" i="1"/>
  <c r="I34" i="76"/>
  <c r="AU34" i="5"/>
  <c r="AZ33"/>
  <c r="BC33" s="1"/>
  <c r="AB32" i="3"/>
  <c r="D38" i="73"/>
  <c r="B16" i="77" s="1"/>
  <c r="E16" s="1"/>
  <c r="K33" i="76"/>
  <c r="F4" i="77"/>
  <c r="E8" s="1"/>
  <c r="G34" i="76"/>
  <c r="C34"/>
  <c r="AL37" i="5"/>
  <c r="AO31" i="7"/>
  <c r="AN31" s="1"/>
  <c r="AX24"/>
  <c r="Q22" i="76" s="1"/>
  <c r="B27" i="65"/>
  <c r="E27" s="1"/>
  <c r="AI27" i="1"/>
  <c r="AW28" i="7" s="1"/>
  <c r="G23" i="81"/>
  <c r="AJ26" i="1"/>
  <c r="AK26" s="1"/>
  <c r="N28"/>
  <c r="V28" s="1"/>
  <c r="AI28" s="1"/>
  <c r="AW29" i="7" s="1"/>
  <c r="AR26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AR27" s="1"/>
  <c r="I34"/>
  <c r="J34"/>
  <c r="S29"/>
  <c r="T29"/>
  <c r="R30"/>
  <c r="Q30"/>
  <c r="R32" i="2"/>
  <c r="AI32" s="1"/>
  <c r="C31" i="63"/>
  <c r="D31" s="1"/>
  <c r="R33" i="2"/>
  <c r="AI33" s="1"/>
  <c r="J33" i="65"/>
  <c r="AI31" i="2"/>
  <c r="Y28" i="7" l="1"/>
  <c r="AR28" s="1"/>
  <c r="Q28" i="3"/>
  <c r="P29"/>
  <c r="AX30" i="1"/>
  <c r="J26" i="81"/>
  <c r="AU35" i="5"/>
  <c r="AZ34"/>
  <c r="BC34" s="1"/>
  <c r="E6" i="77"/>
  <c r="G35" i="76"/>
  <c r="AD28" s="1"/>
  <c r="K35"/>
  <c r="AD26" s="1"/>
  <c r="I35"/>
  <c r="AD27" s="1"/>
  <c r="E9" i="77"/>
  <c r="G9" s="1"/>
  <c r="AY24" i="7"/>
  <c r="N29" i="1"/>
  <c r="V29" s="1"/>
  <c r="B28" i="65"/>
  <c r="E28" s="1"/>
  <c r="AS26" i="7"/>
  <c r="AQ26"/>
  <c r="K39" i="5"/>
  <c r="W40" i="76"/>
  <c r="W38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X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3" i="76"/>
  <c r="AS28" i="7" l="1"/>
  <c r="AX28" s="1"/>
  <c r="P30" i="3"/>
  <c r="Q29"/>
  <c r="F18" i="77"/>
  <c r="E18"/>
  <c r="J27" i="81"/>
  <c r="AX31" i="1"/>
  <c r="F6" i="77"/>
  <c r="AU36" i="5"/>
  <c r="AZ36" s="1"/>
  <c r="AZ35"/>
  <c r="BC35" s="1"/>
  <c r="F9" i="77"/>
  <c r="C35" i="76"/>
  <c r="AX26" i="7"/>
  <c r="AY26" s="1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H33" i="3"/>
  <c r="B19" i="77"/>
  <c r="AJ36" i="7"/>
  <c r="AI36"/>
  <c r="AJ35"/>
  <c r="AI35"/>
  <c r="AK34"/>
  <c r="AL34"/>
  <c r="AM34" s="1"/>
  <c r="X28"/>
  <c r="AQ28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P31" i="3" l="1"/>
  <c r="Q30"/>
  <c r="AX32" i="1"/>
  <c r="J28" i="81"/>
  <c r="BC36" i="5"/>
  <c r="Q24" i="76"/>
  <c r="AW30" i="7"/>
  <c r="N31" i="1"/>
  <c r="V31" s="1"/>
  <c r="B30" i="65"/>
  <c r="E30" s="1"/>
  <c r="AI30" i="1"/>
  <c r="AW31" i="7" s="1"/>
  <c r="Y30"/>
  <c r="X30" s="1"/>
  <c r="AO34"/>
  <c r="AN34" s="1"/>
  <c r="AL36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AS29" s="1"/>
  <c r="X29"/>
  <c r="AY28"/>
  <c r="Q26" i="76"/>
  <c r="AY27" i="7"/>
  <c r="Q25" i="76"/>
  <c r="N35" i="7"/>
  <c r="M35"/>
  <c r="P32" i="3" l="1"/>
  <c r="Q31"/>
  <c r="J29" i="81"/>
  <c r="AX33" i="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Q29"/>
  <c r="BC29"/>
  <c r="V32"/>
  <c r="W32" s="1"/>
  <c r="U32"/>
  <c r="P33" i="3" l="1"/>
  <c r="Q33" s="1"/>
  <c r="Q32"/>
  <c r="AS31" i="7"/>
  <c r="AX31" s="1"/>
  <c r="AY31" s="1"/>
  <c r="J30" i="81"/>
  <c r="AX34" i="1"/>
  <c r="AX29" i="7"/>
  <c r="Q27" i="76" s="1"/>
  <c r="AI32" i="1"/>
  <c r="AW33" i="7" s="1"/>
  <c r="B32" i="65"/>
  <c r="E32" s="1"/>
  <c r="AW32" i="7"/>
  <c r="N33" i="1"/>
  <c r="V33" s="1"/>
  <c r="AS30" i="7"/>
  <c r="AX30" s="1"/>
  <c r="Q28" i="76" s="1"/>
  <c r="BC30" i="7"/>
  <c r="Y32"/>
  <c r="X32" s="1"/>
  <c r="BC31"/>
  <c r="X31"/>
  <c r="Q36"/>
  <c r="R36"/>
  <c r="T34"/>
  <c r="S34"/>
  <c r="AQ31"/>
  <c r="U33"/>
  <c r="V33"/>
  <c r="W33" s="1"/>
  <c r="R35"/>
  <c r="Q35"/>
  <c r="AX35" i="1" l="1"/>
  <c r="AY29" i="7"/>
  <c r="AJ32" i="1"/>
  <c r="AK32" s="1"/>
  <c r="G29" i="81"/>
  <c r="N34" i="1"/>
  <c r="V34" s="1"/>
  <c r="N35"/>
  <c r="V35" s="1"/>
  <c r="AI35" s="1"/>
  <c r="AW36" i="7" s="1"/>
  <c r="AI33" i="1"/>
  <c r="B33" i="65"/>
  <c r="E33" s="1"/>
  <c r="G28" i="81"/>
  <c r="AJ31" i="1"/>
  <c r="AK31" s="1"/>
  <c r="AR32" i="7"/>
  <c r="BC32" s="1"/>
  <c r="AY30"/>
  <c r="Q29" i="76"/>
  <c r="Y33" i="7"/>
  <c r="AR33" s="1"/>
  <c r="V34"/>
  <c r="W34" s="1"/>
  <c r="U34"/>
  <c r="S36"/>
  <c r="T36"/>
  <c r="T35"/>
  <c r="S35"/>
  <c r="AI34" i="1" l="1"/>
  <c r="AW35" i="7" s="1"/>
  <c r="B34" i="65"/>
  <c r="E34" s="1"/>
  <c r="AW34" i="7"/>
  <c r="AJ35" i="1"/>
  <c r="AK35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Y35"/>
  <c r="AR35" s="1"/>
  <c r="BC35" s="1"/>
  <c r="AI37" i="1"/>
  <c r="AJ34"/>
  <c r="AK34" s="1"/>
  <c r="AJ33"/>
  <c r="AK33" s="1"/>
  <c r="G30" i="81"/>
  <c r="Y36" i="7"/>
  <c r="X36" s="1"/>
  <c r="X34"/>
  <c r="AQ34"/>
  <c r="AS34"/>
  <c r="AX34" s="1"/>
  <c r="AY33"/>
  <c r="Q31" i="76"/>
  <c r="BC34" i="7"/>
  <c r="Q30" i="76" l="1"/>
  <c r="X35" i="7"/>
  <c r="AR36"/>
  <c r="AS36" s="1"/>
  <c r="Q32" i="76"/>
  <c r="AY34" i="7"/>
  <c r="AQ35"/>
  <c r="AS35"/>
  <c r="AX35" s="1"/>
  <c r="AS40" l="1"/>
  <c r="AQ36"/>
  <c r="AX36"/>
  <c r="AY35"/>
  <c r="AY36" l="1"/>
  <c r="AY37" s="1"/>
  <c r="AX37"/>
  <c r="Z39" i="76" s="1"/>
  <c r="Q33" l="1"/>
  <c r="O6" i="79" l="1"/>
  <c r="K6" i="5" l="1"/>
  <c r="L7" s="1"/>
  <c r="F7" i="65" l="1"/>
  <c r="H4" i="63"/>
  <c r="AK7" i="5"/>
  <c r="AV12" i="7" l="1"/>
  <c r="AV13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K16" i="5" l="1"/>
  <c r="L16" s="1"/>
  <c r="M16" i="79"/>
  <c r="I16" s="1"/>
  <c r="O16" l="1"/>
  <c r="H13" i="63"/>
  <c r="AK16" i="5"/>
  <c r="F16" i="65"/>
  <c r="I34" i="79"/>
  <c r="I28"/>
  <c r="I21"/>
  <c r="I31"/>
  <c r="I30"/>
  <c r="K18" i="5"/>
  <c r="I18" i="79"/>
  <c r="I22"/>
  <c r="I19"/>
  <c r="I32"/>
  <c r="K19" i="5"/>
  <c r="I17" i="79"/>
  <c r="K31" i="5"/>
  <c r="I35" i="79"/>
  <c r="I24"/>
  <c r="I20"/>
  <c r="K17" i="5"/>
  <c r="L17" s="1"/>
  <c r="F17" i="65" s="1"/>
  <c r="I23" i="79"/>
  <c r="K26" i="5"/>
  <c r="I26" i="79"/>
  <c r="I25"/>
  <c r="I33"/>
  <c r="K33" i="5"/>
  <c r="I29" i="79"/>
  <c r="K29" i="5"/>
  <c r="K20"/>
  <c r="L20" s="1"/>
  <c r="M20" i="79"/>
  <c r="O20" s="1"/>
  <c r="M18"/>
  <c r="O18" s="1"/>
  <c r="K32" i="5"/>
  <c r="K23"/>
  <c r="M23" i="79"/>
  <c r="O23" s="1"/>
  <c r="I36"/>
  <c r="M26"/>
  <c r="O26" s="1"/>
  <c r="M25"/>
  <c r="O25" s="1"/>
  <c r="K25" i="5"/>
  <c r="M34" i="79"/>
  <c r="O34" s="1"/>
  <c r="K34" i="5"/>
  <c r="M29" i="79"/>
  <c r="O29" s="1"/>
  <c r="K28" i="5"/>
  <c r="M31" i="79"/>
  <c r="O31" s="1"/>
  <c r="M28"/>
  <c r="O28" s="1"/>
  <c r="M22"/>
  <c r="O22" s="1"/>
  <c r="K22" i="5"/>
  <c r="O17" i="79"/>
  <c r="M33"/>
  <c r="O33" s="1"/>
  <c r="M19"/>
  <c r="O19" s="1"/>
  <c r="M24"/>
  <c r="O24" s="1"/>
  <c r="K24" i="5"/>
  <c r="K36"/>
  <c r="M21" i="79"/>
  <c r="O21" s="1"/>
  <c r="K21" i="5"/>
  <c r="M27" i="79"/>
  <c r="O27" s="1"/>
  <c r="K27" i="5"/>
  <c r="M35" i="79"/>
  <c r="O35" s="1"/>
  <c r="K35" i="5"/>
  <c r="M32" i="79"/>
  <c r="O32" s="1"/>
  <c r="M30"/>
  <c r="O30" s="1"/>
  <c r="K30" i="5"/>
  <c r="L30" l="1"/>
  <c r="H27" i="63" s="1"/>
  <c r="L33" i="5"/>
  <c r="F33" i="65" s="1"/>
  <c r="L27" i="5"/>
  <c r="F27" i="65" s="1"/>
  <c r="L23" i="5"/>
  <c r="AK23" s="1"/>
  <c r="L36"/>
  <c r="AK36" s="1"/>
  <c r="L18"/>
  <c r="H15" i="63" s="1"/>
  <c r="L29" i="5"/>
  <c r="H26" i="63" s="1"/>
  <c r="L19" i="5"/>
  <c r="H16" i="63" s="1"/>
  <c r="F18" i="65"/>
  <c r="L24" i="5"/>
  <c r="H21" i="63" s="1"/>
  <c r="L31" i="5"/>
  <c r="AK31" s="1"/>
  <c r="L35"/>
  <c r="AK35" s="1"/>
  <c r="L34"/>
  <c r="AK34" s="1"/>
  <c r="M36" i="79"/>
  <c r="O36" s="1"/>
  <c r="L22" i="5"/>
  <c r="F22" i="65" s="1"/>
  <c r="L28" i="5"/>
  <c r="H25" i="63" s="1"/>
  <c r="L21" i="5"/>
  <c r="H18" i="63" s="1"/>
  <c r="L25" i="5"/>
  <c r="H22" i="63" s="1"/>
  <c r="L32" i="5"/>
  <c r="H29" i="63" s="1"/>
  <c r="F19" i="65"/>
  <c r="AK19" i="5"/>
  <c r="H17" i="63"/>
  <c r="AK20" i="5"/>
  <c r="F20" i="65"/>
  <c r="F34"/>
  <c r="H14" i="63"/>
  <c r="L26" i="5"/>
  <c r="AK17"/>
  <c r="AK30" l="1"/>
  <c r="F30" i="65"/>
  <c r="AK27" i="5"/>
  <c r="H31" i="63"/>
  <c r="F23" i="65"/>
  <c r="H30" i="63"/>
  <c r="AK33" i="5"/>
  <c r="AK29"/>
  <c r="AK32"/>
  <c r="F31" i="65"/>
  <c r="F29"/>
  <c r="F32"/>
  <c r="H28" i="63"/>
  <c r="H20"/>
  <c r="F21" i="65"/>
  <c r="AK25" i="5"/>
  <c r="F25" i="65"/>
  <c r="AK18" i="5"/>
  <c r="H24" i="63"/>
  <c r="AK22" i="5"/>
  <c r="H19" i="63"/>
  <c r="AK21" i="5"/>
  <c r="AK28"/>
  <c r="AK24"/>
  <c r="F28" i="65"/>
  <c r="F24"/>
  <c r="AK26" i="5"/>
  <c r="F26" i="65"/>
  <c r="H23" i="63"/>
  <c r="I11" i="79"/>
  <c r="I12"/>
  <c r="M11"/>
  <c r="O11" s="1"/>
  <c r="K11" i="5"/>
  <c r="L11" s="1"/>
  <c r="F11" i="65" l="1"/>
  <c r="L37" i="5"/>
  <c r="AK37" s="1"/>
  <c r="AK11"/>
  <c r="L12"/>
  <c r="H8" i="63"/>
  <c r="F12" i="65" l="1"/>
  <c r="H9" i="63"/>
  <c r="AK12" i="5"/>
  <c r="F17" i="77"/>
  <c r="AV5" i="7" l="1"/>
  <c r="AV6" s="1"/>
  <c r="AV7" l="1"/>
  <c r="H2" i="81"/>
  <c r="AV8" i="7" l="1"/>
  <c r="H3" i="81"/>
  <c r="AV9" i="7" l="1"/>
  <c r="H4" i="81"/>
  <c r="AV10" i="7" l="1"/>
  <c r="H5" i="81"/>
  <c r="AV11" i="7" l="1"/>
  <c r="H7" i="81" s="1"/>
  <c r="H6"/>
  <c r="Y12" i="76"/>
  <c r="M5" i="5" l="1"/>
  <c r="M6" s="1"/>
  <c r="O5"/>
  <c r="O6" s="1"/>
  <c r="AC12" i="76"/>
  <c r="AB12"/>
  <c r="V10"/>
  <c r="V11"/>
  <c r="V9"/>
  <c r="M7" i="5" l="1"/>
  <c r="N6"/>
  <c r="O7"/>
  <c r="P6"/>
  <c r="M8" l="1"/>
  <c r="N7"/>
  <c r="O8"/>
  <c r="P7"/>
  <c r="Q7" s="1"/>
  <c r="M3" i="81" s="1"/>
  <c r="Q6" i="5"/>
  <c r="M2" i="81" s="1"/>
  <c r="M9" i="5" l="1"/>
  <c r="N8"/>
  <c r="O9"/>
  <c r="P8"/>
  <c r="Q8" s="1"/>
  <c r="M4" i="81" s="1"/>
  <c r="AC11" i="76"/>
  <c r="AC28" s="1"/>
  <c r="AC10"/>
  <c r="AC27" s="1"/>
  <c r="AC9"/>
  <c r="AC26" s="1"/>
  <c r="AC30" s="1"/>
  <c r="M10" i="5" l="1"/>
  <c r="N9"/>
  <c r="O10"/>
  <c r="P9"/>
  <c r="W37" i="76"/>
  <c r="W39" s="1"/>
  <c r="W41" s="1"/>
  <c r="AC31"/>
  <c r="M11" i="5" l="1"/>
  <c r="N10"/>
  <c r="P10"/>
  <c r="O11"/>
  <c r="Q9"/>
  <c r="M5" i="81" s="1"/>
  <c r="O14" i="76"/>
  <c r="P14" s="1"/>
  <c r="R14" s="1"/>
  <c r="T14" s="1"/>
  <c r="F12" i="81" s="1"/>
  <c r="O9" i="76"/>
  <c r="P9" s="1"/>
  <c r="R9" s="1"/>
  <c r="T9" s="1"/>
  <c r="F7" i="81" s="1"/>
  <c r="O31" i="76"/>
  <c r="P31" s="1"/>
  <c r="R31" s="1"/>
  <c r="T31" s="1"/>
  <c r="F29" i="81" s="1"/>
  <c r="O13" i="76"/>
  <c r="P13" s="1"/>
  <c r="R13" s="1"/>
  <c r="T13" s="1"/>
  <c r="F11" i="81" s="1"/>
  <c r="O18" i="76"/>
  <c r="P18" s="1"/>
  <c r="R18" s="1"/>
  <c r="T18" s="1"/>
  <c r="F16" i="81" s="1"/>
  <c r="O25" i="76"/>
  <c r="P25" s="1"/>
  <c r="R25" s="1"/>
  <c r="T25" s="1"/>
  <c r="F23" i="81" s="1"/>
  <c r="O28" i="76"/>
  <c r="P28" s="1"/>
  <c r="R28" s="1"/>
  <c r="T28" s="1"/>
  <c r="F26" i="81" s="1"/>
  <c r="O29" i="76"/>
  <c r="P29" s="1"/>
  <c r="R29" s="1"/>
  <c r="T29" s="1"/>
  <c r="F27" i="81" s="1"/>
  <c r="O26" i="76"/>
  <c r="P26" s="1"/>
  <c r="R26" s="1"/>
  <c r="T26" s="1"/>
  <c r="F24" i="81" s="1"/>
  <c r="O16" i="76"/>
  <c r="P16" s="1"/>
  <c r="R16" s="1"/>
  <c r="T16" s="1"/>
  <c r="F14" i="81" s="1"/>
  <c r="O22" i="76"/>
  <c r="P22" s="1"/>
  <c r="R22" s="1"/>
  <c r="T22" s="1"/>
  <c r="F20" i="81" s="1"/>
  <c r="O8" i="76"/>
  <c r="P8" s="1"/>
  <c r="R8" s="1"/>
  <c r="T8" s="1"/>
  <c r="F6" i="81" s="1"/>
  <c r="O32" i="76"/>
  <c r="P32" s="1"/>
  <c r="R32" s="1"/>
  <c r="T32" s="1"/>
  <c r="F30" i="81" s="1"/>
  <c r="O10" i="76"/>
  <c r="P10" s="1"/>
  <c r="R10" s="1"/>
  <c r="T10" s="1"/>
  <c r="F8" i="81" s="1"/>
  <c r="O7" i="76"/>
  <c r="P7" s="1"/>
  <c r="R7" s="1"/>
  <c r="T7" s="1"/>
  <c r="F5" i="81" s="1"/>
  <c r="O17" i="76"/>
  <c r="P17" s="1"/>
  <c r="R17" s="1"/>
  <c r="T17" s="1"/>
  <c r="F15" i="81" s="1"/>
  <c r="O19" i="76"/>
  <c r="P19" s="1"/>
  <c r="R19" s="1"/>
  <c r="T19" s="1"/>
  <c r="F17" i="81" s="1"/>
  <c r="O11" i="76"/>
  <c r="P11" s="1"/>
  <c r="R11" s="1"/>
  <c r="T11" s="1"/>
  <c r="F9" i="81" s="1"/>
  <c r="O21" i="76"/>
  <c r="P21" s="1"/>
  <c r="R21" s="1"/>
  <c r="T21" s="1"/>
  <c r="F19" i="81" s="1"/>
  <c r="O15" i="76"/>
  <c r="P15" s="1"/>
  <c r="R15" s="1"/>
  <c r="T15" s="1"/>
  <c r="F13" i="81" s="1"/>
  <c r="O4" i="76"/>
  <c r="O6"/>
  <c r="P6" s="1"/>
  <c r="R6" s="1"/>
  <c r="T6" s="1"/>
  <c r="F4" i="81" s="1"/>
  <c r="O20" i="76"/>
  <c r="P20" s="1"/>
  <c r="R20" s="1"/>
  <c r="T20" s="1"/>
  <c r="F18" i="81" s="1"/>
  <c r="O27" i="76"/>
  <c r="P27" s="1"/>
  <c r="R27" s="1"/>
  <c r="T27" s="1"/>
  <c r="F25" i="81" s="1"/>
  <c r="O12" i="76"/>
  <c r="P12" s="1"/>
  <c r="R12" s="1"/>
  <c r="T12" s="1"/>
  <c r="F10" i="81" s="1"/>
  <c r="O24" i="76"/>
  <c r="P24" s="1"/>
  <c r="R24" s="1"/>
  <c r="T24" s="1"/>
  <c r="F22" i="81" s="1"/>
  <c r="O5" i="76"/>
  <c r="P5" s="1"/>
  <c r="R5" s="1"/>
  <c r="T5" s="1"/>
  <c r="F3" i="81" s="1"/>
  <c r="O23" i="76"/>
  <c r="P23" s="1"/>
  <c r="R23" s="1"/>
  <c r="T23" s="1"/>
  <c r="F21" i="81" s="1"/>
  <c r="AB31" i="76"/>
  <c r="O30"/>
  <c r="P30" s="1"/>
  <c r="R30" s="1"/>
  <c r="T30" s="1"/>
  <c r="F28" i="81" s="1"/>
  <c r="M12" i="5" l="1"/>
  <c r="N11"/>
  <c r="AB33" i="76"/>
  <c r="AB34" s="1"/>
  <c r="AB35"/>
  <c r="AB37" s="1"/>
  <c r="Z38" s="1"/>
  <c r="Z40" s="1"/>
  <c r="Z42" s="1"/>
  <c r="AA39"/>
  <c r="D10" i="77"/>
  <c r="E10" s="1"/>
  <c r="P4" i="76"/>
  <c r="O33"/>
  <c r="O34" s="1"/>
  <c r="Q10" i="5"/>
  <c r="M6" i="81" s="1"/>
  <c r="O12" i="5"/>
  <c r="P11"/>
  <c r="N12" l="1"/>
  <c r="M13"/>
  <c r="O13"/>
  <c r="P12"/>
  <c r="Q12" s="1"/>
  <c r="M8" i="81" s="1"/>
  <c r="Q11" i="5"/>
  <c r="M7" i="81" s="1"/>
  <c r="AA40" i="76"/>
  <c r="AB39"/>
  <c r="AB40" s="1"/>
  <c r="E12" i="77"/>
  <c r="G10"/>
  <c r="G12" s="1"/>
  <c r="F10"/>
  <c r="F12" s="1"/>
  <c r="R4" i="76"/>
  <c r="P33"/>
  <c r="I14" i="77" l="1"/>
  <c r="H14"/>
  <c r="M14" i="5"/>
  <c r="N13"/>
  <c r="R33" i="76"/>
  <c r="T4"/>
  <c r="F2" i="81" s="1"/>
  <c r="P13" i="5"/>
  <c r="O14"/>
  <c r="M15" l="1"/>
  <c r="N14"/>
  <c r="Q13"/>
  <c r="M9" i="81" s="1"/>
  <c r="O15" i="5"/>
  <c r="P14"/>
  <c r="M16" l="1"/>
  <c r="N15"/>
  <c r="O16"/>
  <c r="P15"/>
  <c r="Q15" s="1"/>
  <c r="M11" i="81" s="1"/>
  <c r="Q14" i="5"/>
  <c r="M10" i="81" s="1"/>
  <c r="M17" i="5" l="1"/>
  <c r="N16"/>
  <c r="O17"/>
  <c r="P16"/>
  <c r="Q16" s="1"/>
  <c r="M12" i="81" s="1"/>
  <c r="M18" i="5" l="1"/>
  <c r="N17"/>
  <c r="O18"/>
  <c r="P17"/>
  <c r="M19" l="1"/>
  <c r="N18"/>
  <c r="O19"/>
  <c r="P18"/>
  <c r="Q18" s="1"/>
  <c r="M14" i="81" s="1"/>
  <c r="Q17" i="5"/>
  <c r="M13" i="81" s="1"/>
  <c r="M20" i="5" l="1"/>
  <c r="N19"/>
  <c r="O20"/>
  <c r="P19"/>
  <c r="M21" l="1"/>
  <c r="N20"/>
  <c r="O21"/>
  <c r="P20"/>
  <c r="Q20" s="1"/>
  <c r="M16" i="81" s="1"/>
  <c r="Q19" i="5"/>
  <c r="M15" i="81" s="1"/>
  <c r="M22" i="5" l="1"/>
  <c r="N21"/>
  <c r="O22"/>
  <c r="P21"/>
  <c r="M23" l="1"/>
  <c r="N22"/>
  <c r="O23"/>
  <c r="P22"/>
  <c r="Q22" s="1"/>
  <c r="M18" i="81" s="1"/>
  <c r="Q21" i="5"/>
  <c r="M17" i="81" s="1"/>
  <c r="M24" i="5" l="1"/>
  <c r="N23"/>
  <c r="O24"/>
  <c r="P23"/>
  <c r="M25" l="1"/>
  <c r="N24"/>
  <c r="O25"/>
  <c r="P24"/>
  <c r="Q23"/>
  <c r="M19" i="81" s="1"/>
  <c r="M26" i="5" l="1"/>
  <c r="N25"/>
  <c r="P25"/>
  <c r="Q25" s="1"/>
  <c r="M21" i="81" s="1"/>
  <c r="O26" i="5"/>
  <c r="Q24"/>
  <c r="M20" i="81" s="1"/>
  <c r="M27" i="5" l="1"/>
  <c r="N26"/>
  <c r="O27"/>
  <c r="P26"/>
  <c r="M28" l="1"/>
  <c r="N27"/>
  <c r="O28"/>
  <c r="P27"/>
  <c r="Q27" s="1"/>
  <c r="M23" i="81" s="1"/>
  <c r="Q26" i="5"/>
  <c r="M22" i="81" s="1"/>
  <c r="M29" i="5" l="1"/>
  <c r="N28"/>
  <c r="O29"/>
  <c r="P28"/>
  <c r="M30" l="1"/>
  <c r="N29"/>
  <c r="O30"/>
  <c r="P29"/>
  <c r="Q29" s="1"/>
  <c r="M25" i="81" s="1"/>
  <c r="Q28" i="5"/>
  <c r="M24" i="81" s="1"/>
  <c r="AA9" i="76"/>
  <c r="M31" i="5" l="1"/>
  <c r="N30"/>
  <c r="O31"/>
  <c r="P30"/>
  <c r="Q30" s="1"/>
  <c r="M26" i="81" s="1"/>
  <c r="AB9" i="76"/>
  <c r="AA10"/>
  <c r="AA11"/>
  <c r="M32" i="5" l="1"/>
  <c r="N31"/>
  <c r="O32"/>
  <c r="P31"/>
  <c r="Q31" s="1"/>
  <c r="M27" i="81" s="1"/>
  <c r="AB10" i="76"/>
  <c r="AB11"/>
  <c r="AA12"/>
  <c r="M33" i="5" l="1"/>
  <c r="N32"/>
  <c r="O33"/>
  <c r="P32"/>
  <c r="Q32" s="1"/>
  <c r="M28" i="81" s="1"/>
  <c r="AC13" i="76"/>
  <c r="AB13"/>
  <c r="W14"/>
  <c r="M34" i="5" l="1"/>
  <c r="N33"/>
  <c r="O34"/>
  <c r="P33"/>
  <c r="Q33" s="1"/>
  <c r="M29" i="81" s="1"/>
  <c r="X14" i="76"/>
  <c r="AC14"/>
  <c r="AD11"/>
  <c r="AD9"/>
  <c r="AD10"/>
  <c r="M35" i="5" l="1"/>
  <c r="N34"/>
  <c r="P34"/>
  <c r="O35"/>
  <c r="Y14" i="76"/>
  <c r="O3"/>
  <c r="AB14"/>
  <c r="M36" i="5" l="1"/>
  <c r="N36" s="1"/>
  <c r="N35"/>
  <c r="Q34"/>
  <c r="M30" i="81" s="1"/>
  <c r="O36" i="5"/>
  <c r="P36" s="1"/>
  <c r="P35"/>
  <c r="P3" i="76"/>
  <c r="AB18"/>
  <c r="Q36" i="5" l="1"/>
  <c r="Q35"/>
  <c r="AB19" i="76"/>
  <c r="X2" i="3" l="1"/>
  <c r="X3" s="1"/>
  <c r="X4" l="1"/>
  <c r="Y3"/>
  <c r="Y2"/>
  <c r="AX4" i="1"/>
  <c r="AS5" i="5"/>
  <c r="AS6" s="1"/>
  <c r="N5"/>
  <c r="P5"/>
  <c r="AS7" l="1"/>
  <c r="AY6"/>
  <c r="BB6" s="1"/>
  <c r="BE6" s="1"/>
  <c r="X5" i="3"/>
  <c r="Y4"/>
  <c r="AY5" i="5"/>
  <c r="Q5"/>
  <c r="Q37" s="1"/>
  <c r="O38" s="1"/>
  <c r="I2" i="63" l="1"/>
  <c r="BF6" i="5"/>
  <c r="BG6" s="1"/>
  <c r="G6" i="65" s="1"/>
  <c r="Y5" i="3"/>
  <c r="X6"/>
  <c r="AS8" i="5"/>
  <c r="AY7"/>
  <c r="BB7" s="1"/>
  <c r="BE7" s="1"/>
  <c r="BB5"/>
  <c r="Y6" i="3" l="1"/>
  <c r="X7"/>
  <c r="AS9" i="5"/>
  <c r="AY8"/>
  <c r="BB8" s="1"/>
  <c r="BE8" s="1"/>
  <c r="I3" i="63"/>
  <c r="BF7" i="5"/>
  <c r="BG7" s="1"/>
  <c r="G7" i="65" s="1"/>
  <c r="BE5" i="5"/>
  <c r="BF8" l="1"/>
  <c r="BG8" s="1"/>
  <c r="G8" i="65" s="1"/>
  <c r="I4" i="63"/>
  <c r="Y7" i="3"/>
  <c r="X8"/>
  <c r="AS10" i="5"/>
  <c r="AY9"/>
  <c r="BB9" s="1"/>
  <c r="BE9" s="1"/>
  <c r="BF5"/>
  <c r="AS11" l="1"/>
  <c r="AY10"/>
  <c r="BB10" s="1"/>
  <c r="BE10" s="1"/>
  <c r="Y8" i="3"/>
  <c r="X9"/>
  <c r="I5" i="63"/>
  <c r="BF9" i="5"/>
  <c r="BG9" s="1"/>
  <c r="G9" i="65" s="1"/>
  <c r="BG5" i="5"/>
  <c r="G5" i="65" s="1"/>
  <c r="AY11" i="5" l="1"/>
  <c r="BB11" s="1"/>
  <c r="BE11" s="1"/>
  <c r="AS12"/>
  <c r="BF10"/>
  <c r="BG10" s="1"/>
  <c r="G10" i="65" s="1"/>
  <c r="I6" i="63"/>
  <c r="X10" i="3"/>
  <c r="Y9"/>
  <c r="R3" i="76"/>
  <c r="I7" i="63" l="1"/>
  <c r="BF11" i="5"/>
  <c r="BG11" s="1"/>
  <c r="G11" i="65" s="1"/>
  <c r="AY12" i="5"/>
  <c r="BB12" s="1"/>
  <c r="BE12" s="1"/>
  <c r="AS13"/>
  <c r="X11" i="3"/>
  <c r="Y10"/>
  <c r="T3" i="76"/>
  <c r="AS14" i="5" l="1"/>
  <c r="AY13"/>
  <c r="BB13" s="1"/>
  <c r="BE13" s="1"/>
  <c r="BF12"/>
  <c r="BG12" s="1"/>
  <c r="G12" i="65" s="1"/>
  <c r="I8" i="63"/>
  <c r="X12" i="3"/>
  <c r="Y11"/>
  <c r="AS15" i="5" l="1"/>
  <c r="AY14"/>
  <c r="BB14" s="1"/>
  <c r="BE14" s="1"/>
  <c r="I9" i="63"/>
  <c r="BF13" i="5"/>
  <c r="BG13" s="1"/>
  <c r="G13" i="65" s="1"/>
  <c r="X13" i="3"/>
  <c r="Y12"/>
  <c r="I10" i="63" l="1"/>
  <c r="BF14" i="5"/>
  <c r="BG14" s="1"/>
  <c r="G14" i="65" s="1"/>
  <c r="X14" i="3"/>
  <c r="Y13"/>
  <c r="AS16" i="5"/>
  <c r="AY15"/>
  <c r="BB15" s="1"/>
  <c r="BE15" s="1"/>
  <c r="Y14" i="3" l="1"/>
  <c r="X15"/>
  <c r="AS17" i="5"/>
  <c r="AY16"/>
  <c r="BB16" s="1"/>
  <c r="BE16" s="1"/>
  <c r="BF15"/>
  <c r="BG15" s="1"/>
  <c r="G15" i="65" s="1"/>
  <c r="I11" i="63"/>
  <c r="AY17" i="5" l="1"/>
  <c r="BB17" s="1"/>
  <c r="BE17" s="1"/>
  <c r="AS18"/>
  <c r="Y15" i="3"/>
  <c r="X16"/>
  <c r="BF16" i="5"/>
  <c r="BG16" s="1"/>
  <c r="G16" i="65" s="1"/>
  <c r="I12" i="63"/>
  <c r="BF17" i="5" l="1"/>
  <c r="BG17" s="1"/>
  <c r="G17" i="65" s="1"/>
  <c r="I13" i="63"/>
  <c r="AY18" i="5"/>
  <c r="BB18" s="1"/>
  <c r="BE18" s="1"/>
  <c r="AS19"/>
  <c r="Y16" i="3"/>
  <c r="X17"/>
  <c r="I14" i="63" l="1"/>
  <c r="BF18" i="5"/>
  <c r="BG18" s="1"/>
  <c r="G18" i="65" s="1"/>
  <c r="AY19" i="5"/>
  <c r="BB19" s="1"/>
  <c r="BE19" s="1"/>
  <c r="AS20"/>
  <c r="X18" i="3"/>
  <c r="Y17"/>
  <c r="I15" i="63" l="1"/>
  <c r="BF19" i="5"/>
  <c r="BG19" s="1"/>
  <c r="G19" i="65" s="1"/>
  <c r="AY20" i="5"/>
  <c r="BB20" s="1"/>
  <c r="BE20" s="1"/>
  <c r="AS21"/>
  <c r="Y18" i="3"/>
  <c r="X19"/>
  <c r="AY21" i="5" l="1"/>
  <c r="BB21" s="1"/>
  <c r="BE21" s="1"/>
  <c r="AS22"/>
  <c r="BF20"/>
  <c r="BG20" s="1"/>
  <c r="G20" i="65" s="1"/>
  <c r="I16" i="63"/>
  <c r="Y19" i="3"/>
  <c r="X20"/>
  <c r="BF21" i="5" l="1"/>
  <c r="BG21" s="1"/>
  <c r="G21" i="65" s="1"/>
  <c r="I17" i="63"/>
  <c r="AS23" i="5"/>
  <c r="AY22"/>
  <c r="BB22" s="1"/>
  <c r="BE22" s="1"/>
  <c r="X21" i="3"/>
  <c r="X22" s="1"/>
  <c r="Y20"/>
  <c r="Y21" s="1"/>
  <c r="AY23" i="5" l="1"/>
  <c r="BB23" s="1"/>
  <c r="BE23" s="1"/>
  <c r="AS24"/>
  <c r="Y22" i="3"/>
  <c r="X23"/>
  <c r="BF22" i="5"/>
  <c r="BG22" s="1"/>
  <c r="G22" i="65" s="1"/>
  <c r="I18" i="63"/>
  <c r="BF23" i="5" l="1"/>
  <c r="BG23" s="1"/>
  <c r="G23" i="65" s="1"/>
  <c r="I19" i="63"/>
  <c r="AS25" i="5"/>
  <c r="AY24"/>
  <c r="BB24" s="1"/>
  <c r="BE24" s="1"/>
  <c r="Y23" i="3"/>
  <c r="X24"/>
  <c r="BF24" i="5" l="1"/>
  <c r="BG24" s="1"/>
  <c r="G24" i="65" s="1"/>
  <c r="I20" i="63"/>
  <c r="AS26" i="5"/>
  <c r="AY25"/>
  <c r="BB25" s="1"/>
  <c r="BE25" s="1"/>
  <c r="Y24" i="3"/>
  <c r="X25"/>
  <c r="AY26" i="5" l="1"/>
  <c r="BB26" s="1"/>
  <c r="BE26" s="1"/>
  <c r="AS27"/>
  <c r="BF25"/>
  <c r="BG25" s="1"/>
  <c r="G25" i="65" s="1"/>
  <c r="I21" i="63"/>
  <c r="Y25" i="3"/>
  <c r="X26"/>
  <c r="BF26" i="5" l="1"/>
  <c r="BG26" s="1"/>
  <c r="G26" i="65" s="1"/>
  <c r="I22" i="63"/>
  <c r="AY27" i="5"/>
  <c r="BB27" s="1"/>
  <c r="BE27" s="1"/>
  <c r="AS28"/>
  <c r="Y26" i="3"/>
  <c r="X27"/>
  <c r="BF27" i="5" l="1"/>
  <c r="BG27" s="1"/>
  <c r="G27" i="65" s="1"/>
  <c r="I23" i="63"/>
  <c r="AY28" i="5"/>
  <c r="BB28" s="1"/>
  <c r="BE28" s="1"/>
  <c r="AS29"/>
  <c r="X28" i="3"/>
  <c r="Y27"/>
  <c r="AS30" i="5" l="1"/>
  <c r="AY29"/>
  <c r="BB29" s="1"/>
  <c r="BE29" s="1"/>
  <c r="BF28"/>
  <c r="BG28" s="1"/>
  <c r="G28" i="65" s="1"/>
  <c r="I24" i="63"/>
  <c r="Y28" i="3"/>
  <c r="X29"/>
  <c r="I25" i="63" l="1"/>
  <c r="BF29" i="5"/>
  <c r="BG29" s="1"/>
  <c r="G29" i="65" s="1"/>
  <c r="AY30" i="5"/>
  <c r="BB30" s="1"/>
  <c r="BE30" s="1"/>
  <c r="AS31"/>
  <c r="Y29" i="3"/>
  <c r="X30"/>
  <c r="AS32" i="5" l="1"/>
  <c r="AY31"/>
  <c r="BB31" s="1"/>
  <c r="BE31" s="1"/>
  <c r="BF30"/>
  <c r="BG30" s="1"/>
  <c r="G30" i="65" s="1"/>
  <c r="I26" i="63"/>
  <c r="X31" i="3"/>
  <c r="Y30"/>
  <c r="AY32" i="5" l="1"/>
  <c r="BB32" s="1"/>
  <c r="BE32" s="1"/>
  <c r="AS33"/>
  <c r="I27" i="63"/>
  <c r="BF31" i="5"/>
  <c r="BG31" s="1"/>
  <c r="G31" i="65" s="1"/>
  <c r="X32" i="3"/>
  <c r="Y31"/>
  <c r="X33" l="1"/>
  <c r="Y33" s="1"/>
  <c r="Y32"/>
  <c r="BF32" i="5"/>
  <c r="BG32" s="1"/>
  <c r="G32" i="65" s="1"/>
  <c r="I28" i="63"/>
  <c r="AS34" i="5"/>
  <c r="AY33"/>
  <c r="BB33" s="1"/>
  <c r="BE33" s="1"/>
  <c r="AY34" l="1"/>
  <c r="BB34" s="1"/>
  <c r="BE34" s="1"/>
  <c r="AS35"/>
  <c r="I29" i="63"/>
  <c r="BF33" i="5"/>
  <c r="BG33" s="1"/>
  <c r="G33" i="65" s="1"/>
  <c r="AS36" i="5" l="1"/>
  <c r="AY36" s="1"/>
  <c r="BB36" s="1"/>
  <c r="BE36" s="1"/>
  <c r="BF36" s="1"/>
  <c r="BG36" s="1"/>
  <c r="AY35"/>
  <c r="BB35" s="1"/>
  <c r="BE35" s="1"/>
  <c r="I30" i="63"/>
  <c r="BF34" i="5"/>
  <c r="BG34" s="1"/>
  <c r="G34" i="65" s="1"/>
  <c r="BF35" i="5" l="1"/>
  <c r="BG35" s="1"/>
  <c r="I31" i="63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ahmad.ghazalah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B21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B22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2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<sst xmlns="http://schemas.openxmlformats.org/spreadsheetml/2006/main" count="652" uniqueCount="415">
  <si>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</si>
  <si>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</si>
  <si>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</si>
  <si>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</si>
  <si>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</si>
  <si>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</si>
  <si>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</si>
  <si>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</si>
  <si>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</si>
  <si>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</si>
  <si>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</si>
  <si>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</si>
  <si>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</si>
  <si>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</si>
  <si>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</si>
  <si>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</si>
  <si>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</si>
  <si>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</si>
  <si>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</si>
  <si>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</si>
  <si>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</si>
  <si>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</si>
  <si>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</si>
  <si>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</si>
  <si>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</si>
  <si>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</si>
  <si>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</si>
  <si>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</si>
  <si>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</si>
  <si>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</si>
  <si>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</si>
  <si>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</si>
  <si>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</si>
  <si>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</si>
  <si>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</si>
  <si>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</si>
  <si>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</si>
  <si>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</si>
  <si>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</si>
  <si>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</si>
  <si>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</si>
  <si>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</si>
  <si>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</si>
  <si>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</si>
  <si>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</si>
  <si>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</si>
  <si>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</si>
  <si>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</si>
  <si>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</si>
  <si>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</si>
  <si>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</si>
  <si>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</si>
  <si>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</si>
  <si>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</si>
  <si>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</si>
  <si>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</si>
  <si>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</si>
  <si>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</si>
  <si>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</si>
  <si>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</si>
  <si>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</si>
  <si>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</si>
  <si>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</si>
  <si>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</si>
  <si>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</si>
  <si>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</si>
  <si>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</si>
  <si>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</si>
  <si>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</si>
  <si>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</si>
  <si>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</si>
  <si>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</si>
  <si>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</si>
  <si>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</si>
  <si>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</si>
  <si>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</si>
  <si>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</si>
  <si>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</si>
  <si>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</si>
  <si>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</si>
  <si>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</si>
  <si>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</si>
  <si>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</si>
  <si>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</si>
  <si>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</si>
  <si>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</si>
  <si>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</si>
  <si>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</si>
  <si>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</si>
  <si>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</si>
  <si>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</si>
  <si>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</si>
  <si>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</si>
  <si>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</si>
  <si>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</si>
  <si>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</si>
  <si>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</si>
  <si>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</si>
  <si>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</si>
  <si>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</si>
  <si>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</si>
  <si>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</si>
  <si>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</si>
  <si>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</si>
  <si>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</si>
  <si>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</si>
  <si>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</si>
  <si>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</si>
  <si>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</si>
  <si>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</si>
  <si>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</si>
  <si>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</si>
  <si>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</si>
  <si>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</si>
  <si>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</si>
  <si>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</si>
  <si>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</si>
  <si>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</si>
  <si>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</si>
  <si>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</si>
  <si>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</si>
  <si>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</si>
  <si>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</si>
  <si>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</si>
  <si>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</si>
  <si>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</si>
  <si>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</si>
  <si>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</si>
  <si>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</si>
  <si>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</si>
  <si>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</si>
  <si>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</si>
  <si>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</si>
  <si>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</si>
  <si>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</si>
  <si>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</si>
  <si>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</si>
  <si>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</si>
  <si>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</si>
  <si>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</si>
  <si>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</si>
  <si>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</si>
  <si>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</si>
  <si>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</si>
  <si>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</si>
  <si>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</si>
  <si>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</si>
  <si>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</si>
  <si>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</si>
  <si>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</si>
  <si>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</si>
  <si>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</si>
  <si>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</si>
  <si>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</si>
  <si>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</si>
  <si>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</si>
  <si>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</si>
  <si>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</si>
  <si>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</si>
  <si>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</si>
  <si>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</si>
  <si>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</si>
  <si>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</si>
  <si>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</si>
  <si>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</si>
  <si>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</si>
  <si>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</si>
  <si>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</si>
  <si>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</si>
  <si>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</si>
  <si>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</si>
  <si>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</si>
  <si>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</si>
  <si>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</si>
  <si>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</si>
  <si>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</si>
  <si>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</si>
  <si>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</si>
  <si>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</si>
  <si>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</si>
  <si>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</si>
  <si>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</si>
  <si>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</si>
  <si>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</si>
  <si>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</si>
  <si>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</si>
  <si>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</si>
  <si>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</si>
  <si>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</si>
  <si>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</si>
  <si>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</si>
  <si>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</si>
  <si>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</si>
  <si>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</si>
  <si>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</si>
  <si>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</si>
  <si>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</si>
  <si>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</si>
  <si>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</si>
  <si>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</si>
  <si>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</si>
  <si>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</si>
  <si>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</si>
  <si>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</si>
  <si>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</si>
  <si>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</si>
  <si>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</si>
  <si>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</si>
  <si>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</si>
  <si>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</si>
  <si>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</si>
  <si>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</si>
  <si>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</si>
  <si>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</si>
  <si>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</si>
  <si>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</si>
  <si>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</si>
  <si>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</si>
  <si>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</si>
  <si>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</si>
  <si>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</si>
  <si>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</si>
  <si>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</si>
  <si>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</si>
  <si>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</si>
  <si>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</si>
  <si>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</si>
  <si>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</si>
  <si>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</si>
  <si>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</si>
  <si>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</si>
  <si>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</si>
  <si>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</si>
  <si>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</si>
  <si>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</si>
  <si>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</si>
  <si>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</si>
  <si>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</si>
  <si>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</si>
  <si>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</si>
  <si>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</si>
  <si>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</si>
  <si>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</si>
  <si>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</si>
  <si>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</si>
  <si>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</si>
  <si>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</si>
  <si>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</si>
  <si>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</si>
  <si>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</si>
  <si>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</si>
  <si>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</si>
  <si>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</si>
  <si>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</si>
  <si>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</si>
  <si>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</si>
  <si>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</si>
  <si>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</si>
  <si>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</si>
  <si>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</si>
  <si>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</si>
  <si>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</si>
  <si>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</si>
  <si>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</si>
  <si>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</si>
  <si>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</si>
  <si>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</si>
  <si>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</si>
  <si>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</si>
  <si>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</si>
  <si>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</si>
  <si>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</si>
  <si>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</si>
  <si>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</si>
  <si>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</si>
  <si>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</si>
  <si>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</si>
  <si>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</si>
  <si>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</si>
  <si>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</si>
  <si>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</si>
  <si>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</si>
  <si>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</si>
  <si>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</si>
  <si>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</si>
  <si>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</si>
  <si>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</si>
  <si>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</si>
  <si>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</si>
  <si>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</si>
  <si>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</si>
  <si>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</si>
  <si>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</si>
  <si>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</si>
  <si>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</si>
  <si>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</si>
  <si>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</si>
  <si>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</si>
  <si>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</si>
  <si>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</si>
  <si>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</si>
  <si>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</si>
  <si>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</si>
  <si>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</si>
  <si>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</si>
  <si>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</si>
  <si>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</si>
  <si>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</si>
  <si>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</si>
  <si>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</si>
  <si>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</si>
  <si>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</si>
  <si>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</si>
  <si>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</si>
  <si>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</si>
  <si>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</si>
  <si>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</si>
  <si>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</si>
  <si>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</si>
  <si>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</si>
  <si>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</si>
  <si>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</si>
  <si>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</si>
  <si>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</si>
  <si>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</si>
  <si>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</si>
  <si>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</si>
  <si>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</si>
  <si>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</si>
  <si>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</si>
  <si>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</si>
  <si>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</si>
  <si>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</si>
  <si>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</si>
  <si>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</si>
  <si>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</si>
  <si>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</si>
  <si>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</si>
  <si>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</si>
  <si>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</si>
  <si>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</si>
  <si>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</si>
  <si>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</si>
  <si>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</si>
  <si>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</si>
  <si>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</si>
  <si>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</si>
  <si>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</si>
  <si>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</si>
  <si>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</si>
  <si>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</si>
  <si>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</si>
  <si>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</si>
  <si>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</si>
  <si>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</si>
  <si>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</si>
  <si>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</si>
  <si>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</si>
  <si>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</si>
  <si>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</si>
  <si>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</si>
  <si>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</si>
  <si>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</si>
  <si>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</si>
  <si>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</si>
  <si>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</si>
  <si>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</si>
  <si>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</si>
  <si>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</si>
  <si>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</si>
  <si>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</si>
  <si>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</si>
  <si>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</si>
  <si>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</si>
  <si>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</si>
  <si>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</si>
  <si>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</si>
  <si>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</si>
  <si>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</si>
  <si>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</si>
  <si>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</si>
  <si>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</si>
  <si>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</si>
  <si>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</si>
  <si>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</si>
  <si>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</si>
  <si>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</si>
  <si>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</si>
  <si>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</si>
  <si>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</si>
  <si>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</si>
  <si>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</si>
  <si>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</si>
  <si>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</si>
  <si>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</si>
  <si>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</si>
  <si>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</si>
  <si>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</si>
  <si>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</si>
  <si>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</si>
  <si>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</si>
  <si>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</si>
  <si>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</si>
  <si>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</si>
  <si>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</si>
  <si>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</si>
  <si>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</si>
  <si>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</si>
  <si>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</si>
  <si>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</si>
  <si>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</si>
  <si>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</si>
  <si>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>31-01-2020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</si>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</sst>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24" borderId="28" xfId="0" applyNumberFormat="1" applyFill="1" applyBorder="1" applyAlignment="1">
      <alignment horizontal="left"/>
    </xf>
    <xf numFmtId="2" fontId="0" fillId="0" borderId="0" xfId="4" applyNumberFormat="1" applyFont="1"/>
    <xf numFmtId="2" fontId="0" fillId="0" borderId="0" xfId="1" applyNumberFormat="1" applyFont="1"/>
    <xf numFmtId="1" fontId="0" fillId="0" borderId="0" xfId="4" applyNumberFormat="1" applyFont="1"/>
    <xf numFmtId="9" fontId="0" fillId="14" borderId="1" xfId="4" applyFont="1" applyFill="1" applyBorder="1"/>
    <xf numFmtId="0" fontId="0" fillId="0" borderId="1" xfId="0" applyBorder="1" applyAlignment="1">
      <alignment horizontal="center" vertical="center"/>
    </xf>
    <xf numFmtId="169" fontId="18" fillId="0" borderId="1" xfId="4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169" fontId="0" fillId="0" borderId="1" xfId="0" applyNumberFormat="1" applyBorder="1" applyAlignment="1">
      <alignment vertical="center"/>
    </xf>
    <xf numFmtId="10" fontId="18" fillId="0" borderId="1" xfId="4" applyNumberFormat="1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12629</c:v>
                </c:pt>
                <c:pt idx="8">
                  <c:v>12830</c:v>
                </c:pt>
                <c:pt idx="9">
                  <c:v>10890</c:v>
                </c:pt>
                <c:pt idx="10">
                  <c:v>10518</c:v>
                </c:pt>
                <c:pt idx="11">
                  <c:v>10923</c:v>
                </c:pt>
                <c:pt idx="12">
                  <c:v>11363.399999999907</c:v>
                </c:pt>
                <c:pt idx="13">
                  <c:v>11590.600000000093</c:v>
                </c:pt>
                <c:pt idx="14">
                  <c:v>13973</c:v>
                </c:pt>
                <c:pt idx="15">
                  <c:v>13170.799999999814</c:v>
                </c:pt>
                <c:pt idx="16">
                  <c:v>13465.200000000186</c:v>
                </c:pt>
                <c:pt idx="17">
                  <c:v>13492</c:v>
                </c:pt>
                <c:pt idx="18">
                  <c:v>11885</c:v>
                </c:pt>
                <c:pt idx="19">
                  <c:v>12076</c:v>
                </c:pt>
                <c:pt idx="20">
                  <c:v>12383</c:v>
                </c:pt>
                <c:pt idx="21">
                  <c:v>13537</c:v>
                </c:pt>
                <c:pt idx="22">
                  <c:v>13772</c:v>
                </c:pt>
                <c:pt idx="23">
                  <c:v>14299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7763072"/>
        <c:axId val="137564160"/>
      </c:lineChart>
      <c:catAx>
        <c:axId val="13776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64160"/>
        <c:crosses val="autoZero"/>
        <c:auto val="1"/>
        <c:lblAlgn val="ctr"/>
        <c:lblOffset val="100"/>
      </c:catAx>
      <c:valAx>
        <c:axId val="137564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6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912"/>
          <c:w val="0.11899800868449698"/>
          <c:h val="4.49826989619419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4849</c:v>
                </c:pt>
                <c:pt idx="20">
                  <c:v>5410</c:v>
                </c:pt>
                <c:pt idx="21">
                  <c:v>5827</c:v>
                </c:pt>
                <c:pt idx="22">
                  <c:v>5767</c:v>
                </c:pt>
                <c:pt idx="23">
                  <c:v>5405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7584640"/>
        <c:axId val="137586176"/>
      </c:lineChart>
      <c:catAx>
        <c:axId val="13758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86176"/>
        <c:crosses val="autoZero"/>
        <c:auto val="1"/>
        <c:lblAlgn val="ctr"/>
        <c:lblOffset val="100"/>
      </c:catAx>
      <c:valAx>
        <c:axId val="137586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8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223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0.19570000000000001</c:v>
                </c:pt>
                <c:pt idx="7">
                  <c:v>0.13900000000000001</c:v>
                </c:pt>
                <c:pt idx="8">
                  <c:v>0.1522</c:v>
                </c:pt>
                <c:pt idx="9">
                  <c:v>0.16089999999999999</c:v>
                </c:pt>
                <c:pt idx="10">
                  <c:v>0.14779999999999999</c:v>
                </c:pt>
                <c:pt idx="11">
                  <c:v>0.20430000000000001</c:v>
                </c:pt>
                <c:pt idx="12">
                  <c:v>0.3478</c:v>
                </c:pt>
                <c:pt idx="13">
                  <c:v>0.3826</c:v>
                </c:pt>
                <c:pt idx="14">
                  <c:v>0.247</c:v>
                </c:pt>
                <c:pt idx="15">
                  <c:v>0.1696</c:v>
                </c:pt>
                <c:pt idx="16">
                  <c:v>0.23039999999999999</c:v>
                </c:pt>
                <c:pt idx="17">
                  <c:v>0.23480000000000001</c:v>
                </c:pt>
                <c:pt idx="18">
                  <c:v>0.23039999999999999</c:v>
                </c:pt>
                <c:pt idx="19">
                  <c:v>0.2261</c:v>
                </c:pt>
                <c:pt idx="20">
                  <c:v>0.24779999999999999</c:v>
                </c:pt>
                <c:pt idx="21">
                  <c:v>0.18260000000000001</c:v>
                </c:pt>
                <c:pt idx="22">
                  <c:v>0.1391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7610368"/>
        <c:axId val="137611904"/>
      </c:lineChart>
      <c:catAx>
        <c:axId val="13761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11904"/>
        <c:crosses val="autoZero"/>
        <c:auto val="1"/>
        <c:lblAlgn val="ctr"/>
        <c:lblOffset val="100"/>
      </c:catAx>
      <c:valAx>
        <c:axId val="1376119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61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818"/>
          <c:y val="0.62975887529632912"/>
          <c:w val="7.9124755870162669E-2"/>
          <c:h val="4.49826989619419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45.011000000000003</c:v>
                </c:pt>
                <c:pt idx="7">
                  <c:v>31.970000000000002</c:v>
                </c:pt>
                <c:pt idx="8">
                  <c:v>35.006</c:v>
                </c:pt>
                <c:pt idx="9">
                  <c:v>37.006999999999998</c:v>
                </c:pt>
                <c:pt idx="10">
                  <c:v>33.994</c:v>
                </c:pt>
                <c:pt idx="11">
                  <c:v>46.989000000000004</c:v>
                </c:pt>
                <c:pt idx="12">
                  <c:v>79.994</c:v>
                </c:pt>
                <c:pt idx="13">
                  <c:v>87.998000000000005</c:v>
                </c:pt>
                <c:pt idx="14">
                  <c:v>56.81</c:v>
                </c:pt>
                <c:pt idx="15">
                  <c:v>39.008000000000003</c:v>
                </c:pt>
                <c:pt idx="16">
                  <c:v>52.991999999999997</c:v>
                </c:pt>
                <c:pt idx="17">
                  <c:v>54.004000000000005</c:v>
                </c:pt>
                <c:pt idx="18">
                  <c:v>52.991999999999997</c:v>
                </c:pt>
                <c:pt idx="19">
                  <c:v>52.003</c:v>
                </c:pt>
                <c:pt idx="20">
                  <c:v>56.994</c:v>
                </c:pt>
                <c:pt idx="21">
                  <c:v>41.998000000000005</c:v>
                </c:pt>
                <c:pt idx="22">
                  <c:v>31.993000000000002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875264"/>
        <c:axId val="120877056"/>
      </c:lineChart>
      <c:catAx>
        <c:axId val="12087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77056"/>
        <c:crosses val="autoZero"/>
        <c:auto val="1"/>
        <c:lblAlgn val="ctr"/>
        <c:lblOffset val="100"/>
      </c:catAx>
      <c:valAx>
        <c:axId val="1208770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7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607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332</c:v>
                </c:pt>
                <c:pt idx="7">
                  <c:v>206</c:v>
                </c:pt>
                <c:pt idx="8">
                  <c:v>152</c:v>
                </c:pt>
                <c:pt idx="9">
                  <c:v>21</c:v>
                </c:pt>
                <c:pt idx="10">
                  <c:v>0</c:v>
                </c:pt>
                <c:pt idx="11">
                  <c:v>298</c:v>
                </c:pt>
                <c:pt idx="12">
                  <c:v>153</c:v>
                </c:pt>
                <c:pt idx="13">
                  <c:v>200.16666666666666</c:v>
                </c:pt>
                <c:pt idx="14">
                  <c:v>211.8</c:v>
                </c:pt>
                <c:pt idx="15">
                  <c:v>211.33333333333334</c:v>
                </c:pt>
                <c:pt idx="16">
                  <c:v>232.25</c:v>
                </c:pt>
                <c:pt idx="17">
                  <c:v>200.25</c:v>
                </c:pt>
                <c:pt idx="18">
                  <c:v>225</c:v>
                </c:pt>
                <c:pt idx="19">
                  <c:v>172</c:v>
                </c:pt>
                <c:pt idx="20">
                  <c:v>186.83333333333334</c:v>
                </c:pt>
                <c:pt idx="21">
                  <c:v>199</c:v>
                </c:pt>
                <c:pt idx="22">
                  <c:v>153.28571428571428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884608"/>
        <c:axId val="120915072"/>
      </c:lineChart>
      <c:catAx>
        <c:axId val="12088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15072"/>
        <c:crosses val="autoZero"/>
        <c:auto val="1"/>
        <c:lblAlgn val="ctr"/>
        <c:lblOffset val="100"/>
      </c:catAx>
      <c:valAx>
        <c:axId val="120915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8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550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177216"/>
        <c:axId val="121178752"/>
      </c:lineChart>
      <c:catAx>
        <c:axId val="12117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78752"/>
        <c:crosses val="autoZero"/>
        <c:auto val="1"/>
        <c:lblAlgn val="ctr"/>
        <c:lblOffset val="100"/>
      </c:catAx>
      <c:valAx>
        <c:axId val="121178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7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223424"/>
        <c:axId val="121225216"/>
      </c:lineChart>
      <c:catAx>
        <c:axId val="12122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25216"/>
        <c:crosses val="autoZero"/>
        <c:auto val="1"/>
        <c:lblAlgn val="ctr"/>
        <c:lblOffset val="100"/>
      </c:catAx>
      <c:valAx>
        <c:axId val="121225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2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334</c:v>
                </c:pt>
                <c:pt idx="7">
                  <c:v>0</c:v>
                </c:pt>
                <c:pt idx="8">
                  <c:v>0</c:v>
                </c:pt>
                <c:pt idx="9">
                  <c:v>324</c:v>
                </c:pt>
                <c:pt idx="10">
                  <c:v>141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207</c:v>
                </c:pt>
                <c:pt idx="17">
                  <c:v>0</c:v>
                </c:pt>
                <c:pt idx="18">
                  <c:v>113</c:v>
                </c:pt>
                <c:pt idx="19">
                  <c:v>0</c:v>
                </c:pt>
                <c:pt idx="20">
                  <c:v>124</c:v>
                </c:pt>
                <c:pt idx="21">
                  <c:v>23</c:v>
                </c:pt>
                <c:pt idx="22">
                  <c:v>323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236480"/>
        <c:axId val="121258752"/>
      </c:lineChart>
      <c:catAx>
        <c:axId val="12123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58752"/>
        <c:crosses val="autoZero"/>
        <c:auto val="1"/>
        <c:lblAlgn val="ctr"/>
        <c:lblOffset val="100"/>
      </c:catAx>
      <c:valAx>
        <c:axId val="121258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3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15.5</c:v>
                </c:pt>
                <c:pt idx="19">
                  <c:v>15.5</c:v>
                </c:pt>
                <c:pt idx="20">
                  <c:v>14</c:v>
                </c:pt>
                <c:pt idx="21">
                  <c:v>14.5</c:v>
                </c:pt>
                <c:pt idx="22">
                  <c:v>15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282944"/>
        <c:axId val="121284480"/>
      </c:lineChart>
      <c:catAx>
        <c:axId val="12128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84480"/>
        <c:crosses val="autoZero"/>
        <c:auto val="1"/>
        <c:lblAlgn val="ctr"/>
        <c:lblOffset val="100"/>
      </c:catAx>
      <c:valAx>
        <c:axId val="121284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8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7534"/>
          <c:w val="0.1272403315177128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5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7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505280"/>
        <c:axId val="121506816"/>
      </c:lineChart>
      <c:catAx>
        <c:axId val="12150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06816"/>
        <c:crosses val="autoZero"/>
        <c:auto val="1"/>
        <c:lblAlgn val="ctr"/>
        <c:lblOffset val="100"/>
      </c:catAx>
      <c:valAx>
        <c:axId val="121506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0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544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877.90000000002328</c:v>
                </c:pt>
                <c:pt idx="1">
                  <c:v>530</c:v>
                </c:pt>
                <c:pt idx="2">
                  <c:v>606</c:v>
                </c:pt>
                <c:pt idx="3">
                  <c:v>655</c:v>
                </c:pt>
                <c:pt idx="4">
                  <c:v>1137.6999999999971</c:v>
                </c:pt>
                <c:pt idx="5">
                  <c:v>617</c:v>
                </c:pt>
                <c:pt idx="6">
                  <c:v>453</c:v>
                </c:pt>
                <c:pt idx="7">
                  <c:v>906.90000000000873</c:v>
                </c:pt>
                <c:pt idx="8">
                  <c:v>669.79999999998836</c:v>
                </c:pt>
                <c:pt idx="9">
                  <c:v>828</c:v>
                </c:pt>
                <c:pt idx="10">
                  <c:v>1098.5999999999767</c:v>
                </c:pt>
                <c:pt idx="11">
                  <c:v>1468.1000000000349</c:v>
                </c:pt>
                <c:pt idx="12">
                  <c:v>880</c:v>
                </c:pt>
                <c:pt idx="13">
                  <c:v>735</c:v>
                </c:pt>
                <c:pt idx="14">
                  <c:v>1187.1000000000058</c:v>
                </c:pt>
                <c:pt idx="15">
                  <c:v>746</c:v>
                </c:pt>
                <c:pt idx="16">
                  <c:v>644</c:v>
                </c:pt>
                <c:pt idx="17">
                  <c:v>630</c:v>
                </c:pt>
                <c:pt idx="18">
                  <c:v>1122</c:v>
                </c:pt>
                <c:pt idx="19">
                  <c:v>499</c:v>
                </c:pt>
                <c:pt idx="20">
                  <c:v>541</c:v>
                </c:pt>
                <c:pt idx="21">
                  <c:v>1044.2999999999884</c:v>
                </c:pt>
                <c:pt idx="22">
                  <c:v>748</c:v>
                </c:pt>
                <c:pt idx="23">
                  <c:v>677.29999999998836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330304"/>
        <c:axId val="121336192"/>
      </c:lineChart>
      <c:catAx>
        <c:axId val="12133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36192"/>
        <c:crosses val="autoZero"/>
        <c:auto val="1"/>
        <c:lblAlgn val="ctr"/>
        <c:lblOffset val="100"/>
      </c:catAx>
      <c:valAx>
        <c:axId val="121336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3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7534"/>
          <c:w val="0.135416885389338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</c:v>
                </c:pt>
                <c:pt idx="1">
                  <c:v>210</c:v>
                </c:pt>
                <c:pt idx="2">
                  <c:v>90</c:v>
                </c:pt>
                <c:pt idx="3">
                  <c:v>180</c:v>
                </c:pt>
                <c:pt idx="4">
                  <c:v>180</c:v>
                </c:pt>
                <c:pt idx="5">
                  <c:v>320</c:v>
                </c:pt>
                <c:pt idx="6">
                  <c:v>120</c:v>
                </c:pt>
                <c:pt idx="7">
                  <c:v>90</c:v>
                </c:pt>
                <c:pt idx="8">
                  <c:v>270</c:v>
                </c:pt>
                <c:pt idx="9">
                  <c:v>270</c:v>
                </c:pt>
                <c:pt idx="10">
                  <c:v>90</c:v>
                </c:pt>
                <c:pt idx="11">
                  <c:v>120</c:v>
                </c:pt>
                <c:pt idx="12">
                  <c:v>380</c:v>
                </c:pt>
                <c:pt idx="13">
                  <c:v>120</c:v>
                </c:pt>
                <c:pt idx="14">
                  <c:v>120</c:v>
                </c:pt>
                <c:pt idx="15">
                  <c:v>180</c:v>
                </c:pt>
                <c:pt idx="16">
                  <c:v>270</c:v>
                </c:pt>
                <c:pt idx="17">
                  <c:v>150</c:v>
                </c:pt>
                <c:pt idx="18">
                  <c:v>180</c:v>
                </c:pt>
                <c:pt idx="19">
                  <c:v>410</c:v>
                </c:pt>
                <c:pt idx="20">
                  <c:v>30</c:v>
                </c:pt>
                <c:pt idx="21">
                  <c:v>120</c:v>
                </c:pt>
                <c:pt idx="22">
                  <c:v>210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360384"/>
        <c:axId val="121361920"/>
      </c:lineChart>
      <c:catAx>
        <c:axId val="12136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61920"/>
        <c:crosses val="autoZero"/>
        <c:auto val="1"/>
        <c:lblAlgn val="ctr"/>
        <c:lblOffset val="100"/>
      </c:catAx>
      <c:valAx>
        <c:axId val="121361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6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753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12629</c:v>
                </c:pt>
                <c:pt idx="8">
                  <c:v>12830</c:v>
                </c:pt>
                <c:pt idx="9">
                  <c:v>10890</c:v>
                </c:pt>
                <c:pt idx="10">
                  <c:v>10518</c:v>
                </c:pt>
                <c:pt idx="11">
                  <c:v>10923</c:v>
                </c:pt>
                <c:pt idx="12">
                  <c:v>11363.399999999907</c:v>
                </c:pt>
                <c:pt idx="13">
                  <c:v>11590.600000000093</c:v>
                </c:pt>
                <c:pt idx="14">
                  <c:v>13973</c:v>
                </c:pt>
                <c:pt idx="15">
                  <c:v>13170.799999999814</c:v>
                </c:pt>
                <c:pt idx="16">
                  <c:v>13465.200000000186</c:v>
                </c:pt>
                <c:pt idx="17">
                  <c:v>13492</c:v>
                </c:pt>
                <c:pt idx="18">
                  <c:v>11885</c:v>
                </c:pt>
                <c:pt idx="19">
                  <c:v>12076</c:v>
                </c:pt>
                <c:pt idx="20">
                  <c:v>12383</c:v>
                </c:pt>
                <c:pt idx="21">
                  <c:v>13537</c:v>
                </c:pt>
                <c:pt idx="22">
                  <c:v>13772</c:v>
                </c:pt>
                <c:pt idx="23">
                  <c:v>14299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591296"/>
        <c:axId val="121592832"/>
      </c:lineChart>
      <c:catAx>
        <c:axId val="12159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92832"/>
        <c:crosses val="autoZero"/>
        <c:auto val="1"/>
        <c:lblAlgn val="ctr"/>
        <c:lblOffset val="100"/>
      </c:catAx>
      <c:valAx>
        <c:axId val="121592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9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912"/>
          <c:w val="0.12291688538932598"/>
          <c:h val="4.49826989619419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4849</c:v>
                </c:pt>
                <c:pt idx="20">
                  <c:v>5410</c:v>
                </c:pt>
                <c:pt idx="21">
                  <c:v>5827</c:v>
                </c:pt>
                <c:pt idx="22">
                  <c:v>5767</c:v>
                </c:pt>
                <c:pt idx="23">
                  <c:v>5405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633408"/>
        <c:axId val="121639296"/>
      </c:lineChart>
      <c:catAx>
        <c:axId val="12163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39296"/>
        <c:crosses val="autoZero"/>
        <c:auto val="1"/>
        <c:lblAlgn val="ctr"/>
        <c:lblOffset val="100"/>
      </c:catAx>
      <c:valAx>
        <c:axId val="121639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3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7534"/>
          <c:w val="0.135416885389338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3.5799999999999272</c:v>
                </c:pt>
                <c:pt idx="10">
                  <c:v>3.8800000000010186</c:v>
                </c:pt>
                <c:pt idx="11">
                  <c:v>3.4899999999997817</c:v>
                </c:pt>
                <c:pt idx="12">
                  <c:v>3.8799999999991996</c:v>
                </c:pt>
                <c:pt idx="13">
                  <c:v>3</c:v>
                </c:pt>
                <c:pt idx="14">
                  <c:v>4.180000000000291</c:v>
                </c:pt>
                <c:pt idx="15">
                  <c:v>1.819999999999709</c:v>
                </c:pt>
                <c:pt idx="16">
                  <c:v>2.5900000000001455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663488"/>
        <c:axId val="121665024"/>
      </c:lineChart>
      <c:catAx>
        <c:axId val="12166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5024"/>
        <c:crosses val="autoZero"/>
        <c:auto val="1"/>
        <c:lblAlgn val="ctr"/>
        <c:lblOffset val="100"/>
      </c:catAx>
      <c:valAx>
        <c:axId val="1216650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7321"/>
          <c:y val="0.54325368498487869"/>
          <c:w val="0.11458355205599259"/>
          <c:h val="4.498269896194134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-1698.058064516139</c:v>
                </c:pt>
                <c:pt idx="1">
                  <c:v>-1463.3870967741823</c:v>
                </c:pt>
                <c:pt idx="2">
                  <c:v>-1731.3935483871028</c:v>
                </c:pt>
                <c:pt idx="3">
                  <c:v>-1948.735483870958</c:v>
                </c:pt>
                <c:pt idx="4">
                  <c:v>-1792.7290322580666</c:v>
                </c:pt>
                <c:pt idx="5">
                  <c:v>-1175.0419354838741</c:v>
                </c:pt>
                <c:pt idx="6">
                  <c:v>-132.55161290324031</c:v>
                </c:pt>
                <c:pt idx="7">
                  <c:v>-1338.7096774193342</c:v>
                </c:pt>
                <c:pt idx="8">
                  <c:v>-1798.0645161290304</c:v>
                </c:pt>
                <c:pt idx="9">
                  <c:v>-1858.396774193563</c:v>
                </c:pt>
                <c:pt idx="10">
                  <c:v>-1863.7322580644977</c:v>
                </c:pt>
                <c:pt idx="11">
                  <c:v>-2069.7419354838785</c:v>
                </c:pt>
                <c:pt idx="12">
                  <c:v>-1261.7096774193633</c:v>
                </c:pt>
                <c:pt idx="13">
                  <c:v>-1792.7290322580666</c:v>
                </c:pt>
                <c:pt idx="14">
                  <c:v>-2170.4096774193313</c:v>
                </c:pt>
                <c:pt idx="15">
                  <c:v>-1172.3741935483922</c:v>
                </c:pt>
                <c:pt idx="16">
                  <c:v>-1353.7129032258017</c:v>
                </c:pt>
                <c:pt idx="17">
                  <c:v>425.23870967738912</c:v>
                </c:pt>
                <c:pt idx="18">
                  <c:v>-1957.3999999999796</c:v>
                </c:pt>
                <c:pt idx="19">
                  <c:v>-1149.7096774193487</c:v>
                </c:pt>
                <c:pt idx="20">
                  <c:v>-1331.7096774193778</c:v>
                </c:pt>
                <c:pt idx="21">
                  <c:v>-2362.4193548386829</c:v>
                </c:pt>
                <c:pt idx="22">
                  <c:v>-2090.741935483893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693312"/>
        <c:axId val="121694848"/>
      </c:lineChart>
      <c:catAx>
        <c:axId val="12169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94848"/>
        <c:crosses val="autoZero"/>
        <c:auto val="1"/>
        <c:lblAlgn val="ctr"/>
        <c:lblOffset val="100"/>
      </c:catAx>
      <c:valAx>
        <c:axId val="121694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9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729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719424"/>
        <c:axId val="121737600"/>
      </c:lineChart>
      <c:catAx>
        <c:axId val="12171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37600"/>
        <c:crosses val="autoZero"/>
        <c:auto val="1"/>
        <c:lblAlgn val="ctr"/>
        <c:lblOffset val="100"/>
      </c:catAx>
      <c:valAx>
        <c:axId val="121737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1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3368"/>
          <c:y val="0.62975887529632912"/>
          <c:w val="0.13541688538933858"/>
          <c:h val="4.49826989619419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0.19570000000000001</c:v>
                </c:pt>
                <c:pt idx="7">
                  <c:v>0.13900000000000001</c:v>
                </c:pt>
                <c:pt idx="8">
                  <c:v>0.1522</c:v>
                </c:pt>
                <c:pt idx="9">
                  <c:v>0.16089999999999999</c:v>
                </c:pt>
                <c:pt idx="10">
                  <c:v>0.14779999999999999</c:v>
                </c:pt>
                <c:pt idx="11">
                  <c:v>0.20430000000000001</c:v>
                </c:pt>
                <c:pt idx="12">
                  <c:v>0.3478</c:v>
                </c:pt>
                <c:pt idx="13">
                  <c:v>0.3826</c:v>
                </c:pt>
                <c:pt idx="14">
                  <c:v>0.247</c:v>
                </c:pt>
                <c:pt idx="15">
                  <c:v>0.1696</c:v>
                </c:pt>
                <c:pt idx="16">
                  <c:v>0.23039999999999999</c:v>
                </c:pt>
                <c:pt idx="17">
                  <c:v>0.23480000000000001</c:v>
                </c:pt>
                <c:pt idx="18">
                  <c:v>0.23039999999999999</c:v>
                </c:pt>
                <c:pt idx="19">
                  <c:v>0.2261</c:v>
                </c:pt>
                <c:pt idx="20">
                  <c:v>0.24779999999999999</c:v>
                </c:pt>
                <c:pt idx="21">
                  <c:v>0.18260000000000001</c:v>
                </c:pt>
                <c:pt idx="22">
                  <c:v>0.1391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761792"/>
        <c:axId val="121763328"/>
      </c:lineChart>
      <c:catAx>
        <c:axId val="12176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63328"/>
        <c:crosses val="autoZero"/>
        <c:auto val="1"/>
        <c:lblAlgn val="ctr"/>
        <c:lblOffset val="100"/>
      </c:catAx>
      <c:valAx>
        <c:axId val="1217633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6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912"/>
          <c:w val="9.730870597697025E-2"/>
          <c:h val="4.49826989619419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85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45.011000000000003</c:v>
                </c:pt>
                <c:pt idx="7">
                  <c:v>31.970000000000002</c:v>
                </c:pt>
                <c:pt idx="8">
                  <c:v>35.006</c:v>
                </c:pt>
                <c:pt idx="9">
                  <c:v>37.006999999999998</c:v>
                </c:pt>
                <c:pt idx="10">
                  <c:v>33.994</c:v>
                </c:pt>
                <c:pt idx="11">
                  <c:v>46.989000000000004</c:v>
                </c:pt>
                <c:pt idx="12">
                  <c:v>79.994</c:v>
                </c:pt>
                <c:pt idx="13">
                  <c:v>87.998000000000005</c:v>
                </c:pt>
                <c:pt idx="14">
                  <c:v>56.81</c:v>
                </c:pt>
                <c:pt idx="15">
                  <c:v>39.008000000000003</c:v>
                </c:pt>
                <c:pt idx="16">
                  <c:v>52.991999999999997</c:v>
                </c:pt>
                <c:pt idx="17">
                  <c:v>54.004000000000005</c:v>
                </c:pt>
                <c:pt idx="18">
                  <c:v>52.991999999999997</c:v>
                </c:pt>
                <c:pt idx="19">
                  <c:v>52.003</c:v>
                </c:pt>
                <c:pt idx="20">
                  <c:v>56.994</c:v>
                </c:pt>
                <c:pt idx="21">
                  <c:v>41.998000000000005</c:v>
                </c:pt>
                <c:pt idx="22">
                  <c:v>31.993000000000002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812096"/>
        <c:axId val="121813632"/>
      </c:lineChart>
      <c:catAx>
        <c:axId val="12181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13632"/>
        <c:crosses val="autoZero"/>
        <c:auto val="1"/>
        <c:lblAlgn val="ctr"/>
        <c:lblOffset val="100"/>
      </c:catAx>
      <c:valAx>
        <c:axId val="1218136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1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19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903360"/>
        <c:axId val="121909248"/>
      </c:lineChart>
      <c:catAx>
        <c:axId val="12190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09248"/>
        <c:crosses val="autoZero"/>
        <c:auto val="1"/>
        <c:lblAlgn val="ctr"/>
        <c:lblOffset val="100"/>
      </c:catAx>
      <c:valAx>
        <c:axId val="121909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0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603"/>
          <c:y val="0.62975887529632912"/>
          <c:w val="0.13250539334757044"/>
          <c:h val="4.49826989619419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334</c:v>
                </c:pt>
                <c:pt idx="7">
                  <c:v>0</c:v>
                </c:pt>
                <c:pt idx="8">
                  <c:v>0</c:v>
                </c:pt>
                <c:pt idx="9">
                  <c:v>324</c:v>
                </c:pt>
                <c:pt idx="10">
                  <c:v>141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207</c:v>
                </c:pt>
                <c:pt idx="17">
                  <c:v>0</c:v>
                </c:pt>
                <c:pt idx="18">
                  <c:v>113</c:v>
                </c:pt>
                <c:pt idx="19">
                  <c:v>0</c:v>
                </c:pt>
                <c:pt idx="20">
                  <c:v>124</c:v>
                </c:pt>
                <c:pt idx="21">
                  <c:v>23</c:v>
                </c:pt>
                <c:pt idx="22">
                  <c:v>323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941376"/>
        <c:axId val="121951360"/>
      </c:lineChart>
      <c:catAx>
        <c:axId val="12194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51360"/>
        <c:crosses val="autoZero"/>
        <c:auto val="1"/>
        <c:lblAlgn val="ctr"/>
        <c:lblOffset val="100"/>
      </c:catAx>
      <c:valAx>
        <c:axId val="121951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4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753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15.5</c:v>
                </c:pt>
                <c:pt idx="19">
                  <c:v>15.5</c:v>
                </c:pt>
                <c:pt idx="20">
                  <c:v>14</c:v>
                </c:pt>
                <c:pt idx="21">
                  <c:v>14.5</c:v>
                </c:pt>
                <c:pt idx="22">
                  <c:v>15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840384"/>
        <c:axId val="121841920"/>
      </c:lineChart>
      <c:catAx>
        <c:axId val="12184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41920"/>
        <c:crosses val="autoZero"/>
        <c:auto val="1"/>
        <c:lblAlgn val="ctr"/>
        <c:lblOffset val="100"/>
      </c:catAx>
      <c:valAx>
        <c:axId val="121841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4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6073"/>
          <c:w val="0.1234311819809206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1887360"/>
        <c:axId val="121893248"/>
      </c:lineChart>
      <c:catAx>
        <c:axId val="1218873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93248"/>
        <c:crosses val="autoZero"/>
        <c:auto val="1"/>
        <c:lblAlgn val="ctr"/>
        <c:lblOffset val="100"/>
      </c:catAx>
      <c:valAx>
        <c:axId val="1218932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8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698"/>
          <c:y val="0.45486256926219887"/>
          <c:w val="0.1569039853282045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332</c:v>
                </c:pt>
                <c:pt idx="7">
                  <c:v>206</c:v>
                </c:pt>
                <c:pt idx="8">
                  <c:v>152</c:v>
                </c:pt>
                <c:pt idx="9">
                  <c:v>21</c:v>
                </c:pt>
                <c:pt idx="10">
                  <c:v>0</c:v>
                </c:pt>
                <c:pt idx="11">
                  <c:v>298</c:v>
                </c:pt>
                <c:pt idx="12">
                  <c:v>153</c:v>
                </c:pt>
                <c:pt idx="13">
                  <c:v>200.16666666666666</c:v>
                </c:pt>
                <c:pt idx="14">
                  <c:v>211.8</c:v>
                </c:pt>
                <c:pt idx="15">
                  <c:v>211.33333333333334</c:v>
                </c:pt>
                <c:pt idx="16">
                  <c:v>232.25</c:v>
                </c:pt>
                <c:pt idx="17">
                  <c:v>200.25</c:v>
                </c:pt>
                <c:pt idx="18">
                  <c:v>225</c:v>
                </c:pt>
                <c:pt idx="19">
                  <c:v>172</c:v>
                </c:pt>
                <c:pt idx="20">
                  <c:v>186.83333333333334</c:v>
                </c:pt>
                <c:pt idx="21">
                  <c:v>199</c:v>
                </c:pt>
                <c:pt idx="22">
                  <c:v>153.28571428571428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031488"/>
        <c:axId val="122057856"/>
      </c:lineChart>
      <c:catAx>
        <c:axId val="12203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57856"/>
        <c:crosses val="autoZero"/>
        <c:auto val="1"/>
        <c:lblAlgn val="ctr"/>
        <c:lblOffset val="100"/>
      </c:catAx>
      <c:valAx>
        <c:axId val="1220578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3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912"/>
          <c:w val="0.14853578449138513"/>
          <c:h val="4.49826989619421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15.5</c:v>
                </c:pt>
                <c:pt idx="19">
                  <c:v>15.5</c:v>
                </c:pt>
                <c:pt idx="20">
                  <c:v>14</c:v>
                </c:pt>
                <c:pt idx="21">
                  <c:v>14.5</c:v>
                </c:pt>
                <c:pt idx="22">
                  <c:v>15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123392"/>
        <c:axId val="122124928"/>
      </c:lineChart>
      <c:catAx>
        <c:axId val="12212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24928"/>
        <c:crosses val="autoZero"/>
        <c:auto val="1"/>
        <c:lblAlgn val="ctr"/>
        <c:lblOffset val="100"/>
      </c:catAx>
      <c:valAx>
        <c:axId val="122124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2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6692"/>
          <c:y val="0.62975887529632912"/>
          <c:w val="0.12164948453608219"/>
          <c:h val="4.49826989619421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909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3.5799999999999272</c:v>
                </c:pt>
                <c:pt idx="10">
                  <c:v>3.8800000000010186</c:v>
                </c:pt>
                <c:pt idx="11">
                  <c:v>3.4899999999997817</c:v>
                </c:pt>
                <c:pt idx="12">
                  <c:v>3.8799999999991996</c:v>
                </c:pt>
                <c:pt idx="13">
                  <c:v>3</c:v>
                </c:pt>
                <c:pt idx="14">
                  <c:v>4.180000000000291</c:v>
                </c:pt>
                <c:pt idx="15">
                  <c:v>1.819999999999709</c:v>
                </c:pt>
                <c:pt idx="16">
                  <c:v>2.5900000000001455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420224"/>
        <c:axId val="122487552"/>
      </c:lineChart>
      <c:catAx>
        <c:axId val="12242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87552"/>
        <c:crosses val="autoZero"/>
        <c:auto val="1"/>
        <c:lblAlgn val="ctr"/>
        <c:lblOffset val="100"/>
      </c:catAx>
      <c:valAx>
        <c:axId val="1224875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2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4849</c:v>
                </c:pt>
                <c:pt idx="20">
                  <c:v>5410</c:v>
                </c:pt>
                <c:pt idx="21">
                  <c:v>5827</c:v>
                </c:pt>
                <c:pt idx="22">
                  <c:v>5767</c:v>
                </c:pt>
                <c:pt idx="23">
                  <c:v>5405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745216"/>
        <c:axId val="122746752"/>
      </c:lineChart>
      <c:catAx>
        <c:axId val="12274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46752"/>
        <c:crosses val="autoZero"/>
        <c:auto val="1"/>
        <c:lblAlgn val="ctr"/>
        <c:lblOffset val="100"/>
      </c:catAx>
      <c:valAx>
        <c:axId val="122746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4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772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2940032"/>
        <c:axId val="122945920"/>
      </c:lineChart>
      <c:catAx>
        <c:axId val="1229400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45920"/>
        <c:crosses val="autoZero"/>
        <c:auto val="1"/>
        <c:lblAlgn val="ctr"/>
        <c:lblOffset val="100"/>
      </c:catAx>
      <c:valAx>
        <c:axId val="1229459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4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88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100013</xdr:colOff>
      <xdr:row>37</xdr:row>
      <xdr:rowOff>188119</xdr:rowOff>
    </xdr:from>
    <xdr:to>
      <xdr:col>4</xdr:col>
      <xdr:colOff>547688</xdr:colOff>
      <xdr:row>38</xdr:row>
      <xdr:rowOff>188119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28888" y="779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FE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 refreshError="1"/>
      <sheetData sheetId="1" refreshError="1"/>
      <sheetData sheetId="2">
        <row r="33">
          <cell r="A33">
            <v>0.14779999999999999</v>
          </cell>
          <cell r="B33">
            <v>33.994</v>
          </cell>
          <cell r="E33">
            <v>1958</v>
          </cell>
          <cell r="G33">
            <v>1865.7999999998137</v>
          </cell>
          <cell r="I33">
            <v>1934</v>
          </cell>
          <cell r="J33">
            <v>28279902</v>
          </cell>
          <cell r="K33">
            <v>1240</v>
          </cell>
          <cell r="L33">
            <v>22645064</v>
          </cell>
          <cell r="M33">
            <v>3350</v>
          </cell>
          <cell r="N33">
            <v>10347.799999999814</v>
          </cell>
          <cell r="O33">
            <v>304.40077660763114</v>
          </cell>
          <cell r="P33">
            <v>15304.848</v>
          </cell>
          <cell r="Q33">
            <v>1953.9999999997235</v>
          </cell>
          <cell r="R33">
            <v>8393.8000000000902</v>
          </cell>
          <cell r="S33">
            <v>8371</v>
          </cell>
          <cell r="T33">
            <v>0</v>
          </cell>
          <cell r="U33">
            <v>1021630</v>
          </cell>
          <cell r="V33">
            <v>0</v>
          </cell>
          <cell r="W33">
            <v>31840</v>
          </cell>
          <cell r="X33">
            <v>0</v>
          </cell>
          <cell r="Y33">
            <v>623360</v>
          </cell>
          <cell r="Z33">
            <v>0</v>
          </cell>
          <cell r="AA33">
            <v>34877</v>
          </cell>
          <cell r="AB33">
            <v>0</v>
          </cell>
          <cell r="AC33">
            <v>740427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-49404726.200000003</v>
          </cell>
        </row>
      </sheetData>
      <sheetData sheetId="3">
        <row r="35">
          <cell r="B35">
            <v>242.4</v>
          </cell>
          <cell r="C35">
            <v>248</v>
          </cell>
          <cell r="D35">
            <v>5.0999999999999943</v>
          </cell>
          <cell r="E35">
            <v>42.737999999999957</v>
          </cell>
          <cell r="F35">
            <v>1365</v>
          </cell>
          <cell r="G35">
            <v>4</v>
          </cell>
          <cell r="H35">
            <v>335279</v>
          </cell>
          <cell r="I35">
            <v>270</v>
          </cell>
          <cell r="J35">
            <v>67.5</v>
          </cell>
          <cell r="K35">
            <v>1756</v>
          </cell>
          <cell r="L35">
            <v>0</v>
          </cell>
          <cell r="M35">
            <v>128091</v>
          </cell>
          <cell r="N35">
            <v>0</v>
          </cell>
          <cell r="O35">
            <v>0</v>
          </cell>
          <cell r="P35">
            <v>1590</v>
          </cell>
          <cell r="Q35">
            <v>136769</v>
          </cell>
          <cell r="R35">
            <v>223</v>
          </cell>
          <cell r="S35">
            <v>3</v>
          </cell>
          <cell r="T35">
            <v>0</v>
          </cell>
          <cell r="U35">
            <v>7</v>
          </cell>
          <cell r="V35">
            <v>493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1800</v>
          </cell>
          <cell r="AD35">
            <v>7</v>
          </cell>
          <cell r="AE35">
            <v>357647.9</v>
          </cell>
          <cell r="AF35">
            <v>384.90000000002328</v>
          </cell>
          <cell r="AG35">
            <v>54.985714285717613</v>
          </cell>
          <cell r="AH35">
            <v>384.90000000002328</v>
          </cell>
          <cell r="AI35">
            <v>877.90000000002328</v>
          </cell>
          <cell r="AJ35">
            <v>877.90000000002328</v>
          </cell>
          <cell r="AK35">
            <v>0</v>
          </cell>
          <cell r="AL35">
            <v>7</v>
          </cell>
          <cell r="AM35">
            <v>7</v>
          </cell>
          <cell r="AN35">
            <v>79</v>
          </cell>
          <cell r="AO35">
            <v>2370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7110</v>
          </cell>
          <cell r="AU35">
            <v>120</v>
          </cell>
          <cell r="AX35">
            <v>0.7</v>
          </cell>
        </row>
      </sheetData>
      <sheetData sheetId="4">
        <row r="36">
          <cell r="B36">
            <v>108441</v>
          </cell>
          <cell r="C36">
            <v>0</v>
          </cell>
          <cell r="D36">
            <v>0</v>
          </cell>
          <cell r="E36">
            <v>241.93548387096774</v>
          </cell>
          <cell r="G36">
            <v>589336</v>
          </cell>
          <cell r="H36">
            <v>0</v>
          </cell>
          <cell r="I36">
            <v>0</v>
          </cell>
          <cell r="J36">
            <v>0</v>
          </cell>
          <cell r="K36">
            <v>5899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4519</v>
          </cell>
          <cell r="U36">
            <v>3</v>
          </cell>
          <cell r="V36">
            <v>363</v>
          </cell>
          <cell r="W36">
            <v>1</v>
          </cell>
          <cell r="X36">
            <v>140367</v>
          </cell>
          <cell r="Y36">
            <v>0</v>
          </cell>
          <cell r="Z36">
            <v>91960</v>
          </cell>
          <cell r="AA36">
            <v>0</v>
          </cell>
          <cell r="AB36">
            <v>261</v>
          </cell>
          <cell r="AC36">
            <v>671</v>
          </cell>
          <cell r="AD36">
            <v>0</v>
          </cell>
          <cell r="AE36">
            <v>92.38</v>
          </cell>
          <cell r="AF36">
            <v>0.81000000000000227</v>
          </cell>
          <cell r="AG36">
            <v>1221.01</v>
          </cell>
          <cell r="AH36">
            <v>3.2000000000000455</v>
          </cell>
          <cell r="AI36">
            <v>4.0100000000000477</v>
          </cell>
          <cell r="AJ36">
            <v>0</v>
          </cell>
          <cell r="AK36">
            <v>-1</v>
          </cell>
          <cell r="AL36">
            <v>-1</v>
          </cell>
          <cell r="AM36">
            <v>15</v>
          </cell>
          <cell r="AN36">
            <v>0</v>
          </cell>
          <cell r="AP36">
            <v>210</v>
          </cell>
          <cell r="AR36">
            <v>43861</v>
          </cell>
          <cell r="AS36">
            <v>0.9</v>
          </cell>
          <cell r="AT36">
            <v>98</v>
          </cell>
          <cell r="AU36">
            <v>1.1000000000000001</v>
          </cell>
          <cell r="AV36">
            <v>134</v>
          </cell>
          <cell r="AW36">
            <v>2.9</v>
          </cell>
          <cell r="AX36">
            <v>129</v>
          </cell>
          <cell r="AY36">
            <v>88.2</v>
          </cell>
          <cell r="AZ36">
            <v>147.4</v>
          </cell>
          <cell r="BA36">
            <v>374.09999999999997</v>
          </cell>
          <cell r="BB36">
            <v>0</v>
          </cell>
          <cell r="BC36">
            <v>-22</v>
          </cell>
          <cell r="BD36">
            <v>-58</v>
          </cell>
          <cell r="BE36">
            <v>-80</v>
          </cell>
          <cell r="BF36">
            <v>80</v>
          </cell>
          <cell r="BG36">
            <v>-80</v>
          </cell>
        </row>
      </sheetData>
      <sheetData sheetId="5" refreshError="1"/>
      <sheetData sheetId="6">
        <row r="36">
          <cell r="B36">
            <v>17</v>
          </cell>
          <cell r="C36">
            <v>13</v>
          </cell>
          <cell r="D36">
            <v>15</v>
          </cell>
          <cell r="E36">
            <v>0.64</v>
          </cell>
          <cell r="F36">
            <v>0.14779999999999999</v>
          </cell>
          <cell r="G36">
            <v>33.994</v>
          </cell>
          <cell r="J36">
            <v>210</v>
          </cell>
          <cell r="K36">
            <v>210</v>
          </cell>
        </row>
      </sheetData>
      <sheetData sheetId="7">
        <row r="36">
          <cell r="B36">
            <v>242.4</v>
          </cell>
          <cell r="C36">
            <v>5215.5096774193553</v>
          </cell>
          <cell r="D36">
            <v>242.4</v>
          </cell>
          <cell r="E36">
            <v>5215.5096774193553</v>
          </cell>
          <cell r="F36">
            <v>242.4</v>
          </cell>
          <cell r="G36">
            <v>5215.5096774193553</v>
          </cell>
          <cell r="H36">
            <v>242.4</v>
          </cell>
          <cell r="I36">
            <v>5215.5096774193553</v>
          </cell>
          <cell r="J36">
            <v>242.4</v>
          </cell>
          <cell r="K36">
            <v>5215.5096774193553</v>
          </cell>
          <cell r="L36">
            <v>242.4</v>
          </cell>
          <cell r="M36">
            <v>5215.5096774193553</v>
          </cell>
          <cell r="N36">
            <v>242.4</v>
          </cell>
          <cell r="O36">
            <v>5215.5096774193553</v>
          </cell>
          <cell r="P36">
            <v>242.4</v>
          </cell>
          <cell r="Q36">
            <v>5215.5096774193553</v>
          </cell>
          <cell r="R36">
            <v>242.4</v>
          </cell>
          <cell r="S36">
            <v>5215.5096774193553</v>
          </cell>
          <cell r="T36">
            <v>242.4</v>
          </cell>
          <cell r="U36">
            <v>5215.5096774193553</v>
          </cell>
          <cell r="V36">
            <v>242.4</v>
          </cell>
          <cell r="W36">
            <v>5215.5096774193553</v>
          </cell>
          <cell r="X36">
            <v>0.78193548387096767</v>
          </cell>
          <cell r="Y36">
            <v>57370.606451612897</v>
          </cell>
          <cell r="Z36">
            <v>248</v>
          </cell>
          <cell r="AA36">
            <v>2480</v>
          </cell>
          <cell r="AB36">
            <v>248</v>
          </cell>
          <cell r="AC36">
            <v>2480</v>
          </cell>
          <cell r="AD36">
            <v>248</v>
          </cell>
          <cell r="AE36">
            <v>2480</v>
          </cell>
          <cell r="AF36">
            <v>248</v>
          </cell>
          <cell r="AG36">
            <v>2480</v>
          </cell>
          <cell r="AH36">
            <v>248</v>
          </cell>
          <cell r="AI36">
            <v>2480</v>
          </cell>
          <cell r="AJ36">
            <v>248</v>
          </cell>
          <cell r="AK36">
            <v>2480</v>
          </cell>
          <cell r="AL36">
            <v>248</v>
          </cell>
          <cell r="AM36">
            <v>2480</v>
          </cell>
          <cell r="AN36">
            <v>0.88571428571428568</v>
          </cell>
          <cell r="AO36">
            <v>17360</v>
          </cell>
          <cell r="AQ36">
            <v>0.80381420298604811</v>
          </cell>
          <cell r="AR36">
            <v>74730.606451612897</v>
          </cell>
          <cell r="AS36">
            <v>-1493.0516129032185</v>
          </cell>
          <cell r="AV36">
            <v>0.58350000000000002</v>
          </cell>
          <cell r="AW36">
            <v>-877.90000000002328</v>
          </cell>
          <cell r="AX36">
            <v>-615.1516129031952</v>
          </cell>
          <cell r="AY36">
            <v>-1493.0516129032185</v>
          </cell>
          <cell r="AZ36">
            <v>0.14779999999999999</v>
          </cell>
          <cell r="BA36">
            <v>15</v>
          </cell>
          <cell r="BB36">
            <v>0.64</v>
          </cell>
        </row>
      </sheetData>
      <sheetData sheetId="8">
        <row r="33">
          <cell r="B33">
            <v>8505</v>
          </cell>
          <cell r="C33">
            <v>0</v>
          </cell>
          <cell r="D33">
            <v>123672.5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237067.1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10915</v>
          </cell>
          <cell r="S33">
            <v>5</v>
          </cell>
          <cell r="T33">
            <v>183339</v>
          </cell>
          <cell r="U33">
            <v>1292.5</v>
          </cell>
          <cell r="V33">
            <v>258.5</v>
          </cell>
          <cell r="X33">
            <v>11169</v>
          </cell>
          <cell r="Y33" t="str">
            <v>ok</v>
          </cell>
          <cell r="Z33">
            <v>5</v>
          </cell>
          <cell r="AA33">
            <v>1292.5</v>
          </cell>
          <cell r="AB33">
            <v>258.5</v>
          </cell>
          <cell r="AC33">
            <v>258.5</v>
          </cell>
          <cell r="AD33">
            <v>1953.9999999997235</v>
          </cell>
          <cell r="AE33">
            <v>390.7999999999447</v>
          </cell>
          <cell r="AF33">
            <v>0.24424999999996544</v>
          </cell>
          <cell r="AG33">
            <v>78.159999999988941</v>
          </cell>
          <cell r="AH33">
            <v>180.34000000001106</v>
          </cell>
        </row>
      </sheetData>
      <sheetData sheetId="9" refreshError="1"/>
      <sheetData sheetId="10" refreshError="1"/>
      <sheetData sheetId="11" refreshError="1"/>
      <sheetData sheetId="12">
        <row r="12">
          <cell r="Y12">
            <v>0</v>
          </cell>
          <cell r="AB12">
            <v>0</v>
          </cell>
          <cell r="AC12">
            <v>0</v>
          </cell>
        </row>
        <row r="26">
          <cell r="V26">
            <v>17085395</v>
          </cell>
          <cell r="W26">
            <v>17141733</v>
          </cell>
          <cell r="X26" t="str">
            <v>Night</v>
          </cell>
          <cell r="Y26">
            <v>80</v>
          </cell>
          <cell r="Z26">
            <v>1</v>
          </cell>
          <cell r="AA26">
            <v>56338</v>
          </cell>
          <cell r="AB26">
            <v>4507040</v>
          </cell>
          <cell r="AC26">
            <v>1033333</v>
          </cell>
          <cell r="AD26">
            <v>0.36644746684358759</v>
          </cell>
        </row>
        <row r="27">
          <cell r="V27">
            <v>24270583</v>
          </cell>
          <cell r="W27">
            <v>24340859</v>
          </cell>
          <cell r="X27" t="str">
            <v>day</v>
          </cell>
          <cell r="Y27">
            <v>112</v>
          </cell>
          <cell r="Z27">
            <v>1</v>
          </cell>
          <cell r="AA27">
            <v>70276</v>
          </cell>
          <cell r="AB27">
            <v>7870912</v>
          </cell>
          <cell r="AC27">
            <v>6200000</v>
          </cell>
          <cell r="AD27">
            <v>0.45710643224644049</v>
          </cell>
        </row>
        <row r="28">
          <cell r="V28">
            <v>7917555</v>
          </cell>
          <cell r="W28">
            <v>7944681</v>
          </cell>
          <cell r="X28" t="str">
            <v>Peak</v>
          </cell>
          <cell r="Y28">
            <v>320</v>
          </cell>
          <cell r="Z28">
            <v>1</v>
          </cell>
          <cell r="AA28">
            <v>27126</v>
          </cell>
          <cell r="AB28">
            <v>8680320</v>
          </cell>
          <cell r="AC28">
            <v>1000</v>
          </cell>
          <cell r="AD28">
            <v>0.17643959646418328</v>
          </cell>
        </row>
        <row r="29">
          <cell r="AA29">
            <v>153740</v>
          </cell>
        </row>
        <row r="30">
          <cell r="V30" t="str">
            <v>Occ %</v>
          </cell>
          <cell r="W30">
            <v>0.17442580645161299</v>
          </cell>
          <cell r="Y30" t="str">
            <v>Per G</v>
          </cell>
          <cell r="AB30">
            <v>21058272</v>
          </cell>
          <cell r="AC30">
            <v>7234333</v>
          </cell>
        </row>
        <row r="31">
          <cell r="V31" t="str">
            <v>Gen RH</v>
          </cell>
          <cell r="W31">
            <v>151</v>
          </cell>
          <cell r="X31">
            <v>4.870967741935484</v>
          </cell>
          <cell r="Y31">
            <v>2.435483870967742</v>
          </cell>
          <cell r="AB31">
            <v>28292605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49427274</v>
          </cell>
          <cell r="C34">
            <v>4345</v>
          </cell>
          <cell r="D34">
            <v>4344</v>
          </cell>
          <cell r="E34">
            <v>49427273</v>
          </cell>
          <cell r="F34">
            <v>7944681</v>
          </cell>
          <cell r="G34">
            <v>890</v>
          </cell>
          <cell r="H34">
            <v>24340859</v>
          </cell>
          <cell r="I34">
            <v>2071</v>
          </cell>
          <cell r="J34">
            <v>17141733</v>
          </cell>
          <cell r="K34">
            <v>1383</v>
          </cell>
          <cell r="L34">
            <v>188.92205638474294</v>
          </cell>
          <cell r="M34">
            <v>153.86533996683249</v>
          </cell>
          <cell r="N34">
            <v>73.393034825870643</v>
          </cell>
          <cell r="O34">
            <v>154.80303857058792</v>
          </cell>
          <cell r="P34">
            <v>570.98346974803405</v>
          </cell>
          <cell r="Q34">
            <v>356.78793548385318</v>
          </cell>
          <cell r="R34">
            <v>927.77140523188723</v>
          </cell>
          <cell r="S34">
            <v>10347.799999999814</v>
          </cell>
          <cell r="T34">
            <v>8.9658807208479477E-2</v>
          </cell>
        </row>
        <row r="35">
          <cell r="AB35">
            <v>3112186.55</v>
          </cell>
        </row>
        <row r="36">
          <cell r="AB36">
            <v>31404791.550000001</v>
          </cell>
        </row>
      </sheetData>
      <sheetData sheetId="13" refreshError="1"/>
      <sheetData sheetId="14" refreshError="1"/>
      <sheetData sheetId="15" refreshError="1"/>
      <sheetData sheetId="16">
        <row r="36">
          <cell r="B36">
            <v>1.5</v>
          </cell>
          <cell r="C36">
            <v>7.8</v>
          </cell>
          <cell r="D36">
            <v>18</v>
          </cell>
          <cell r="E36">
            <v>1.5</v>
          </cell>
          <cell r="F36">
            <v>8</v>
          </cell>
          <cell r="G36">
            <v>17</v>
          </cell>
          <cell r="M36">
            <v>5898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I36">
            <v>0</v>
          </cell>
          <cell r="J36">
            <v>0.33333333333333398</v>
          </cell>
          <cell r="L36">
            <v>43830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68195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9">
          <cell r="AA29">
            <v>218283</v>
          </cell>
        </row>
      </sheetData>
      <sheetData sheetId="13" refreshError="1"/>
      <sheetData sheetId="14" refreshError="1"/>
      <sheetData sheetId="15">
        <row r="8">
          <cell r="C8">
            <v>65312</v>
          </cell>
        </row>
        <row r="13">
          <cell r="C13">
            <v>0</v>
          </cell>
        </row>
        <row r="14">
          <cell r="C14">
            <v>-155.6</v>
          </cell>
        </row>
        <row r="15">
          <cell r="C15">
            <v>14.785714285714286</v>
          </cell>
        </row>
        <row r="16">
          <cell r="C16">
            <v>0.58866785714285708</v>
          </cell>
        </row>
        <row r="17">
          <cell r="C17">
            <v>165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2">
          <cell r="C62">
            <v>0.35189999999999999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9">
          <cell r="B49">
            <v>0.10847741935483857</v>
          </cell>
        </row>
        <row r="60">
          <cell r="C60">
            <v>149.33333333333334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31" sqref="F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0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81" t="s">
        <v>355</v>
      </c>
      <c r="F1" s="281" t="s">
        <v>356</v>
      </c>
      <c r="G1" s="281" t="s">
        <v>357</v>
      </c>
      <c r="H1" s="281" t="s">
        <v>358</v>
      </c>
      <c r="I1" s="281" t="s">
        <v>359</v>
      </c>
      <c r="J1" s="281" t="s">
        <v>360</v>
      </c>
      <c r="K1" s="281" t="s">
        <v>361</v>
      </c>
      <c r="L1" s="322" t="s">
        <v>362</v>
      </c>
      <c r="M1" s="537" t="s">
        <v>403</v>
      </c>
      <c r="N1" s="538" t="s">
        <v>404</v>
      </c>
      <c r="O1" s="281" t="s">
        <v>346</v>
      </c>
    </row>
    <row r="2" spans="1:15">
      <c r="A2" t="s">
        <v>347</v>
      </c>
      <c r="B2">
        <v>1</v>
      </c>
      <c r="C2">
        <v>2</v>
      </c>
      <c r="D2">
        <v>2020</v>
      </c>
      <c r="E2" s="207">
        <f>ELEC!N3</f>
        <v>11338</v>
      </c>
      <c r="F2" s="346">
        <f>SUM('EDl log'!T4)</f>
        <v>0.10069059089122294</v>
      </c>
      <c r="G2" s="207">
        <f>-tanks!AW6</f>
        <v>530</v>
      </c>
      <c r="H2" s="346">
        <f>SUM(tanks!AV6)</f>
        <v>0.58350000000000002</v>
      </c>
      <c r="I2" s="10">
        <f>('B5'!AU5)*0.51</f>
        <v>45.9</v>
      </c>
      <c r="J2" s="326">
        <f>'B5'!AX5/0.51</f>
        <v>1.3725490196078429</v>
      </c>
      <c r="K2" s="207">
        <f>WATER!I6</f>
        <v>320</v>
      </c>
      <c r="L2" s="347">
        <f>SUM(WATER!J6)</f>
        <v>0.80818965517241392</v>
      </c>
      <c r="M2" s="347">
        <f>WATER!Q6</f>
        <v>0</v>
      </c>
      <c r="N2" s="539">
        <v>0.6</v>
      </c>
      <c r="O2" s="10">
        <f>ELEC!B3</f>
        <v>33.994</v>
      </c>
    </row>
    <row r="3" spans="1:15">
      <c r="A3" t="s">
        <v>347</v>
      </c>
      <c r="B3">
        <f>B2+1</f>
        <v>2</v>
      </c>
      <c r="C3">
        <v>2</v>
      </c>
      <c r="D3">
        <v>2020</v>
      </c>
      <c r="E3" s="207">
        <f>ELEC!N4</f>
        <v>13781</v>
      </c>
      <c r="F3" s="346">
        <f>SUM('EDl log'!T5)</f>
        <v>8.0473060095772417E-2</v>
      </c>
      <c r="G3" s="207">
        <f>-tanks!AW7</f>
        <v>606</v>
      </c>
      <c r="H3" s="346">
        <f>SUM(tanks!AV7)</f>
        <v>0.58350000000000002</v>
      </c>
      <c r="I3" s="10">
        <f>('B5'!AU6)*0.51</f>
        <v>107.10000000000001</v>
      </c>
      <c r="J3" s="326">
        <f>'B5'!AX6/0.51</f>
        <v>1.3725490196078429</v>
      </c>
      <c r="K3" s="207">
        <f>WATER!I7</f>
        <v>40</v>
      </c>
      <c r="L3" s="347">
        <f>SUM(WATER!J7)</f>
        <v>6.4655172413793114</v>
      </c>
      <c r="M3" s="347">
        <f>WATER!Q7</f>
        <v>0</v>
      </c>
      <c r="N3" s="539">
        <v>0.6</v>
      </c>
      <c r="O3" s="10">
        <f>ELEC!B4</f>
        <v>25.001000000000001</v>
      </c>
    </row>
    <row r="4" spans="1:15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ELEC!N5</f>
        <v>10327</v>
      </c>
      <c r="F4" s="346">
        <f>SUM('EDl log'!T6)</f>
        <v>9.9326823444565338E-2</v>
      </c>
      <c r="G4" s="207">
        <f>-tanks!AW8</f>
        <v>655</v>
      </c>
      <c r="H4" s="346">
        <f>SUM(tanks!AV8)</f>
        <v>0.58350000000000002</v>
      </c>
      <c r="I4" s="10">
        <f>('B5'!AU7)*0.51</f>
        <v>45.9</v>
      </c>
      <c r="J4" s="326">
        <f>'B5'!AX7/0.51</f>
        <v>1.3725490196078429</v>
      </c>
      <c r="K4" s="207">
        <f>WATER!I8</f>
        <v>118</v>
      </c>
      <c r="L4" s="347">
        <f>SUM(WATER!J8)</f>
        <v>2.191700759789597</v>
      </c>
      <c r="M4" s="347">
        <f>WATER!Q8</f>
        <v>0</v>
      </c>
      <c r="N4" s="539">
        <v>0.6</v>
      </c>
      <c r="O4" s="10">
        <f>ELEC!B5</f>
        <v>27.002000000000002</v>
      </c>
    </row>
    <row r="5" spans="1:15">
      <c r="A5" t="s">
        <v>347</v>
      </c>
      <c r="B5">
        <f t="shared" si="0"/>
        <v>4</v>
      </c>
      <c r="C5">
        <v>2</v>
      </c>
      <c r="D5">
        <v>2020</v>
      </c>
      <c r="E5" s="207">
        <f>ELEC!N6</f>
        <v>12214</v>
      </c>
      <c r="F5" s="346">
        <f>SUM('EDl log'!T7)</f>
        <v>8.006476310701538E-2</v>
      </c>
      <c r="G5" s="207">
        <f>-tanks!AW9</f>
        <v>1137.6999999999971</v>
      </c>
      <c r="H5" s="346">
        <f>SUM(tanks!AV9)</f>
        <v>0.58350000000000002</v>
      </c>
      <c r="I5" s="10">
        <f>('B5'!AU8)*0.51</f>
        <v>91.8</v>
      </c>
      <c r="J5" s="326">
        <f>'B5'!AX8/0.51</f>
        <v>1.3725490196078429</v>
      </c>
      <c r="K5" s="207">
        <f>WATER!I9</f>
        <v>0</v>
      </c>
      <c r="L5" s="347">
        <f>SUM(WATER!J9)</f>
        <v>0</v>
      </c>
      <c r="M5" s="347">
        <f>WATER!Q9</f>
        <v>0</v>
      </c>
      <c r="N5" s="539">
        <v>0.6</v>
      </c>
      <c r="O5" s="10">
        <f>ELEC!B6</f>
        <v>27.002000000000002</v>
      </c>
    </row>
    <row r="6" spans="1:15">
      <c r="A6" t="s">
        <v>347</v>
      </c>
      <c r="B6">
        <f t="shared" si="0"/>
        <v>5</v>
      </c>
      <c r="C6">
        <v>2</v>
      </c>
      <c r="D6">
        <v>2020</v>
      </c>
      <c r="E6" s="207">
        <f>ELEC!N7</f>
        <v>13334</v>
      </c>
      <c r="F6" s="346">
        <f>SUM('EDl log'!T8)</f>
        <v>8.9794305218236406E-2</v>
      </c>
      <c r="G6" s="207">
        <f>-tanks!AW10</f>
        <v>617</v>
      </c>
      <c r="H6" s="346">
        <f>SUM(tanks!AV10)</f>
        <v>0.58350000000000002</v>
      </c>
      <c r="I6" s="10">
        <f>('B5'!AU9)*0.51</f>
        <v>91.8</v>
      </c>
      <c r="J6" s="326">
        <f>'B5'!AX9/0.51</f>
        <v>1.3725490196078429</v>
      </c>
      <c r="K6" s="207">
        <f>WATER!I10</f>
        <v>311</v>
      </c>
      <c r="L6" s="347">
        <f>SUM(WATER!J10)</f>
        <v>0.83157778024171203</v>
      </c>
      <c r="M6" s="347">
        <f>WATER!Q10</f>
        <v>0</v>
      </c>
      <c r="N6" s="539">
        <v>0.6</v>
      </c>
      <c r="O6" s="10">
        <f>ELEC!B7</f>
        <v>33.994</v>
      </c>
    </row>
    <row r="7" spans="1:15">
      <c r="A7" t="s">
        <v>347</v>
      </c>
      <c r="B7">
        <f t="shared" si="0"/>
        <v>6</v>
      </c>
      <c r="C7">
        <v>2</v>
      </c>
      <c r="D7">
        <v>2020</v>
      </c>
      <c r="E7" s="207">
        <f>ELEC!N8</f>
        <v>11008</v>
      </c>
      <c r="F7" s="346">
        <f>SUM('EDl log'!T9)</f>
        <v>9.1261956526133448E-2</v>
      </c>
      <c r="G7" s="207">
        <f>-tanks!AW11</f>
        <v>453</v>
      </c>
      <c r="H7" s="346">
        <f>SUM(tanks!AV11)</f>
        <v>0.58350000000000002</v>
      </c>
      <c r="I7" s="10">
        <f>('B5'!AU10)*0.51</f>
        <v>163.19999999999999</v>
      </c>
      <c r="J7" s="326">
        <f>'B5'!AX10/0.51</f>
        <v>1.3725490196078429</v>
      </c>
      <c r="K7" s="207">
        <f>WATER!I11</f>
        <v>0</v>
      </c>
      <c r="L7" s="347">
        <f>SUM(WATER!J11)</f>
        <v>0</v>
      </c>
      <c r="M7" s="347">
        <f>WATER!Q11</f>
        <v>0</v>
      </c>
      <c r="N7" s="539">
        <v>0.6</v>
      </c>
      <c r="O7" s="10">
        <f>ELEC!B8</f>
        <v>46</v>
      </c>
    </row>
    <row r="8" spans="1:15">
      <c r="A8" t="s">
        <v>347</v>
      </c>
      <c r="B8">
        <f t="shared" si="0"/>
        <v>7</v>
      </c>
      <c r="C8">
        <v>2</v>
      </c>
      <c r="D8">
        <v>2020</v>
      </c>
      <c r="E8" s="207">
        <f>ELEC!N9</f>
        <v>12629</v>
      </c>
      <c r="F8" s="346">
        <f>SUM('EDl log'!T10)</f>
        <v>1.2386307700613376E-2</v>
      </c>
      <c r="G8" s="207">
        <f>-tanks!AW12</f>
        <v>906.90000000000873</v>
      </c>
      <c r="H8" s="346">
        <f>SUM(tanks!AV12)</f>
        <v>0.54</v>
      </c>
      <c r="I8" s="10">
        <f>('B5'!AU11)*0.51</f>
        <v>61.2</v>
      </c>
      <c r="J8" s="326">
        <f>'B5'!AX11/0.51</f>
        <v>1.3725490196078429</v>
      </c>
      <c r="K8" s="207">
        <f>WATER!I12</f>
        <v>334</v>
      </c>
      <c r="L8" s="347">
        <f>SUM(WATER!J12)</f>
        <v>0.77431344208135466</v>
      </c>
      <c r="M8" s="347">
        <f>WATER!Q12</f>
        <v>0</v>
      </c>
      <c r="N8" s="539">
        <v>0.6</v>
      </c>
      <c r="O8" s="10">
        <f>ELEC!B9</f>
        <v>45.011000000000003</v>
      </c>
    </row>
    <row r="9" spans="1:15">
      <c r="A9" t="s">
        <v>347</v>
      </c>
      <c r="B9">
        <f t="shared" si="0"/>
        <v>8</v>
      </c>
      <c r="C9">
        <v>2</v>
      </c>
      <c r="D9">
        <v>2020</v>
      </c>
      <c r="E9" s="207">
        <f>ELEC!N10</f>
        <v>12830</v>
      </c>
      <c r="F9" s="346">
        <f>SUM('EDl log'!T11)</f>
        <v>8.2024837462028044E-2</v>
      </c>
      <c r="G9" s="207">
        <f>-tanks!AW13</f>
        <v>669.79999999998836</v>
      </c>
      <c r="H9" s="346">
        <f>SUM(tanks!AV13)</f>
        <v>0.54</v>
      </c>
      <c r="I9" s="10">
        <f>('B5'!AU12)*0.51</f>
        <v>45.9</v>
      </c>
      <c r="J9" s="326">
        <f>'B5'!AX12/0.51</f>
        <v>1.3725490196078429</v>
      </c>
      <c r="K9" s="207">
        <f>WATER!I13</f>
        <v>0</v>
      </c>
      <c r="L9" s="347">
        <f>SUM(WATER!J13)</f>
        <v>0</v>
      </c>
      <c r="M9" s="347">
        <f>WATER!Q13</f>
        <v>0</v>
      </c>
      <c r="N9" s="539">
        <v>0.6</v>
      </c>
      <c r="O9" s="10">
        <f>ELEC!B10</f>
        <v>31.970000000000002</v>
      </c>
    </row>
    <row r="10" spans="1:15">
      <c r="A10" t="s">
        <v>347</v>
      </c>
      <c r="B10">
        <f t="shared" si="0"/>
        <v>9</v>
      </c>
      <c r="C10">
        <v>2</v>
      </c>
      <c r="D10">
        <v>2020</v>
      </c>
      <c r="E10" s="207">
        <f>ELEC!N11</f>
        <v>10890</v>
      </c>
      <c r="F10" s="346">
        <f>SUM('EDl log'!T12)</f>
        <v>9.4138035874542947E-2</v>
      </c>
      <c r="G10" s="207">
        <f>-tanks!AW14</f>
        <v>828</v>
      </c>
      <c r="H10" s="346">
        <f>SUM(tanks!AV14)</f>
        <v>0.54</v>
      </c>
      <c r="I10" s="10">
        <f>('B5'!AU13)*0.51</f>
        <v>137.69999999999999</v>
      </c>
      <c r="J10" s="326">
        <f>'B5'!AX13/0.51</f>
        <v>1.3725490196078429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9">
        <v>0.6</v>
      </c>
      <c r="O10" s="10">
        <f>ELEC!B11</f>
        <v>35.006</v>
      </c>
    </row>
    <row r="11" spans="1:15">
      <c r="A11" t="s">
        <v>347</v>
      </c>
      <c r="B11">
        <f t="shared" si="0"/>
        <v>10</v>
      </c>
      <c r="C11">
        <v>2</v>
      </c>
      <c r="D11">
        <v>2020</v>
      </c>
      <c r="E11" s="207">
        <f>ELEC!N12</f>
        <v>10518</v>
      </c>
      <c r="F11" s="346">
        <f>SUM('EDl log'!T13)</f>
        <v>9.3357235093754432E-2</v>
      </c>
      <c r="G11" s="207">
        <f>-tanks!AW15</f>
        <v>1098.5999999999767</v>
      </c>
      <c r="H11" s="346">
        <f>SUM(tanks!AV15)</f>
        <v>0.54</v>
      </c>
      <c r="I11" s="10">
        <f>('B5'!AU14)*0.51</f>
        <v>137.69999999999999</v>
      </c>
      <c r="J11" s="326">
        <f>'B5'!AX14/0.51</f>
        <v>1.3725490196078429</v>
      </c>
      <c r="K11" s="207">
        <f>WATER!I15</f>
        <v>324</v>
      </c>
      <c r="L11" s="347">
        <f>SUM(WATER!J15)</f>
        <v>0.79821200510855694</v>
      </c>
      <c r="M11" s="347">
        <f>WATER!Q15</f>
        <v>0</v>
      </c>
      <c r="N11" s="539">
        <v>0.6</v>
      </c>
      <c r="O11" s="10">
        <f>ELEC!B12</f>
        <v>37.006999999999998</v>
      </c>
    </row>
    <row r="12" spans="1:15">
      <c r="A12" t="s">
        <v>347</v>
      </c>
      <c r="B12">
        <f t="shared" si="0"/>
        <v>11</v>
      </c>
      <c r="C12">
        <v>2</v>
      </c>
      <c r="D12">
        <v>2020</v>
      </c>
      <c r="E12" s="207">
        <f>ELEC!N13</f>
        <v>10923</v>
      </c>
      <c r="F12" s="346">
        <f>SUM('EDl log'!T14)</f>
        <v>7.2704071015084235E-2</v>
      </c>
      <c r="G12" s="207">
        <f>-tanks!AW16</f>
        <v>1468.1000000000349</v>
      </c>
      <c r="H12" s="346">
        <f>SUM(tanks!AV16)</f>
        <v>0.54</v>
      </c>
      <c r="I12" s="10">
        <f>('B5'!AU15)*0.51</f>
        <v>45.9</v>
      </c>
      <c r="J12" s="326">
        <f>'B5'!AX15/0.51</f>
        <v>1.3725490196078429</v>
      </c>
      <c r="K12" s="207">
        <f>WATER!I16</f>
        <v>141</v>
      </c>
      <c r="L12" s="347">
        <f>SUM(WATER!J16)</f>
        <v>1.8341892883345563</v>
      </c>
      <c r="M12" s="347">
        <f>WATER!Q16</f>
        <v>0</v>
      </c>
      <c r="N12" s="539">
        <v>0.6</v>
      </c>
      <c r="O12" s="10">
        <f>ELEC!B13</f>
        <v>33.994</v>
      </c>
    </row>
    <row r="13" spans="1:15">
      <c r="A13" t="s">
        <v>347</v>
      </c>
      <c r="B13">
        <f t="shared" si="0"/>
        <v>12</v>
      </c>
      <c r="C13">
        <v>2</v>
      </c>
      <c r="D13">
        <v>2020</v>
      </c>
      <c r="E13" s="207">
        <f>ELEC!N14</f>
        <v>11363.399999999907</v>
      </c>
      <c r="F13" s="346">
        <f>SUM('EDl log'!T15)</f>
        <v>0.10545805272222243</v>
      </c>
      <c r="G13" s="207">
        <f>-tanks!AW17</f>
        <v>880</v>
      </c>
      <c r="H13" s="346">
        <f>SUM(tanks!AV17)</f>
        <v>0.54</v>
      </c>
      <c r="I13" s="10">
        <f>('B5'!AU16)*0.51</f>
        <v>61.2</v>
      </c>
      <c r="J13" s="326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9">
        <v>0.6</v>
      </c>
      <c r="O13" s="10">
        <f>ELEC!B14</f>
        <v>46.989000000000004</v>
      </c>
    </row>
    <row r="14" spans="1:15">
      <c r="A14" t="s">
        <v>347</v>
      </c>
      <c r="B14">
        <f t="shared" si="0"/>
        <v>13</v>
      </c>
      <c r="C14">
        <v>2</v>
      </c>
      <c r="D14">
        <v>2020</v>
      </c>
      <c r="E14" s="207">
        <f>ELEC!N15</f>
        <v>11590.600000000093</v>
      </c>
      <c r="F14" s="346">
        <f>SUM('EDl log'!T16)</f>
        <v>7.1227715769590541E-2</v>
      </c>
      <c r="G14" s="207">
        <f>-tanks!AW18</f>
        <v>735</v>
      </c>
      <c r="H14" s="346">
        <f>SUM(tanks!AV18)</f>
        <v>0.54</v>
      </c>
      <c r="I14" s="10">
        <f>('B5'!AU17)*0.51</f>
        <v>193.8</v>
      </c>
      <c r="J14" s="326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9">
        <v>0.6</v>
      </c>
      <c r="O14" s="10">
        <f>ELEC!B15</f>
        <v>79.994</v>
      </c>
    </row>
    <row r="15" spans="1:15">
      <c r="A15" t="s">
        <v>347</v>
      </c>
      <c r="B15">
        <f t="shared" si="0"/>
        <v>14</v>
      </c>
      <c r="C15">
        <v>2</v>
      </c>
      <c r="D15">
        <v>2020</v>
      </c>
      <c r="E15" s="207">
        <f>ELEC!N16</f>
        <v>13973</v>
      </c>
      <c r="F15" s="346">
        <f>SUM('EDl log'!T17)</f>
        <v>7.4047004212971793E-2</v>
      </c>
      <c r="G15" s="207">
        <f>-tanks!AW19</f>
        <v>1187.1000000000058</v>
      </c>
      <c r="H15" s="346">
        <f>SUM(tanks!AV19)</f>
        <v>0.54</v>
      </c>
      <c r="I15" s="10">
        <f>('B5'!AU18)*0.51</f>
        <v>61.2</v>
      </c>
      <c r="J15" s="326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39">
        <v>0.6</v>
      </c>
      <c r="O15" s="10">
        <f>ELEC!B16</f>
        <v>87.998000000000005</v>
      </c>
    </row>
    <row r="16" spans="1:15">
      <c r="A16" t="s">
        <v>347</v>
      </c>
      <c r="B16">
        <f t="shared" si="0"/>
        <v>15</v>
      </c>
      <c r="C16">
        <v>2</v>
      </c>
      <c r="D16">
        <v>2020</v>
      </c>
      <c r="E16" s="207">
        <f>ELEC!N17</f>
        <v>13170.799999999814</v>
      </c>
      <c r="F16" s="346">
        <f>SUM('EDl log'!T18)</f>
        <v>0.10429772488848169</v>
      </c>
      <c r="G16" s="207">
        <f>-tanks!AW20</f>
        <v>746</v>
      </c>
      <c r="H16" s="346">
        <f>SUM(tanks!AV20)</f>
        <v>0.54</v>
      </c>
      <c r="I16" s="10">
        <f>('B5'!AU19)*0.51</f>
        <v>61.2</v>
      </c>
      <c r="J16" s="326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9">
        <v>0.6</v>
      </c>
      <c r="O16" s="10">
        <f>ELEC!B17</f>
        <v>56.81</v>
      </c>
    </row>
    <row r="17" spans="1:15">
      <c r="A17" t="s">
        <v>347</v>
      </c>
      <c r="B17">
        <f t="shared" si="0"/>
        <v>16</v>
      </c>
      <c r="C17">
        <v>2</v>
      </c>
      <c r="D17">
        <v>2020</v>
      </c>
      <c r="E17" s="207">
        <f>ELEC!N18</f>
        <v>13465.200000000186</v>
      </c>
      <c r="F17" s="346">
        <f>SUM('EDl log'!T19)</f>
        <v>7.5722509795489959E-2</v>
      </c>
      <c r="G17" s="207">
        <f>-tanks!AW21</f>
        <v>644</v>
      </c>
      <c r="H17" s="346">
        <f>SUM(tanks!AV21)</f>
        <v>0.54</v>
      </c>
      <c r="I17" s="10">
        <f>('B5'!AU20)*0.51</f>
        <v>91.8</v>
      </c>
      <c r="J17" s="326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9">
        <v>0.6</v>
      </c>
      <c r="O17" s="10">
        <f>ELEC!B18</f>
        <v>39.008000000000003</v>
      </c>
    </row>
    <row r="18" spans="1:15">
      <c r="A18" t="s">
        <v>347</v>
      </c>
      <c r="B18">
        <f t="shared" si="0"/>
        <v>17</v>
      </c>
      <c r="C18">
        <v>2</v>
      </c>
      <c r="D18">
        <v>2020</v>
      </c>
      <c r="E18" s="207">
        <f>ELEC!N19</f>
        <v>13492</v>
      </c>
      <c r="F18" s="346">
        <f>SUM('EDl log'!T20)</f>
        <v>7.3722044315439578E-2</v>
      </c>
      <c r="G18" s="207">
        <f>-tanks!AW22</f>
        <v>630</v>
      </c>
      <c r="H18" s="346">
        <f>SUM(tanks!AV22)</f>
        <v>0.54</v>
      </c>
      <c r="I18" s="10">
        <f>('B5'!AU21)*0.51</f>
        <v>137.69999999999999</v>
      </c>
      <c r="J18" s="326">
        <f>'B5'!AX21/0.51</f>
        <v>1.3725490196078429</v>
      </c>
      <c r="K18" s="207">
        <f>WATER!I22</f>
        <v>239</v>
      </c>
      <c r="L18" s="347">
        <f>SUM(WATER!J22)</f>
        <v>1.3043543500216421</v>
      </c>
      <c r="M18" s="347">
        <f>WATER!Q22</f>
        <v>0</v>
      </c>
      <c r="N18" s="539">
        <v>0.6</v>
      </c>
      <c r="O18" s="10">
        <f>ELEC!B19</f>
        <v>52.991999999999997</v>
      </c>
    </row>
    <row r="19" spans="1:15">
      <c r="A19" t="s">
        <v>347</v>
      </c>
      <c r="B19">
        <f t="shared" si="0"/>
        <v>18</v>
      </c>
      <c r="C19">
        <v>2</v>
      </c>
      <c r="D19">
        <v>2020</v>
      </c>
      <c r="E19" s="207">
        <f>ELEC!N20</f>
        <v>11885</v>
      </c>
      <c r="F19" s="346">
        <f>SUM('EDl log'!T21)</f>
        <v>-1.6200575815377805E-2</v>
      </c>
      <c r="G19" s="207">
        <f>-tanks!AW23</f>
        <v>1122</v>
      </c>
      <c r="H19" s="346">
        <f>SUM(tanks!AV23)</f>
        <v>0.51649999999999996</v>
      </c>
      <c r="I19" s="10">
        <f>('B5'!AU22)*0.51</f>
        <v>76.5</v>
      </c>
      <c r="J19" s="326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9">
        <v>0.6</v>
      </c>
      <c r="O19" s="10">
        <f>ELEC!B20</f>
        <v>54.004000000000005</v>
      </c>
    </row>
    <row r="20" spans="1:15">
      <c r="A20" t="s">
        <v>347</v>
      </c>
      <c r="B20">
        <f t="shared" si="0"/>
        <v>19</v>
      </c>
      <c r="C20">
        <v>2</v>
      </c>
      <c r="D20">
        <v>2020</v>
      </c>
      <c r="E20" s="207">
        <f>ELEC!N21</f>
        <v>12076</v>
      </c>
      <c r="F20" s="346">
        <f>SUM('EDl log'!T22)</f>
        <v>0.10955628687017145</v>
      </c>
      <c r="G20" s="207">
        <f>-tanks!AW24</f>
        <v>499</v>
      </c>
      <c r="H20" s="346">
        <f>SUM(tanks!AV24)</f>
        <v>0.51649999999999996</v>
      </c>
      <c r="I20" s="10">
        <f>('B5'!AU23)*0.51</f>
        <v>91.8</v>
      </c>
      <c r="J20" s="326">
        <f>'B5'!AX23/0.51</f>
        <v>1.3725490196078429</v>
      </c>
      <c r="K20" s="207">
        <f>WATER!I24</f>
        <v>113</v>
      </c>
      <c r="L20" s="347">
        <f>SUM(WATER!J24)</f>
        <v>2.2886786695148005</v>
      </c>
      <c r="M20" s="347">
        <f>WATER!Q24</f>
        <v>0</v>
      </c>
      <c r="N20" s="539">
        <v>0.6</v>
      </c>
      <c r="O20" s="10">
        <f>ELEC!B21</f>
        <v>52.991999999999997</v>
      </c>
    </row>
    <row r="21" spans="1:15">
      <c r="A21" t="s">
        <v>347</v>
      </c>
      <c r="B21">
        <f t="shared" si="0"/>
        <v>20</v>
      </c>
      <c r="C21">
        <v>2</v>
      </c>
      <c r="D21">
        <v>2020</v>
      </c>
      <c r="E21" s="207">
        <f>ELEC!N22</f>
        <v>12383</v>
      </c>
      <c r="F21" s="346">
        <f>SUM('EDl log'!T23)</f>
        <v>7.7384718018913237E-2</v>
      </c>
      <c r="G21" s="207">
        <f>-tanks!AW25</f>
        <v>541</v>
      </c>
      <c r="H21" s="346">
        <f>SUM(tanks!AV25)</f>
        <v>0.51649999999999996</v>
      </c>
      <c r="I21" s="10">
        <f>('B5'!AU24)*0.51</f>
        <v>209.1</v>
      </c>
      <c r="J21" s="326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9">
        <v>0.6</v>
      </c>
      <c r="O21" s="10">
        <f>ELEC!B22</f>
        <v>52.003</v>
      </c>
    </row>
    <row r="22" spans="1:15">
      <c r="A22" t="s">
        <v>347</v>
      </c>
      <c r="B22">
        <f t="shared" si="0"/>
        <v>21</v>
      </c>
      <c r="C22">
        <v>2</v>
      </c>
      <c r="D22">
        <v>2020</v>
      </c>
      <c r="E22" s="207">
        <f>ELEC!N23</f>
        <v>13537</v>
      </c>
      <c r="F22" s="346">
        <f>SUM('EDl log'!T24)</f>
        <v>5.6806427057005136E-2</v>
      </c>
      <c r="G22" s="207">
        <f>-tanks!AW26</f>
        <v>1044.2999999999884</v>
      </c>
      <c r="H22" s="346">
        <f>SUM(tanks!AV26)</f>
        <v>0.51649999999999996</v>
      </c>
      <c r="I22" s="10">
        <f>('B5'!AU25)*0.51</f>
        <v>15.3</v>
      </c>
      <c r="J22" s="326">
        <f>'B5'!AX25/0.51</f>
        <v>1.3725490196078429</v>
      </c>
      <c r="K22" s="207">
        <f>WATER!I26</f>
        <v>124</v>
      </c>
      <c r="L22" s="347">
        <f>SUM(WATER!J26)</f>
        <v>2.0856507230255841</v>
      </c>
      <c r="M22" s="347">
        <f>WATER!Q26</f>
        <v>0</v>
      </c>
      <c r="N22" s="539">
        <v>0.6</v>
      </c>
      <c r="O22" s="10">
        <f>ELEC!B23</f>
        <v>56.994</v>
      </c>
    </row>
    <row r="23" spans="1:15">
      <c r="A23" t="s">
        <v>347</v>
      </c>
      <c r="B23">
        <f t="shared" si="0"/>
        <v>22</v>
      </c>
      <c r="C23">
        <v>2</v>
      </c>
      <c r="D23">
        <v>2020</v>
      </c>
      <c r="E23" s="207">
        <f>ELEC!N24</f>
        <v>13772</v>
      </c>
      <c r="F23" s="346">
        <f>SUM('EDl log'!T25)</f>
        <v>0.10847173074215939</v>
      </c>
      <c r="G23" s="207">
        <f>-tanks!AW27</f>
        <v>748</v>
      </c>
      <c r="H23" s="346">
        <f>SUM(tanks!AV27)</f>
        <v>0.51649999999999996</v>
      </c>
      <c r="I23" s="10">
        <f>('B5'!AU26)*0.51</f>
        <v>61.2</v>
      </c>
      <c r="J23" s="326">
        <f>'B5'!AX26/0.51</f>
        <v>1.3725490196078429</v>
      </c>
      <c r="K23" s="207">
        <f>WATER!I27</f>
        <v>23</v>
      </c>
      <c r="L23" s="347">
        <f>SUM(WATER!J27)</f>
        <v>11.244377811094454</v>
      </c>
      <c r="M23" s="347">
        <f>WATER!Q27</f>
        <v>0</v>
      </c>
      <c r="N23" s="539">
        <v>0.6</v>
      </c>
      <c r="O23" s="10">
        <f>ELEC!B24</f>
        <v>41.998000000000005</v>
      </c>
    </row>
    <row r="24" spans="1:15">
      <c r="A24" t="s">
        <v>347</v>
      </c>
      <c r="B24">
        <f t="shared" si="0"/>
        <v>23</v>
      </c>
      <c r="C24">
        <v>2</v>
      </c>
      <c r="D24">
        <v>2020</v>
      </c>
      <c r="E24" s="207">
        <f>ELEC!N25</f>
        <v>14299</v>
      </c>
      <c r="F24" s="346">
        <f>SUM('EDl log'!T26)</f>
        <v>8.9334864185974458E-2</v>
      </c>
      <c r="G24" s="207">
        <f>-tanks!AW28</f>
        <v>677.29999999998836</v>
      </c>
      <c r="H24" s="346">
        <f>SUM(tanks!AV28)</f>
        <v>0.51649999999999996</v>
      </c>
      <c r="I24" s="10">
        <f>('B5'!AU27)*0.51</f>
        <v>107.10000000000001</v>
      </c>
      <c r="J24" s="326">
        <f>'B5'!AX27/0.51</f>
        <v>1.3725490196078429</v>
      </c>
      <c r="K24" s="207">
        <f>WATER!I28</f>
        <v>323</v>
      </c>
      <c r="L24" s="347">
        <f>SUM(WATER!J28)</f>
        <v>0.80068324970641624</v>
      </c>
      <c r="M24" s="347">
        <f>WATER!Q28</f>
        <v>0</v>
      </c>
      <c r="N24" s="539">
        <v>0.6</v>
      </c>
      <c r="O24" s="10">
        <f>ELEC!B25</f>
        <v>31.993000000000002</v>
      </c>
    </row>
    <row r="25" spans="1:15">
      <c r="A25" t="s">
        <v>347</v>
      </c>
      <c r="B25">
        <f t="shared" si="0"/>
        <v>24</v>
      </c>
      <c r="C25">
        <v>2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0.51649999999999996</v>
      </c>
      <c r="I25" s="10">
        <f>('B5'!AU28)*0.51</f>
        <v>0</v>
      </c>
      <c r="J25" s="326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9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2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0.51649999999999996</v>
      </c>
      <c r="I26" s="10">
        <f>('B5'!AU29)*0.51</f>
        <v>0</v>
      </c>
      <c r="J26" s="326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9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2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0.51649999999999996</v>
      </c>
      <c r="I27" s="10">
        <f>('B5'!AU30)*0.51</f>
        <v>0</v>
      </c>
      <c r="J27" s="326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9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2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0.51649999999999996</v>
      </c>
      <c r="I28" s="10">
        <f>('B5'!AU31)*0.51</f>
        <v>0</v>
      </c>
      <c r="J28" s="326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9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2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0.51649999999999996</v>
      </c>
      <c r="I29" s="10">
        <f>('B5'!AU32)*0.51</f>
        <v>0</v>
      </c>
      <c r="J29" s="326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9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2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0.51649999999999996</v>
      </c>
      <c r="I30" s="10">
        <f>('B5'!AU33)*0.51</f>
        <v>0</v>
      </c>
      <c r="J30" s="326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9">
        <v>0.6</v>
      </c>
      <c r="O30" s="10">
        <f>ELEC!B31</f>
        <v>0</v>
      </c>
    </row>
    <row r="31" spans="1:15">
      <c r="A31" t="s">
        <v>347</v>
      </c>
      <c r="E31" s="207">
        <f>ELEC!N32</f>
        <v>0</v>
      </c>
      <c r="F31" s="346"/>
      <c r="G31" s="207"/>
      <c r="H31" s="346"/>
      <c r="I31" s="10"/>
      <c r="J31" s="326"/>
      <c r="K31" s="207"/>
      <c r="L31" s="347"/>
      <c r="M31" s="347"/>
      <c r="N31" s="539"/>
      <c r="O31" s="10"/>
    </row>
    <row r="32" spans="1:15">
      <c r="A32" t="s">
        <v>347</v>
      </c>
      <c r="E32" s="207">
        <f>ELEC!N33</f>
        <v>0</v>
      </c>
      <c r="F32" s="346"/>
      <c r="G32" s="207"/>
      <c r="H32" s="346"/>
      <c r="I32" s="10"/>
      <c r="J32" s="326"/>
      <c r="K32" s="207"/>
      <c r="L32" s="347"/>
      <c r="M32" s="347"/>
      <c r="N32" s="53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A16" sqref="A1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81" t="s">
        <v>346</v>
      </c>
    </row>
    <row r="2" spans="1:13">
      <c r="A2" t="s">
        <v>347</v>
      </c>
      <c r="B2">
        <v>1</v>
      </c>
      <c r="C2">
        <v>2</v>
      </c>
      <c r="D2">
        <v>2020</v>
      </c>
      <c r="E2" s="207">
        <f>ELEC!M3</f>
        <v>3520</v>
      </c>
      <c r="F2" s="207">
        <f>ELEC!K3</f>
        <v>1372</v>
      </c>
      <c r="G2" s="207">
        <f>ELEC!I3</f>
        <v>1962</v>
      </c>
      <c r="H2" s="207">
        <f>ELEC!E3</f>
        <v>2503</v>
      </c>
      <c r="I2" s="207">
        <f>ELEC!G3</f>
        <v>1981</v>
      </c>
      <c r="J2" s="207">
        <f>WATER!Y6</f>
        <v>168</v>
      </c>
      <c r="K2" s="207">
        <f>WATER!AJ6</f>
        <v>58</v>
      </c>
      <c r="L2" s="10">
        <f>ELEC!B3</f>
        <v>33.994</v>
      </c>
      <c r="M2" s="10"/>
    </row>
    <row r="3" spans="1:13">
      <c r="A3" t="s">
        <v>347</v>
      </c>
      <c r="B3">
        <f>B2+1</f>
        <v>2</v>
      </c>
      <c r="C3">
        <v>2</v>
      </c>
      <c r="D3">
        <v>2020</v>
      </c>
      <c r="E3" s="207">
        <f>ELEC!M4</f>
        <v>4766</v>
      </c>
      <c r="F3" s="207">
        <f>ELEC!K4</f>
        <v>1798</v>
      </c>
      <c r="G3" s="207">
        <f>ELEC!I4</f>
        <v>2192</v>
      </c>
      <c r="H3" s="207">
        <f>ELEC!E4</f>
        <v>2791</v>
      </c>
      <c r="I3" s="207">
        <f>ELEC!G4</f>
        <v>2234</v>
      </c>
      <c r="J3" s="207">
        <f>WATER!Y7</f>
        <v>0</v>
      </c>
      <c r="K3" s="207">
        <f>WATER!AJ7</f>
        <v>0</v>
      </c>
      <c r="L3" s="10">
        <f>ELEC!B4</f>
        <v>25.001000000000001</v>
      </c>
      <c r="M3" s="10"/>
    </row>
    <row r="4" spans="1:13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ELEC!M5</f>
        <v>3236</v>
      </c>
      <c r="F4" s="207">
        <f>ELEC!K5</f>
        <v>1446</v>
      </c>
      <c r="G4" s="207">
        <f>ELEC!I5</f>
        <v>1588</v>
      </c>
      <c r="H4" s="207">
        <f>ELEC!E5</f>
        <v>2364</v>
      </c>
      <c r="I4" s="207">
        <f>ELEC!G5</f>
        <v>1693</v>
      </c>
      <c r="J4" s="207">
        <f>WATER!Y8</f>
        <v>24</v>
      </c>
      <c r="K4" s="207">
        <f>WATER!AJ8</f>
        <v>43</v>
      </c>
      <c r="L4" s="10">
        <f>ELEC!B5</f>
        <v>27.002000000000002</v>
      </c>
      <c r="M4" s="10"/>
    </row>
    <row r="5" spans="1:13">
      <c r="A5" t="s">
        <v>347</v>
      </c>
      <c r="B5">
        <f t="shared" si="0"/>
        <v>4</v>
      </c>
      <c r="C5">
        <v>2</v>
      </c>
      <c r="D5">
        <v>2020</v>
      </c>
      <c r="E5" s="207">
        <f>ELEC!M6</f>
        <v>3902</v>
      </c>
      <c r="F5" s="207">
        <f>ELEC!K6</f>
        <v>1680</v>
      </c>
      <c r="G5" s="207">
        <f>ELEC!I6</f>
        <v>1948</v>
      </c>
      <c r="H5" s="207">
        <f>ELEC!E6</f>
        <v>2740</v>
      </c>
      <c r="I5" s="207">
        <f>ELEC!G6</f>
        <v>1944</v>
      </c>
      <c r="J5" s="207">
        <f>WATER!Y9</f>
        <v>2</v>
      </c>
      <c r="K5" s="207">
        <f>WATER!AJ9</f>
        <v>2</v>
      </c>
      <c r="L5" s="10">
        <f>ELEC!B6</f>
        <v>27.002000000000002</v>
      </c>
      <c r="M5" s="10"/>
    </row>
    <row r="6" spans="1:13">
      <c r="A6" t="s">
        <v>347</v>
      </c>
      <c r="B6">
        <f t="shared" si="0"/>
        <v>5</v>
      </c>
      <c r="C6">
        <v>2</v>
      </c>
      <c r="D6">
        <v>2020</v>
      </c>
      <c r="E6" s="207">
        <f>ELEC!M7</f>
        <v>4024</v>
      </c>
      <c r="F6" s="207">
        <f>ELEC!K7</f>
        <v>2528</v>
      </c>
      <c r="G6" s="207">
        <f>ELEC!I7</f>
        <v>1964</v>
      </c>
      <c r="H6" s="207">
        <f>ELEC!E7</f>
        <v>2836</v>
      </c>
      <c r="I6" s="207">
        <f>ELEC!G7</f>
        <v>1982</v>
      </c>
      <c r="J6" s="207">
        <f>WATER!Y10</f>
        <v>118</v>
      </c>
      <c r="K6" s="207">
        <f>WATER!AJ10</f>
        <v>79</v>
      </c>
      <c r="L6" s="10">
        <f>ELEC!B7</f>
        <v>33.994</v>
      </c>
      <c r="M6" s="10"/>
    </row>
    <row r="7" spans="1:13">
      <c r="A7" t="s">
        <v>347</v>
      </c>
      <c r="B7">
        <f t="shared" si="0"/>
        <v>6</v>
      </c>
      <c r="C7">
        <v>2</v>
      </c>
      <c r="D7">
        <v>2020</v>
      </c>
      <c r="E7" s="207">
        <f>ELEC!M8</f>
        <v>3578</v>
      </c>
      <c r="F7" s="207">
        <f>ELEC!K8</f>
        <v>1468</v>
      </c>
      <c r="G7" s="207">
        <f>ELEC!I8</f>
        <v>1744</v>
      </c>
      <c r="H7" s="207">
        <f>ELEC!E8</f>
        <v>2352</v>
      </c>
      <c r="I7" s="207">
        <f>ELEC!G8</f>
        <v>1866</v>
      </c>
      <c r="J7" s="207">
        <f>WATER!Y11</f>
        <v>101</v>
      </c>
      <c r="K7" s="207">
        <f>WATER!AJ11</f>
        <v>42</v>
      </c>
      <c r="L7" s="10">
        <f>ELEC!B8</f>
        <v>46</v>
      </c>
      <c r="M7" s="10"/>
    </row>
    <row r="8" spans="1:13">
      <c r="A8" t="s">
        <v>347</v>
      </c>
      <c r="B8">
        <f t="shared" si="0"/>
        <v>7</v>
      </c>
      <c r="C8">
        <v>2</v>
      </c>
      <c r="D8">
        <v>2020</v>
      </c>
      <c r="E8" s="207">
        <f>ELEC!M9</f>
        <v>4492</v>
      </c>
      <c r="F8" s="207">
        <f>ELEC!K9</f>
        <v>1532</v>
      </c>
      <c r="G8" s="207">
        <f>ELEC!I9</f>
        <v>1972</v>
      </c>
      <c r="H8" s="207">
        <f>ELEC!E9</f>
        <v>2488</v>
      </c>
      <c r="I8" s="207">
        <f>ELEC!G9</f>
        <v>2145</v>
      </c>
      <c r="J8" s="207">
        <f>WATER!Y12</f>
        <v>46</v>
      </c>
      <c r="K8" s="207">
        <f>WATER!AJ12</f>
        <v>67</v>
      </c>
      <c r="L8" s="10">
        <f>ELEC!B9</f>
        <v>45.011000000000003</v>
      </c>
      <c r="M8" s="10"/>
    </row>
    <row r="9" spans="1:13">
      <c r="A9" t="s">
        <v>347</v>
      </c>
      <c r="B9">
        <f t="shared" si="0"/>
        <v>8</v>
      </c>
      <c r="C9">
        <v>2</v>
      </c>
      <c r="D9">
        <v>2020</v>
      </c>
      <c r="E9" s="207">
        <f>ELEC!M10</f>
        <v>4476</v>
      </c>
      <c r="F9" s="207">
        <f>ELEC!K10</f>
        <v>1540</v>
      </c>
      <c r="G9" s="207">
        <f>ELEC!I10</f>
        <v>1836</v>
      </c>
      <c r="H9" s="207">
        <f>ELEC!E10</f>
        <v>2884</v>
      </c>
      <c r="I9" s="207">
        <f>ELEC!G10</f>
        <v>2094</v>
      </c>
      <c r="J9" s="207">
        <f>WATER!Y13</f>
        <v>0</v>
      </c>
      <c r="K9" s="207">
        <f>WATER!AJ13</f>
        <v>0</v>
      </c>
      <c r="L9" s="10">
        <f>ELEC!B10</f>
        <v>31.970000000000002</v>
      </c>
      <c r="M9" s="10"/>
    </row>
    <row r="10" spans="1:13">
      <c r="A10" t="s">
        <v>347</v>
      </c>
      <c r="B10">
        <f t="shared" si="0"/>
        <v>9</v>
      </c>
      <c r="C10">
        <v>2</v>
      </c>
      <c r="D10">
        <v>2020</v>
      </c>
      <c r="E10" s="207">
        <f>ELEC!M11</f>
        <v>3672</v>
      </c>
      <c r="F10" s="207">
        <f>ELEC!K11</f>
        <v>1226</v>
      </c>
      <c r="G10" s="207">
        <f>ELEC!I11</f>
        <v>1668</v>
      </c>
      <c r="H10" s="207">
        <f>ELEC!E11</f>
        <v>1838</v>
      </c>
      <c r="I10" s="207">
        <f>ELEC!G11</f>
        <v>2486</v>
      </c>
      <c r="J10" s="207">
        <f>WATER!Y14</f>
        <v>121</v>
      </c>
      <c r="K10" s="207">
        <f>WATER!AJ14</f>
        <v>99</v>
      </c>
      <c r="L10" s="10">
        <f>ELEC!B11</f>
        <v>35.006</v>
      </c>
      <c r="M10" s="10"/>
    </row>
    <row r="11" spans="1:13">
      <c r="A11" t="s">
        <v>347</v>
      </c>
      <c r="B11">
        <f t="shared" si="0"/>
        <v>10</v>
      </c>
      <c r="C11">
        <v>2</v>
      </c>
      <c r="D11">
        <v>2020</v>
      </c>
      <c r="E11" s="207">
        <f>ELEC!M12</f>
        <v>4204</v>
      </c>
      <c r="F11" s="207">
        <f>ELEC!K12</f>
        <v>1442</v>
      </c>
      <c r="G11" s="207">
        <f>ELEC!I12</f>
        <v>1990</v>
      </c>
      <c r="H11" s="207">
        <f>ELEC!E12</f>
        <v>1626</v>
      </c>
      <c r="I11" s="207">
        <f>ELEC!G12</f>
        <v>1256</v>
      </c>
      <c r="J11" s="207">
        <f>WATER!Y15</f>
        <v>0</v>
      </c>
      <c r="K11" s="207">
        <f>WATER!AJ15</f>
        <v>0</v>
      </c>
      <c r="L11" s="10">
        <f>ELEC!B12</f>
        <v>37.006999999999998</v>
      </c>
      <c r="M11" s="10"/>
    </row>
    <row r="12" spans="1:13">
      <c r="A12" t="s">
        <v>347</v>
      </c>
      <c r="B12">
        <f t="shared" si="0"/>
        <v>11</v>
      </c>
      <c r="C12">
        <v>2</v>
      </c>
      <c r="D12">
        <v>2020</v>
      </c>
      <c r="E12" s="207">
        <f>ELEC!M13</f>
        <v>3388</v>
      </c>
      <c r="F12" s="207">
        <f>ELEC!K13</f>
        <v>1748</v>
      </c>
      <c r="G12" s="207">
        <f>ELEC!I13</f>
        <v>2082</v>
      </c>
      <c r="H12" s="207">
        <f>ELEC!E13</f>
        <v>1812</v>
      </c>
      <c r="I12" s="207">
        <f>ELEC!G13</f>
        <v>1893</v>
      </c>
      <c r="J12" s="207">
        <f>WATER!Y16</f>
        <v>3</v>
      </c>
      <c r="K12" s="207">
        <f>WATER!AJ16</f>
        <v>1</v>
      </c>
      <c r="L12" s="10">
        <f>ELEC!B13</f>
        <v>33.994</v>
      </c>
      <c r="M12" s="10"/>
    </row>
    <row r="13" spans="1:13">
      <c r="A13" t="s">
        <v>347</v>
      </c>
      <c r="B13">
        <f t="shared" si="0"/>
        <v>12</v>
      </c>
      <c r="C13">
        <v>2</v>
      </c>
      <c r="D13">
        <v>2020</v>
      </c>
      <c r="E13" s="207">
        <f>ELEC!M14</f>
        <v>3704</v>
      </c>
      <c r="F13" s="207">
        <f>ELEC!K14</f>
        <v>1416</v>
      </c>
      <c r="G13" s="207">
        <f>ELEC!I14</f>
        <v>2220</v>
      </c>
      <c r="H13" s="207">
        <f>ELEC!E14</f>
        <v>2052</v>
      </c>
      <c r="I13" s="207">
        <f>ELEC!G14</f>
        <v>1971.3999999999069</v>
      </c>
      <c r="J13" s="207">
        <f>WATER!Y17</f>
        <v>0</v>
      </c>
      <c r="K13" s="207">
        <f>WATER!AJ17</f>
        <v>0</v>
      </c>
      <c r="L13" s="10">
        <f>ELEC!B14</f>
        <v>46.989000000000004</v>
      </c>
      <c r="M13" s="10"/>
    </row>
    <row r="14" spans="1:13">
      <c r="A14" t="s">
        <v>347</v>
      </c>
      <c r="B14">
        <f t="shared" si="0"/>
        <v>13</v>
      </c>
      <c r="C14">
        <v>2</v>
      </c>
      <c r="D14">
        <v>2020</v>
      </c>
      <c r="E14" s="207">
        <f>ELEC!M15</f>
        <v>3592</v>
      </c>
      <c r="F14" s="207">
        <f>ELEC!K15</f>
        <v>1374</v>
      </c>
      <c r="G14" s="207">
        <f>ELEC!I15</f>
        <v>2192</v>
      </c>
      <c r="H14" s="207">
        <f>ELEC!E15</f>
        <v>2308</v>
      </c>
      <c r="I14" s="207">
        <f>ELEC!G15</f>
        <v>2124.6000000000931</v>
      </c>
      <c r="J14" s="207">
        <f>WATER!Y18</f>
        <v>0</v>
      </c>
      <c r="K14" s="207">
        <f>WATER!AJ18</f>
        <v>0</v>
      </c>
      <c r="L14" s="10">
        <f>ELEC!B15</f>
        <v>79.994</v>
      </c>
      <c r="M14" s="10"/>
    </row>
    <row r="15" spans="1:13">
      <c r="A15" t="s">
        <v>347</v>
      </c>
      <c r="B15">
        <f t="shared" si="0"/>
        <v>14</v>
      </c>
      <c r="C15">
        <v>2</v>
      </c>
      <c r="D15">
        <v>2020</v>
      </c>
      <c r="E15" s="207">
        <f>ELEC!M16</f>
        <v>4056</v>
      </c>
      <c r="F15" s="207">
        <f>ELEC!K16</f>
        <v>1578</v>
      </c>
      <c r="G15" s="207">
        <f>ELEC!I16</f>
        <v>2234</v>
      </c>
      <c r="H15" s="207">
        <f>ELEC!E16</f>
        <v>3860</v>
      </c>
      <c r="I15" s="207">
        <f>ELEC!G16</f>
        <v>2245</v>
      </c>
      <c r="J15" s="207">
        <f>WATER!Y19</f>
        <v>0</v>
      </c>
      <c r="K15" s="207">
        <f>WATER!AJ19</f>
        <v>1</v>
      </c>
      <c r="L15" s="10">
        <f>ELEC!B16</f>
        <v>87.998000000000005</v>
      </c>
      <c r="M15" s="10"/>
    </row>
    <row r="16" spans="1:13">
      <c r="A16" t="s">
        <v>347</v>
      </c>
      <c r="B16">
        <f t="shared" si="0"/>
        <v>15</v>
      </c>
      <c r="C16">
        <v>2</v>
      </c>
      <c r="D16">
        <v>2020</v>
      </c>
      <c r="E16" s="207">
        <f>ELEC!M17</f>
        <v>3616</v>
      </c>
      <c r="F16" s="207">
        <f>ELEC!K17</f>
        <v>1516</v>
      </c>
      <c r="G16" s="207">
        <f>ELEC!I17</f>
        <v>2274</v>
      </c>
      <c r="H16" s="207">
        <f>ELEC!E17</f>
        <v>3528</v>
      </c>
      <c r="I16" s="207">
        <f>ELEC!G17</f>
        <v>2236.7999999998137</v>
      </c>
      <c r="J16" s="207">
        <f>WATER!Y20</f>
        <v>0</v>
      </c>
      <c r="K16" s="207">
        <f>WATER!AJ20</f>
        <v>0</v>
      </c>
      <c r="L16" s="10">
        <f>ELEC!B17</f>
        <v>56.81</v>
      </c>
      <c r="M16" s="10"/>
    </row>
    <row r="17" spans="1:13">
      <c r="A17" t="s">
        <v>347</v>
      </c>
      <c r="B17">
        <f t="shared" si="0"/>
        <v>16</v>
      </c>
      <c r="C17">
        <v>2</v>
      </c>
      <c r="D17">
        <v>2020</v>
      </c>
      <c r="E17" s="207">
        <f>ELEC!M18</f>
        <v>3744</v>
      </c>
      <c r="F17" s="207">
        <f>ELEC!K18</f>
        <v>1526</v>
      </c>
      <c r="G17" s="207">
        <f>ELEC!I18</f>
        <v>2320</v>
      </c>
      <c r="H17" s="207">
        <f>ELEC!E18</f>
        <v>3588</v>
      </c>
      <c r="I17" s="207">
        <f>ELEC!G18</f>
        <v>2287.2000000001863</v>
      </c>
      <c r="J17" s="207">
        <f>WATER!Y21</f>
        <v>0</v>
      </c>
      <c r="K17" s="207">
        <f>WATER!AJ21</f>
        <v>65</v>
      </c>
      <c r="L17" s="10">
        <f>ELEC!B18</f>
        <v>39.008000000000003</v>
      </c>
      <c r="M17" s="10"/>
    </row>
    <row r="18" spans="1:13">
      <c r="A18" t="s">
        <v>347</v>
      </c>
      <c r="B18">
        <f t="shared" si="0"/>
        <v>17</v>
      </c>
      <c r="C18">
        <v>2</v>
      </c>
      <c r="D18">
        <v>2020</v>
      </c>
      <c r="E18" s="207">
        <f>ELEC!M19</f>
        <v>3420</v>
      </c>
      <c r="F18" s="207">
        <f>ELEC!K19</f>
        <v>1524</v>
      </c>
      <c r="G18" s="207">
        <f>ELEC!I19</f>
        <v>2180</v>
      </c>
      <c r="H18" s="207">
        <f>ELEC!E19</f>
        <v>4264</v>
      </c>
      <c r="I18" s="207">
        <f>ELEC!G19</f>
        <v>2104</v>
      </c>
      <c r="J18" s="207">
        <f>WATER!Y22</f>
        <v>0</v>
      </c>
      <c r="K18" s="207">
        <f>WATER!AJ22</f>
        <v>35</v>
      </c>
      <c r="L18" s="10">
        <f>ELEC!B19</f>
        <v>52.991999999999997</v>
      </c>
      <c r="M18" s="10"/>
    </row>
    <row r="19" spans="1:13">
      <c r="A19" t="s">
        <v>347</v>
      </c>
      <c r="B19">
        <f t="shared" si="0"/>
        <v>18</v>
      </c>
      <c r="C19">
        <v>2</v>
      </c>
      <c r="D19">
        <v>2020</v>
      </c>
      <c r="E19" s="207">
        <f>ELEC!M20</f>
        <v>3136</v>
      </c>
      <c r="F19" s="207">
        <f>ELEC!K20</f>
        <v>1412</v>
      </c>
      <c r="G19" s="207">
        <f>ELEC!I20</f>
        <v>1968</v>
      </c>
      <c r="H19" s="207">
        <f>ELEC!E20</f>
        <v>3422</v>
      </c>
      <c r="I19" s="207">
        <f>ELEC!G20</f>
        <v>1947</v>
      </c>
      <c r="J19" s="207">
        <f>WATER!Y23</f>
        <v>0</v>
      </c>
      <c r="K19" s="207">
        <f>WATER!AJ23</f>
        <v>34</v>
      </c>
      <c r="L19" s="10">
        <f>ELEC!B20</f>
        <v>54.004000000000005</v>
      </c>
      <c r="M19" s="10"/>
    </row>
    <row r="20" spans="1:13">
      <c r="A20" t="s">
        <v>347</v>
      </c>
      <c r="B20">
        <f t="shared" si="0"/>
        <v>19</v>
      </c>
      <c r="C20">
        <v>2</v>
      </c>
      <c r="D20">
        <v>2020</v>
      </c>
      <c r="E20" s="207">
        <f>ELEC!M21</f>
        <v>3368</v>
      </c>
      <c r="F20" s="207">
        <f>ELEC!K21</f>
        <v>1442</v>
      </c>
      <c r="G20" s="207">
        <f>ELEC!I21</f>
        <v>2150</v>
      </c>
      <c r="H20" s="207">
        <f>ELEC!E21</f>
        <v>3102</v>
      </c>
      <c r="I20" s="207">
        <f>ELEC!G21</f>
        <v>2014</v>
      </c>
      <c r="J20" s="207">
        <f>WATER!Y24</f>
        <v>0</v>
      </c>
      <c r="K20" s="207">
        <f>WATER!AJ24</f>
        <v>75</v>
      </c>
      <c r="L20" s="10">
        <f>ELEC!B21</f>
        <v>52.991999999999997</v>
      </c>
      <c r="M20" s="10"/>
    </row>
    <row r="21" spans="1:13">
      <c r="A21" t="s">
        <v>347</v>
      </c>
      <c r="B21">
        <f t="shared" si="0"/>
        <v>20</v>
      </c>
      <c r="C21">
        <v>2</v>
      </c>
      <c r="D21">
        <v>2020</v>
      </c>
      <c r="E21" s="207">
        <f>ELEC!M22</f>
        <v>3248</v>
      </c>
      <c r="F21" s="207">
        <f>ELEC!K22</f>
        <v>1456</v>
      </c>
      <c r="G21" s="207">
        <f>ELEC!I22</f>
        <v>1994</v>
      </c>
      <c r="H21" s="207">
        <f>ELEC!E22</f>
        <v>3680</v>
      </c>
      <c r="I21" s="207">
        <f>ELEC!G22</f>
        <v>2005</v>
      </c>
      <c r="J21" s="207">
        <f>WATER!Y25</f>
        <v>0</v>
      </c>
      <c r="K21" s="207">
        <f>WATER!AJ25</f>
        <v>2</v>
      </c>
      <c r="L21" s="10">
        <f>ELEC!B22</f>
        <v>52.003</v>
      </c>
      <c r="M21" s="10"/>
    </row>
    <row r="22" spans="1:13">
      <c r="A22" t="s">
        <v>347</v>
      </c>
      <c r="B22">
        <f t="shared" si="0"/>
        <v>21</v>
      </c>
      <c r="C22">
        <v>2</v>
      </c>
      <c r="D22">
        <v>2020</v>
      </c>
      <c r="E22" s="207">
        <f>ELEC!M23</f>
        <v>3356</v>
      </c>
      <c r="F22" s="207">
        <f>ELEC!K23</f>
        <v>1669</v>
      </c>
      <c r="G22" s="207">
        <f>ELEC!I23</f>
        <v>2044</v>
      </c>
      <c r="H22" s="207">
        <f>ELEC!E23</f>
        <v>4448</v>
      </c>
      <c r="I22" s="207">
        <f>ELEC!G23</f>
        <v>2020</v>
      </c>
      <c r="J22" s="207">
        <f>WATER!Y26</f>
        <v>0</v>
      </c>
      <c r="K22" s="207">
        <f>WATER!AJ26</f>
        <v>55</v>
      </c>
      <c r="L22" s="10">
        <f>ELEC!B23</f>
        <v>56.994</v>
      </c>
      <c r="M22" s="10"/>
    </row>
    <row r="23" spans="1:13">
      <c r="A23" t="s">
        <v>347</v>
      </c>
      <c r="B23">
        <f t="shared" si="0"/>
        <v>22</v>
      </c>
      <c r="C23">
        <v>2</v>
      </c>
      <c r="D23">
        <v>2020</v>
      </c>
      <c r="E23" s="207">
        <f>ELEC!M24</f>
        <v>3564</v>
      </c>
      <c r="F23" s="207">
        <f>ELEC!K24</f>
        <v>1679</v>
      </c>
      <c r="G23" s="207">
        <f>ELEC!I24</f>
        <v>2140</v>
      </c>
      <c r="H23" s="207">
        <f>ELEC!E24</f>
        <v>4288</v>
      </c>
      <c r="I23" s="207">
        <f>ELEC!G24</f>
        <v>2101</v>
      </c>
      <c r="J23" s="207">
        <f>WATER!Y27</f>
        <v>69</v>
      </c>
      <c r="K23" s="207">
        <f>WATER!AJ27</f>
        <v>33</v>
      </c>
      <c r="L23" s="10">
        <f>ELEC!B24</f>
        <v>41.998000000000005</v>
      </c>
      <c r="M23" s="10"/>
    </row>
    <row r="24" spans="1:13">
      <c r="A24" t="s">
        <v>347</v>
      </c>
      <c r="B24">
        <f t="shared" si="0"/>
        <v>23</v>
      </c>
      <c r="C24">
        <v>2</v>
      </c>
      <c r="D24">
        <v>2020</v>
      </c>
      <c r="E24" s="207">
        <f>ELEC!M25</f>
        <v>3586</v>
      </c>
      <c r="F24" s="207">
        <f>ELEC!K25</f>
        <v>1740</v>
      </c>
      <c r="G24" s="207">
        <f>ELEC!I25</f>
        <v>2264</v>
      </c>
      <c r="H24" s="207">
        <f>ELEC!E25</f>
        <v>4520</v>
      </c>
      <c r="I24" s="207">
        <f>ELEC!G25</f>
        <v>2189</v>
      </c>
      <c r="J24" s="207">
        <f>WATER!Y28</f>
        <v>93</v>
      </c>
      <c r="K24" s="207">
        <f>WATER!AJ28</f>
        <v>66</v>
      </c>
      <c r="L24" s="10">
        <f>ELEC!B25</f>
        <v>31.993000000000002</v>
      </c>
      <c r="M24" s="10"/>
    </row>
    <row r="25" spans="1:13">
      <c r="A25" t="s">
        <v>347</v>
      </c>
      <c r="B25">
        <f t="shared" si="0"/>
        <v>24</v>
      </c>
      <c r="C25">
        <v>2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2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2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2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2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2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347</v>
      </c>
      <c r="E31" s="207"/>
      <c r="F31" s="207"/>
      <c r="G31" s="207"/>
      <c r="H31" s="207"/>
      <c r="I31" s="207"/>
      <c r="J31" s="207"/>
      <c r="K31" s="207"/>
      <c r="L31" s="10"/>
      <c r="M31" s="10"/>
    </row>
    <row r="32" spans="1:13">
      <c r="A32" t="s">
        <v>347</v>
      </c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R1" zoomScaleNormal="100" zoomScaleSheetLayoutView="100" workbookViewId="0">
      <pane ySplit="1" topLeftCell="A5" activePane="bottomLeft" state="frozen"/>
      <selection activeCell="C1" sqref="C1"/>
      <selection pane="bottomLeft" activeCell="AG25" sqref="AG25"/>
    </sheetView>
  </sheetViews>
  <sheetFormatPr defaultRowHeight="15"/>
  <cols>
    <col min="1" max="1" width="7.7109375" style="497" bestFit="1" customWidth="1"/>
    <col min="2" max="2" width="10.28515625" style="506" bestFit="1" customWidth="1"/>
    <col min="3" max="3" width="11.5703125" style="497" customWidth="1"/>
    <col min="4" max="4" width="18" style="507" bestFit="1" customWidth="1"/>
    <col min="5" max="5" width="14.42578125" style="507" bestFit="1" customWidth="1"/>
    <col min="6" max="6" width="15.28515625" style="507" bestFit="1" customWidth="1"/>
    <col min="7" max="7" width="12" style="507" bestFit="1" customWidth="1"/>
    <col min="8" max="8" width="18" style="507" bestFit="1" customWidth="1"/>
    <col min="9" max="9" width="13" style="507" bestFit="1" customWidth="1"/>
    <col min="10" max="10" width="18" style="507" bestFit="1" customWidth="1"/>
    <col min="11" max="11" width="11.7109375" style="507" bestFit="1" customWidth="1"/>
    <col min="12" max="12" width="18" style="507" bestFit="1" customWidth="1"/>
    <col min="13" max="13" width="12" style="507" bestFit="1" customWidth="1"/>
    <col min="14" max="14" width="15.42578125" style="497" bestFit="1" customWidth="1"/>
    <col min="15" max="15" width="13.140625" style="508" bestFit="1" customWidth="1"/>
    <col min="16" max="16" width="14.28515625" style="497" bestFit="1" customWidth="1"/>
    <col min="17" max="17" width="13.7109375" style="497" bestFit="1" customWidth="1"/>
    <col min="18" max="18" width="12.42578125" style="497" bestFit="1" customWidth="1"/>
    <col min="19" max="21" width="11.5703125" style="497" bestFit="1" customWidth="1"/>
    <col min="22" max="22" width="13.140625" style="497" bestFit="1" customWidth="1"/>
    <col min="23" max="25" width="11.5703125" style="497" bestFit="1" customWidth="1"/>
    <col min="26" max="26" width="13.140625" style="497" bestFit="1" customWidth="1"/>
    <col min="27" max="29" width="11.5703125" style="497" bestFit="1" customWidth="1"/>
    <col min="30" max="30" width="13.140625" style="497" bestFit="1" customWidth="1"/>
    <col min="31" max="32" width="11.5703125" style="497" bestFit="1" customWidth="1"/>
    <col min="33" max="33" width="14.42578125" style="497" bestFit="1" customWidth="1"/>
    <col min="34" max="34" width="9.140625" style="497"/>
    <col min="35" max="35" width="9.7109375" style="497" bestFit="1" customWidth="1"/>
    <col min="36" max="16384" width="9.140625" style="497"/>
  </cols>
  <sheetData>
    <row r="1" spans="1:115" s="481" customFormat="1" ht="18.75" customHeight="1">
      <c r="A1" s="481" t="s">
        <v>19</v>
      </c>
      <c r="B1" s="482" t="s">
        <v>155</v>
      </c>
      <c r="C1" s="483"/>
      <c r="D1" s="484" t="s">
        <v>20</v>
      </c>
      <c r="E1" s="484" t="s">
        <v>21</v>
      </c>
      <c r="F1" s="484" t="s">
        <v>22</v>
      </c>
      <c r="G1" s="484" t="s">
        <v>23</v>
      </c>
      <c r="H1" s="484" t="s">
        <v>24</v>
      </c>
      <c r="I1" s="484" t="s">
        <v>25</v>
      </c>
      <c r="J1" s="484" t="s">
        <v>26</v>
      </c>
      <c r="K1" s="484" t="s">
        <v>27</v>
      </c>
      <c r="L1" s="484" t="s">
        <v>28</v>
      </c>
      <c r="M1" s="484" t="s">
        <v>29</v>
      </c>
      <c r="N1" s="485" t="s">
        <v>30</v>
      </c>
      <c r="O1" s="486" t="s">
        <v>156</v>
      </c>
      <c r="P1" s="487" t="s">
        <v>328</v>
      </c>
      <c r="Q1" s="485" t="s">
        <v>31</v>
      </c>
      <c r="R1" s="485" t="s">
        <v>32</v>
      </c>
      <c r="S1" s="485" t="s">
        <v>363</v>
      </c>
      <c r="T1" s="485" t="s">
        <v>33</v>
      </c>
      <c r="U1" s="485" t="s">
        <v>34</v>
      </c>
      <c r="V1" s="485" t="s">
        <v>35</v>
      </c>
      <c r="W1" s="485" t="s">
        <v>36</v>
      </c>
      <c r="X1" s="485" t="s">
        <v>33</v>
      </c>
      <c r="Y1" s="485" t="s">
        <v>37</v>
      </c>
      <c r="Z1" s="485" t="s">
        <v>38</v>
      </c>
      <c r="AA1" s="485" t="s">
        <v>39</v>
      </c>
      <c r="AB1" s="485" t="s">
        <v>33</v>
      </c>
      <c r="AC1" s="485" t="s">
        <v>77</v>
      </c>
      <c r="AD1" s="485" t="s">
        <v>40</v>
      </c>
      <c r="AE1" s="485" t="s">
        <v>41</v>
      </c>
      <c r="AF1" s="485" t="s">
        <v>42</v>
      </c>
      <c r="AG1" s="481" t="s">
        <v>132</v>
      </c>
    </row>
    <row r="2" spans="1:115" s="480" customFormat="1">
      <c r="A2" s="543">
        <f>[1]ELEC!$A$33</f>
        <v>0.14779999999999999</v>
      </c>
      <c r="B2" s="543">
        <f>[1]ELEC!$B$33</f>
        <v>33.994</v>
      </c>
      <c r="C2" s="489" t="s">
        <v>412</v>
      </c>
      <c r="D2" s="512">
        <v>31388876</v>
      </c>
      <c r="E2" s="512">
        <f>[1]ELEC!E33</f>
        <v>1958</v>
      </c>
      <c r="F2" s="512">
        <v>3496407</v>
      </c>
      <c r="G2" s="512">
        <f>[1]ELEC!G33</f>
        <v>1865.7999999998137</v>
      </c>
      <c r="H2" s="512">
        <v>17285396</v>
      </c>
      <c r="I2" s="512">
        <f>[1]ELEC!I33</f>
        <v>1934</v>
      </c>
      <c r="J2" s="512">
        <f>[1]ELEC!J33</f>
        <v>28279902</v>
      </c>
      <c r="K2" s="512">
        <f>[1]ELEC!K33</f>
        <v>1240</v>
      </c>
      <c r="L2" s="512">
        <f>[1]ELEC!L33</f>
        <v>22645064</v>
      </c>
      <c r="M2" s="512">
        <f>[1]ELEC!M33</f>
        <v>3350</v>
      </c>
      <c r="N2" s="512">
        <f>[1]ELEC!N33</f>
        <v>10347.799999999814</v>
      </c>
      <c r="O2" s="512">
        <f>[1]ELEC!O33</f>
        <v>304.40077660763114</v>
      </c>
      <c r="P2" s="512">
        <f>[1]ELEC!P33</f>
        <v>15304.848</v>
      </c>
      <c r="Q2" s="512">
        <f>[1]ELEC!Q33</f>
        <v>1953.9999999997235</v>
      </c>
      <c r="R2" s="512">
        <f>[1]ELEC!R33</f>
        <v>8393.8000000000902</v>
      </c>
      <c r="S2" s="512">
        <f>[1]ELEC!S33</f>
        <v>8371</v>
      </c>
      <c r="T2" s="512">
        <f>[1]ELEC!T33</f>
        <v>0</v>
      </c>
      <c r="U2" s="512">
        <f>[1]ELEC!U33</f>
        <v>1021630</v>
      </c>
      <c r="V2" s="512">
        <f>[1]ELEC!V33</f>
        <v>0</v>
      </c>
      <c r="W2" s="512">
        <f>[1]ELEC!W33</f>
        <v>31840</v>
      </c>
      <c r="X2" s="512">
        <f>[1]ELEC!X33</f>
        <v>0</v>
      </c>
      <c r="Y2" s="512">
        <f>[1]ELEC!Y33</f>
        <v>623360</v>
      </c>
      <c r="Z2" s="512">
        <f>[1]ELEC!Z33</f>
        <v>0</v>
      </c>
      <c r="AA2" s="512">
        <f>[1]ELEC!AA33</f>
        <v>34877</v>
      </c>
      <c r="AB2" s="512">
        <f>[1]ELEC!AB33</f>
        <v>0</v>
      </c>
      <c r="AC2" s="512">
        <f>[1]ELEC!AC33</f>
        <v>740427</v>
      </c>
      <c r="AD2" s="512">
        <f>[1]ELEC!AD33</f>
        <v>0</v>
      </c>
      <c r="AE2" s="512">
        <f>[1]ELEC!AE33</f>
        <v>0</v>
      </c>
      <c r="AF2" s="512">
        <f>[1]ELEC!AF33</f>
        <v>0</v>
      </c>
      <c r="AG2" s="512">
        <f>[1]ELEC!AG33</f>
        <v>0</v>
      </c>
      <c r="AH2" s="512">
        <f>[1]ELEC!AH33</f>
        <v>0</v>
      </c>
      <c r="AI2" s="512">
        <f>[1]ELEC!AI33</f>
        <v>-49404726.200000003</v>
      </c>
      <c r="AJ2" s="512">
        <f>[1]ELEC!AJ33</f>
        <v>0</v>
      </c>
      <c r="AK2" s="512"/>
      <c r="AL2" s="512"/>
      <c r="AM2" s="512"/>
      <c r="AN2" s="512"/>
      <c r="AO2" s="512"/>
      <c r="AP2" s="512"/>
      <c r="AQ2" s="512"/>
      <c r="AR2" s="512"/>
      <c r="AS2" s="512"/>
      <c r="AT2" s="512"/>
      <c r="AU2" s="512"/>
      <c r="AV2" s="512"/>
      <c r="AW2" s="512"/>
      <c r="AX2" s="512"/>
      <c r="AY2" s="512"/>
      <c r="AZ2" s="512"/>
      <c r="BA2" s="512"/>
      <c r="BB2" s="512"/>
      <c r="BC2" s="512"/>
      <c r="BD2" s="512"/>
      <c r="BE2" s="512"/>
      <c r="BF2" s="512"/>
      <c r="BG2" s="512"/>
      <c r="BH2" s="512"/>
      <c r="BI2" s="512"/>
      <c r="BJ2" s="512"/>
      <c r="BK2" s="512"/>
      <c r="BL2" s="512"/>
      <c r="BM2" s="512"/>
      <c r="BN2" s="512"/>
      <c r="BO2" s="512"/>
      <c r="BP2" s="512"/>
      <c r="BQ2" s="512"/>
      <c r="BR2" s="512"/>
      <c r="BS2" s="512"/>
      <c r="BT2" s="512"/>
      <c r="BU2" s="512"/>
      <c r="BV2" s="512"/>
      <c r="BW2" s="512"/>
      <c r="BX2" s="512"/>
      <c r="BY2" s="512"/>
      <c r="BZ2" s="512"/>
      <c r="CA2" s="512"/>
      <c r="CB2" s="512"/>
      <c r="CC2" s="512"/>
      <c r="CD2" s="512"/>
      <c r="CE2" s="512"/>
      <c r="CF2" s="512"/>
      <c r="CG2" s="512"/>
      <c r="CH2" s="512"/>
      <c r="CI2" s="512"/>
      <c r="CJ2" s="512"/>
      <c r="CK2" s="512"/>
      <c r="CL2" s="512"/>
      <c r="CM2" s="512"/>
      <c r="CN2" s="512"/>
      <c r="CO2" s="512"/>
      <c r="CP2" s="512"/>
      <c r="CQ2" s="512"/>
      <c r="CR2" s="512"/>
      <c r="CS2" s="512"/>
      <c r="CT2" s="512"/>
      <c r="CU2" s="512"/>
      <c r="CV2" s="512"/>
      <c r="CW2" s="512"/>
      <c r="CX2" s="512"/>
      <c r="CY2" s="512"/>
      <c r="CZ2" s="512"/>
      <c r="DA2" s="512"/>
      <c r="DB2" s="512"/>
      <c r="DC2" s="512"/>
      <c r="DD2" s="512"/>
      <c r="DE2" s="512"/>
      <c r="DF2" s="512"/>
      <c r="DG2" s="512"/>
      <c r="DH2" s="512"/>
      <c r="DI2" s="512"/>
      <c r="DJ2" s="512"/>
      <c r="DK2" s="512"/>
    </row>
    <row r="3" spans="1:115">
      <c r="A3" s="488">
        <f>'General information '!F6</f>
        <v>0.14779999999999999</v>
      </c>
      <c r="B3" s="482">
        <f>SUM(230*A3)</f>
        <v>33.994</v>
      </c>
      <c r="C3" s="489">
        <v>43862</v>
      </c>
      <c r="D3" s="476">
        <v>31391379</v>
      </c>
      <c r="E3" s="477">
        <f>D3-D2</f>
        <v>2503</v>
      </c>
      <c r="F3" s="476">
        <v>3498388</v>
      </c>
      <c r="G3" s="478">
        <f t="shared" ref="G3:G33" si="0">F3-F2</f>
        <v>1981</v>
      </c>
      <c r="H3" s="476">
        <v>17287358</v>
      </c>
      <c r="I3" s="478">
        <f>H3-H2</f>
        <v>1962</v>
      </c>
      <c r="J3" s="476">
        <v>28281274</v>
      </c>
      <c r="K3" s="478">
        <f>J3-J2</f>
        <v>1372</v>
      </c>
      <c r="L3" s="476">
        <v>22648584</v>
      </c>
      <c r="M3" s="478">
        <f>L3-L2</f>
        <v>3520</v>
      </c>
      <c r="N3" s="479">
        <f>M3+K3+I3+G3+E3</f>
        <v>11338</v>
      </c>
      <c r="O3" s="490">
        <f t="shared" ref="O3:O9" si="1">IF(B3&gt;0,N3/B3,0)</f>
        <v>333.52944637288931</v>
      </c>
      <c r="P3" s="476">
        <v>15307.273999999999</v>
      </c>
      <c r="Q3" s="491">
        <f>(P3-P2)*1000</f>
        <v>2425.9999999994761</v>
      </c>
      <c r="R3" s="492">
        <f>+N3-Q3</f>
        <v>8912.0000000005239</v>
      </c>
      <c r="S3" s="476">
        <v>8373</v>
      </c>
      <c r="T3" s="493">
        <f t="shared" ref="T3:T32" si="2">S3-S2</f>
        <v>2</v>
      </c>
      <c r="U3" s="476">
        <v>1022099</v>
      </c>
      <c r="V3" s="491">
        <f>U3-U2</f>
        <v>469</v>
      </c>
      <c r="W3" s="476">
        <f>W2</f>
        <v>31840</v>
      </c>
      <c r="X3" s="491">
        <f t="shared" ref="X3:X8" si="3">W3-W2</f>
        <v>0</v>
      </c>
      <c r="Y3" s="476">
        <f>Y2</f>
        <v>623360</v>
      </c>
      <c r="Z3" s="491">
        <f>Y3-Y2</f>
        <v>0</v>
      </c>
      <c r="AA3" s="476">
        <f>AA2</f>
        <v>34877</v>
      </c>
      <c r="AB3" s="491">
        <f>AA3-AA2</f>
        <v>0</v>
      </c>
      <c r="AC3" s="476">
        <f>AC2</f>
        <v>740427</v>
      </c>
      <c r="AD3" s="494">
        <f>AC3-AC2</f>
        <v>0</v>
      </c>
      <c r="AE3" s="495">
        <f>AB3+X3+T3</f>
        <v>2</v>
      </c>
      <c r="AF3" s="476">
        <f>V3+Z3+AD3</f>
        <v>469</v>
      </c>
      <c r="AG3" s="496">
        <f t="shared" ref="AG3:AG9" si="4">IF(AE3&gt;0,AF3/AE3,0)</f>
        <v>234.5</v>
      </c>
    </row>
    <row r="4" spans="1:115">
      <c r="A4" s="488">
        <f>'General information '!F7</f>
        <v>0.1087</v>
      </c>
      <c r="B4" s="482">
        <f t="shared" ref="B4:B31" si="5">SUM(230*A4)</f>
        <v>25.001000000000001</v>
      </c>
      <c r="C4" s="489">
        <v>43863</v>
      </c>
      <c r="D4" s="476">
        <v>31394170</v>
      </c>
      <c r="E4" s="477">
        <f t="shared" ref="E4:E33" si="6">D4-D3</f>
        <v>2791</v>
      </c>
      <c r="F4" s="476">
        <v>3500622</v>
      </c>
      <c r="G4" s="478">
        <f t="shared" si="0"/>
        <v>2234</v>
      </c>
      <c r="H4" s="476">
        <v>17289550</v>
      </c>
      <c r="I4" s="328">
        <f>H4-H3</f>
        <v>2192</v>
      </c>
      <c r="J4" s="476">
        <v>28283072</v>
      </c>
      <c r="K4" s="328">
        <f>J4-J3</f>
        <v>1798</v>
      </c>
      <c r="L4" s="476">
        <v>22653350</v>
      </c>
      <c r="M4" s="328">
        <f>L4-L3</f>
        <v>4766</v>
      </c>
      <c r="N4" s="327">
        <f>M4+K4+I4+G4+E4</f>
        <v>13781</v>
      </c>
      <c r="O4" s="498">
        <f t="shared" si="1"/>
        <v>551.21795128194867</v>
      </c>
      <c r="P4" s="476">
        <v>15309.206</v>
      </c>
      <c r="Q4" s="499">
        <f t="shared" ref="Q4:Q12" si="7">(P4-P3)*1000</f>
        <v>1932.0000000006985</v>
      </c>
      <c r="R4" s="480">
        <f>N4-Q4</f>
        <v>11848.999999999302</v>
      </c>
      <c r="S4" s="476">
        <v>8378</v>
      </c>
      <c r="T4" s="500">
        <f t="shared" si="2"/>
        <v>5</v>
      </c>
      <c r="U4" s="476">
        <v>1023028</v>
      </c>
      <c r="V4" s="480">
        <f>U4-U3</f>
        <v>929</v>
      </c>
      <c r="W4" s="476">
        <v>31840</v>
      </c>
      <c r="X4" s="480">
        <f t="shared" si="3"/>
        <v>0</v>
      </c>
      <c r="Y4" s="476">
        <f>Y3</f>
        <v>623360</v>
      </c>
      <c r="Z4" s="480">
        <f>Y4-Y3</f>
        <v>0</v>
      </c>
      <c r="AA4" s="476">
        <v>34878</v>
      </c>
      <c r="AB4" s="501">
        <f>AA4-AA3</f>
        <v>1</v>
      </c>
      <c r="AC4" s="476">
        <v>740548</v>
      </c>
      <c r="AD4" s="502">
        <f>AC4-AC3</f>
        <v>121</v>
      </c>
      <c r="AE4" s="503">
        <f t="shared" ref="AE4:AE32" si="8">AB4+X4+T4</f>
        <v>6</v>
      </c>
      <c r="AF4" s="504">
        <f t="shared" ref="AF4:AF31" si="9">V4+Z4+AD4</f>
        <v>1050</v>
      </c>
      <c r="AG4" s="496">
        <f t="shared" si="4"/>
        <v>175</v>
      </c>
    </row>
    <row r="5" spans="1:115">
      <c r="A5" s="488">
        <f>'General information '!F8</f>
        <v>0.1174</v>
      </c>
      <c r="B5" s="482">
        <f>SUM(230*A5)</f>
        <v>27.002000000000002</v>
      </c>
      <c r="C5" s="489">
        <v>43864</v>
      </c>
      <c r="D5" s="476">
        <v>31396534</v>
      </c>
      <c r="E5" s="477">
        <f t="shared" si="6"/>
        <v>2364</v>
      </c>
      <c r="F5" s="476">
        <v>3502315</v>
      </c>
      <c r="G5" s="478">
        <f t="shared" si="0"/>
        <v>1693</v>
      </c>
      <c r="H5" s="476">
        <v>17291138</v>
      </c>
      <c r="I5" s="328">
        <f t="shared" ref="I5:I31" si="10">H5-H4</f>
        <v>1588</v>
      </c>
      <c r="J5" s="476">
        <v>28284518</v>
      </c>
      <c r="K5" s="328">
        <f t="shared" ref="K5:K31" si="11">J5-J4</f>
        <v>1446</v>
      </c>
      <c r="L5" s="476">
        <v>22656586</v>
      </c>
      <c r="M5" s="328">
        <f t="shared" ref="M5:M31" si="12">L5-L4</f>
        <v>3236</v>
      </c>
      <c r="N5" s="327">
        <f t="shared" ref="N5:N31" si="13">M5+K5+I5+G5+E5</f>
        <v>10327</v>
      </c>
      <c r="O5" s="498">
        <f t="shared" si="1"/>
        <v>382.45315161839858</v>
      </c>
      <c r="P5" s="476">
        <v>15312.064</v>
      </c>
      <c r="Q5" s="499">
        <f>(P5-P4)*1000</f>
        <v>2858.0000000001746</v>
      </c>
      <c r="R5" s="480">
        <f>N5-Q5</f>
        <v>7468.9999999998254</v>
      </c>
      <c r="S5" s="476">
        <v>8379</v>
      </c>
      <c r="T5" s="500">
        <f t="shared" si="2"/>
        <v>1</v>
      </c>
      <c r="U5" s="476">
        <v>1023092</v>
      </c>
      <c r="V5" s="480">
        <f t="shared" ref="V5:V32" si="14">U5-U4</f>
        <v>64</v>
      </c>
      <c r="W5" s="476">
        <v>31841</v>
      </c>
      <c r="X5" s="480">
        <f t="shared" si="3"/>
        <v>1</v>
      </c>
      <c r="Y5" s="476">
        <v>623507</v>
      </c>
      <c r="Z5" s="480">
        <f>Y5-Y4</f>
        <v>147</v>
      </c>
      <c r="AA5" s="476">
        <v>34879</v>
      </c>
      <c r="AB5" s="480">
        <f t="shared" ref="AB5:AB32" si="15">AA5-AA4</f>
        <v>1</v>
      </c>
      <c r="AC5" s="476">
        <v>740830</v>
      </c>
      <c r="AD5" s="480">
        <f t="shared" ref="AD5:AD16" si="16">AC5-AC4</f>
        <v>282</v>
      </c>
      <c r="AE5" s="503">
        <f t="shared" si="8"/>
        <v>3</v>
      </c>
      <c r="AF5" s="504">
        <f t="shared" si="9"/>
        <v>493</v>
      </c>
      <c r="AG5" s="496">
        <f t="shared" si="4"/>
        <v>164.33333333333334</v>
      </c>
      <c r="AI5" s="497">
        <f>R5-'EDl log'!B3</f>
        <v>-49419805</v>
      </c>
    </row>
    <row r="6" spans="1:115">
      <c r="A6" s="488">
        <f>'General information '!F9</f>
        <v>0.1174</v>
      </c>
      <c r="B6" s="482">
        <f t="shared" si="5"/>
        <v>27.002000000000002</v>
      </c>
      <c r="C6" s="489">
        <v>43865</v>
      </c>
      <c r="D6" s="476">
        <v>31399274</v>
      </c>
      <c r="E6" s="477">
        <f t="shared" si="6"/>
        <v>2740</v>
      </c>
      <c r="F6" s="476">
        <v>3504259</v>
      </c>
      <c r="G6" s="478">
        <f t="shared" si="0"/>
        <v>1944</v>
      </c>
      <c r="H6" s="476">
        <v>17293086</v>
      </c>
      <c r="I6" s="328">
        <f t="shared" si="10"/>
        <v>1948</v>
      </c>
      <c r="J6" s="476">
        <v>28286198</v>
      </c>
      <c r="K6" s="328">
        <f t="shared" si="11"/>
        <v>1680</v>
      </c>
      <c r="L6" s="476">
        <v>22660488</v>
      </c>
      <c r="M6" s="328">
        <f t="shared" si="12"/>
        <v>3902</v>
      </c>
      <c r="N6" s="327">
        <f t="shared" si="13"/>
        <v>12214</v>
      </c>
      <c r="O6" s="498">
        <f t="shared" si="1"/>
        <v>452.3368639360047</v>
      </c>
      <c r="P6" s="476">
        <v>15314.842000000001</v>
      </c>
      <c r="Q6" s="480">
        <f t="shared" si="7"/>
        <v>2778.0000000002474</v>
      </c>
      <c r="R6" s="480">
        <f t="shared" ref="R6:R31" si="17">N6-Q6</f>
        <v>9435.9999999997526</v>
      </c>
      <c r="S6" s="476">
        <f t="shared" ref="S6:S33" si="18">S5</f>
        <v>8379</v>
      </c>
      <c r="T6" s="500">
        <f t="shared" si="2"/>
        <v>0</v>
      </c>
      <c r="U6" s="476">
        <f t="shared" ref="U6:U33" si="19">U5</f>
        <v>1023092</v>
      </c>
      <c r="V6" s="480">
        <f t="shared" si="14"/>
        <v>0</v>
      </c>
      <c r="W6" s="476">
        <f t="shared" ref="W6:W33" si="20">W5</f>
        <v>31841</v>
      </c>
      <c r="X6" s="480">
        <f t="shared" si="3"/>
        <v>0</v>
      </c>
      <c r="Y6" s="476">
        <f t="shared" ref="Y6:Y33" si="21">Y5</f>
        <v>623507</v>
      </c>
      <c r="Z6" s="480">
        <f t="shared" ref="Z6:Z30" si="22">Y6-Y5</f>
        <v>0</v>
      </c>
      <c r="AA6" s="476">
        <v>34882</v>
      </c>
      <c r="AB6" s="480">
        <f t="shared" si="15"/>
        <v>3</v>
      </c>
      <c r="AC6" s="476">
        <v>741247</v>
      </c>
      <c r="AD6" s="480">
        <f t="shared" si="16"/>
        <v>417</v>
      </c>
      <c r="AE6" s="503">
        <f t="shared" si="8"/>
        <v>3</v>
      </c>
      <c r="AF6" s="504">
        <f t="shared" si="9"/>
        <v>417</v>
      </c>
      <c r="AG6" s="496">
        <f t="shared" si="4"/>
        <v>139</v>
      </c>
      <c r="AI6" s="497">
        <f>R6-'EDl log'!B4</f>
        <v>-49422471</v>
      </c>
    </row>
    <row r="7" spans="1:115">
      <c r="A7" s="488">
        <f>'General information '!F10</f>
        <v>0.14779999999999999</v>
      </c>
      <c r="B7" s="482">
        <f t="shared" si="5"/>
        <v>33.994</v>
      </c>
      <c r="C7" s="489">
        <v>43866</v>
      </c>
      <c r="D7" s="476">
        <v>31402110</v>
      </c>
      <c r="E7" s="477">
        <f t="shared" si="6"/>
        <v>2836</v>
      </c>
      <c r="F7" s="476">
        <v>3506241</v>
      </c>
      <c r="G7" s="478">
        <f t="shared" si="0"/>
        <v>1982</v>
      </c>
      <c r="H7" s="476">
        <v>17295050</v>
      </c>
      <c r="I7" s="328">
        <f t="shared" si="10"/>
        <v>1964</v>
      </c>
      <c r="J7" s="476">
        <v>28288726</v>
      </c>
      <c r="K7" s="328">
        <f t="shared" si="11"/>
        <v>2528</v>
      </c>
      <c r="L7" s="476">
        <v>22664512</v>
      </c>
      <c r="M7" s="328">
        <f t="shared" si="12"/>
        <v>4024</v>
      </c>
      <c r="N7" s="327">
        <f t="shared" si="13"/>
        <v>13334</v>
      </c>
      <c r="O7" s="498">
        <f t="shared" si="1"/>
        <v>392.24569041595578</v>
      </c>
      <c r="P7" s="476">
        <v>15317.022999999999</v>
      </c>
      <c r="Q7" s="480">
        <f t="shared" si="7"/>
        <v>2180.9999999986758</v>
      </c>
      <c r="R7" s="480">
        <f>N7-Q24</f>
        <v>10669.999999999331</v>
      </c>
      <c r="S7" s="476">
        <v>8379</v>
      </c>
      <c r="T7" s="500">
        <f t="shared" si="2"/>
        <v>0</v>
      </c>
      <c r="U7" s="476">
        <v>1023092</v>
      </c>
      <c r="V7" s="480">
        <f t="shared" si="14"/>
        <v>0</v>
      </c>
      <c r="W7" s="476">
        <v>31843</v>
      </c>
      <c r="X7" s="480">
        <f t="shared" si="3"/>
        <v>2</v>
      </c>
      <c r="Y7" s="476">
        <v>624129</v>
      </c>
      <c r="Z7" s="480">
        <f t="shared" si="22"/>
        <v>622</v>
      </c>
      <c r="AA7" s="476">
        <v>34882</v>
      </c>
      <c r="AB7" s="480">
        <f t="shared" si="15"/>
        <v>0</v>
      </c>
      <c r="AC7" s="476">
        <v>741247</v>
      </c>
      <c r="AD7" s="480">
        <f t="shared" si="16"/>
        <v>0</v>
      </c>
      <c r="AE7" s="503">
        <f t="shared" si="8"/>
        <v>2</v>
      </c>
      <c r="AF7" s="504">
        <f t="shared" si="9"/>
        <v>622</v>
      </c>
      <c r="AG7" s="496">
        <f t="shared" si="4"/>
        <v>311</v>
      </c>
      <c r="AI7" s="497">
        <f>R7-'EDl log'!B5</f>
        <v>-49427349</v>
      </c>
    </row>
    <row r="8" spans="1:115">
      <c r="A8" s="488">
        <f>'General information '!F11</f>
        <v>0.2</v>
      </c>
      <c r="B8" s="482">
        <f t="shared" si="5"/>
        <v>46</v>
      </c>
      <c r="C8" s="489">
        <v>43867</v>
      </c>
      <c r="D8" s="476">
        <v>31404462</v>
      </c>
      <c r="E8" s="477">
        <f t="shared" si="6"/>
        <v>2352</v>
      </c>
      <c r="F8" s="476">
        <v>3508107</v>
      </c>
      <c r="G8" s="478">
        <f t="shared" si="0"/>
        <v>1866</v>
      </c>
      <c r="H8" s="476">
        <v>17296794</v>
      </c>
      <c r="I8" s="328">
        <f t="shared" si="10"/>
        <v>1744</v>
      </c>
      <c r="J8" s="476">
        <v>28290194</v>
      </c>
      <c r="K8" s="328">
        <f t="shared" si="11"/>
        <v>1468</v>
      </c>
      <c r="L8" s="476">
        <v>22668090</v>
      </c>
      <c r="M8" s="328">
        <f t="shared" si="12"/>
        <v>3578</v>
      </c>
      <c r="N8" s="327">
        <f t="shared" si="13"/>
        <v>11008</v>
      </c>
      <c r="O8" s="498">
        <f t="shared" si="1"/>
        <v>239.30434782608697</v>
      </c>
      <c r="P8" s="476">
        <v>15318.894</v>
      </c>
      <c r="Q8" s="480">
        <f t="shared" si="7"/>
        <v>1871.0000000010041</v>
      </c>
      <c r="R8" s="480">
        <f t="shared" si="17"/>
        <v>9136.9999999989959</v>
      </c>
      <c r="S8" s="476">
        <f t="shared" si="18"/>
        <v>8379</v>
      </c>
      <c r="T8" s="500">
        <f t="shared" si="2"/>
        <v>0</v>
      </c>
      <c r="U8" s="476">
        <f t="shared" si="19"/>
        <v>1023092</v>
      </c>
      <c r="V8" s="480">
        <f t="shared" si="14"/>
        <v>0</v>
      </c>
      <c r="W8" s="476">
        <v>31845</v>
      </c>
      <c r="X8" s="480">
        <f t="shared" si="3"/>
        <v>2</v>
      </c>
      <c r="Y8" s="476">
        <v>624369</v>
      </c>
      <c r="Z8" s="480">
        <f t="shared" si="22"/>
        <v>240</v>
      </c>
      <c r="AA8" s="476">
        <v>34883</v>
      </c>
      <c r="AB8" s="480">
        <f t="shared" si="15"/>
        <v>1</v>
      </c>
      <c r="AC8" s="476">
        <v>741440</v>
      </c>
      <c r="AD8" s="480">
        <f t="shared" si="16"/>
        <v>193</v>
      </c>
      <c r="AE8" s="503">
        <f t="shared" si="8"/>
        <v>3</v>
      </c>
      <c r="AF8" s="504">
        <f t="shared" si="9"/>
        <v>433</v>
      </c>
      <c r="AG8" s="496">
        <f t="shared" si="4"/>
        <v>144.33333333333334</v>
      </c>
      <c r="AI8" s="497">
        <f>R8-'EDl log'!B6</f>
        <v>-49432747</v>
      </c>
    </row>
    <row r="9" spans="1:115">
      <c r="A9" s="488">
        <f>'General information '!F12</f>
        <v>0.19570000000000001</v>
      </c>
      <c r="B9" s="482">
        <f t="shared" si="5"/>
        <v>45.011000000000003</v>
      </c>
      <c r="C9" s="489">
        <v>43868</v>
      </c>
      <c r="D9" s="476">
        <v>31406950</v>
      </c>
      <c r="E9" s="477">
        <f t="shared" si="6"/>
        <v>2488</v>
      </c>
      <c r="F9" s="476">
        <v>3510252</v>
      </c>
      <c r="G9" s="478">
        <f t="shared" si="0"/>
        <v>2145</v>
      </c>
      <c r="H9" s="476">
        <v>17298766</v>
      </c>
      <c r="I9" s="328">
        <f t="shared" si="10"/>
        <v>1972</v>
      </c>
      <c r="J9" s="476">
        <v>28291726</v>
      </c>
      <c r="K9" s="328">
        <f t="shared" si="11"/>
        <v>1532</v>
      </c>
      <c r="L9" s="476">
        <v>22672582</v>
      </c>
      <c r="M9" s="328">
        <f t="shared" si="12"/>
        <v>4492</v>
      </c>
      <c r="N9" s="327">
        <f t="shared" si="13"/>
        <v>12629</v>
      </c>
      <c r="O9" s="498">
        <f t="shared" si="1"/>
        <v>280.57585923440934</v>
      </c>
      <c r="P9" s="476">
        <v>15321.643</v>
      </c>
      <c r="Q9" s="480">
        <f t="shared" si="7"/>
        <v>2748.9999999997963</v>
      </c>
      <c r="R9" s="480">
        <f t="shared" si="17"/>
        <v>9880.0000000002037</v>
      </c>
      <c r="S9" s="476">
        <v>8380</v>
      </c>
      <c r="T9" s="500">
        <f t="shared" si="2"/>
        <v>1</v>
      </c>
      <c r="U9" s="476">
        <v>1023424</v>
      </c>
      <c r="V9" s="480">
        <f t="shared" si="14"/>
        <v>332</v>
      </c>
      <c r="W9" s="476">
        <f t="shared" si="20"/>
        <v>31845</v>
      </c>
      <c r="X9" s="480">
        <f t="shared" ref="X9:X32" si="23">W9-W8</f>
        <v>0</v>
      </c>
      <c r="Y9" s="476">
        <f t="shared" si="21"/>
        <v>624369</v>
      </c>
      <c r="Z9" s="480">
        <f t="shared" si="22"/>
        <v>0</v>
      </c>
      <c r="AA9" s="476">
        <f t="shared" ref="AA9:AA33" si="24">AA8</f>
        <v>34883</v>
      </c>
      <c r="AB9" s="480">
        <f t="shared" si="15"/>
        <v>0</v>
      </c>
      <c r="AC9" s="476">
        <f t="shared" ref="AC9:AC33" si="25">AC8</f>
        <v>741440</v>
      </c>
      <c r="AD9" s="480">
        <f t="shared" si="16"/>
        <v>0</v>
      </c>
      <c r="AE9" s="503">
        <f t="shared" si="8"/>
        <v>1</v>
      </c>
      <c r="AF9" s="504">
        <f t="shared" si="9"/>
        <v>332</v>
      </c>
      <c r="AG9" s="496">
        <f t="shared" si="4"/>
        <v>332</v>
      </c>
      <c r="AI9" s="497">
        <f>R9-'EDl log'!B7</f>
        <v>-49436888</v>
      </c>
    </row>
    <row r="10" spans="1:115">
      <c r="A10" s="488">
        <f>'General information '!F13</f>
        <v>0.13900000000000001</v>
      </c>
      <c r="B10" s="482">
        <f t="shared" si="5"/>
        <v>31.970000000000002</v>
      </c>
      <c r="C10" s="489">
        <v>43869</v>
      </c>
      <c r="D10" s="476">
        <v>31409834</v>
      </c>
      <c r="E10" s="477">
        <f t="shared" si="6"/>
        <v>2884</v>
      </c>
      <c r="F10" s="476">
        <v>3512346</v>
      </c>
      <c r="G10" s="478">
        <f t="shared" si="0"/>
        <v>2094</v>
      </c>
      <c r="H10" s="476">
        <v>17300602</v>
      </c>
      <c r="I10" s="328">
        <f t="shared" si="10"/>
        <v>1836</v>
      </c>
      <c r="J10" s="476">
        <v>28293266</v>
      </c>
      <c r="K10" s="328">
        <f t="shared" si="11"/>
        <v>1540</v>
      </c>
      <c r="L10" s="476">
        <v>22677058</v>
      </c>
      <c r="M10" s="328">
        <f t="shared" si="12"/>
        <v>4476</v>
      </c>
      <c r="N10" s="327">
        <f t="shared" si="13"/>
        <v>12830</v>
      </c>
      <c r="O10" s="498">
        <f t="shared" ref="O10:O32" si="26">IF(B10&gt;0,N10/B10,0)</f>
        <v>401.3137316233969</v>
      </c>
      <c r="P10" s="476">
        <v>15323.08</v>
      </c>
      <c r="Q10" s="480">
        <f t="shared" si="7"/>
        <v>1436.9999999998981</v>
      </c>
      <c r="R10" s="480">
        <f t="shared" si="17"/>
        <v>11393.000000000102</v>
      </c>
      <c r="S10" s="476">
        <v>8382</v>
      </c>
      <c r="T10" s="500">
        <f t="shared" si="2"/>
        <v>2</v>
      </c>
      <c r="U10" s="476">
        <v>1023764</v>
      </c>
      <c r="V10" s="480">
        <f t="shared" si="14"/>
        <v>340</v>
      </c>
      <c r="W10" s="476">
        <v>31845</v>
      </c>
      <c r="X10" s="480">
        <f t="shared" si="23"/>
        <v>0</v>
      </c>
      <c r="Y10" s="476">
        <v>624440</v>
      </c>
      <c r="Z10" s="480">
        <f t="shared" si="22"/>
        <v>71</v>
      </c>
      <c r="AA10" s="476">
        <v>34883</v>
      </c>
      <c r="AB10" s="480">
        <f t="shared" si="15"/>
        <v>0</v>
      </c>
      <c r="AC10" s="476">
        <v>741441</v>
      </c>
      <c r="AD10" s="480">
        <f t="shared" si="16"/>
        <v>1</v>
      </c>
      <c r="AE10" s="503">
        <f t="shared" si="8"/>
        <v>2</v>
      </c>
      <c r="AF10" s="504">
        <f t="shared" si="9"/>
        <v>412</v>
      </c>
      <c r="AG10" s="496">
        <f t="shared" ref="AG10:AG33" si="27">IF(AE10&gt;0,AF10/AE10,0)</f>
        <v>206</v>
      </c>
      <c r="AI10" s="497">
        <f>R10-'EDl log'!B8</f>
        <v>-49440422</v>
      </c>
    </row>
    <row r="11" spans="1:115">
      <c r="A11" s="488">
        <f>'General information '!F14</f>
        <v>0.1522</v>
      </c>
      <c r="B11" s="482">
        <f>SUM(230*A11)</f>
        <v>35.006</v>
      </c>
      <c r="C11" s="489">
        <v>43870</v>
      </c>
      <c r="D11" s="476">
        <v>31411672</v>
      </c>
      <c r="E11" s="477">
        <f t="shared" si="6"/>
        <v>1838</v>
      </c>
      <c r="F11" s="476">
        <v>3514832</v>
      </c>
      <c r="G11" s="478">
        <f t="shared" si="0"/>
        <v>2486</v>
      </c>
      <c r="H11" s="476">
        <v>17302270</v>
      </c>
      <c r="I11" s="328">
        <f t="shared" si="10"/>
        <v>1668</v>
      </c>
      <c r="J11" s="476">
        <v>28294492</v>
      </c>
      <c r="K11" s="328">
        <f t="shared" si="11"/>
        <v>1226</v>
      </c>
      <c r="L11" s="476">
        <v>22680730</v>
      </c>
      <c r="M11" s="328">
        <f t="shared" si="12"/>
        <v>3672</v>
      </c>
      <c r="N11" s="327">
        <f>M11+K11+I11+G11+E11</f>
        <v>10890</v>
      </c>
      <c r="O11" s="498">
        <f t="shared" si="26"/>
        <v>311.08952750956979</v>
      </c>
      <c r="P11" s="476">
        <v>15325.17</v>
      </c>
      <c r="Q11" s="480">
        <f t="shared" si="7"/>
        <v>2090.0000000001455</v>
      </c>
      <c r="R11" s="480">
        <f t="shared" si="17"/>
        <v>8799.9999999998545</v>
      </c>
      <c r="S11" s="476">
        <v>8382</v>
      </c>
      <c r="T11" s="500">
        <f t="shared" si="2"/>
        <v>0</v>
      </c>
      <c r="U11" s="476">
        <f t="shared" si="19"/>
        <v>1023764</v>
      </c>
      <c r="V11" s="480">
        <f t="shared" si="14"/>
        <v>0</v>
      </c>
      <c r="W11" s="476">
        <f t="shared" si="20"/>
        <v>31845</v>
      </c>
      <c r="X11" s="480">
        <f t="shared" si="23"/>
        <v>0</v>
      </c>
      <c r="Y11" s="476">
        <f t="shared" si="21"/>
        <v>624440</v>
      </c>
      <c r="Z11" s="480">
        <f t="shared" si="22"/>
        <v>0</v>
      </c>
      <c r="AA11" s="476">
        <v>34887</v>
      </c>
      <c r="AB11" s="480">
        <f t="shared" si="15"/>
        <v>4</v>
      </c>
      <c r="AC11" s="476">
        <v>742049</v>
      </c>
      <c r="AD11" s="480">
        <f t="shared" si="16"/>
        <v>608</v>
      </c>
      <c r="AE11" s="503">
        <f t="shared" si="8"/>
        <v>4</v>
      </c>
      <c r="AF11" s="504">
        <f t="shared" si="9"/>
        <v>608</v>
      </c>
      <c r="AG11" s="496">
        <f t="shared" si="27"/>
        <v>152</v>
      </c>
      <c r="AI11" s="497">
        <f>R11-'EDl log'!B9</f>
        <v>-49448459</v>
      </c>
    </row>
    <row r="12" spans="1:115">
      <c r="A12" s="488">
        <f>'General information '!F15</f>
        <v>0.16089999999999999</v>
      </c>
      <c r="B12" s="482">
        <f t="shared" si="5"/>
        <v>37.006999999999998</v>
      </c>
      <c r="C12" s="489">
        <v>43871</v>
      </c>
      <c r="D12" s="476">
        <v>31413298</v>
      </c>
      <c r="E12" s="477">
        <f t="shared" si="6"/>
        <v>1626</v>
      </c>
      <c r="F12" s="476">
        <v>3516088</v>
      </c>
      <c r="G12" s="478">
        <f t="shared" si="0"/>
        <v>1256</v>
      </c>
      <c r="H12" s="476">
        <v>17304260</v>
      </c>
      <c r="I12" s="328">
        <f t="shared" si="10"/>
        <v>1990</v>
      </c>
      <c r="J12" s="476">
        <v>28295934</v>
      </c>
      <c r="K12" s="328">
        <f t="shared" si="11"/>
        <v>1442</v>
      </c>
      <c r="L12" s="476">
        <v>22684934</v>
      </c>
      <c r="M12" s="328">
        <f t="shared" si="12"/>
        <v>4204</v>
      </c>
      <c r="N12" s="327">
        <f>M12+K12+I12+G12+E12</f>
        <v>10518</v>
      </c>
      <c r="O12" s="498">
        <f t="shared" si="26"/>
        <v>284.21649958116035</v>
      </c>
      <c r="P12" s="476">
        <v>15326.76</v>
      </c>
      <c r="Q12" s="480">
        <f t="shared" si="7"/>
        <v>1590.0000000001455</v>
      </c>
      <c r="R12" s="480">
        <f t="shared" si="17"/>
        <v>8927.9999999998545</v>
      </c>
      <c r="S12" s="476">
        <v>8382</v>
      </c>
      <c r="T12" s="500">
        <f t="shared" si="2"/>
        <v>0</v>
      </c>
      <c r="U12" s="476">
        <v>1023764</v>
      </c>
      <c r="V12" s="480">
        <f t="shared" si="14"/>
        <v>0</v>
      </c>
      <c r="W12" s="476">
        <v>31845</v>
      </c>
      <c r="X12" s="480">
        <f t="shared" si="23"/>
        <v>0</v>
      </c>
      <c r="Y12" s="476">
        <v>624440</v>
      </c>
      <c r="Z12" s="480">
        <f t="shared" si="22"/>
        <v>0</v>
      </c>
      <c r="AA12" s="476">
        <v>34888</v>
      </c>
      <c r="AB12" s="480">
        <f t="shared" si="15"/>
        <v>1</v>
      </c>
      <c r="AC12" s="476">
        <v>742070</v>
      </c>
      <c r="AD12" s="480">
        <f t="shared" si="16"/>
        <v>21</v>
      </c>
      <c r="AE12" s="503">
        <f t="shared" si="8"/>
        <v>1</v>
      </c>
      <c r="AF12" s="504">
        <f t="shared" si="9"/>
        <v>21</v>
      </c>
      <c r="AG12" s="496">
        <f t="shared" si="27"/>
        <v>21</v>
      </c>
      <c r="AI12" s="497">
        <f>R12-'EDl log'!B10</f>
        <v>-49453440</v>
      </c>
    </row>
    <row r="13" spans="1:115">
      <c r="A13" s="488">
        <f>'General information '!F16</f>
        <v>0.14779999999999999</v>
      </c>
      <c r="B13" s="482">
        <f t="shared" si="5"/>
        <v>33.994</v>
      </c>
      <c r="C13" s="489">
        <v>43872</v>
      </c>
      <c r="D13" s="476">
        <v>31415110</v>
      </c>
      <c r="E13" s="477">
        <f t="shared" si="6"/>
        <v>1812</v>
      </c>
      <c r="F13" s="476">
        <v>3517981</v>
      </c>
      <c r="G13" s="478">
        <f t="shared" si="0"/>
        <v>1893</v>
      </c>
      <c r="H13" s="476">
        <v>17306342</v>
      </c>
      <c r="I13" s="328">
        <f t="shared" si="10"/>
        <v>2082</v>
      </c>
      <c r="J13" s="476">
        <v>28297682</v>
      </c>
      <c r="K13" s="328">
        <f t="shared" si="11"/>
        <v>1748</v>
      </c>
      <c r="L13" s="476">
        <v>22688322</v>
      </c>
      <c r="M13" s="328">
        <f t="shared" si="12"/>
        <v>3388</v>
      </c>
      <c r="N13" s="327">
        <f t="shared" si="13"/>
        <v>10923</v>
      </c>
      <c r="O13" s="498">
        <f t="shared" si="26"/>
        <v>321.32140966052833</v>
      </c>
      <c r="P13" s="476">
        <v>15328.411</v>
      </c>
      <c r="Q13" s="480">
        <f t="shared" ref="Q13:Q31" si="28">(P13-P12)*1000</f>
        <v>1650.9999999998399</v>
      </c>
      <c r="R13" s="480">
        <f t="shared" si="17"/>
        <v>9272.0000000001601</v>
      </c>
      <c r="S13" s="476">
        <v>8382</v>
      </c>
      <c r="T13" s="500">
        <f t="shared" si="2"/>
        <v>0</v>
      </c>
      <c r="U13" s="476">
        <v>1023769</v>
      </c>
      <c r="V13" s="480">
        <f t="shared" si="14"/>
        <v>5</v>
      </c>
      <c r="W13" s="476">
        <v>31845</v>
      </c>
      <c r="X13" s="480">
        <f t="shared" si="23"/>
        <v>0</v>
      </c>
      <c r="Y13" s="476">
        <v>624440</v>
      </c>
      <c r="Z13" s="480">
        <f t="shared" si="22"/>
        <v>0</v>
      </c>
      <c r="AA13" s="476">
        <v>34888</v>
      </c>
      <c r="AB13" s="480">
        <f t="shared" si="15"/>
        <v>0</v>
      </c>
      <c r="AC13" s="476">
        <v>742070</v>
      </c>
      <c r="AD13" s="480">
        <f t="shared" si="16"/>
        <v>0</v>
      </c>
      <c r="AE13" s="503">
        <f t="shared" si="8"/>
        <v>0</v>
      </c>
      <c r="AF13" s="504">
        <f t="shared" si="9"/>
        <v>5</v>
      </c>
      <c r="AG13" s="496">
        <f t="shared" si="27"/>
        <v>0</v>
      </c>
      <c r="AI13" s="497">
        <f>R13-'EDl log'!B11</f>
        <v>-49459020</v>
      </c>
    </row>
    <row r="14" spans="1:115">
      <c r="A14" s="488">
        <f>'General information '!F17</f>
        <v>0.20430000000000001</v>
      </c>
      <c r="B14" s="482">
        <f t="shared" si="5"/>
        <v>46.989000000000004</v>
      </c>
      <c r="C14" s="489">
        <v>43873</v>
      </c>
      <c r="D14" s="476">
        <v>31417162</v>
      </c>
      <c r="E14" s="477">
        <f t="shared" si="6"/>
        <v>2052</v>
      </c>
      <c r="F14" s="476">
        <v>3519952.4</v>
      </c>
      <c r="G14" s="478">
        <f t="shared" si="0"/>
        <v>1971.3999999999069</v>
      </c>
      <c r="H14" s="476">
        <v>17308562</v>
      </c>
      <c r="I14" s="328">
        <f t="shared" si="10"/>
        <v>2220</v>
      </c>
      <c r="J14" s="476">
        <v>28299098</v>
      </c>
      <c r="K14" s="328">
        <f t="shared" si="11"/>
        <v>1416</v>
      </c>
      <c r="L14" s="476">
        <v>22692026</v>
      </c>
      <c r="M14" s="328">
        <f t="shared" si="12"/>
        <v>3704</v>
      </c>
      <c r="N14" s="327">
        <f t="shared" si="13"/>
        <v>11363.399999999907</v>
      </c>
      <c r="O14" s="498">
        <f t="shared" si="26"/>
        <v>241.83106684542992</v>
      </c>
      <c r="P14" s="476">
        <v>15330.120999999999</v>
      </c>
      <c r="Q14" s="480">
        <f t="shared" si="28"/>
        <v>1709.9999999991269</v>
      </c>
      <c r="R14" s="480">
        <f t="shared" si="17"/>
        <v>9653.40000000078</v>
      </c>
      <c r="S14" s="476">
        <v>8383</v>
      </c>
      <c r="T14" s="500">
        <f t="shared" si="2"/>
        <v>1</v>
      </c>
      <c r="U14" s="476">
        <v>1023979</v>
      </c>
      <c r="V14" s="480">
        <f t="shared" si="14"/>
        <v>210</v>
      </c>
      <c r="W14" s="476">
        <f t="shared" si="20"/>
        <v>31845</v>
      </c>
      <c r="X14" s="480">
        <f t="shared" si="23"/>
        <v>0</v>
      </c>
      <c r="Y14" s="476">
        <f t="shared" si="21"/>
        <v>624440</v>
      </c>
      <c r="Z14" s="480">
        <f t="shared" si="22"/>
        <v>0</v>
      </c>
      <c r="AA14" s="476">
        <f t="shared" si="24"/>
        <v>34888</v>
      </c>
      <c r="AB14" s="480">
        <f t="shared" si="15"/>
        <v>0</v>
      </c>
      <c r="AC14" s="476">
        <v>742158</v>
      </c>
      <c r="AD14" s="480">
        <f t="shared" si="16"/>
        <v>88</v>
      </c>
      <c r="AE14" s="503">
        <f t="shared" si="8"/>
        <v>1</v>
      </c>
      <c r="AF14" s="504">
        <f t="shared" si="9"/>
        <v>298</v>
      </c>
      <c r="AG14" s="496">
        <f t="shared" si="27"/>
        <v>298</v>
      </c>
      <c r="AI14" s="497">
        <f>R14-'EDl log'!B12</f>
        <v>-49462866.600000001</v>
      </c>
    </row>
    <row r="15" spans="1:115">
      <c r="A15" s="488">
        <f>'General information '!F18</f>
        <v>0.3478</v>
      </c>
      <c r="B15" s="482">
        <f t="shared" si="5"/>
        <v>79.994</v>
      </c>
      <c r="C15" s="489">
        <v>43874</v>
      </c>
      <c r="D15" s="476">
        <v>31419470</v>
      </c>
      <c r="E15" s="477">
        <f t="shared" si="6"/>
        <v>2308</v>
      </c>
      <c r="F15" s="476">
        <v>3522077</v>
      </c>
      <c r="G15" s="478">
        <f t="shared" si="0"/>
        <v>2124.6000000000931</v>
      </c>
      <c r="H15" s="476">
        <v>17310754</v>
      </c>
      <c r="I15" s="328">
        <f t="shared" si="10"/>
        <v>2192</v>
      </c>
      <c r="J15" s="476">
        <v>28300472</v>
      </c>
      <c r="K15" s="328">
        <f t="shared" si="11"/>
        <v>1374</v>
      </c>
      <c r="L15" s="476">
        <v>22695618</v>
      </c>
      <c r="M15" s="328">
        <f t="shared" si="12"/>
        <v>3592</v>
      </c>
      <c r="N15" s="327">
        <f t="shared" si="13"/>
        <v>11590.600000000093</v>
      </c>
      <c r="O15" s="498">
        <f t="shared" si="26"/>
        <v>144.89336700252636</v>
      </c>
      <c r="P15" s="476">
        <v>15332.234</v>
      </c>
      <c r="Q15" s="480">
        <f>(P15-P14)*1000</f>
        <v>2113.0000000011933</v>
      </c>
      <c r="R15" s="480">
        <f t="shared" si="17"/>
        <v>9477.5999999988999</v>
      </c>
      <c r="S15" s="476">
        <v>8383</v>
      </c>
      <c r="T15" s="500">
        <f t="shared" si="2"/>
        <v>0</v>
      </c>
      <c r="U15" s="476">
        <v>1023979</v>
      </c>
      <c r="V15" s="480">
        <f t="shared" si="14"/>
        <v>0</v>
      </c>
      <c r="W15" s="476">
        <v>31845</v>
      </c>
      <c r="X15" s="480">
        <f t="shared" si="23"/>
        <v>0</v>
      </c>
      <c r="Y15" s="476">
        <v>624440</v>
      </c>
      <c r="Z15" s="480">
        <f t="shared" si="22"/>
        <v>0</v>
      </c>
      <c r="AA15" s="476">
        <v>34890</v>
      </c>
      <c r="AB15" s="480">
        <f t="shared" si="15"/>
        <v>2</v>
      </c>
      <c r="AC15" s="476">
        <v>742464</v>
      </c>
      <c r="AD15" s="480">
        <f t="shared" si="16"/>
        <v>306</v>
      </c>
      <c r="AE15" s="503">
        <f t="shared" si="8"/>
        <v>2</v>
      </c>
      <c r="AF15" s="504">
        <f t="shared" si="9"/>
        <v>306</v>
      </c>
      <c r="AG15" s="496">
        <f t="shared" si="27"/>
        <v>153</v>
      </c>
      <c r="AI15" s="497">
        <f>R15-'EDl log'!B13</f>
        <v>-49467996.399999999</v>
      </c>
    </row>
    <row r="16" spans="1:115">
      <c r="A16" s="488">
        <f>'General information '!F19</f>
        <v>0.3826</v>
      </c>
      <c r="B16" s="482">
        <f t="shared" si="5"/>
        <v>87.998000000000005</v>
      </c>
      <c r="C16" s="489">
        <v>43875</v>
      </c>
      <c r="D16" s="476">
        <v>31423330</v>
      </c>
      <c r="E16" s="477">
        <f t="shared" si="6"/>
        <v>3860</v>
      </c>
      <c r="F16" s="476">
        <v>3524322</v>
      </c>
      <c r="G16" s="478">
        <f t="shared" si="0"/>
        <v>2245</v>
      </c>
      <c r="H16" s="476">
        <v>17312988</v>
      </c>
      <c r="I16" s="328">
        <f t="shared" si="10"/>
        <v>2234</v>
      </c>
      <c r="J16" s="476">
        <v>28302050</v>
      </c>
      <c r="K16" s="328">
        <f t="shared" si="11"/>
        <v>1578</v>
      </c>
      <c r="L16" s="476">
        <v>22699674</v>
      </c>
      <c r="M16" s="328">
        <f t="shared" si="12"/>
        <v>4056</v>
      </c>
      <c r="N16" s="327">
        <f t="shared" si="13"/>
        <v>13973</v>
      </c>
      <c r="O16" s="498">
        <f t="shared" si="26"/>
        <v>158.78769972044819</v>
      </c>
      <c r="P16" s="476">
        <v>15334.331</v>
      </c>
      <c r="Q16" s="480">
        <f>(P16-P15)*1000</f>
        <v>2096.9999999997526</v>
      </c>
      <c r="R16" s="480">
        <f t="shared" si="17"/>
        <v>11876.000000000247</v>
      </c>
      <c r="S16" s="476">
        <v>8384</v>
      </c>
      <c r="T16" s="500">
        <f t="shared" si="2"/>
        <v>1</v>
      </c>
      <c r="U16" s="476">
        <v>1024343</v>
      </c>
      <c r="V16" s="480">
        <f t="shared" si="14"/>
        <v>364</v>
      </c>
      <c r="W16" s="476">
        <f t="shared" si="20"/>
        <v>31845</v>
      </c>
      <c r="X16" s="480">
        <f>W16-W15</f>
        <v>0</v>
      </c>
      <c r="Y16" s="476">
        <f t="shared" si="21"/>
        <v>624440</v>
      </c>
      <c r="Z16" s="480">
        <f>Y16-Y15</f>
        <v>0</v>
      </c>
      <c r="AA16" s="476">
        <v>34895</v>
      </c>
      <c r="AB16" s="480">
        <f>AA16-AA15</f>
        <v>5</v>
      </c>
      <c r="AC16" s="476">
        <v>743301</v>
      </c>
      <c r="AD16" s="480">
        <f t="shared" si="16"/>
        <v>837</v>
      </c>
      <c r="AE16" s="503">
        <f t="shared" si="8"/>
        <v>6</v>
      </c>
      <c r="AF16" s="504">
        <f t="shared" si="9"/>
        <v>1201</v>
      </c>
      <c r="AG16" s="496">
        <f t="shared" si="27"/>
        <v>200.16666666666666</v>
      </c>
      <c r="AI16" s="497">
        <f>R16-'EDl log'!B14</f>
        <v>-49470408</v>
      </c>
    </row>
    <row r="17" spans="1:35">
      <c r="A17" s="488">
        <f>'General information '!F20</f>
        <v>0.247</v>
      </c>
      <c r="B17" s="482">
        <f t="shared" si="5"/>
        <v>56.81</v>
      </c>
      <c r="C17" s="489">
        <v>43876</v>
      </c>
      <c r="D17" s="476">
        <v>31426858</v>
      </c>
      <c r="E17" s="477">
        <f t="shared" si="6"/>
        <v>3528</v>
      </c>
      <c r="F17" s="476">
        <v>3526558.8</v>
      </c>
      <c r="G17" s="478">
        <f t="shared" si="0"/>
        <v>2236.7999999998137</v>
      </c>
      <c r="H17" s="476">
        <v>17315262</v>
      </c>
      <c r="I17" s="328">
        <f t="shared" si="10"/>
        <v>2274</v>
      </c>
      <c r="J17" s="476">
        <v>28303566</v>
      </c>
      <c r="K17" s="328">
        <f t="shared" si="11"/>
        <v>1516</v>
      </c>
      <c r="L17" s="476">
        <v>22703290</v>
      </c>
      <c r="M17" s="328">
        <f t="shared" si="12"/>
        <v>3616</v>
      </c>
      <c r="N17" s="327">
        <f t="shared" si="13"/>
        <v>13170.799999999814</v>
      </c>
      <c r="O17" s="498">
        <f t="shared" si="26"/>
        <v>231.83946488293986</v>
      </c>
      <c r="P17" s="476">
        <v>15336.825000000001</v>
      </c>
      <c r="Q17" s="480">
        <f t="shared" si="28"/>
        <v>2494.0000000005966</v>
      </c>
      <c r="R17" s="480">
        <f t="shared" si="17"/>
        <v>10676.799999999217</v>
      </c>
      <c r="S17" s="476">
        <f t="shared" si="18"/>
        <v>8384</v>
      </c>
      <c r="T17" s="500">
        <f t="shared" si="2"/>
        <v>0</v>
      </c>
      <c r="U17" s="476">
        <f t="shared" si="19"/>
        <v>1024343</v>
      </c>
      <c r="V17" s="480">
        <f t="shared" si="14"/>
        <v>0</v>
      </c>
      <c r="W17" s="476">
        <f t="shared" si="20"/>
        <v>31845</v>
      </c>
      <c r="X17" s="480">
        <f t="shared" si="23"/>
        <v>0</v>
      </c>
      <c r="Y17" s="476">
        <f t="shared" si="21"/>
        <v>624440</v>
      </c>
      <c r="Z17" s="480">
        <f t="shared" si="22"/>
        <v>0</v>
      </c>
      <c r="AA17" s="476">
        <v>34900</v>
      </c>
      <c r="AB17" s="480">
        <f t="shared" si="15"/>
        <v>5</v>
      </c>
      <c r="AC17" s="476">
        <v>744360</v>
      </c>
      <c r="AD17" s="480">
        <f t="shared" ref="AD17:AD32" si="29">AC17-AC16</f>
        <v>1059</v>
      </c>
      <c r="AE17" s="503">
        <f t="shared" si="8"/>
        <v>5</v>
      </c>
      <c r="AF17" s="504">
        <f t="shared" si="9"/>
        <v>1059</v>
      </c>
      <c r="AG17" s="496">
        <f t="shared" si="27"/>
        <v>211.8</v>
      </c>
      <c r="AI17" s="497">
        <f>R17-'EDl log'!B15</f>
        <v>-49476609.200000003</v>
      </c>
    </row>
    <row r="18" spans="1:35">
      <c r="A18" s="488">
        <f>'General information '!F21</f>
        <v>0.1696</v>
      </c>
      <c r="B18" s="482">
        <f t="shared" si="5"/>
        <v>39.008000000000003</v>
      </c>
      <c r="C18" s="489">
        <v>43877</v>
      </c>
      <c r="D18" s="476">
        <v>31430446</v>
      </c>
      <c r="E18" s="477">
        <f t="shared" si="6"/>
        <v>3588</v>
      </c>
      <c r="F18" s="476">
        <v>3528846</v>
      </c>
      <c r="G18" s="478">
        <f t="shared" si="0"/>
        <v>2287.2000000001863</v>
      </c>
      <c r="H18" s="476">
        <v>17317582</v>
      </c>
      <c r="I18" s="328">
        <f t="shared" si="10"/>
        <v>2320</v>
      </c>
      <c r="J18" s="476">
        <v>28305092</v>
      </c>
      <c r="K18" s="328">
        <f t="shared" si="11"/>
        <v>1526</v>
      </c>
      <c r="L18" s="476">
        <v>22707034</v>
      </c>
      <c r="M18" s="328">
        <f t="shared" si="12"/>
        <v>3744</v>
      </c>
      <c r="N18" s="327">
        <f t="shared" si="13"/>
        <v>13465.200000000186</v>
      </c>
      <c r="O18" s="498">
        <f t="shared" si="26"/>
        <v>345.19073010664954</v>
      </c>
      <c r="P18" s="476">
        <v>15337.7</v>
      </c>
      <c r="Q18" s="480">
        <f t="shared" si="28"/>
        <v>875</v>
      </c>
      <c r="R18" s="480">
        <f t="shared" si="17"/>
        <v>12590.200000000186</v>
      </c>
      <c r="S18" s="476">
        <f t="shared" si="18"/>
        <v>8384</v>
      </c>
      <c r="T18" s="500">
        <f t="shared" si="2"/>
        <v>0</v>
      </c>
      <c r="U18" s="476">
        <f t="shared" si="19"/>
        <v>1024343</v>
      </c>
      <c r="V18" s="480">
        <f t="shared" si="14"/>
        <v>0</v>
      </c>
      <c r="W18" s="476">
        <f t="shared" si="20"/>
        <v>31845</v>
      </c>
      <c r="X18" s="480">
        <f t="shared" si="23"/>
        <v>0</v>
      </c>
      <c r="Y18" s="476">
        <f t="shared" si="21"/>
        <v>624440</v>
      </c>
      <c r="Z18" s="480">
        <f t="shared" si="22"/>
        <v>0</v>
      </c>
      <c r="AA18" s="476">
        <v>34903</v>
      </c>
      <c r="AB18" s="480">
        <f t="shared" si="15"/>
        <v>3</v>
      </c>
      <c r="AC18" s="476">
        <v>744994</v>
      </c>
      <c r="AD18" s="480">
        <f t="shared" si="29"/>
        <v>634</v>
      </c>
      <c r="AE18" s="503">
        <f t="shared" si="8"/>
        <v>3</v>
      </c>
      <c r="AF18" s="504">
        <f t="shared" si="9"/>
        <v>634</v>
      </c>
      <c r="AG18" s="496">
        <f t="shared" si="27"/>
        <v>211.33333333333334</v>
      </c>
      <c r="AI18" s="497">
        <f>R18-'EDl log'!B16</f>
        <v>-49479604.799999997</v>
      </c>
    </row>
    <row r="19" spans="1:35">
      <c r="A19" s="488">
        <f>'General information '!F22</f>
        <v>0.23039999999999999</v>
      </c>
      <c r="B19" s="482">
        <f t="shared" si="5"/>
        <v>52.991999999999997</v>
      </c>
      <c r="C19" s="489">
        <v>43878</v>
      </c>
      <c r="D19" s="476">
        <v>31434710</v>
      </c>
      <c r="E19" s="477">
        <f t="shared" si="6"/>
        <v>4264</v>
      </c>
      <c r="F19" s="476">
        <v>3530950</v>
      </c>
      <c r="G19" s="478">
        <f t="shared" si="0"/>
        <v>2104</v>
      </c>
      <c r="H19" s="476">
        <v>17319762</v>
      </c>
      <c r="I19" s="328">
        <f t="shared" si="10"/>
        <v>2180</v>
      </c>
      <c r="J19" s="476">
        <v>28306616</v>
      </c>
      <c r="K19" s="328">
        <f t="shared" si="11"/>
        <v>1524</v>
      </c>
      <c r="L19" s="476">
        <v>22710454</v>
      </c>
      <c r="M19" s="328">
        <f t="shared" si="12"/>
        <v>3420</v>
      </c>
      <c r="N19" s="327">
        <f t="shared" si="13"/>
        <v>13492</v>
      </c>
      <c r="O19" s="498">
        <f t="shared" si="26"/>
        <v>254.60446859903382</v>
      </c>
      <c r="P19" s="476">
        <v>15339.919</v>
      </c>
      <c r="Q19" s="480">
        <f t="shared" si="28"/>
        <v>2218.9999999991414</v>
      </c>
      <c r="R19" s="480">
        <f t="shared" si="17"/>
        <v>11273.000000000859</v>
      </c>
      <c r="S19" s="476">
        <v>8384</v>
      </c>
      <c r="T19" s="500">
        <f t="shared" si="2"/>
        <v>0</v>
      </c>
      <c r="U19" s="476">
        <v>1024343</v>
      </c>
      <c r="V19" s="480">
        <f t="shared" si="14"/>
        <v>0</v>
      </c>
      <c r="W19" s="476">
        <v>31845</v>
      </c>
      <c r="X19" s="480">
        <f t="shared" si="23"/>
        <v>0</v>
      </c>
      <c r="Y19" s="476">
        <v>624440</v>
      </c>
      <c r="Z19" s="480">
        <f t="shared" si="22"/>
        <v>0</v>
      </c>
      <c r="AA19" s="476">
        <v>34907</v>
      </c>
      <c r="AB19" s="480">
        <f t="shared" si="15"/>
        <v>4</v>
      </c>
      <c r="AC19" s="476">
        <v>745923</v>
      </c>
      <c r="AD19" s="480">
        <f t="shared" si="29"/>
        <v>929</v>
      </c>
      <c r="AE19" s="503">
        <f t="shared" si="8"/>
        <v>4</v>
      </c>
      <c r="AF19" s="504">
        <f t="shared" si="9"/>
        <v>929</v>
      </c>
      <c r="AG19" s="496">
        <f t="shared" si="27"/>
        <v>232.25</v>
      </c>
      <c r="AI19" s="497">
        <f>R19-'EDl log'!B17</f>
        <v>-49487057</v>
      </c>
    </row>
    <row r="20" spans="1:35">
      <c r="A20" s="488">
        <f>'General information '!F23</f>
        <v>0.23480000000000001</v>
      </c>
      <c r="B20" s="482">
        <f t="shared" si="5"/>
        <v>54.004000000000005</v>
      </c>
      <c r="C20" s="489">
        <v>43879</v>
      </c>
      <c r="D20" s="476">
        <v>31438132</v>
      </c>
      <c r="E20" s="477">
        <f t="shared" si="6"/>
        <v>3422</v>
      </c>
      <c r="F20" s="476">
        <v>3532897</v>
      </c>
      <c r="G20" s="478">
        <f t="shared" si="0"/>
        <v>1947</v>
      </c>
      <c r="H20" s="476">
        <v>17321730</v>
      </c>
      <c r="I20" s="328">
        <f t="shared" si="10"/>
        <v>1968</v>
      </c>
      <c r="J20" s="476">
        <v>28308028</v>
      </c>
      <c r="K20" s="328">
        <f t="shared" si="11"/>
        <v>1412</v>
      </c>
      <c r="L20" s="476">
        <v>22713590</v>
      </c>
      <c r="M20" s="328">
        <f t="shared" si="12"/>
        <v>3136</v>
      </c>
      <c r="N20" s="327">
        <f t="shared" si="13"/>
        <v>11885</v>
      </c>
      <c r="O20" s="498">
        <f t="shared" si="26"/>
        <v>220.07629064513739</v>
      </c>
      <c r="P20" s="476">
        <v>15342.182000000001</v>
      </c>
      <c r="Q20" s="480">
        <f t="shared" si="28"/>
        <v>2263.0000000008295</v>
      </c>
      <c r="R20" s="480">
        <f t="shared" si="17"/>
        <v>9621.9999999991705</v>
      </c>
      <c r="S20" s="476">
        <v>8384</v>
      </c>
      <c r="T20" s="500">
        <f t="shared" si="2"/>
        <v>0</v>
      </c>
      <c r="U20" s="476">
        <v>1024343</v>
      </c>
      <c r="V20" s="480">
        <f t="shared" si="14"/>
        <v>0</v>
      </c>
      <c r="W20" s="476">
        <v>31845</v>
      </c>
      <c r="X20" s="480">
        <f t="shared" si="23"/>
        <v>0</v>
      </c>
      <c r="Y20" s="476">
        <v>624440</v>
      </c>
      <c r="Z20" s="480">
        <f t="shared" si="22"/>
        <v>0</v>
      </c>
      <c r="AA20" s="476">
        <v>34911</v>
      </c>
      <c r="AB20" s="480">
        <f t="shared" si="15"/>
        <v>4</v>
      </c>
      <c r="AC20" s="476">
        <v>746724</v>
      </c>
      <c r="AD20" s="480">
        <f t="shared" si="29"/>
        <v>801</v>
      </c>
      <c r="AE20" s="503">
        <f t="shared" si="8"/>
        <v>4</v>
      </c>
      <c r="AF20" s="504">
        <f t="shared" si="9"/>
        <v>801</v>
      </c>
      <c r="AG20" s="496">
        <f t="shared" si="27"/>
        <v>200.25</v>
      </c>
      <c r="AI20" s="497">
        <f>R20-'EDl log'!B18</f>
        <v>-49494226</v>
      </c>
    </row>
    <row r="21" spans="1:35">
      <c r="A21" s="488">
        <f>'General information '!F24</f>
        <v>0.23039999999999999</v>
      </c>
      <c r="B21" s="482">
        <f t="shared" si="5"/>
        <v>52.991999999999997</v>
      </c>
      <c r="C21" s="489">
        <v>43880</v>
      </c>
      <c r="D21" s="476">
        <v>31441234</v>
      </c>
      <c r="E21" s="477">
        <f t="shared" si="6"/>
        <v>3102</v>
      </c>
      <c r="F21" s="476">
        <v>3534911</v>
      </c>
      <c r="G21" s="478">
        <f t="shared" si="0"/>
        <v>2014</v>
      </c>
      <c r="H21" s="476">
        <v>17323880</v>
      </c>
      <c r="I21" s="328">
        <f t="shared" si="10"/>
        <v>2150</v>
      </c>
      <c r="J21" s="476">
        <v>28309470</v>
      </c>
      <c r="K21" s="328">
        <f t="shared" si="11"/>
        <v>1442</v>
      </c>
      <c r="L21" s="476">
        <v>22716958</v>
      </c>
      <c r="M21" s="328">
        <f t="shared" si="12"/>
        <v>3368</v>
      </c>
      <c r="N21" s="327">
        <f t="shared" si="13"/>
        <v>12076</v>
      </c>
      <c r="O21" s="498">
        <f t="shared" si="26"/>
        <v>227.8834541062802</v>
      </c>
      <c r="P21" s="476">
        <v>15344.795</v>
      </c>
      <c r="Q21" s="480">
        <f>(P21-P20)*1000</f>
        <v>2612.9999999993743</v>
      </c>
      <c r="R21" s="480">
        <f t="shared" si="17"/>
        <v>9463.0000000006257</v>
      </c>
      <c r="S21" s="476">
        <v>8384</v>
      </c>
      <c r="T21" s="500">
        <f t="shared" si="2"/>
        <v>0</v>
      </c>
      <c r="U21" s="476">
        <v>1024343</v>
      </c>
      <c r="V21" s="480">
        <f t="shared" si="14"/>
        <v>0</v>
      </c>
      <c r="W21" s="476">
        <v>31845</v>
      </c>
      <c r="X21" s="480">
        <f t="shared" si="23"/>
        <v>0</v>
      </c>
      <c r="Y21" s="476">
        <v>624440</v>
      </c>
      <c r="Z21" s="480">
        <f t="shared" si="22"/>
        <v>0</v>
      </c>
      <c r="AA21" s="476">
        <v>34913</v>
      </c>
      <c r="AB21" s="480">
        <f t="shared" si="15"/>
        <v>2</v>
      </c>
      <c r="AC21" s="476">
        <v>747174</v>
      </c>
      <c r="AD21" s="480">
        <f t="shared" si="29"/>
        <v>450</v>
      </c>
      <c r="AE21" s="503">
        <f t="shared" si="8"/>
        <v>2</v>
      </c>
      <c r="AF21" s="504">
        <f t="shared" si="9"/>
        <v>450</v>
      </c>
      <c r="AG21" s="496">
        <f t="shared" si="27"/>
        <v>225</v>
      </c>
      <c r="AI21" s="497">
        <f>R21-'EDl log'!B19</f>
        <v>-49500889</v>
      </c>
    </row>
    <row r="22" spans="1:35">
      <c r="A22" s="488">
        <f>'General information '!F25</f>
        <v>0.2261</v>
      </c>
      <c r="B22" s="482">
        <f t="shared" si="5"/>
        <v>52.003</v>
      </c>
      <c r="C22" s="489">
        <v>43881</v>
      </c>
      <c r="D22" s="476">
        <v>31444914</v>
      </c>
      <c r="E22" s="477">
        <f t="shared" si="6"/>
        <v>3680</v>
      </c>
      <c r="F22" s="476">
        <v>3536916</v>
      </c>
      <c r="G22" s="478">
        <f t="shared" si="0"/>
        <v>2005</v>
      </c>
      <c r="H22" s="476">
        <v>17325874</v>
      </c>
      <c r="I22" s="328">
        <f t="shared" si="10"/>
        <v>1994</v>
      </c>
      <c r="J22" s="476">
        <v>28310926</v>
      </c>
      <c r="K22" s="328">
        <f t="shared" si="11"/>
        <v>1456</v>
      </c>
      <c r="L22" s="476">
        <v>22720206</v>
      </c>
      <c r="M22" s="328">
        <f t="shared" si="12"/>
        <v>3248</v>
      </c>
      <c r="N22" s="327">
        <f t="shared" si="13"/>
        <v>12383</v>
      </c>
      <c r="O22" s="498">
        <f t="shared" si="26"/>
        <v>238.12087764167453</v>
      </c>
      <c r="P22" s="476">
        <v>15346.83</v>
      </c>
      <c r="Q22" s="480">
        <f t="shared" si="28"/>
        <v>2034.9999999998545</v>
      </c>
      <c r="R22" s="480">
        <f t="shared" si="17"/>
        <v>10348.000000000146</v>
      </c>
      <c r="S22" s="476">
        <v>8384</v>
      </c>
      <c r="T22" s="500">
        <f t="shared" si="2"/>
        <v>0</v>
      </c>
      <c r="U22" s="476">
        <v>1024343</v>
      </c>
      <c r="V22" s="480">
        <f t="shared" si="14"/>
        <v>0</v>
      </c>
      <c r="W22" s="476">
        <v>31845</v>
      </c>
      <c r="X22" s="480">
        <f t="shared" si="23"/>
        <v>0</v>
      </c>
      <c r="Y22" s="476">
        <v>624440</v>
      </c>
      <c r="Z22" s="480">
        <f t="shared" si="22"/>
        <v>0</v>
      </c>
      <c r="AA22" s="476">
        <v>34918</v>
      </c>
      <c r="AB22" s="480">
        <f t="shared" si="15"/>
        <v>5</v>
      </c>
      <c r="AC22" s="476">
        <v>748034</v>
      </c>
      <c r="AD22" s="480">
        <f t="shared" si="29"/>
        <v>860</v>
      </c>
      <c r="AE22" s="503">
        <f t="shared" si="8"/>
        <v>5</v>
      </c>
      <c r="AF22" s="504">
        <f t="shared" si="9"/>
        <v>860</v>
      </c>
      <c r="AG22" s="496">
        <f t="shared" si="27"/>
        <v>172</v>
      </c>
      <c r="AI22" s="497">
        <f>R22-'EDl log'!B20</f>
        <v>-49505865</v>
      </c>
    </row>
    <row r="23" spans="1:35">
      <c r="A23" s="488">
        <f>'General information '!F26</f>
        <v>0.24779999999999999</v>
      </c>
      <c r="B23" s="482">
        <f t="shared" si="5"/>
        <v>56.994</v>
      </c>
      <c r="C23" s="489">
        <v>43882</v>
      </c>
      <c r="D23" s="476">
        <v>31449362</v>
      </c>
      <c r="E23" s="477">
        <f t="shared" si="6"/>
        <v>4448</v>
      </c>
      <c r="F23" s="476">
        <v>3538936</v>
      </c>
      <c r="G23" s="478">
        <f t="shared" si="0"/>
        <v>2020</v>
      </c>
      <c r="H23" s="476">
        <v>17327918</v>
      </c>
      <c r="I23" s="469">
        <f t="shared" si="10"/>
        <v>2044</v>
      </c>
      <c r="J23" s="476">
        <v>28312595</v>
      </c>
      <c r="K23" s="328">
        <f t="shared" si="11"/>
        <v>1669</v>
      </c>
      <c r="L23" s="476">
        <v>22723562</v>
      </c>
      <c r="M23" s="328">
        <f t="shared" si="12"/>
        <v>3356</v>
      </c>
      <c r="N23" s="327">
        <f t="shared" si="13"/>
        <v>13537</v>
      </c>
      <c r="O23" s="498">
        <f t="shared" si="26"/>
        <v>237.51622977857318</v>
      </c>
      <c r="P23" s="476">
        <v>15349.098</v>
      </c>
      <c r="Q23" s="480">
        <f t="shared" si="28"/>
        <v>2268.0000000000291</v>
      </c>
      <c r="R23" s="480">
        <f t="shared" si="17"/>
        <v>11268.999999999971</v>
      </c>
      <c r="S23" s="476">
        <v>8384</v>
      </c>
      <c r="T23" s="500">
        <f t="shared" si="2"/>
        <v>0</v>
      </c>
      <c r="U23" s="476">
        <f t="shared" si="19"/>
        <v>1024343</v>
      </c>
      <c r="V23" s="480">
        <f t="shared" si="14"/>
        <v>0</v>
      </c>
      <c r="W23" s="476">
        <f t="shared" si="20"/>
        <v>31845</v>
      </c>
      <c r="X23" s="480">
        <f t="shared" si="23"/>
        <v>0</v>
      </c>
      <c r="Y23" s="476">
        <f t="shared" si="21"/>
        <v>624440</v>
      </c>
      <c r="Z23" s="480">
        <f t="shared" si="22"/>
        <v>0</v>
      </c>
      <c r="AA23" s="476">
        <v>34924</v>
      </c>
      <c r="AB23" s="480">
        <f t="shared" si="15"/>
        <v>6</v>
      </c>
      <c r="AC23" s="476">
        <v>749155</v>
      </c>
      <c r="AD23" s="480">
        <f t="shared" si="29"/>
        <v>1121</v>
      </c>
      <c r="AE23" s="503">
        <f t="shared" si="8"/>
        <v>6</v>
      </c>
      <c r="AF23" s="504">
        <f t="shared" si="9"/>
        <v>1121</v>
      </c>
      <c r="AG23" s="496">
        <f t="shared" si="27"/>
        <v>186.83333333333334</v>
      </c>
      <c r="AI23" s="497">
        <f>R23-'EDl log'!B21</f>
        <v>-49509924</v>
      </c>
    </row>
    <row r="24" spans="1:35">
      <c r="A24" s="488">
        <f>'General information '!F27</f>
        <v>0.18260000000000001</v>
      </c>
      <c r="B24" s="482">
        <f t="shared" si="5"/>
        <v>41.998000000000005</v>
      </c>
      <c r="C24" s="489">
        <v>43883</v>
      </c>
      <c r="D24" s="476">
        <v>31453650</v>
      </c>
      <c r="E24" s="477">
        <f t="shared" si="6"/>
        <v>4288</v>
      </c>
      <c r="F24" s="476">
        <v>3541037</v>
      </c>
      <c r="G24" s="478">
        <f t="shared" si="0"/>
        <v>2101</v>
      </c>
      <c r="H24" s="476">
        <v>17330058</v>
      </c>
      <c r="I24" s="328">
        <f t="shared" si="10"/>
        <v>2140</v>
      </c>
      <c r="J24" s="476">
        <v>28314274</v>
      </c>
      <c r="K24" s="328">
        <f t="shared" si="11"/>
        <v>1679</v>
      </c>
      <c r="L24" s="476">
        <v>22727126</v>
      </c>
      <c r="M24" s="328">
        <f t="shared" si="12"/>
        <v>3564</v>
      </c>
      <c r="N24" s="327">
        <f t="shared" si="13"/>
        <v>13772</v>
      </c>
      <c r="O24" s="498">
        <f t="shared" si="26"/>
        <v>327.92037716081717</v>
      </c>
      <c r="P24" s="476">
        <v>15351.762000000001</v>
      </c>
      <c r="Q24" s="480">
        <f t="shared" si="28"/>
        <v>2664.0000000006694</v>
      </c>
      <c r="R24" s="480">
        <f t="shared" si="17"/>
        <v>11107.999999999331</v>
      </c>
      <c r="S24" s="476">
        <f t="shared" si="18"/>
        <v>8384</v>
      </c>
      <c r="T24" s="500">
        <f t="shared" si="2"/>
        <v>0</v>
      </c>
      <c r="U24" s="476">
        <f t="shared" si="19"/>
        <v>1024343</v>
      </c>
      <c r="V24" s="480">
        <f t="shared" si="14"/>
        <v>0</v>
      </c>
      <c r="W24" s="476">
        <f t="shared" si="20"/>
        <v>31845</v>
      </c>
      <c r="X24" s="480">
        <f t="shared" si="23"/>
        <v>0</v>
      </c>
      <c r="Y24" s="476">
        <f t="shared" si="21"/>
        <v>624440</v>
      </c>
      <c r="Z24" s="480">
        <f t="shared" si="22"/>
        <v>0</v>
      </c>
      <c r="AA24" s="476">
        <v>34929</v>
      </c>
      <c r="AB24" s="480">
        <f t="shared" si="15"/>
        <v>5</v>
      </c>
      <c r="AC24" s="476">
        <v>750150</v>
      </c>
      <c r="AD24" s="480">
        <f t="shared" si="29"/>
        <v>995</v>
      </c>
      <c r="AE24" s="503">
        <f t="shared" si="8"/>
        <v>5</v>
      </c>
      <c r="AF24" s="504">
        <f t="shared" si="9"/>
        <v>995</v>
      </c>
      <c r="AG24" s="496">
        <f t="shared" si="27"/>
        <v>199</v>
      </c>
      <c r="AI24" s="497">
        <f>R24-'EDl log'!B22</f>
        <v>-49514934</v>
      </c>
    </row>
    <row r="25" spans="1:35">
      <c r="A25" s="488">
        <f>'General information '!F28</f>
        <v>0.1391</v>
      </c>
      <c r="B25" s="482">
        <f t="shared" si="5"/>
        <v>31.993000000000002</v>
      </c>
      <c r="C25" s="489">
        <v>43884</v>
      </c>
      <c r="D25" s="476">
        <v>31458170</v>
      </c>
      <c r="E25" s="477">
        <f t="shared" si="6"/>
        <v>4520</v>
      </c>
      <c r="F25" s="476">
        <v>3543226</v>
      </c>
      <c r="G25" s="478">
        <f t="shared" si="0"/>
        <v>2189</v>
      </c>
      <c r="H25" s="476">
        <v>17332322</v>
      </c>
      <c r="I25" s="328">
        <f t="shared" si="10"/>
        <v>2264</v>
      </c>
      <c r="J25" s="476">
        <v>28316014</v>
      </c>
      <c r="K25" s="328">
        <f t="shared" si="11"/>
        <v>1740</v>
      </c>
      <c r="L25" s="476">
        <v>22730712</v>
      </c>
      <c r="M25" s="328">
        <f t="shared" si="12"/>
        <v>3586</v>
      </c>
      <c r="N25" s="327">
        <f t="shared" si="13"/>
        <v>14299</v>
      </c>
      <c r="O25" s="498">
        <f t="shared" si="26"/>
        <v>446.94151845716249</v>
      </c>
      <c r="P25" s="476">
        <v>15355.608</v>
      </c>
      <c r="Q25" s="480">
        <f t="shared" si="28"/>
        <v>3845.9999999995489</v>
      </c>
      <c r="R25" s="480">
        <f t="shared" si="17"/>
        <v>10453.000000000451</v>
      </c>
      <c r="S25" s="476">
        <v>8384</v>
      </c>
      <c r="T25" s="500">
        <f t="shared" si="2"/>
        <v>0</v>
      </c>
      <c r="U25" s="476">
        <v>1024343</v>
      </c>
      <c r="V25" s="480">
        <f t="shared" si="14"/>
        <v>0</v>
      </c>
      <c r="W25" s="476">
        <v>31845</v>
      </c>
      <c r="X25" s="480">
        <f t="shared" si="23"/>
        <v>0</v>
      </c>
      <c r="Y25" s="476">
        <v>624440</v>
      </c>
      <c r="Z25" s="480">
        <f t="shared" si="22"/>
        <v>0</v>
      </c>
      <c r="AA25" s="476">
        <v>34936</v>
      </c>
      <c r="AB25" s="480">
        <f t="shared" si="15"/>
        <v>7</v>
      </c>
      <c r="AC25" s="476">
        <v>751223</v>
      </c>
      <c r="AD25" s="480">
        <f t="shared" si="29"/>
        <v>1073</v>
      </c>
      <c r="AE25" s="503">
        <f t="shared" si="8"/>
        <v>7</v>
      </c>
      <c r="AF25" s="504">
        <f t="shared" si="9"/>
        <v>1073</v>
      </c>
      <c r="AG25" s="496">
        <f t="shared" si="27"/>
        <v>153.28571428571428</v>
      </c>
      <c r="AI25" s="497">
        <f>R25-'EDl log'!B23</f>
        <v>-49520999</v>
      </c>
    </row>
    <row r="26" spans="1:35">
      <c r="A26" s="488">
        <f>'General information '!F29</f>
        <v>0</v>
      </c>
      <c r="B26" s="482">
        <f t="shared" si="5"/>
        <v>0</v>
      </c>
      <c r="C26" s="489">
        <v>43885</v>
      </c>
      <c r="D26" s="476">
        <f t="shared" ref="D26:D33" si="30">D25</f>
        <v>31458170</v>
      </c>
      <c r="E26" s="477">
        <f t="shared" si="6"/>
        <v>0</v>
      </c>
      <c r="F26" s="476">
        <f t="shared" ref="F26:F33" si="31">F25</f>
        <v>3543226</v>
      </c>
      <c r="G26" s="478">
        <f t="shared" si="0"/>
        <v>0</v>
      </c>
      <c r="H26" s="476">
        <f t="shared" ref="H26:H33" si="32">H25</f>
        <v>17332322</v>
      </c>
      <c r="I26" s="328">
        <f t="shared" si="10"/>
        <v>0</v>
      </c>
      <c r="J26" s="476">
        <f t="shared" ref="J26:J33" si="33">J25</f>
        <v>28316014</v>
      </c>
      <c r="K26" s="328">
        <f t="shared" si="11"/>
        <v>0</v>
      </c>
      <c r="L26" s="476">
        <f t="shared" ref="L26:L33" si="34">L25</f>
        <v>22730712</v>
      </c>
      <c r="M26" s="328">
        <f t="shared" si="12"/>
        <v>0</v>
      </c>
      <c r="N26" s="327">
        <f t="shared" si="13"/>
        <v>0</v>
      </c>
      <c r="O26" s="498">
        <f t="shared" si="26"/>
        <v>0</v>
      </c>
      <c r="P26" s="476">
        <f t="shared" ref="P26:P33" si="35">P25</f>
        <v>15355.608</v>
      </c>
      <c r="Q26" s="480">
        <f t="shared" si="28"/>
        <v>0</v>
      </c>
      <c r="R26" s="505">
        <f>N26-Q26</f>
        <v>0</v>
      </c>
      <c r="S26" s="476">
        <f t="shared" si="18"/>
        <v>8384</v>
      </c>
      <c r="T26" s="500">
        <f t="shared" si="2"/>
        <v>0</v>
      </c>
      <c r="U26" s="476">
        <f t="shared" si="19"/>
        <v>1024343</v>
      </c>
      <c r="V26" s="480">
        <f t="shared" si="14"/>
        <v>0</v>
      </c>
      <c r="W26" s="476">
        <f t="shared" si="20"/>
        <v>31845</v>
      </c>
      <c r="X26" s="480">
        <f t="shared" si="23"/>
        <v>0</v>
      </c>
      <c r="Y26" s="476">
        <f t="shared" si="21"/>
        <v>624440</v>
      </c>
      <c r="Z26" s="480">
        <f t="shared" si="22"/>
        <v>0</v>
      </c>
      <c r="AA26" s="476">
        <f t="shared" si="24"/>
        <v>34936</v>
      </c>
      <c r="AB26" s="480">
        <f t="shared" si="15"/>
        <v>0</v>
      </c>
      <c r="AC26" s="476">
        <f t="shared" si="25"/>
        <v>751223</v>
      </c>
      <c r="AD26" s="480">
        <f t="shared" si="29"/>
        <v>0</v>
      </c>
      <c r="AE26" s="503">
        <f t="shared" si="8"/>
        <v>0</v>
      </c>
      <c r="AF26" s="504">
        <f t="shared" si="9"/>
        <v>0</v>
      </c>
      <c r="AG26" s="496">
        <f t="shared" si="27"/>
        <v>0</v>
      </c>
      <c r="AI26" s="497">
        <f>R26-'EDl log'!B24</f>
        <v>-49537279</v>
      </c>
    </row>
    <row r="27" spans="1:35">
      <c r="A27" s="488">
        <f>'General information '!F30</f>
        <v>0</v>
      </c>
      <c r="B27" s="482">
        <f t="shared" si="5"/>
        <v>0</v>
      </c>
      <c r="C27" s="489">
        <v>43886</v>
      </c>
      <c r="D27" s="476">
        <f t="shared" si="30"/>
        <v>31458170</v>
      </c>
      <c r="E27" s="477">
        <f t="shared" si="6"/>
        <v>0</v>
      </c>
      <c r="F27" s="476">
        <f t="shared" si="31"/>
        <v>3543226</v>
      </c>
      <c r="G27" s="478">
        <f t="shared" si="0"/>
        <v>0</v>
      </c>
      <c r="H27" s="476">
        <f t="shared" si="32"/>
        <v>17332322</v>
      </c>
      <c r="I27" s="328">
        <f t="shared" si="10"/>
        <v>0</v>
      </c>
      <c r="J27" s="476">
        <f t="shared" si="33"/>
        <v>28316014</v>
      </c>
      <c r="K27" s="328">
        <f t="shared" si="11"/>
        <v>0</v>
      </c>
      <c r="L27" s="476">
        <f t="shared" si="34"/>
        <v>22730712</v>
      </c>
      <c r="M27" s="328">
        <f t="shared" si="12"/>
        <v>0</v>
      </c>
      <c r="N27" s="327">
        <f t="shared" si="13"/>
        <v>0</v>
      </c>
      <c r="O27" s="498">
        <f t="shared" si="26"/>
        <v>0</v>
      </c>
      <c r="P27" s="476">
        <f t="shared" si="35"/>
        <v>15355.608</v>
      </c>
      <c r="Q27" s="480">
        <f t="shared" si="28"/>
        <v>0</v>
      </c>
      <c r="R27" s="480">
        <f t="shared" si="17"/>
        <v>0</v>
      </c>
      <c r="S27" s="476">
        <f t="shared" si="18"/>
        <v>8384</v>
      </c>
      <c r="T27" s="500">
        <f t="shared" si="2"/>
        <v>0</v>
      </c>
      <c r="U27" s="476">
        <f t="shared" si="19"/>
        <v>1024343</v>
      </c>
      <c r="V27" s="480">
        <f t="shared" si="14"/>
        <v>0</v>
      </c>
      <c r="W27" s="476">
        <f t="shared" si="20"/>
        <v>31845</v>
      </c>
      <c r="X27" s="480">
        <f t="shared" si="23"/>
        <v>0</v>
      </c>
      <c r="Y27" s="476">
        <f t="shared" si="21"/>
        <v>624440</v>
      </c>
      <c r="Z27" s="480">
        <f t="shared" si="22"/>
        <v>0</v>
      </c>
      <c r="AA27" s="476">
        <f t="shared" si="24"/>
        <v>34936</v>
      </c>
      <c r="AB27" s="480">
        <f t="shared" si="15"/>
        <v>0</v>
      </c>
      <c r="AC27" s="476">
        <f t="shared" si="25"/>
        <v>751223</v>
      </c>
      <c r="AD27" s="480">
        <f t="shared" si="29"/>
        <v>0</v>
      </c>
      <c r="AE27" s="503">
        <f t="shared" si="8"/>
        <v>0</v>
      </c>
      <c r="AF27" s="504">
        <f t="shared" si="9"/>
        <v>0</v>
      </c>
      <c r="AG27" s="496">
        <f t="shared" si="27"/>
        <v>0</v>
      </c>
      <c r="AI27" s="497">
        <f>R27-'EDl log'!B25</f>
        <v>-49543046</v>
      </c>
    </row>
    <row r="28" spans="1:35">
      <c r="A28" s="488">
        <f>'General information '!F31</f>
        <v>0</v>
      </c>
      <c r="B28" s="482">
        <f t="shared" si="5"/>
        <v>0</v>
      </c>
      <c r="C28" s="489">
        <v>43887</v>
      </c>
      <c r="D28" s="476">
        <f t="shared" si="30"/>
        <v>31458170</v>
      </c>
      <c r="E28" s="477">
        <f t="shared" si="6"/>
        <v>0</v>
      </c>
      <c r="F28" s="476">
        <f t="shared" si="31"/>
        <v>3543226</v>
      </c>
      <c r="G28" s="478">
        <f t="shared" si="0"/>
        <v>0</v>
      </c>
      <c r="H28" s="476">
        <f t="shared" si="32"/>
        <v>17332322</v>
      </c>
      <c r="I28" s="328">
        <f t="shared" si="10"/>
        <v>0</v>
      </c>
      <c r="J28" s="476">
        <f t="shared" si="33"/>
        <v>28316014</v>
      </c>
      <c r="K28" s="328">
        <f t="shared" si="11"/>
        <v>0</v>
      </c>
      <c r="L28" s="476">
        <f t="shared" si="34"/>
        <v>22730712</v>
      </c>
      <c r="M28" s="328">
        <f t="shared" si="12"/>
        <v>0</v>
      </c>
      <c r="N28" s="327">
        <f t="shared" si="13"/>
        <v>0</v>
      </c>
      <c r="O28" s="498">
        <f t="shared" si="26"/>
        <v>0</v>
      </c>
      <c r="P28" s="476">
        <f t="shared" si="35"/>
        <v>15355.608</v>
      </c>
      <c r="Q28" s="480">
        <f t="shared" si="28"/>
        <v>0</v>
      </c>
      <c r="R28" s="480">
        <f>N28-Q28</f>
        <v>0</v>
      </c>
      <c r="S28" s="476">
        <f t="shared" si="18"/>
        <v>8384</v>
      </c>
      <c r="T28" s="500">
        <f t="shared" si="2"/>
        <v>0</v>
      </c>
      <c r="U28" s="476">
        <f t="shared" si="19"/>
        <v>1024343</v>
      </c>
      <c r="V28" s="480">
        <f t="shared" si="14"/>
        <v>0</v>
      </c>
      <c r="W28" s="476">
        <f t="shared" si="20"/>
        <v>31845</v>
      </c>
      <c r="X28" s="480">
        <f t="shared" si="23"/>
        <v>0</v>
      </c>
      <c r="Y28" s="476">
        <f t="shared" si="21"/>
        <v>624440</v>
      </c>
      <c r="Z28" s="480">
        <f t="shared" si="22"/>
        <v>0</v>
      </c>
      <c r="AA28" s="476">
        <f t="shared" si="24"/>
        <v>34936</v>
      </c>
      <c r="AB28" s="480">
        <f t="shared" si="15"/>
        <v>0</v>
      </c>
      <c r="AC28" s="476">
        <f t="shared" si="25"/>
        <v>751223</v>
      </c>
      <c r="AD28" s="480">
        <f t="shared" si="29"/>
        <v>0</v>
      </c>
      <c r="AE28" s="503">
        <f t="shared" si="8"/>
        <v>0</v>
      </c>
      <c r="AF28" s="504">
        <f t="shared" si="9"/>
        <v>0</v>
      </c>
      <c r="AG28" s="496">
        <f t="shared" si="27"/>
        <v>0</v>
      </c>
      <c r="AI28" s="497">
        <f>R28-'EDl log'!B26</f>
        <v>-49548451</v>
      </c>
    </row>
    <row r="29" spans="1:35">
      <c r="A29" s="488">
        <f>'General information '!F32</f>
        <v>0</v>
      </c>
      <c r="B29" s="482">
        <f>SUM(230*A29)</f>
        <v>0</v>
      </c>
      <c r="C29" s="489">
        <v>43888</v>
      </c>
      <c r="D29" s="476">
        <f t="shared" si="30"/>
        <v>31458170</v>
      </c>
      <c r="E29" s="477">
        <f t="shared" si="6"/>
        <v>0</v>
      </c>
      <c r="F29" s="476">
        <f t="shared" si="31"/>
        <v>3543226</v>
      </c>
      <c r="G29" s="478">
        <f t="shared" si="0"/>
        <v>0</v>
      </c>
      <c r="H29" s="476">
        <f t="shared" si="32"/>
        <v>17332322</v>
      </c>
      <c r="I29" s="328">
        <f t="shared" si="10"/>
        <v>0</v>
      </c>
      <c r="J29" s="476">
        <f t="shared" si="33"/>
        <v>28316014</v>
      </c>
      <c r="K29" s="328">
        <f t="shared" si="11"/>
        <v>0</v>
      </c>
      <c r="L29" s="476">
        <f t="shared" si="34"/>
        <v>22730712</v>
      </c>
      <c r="M29" s="328">
        <f t="shared" si="12"/>
        <v>0</v>
      </c>
      <c r="N29" s="327">
        <f t="shared" si="13"/>
        <v>0</v>
      </c>
      <c r="O29" s="498">
        <f t="shared" si="26"/>
        <v>0</v>
      </c>
      <c r="P29" s="476">
        <f t="shared" si="35"/>
        <v>15355.608</v>
      </c>
      <c r="Q29" s="480">
        <f t="shared" si="28"/>
        <v>0</v>
      </c>
      <c r="R29" s="480">
        <f t="shared" si="17"/>
        <v>0</v>
      </c>
      <c r="S29" s="476">
        <f t="shared" si="18"/>
        <v>8384</v>
      </c>
      <c r="T29" s="500">
        <f t="shared" si="2"/>
        <v>0</v>
      </c>
      <c r="U29" s="476">
        <f t="shared" si="19"/>
        <v>1024343</v>
      </c>
      <c r="V29" s="480">
        <f t="shared" si="14"/>
        <v>0</v>
      </c>
      <c r="W29" s="476">
        <f t="shared" si="20"/>
        <v>31845</v>
      </c>
      <c r="X29" s="480">
        <f t="shared" si="23"/>
        <v>0</v>
      </c>
      <c r="Y29" s="476">
        <f t="shared" si="21"/>
        <v>624440</v>
      </c>
      <c r="Z29" s="480">
        <f t="shared" si="22"/>
        <v>0</v>
      </c>
      <c r="AA29" s="476">
        <f t="shared" si="24"/>
        <v>34936</v>
      </c>
      <c r="AB29" s="480">
        <f t="shared" si="15"/>
        <v>0</v>
      </c>
      <c r="AC29" s="476">
        <f t="shared" si="25"/>
        <v>751223</v>
      </c>
      <c r="AD29" s="480">
        <f t="shared" si="29"/>
        <v>0</v>
      </c>
      <c r="AE29" s="503">
        <f t="shared" si="8"/>
        <v>0</v>
      </c>
      <c r="AF29" s="504">
        <f t="shared" si="9"/>
        <v>0</v>
      </c>
      <c r="AG29" s="496">
        <f t="shared" si="27"/>
        <v>0</v>
      </c>
      <c r="AI29" s="497">
        <f>R29-'EDl log'!B27</f>
        <v>-49548451</v>
      </c>
    </row>
    <row r="30" spans="1:35">
      <c r="A30" s="488">
        <f>'General information '!F33</f>
        <v>0</v>
      </c>
      <c r="B30" s="482">
        <f t="shared" si="5"/>
        <v>0</v>
      </c>
      <c r="C30" s="489">
        <v>43889</v>
      </c>
      <c r="D30" s="476">
        <f t="shared" si="30"/>
        <v>31458170</v>
      </c>
      <c r="E30" s="477">
        <f t="shared" si="6"/>
        <v>0</v>
      </c>
      <c r="F30" s="476">
        <f t="shared" si="31"/>
        <v>3543226</v>
      </c>
      <c r="G30" s="478">
        <f t="shared" si="0"/>
        <v>0</v>
      </c>
      <c r="H30" s="476">
        <f t="shared" si="32"/>
        <v>17332322</v>
      </c>
      <c r="I30" s="328">
        <f t="shared" si="10"/>
        <v>0</v>
      </c>
      <c r="J30" s="476">
        <f t="shared" si="33"/>
        <v>28316014</v>
      </c>
      <c r="K30" s="328">
        <f t="shared" si="11"/>
        <v>0</v>
      </c>
      <c r="L30" s="476">
        <f t="shared" si="34"/>
        <v>22730712</v>
      </c>
      <c r="M30" s="328">
        <f t="shared" si="12"/>
        <v>0</v>
      </c>
      <c r="N30" s="327">
        <f t="shared" si="13"/>
        <v>0</v>
      </c>
      <c r="O30" s="498">
        <f t="shared" si="26"/>
        <v>0</v>
      </c>
      <c r="P30" s="476">
        <f t="shared" si="35"/>
        <v>15355.608</v>
      </c>
      <c r="Q30" s="480">
        <f t="shared" si="28"/>
        <v>0</v>
      </c>
      <c r="R30" s="480">
        <f t="shared" si="17"/>
        <v>0</v>
      </c>
      <c r="S30" s="476">
        <f t="shared" si="18"/>
        <v>8384</v>
      </c>
      <c r="T30" s="500">
        <f t="shared" si="2"/>
        <v>0</v>
      </c>
      <c r="U30" s="476">
        <f t="shared" si="19"/>
        <v>1024343</v>
      </c>
      <c r="V30" s="480">
        <f t="shared" si="14"/>
        <v>0</v>
      </c>
      <c r="W30" s="476">
        <f t="shared" si="20"/>
        <v>31845</v>
      </c>
      <c r="X30" s="501">
        <f t="shared" si="23"/>
        <v>0</v>
      </c>
      <c r="Y30" s="476">
        <f t="shared" si="21"/>
        <v>624440</v>
      </c>
      <c r="Z30" s="480">
        <f t="shared" si="22"/>
        <v>0</v>
      </c>
      <c r="AA30" s="476">
        <f t="shared" si="24"/>
        <v>34936</v>
      </c>
      <c r="AB30" s="480">
        <f t="shared" si="15"/>
        <v>0</v>
      </c>
      <c r="AC30" s="476">
        <f t="shared" si="25"/>
        <v>751223</v>
      </c>
      <c r="AD30" s="480">
        <f t="shared" si="29"/>
        <v>0</v>
      </c>
      <c r="AE30" s="503">
        <f t="shared" si="8"/>
        <v>0</v>
      </c>
      <c r="AF30" s="504">
        <f t="shared" si="9"/>
        <v>0</v>
      </c>
      <c r="AG30" s="496">
        <f t="shared" si="27"/>
        <v>0</v>
      </c>
      <c r="AI30" s="497">
        <f>R30-'EDl log'!B28</f>
        <v>-49548451</v>
      </c>
    </row>
    <row r="31" spans="1:35">
      <c r="A31" s="488">
        <f>'General information '!F34</f>
        <v>0</v>
      </c>
      <c r="B31" s="482">
        <f t="shared" si="5"/>
        <v>0</v>
      </c>
      <c r="C31" s="489">
        <v>43890</v>
      </c>
      <c r="D31" s="476">
        <f t="shared" si="30"/>
        <v>31458170</v>
      </c>
      <c r="E31" s="477">
        <f t="shared" si="6"/>
        <v>0</v>
      </c>
      <c r="F31" s="476">
        <f t="shared" si="31"/>
        <v>3543226</v>
      </c>
      <c r="G31" s="478">
        <f t="shared" si="0"/>
        <v>0</v>
      </c>
      <c r="H31" s="476">
        <f t="shared" si="32"/>
        <v>17332322</v>
      </c>
      <c r="I31" s="328">
        <f t="shared" si="10"/>
        <v>0</v>
      </c>
      <c r="J31" s="476">
        <f t="shared" si="33"/>
        <v>28316014</v>
      </c>
      <c r="K31" s="328">
        <f t="shared" si="11"/>
        <v>0</v>
      </c>
      <c r="L31" s="476">
        <f t="shared" si="34"/>
        <v>22730712</v>
      </c>
      <c r="M31" s="328">
        <f t="shared" si="12"/>
        <v>0</v>
      </c>
      <c r="N31" s="327">
        <f t="shared" si="13"/>
        <v>0</v>
      </c>
      <c r="O31" s="498">
        <f t="shared" si="26"/>
        <v>0</v>
      </c>
      <c r="P31" s="476">
        <f t="shared" si="35"/>
        <v>15355.608</v>
      </c>
      <c r="Q31" s="480">
        <f t="shared" si="28"/>
        <v>0</v>
      </c>
      <c r="R31" s="480">
        <f t="shared" si="17"/>
        <v>0</v>
      </c>
      <c r="S31" s="476">
        <f t="shared" si="18"/>
        <v>8384</v>
      </c>
      <c r="T31" s="500">
        <f t="shared" si="2"/>
        <v>0</v>
      </c>
      <c r="U31" s="476">
        <f t="shared" si="19"/>
        <v>1024343</v>
      </c>
      <c r="V31" s="480">
        <f t="shared" si="14"/>
        <v>0</v>
      </c>
      <c r="W31" s="476">
        <f t="shared" si="20"/>
        <v>31845</v>
      </c>
      <c r="X31" s="480">
        <f t="shared" si="23"/>
        <v>0</v>
      </c>
      <c r="Y31" s="476">
        <f t="shared" si="21"/>
        <v>624440</v>
      </c>
      <c r="Z31" s="502">
        <f>Y31-Y30</f>
        <v>0</v>
      </c>
      <c r="AA31" s="476">
        <f t="shared" si="24"/>
        <v>34936</v>
      </c>
      <c r="AB31" s="480">
        <f t="shared" si="15"/>
        <v>0</v>
      </c>
      <c r="AC31" s="476">
        <f t="shared" si="25"/>
        <v>751223</v>
      </c>
      <c r="AD31" s="480">
        <f t="shared" si="29"/>
        <v>0</v>
      </c>
      <c r="AE31" s="503">
        <f t="shared" si="8"/>
        <v>0</v>
      </c>
      <c r="AF31" s="504">
        <f t="shared" si="9"/>
        <v>0</v>
      </c>
      <c r="AG31" s="496">
        <f t="shared" si="27"/>
        <v>0</v>
      </c>
      <c r="AI31" s="497">
        <f>R31-'EDl log'!B29</f>
        <v>-49548451</v>
      </c>
    </row>
    <row r="32" spans="1:35">
      <c r="A32" s="488">
        <f>'General information '!F35</f>
        <v>0</v>
      </c>
      <c r="B32" s="482">
        <f>SUM(230*A32)</f>
        <v>0</v>
      </c>
      <c r="C32" s="489"/>
      <c r="D32" s="476">
        <f t="shared" si="30"/>
        <v>31458170</v>
      </c>
      <c r="E32" s="477">
        <f t="shared" si="6"/>
        <v>0</v>
      </c>
      <c r="F32" s="476">
        <f t="shared" si="31"/>
        <v>3543226</v>
      </c>
      <c r="G32" s="478">
        <f t="shared" si="0"/>
        <v>0</v>
      </c>
      <c r="H32" s="476">
        <f t="shared" si="32"/>
        <v>17332322</v>
      </c>
      <c r="I32" s="328">
        <f>H32-H31</f>
        <v>0</v>
      </c>
      <c r="J32" s="476">
        <f t="shared" si="33"/>
        <v>28316014</v>
      </c>
      <c r="K32" s="328">
        <f>J32-J31</f>
        <v>0</v>
      </c>
      <c r="L32" s="476">
        <f t="shared" si="34"/>
        <v>22730712</v>
      </c>
      <c r="M32" s="328">
        <f>L32-L31</f>
        <v>0</v>
      </c>
      <c r="N32" s="327">
        <f>M32+K32+I32+G32+E32</f>
        <v>0</v>
      </c>
      <c r="O32" s="498">
        <f t="shared" si="26"/>
        <v>0</v>
      </c>
      <c r="P32" s="476">
        <f t="shared" si="35"/>
        <v>15355.608</v>
      </c>
      <c r="Q32" s="480">
        <f>(P32-P31)*1000</f>
        <v>0</v>
      </c>
      <c r="R32" s="480">
        <f>N32-Q32</f>
        <v>0</v>
      </c>
      <c r="S32" s="476">
        <f t="shared" si="18"/>
        <v>8384</v>
      </c>
      <c r="T32" s="500">
        <f t="shared" si="2"/>
        <v>0</v>
      </c>
      <c r="U32" s="476">
        <f t="shared" si="19"/>
        <v>1024343</v>
      </c>
      <c r="V32" s="480">
        <f t="shared" si="14"/>
        <v>0</v>
      </c>
      <c r="W32" s="476">
        <f t="shared" si="20"/>
        <v>31845</v>
      </c>
      <c r="X32" s="480">
        <f t="shared" si="23"/>
        <v>0</v>
      </c>
      <c r="Y32" s="476">
        <f t="shared" si="21"/>
        <v>624440</v>
      </c>
      <c r="Z32" s="502">
        <f>Y32-Y31</f>
        <v>0</v>
      </c>
      <c r="AA32" s="476">
        <f t="shared" si="24"/>
        <v>34936</v>
      </c>
      <c r="AB32" s="480">
        <f t="shared" si="15"/>
        <v>0</v>
      </c>
      <c r="AC32" s="476">
        <f t="shared" si="25"/>
        <v>751223</v>
      </c>
      <c r="AD32" s="480">
        <f t="shared" si="29"/>
        <v>0</v>
      </c>
      <c r="AE32" s="503">
        <f t="shared" si="8"/>
        <v>0</v>
      </c>
      <c r="AF32" s="504">
        <f>V32+Z32+AD32</f>
        <v>0</v>
      </c>
      <c r="AG32" s="496">
        <f t="shared" si="27"/>
        <v>0</v>
      </c>
      <c r="AI32" s="497">
        <f>R32-'EDl log'!B30</f>
        <v>-49548451</v>
      </c>
    </row>
    <row r="33" spans="1:35">
      <c r="A33" s="488">
        <f>'General information '!F36</f>
        <v>0</v>
      </c>
      <c r="B33" s="482">
        <f>SUM(230*A33)</f>
        <v>0</v>
      </c>
      <c r="C33" s="489"/>
      <c r="D33" s="476">
        <f t="shared" si="30"/>
        <v>31458170</v>
      </c>
      <c r="E33" s="477">
        <f t="shared" si="6"/>
        <v>0</v>
      </c>
      <c r="F33" s="476">
        <f t="shared" si="31"/>
        <v>3543226</v>
      </c>
      <c r="G33" s="478">
        <f t="shared" si="0"/>
        <v>0</v>
      </c>
      <c r="H33" s="476">
        <f t="shared" si="32"/>
        <v>17332322</v>
      </c>
      <c r="I33" s="328">
        <f>H33-H32</f>
        <v>0</v>
      </c>
      <c r="J33" s="476">
        <f t="shared" si="33"/>
        <v>28316014</v>
      </c>
      <c r="K33" s="328">
        <f>J33-J32</f>
        <v>0</v>
      </c>
      <c r="L33" s="476">
        <f t="shared" si="34"/>
        <v>22730712</v>
      </c>
      <c r="M33" s="328">
        <f>L33-L32</f>
        <v>0</v>
      </c>
      <c r="N33" s="327">
        <f>M33+K33+I33+G33+E33</f>
        <v>0</v>
      </c>
      <c r="O33" s="498">
        <f>IF(B33&gt;0,N33/B33,0)</f>
        <v>0</v>
      </c>
      <c r="P33" s="476">
        <f t="shared" si="35"/>
        <v>15355.608</v>
      </c>
      <c r="Q33" s="480">
        <f>(P33-P32)*1000</f>
        <v>0</v>
      </c>
      <c r="R33" s="480">
        <f>N33-Q33</f>
        <v>0</v>
      </c>
      <c r="S33" s="476">
        <f t="shared" si="18"/>
        <v>8384</v>
      </c>
      <c r="T33" s="500">
        <f>S33-S32</f>
        <v>0</v>
      </c>
      <c r="U33" s="476">
        <f t="shared" si="19"/>
        <v>1024343</v>
      </c>
      <c r="V33" s="480">
        <f>U33-U32</f>
        <v>0</v>
      </c>
      <c r="W33" s="476">
        <f t="shared" si="20"/>
        <v>31845</v>
      </c>
      <c r="X33" s="480">
        <f>W33-W32</f>
        <v>0</v>
      </c>
      <c r="Y33" s="476">
        <f t="shared" si="21"/>
        <v>624440</v>
      </c>
      <c r="Z33" s="502">
        <f>Y33-Y32</f>
        <v>0</v>
      </c>
      <c r="AA33" s="476">
        <f t="shared" si="24"/>
        <v>34936</v>
      </c>
      <c r="AB33" s="480">
        <f>AA33-AA32</f>
        <v>0</v>
      </c>
      <c r="AC33" s="476">
        <f t="shared" si="25"/>
        <v>751223</v>
      </c>
      <c r="AD33" s="480">
        <f>AC33-AC32</f>
        <v>0</v>
      </c>
      <c r="AE33" s="503">
        <f>AB33+X33+T33</f>
        <v>0</v>
      </c>
      <c r="AF33" s="504">
        <f>V33+Z33+AD33</f>
        <v>0</v>
      </c>
      <c r="AG33" s="496">
        <f t="shared" si="27"/>
        <v>0</v>
      </c>
      <c r="AI33" s="497">
        <f>R33-'EDl log'!B31</f>
        <v>-49548451</v>
      </c>
    </row>
    <row r="34" spans="1:35">
      <c r="P34" s="56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AD1" zoomScale="90" zoomScaleNormal="90" workbookViewId="0">
      <pane ySplit="1" topLeftCell="A2" activePane="bottomLeft" state="frozen"/>
      <selection activeCell="K1" sqref="K1"/>
      <selection pane="bottomLeft" activeCell="AI27" sqref="AI27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89" t="s">
        <v>2</v>
      </c>
      <c r="G1" s="590"/>
      <c r="H1" s="590"/>
      <c r="I1" s="591"/>
      <c r="J1" s="294">
        <f>J36</f>
        <v>76.638541666666669</v>
      </c>
      <c r="K1" s="592" t="s">
        <v>4</v>
      </c>
      <c r="L1" s="593"/>
      <c r="M1" s="593"/>
      <c r="N1" s="593"/>
      <c r="O1" s="594"/>
      <c r="P1" s="583" t="s">
        <v>6</v>
      </c>
      <c r="Q1" s="584"/>
      <c r="R1" s="584"/>
      <c r="S1" s="584"/>
      <c r="T1" s="585"/>
      <c r="U1" s="418"/>
      <c r="V1" s="27" t="s">
        <v>104</v>
      </c>
      <c r="W1" s="419"/>
      <c r="X1" s="583" t="s">
        <v>8</v>
      </c>
      <c r="Y1" s="584"/>
      <c r="Z1" s="584"/>
      <c r="AA1" s="584"/>
      <c r="AB1" s="584"/>
      <c r="AC1" s="586" t="s">
        <v>10</v>
      </c>
      <c r="AD1" s="587"/>
      <c r="AE1" s="587"/>
      <c r="AF1" s="58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581"/>
      <c r="R2" s="582"/>
      <c r="S2" s="52" t="s">
        <v>7</v>
      </c>
      <c r="T2" s="53"/>
      <c r="U2" s="422" t="s">
        <v>383</v>
      </c>
      <c r="V2" s="54" t="s">
        <v>103</v>
      </c>
      <c r="W2" s="420"/>
      <c r="X2" s="55" t="s">
        <v>8</v>
      </c>
      <c r="Y2" s="46" t="s">
        <v>9</v>
      </c>
      <c r="Z2" s="409" t="s">
        <v>379</v>
      </c>
      <c r="AA2" s="410" t="s">
        <v>380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 t="str">
        <f>ELEC!C2</f>
        <v>31-01-2020</v>
      </c>
      <c r="B4" s="416">
        <f>[1]B5!B35</f>
        <v>242.4</v>
      </c>
      <c r="C4" s="416">
        <f>[1]B5!C35</f>
        <v>248</v>
      </c>
      <c r="D4" s="416">
        <f>[1]B5!D35</f>
        <v>5.0999999999999943</v>
      </c>
      <c r="E4" s="416">
        <f>[1]B5!E35</f>
        <v>42.737999999999957</v>
      </c>
      <c r="F4" s="416">
        <f>[1]B5!F35</f>
        <v>1365</v>
      </c>
      <c r="G4" s="416">
        <f>[1]B5!G35</f>
        <v>4</v>
      </c>
      <c r="H4" s="416">
        <f>[1]B5!H35</f>
        <v>335279</v>
      </c>
      <c r="I4" s="416">
        <f>[1]B5!I35</f>
        <v>270</v>
      </c>
      <c r="J4" s="416">
        <f>[1]B5!J35</f>
        <v>67.5</v>
      </c>
      <c r="K4" s="416">
        <f>[1]B5!K35</f>
        <v>1756</v>
      </c>
      <c r="L4" s="416">
        <f>[1]B5!L35</f>
        <v>0</v>
      </c>
      <c r="M4" s="416">
        <f>[1]B5!M35</f>
        <v>128091</v>
      </c>
      <c r="N4" s="416">
        <f>[1]B5!N35</f>
        <v>0</v>
      </c>
      <c r="O4" s="416">
        <f>[1]B5!O35</f>
        <v>0</v>
      </c>
      <c r="P4" s="416">
        <f>[1]B5!P35</f>
        <v>1590</v>
      </c>
      <c r="Q4" s="416">
        <f>[1]B5!Q35</f>
        <v>136769</v>
      </c>
      <c r="R4" s="416">
        <f>[1]B5!R35</f>
        <v>223</v>
      </c>
      <c r="S4" s="416">
        <f>[1]B5!S35</f>
        <v>3</v>
      </c>
      <c r="T4" s="416">
        <f>[1]B5!T35</f>
        <v>0</v>
      </c>
      <c r="U4" s="416">
        <f>[1]B5!U35</f>
        <v>7</v>
      </c>
      <c r="V4" s="416">
        <f>[1]B5!V35</f>
        <v>493</v>
      </c>
      <c r="W4" s="416">
        <f>[1]B5!W35</f>
        <v>0</v>
      </c>
      <c r="X4" s="416">
        <f>[1]B5!X35</f>
        <v>2320</v>
      </c>
      <c r="Y4" s="416">
        <f>[1]B5!Y35</f>
        <v>0</v>
      </c>
      <c r="Z4" s="416">
        <f>[1]B5!Z35</f>
        <v>130593</v>
      </c>
      <c r="AA4" s="416">
        <f>[1]B5!AA35</f>
        <v>0</v>
      </c>
      <c r="AB4" s="416">
        <f>[1]B5!AB35</f>
        <v>0</v>
      </c>
      <c r="AC4" s="416">
        <f>[1]B5!AC35</f>
        <v>1800</v>
      </c>
      <c r="AD4" s="416">
        <f>[1]B5!AD35</f>
        <v>7</v>
      </c>
      <c r="AE4" s="416">
        <f>[1]B5!AE35</f>
        <v>357647.9</v>
      </c>
      <c r="AF4" s="416">
        <f>[1]B5!AF35</f>
        <v>384.90000000002328</v>
      </c>
      <c r="AG4" s="416">
        <f>[1]B5!AG35</f>
        <v>54.985714285717613</v>
      </c>
      <c r="AH4" s="416">
        <f>[1]B5!AH35</f>
        <v>384.90000000002328</v>
      </c>
      <c r="AI4" s="416">
        <f>[1]B5!AI35</f>
        <v>877.90000000002328</v>
      </c>
      <c r="AJ4" s="416">
        <f>[1]B5!AJ35</f>
        <v>877.90000000002328</v>
      </c>
      <c r="AK4" s="416">
        <f>[1]B5!AK35</f>
        <v>0</v>
      </c>
      <c r="AL4" s="416">
        <f>[1]B5!AL35</f>
        <v>7</v>
      </c>
      <c r="AM4" s="416">
        <f>[1]B5!AM35</f>
        <v>7</v>
      </c>
      <c r="AN4" s="416">
        <f>[1]B5!AN35</f>
        <v>79</v>
      </c>
      <c r="AO4" s="416">
        <f>[1]B5!AO35</f>
        <v>2370</v>
      </c>
      <c r="AP4" s="416">
        <f>[1]B5!AP35</f>
        <v>79</v>
      </c>
      <c r="AQ4" s="416">
        <f>[1]B5!AQ35</f>
        <v>2370</v>
      </c>
      <c r="AR4" s="416">
        <f>[1]B5!AR35</f>
        <v>79</v>
      </c>
      <c r="AS4" s="416">
        <f>[1]B5!AS35</f>
        <v>2370</v>
      </c>
      <c r="AT4" s="416">
        <f>[1]B5!AT35</f>
        <v>7110</v>
      </c>
      <c r="AU4" s="416">
        <f>[1]B5!AU35</f>
        <v>120</v>
      </c>
      <c r="AV4" s="416">
        <f>[1]B5!AV35</f>
        <v>0</v>
      </c>
      <c r="AW4" s="416">
        <f>[1]B5!AW35</f>
        <v>0</v>
      </c>
      <c r="AX4" s="416">
        <f>[1]B5!AX35</f>
        <v>0.7</v>
      </c>
    </row>
    <row r="5" spans="1:50">
      <c r="A5" s="63">
        <f>ELEC!C3</f>
        <v>43862</v>
      </c>
      <c r="B5" s="64">
        <v>237</v>
      </c>
      <c r="C5" s="64">
        <v>242</v>
      </c>
      <c r="D5" s="45">
        <f t="shared" ref="D5:D34" si="0">C4-C5</f>
        <v>6</v>
      </c>
      <c r="E5" s="45">
        <f>D5*8.38</f>
        <v>50.28</v>
      </c>
      <c r="F5" s="64">
        <v>1368</v>
      </c>
      <c r="G5" s="52">
        <f t="shared" ref="G5:G34" si="1">F5-F4</f>
        <v>3</v>
      </c>
      <c r="H5" s="64">
        <v>335533</v>
      </c>
      <c r="I5" s="417">
        <f t="shared" ref="I5:I34" si="2">SUM(H5-H4)</f>
        <v>254</v>
      </c>
      <c r="J5" s="66">
        <v>1</v>
      </c>
      <c r="K5" s="64">
        <v>1760</v>
      </c>
      <c r="L5" s="52">
        <f t="shared" ref="L5:L34" si="3">K5-K4</f>
        <v>4</v>
      </c>
      <c r="M5" s="64">
        <v>128367</v>
      </c>
      <c r="N5" s="417">
        <f t="shared" ref="N5:N30" si="4">M5-M4</f>
        <v>276</v>
      </c>
      <c r="O5" s="359">
        <f t="shared" ref="O5:O34" si="5">SUM(L5*$J$1)</f>
        <v>306.55416666666667</v>
      </c>
      <c r="P5" s="64">
        <f>P4</f>
        <v>1590</v>
      </c>
      <c r="Q5" s="64">
        <f>Q4</f>
        <v>136769</v>
      </c>
      <c r="R5" s="416">
        <f t="shared" ref="R5:R10" si="6">Q5-Q4</f>
        <v>0</v>
      </c>
      <c r="S5" s="52">
        <f>SUM(P5-P4)</f>
        <v>0</v>
      </c>
      <c r="T5" s="68">
        <f>SUM(S5*$T$2)</f>
        <v>0</v>
      </c>
      <c r="U5" s="423">
        <f>SUM(G5+L5+S5)</f>
        <v>7</v>
      </c>
      <c r="V5" s="62">
        <f>R5+N5+I5:I5</f>
        <v>530</v>
      </c>
      <c r="W5" s="421">
        <f>SUM(V5/U5)</f>
        <v>75.714285714285708</v>
      </c>
      <c r="X5" s="64">
        <f>X4</f>
        <v>2320</v>
      </c>
      <c r="Y5" s="52">
        <f>X5-X4</f>
        <v>0</v>
      </c>
      <c r="Z5" s="64">
        <f>Z4</f>
        <v>130593</v>
      </c>
      <c r="AA5" s="65">
        <f t="shared" ref="AA5:AA34" si="7">Z5-Z4</f>
        <v>0</v>
      </c>
      <c r="AB5" s="296">
        <f>SUM(Y5*$AB$2)</f>
        <v>0</v>
      </c>
      <c r="AC5" s="64">
        <f>AC4</f>
        <v>1800</v>
      </c>
      <c r="AD5" s="45">
        <f t="shared" ref="AD5:AD34" si="8">AC5-AC4</f>
        <v>0</v>
      </c>
      <c r="AE5" s="64">
        <f>AE4</f>
        <v>357647.9</v>
      </c>
      <c r="AF5" s="323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530</v>
      </c>
      <c r="AJ5" s="334">
        <f>-tanks!AW6</f>
        <v>530</v>
      </c>
      <c r="AK5" s="334">
        <f>SUM(AJ5-AI5)</f>
        <v>0</v>
      </c>
      <c r="AL5" s="334">
        <f t="shared" ref="AL5:AL18" si="9">S5+L5+G5</f>
        <v>7</v>
      </c>
      <c r="AM5" s="334">
        <f>Y5+AD5</f>
        <v>0</v>
      </c>
      <c r="AN5" s="64">
        <v>78</v>
      </c>
      <c r="AO5" s="336">
        <f>(AN5/100)*3000</f>
        <v>2340</v>
      </c>
      <c r="AP5" s="64">
        <v>78</v>
      </c>
      <c r="AQ5" s="336">
        <f>(AP5/100)*3000</f>
        <v>2340</v>
      </c>
      <c r="AR5" s="64">
        <v>78</v>
      </c>
      <c r="AS5" s="336">
        <f>(AR5/100)*3000</f>
        <v>2340</v>
      </c>
      <c r="AT5" s="336">
        <f>SUM(AO5+AQ5+AS5)</f>
        <v>7020</v>
      </c>
      <c r="AU5" s="336">
        <f>AT4-AT5+AV5</f>
        <v>90</v>
      </c>
      <c r="AV5" s="276"/>
      <c r="AW5" s="276"/>
      <c r="AX5" s="329">
        <f>IF(AV5&gt;0,AW5,AX4)</f>
        <v>0.7</v>
      </c>
    </row>
    <row r="6" spans="1:50">
      <c r="A6" s="63">
        <f>ELEC!C4</f>
        <v>43863</v>
      </c>
      <c r="B6" s="64">
        <v>232</v>
      </c>
      <c r="C6" s="64">
        <v>238</v>
      </c>
      <c r="D6" s="45">
        <f t="shared" si="0"/>
        <v>4</v>
      </c>
      <c r="E6" s="45">
        <f t="shared" ref="E6:E28" si="10">D6*8.38</f>
        <v>33.520000000000003</v>
      </c>
      <c r="F6" s="64">
        <v>1368</v>
      </c>
      <c r="G6" s="52">
        <f t="shared" si="1"/>
        <v>0</v>
      </c>
      <c r="H6" s="64">
        <v>335533</v>
      </c>
      <c r="I6" s="417">
        <f t="shared" si="2"/>
        <v>0</v>
      </c>
      <c r="J6" s="66">
        <f t="shared" ref="J6:J34" si="11">IF(G6&gt;0,I6/G6,0)</f>
        <v>0</v>
      </c>
      <c r="K6" s="64">
        <v>1763</v>
      </c>
      <c r="L6" s="52">
        <f t="shared" si="3"/>
        <v>3</v>
      </c>
      <c r="M6" s="64">
        <v>128639</v>
      </c>
      <c r="N6" s="417">
        <f t="shared" si="4"/>
        <v>272</v>
      </c>
      <c r="O6" s="67">
        <f t="shared" si="5"/>
        <v>229.91562500000001</v>
      </c>
      <c r="P6" s="64">
        <v>1595</v>
      </c>
      <c r="Q6" s="64">
        <v>137103</v>
      </c>
      <c r="R6" s="416">
        <f t="shared" si="6"/>
        <v>334</v>
      </c>
      <c r="S6" s="52">
        <f t="shared" ref="S6:S23" si="12">SUM(P6-P5)</f>
        <v>5</v>
      </c>
      <c r="T6" s="68">
        <f>SUM(S6*$T$2)</f>
        <v>0</v>
      </c>
      <c r="U6" s="423">
        <f t="shared" ref="U6:U35" si="13">SUM(G6+L6+S6)</f>
        <v>8</v>
      </c>
      <c r="V6" s="62">
        <f t="shared" ref="V6:V34" si="14">R6+N6+I6:I6</f>
        <v>606</v>
      </c>
      <c r="W6" s="421">
        <f t="shared" ref="W6:W16" si="15">SUM(V6/U6)</f>
        <v>75.75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1800</v>
      </c>
      <c r="AD6" s="45">
        <f t="shared" si="8"/>
        <v>0</v>
      </c>
      <c r="AE6" s="64">
        <v>357647.9</v>
      </c>
      <c r="AF6" s="323">
        <f t="shared" ref="AF6:AF34" si="17">AE6-AE5</f>
        <v>0</v>
      </c>
      <c r="AG6" s="213">
        <f>IF(AD6&gt;0,AF6/AD6,0)</f>
        <v>0</v>
      </c>
      <c r="AH6" s="62">
        <f>AF6+AA6</f>
        <v>0</v>
      </c>
      <c r="AI6" s="334">
        <f t="shared" ref="AI6:AI34" si="18">SUM(AH6+V6)</f>
        <v>606</v>
      </c>
      <c r="AJ6" s="334">
        <f>-tanks!AW7</f>
        <v>606</v>
      </c>
      <c r="AK6" s="334">
        <f t="shared" ref="AK6:AK34" si="19">SUM(AJ6-AI6)</f>
        <v>0</v>
      </c>
      <c r="AL6" s="334">
        <f t="shared" si="9"/>
        <v>8</v>
      </c>
      <c r="AM6" s="334">
        <f t="shared" ref="AM6:AM33" si="20">Y6+AD6</f>
        <v>0</v>
      </c>
      <c r="AN6" s="64">
        <v>77</v>
      </c>
      <c r="AO6" s="336">
        <f t="shared" ref="AO6:AO26" si="21">(AN6/100)*3000</f>
        <v>2310</v>
      </c>
      <c r="AP6" s="64">
        <v>75</v>
      </c>
      <c r="AQ6" s="336">
        <f t="shared" ref="AQ6:AQ24" si="22">(AP6/100)*3000</f>
        <v>2250</v>
      </c>
      <c r="AR6" s="64">
        <v>75</v>
      </c>
      <c r="AS6" s="336">
        <f>(AR6/100)*3000</f>
        <v>2250</v>
      </c>
      <c r="AT6" s="336">
        <f>SUM(AO6+AQ6+AS6)</f>
        <v>6810</v>
      </c>
      <c r="AU6" s="336">
        <f>AT5-AT6+AV6</f>
        <v>210</v>
      </c>
      <c r="AV6" s="276"/>
      <c r="AW6" s="276"/>
      <c r="AX6" s="329">
        <f t="shared" ref="AX6:AX34" si="23">IF(AV6&gt;0,AW6,AX5)</f>
        <v>0.7</v>
      </c>
    </row>
    <row r="7" spans="1:50">
      <c r="A7" s="63">
        <f>ELEC!C5</f>
        <v>43864</v>
      </c>
      <c r="B7" s="64">
        <v>226.4</v>
      </c>
      <c r="C7" s="64">
        <v>232.2</v>
      </c>
      <c r="D7" s="45">
        <f t="shared" si="0"/>
        <v>5.8000000000000114</v>
      </c>
      <c r="E7" s="45">
        <f t="shared" si="10"/>
        <v>48.604000000000099</v>
      </c>
      <c r="F7" s="64">
        <v>1373</v>
      </c>
      <c r="G7" s="52">
        <f t="shared" si="1"/>
        <v>5</v>
      </c>
      <c r="H7" s="64">
        <v>335970</v>
      </c>
      <c r="I7" s="417">
        <f t="shared" si="2"/>
        <v>437</v>
      </c>
      <c r="J7" s="66">
        <f t="shared" si="11"/>
        <v>87.4</v>
      </c>
      <c r="K7" s="64">
        <v>1763</v>
      </c>
      <c r="L7" s="52">
        <f t="shared" si="3"/>
        <v>0</v>
      </c>
      <c r="M7" s="64">
        <v>128639</v>
      </c>
      <c r="N7" s="417">
        <f>M7-M6</f>
        <v>0</v>
      </c>
      <c r="O7" s="67">
        <v>1</v>
      </c>
      <c r="P7" s="64">
        <v>1597</v>
      </c>
      <c r="Q7" s="64">
        <v>137321</v>
      </c>
      <c r="R7" s="416">
        <f t="shared" si="6"/>
        <v>218</v>
      </c>
      <c r="S7" s="52">
        <f t="shared" si="12"/>
        <v>2</v>
      </c>
      <c r="T7" s="68">
        <f t="shared" ref="T7:T34" si="24">SUM(S7*$T$2)</f>
        <v>0</v>
      </c>
      <c r="U7" s="423">
        <f t="shared" si="13"/>
        <v>7</v>
      </c>
      <c r="V7" s="62">
        <f t="shared" si="14"/>
        <v>655</v>
      </c>
      <c r="W7" s="421">
        <f t="shared" si="15"/>
        <v>93.571428571428569</v>
      </c>
      <c r="X7" s="64">
        <v>2320</v>
      </c>
      <c r="Y7" s="52">
        <f t="shared" si="16"/>
        <v>0</v>
      </c>
      <c r="Z7" s="64">
        <v>130593</v>
      </c>
      <c r="AA7" s="65">
        <f t="shared" si="7"/>
        <v>0</v>
      </c>
      <c r="AB7" s="296">
        <f t="shared" ref="AB7:AB17" si="25">SUM(Y7*$AB$2)</f>
        <v>0</v>
      </c>
      <c r="AC7" s="64">
        <v>1800</v>
      </c>
      <c r="AD7" s="45">
        <f t="shared" si="8"/>
        <v>0</v>
      </c>
      <c r="AE7" s="64">
        <v>357647.9</v>
      </c>
      <c r="AF7" s="323">
        <f t="shared" si="17"/>
        <v>0</v>
      </c>
      <c r="AG7" s="213">
        <f t="shared" ref="AG7:AG34" si="26">IF(AD7&gt;0,AF7/AD7,0)</f>
        <v>0</v>
      </c>
      <c r="AH7" s="62">
        <f t="shared" ref="AH7:AH34" si="27">AF7+AA7</f>
        <v>0</v>
      </c>
      <c r="AI7" s="334">
        <f t="shared" si="18"/>
        <v>655</v>
      </c>
      <c r="AJ7" s="334">
        <f>-tanks!AW8</f>
        <v>655</v>
      </c>
      <c r="AK7" s="334">
        <f t="shared" si="19"/>
        <v>0</v>
      </c>
      <c r="AL7" s="334">
        <f t="shared" si="9"/>
        <v>7</v>
      </c>
      <c r="AM7" s="334">
        <f t="shared" si="20"/>
        <v>0</v>
      </c>
      <c r="AN7" s="64">
        <v>76</v>
      </c>
      <c r="AO7" s="336">
        <f t="shared" si="21"/>
        <v>2280</v>
      </c>
      <c r="AP7" s="64">
        <v>74</v>
      </c>
      <c r="AQ7" s="336">
        <f t="shared" si="22"/>
        <v>2220</v>
      </c>
      <c r="AR7" s="64">
        <v>74</v>
      </c>
      <c r="AS7" s="336">
        <f t="shared" ref="AS7:AS34" si="28">(AR7/100)*3000</f>
        <v>2220</v>
      </c>
      <c r="AT7" s="336">
        <f t="shared" ref="AT7:AT23" si="29">SUM(AO7+AQ7+AS7)</f>
        <v>6720</v>
      </c>
      <c r="AU7" s="336">
        <f t="shared" ref="AU7:AU34" si="30">AT6-AT7+AV7</f>
        <v>90</v>
      </c>
      <c r="AV7" s="276"/>
      <c r="AW7" s="276"/>
      <c r="AX7" s="329">
        <f t="shared" si="23"/>
        <v>0.7</v>
      </c>
    </row>
    <row r="8" spans="1:50">
      <c r="A8" s="63">
        <f>ELEC!C6</f>
        <v>43865</v>
      </c>
      <c r="B8" s="64">
        <v>220</v>
      </c>
      <c r="C8" s="64">
        <v>226</v>
      </c>
      <c r="D8" s="45">
        <f t="shared" si="0"/>
        <v>6.1999999999999886</v>
      </c>
      <c r="E8" s="45">
        <f t="shared" si="10"/>
        <v>51.955999999999911</v>
      </c>
      <c r="F8" s="64">
        <v>1377</v>
      </c>
      <c r="G8" s="52">
        <f t="shared" si="1"/>
        <v>4</v>
      </c>
      <c r="H8" s="64">
        <v>336311</v>
      </c>
      <c r="I8" s="417">
        <f t="shared" si="2"/>
        <v>341</v>
      </c>
      <c r="J8" s="66">
        <f t="shared" si="11"/>
        <v>85.25</v>
      </c>
      <c r="K8" s="64">
        <v>1767</v>
      </c>
      <c r="L8" s="52">
        <f t="shared" si="3"/>
        <v>4</v>
      </c>
      <c r="M8" s="64">
        <v>128883</v>
      </c>
      <c r="N8" s="417">
        <f t="shared" si="4"/>
        <v>244</v>
      </c>
      <c r="O8" s="67">
        <v>1479</v>
      </c>
      <c r="P8" s="64">
        <v>1599</v>
      </c>
      <c r="Q8" s="64">
        <v>137447</v>
      </c>
      <c r="R8" s="416">
        <f t="shared" si="6"/>
        <v>126</v>
      </c>
      <c r="S8" s="52">
        <f t="shared" si="12"/>
        <v>2</v>
      </c>
      <c r="T8" s="68">
        <f t="shared" si="24"/>
        <v>0</v>
      </c>
      <c r="U8" s="423">
        <f t="shared" si="13"/>
        <v>10</v>
      </c>
      <c r="V8" s="62">
        <f t="shared" si="14"/>
        <v>711</v>
      </c>
      <c r="W8" s="421">
        <f t="shared" si="15"/>
        <v>71.099999999999994</v>
      </c>
      <c r="X8" s="64">
        <v>2328</v>
      </c>
      <c r="Y8" s="52">
        <f t="shared" si="16"/>
        <v>8</v>
      </c>
      <c r="Z8" s="64">
        <v>131019.7</v>
      </c>
      <c r="AA8" s="65">
        <f t="shared" si="7"/>
        <v>426.69999999999709</v>
      </c>
      <c r="AB8" s="296">
        <f t="shared" si="25"/>
        <v>0</v>
      </c>
      <c r="AC8" s="64">
        <f t="shared" ref="AC8:AC26" si="31">AC7</f>
        <v>1800</v>
      </c>
      <c r="AD8" s="45">
        <f t="shared" si="8"/>
        <v>0</v>
      </c>
      <c r="AE8" s="64">
        <f t="shared" ref="AE8:AE35" si="32">AE7</f>
        <v>357647.9</v>
      </c>
      <c r="AF8" s="323">
        <f t="shared" si="17"/>
        <v>0</v>
      </c>
      <c r="AG8" s="213">
        <f t="shared" si="26"/>
        <v>0</v>
      </c>
      <c r="AH8" s="62">
        <f t="shared" si="27"/>
        <v>426.69999999999709</v>
      </c>
      <c r="AI8" s="334">
        <f t="shared" si="18"/>
        <v>1137.6999999999971</v>
      </c>
      <c r="AJ8" s="334">
        <f>-tanks!AW9</f>
        <v>1137.6999999999971</v>
      </c>
      <c r="AK8" s="334">
        <f t="shared" si="19"/>
        <v>0</v>
      </c>
      <c r="AL8" s="334">
        <f t="shared" si="9"/>
        <v>10</v>
      </c>
      <c r="AM8" s="334">
        <f t="shared" si="20"/>
        <v>8</v>
      </c>
      <c r="AN8" s="64">
        <v>74</v>
      </c>
      <c r="AO8" s="336">
        <f t="shared" si="21"/>
        <v>2220</v>
      </c>
      <c r="AP8" s="64">
        <v>72</v>
      </c>
      <c r="AQ8" s="336">
        <f t="shared" si="22"/>
        <v>2160</v>
      </c>
      <c r="AR8" s="64">
        <v>72</v>
      </c>
      <c r="AS8" s="336">
        <f t="shared" si="28"/>
        <v>2160</v>
      </c>
      <c r="AT8" s="336">
        <f t="shared" si="29"/>
        <v>6540</v>
      </c>
      <c r="AU8" s="336">
        <f t="shared" si="30"/>
        <v>180</v>
      </c>
      <c r="AV8" s="276"/>
      <c r="AW8" s="276"/>
      <c r="AX8" s="329">
        <f t="shared" si="23"/>
        <v>0.7</v>
      </c>
    </row>
    <row r="9" spans="1:50">
      <c r="A9" s="63">
        <f>ELEC!C7</f>
        <v>43866</v>
      </c>
      <c r="B9" s="64">
        <v>214.2</v>
      </c>
      <c r="C9" s="64">
        <v>220</v>
      </c>
      <c r="D9" s="45">
        <f t="shared" si="0"/>
        <v>6</v>
      </c>
      <c r="E9" s="45">
        <f t="shared" si="10"/>
        <v>50.28</v>
      </c>
      <c r="F9" s="64">
        <v>1377</v>
      </c>
      <c r="G9" s="52">
        <f t="shared" si="1"/>
        <v>0</v>
      </c>
      <c r="H9" s="64">
        <v>336311</v>
      </c>
      <c r="I9" s="417">
        <f t="shared" si="2"/>
        <v>0</v>
      </c>
      <c r="J9" s="66">
        <f t="shared" si="11"/>
        <v>0</v>
      </c>
      <c r="K9" s="64">
        <v>1771</v>
      </c>
      <c r="L9" s="52">
        <f t="shared" si="3"/>
        <v>4</v>
      </c>
      <c r="M9" s="64">
        <v>129199</v>
      </c>
      <c r="N9" s="417">
        <f t="shared" si="4"/>
        <v>316</v>
      </c>
      <c r="O9" s="67">
        <f t="shared" si="5"/>
        <v>306.55416666666667</v>
      </c>
      <c r="P9" s="64">
        <v>1603</v>
      </c>
      <c r="Q9" s="64">
        <v>137748</v>
      </c>
      <c r="R9" s="416">
        <f t="shared" si="6"/>
        <v>301</v>
      </c>
      <c r="S9" s="52">
        <f t="shared" si="12"/>
        <v>4</v>
      </c>
      <c r="T9" s="68">
        <f t="shared" si="24"/>
        <v>0</v>
      </c>
      <c r="U9" s="423">
        <f t="shared" si="13"/>
        <v>8</v>
      </c>
      <c r="V9" s="62">
        <f t="shared" si="14"/>
        <v>617</v>
      </c>
      <c r="W9" s="421">
        <f t="shared" si="15"/>
        <v>77.125</v>
      </c>
      <c r="X9" s="64">
        <v>2328</v>
      </c>
      <c r="Y9" s="52">
        <f t="shared" si="16"/>
        <v>0</v>
      </c>
      <c r="Z9" s="64">
        <v>131019.7</v>
      </c>
      <c r="AA9" s="65">
        <f t="shared" si="7"/>
        <v>0</v>
      </c>
      <c r="AB9" s="296">
        <f t="shared" si="25"/>
        <v>0</v>
      </c>
      <c r="AC9" s="64">
        <v>1800</v>
      </c>
      <c r="AD9" s="45">
        <f t="shared" si="8"/>
        <v>0</v>
      </c>
      <c r="AE9" s="64">
        <v>357647.9</v>
      </c>
      <c r="AF9" s="323">
        <f t="shared" si="17"/>
        <v>0</v>
      </c>
      <c r="AG9" s="213">
        <f t="shared" si="26"/>
        <v>0</v>
      </c>
      <c r="AH9" s="62">
        <f t="shared" si="27"/>
        <v>0</v>
      </c>
      <c r="AI9" s="334">
        <f t="shared" si="18"/>
        <v>617</v>
      </c>
      <c r="AJ9" s="334">
        <f>-tanks!AW10</f>
        <v>617</v>
      </c>
      <c r="AK9" s="334">
        <f t="shared" si="19"/>
        <v>0</v>
      </c>
      <c r="AL9" s="334">
        <f t="shared" si="9"/>
        <v>8</v>
      </c>
      <c r="AM9" s="334">
        <f t="shared" si="20"/>
        <v>0</v>
      </c>
      <c r="AN9" s="64">
        <v>72</v>
      </c>
      <c r="AO9" s="336">
        <f t="shared" si="21"/>
        <v>2160</v>
      </c>
      <c r="AP9" s="64">
        <v>70</v>
      </c>
      <c r="AQ9" s="336">
        <f t="shared" si="22"/>
        <v>2100</v>
      </c>
      <c r="AR9" s="64">
        <v>70</v>
      </c>
      <c r="AS9" s="336">
        <f>(AR9/100)*3000</f>
        <v>2100</v>
      </c>
      <c r="AT9" s="336">
        <f t="shared" si="29"/>
        <v>6360</v>
      </c>
      <c r="AU9" s="336">
        <f t="shared" si="30"/>
        <v>180</v>
      </c>
      <c r="AV9" s="276"/>
      <c r="AW9" s="276"/>
      <c r="AX9" s="329">
        <f t="shared" si="23"/>
        <v>0.7</v>
      </c>
    </row>
    <row r="10" spans="1:50">
      <c r="A10" s="63">
        <f>ELEC!C8</f>
        <v>43867</v>
      </c>
      <c r="B10" s="64">
        <v>210.3</v>
      </c>
      <c r="C10" s="64">
        <v>216.4</v>
      </c>
      <c r="D10" s="45">
        <f t="shared" si="0"/>
        <v>3.5999999999999943</v>
      </c>
      <c r="E10" s="45">
        <f t="shared" si="10"/>
        <v>30.167999999999957</v>
      </c>
      <c r="F10" s="64">
        <v>1380</v>
      </c>
      <c r="G10" s="52">
        <f t="shared" si="1"/>
        <v>3</v>
      </c>
      <c r="H10" s="64">
        <v>336523</v>
      </c>
      <c r="I10" s="417">
        <f t="shared" si="2"/>
        <v>212</v>
      </c>
      <c r="J10" s="66">
        <f t="shared" si="11"/>
        <v>70.666666666666671</v>
      </c>
      <c r="K10" s="64">
        <f t="shared" ref="K10:K35" si="33">K9</f>
        <v>1771</v>
      </c>
      <c r="L10" s="52">
        <f t="shared" si="3"/>
        <v>0</v>
      </c>
      <c r="M10" s="64">
        <f t="shared" ref="M10:M25" si="34">M9</f>
        <v>129199</v>
      </c>
      <c r="N10" s="417">
        <f t="shared" si="4"/>
        <v>0</v>
      </c>
      <c r="O10" s="67">
        <f t="shared" si="5"/>
        <v>0</v>
      </c>
      <c r="P10" s="64">
        <v>1606</v>
      </c>
      <c r="Q10" s="64">
        <v>137989</v>
      </c>
      <c r="R10" s="416">
        <f t="shared" si="6"/>
        <v>241</v>
      </c>
      <c r="S10" s="52">
        <f t="shared" si="12"/>
        <v>3</v>
      </c>
      <c r="T10" s="68">
        <f t="shared" si="24"/>
        <v>0</v>
      </c>
      <c r="U10" s="423">
        <f t="shared" si="13"/>
        <v>6</v>
      </c>
      <c r="V10" s="62">
        <f t="shared" si="14"/>
        <v>453</v>
      </c>
      <c r="W10" s="421">
        <f t="shared" si="15"/>
        <v>75.5</v>
      </c>
      <c r="X10" s="64">
        <f t="shared" ref="X10:X20" si="35">X9</f>
        <v>2328</v>
      </c>
      <c r="Y10" s="52">
        <f t="shared" si="16"/>
        <v>0</v>
      </c>
      <c r="Z10" s="64">
        <f t="shared" ref="Z10:Z16" si="36">Z9</f>
        <v>131019.7</v>
      </c>
      <c r="AA10" s="65">
        <f t="shared" si="7"/>
        <v>0</v>
      </c>
      <c r="AB10" s="296">
        <f t="shared" si="25"/>
        <v>0</v>
      </c>
      <c r="AC10" s="64">
        <f t="shared" si="31"/>
        <v>1800</v>
      </c>
      <c r="AD10" s="45">
        <f t="shared" si="8"/>
        <v>0</v>
      </c>
      <c r="AE10" s="64">
        <f t="shared" si="32"/>
        <v>357647.9</v>
      </c>
      <c r="AF10" s="323">
        <f t="shared" si="17"/>
        <v>0</v>
      </c>
      <c r="AG10" s="213">
        <f t="shared" si="26"/>
        <v>0</v>
      </c>
      <c r="AH10" s="62">
        <f t="shared" si="27"/>
        <v>0</v>
      </c>
      <c r="AI10" s="334">
        <f>SUM(AH10+V10)</f>
        <v>453</v>
      </c>
      <c r="AJ10" s="334">
        <f>-tanks!AW11</f>
        <v>453</v>
      </c>
      <c r="AK10" s="334">
        <f t="shared" si="19"/>
        <v>0</v>
      </c>
      <c r="AL10" s="334">
        <f t="shared" si="9"/>
        <v>6</v>
      </c>
      <c r="AM10" s="334">
        <f t="shared" si="20"/>
        <v>0</v>
      </c>
      <c r="AN10" s="64">
        <v>80</v>
      </c>
      <c r="AO10" s="336">
        <f t="shared" si="21"/>
        <v>2400</v>
      </c>
      <c r="AP10" s="64">
        <v>79</v>
      </c>
      <c r="AQ10" s="336">
        <f t="shared" si="22"/>
        <v>2370</v>
      </c>
      <c r="AR10" s="64">
        <v>79</v>
      </c>
      <c r="AS10" s="336">
        <f t="shared" si="28"/>
        <v>2370</v>
      </c>
      <c r="AT10" s="336">
        <f t="shared" si="29"/>
        <v>7140</v>
      </c>
      <c r="AU10" s="336">
        <f t="shared" si="30"/>
        <v>320</v>
      </c>
      <c r="AV10" s="276">
        <v>1100</v>
      </c>
      <c r="AW10" s="276">
        <v>0.7</v>
      </c>
      <c r="AX10" s="329">
        <f t="shared" si="23"/>
        <v>0.7</v>
      </c>
    </row>
    <row r="11" spans="1:50">
      <c r="A11" s="63">
        <f>ELEC!C9</f>
        <v>43868</v>
      </c>
      <c r="B11" s="64">
        <v>252</v>
      </c>
      <c r="C11" s="64">
        <v>259</v>
      </c>
      <c r="D11" s="45">
        <f t="shared" si="0"/>
        <v>-42.599999999999994</v>
      </c>
      <c r="E11" s="45">
        <f t="shared" si="10"/>
        <v>-356.988</v>
      </c>
      <c r="F11" s="64">
        <v>1383</v>
      </c>
      <c r="G11" s="52">
        <f t="shared" si="1"/>
        <v>3</v>
      </c>
      <c r="H11" s="64">
        <v>336745</v>
      </c>
      <c r="I11" s="417">
        <f t="shared" si="2"/>
        <v>222</v>
      </c>
      <c r="J11" s="66">
        <f t="shared" si="11"/>
        <v>74</v>
      </c>
      <c r="K11" s="64">
        <v>1775</v>
      </c>
      <c r="L11" s="52">
        <f t="shared" si="3"/>
        <v>4</v>
      </c>
      <c r="M11" s="64">
        <v>129531</v>
      </c>
      <c r="N11" s="417">
        <f t="shared" si="4"/>
        <v>332</v>
      </c>
      <c r="O11" s="67">
        <f t="shared" si="5"/>
        <v>306.55416666666667</v>
      </c>
      <c r="P11" s="64">
        <f t="shared" ref="P11:P35" si="37">P10</f>
        <v>1606</v>
      </c>
      <c r="Q11" s="64">
        <f t="shared" ref="Q11:Q20" si="38">Q10</f>
        <v>137989</v>
      </c>
      <c r="R11" s="416">
        <f t="shared" ref="R11:R35" si="39">Q11-Q10</f>
        <v>0</v>
      </c>
      <c r="S11" s="52">
        <f t="shared" si="12"/>
        <v>0</v>
      </c>
      <c r="T11" s="68">
        <f t="shared" si="24"/>
        <v>0</v>
      </c>
      <c r="U11" s="423">
        <f t="shared" si="13"/>
        <v>7</v>
      </c>
      <c r="V11" s="62">
        <f t="shared" si="14"/>
        <v>554</v>
      </c>
      <c r="W11" s="421">
        <f t="shared" si="15"/>
        <v>79.142857142857139</v>
      </c>
      <c r="X11" s="64">
        <v>2335</v>
      </c>
      <c r="Y11" s="52">
        <f t="shared" si="16"/>
        <v>7</v>
      </c>
      <c r="Z11" s="64">
        <v>131372.6</v>
      </c>
      <c r="AA11" s="65">
        <f t="shared" si="7"/>
        <v>352.90000000000873</v>
      </c>
      <c r="AB11" s="296">
        <f t="shared" si="25"/>
        <v>0</v>
      </c>
      <c r="AC11" s="64">
        <f t="shared" si="31"/>
        <v>1800</v>
      </c>
      <c r="AD11" s="45">
        <f t="shared" si="8"/>
        <v>0</v>
      </c>
      <c r="AE11" s="64">
        <f t="shared" si="32"/>
        <v>357647.9</v>
      </c>
      <c r="AF11" s="323">
        <f t="shared" si="17"/>
        <v>0</v>
      </c>
      <c r="AG11" s="213">
        <f t="shared" si="26"/>
        <v>0</v>
      </c>
      <c r="AH11" s="62">
        <f>AF11+AA11</f>
        <v>352.90000000000873</v>
      </c>
      <c r="AI11" s="334">
        <f>SUM(AH11+V11)</f>
        <v>906.90000000000873</v>
      </c>
      <c r="AJ11" s="334">
        <f>-tanks!AW12</f>
        <v>906.90000000000873</v>
      </c>
      <c r="AK11" s="334">
        <f t="shared" si="19"/>
        <v>0</v>
      </c>
      <c r="AL11" s="334">
        <f t="shared" si="9"/>
        <v>7</v>
      </c>
      <c r="AM11" s="334">
        <f t="shared" si="20"/>
        <v>7</v>
      </c>
      <c r="AN11" s="64">
        <v>78</v>
      </c>
      <c r="AO11" s="336">
        <f t="shared" si="21"/>
        <v>2340</v>
      </c>
      <c r="AP11" s="64">
        <v>78</v>
      </c>
      <c r="AQ11" s="336">
        <f t="shared" si="22"/>
        <v>2340</v>
      </c>
      <c r="AR11" s="64">
        <v>78</v>
      </c>
      <c r="AS11" s="336">
        <f t="shared" si="28"/>
        <v>2340</v>
      </c>
      <c r="AT11" s="336">
        <f t="shared" si="29"/>
        <v>7020</v>
      </c>
      <c r="AU11" s="336">
        <f t="shared" si="30"/>
        <v>120</v>
      </c>
      <c r="AV11" s="276"/>
      <c r="AW11" s="276"/>
      <c r="AX11" s="329">
        <f t="shared" si="23"/>
        <v>0.7</v>
      </c>
    </row>
    <row r="12" spans="1:50">
      <c r="A12" s="63">
        <f>ELEC!C10</f>
        <v>43869</v>
      </c>
      <c r="B12" s="64">
        <v>248</v>
      </c>
      <c r="C12" s="64">
        <v>253.4</v>
      </c>
      <c r="D12" s="45">
        <f t="shared" si="0"/>
        <v>5.5999999999999943</v>
      </c>
      <c r="E12" s="45">
        <f t="shared" si="10"/>
        <v>46.927999999999955</v>
      </c>
      <c r="F12" s="64">
        <f t="shared" ref="F12:F35" si="40">F11</f>
        <v>1383</v>
      </c>
      <c r="G12" s="52">
        <f t="shared" si="1"/>
        <v>0</v>
      </c>
      <c r="H12" s="64">
        <f t="shared" ref="H12:H18" si="41">H11</f>
        <v>336745</v>
      </c>
      <c r="I12" s="417">
        <f t="shared" si="2"/>
        <v>0</v>
      </c>
      <c r="J12" s="66">
        <f t="shared" si="11"/>
        <v>0</v>
      </c>
      <c r="K12" s="64">
        <v>1779</v>
      </c>
      <c r="L12" s="52">
        <f t="shared" si="3"/>
        <v>4</v>
      </c>
      <c r="M12" s="64">
        <v>129837</v>
      </c>
      <c r="N12" s="417">
        <f t="shared" si="4"/>
        <v>306</v>
      </c>
      <c r="O12" s="67">
        <f t="shared" si="5"/>
        <v>306.55416666666667</v>
      </c>
      <c r="P12" s="64">
        <v>1610</v>
      </c>
      <c r="Q12" s="64">
        <v>138263</v>
      </c>
      <c r="R12" s="416">
        <f t="shared" si="39"/>
        <v>274</v>
      </c>
      <c r="S12" s="52">
        <f t="shared" si="12"/>
        <v>4</v>
      </c>
      <c r="T12" s="68">
        <f t="shared" si="24"/>
        <v>0</v>
      </c>
      <c r="U12" s="423">
        <f t="shared" si="13"/>
        <v>8</v>
      </c>
      <c r="V12" s="62">
        <f t="shared" si="14"/>
        <v>580</v>
      </c>
      <c r="W12" s="421">
        <f t="shared" si="15"/>
        <v>72.5</v>
      </c>
      <c r="X12" s="64">
        <f t="shared" si="35"/>
        <v>2335</v>
      </c>
      <c r="Y12" s="52">
        <f t="shared" si="16"/>
        <v>0</v>
      </c>
      <c r="Z12" s="64">
        <v>131398.9</v>
      </c>
      <c r="AA12" s="65">
        <f t="shared" si="7"/>
        <v>26.299999999988358</v>
      </c>
      <c r="AB12" s="296">
        <f t="shared" si="25"/>
        <v>0</v>
      </c>
      <c r="AC12" s="64">
        <v>1801</v>
      </c>
      <c r="AD12" s="45">
        <f t="shared" si="8"/>
        <v>1</v>
      </c>
      <c r="AE12" s="64">
        <v>357711.4</v>
      </c>
      <c r="AF12" s="323">
        <f t="shared" si="17"/>
        <v>63.5</v>
      </c>
      <c r="AG12" s="213">
        <f t="shared" si="26"/>
        <v>63.5</v>
      </c>
      <c r="AH12" s="62">
        <f t="shared" si="27"/>
        <v>89.799999999988358</v>
      </c>
      <c r="AI12" s="334">
        <f t="shared" si="18"/>
        <v>669.79999999998836</v>
      </c>
      <c r="AJ12" s="334">
        <f>-tanks!AW13</f>
        <v>669.79999999998836</v>
      </c>
      <c r="AK12" s="334">
        <f t="shared" si="19"/>
        <v>0</v>
      </c>
      <c r="AL12" s="334">
        <f t="shared" si="9"/>
        <v>8</v>
      </c>
      <c r="AM12" s="334">
        <f t="shared" si="20"/>
        <v>1</v>
      </c>
      <c r="AN12" s="64">
        <v>77</v>
      </c>
      <c r="AO12" s="336">
        <f t="shared" si="21"/>
        <v>2310</v>
      </c>
      <c r="AP12" s="64">
        <v>77</v>
      </c>
      <c r="AQ12" s="336">
        <f t="shared" si="22"/>
        <v>2310</v>
      </c>
      <c r="AR12" s="64">
        <v>77</v>
      </c>
      <c r="AS12" s="336">
        <f t="shared" si="28"/>
        <v>2310</v>
      </c>
      <c r="AT12" s="336">
        <f t="shared" si="29"/>
        <v>6930</v>
      </c>
      <c r="AU12" s="336">
        <f t="shared" si="30"/>
        <v>90</v>
      </c>
      <c r="AV12" s="276"/>
      <c r="AW12" s="276"/>
      <c r="AX12" s="329">
        <f t="shared" si="23"/>
        <v>0.7</v>
      </c>
    </row>
    <row r="13" spans="1:50">
      <c r="A13" s="63">
        <f>ELEC!C11</f>
        <v>43870</v>
      </c>
      <c r="B13" s="64">
        <v>242</v>
      </c>
      <c r="C13" s="64">
        <v>248</v>
      </c>
      <c r="D13" s="45">
        <f t="shared" si="0"/>
        <v>5.4000000000000057</v>
      </c>
      <c r="E13" s="45">
        <f t="shared" si="10"/>
        <v>45.252000000000052</v>
      </c>
      <c r="F13" s="64">
        <v>1387</v>
      </c>
      <c r="G13" s="52">
        <f t="shared" si="1"/>
        <v>4</v>
      </c>
      <c r="H13" s="64">
        <v>337106</v>
      </c>
      <c r="I13" s="417">
        <f t="shared" si="2"/>
        <v>361</v>
      </c>
      <c r="J13" s="66">
        <f t="shared" si="11"/>
        <v>90.25</v>
      </c>
      <c r="K13" s="64">
        <f t="shared" si="33"/>
        <v>1779</v>
      </c>
      <c r="L13" s="52">
        <f t="shared" si="3"/>
        <v>0</v>
      </c>
      <c r="M13" s="64">
        <f t="shared" si="34"/>
        <v>129837</v>
      </c>
      <c r="N13" s="417">
        <f t="shared" si="4"/>
        <v>0</v>
      </c>
      <c r="O13" s="67">
        <f t="shared" si="5"/>
        <v>0</v>
      </c>
      <c r="P13" s="64">
        <v>1616</v>
      </c>
      <c r="Q13" s="64">
        <v>138730</v>
      </c>
      <c r="R13" s="416">
        <f t="shared" si="39"/>
        <v>467</v>
      </c>
      <c r="S13" s="52">
        <f t="shared" si="12"/>
        <v>6</v>
      </c>
      <c r="T13" s="68">
        <f t="shared" si="24"/>
        <v>0</v>
      </c>
      <c r="U13" s="423">
        <f t="shared" si="13"/>
        <v>10</v>
      </c>
      <c r="V13" s="62">
        <f>R13+N13+I13:I13</f>
        <v>828</v>
      </c>
      <c r="W13" s="421">
        <f t="shared" si="15"/>
        <v>82.8</v>
      </c>
      <c r="X13" s="64">
        <f t="shared" si="35"/>
        <v>2335</v>
      </c>
      <c r="Y13" s="52">
        <f t="shared" si="16"/>
        <v>0</v>
      </c>
      <c r="Z13" s="64">
        <f t="shared" si="36"/>
        <v>131398.9</v>
      </c>
      <c r="AA13" s="296">
        <f t="shared" si="7"/>
        <v>0</v>
      </c>
      <c r="AB13" s="296">
        <f t="shared" si="25"/>
        <v>0</v>
      </c>
      <c r="AC13" s="64">
        <f t="shared" si="31"/>
        <v>1801</v>
      </c>
      <c r="AD13" s="45">
        <f t="shared" si="8"/>
        <v>0</v>
      </c>
      <c r="AE13" s="64">
        <f t="shared" si="32"/>
        <v>357711.4</v>
      </c>
      <c r="AF13" s="323">
        <f t="shared" si="17"/>
        <v>0</v>
      </c>
      <c r="AG13" s="213">
        <f t="shared" si="26"/>
        <v>0</v>
      </c>
      <c r="AH13" s="62">
        <f t="shared" si="27"/>
        <v>0</v>
      </c>
      <c r="AI13" s="334">
        <f t="shared" si="18"/>
        <v>828</v>
      </c>
      <c r="AJ13" s="334">
        <f>-tanks!AW14</f>
        <v>828</v>
      </c>
      <c r="AK13" s="334">
        <f t="shared" si="19"/>
        <v>0</v>
      </c>
      <c r="AL13" s="334">
        <f t="shared" si="9"/>
        <v>10</v>
      </c>
      <c r="AM13" s="334">
        <f t="shared" si="20"/>
        <v>0</v>
      </c>
      <c r="AN13" s="64">
        <v>74</v>
      </c>
      <c r="AO13" s="336">
        <f t="shared" si="21"/>
        <v>2220</v>
      </c>
      <c r="AP13" s="64">
        <v>74</v>
      </c>
      <c r="AQ13" s="336">
        <f t="shared" si="22"/>
        <v>2220</v>
      </c>
      <c r="AR13" s="64">
        <v>74</v>
      </c>
      <c r="AS13" s="336">
        <f t="shared" si="28"/>
        <v>2220</v>
      </c>
      <c r="AT13" s="336">
        <f t="shared" si="29"/>
        <v>6660</v>
      </c>
      <c r="AU13" s="336">
        <f t="shared" si="30"/>
        <v>270</v>
      </c>
      <c r="AV13" s="276"/>
      <c r="AW13" s="276"/>
      <c r="AX13" s="329">
        <f t="shared" si="23"/>
        <v>0.7</v>
      </c>
    </row>
    <row r="14" spans="1:50">
      <c r="A14" s="63">
        <f>ELEC!C12</f>
        <v>43871</v>
      </c>
      <c r="B14" s="64">
        <v>236.1</v>
      </c>
      <c r="C14" s="64">
        <v>241.4</v>
      </c>
      <c r="D14" s="45">
        <f t="shared" si="0"/>
        <v>6.5999999999999943</v>
      </c>
      <c r="E14" s="45">
        <f t="shared" si="10"/>
        <v>55.307999999999957</v>
      </c>
      <c r="F14" s="64">
        <v>1394</v>
      </c>
      <c r="G14" s="52">
        <f t="shared" si="1"/>
        <v>7</v>
      </c>
      <c r="H14" s="64">
        <v>337680</v>
      </c>
      <c r="I14" s="417">
        <f t="shared" si="2"/>
        <v>574</v>
      </c>
      <c r="J14" s="66">
        <f t="shared" si="11"/>
        <v>82</v>
      </c>
      <c r="K14" s="64">
        <v>1784</v>
      </c>
      <c r="L14" s="52">
        <f t="shared" si="3"/>
        <v>5</v>
      </c>
      <c r="M14" s="64">
        <v>130244</v>
      </c>
      <c r="N14" s="417">
        <f t="shared" si="4"/>
        <v>407</v>
      </c>
      <c r="O14" s="67">
        <f t="shared" si="5"/>
        <v>383.19270833333337</v>
      </c>
      <c r="P14" s="64">
        <v>1617</v>
      </c>
      <c r="Q14" s="64">
        <v>138848</v>
      </c>
      <c r="R14" s="416">
        <f t="shared" si="39"/>
        <v>118</v>
      </c>
      <c r="S14" s="52">
        <f t="shared" si="12"/>
        <v>1</v>
      </c>
      <c r="T14" s="68">
        <f t="shared" si="24"/>
        <v>0</v>
      </c>
      <c r="U14" s="423">
        <f t="shared" si="13"/>
        <v>13</v>
      </c>
      <c r="V14" s="62">
        <f t="shared" si="14"/>
        <v>1099</v>
      </c>
      <c r="W14" s="421">
        <f t="shared" si="15"/>
        <v>84.538461538461533</v>
      </c>
      <c r="X14" s="64">
        <v>2335</v>
      </c>
      <c r="Y14" s="52">
        <f t="shared" si="16"/>
        <v>0</v>
      </c>
      <c r="Z14" s="64">
        <v>131398.9</v>
      </c>
      <c r="AA14" s="65">
        <f t="shared" si="7"/>
        <v>0</v>
      </c>
      <c r="AB14" s="296">
        <f t="shared" si="25"/>
        <v>0</v>
      </c>
      <c r="AC14" s="64">
        <v>1801</v>
      </c>
      <c r="AD14" s="45">
        <f t="shared" si="8"/>
        <v>0</v>
      </c>
      <c r="AE14" s="64">
        <v>357711</v>
      </c>
      <c r="AF14" s="323">
        <f t="shared" si="17"/>
        <v>-0.40000000002328306</v>
      </c>
      <c r="AG14" s="213">
        <f t="shared" si="26"/>
        <v>0</v>
      </c>
      <c r="AH14" s="62">
        <f t="shared" si="27"/>
        <v>-0.40000000002328306</v>
      </c>
      <c r="AI14" s="334">
        <f t="shared" si="18"/>
        <v>1098.5999999999767</v>
      </c>
      <c r="AJ14" s="334">
        <f>-tanks!AW15</f>
        <v>1098.5999999999767</v>
      </c>
      <c r="AK14" s="334">
        <f t="shared" si="19"/>
        <v>0</v>
      </c>
      <c r="AL14" s="334">
        <f t="shared" si="9"/>
        <v>13</v>
      </c>
      <c r="AM14" s="334">
        <f t="shared" si="20"/>
        <v>0</v>
      </c>
      <c r="AN14" s="64">
        <v>71</v>
      </c>
      <c r="AO14" s="336">
        <f t="shared" si="21"/>
        <v>2130</v>
      </c>
      <c r="AP14" s="64">
        <v>71</v>
      </c>
      <c r="AQ14" s="336">
        <f t="shared" si="22"/>
        <v>2130</v>
      </c>
      <c r="AR14" s="64">
        <v>71</v>
      </c>
      <c r="AS14" s="336">
        <f t="shared" si="28"/>
        <v>2130</v>
      </c>
      <c r="AT14" s="336">
        <f t="shared" si="29"/>
        <v>6390</v>
      </c>
      <c r="AU14" s="336">
        <f t="shared" si="30"/>
        <v>270</v>
      </c>
      <c r="AV14" s="276"/>
      <c r="AW14" s="276"/>
      <c r="AX14" s="329">
        <f t="shared" si="23"/>
        <v>0.7</v>
      </c>
    </row>
    <row r="15" spans="1:50" ht="15" customHeight="1">
      <c r="A15" s="63">
        <f>ELEC!C13</f>
        <v>43872</v>
      </c>
      <c r="B15" s="64">
        <v>230</v>
      </c>
      <c r="C15" s="64">
        <v>235.4</v>
      </c>
      <c r="D15" s="45">
        <f t="shared" si="0"/>
        <v>6</v>
      </c>
      <c r="E15" s="45">
        <f t="shared" si="10"/>
        <v>50.28</v>
      </c>
      <c r="F15" s="64">
        <v>1394</v>
      </c>
      <c r="G15" s="52">
        <f t="shared" si="1"/>
        <v>0</v>
      </c>
      <c r="H15" s="64">
        <v>337680</v>
      </c>
      <c r="I15" s="417">
        <f t="shared" si="2"/>
        <v>0</v>
      </c>
      <c r="J15" s="66">
        <f t="shared" si="11"/>
        <v>0</v>
      </c>
      <c r="K15" s="64">
        <v>1792</v>
      </c>
      <c r="L15" s="52">
        <f t="shared" si="3"/>
        <v>8</v>
      </c>
      <c r="M15" s="64">
        <v>130802</v>
      </c>
      <c r="N15" s="417">
        <f t="shared" si="4"/>
        <v>558</v>
      </c>
      <c r="O15" s="67">
        <f t="shared" si="5"/>
        <v>613.10833333333335</v>
      </c>
      <c r="P15" s="64">
        <v>1623</v>
      </c>
      <c r="Q15" s="64">
        <v>139294</v>
      </c>
      <c r="R15" s="416">
        <f t="shared" si="39"/>
        <v>446</v>
      </c>
      <c r="S15" s="52">
        <f t="shared" si="12"/>
        <v>6</v>
      </c>
      <c r="T15" s="68">
        <f t="shared" si="24"/>
        <v>0</v>
      </c>
      <c r="U15" s="423">
        <f t="shared" si="13"/>
        <v>14</v>
      </c>
      <c r="V15" s="62">
        <f t="shared" si="14"/>
        <v>1004</v>
      </c>
      <c r="W15" s="421">
        <f t="shared" si="15"/>
        <v>71.714285714285708</v>
      </c>
      <c r="X15" s="64">
        <v>2344</v>
      </c>
      <c r="Y15" s="52">
        <f t="shared" si="16"/>
        <v>9</v>
      </c>
      <c r="Z15" s="64">
        <v>131862.6</v>
      </c>
      <c r="AA15" s="65">
        <f t="shared" si="7"/>
        <v>463.70000000001164</v>
      </c>
      <c r="AB15" s="296">
        <f t="shared" si="25"/>
        <v>0</v>
      </c>
      <c r="AC15" s="64">
        <v>1801</v>
      </c>
      <c r="AD15" s="45">
        <f t="shared" si="8"/>
        <v>0</v>
      </c>
      <c r="AE15" s="64">
        <v>357711.4</v>
      </c>
      <c r="AF15" s="323">
        <f t="shared" si="17"/>
        <v>0.40000000002328306</v>
      </c>
      <c r="AG15" s="213">
        <f t="shared" si="26"/>
        <v>0</v>
      </c>
      <c r="AH15" s="62">
        <f t="shared" si="27"/>
        <v>464.10000000003492</v>
      </c>
      <c r="AI15" s="334">
        <f t="shared" si="18"/>
        <v>1468.1000000000349</v>
      </c>
      <c r="AJ15" s="334">
        <f>-tanks!AW16</f>
        <v>1468.1000000000349</v>
      </c>
      <c r="AK15" s="334">
        <f t="shared" si="19"/>
        <v>0</v>
      </c>
      <c r="AL15" s="334">
        <f t="shared" si="9"/>
        <v>14</v>
      </c>
      <c r="AM15" s="334">
        <f t="shared" si="20"/>
        <v>9</v>
      </c>
      <c r="AN15" s="64">
        <v>70</v>
      </c>
      <c r="AO15" s="336">
        <f t="shared" si="21"/>
        <v>2100</v>
      </c>
      <c r="AP15" s="64">
        <v>70</v>
      </c>
      <c r="AQ15" s="336">
        <f t="shared" si="22"/>
        <v>2100</v>
      </c>
      <c r="AR15" s="64">
        <v>70</v>
      </c>
      <c r="AS15" s="336">
        <f t="shared" si="28"/>
        <v>2100</v>
      </c>
      <c r="AT15" s="336">
        <f t="shared" si="29"/>
        <v>6300</v>
      </c>
      <c r="AU15" s="336">
        <f t="shared" si="30"/>
        <v>90</v>
      </c>
      <c r="AV15" s="276"/>
      <c r="AW15" s="276"/>
      <c r="AX15" s="329">
        <f t="shared" si="23"/>
        <v>0.7</v>
      </c>
    </row>
    <row r="16" spans="1:50">
      <c r="A16" s="63">
        <f>ELEC!C14</f>
        <v>43873</v>
      </c>
      <c r="B16" s="64">
        <v>223</v>
      </c>
      <c r="C16" s="64">
        <v>229.5</v>
      </c>
      <c r="D16" s="45">
        <f t="shared" si="0"/>
        <v>5.9000000000000057</v>
      </c>
      <c r="E16" s="45">
        <f t="shared" si="10"/>
        <v>49.44200000000005</v>
      </c>
      <c r="F16" s="64">
        <v>1399</v>
      </c>
      <c r="G16" s="52">
        <f t="shared" si="1"/>
        <v>5</v>
      </c>
      <c r="H16" s="64">
        <v>338058</v>
      </c>
      <c r="I16" s="417">
        <f t="shared" si="2"/>
        <v>378</v>
      </c>
      <c r="J16" s="66">
        <f t="shared" si="11"/>
        <v>75.599999999999994</v>
      </c>
      <c r="K16" s="64">
        <f t="shared" si="33"/>
        <v>1792</v>
      </c>
      <c r="L16" s="52">
        <f t="shared" si="3"/>
        <v>0</v>
      </c>
      <c r="M16" s="64">
        <f t="shared" si="34"/>
        <v>130802</v>
      </c>
      <c r="N16" s="417">
        <f t="shared" si="4"/>
        <v>0</v>
      </c>
      <c r="O16" s="67">
        <f t="shared" si="5"/>
        <v>0</v>
      </c>
      <c r="P16" s="64">
        <v>1630</v>
      </c>
      <c r="Q16" s="64">
        <v>139796</v>
      </c>
      <c r="R16" s="416">
        <f t="shared" si="39"/>
        <v>502</v>
      </c>
      <c r="S16" s="52">
        <f t="shared" si="12"/>
        <v>7</v>
      </c>
      <c r="T16" s="68">
        <f t="shared" si="24"/>
        <v>0</v>
      </c>
      <c r="U16" s="423">
        <f t="shared" si="13"/>
        <v>12</v>
      </c>
      <c r="V16" s="62">
        <f t="shared" si="14"/>
        <v>880</v>
      </c>
      <c r="W16" s="421">
        <f t="shared" si="15"/>
        <v>73.333333333333329</v>
      </c>
      <c r="X16" s="64">
        <f t="shared" si="35"/>
        <v>2344</v>
      </c>
      <c r="Y16" s="52">
        <f t="shared" si="16"/>
        <v>0</v>
      </c>
      <c r="Z16" s="64">
        <f t="shared" si="36"/>
        <v>131862.6</v>
      </c>
      <c r="AA16" s="65">
        <f t="shared" si="7"/>
        <v>0</v>
      </c>
      <c r="AB16" s="296">
        <f t="shared" si="25"/>
        <v>0</v>
      </c>
      <c r="AC16" s="64">
        <f t="shared" si="31"/>
        <v>1801</v>
      </c>
      <c r="AD16" s="45">
        <f t="shared" si="8"/>
        <v>0</v>
      </c>
      <c r="AE16" s="64">
        <f t="shared" si="32"/>
        <v>357711.4</v>
      </c>
      <c r="AF16" s="323">
        <f t="shared" si="17"/>
        <v>0</v>
      </c>
      <c r="AG16" s="213">
        <f t="shared" si="26"/>
        <v>0</v>
      </c>
      <c r="AH16" s="62">
        <f t="shared" si="27"/>
        <v>0</v>
      </c>
      <c r="AI16" s="334">
        <f t="shared" si="18"/>
        <v>880</v>
      </c>
      <c r="AJ16" s="334">
        <f>-tanks!AW17</f>
        <v>880</v>
      </c>
      <c r="AK16" s="334">
        <f t="shared" si="19"/>
        <v>0</v>
      </c>
      <c r="AL16" s="334">
        <f t="shared" si="9"/>
        <v>12</v>
      </c>
      <c r="AM16" s="334">
        <f t="shared" si="20"/>
        <v>0</v>
      </c>
      <c r="AN16" s="64">
        <v>69</v>
      </c>
      <c r="AO16" s="336">
        <f t="shared" si="21"/>
        <v>2070</v>
      </c>
      <c r="AP16" s="64">
        <v>69</v>
      </c>
      <c r="AQ16" s="336">
        <f t="shared" si="22"/>
        <v>2070</v>
      </c>
      <c r="AR16" s="64">
        <v>68</v>
      </c>
      <c r="AS16" s="336">
        <f t="shared" si="28"/>
        <v>2040.0000000000002</v>
      </c>
      <c r="AT16" s="336">
        <f t="shared" si="29"/>
        <v>6180</v>
      </c>
      <c r="AU16" s="336">
        <f t="shared" si="30"/>
        <v>120</v>
      </c>
      <c r="AV16" s="276"/>
      <c r="AW16" s="276"/>
      <c r="AX16" s="329">
        <f t="shared" si="23"/>
        <v>0.7</v>
      </c>
    </row>
    <row r="17" spans="1:50">
      <c r="A17" s="63">
        <f>ELEC!C15</f>
        <v>43874</v>
      </c>
      <c r="B17" s="64">
        <v>219</v>
      </c>
      <c r="C17" s="64">
        <v>225</v>
      </c>
      <c r="D17" s="45">
        <f t="shared" si="0"/>
        <v>4.5</v>
      </c>
      <c r="E17" s="45">
        <f t="shared" si="10"/>
        <v>37.71</v>
      </c>
      <c r="F17" s="64">
        <v>1403</v>
      </c>
      <c r="G17" s="52">
        <f t="shared" si="1"/>
        <v>4</v>
      </c>
      <c r="H17" s="64">
        <v>338387</v>
      </c>
      <c r="I17" s="417">
        <f t="shared" si="2"/>
        <v>329</v>
      </c>
      <c r="J17" s="66">
        <f t="shared" si="11"/>
        <v>82.25</v>
      </c>
      <c r="K17" s="64">
        <v>1793</v>
      </c>
      <c r="L17" s="52">
        <f t="shared" si="3"/>
        <v>1</v>
      </c>
      <c r="M17" s="64">
        <v>130929</v>
      </c>
      <c r="N17" s="417">
        <f t="shared" si="4"/>
        <v>127</v>
      </c>
      <c r="O17" s="67">
        <f t="shared" si="5"/>
        <v>76.638541666666669</v>
      </c>
      <c r="P17" s="64">
        <v>1634</v>
      </c>
      <c r="Q17" s="64">
        <v>140075</v>
      </c>
      <c r="R17" s="416">
        <f t="shared" si="39"/>
        <v>279</v>
      </c>
      <c r="S17" s="52">
        <f t="shared" si="12"/>
        <v>4</v>
      </c>
      <c r="T17" s="68">
        <f t="shared" si="24"/>
        <v>0</v>
      </c>
      <c r="U17" s="423">
        <f t="shared" si="13"/>
        <v>9</v>
      </c>
      <c r="V17" s="62">
        <f t="shared" si="14"/>
        <v>735</v>
      </c>
      <c r="W17" s="421"/>
      <c r="X17" s="64">
        <v>2344</v>
      </c>
      <c r="Y17" s="52">
        <f t="shared" si="16"/>
        <v>0</v>
      </c>
      <c r="Z17" s="64">
        <v>131862.6</v>
      </c>
      <c r="AA17" s="65">
        <f t="shared" si="7"/>
        <v>0</v>
      </c>
      <c r="AB17" s="296">
        <f t="shared" si="25"/>
        <v>0</v>
      </c>
      <c r="AC17" s="64">
        <v>1801</v>
      </c>
      <c r="AD17" s="45">
        <f t="shared" si="8"/>
        <v>0</v>
      </c>
      <c r="AE17" s="64">
        <v>357711.4</v>
      </c>
      <c r="AF17" s="323">
        <f t="shared" si="17"/>
        <v>0</v>
      </c>
      <c r="AG17" s="213">
        <f t="shared" si="26"/>
        <v>0</v>
      </c>
      <c r="AH17" s="62">
        <f t="shared" si="27"/>
        <v>0</v>
      </c>
      <c r="AI17" s="334">
        <f t="shared" si="18"/>
        <v>735</v>
      </c>
      <c r="AJ17" s="334">
        <f>-tanks!AW18</f>
        <v>735</v>
      </c>
      <c r="AK17" s="334">
        <f t="shared" si="19"/>
        <v>0</v>
      </c>
      <c r="AL17" s="334">
        <f t="shared" si="9"/>
        <v>9</v>
      </c>
      <c r="AM17" s="334">
        <f t="shared" si="20"/>
        <v>0</v>
      </c>
      <c r="AN17" s="64">
        <v>80</v>
      </c>
      <c r="AO17" s="336">
        <f t="shared" si="21"/>
        <v>2400</v>
      </c>
      <c r="AP17" s="64">
        <v>80</v>
      </c>
      <c r="AQ17" s="336">
        <f t="shared" si="22"/>
        <v>2400</v>
      </c>
      <c r="AR17" s="64">
        <v>80</v>
      </c>
      <c r="AS17" s="336">
        <f t="shared" si="28"/>
        <v>2400</v>
      </c>
      <c r="AT17" s="336">
        <f t="shared" si="29"/>
        <v>7200</v>
      </c>
      <c r="AU17" s="336">
        <f t="shared" si="30"/>
        <v>380</v>
      </c>
      <c r="AV17" s="276">
        <v>1400</v>
      </c>
      <c r="AW17" s="276">
        <v>0.7</v>
      </c>
      <c r="AX17" s="329">
        <f t="shared" si="23"/>
        <v>0.7</v>
      </c>
    </row>
    <row r="18" spans="1:50">
      <c r="A18" s="63">
        <f>ELEC!C16</f>
        <v>43875</v>
      </c>
      <c r="B18" s="64">
        <v>213.2</v>
      </c>
      <c r="C18" s="64">
        <v>219</v>
      </c>
      <c r="D18" s="45">
        <f t="shared" si="0"/>
        <v>6</v>
      </c>
      <c r="E18" s="45">
        <f t="shared" si="10"/>
        <v>50.28</v>
      </c>
      <c r="F18" s="64">
        <f t="shared" si="40"/>
        <v>1403</v>
      </c>
      <c r="G18" s="52">
        <f t="shared" si="1"/>
        <v>0</v>
      </c>
      <c r="H18" s="64">
        <f t="shared" si="41"/>
        <v>338387</v>
      </c>
      <c r="I18" s="417">
        <f t="shared" si="2"/>
        <v>0</v>
      </c>
      <c r="J18" s="66">
        <f t="shared" si="11"/>
        <v>0</v>
      </c>
      <c r="K18" s="64">
        <f t="shared" si="33"/>
        <v>1793</v>
      </c>
      <c r="L18" s="52">
        <f t="shared" si="3"/>
        <v>0</v>
      </c>
      <c r="M18" s="64">
        <f t="shared" si="34"/>
        <v>130929</v>
      </c>
      <c r="N18" s="417">
        <f t="shared" si="4"/>
        <v>0</v>
      </c>
      <c r="O18" s="67">
        <f t="shared" si="5"/>
        <v>0</v>
      </c>
      <c r="P18" s="64">
        <v>1643</v>
      </c>
      <c r="Q18" s="64">
        <v>140820</v>
      </c>
      <c r="R18" s="416">
        <f t="shared" si="39"/>
        <v>745</v>
      </c>
      <c r="S18" s="52">
        <f t="shared" si="12"/>
        <v>9</v>
      </c>
      <c r="T18" s="68">
        <f t="shared" si="24"/>
        <v>0</v>
      </c>
      <c r="U18" s="423">
        <f t="shared" si="13"/>
        <v>9</v>
      </c>
      <c r="V18" s="62">
        <f t="shared" si="14"/>
        <v>745</v>
      </c>
      <c r="W18" s="421"/>
      <c r="X18" s="64">
        <v>2353</v>
      </c>
      <c r="Y18" s="52">
        <f t="shared" si="16"/>
        <v>9</v>
      </c>
      <c r="Z18" s="64">
        <v>132298.70000000001</v>
      </c>
      <c r="AA18" s="65">
        <f t="shared" si="7"/>
        <v>436.10000000000582</v>
      </c>
      <c r="AB18" s="296">
        <f t="shared" ref="AB18:AB23" si="42">SUM(Y18*$AB$2)</f>
        <v>0</v>
      </c>
      <c r="AC18" s="64">
        <f t="shared" si="31"/>
        <v>1801</v>
      </c>
      <c r="AD18" s="45">
        <f t="shared" si="8"/>
        <v>0</v>
      </c>
      <c r="AE18" s="64">
        <v>357717.4</v>
      </c>
      <c r="AF18" s="323">
        <f t="shared" si="17"/>
        <v>6</v>
      </c>
      <c r="AG18" s="213">
        <f t="shared" si="26"/>
        <v>0</v>
      </c>
      <c r="AH18" s="62">
        <f t="shared" si="27"/>
        <v>442.10000000000582</v>
      </c>
      <c r="AI18" s="334">
        <f t="shared" si="18"/>
        <v>1187.1000000000058</v>
      </c>
      <c r="AJ18" s="334">
        <f>-tanks!AW19</f>
        <v>1187.1000000000058</v>
      </c>
      <c r="AK18" s="334">
        <f t="shared" si="19"/>
        <v>0</v>
      </c>
      <c r="AL18" s="334">
        <f t="shared" si="9"/>
        <v>9</v>
      </c>
      <c r="AM18" s="334">
        <f t="shared" si="20"/>
        <v>9</v>
      </c>
      <c r="AN18" s="64">
        <v>78</v>
      </c>
      <c r="AO18" s="336">
        <f t="shared" si="21"/>
        <v>2340</v>
      </c>
      <c r="AP18" s="64">
        <v>79</v>
      </c>
      <c r="AQ18" s="336">
        <f t="shared" si="22"/>
        <v>2370</v>
      </c>
      <c r="AR18" s="64">
        <v>79</v>
      </c>
      <c r="AS18" s="336">
        <f t="shared" si="28"/>
        <v>2370</v>
      </c>
      <c r="AT18" s="336">
        <f t="shared" si="29"/>
        <v>7080</v>
      </c>
      <c r="AU18" s="336">
        <f t="shared" si="30"/>
        <v>120</v>
      </c>
      <c r="AV18" s="276"/>
      <c r="AW18" s="276"/>
      <c r="AX18" s="329">
        <f t="shared" si="23"/>
        <v>0.7</v>
      </c>
    </row>
    <row r="19" spans="1:50">
      <c r="A19" s="63">
        <f>ELEC!C17</f>
        <v>43876</v>
      </c>
      <c r="B19" s="64">
        <v>206.1</v>
      </c>
      <c r="C19" s="64">
        <v>212</v>
      </c>
      <c r="D19" s="45">
        <f t="shared" si="0"/>
        <v>7</v>
      </c>
      <c r="E19" s="45">
        <f t="shared" si="10"/>
        <v>58.660000000000004</v>
      </c>
      <c r="F19" s="64">
        <v>1408</v>
      </c>
      <c r="G19" s="52">
        <f t="shared" si="1"/>
        <v>5</v>
      </c>
      <c r="H19" s="64">
        <v>338776</v>
      </c>
      <c r="I19" s="417">
        <f t="shared" si="2"/>
        <v>389</v>
      </c>
      <c r="J19" s="66">
        <f t="shared" si="11"/>
        <v>77.8</v>
      </c>
      <c r="K19" s="64">
        <f t="shared" si="33"/>
        <v>1793</v>
      </c>
      <c r="L19" s="52">
        <f t="shared" si="3"/>
        <v>0</v>
      </c>
      <c r="M19" s="64">
        <f t="shared" si="34"/>
        <v>130929</v>
      </c>
      <c r="N19" s="417">
        <f t="shared" si="4"/>
        <v>0</v>
      </c>
      <c r="O19" s="67">
        <f t="shared" si="5"/>
        <v>0</v>
      </c>
      <c r="P19" s="64">
        <v>1648</v>
      </c>
      <c r="Q19" s="64">
        <v>141150</v>
      </c>
      <c r="R19" s="416">
        <f t="shared" si="39"/>
        <v>330</v>
      </c>
      <c r="S19" s="52">
        <f t="shared" si="12"/>
        <v>5</v>
      </c>
      <c r="T19" s="68">
        <f t="shared" si="24"/>
        <v>0</v>
      </c>
      <c r="U19" s="423">
        <f t="shared" si="13"/>
        <v>10</v>
      </c>
      <c r="V19" s="62">
        <f t="shared" si="14"/>
        <v>719</v>
      </c>
      <c r="W19" s="421"/>
      <c r="X19" s="64">
        <f t="shared" si="35"/>
        <v>2353</v>
      </c>
      <c r="Y19" s="52">
        <f t="shared" si="16"/>
        <v>0</v>
      </c>
      <c r="Z19" s="64">
        <v>132325.70000000001</v>
      </c>
      <c r="AA19" s="65">
        <f t="shared" si="7"/>
        <v>27</v>
      </c>
      <c r="AB19" s="296">
        <f t="shared" si="42"/>
        <v>0</v>
      </c>
      <c r="AC19" s="64">
        <f t="shared" si="31"/>
        <v>1801</v>
      </c>
      <c r="AD19" s="45">
        <f t="shared" si="8"/>
        <v>0</v>
      </c>
      <c r="AE19" s="64">
        <v>357717.4</v>
      </c>
      <c r="AF19" s="323">
        <f t="shared" si="17"/>
        <v>0</v>
      </c>
      <c r="AG19" s="213">
        <f t="shared" si="26"/>
        <v>0</v>
      </c>
      <c r="AH19" s="62">
        <f t="shared" si="27"/>
        <v>27</v>
      </c>
      <c r="AI19" s="334">
        <f t="shared" si="18"/>
        <v>746</v>
      </c>
      <c r="AJ19" s="334">
        <f>-tanks!AW20</f>
        <v>746</v>
      </c>
      <c r="AK19" s="334">
        <f t="shared" si="19"/>
        <v>0</v>
      </c>
      <c r="AL19" s="334">
        <f>S19+L20+G19</f>
        <v>15</v>
      </c>
      <c r="AM19" s="334">
        <f t="shared" si="20"/>
        <v>0</v>
      </c>
      <c r="AN19" s="64">
        <v>76</v>
      </c>
      <c r="AO19" s="336">
        <f t="shared" si="21"/>
        <v>2280</v>
      </c>
      <c r="AP19" s="64">
        <v>78</v>
      </c>
      <c r="AQ19" s="336">
        <f t="shared" si="22"/>
        <v>2340</v>
      </c>
      <c r="AR19" s="64">
        <v>78</v>
      </c>
      <c r="AS19" s="336">
        <f t="shared" si="28"/>
        <v>2340</v>
      </c>
      <c r="AT19" s="336">
        <f t="shared" si="29"/>
        <v>6960</v>
      </c>
      <c r="AU19" s="336">
        <f t="shared" si="30"/>
        <v>120</v>
      </c>
      <c r="AV19" s="276"/>
      <c r="AW19" s="276"/>
      <c r="AX19" s="329">
        <f t="shared" si="23"/>
        <v>0.7</v>
      </c>
    </row>
    <row r="20" spans="1:50">
      <c r="A20" s="63">
        <f>ELEC!C18</f>
        <v>43877</v>
      </c>
      <c r="B20" s="64">
        <v>202.3</v>
      </c>
      <c r="C20" s="64">
        <v>208.1</v>
      </c>
      <c r="D20" s="45">
        <f>C19-C20</f>
        <v>3.9000000000000057</v>
      </c>
      <c r="E20" s="45">
        <f t="shared" si="10"/>
        <v>32.682000000000052</v>
      </c>
      <c r="F20" s="64">
        <v>1411</v>
      </c>
      <c r="G20" s="52">
        <f t="shared" si="1"/>
        <v>3</v>
      </c>
      <c r="H20" s="64">
        <v>339042</v>
      </c>
      <c r="I20" s="417">
        <f t="shared" si="2"/>
        <v>266</v>
      </c>
      <c r="J20" s="66">
        <f t="shared" si="11"/>
        <v>88.666666666666671</v>
      </c>
      <c r="K20" s="64">
        <v>1798</v>
      </c>
      <c r="L20" s="52">
        <f t="shared" si="3"/>
        <v>5</v>
      </c>
      <c r="M20" s="64">
        <v>131307</v>
      </c>
      <c r="N20" s="417">
        <f t="shared" si="4"/>
        <v>378</v>
      </c>
      <c r="O20" s="67">
        <f t="shared" si="5"/>
        <v>383.19270833333337</v>
      </c>
      <c r="P20" s="64">
        <f t="shared" si="37"/>
        <v>1648</v>
      </c>
      <c r="Q20" s="64">
        <f t="shared" si="38"/>
        <v>141150</v>
      </c>
      <c r="R20" s="416">
        <f t="shared" si="39"/>
        <v>0</v>
      </c>
      <c r="S20" s="52">
        <f t="shared" si="12"/>
        <v>0</v>
      </c>
      <c r="T20" s="68">
        <f t="shared" si="24"/>
        <v>0</v>
      </c>
      <c r="U20" s="423">
        <f t="shared" si="13"/>
        <v>8</v>
      </c>
      <c r="V20" s="62">
        <f t="shared" si="14"/>
        <v>644</v>
      </c>
      <c r="W20" s="421"/>
      <c r="X20" s="64">
        <f t="shared" si="35"/>
        <v>2353</v>
      </c>
      <c r="Y20" s="52">
        <f t="shared" si="16"/>
        <v>0</v>
      </c>
      <c r="Z20" s="64">
        <v>132325.70000000001</v>
      </c>
      <c r="AA20" s="65">
        <f t="shared" si="7"/>
        <v>0</v>
      </c>
      <c r="AB20" s="296">
        <f t="shared" si="42"/>
        <v>0</v>
      </c>
      <c r="AC20" s="64">
        <f t="shared" si="31"/>
        <v>1801</v>
      </c>
      <c r="AD20" s="45">
        <f t="shared" si="8"/>
        <v>0</v>
      </c>
      <c r="AE20" s="64">
        <f t="shared" si="32"/>
        <v>357717.4</v>
      </c>
      <c r="AF20" s="323">
        <f t="shared" si="17"/>
        <v>0</v>
      </c>
      <c r="AG20" s="213">
        <f t="shared" si="26"/>
        <v>0</v>
      </c>
      <c r="AH20" s="62">
        <f t="shared" si="27"/>
        <v>0</v>
      </c>
      <c r="AI20" s="334">
        <f t="shared" si="18"/>
        <v>644</v>
      </c>
      <c r="AJ20" s="334">
        <f>-tanks!AW21</f>
        <v>644</v>
      </c>
      <c r="AK20" s="334">
        <f t="shared" si="19"/>
        <v>0</v>
      </c>
      <c r="AL20" s="334">
        <f>S20+L21+G20</f>
        <v>7</v>
      </c>
      <c r="AM20" s="334">
        <f t="shared" si="20"/>
        <v>0</v>
      </c>
      <c r="AN20" s="64">
        <v>74</v>
      </c>
      <c r="AO20" s="336">
        <f t="shared" si="21"/>
        <v>2220</v>
      </c>
      <c r="AP20" s="64">
        <v>76</v>
      </c>
      <c r="AQ20" s="336">
        <f t="shared" si="22"/>
        <v>2280</v>
      </c>
      <c r="AR20" s="64">
        <v>76</v>
      </c>
      <c r="AS20" s="336">
        <f t="shared" si="28"/>
        <v>2280</v>
      </c>
      <c r="AT20" s="336">
        <f t="shared" si="29"/>
        <v>6780</v>
      </c>
      <c r="AU20" s="336">
        <f t="shared" si="30"/>
        <v>180</v>
      </c>
      <c r="AV20" s="276"/>
      <c r="AW20" s="276"/>
      <c r="AX20" s="329">
        <f t="shared" si="23"/>
        <v>0.7</v>
      </c>
    </row>
    <row r="21" spans="1:50">
      <c r="A21" s="63">
        <f>ELEC!C19</f>
        <v>43878</v>
      </c>
      <c r="B21" s="64">
        <v>198</v>
      </c>
      <c r="C21" s="64">
        <v>203.3</v>
      </c>
      <c r="D21" s="45">
        <f t="shared" si="0"/>
        <v>4.7999999999999829</v>
      </c>
      <c r="E21" s="45">
        <f t="shared" si="10"/>
        <v>40.223999999999862</v>
      </c>
      <c r="F21" s="64">
        <v>1411</v>
      </c>
      <c r="G21" s="52">
        <f t="shared" si="1"/>
        <v>0</v>
      </c>
      <c r="H21" s="64">
        <v>339042</v>
      </c>
      <c r="I21" s="417">
        <f t="shared" si="2"/>
        <v>0</v>
      </c>
      <c r="J21" s="66">
        <f t="shared" si="11"/>
        <v>0</v>
      </c>
      <c r="K21" s="64">
        <v>1802</v>
      </c>
      <c r="L21" s="52">
        <f t="shared" si="3"/>
        <v>4</v>
      </c>
      <c r="M21" s="64">
        <v>131602</v>
      </c>
      <c r="N21" s="417">
        <f t="shared" si="4"/>
        <v>295</v>
      </c>
      <c r="O21" s="67">
        <f t="shared" si="5"/>
        <v>306.55416666666667</v>
      </c>
      <c r="P21" s="64">
        <v>1652</v>
      </c>
      <c r="Q21" s="64">
        <v>141485</v>
      </c>
      <c r="R21" s="416">
        <f t="shared" si="39"/>
        <v>335</v>
      </c>
      <c r="S21" s="52">
        <f t="shared" si="12"/>
        <v>4</v>
      </c>
      <c r="T21" s="68">
        <f t="shared" si="24"/>
        <v>0</v>
      </c>
      <c r="U21" s="423">
        <f t="shared" si="13"/>
        <v>8</v>
      </c>
      <c r="V21" s="62">
        <f t="shared" si="14"/>
        <v>630</v>
      </c>
      <c r="W21" s="421"/>
      <c r="X21" s="64">
        <v>2353</v>
      </c>
      <c r="Y21" s="52">
        <f t="shared" si="16"/>
        <v>0</v>
      </c>
      <c r="Z21" s="64">
        <v>132325.70000000001</v>
      </c>
      <c r="AA21" s="65">
        <f t="shared" si="7"/>
        <v>0</v>
      </c>
      <c r="AB21" s="296">
        <f t="shared" si="42"/>
        <v>0</v>
      </c>
      <c r="AC21" s="64">
        <v>1801</v>
      </c>
      <c r="AD21" s="45">
        <f t="shared" si="8"/>
        <v>0</v>
      </c>
      <c r="AE21" s="64">
        <v>357717.4</v>
      </c>
      <c r="AF21" s="323">
        <f t="shared" si="17"/>
        <v>0</v>
      </c>
      <c r="AG21" s="213">
        <f t="shared" si="26"/>
        <v>0</v>
      </c>
      <c r="AH21" s="62">
        <f t="shared" si="27"/>
        <v>0</v>
      </c>
      <c r="AI21" s="334">
        <f t="shared" si="18"/>
        <v>630</v>
      </c>
      <c r="AJ21" s="334">
        <f>-tanks!AW22</f>
        <v>630</v>
      </c>
      <c r="AK21" s="334">
        <f t="shared" si="19"/>
        <v>0</v>
      </c>
      <c r="AL21" s="334">
        <f t="shared" ref="AL21:AL34" si="43">S21+L21+G21</f>
        <v>8</v>
      </c>
      <c r="AM21" s="334">
        <f t="shared" si="20"/>
        <v>0</v>
      </c>
      <c r="AN21" s="64">
        <v>71</v>
      </c>
      <c r="AO21" s="336">
        <f t="shared" si="21"/>
        <v>2130</v>
      </c>
      <c r="AP21" s="64">
        <v>73</v>
      </c>
      <c r="AQ21" s="336">
        <f t="shared" si="22"/>
        <v>2190</v>
      </c>
      <c r="AR21" s="64">
        <v>73</v>
      </c>
      <c r="AS21" s="336">
        <f t="shared" si="28"/>
        <v>2190</v>
      </c>
      <c r="AT21" s="336">
        <f t="shared" si="29"/>
        <v>6510</v>
      </c>
      <c r="AU21" s="336">
        <f t="shared" si="30"/>
        <v>270</v>
      </c>
      <c r="AV21" s="276"/>
      <c r="AW21" s="276"/>
      <c r="AX21" s="329">
        <f t="shared" si="23"/>
        <v>0.7</v>
      </c>
    </row>
    <row r="22" spans="1:50" ht="16.5" customHeight="1">
      <c r="A22" s="63">
        <f>ELEC!C20</f>
        <v>43879</v>
      </c>
      <c r="B22" s="64">
        <v>251.2</v>
      </c>
      <c r="C22" s="64">
        <v>256.39999999999998</v>
      </c>
      <c r="D22" s="45">
        <f t="shared" si="0"/>
        <v>-53.099999999999966</v>
      </c>
      <c r="E22" s="45">
        <f t="shared" si="10"/>
        <v>-444.97799999999978</v>
      </c>
      <c r="F22" s="64">
        <v>1415</v>
      </c>
      <c r="G22" s="52">
        <f t="shared" si="1"/>
        <v>4</v>
      </c>
      <c r="H22" s="64">
        <v>339352</v>
      </c>
      <c r="I22" s="417">
        <f t="shared" si="2"/>
        <v>310</v>
      </c>
      <c r="J22" s="66">
        <f t="shared" si="11"/>
        <v>77.5</v>
      </c>
      <c r="K22" s="64">
        <v>1802</v>
      </c>
      <c r="L22" s="52">
        <f t="shared" si="3"/>
        <v>0</v>
      </c>
      <c r="M22" s="64">
        <v>131602</v>
      </c>
      <c r="N22" s="417">
        <f t="shared" si="4"/>
        <v>0</v>
      </c>
      <c r="O22" s="67">
        <f t="shared" si="5"/>
        <v>0</v>
      </c>
      <c r="P22" s="64">
        <v>1656</v>
      </c>
      <c r="Q22" s="64">
        <v>141745</v>
      </c>
      <c r="R22" s="416">
        <f t="shared" si="39"/>
        <v>260</v>
      </c>
      <c r="S22" s="52">
        <f t="shared" si="12"/>
        <v>4</v>
      </c>
      <c r="T22" s="68">
        <f t="shared" si="24"/>
        <v>0</v>
      </c>
      <c r="U22" s="423">
        <f t="shared" si="13"/>
        <v>8</v>
      </c>
      <c r="V22" s="62">
        <f t="shared" si="14"/>
        <v>570</v>
      </c>
      <c r="W22" s="421"/>
      <c r="X22" s="64">
        <v>2363</v>
      </c>
      <c r="Y22" s="52">
        <f t="shared" si="16"/>
        <v>10</v>
      </c>
      <c r="Z22" s="64">
        <v>132877.70000000001</v>
      </c>
      <c r="AA22" s="65">
        <f t="shared" si="7"/>
        <v>552</v>
      </c>
      <c r="AB22" s="296">
        <f t="shared" si="42"/>
        <v>0</v>
      </c>
      <c r="AC22" s="64">
        <f t="shared" si="31"/>
        <v>1801</v>
      </c>
      <c r="AD22" s="45">
        <f t="shared" si="8"/>
        <v>0</v>
      </c>
      <c r="AE22" s="64">
        <f t="shared" si="32"/>
        <v>357717.4</v>
      </c>
      <c r="AF22" s="323">
        <f t="shared" si="17"/>
        <v>0</v>
      </c>
      <c r="AG22" s="213">
        <f t="shared" si="26"/>
        <v>0</v>
      </c>
      <c r="AH22" s="62">
        <f t="shared" si="27"/>
        <v>552</v>
      </c>
      <c r="AI22" s="334">
        <f t="shared" si="18"/>
        <v>1122</v>
      </c>
      <c r="AJ22" s="334">
        <f>-tanks!AW23</f>
        <v>1122</v>
      </c>
      <c r="AK22" s="334">
        <f t="shared" si="19"/>
        <v>0</v>
      </c>
      <c r="AL22" s="334">
        <f t="shared" si="43"/>
        <v>8</v>
      </c>
      <c r="AM22" s="334">
        <f t="shared" si="20"/>
        <v>10</v>
      </c>
      <c r="AN22" s="64">
        <v>69</v>
      </c>
      <c r="AO22" s="336">
        <f t="shared" si="21"/>
        <v>2070</v>
      </c>
      <c r="AP22" s="64">
        <v>71</v>
      </c>
      <c r="AQ22" s="336">
        <f t="shared" si="22"/>
        <v>2130</v>
      </c>
      <c r="AR22" s="64">
        <v>72</v>
      </c>
      <c r="AS22" s="336">
        <f t="shared" si="28"/>
        <v>2160</v>
      </c>
      <c r="AT22" s="336">
        <f t="shared" si="29"/>
        <v>6360</v>
      </c>
      <c r="AU22" s="336">
        <f t="shared" si="30"/>
        <v>150</v>
      </c>
      <c r="AV22" s="276"/>
      <c r="AW22" s="276"/>
      <c r="AX22" s="329">
        <f t="shared" si="23"/>
        <v>0.7</v>
      </c>
    </row>
    <row r="23" spans="1:50">
      <c r="A23" s="63">
        <f>ELEC!C21</f>
        <v>43880</v>
      </c>
      <c r="B23" s="64">
        <v>245</v>
      </c>
      <c r="C23" s="64">
        <v>249.4</v>
      </c>
      <c r="D23" s="45">
        <f t="shared" si="0"/>
        <v>6.9999999999999716</v>
      </c>
      <c r="E23" s="45">
        <f t="shared" si="10"/>
        <v>58.659999999999769</v>
      </c>
      <c r="F23" s="64">
        <v>1418</v>
      </c>
      <c r="G23" s="52">
        <f t="shared" si="1"/>
        <v>3</v>
      </c>
      <c r="H23" s="64">
        <v>339608</v>
      </c>
      <c r="I23" s="417">
        <f t="shared" si="2"/>
        <v>256</v>
      </c>
      <c r="J23" s="66">
        <f t="shared" si="11"/>
        <v>85.333333333333329</v>
      </c>
      <c r="K23" s="64">
        <v>1805</v>
      </c>
      <c r="L23" s="52">
        <f t="shared" si="3"/>
        <v>3</v>
      </c>
      <c r="M23" s="64">
        <v>131845</v>
      </c>
      <c r="N23" s="417">
        <f t="shared" si="4"/>
        <v>243</v>
      </c>
      <c r="O23" s="67">
        <f t="shared" si="5"/>
        <v>229.91562500000001</v>
      </c>
      <c r="P23" s="64">
        <v>1656</v>
      </c>
      <c r="Q23" s="64">
        <v>141745</v>
      </c>
      <c r="R23" s="416">
        <f t="shared" si="39"/>
        <v>0</v>
      </c>
      <c r="S23" s="52">
        <f t="shared" si="12"/>
        <v>0</v>
      </c>
      <c r="T23" s="68">
        <f t="shared" si="24"/>
        <v>0</v>
      </c>
      <c r="U23" s="423">
        <f t="shared" si="13"/>
        <v>6</v>
      </c>
      <c r="V23" s="62">
        <f t="shared" si="14"/>
        <v>499</v>
      </c>
      <c r="W23" s="421"/>
      <c r="X23" s="64">
        <v>2363</v>
      </c>
      <c r="Y23" s="52">
        <f t="shared" si="16"/>
        <v>0</v>
      </c>
      <c r="Z23" s="64">
        <v>132877.70000000001</v>
      </c>
      <c r="AA23" s="65">
        <f t="shared" si="7"/>
        <v>0</v>
      </c>
      <c r="AB23" s="296">
        <f t="shared" si="42"/>
        <v>0</v>
      </c>
      <c r="AC23" s="64">
        <v>1801</v>
      </c>
      <c r="AD23" s="45">
        <f t="shared" si="8"/>
        <v>0</v>
      </c>
      <c r="AE23" s="64">
        <v>357717.4</v>
      </c>
      <c r="AF23" s="323">
        <f t="shared" si="17"/>
        <v>0</v>
      </c>
      <c r="AG23" s="213">
        <f t="shared" si="26"/>
        <v>0</v>
      </c>
      <c r="AH23" s="62">
        <f t="shared" si="27"/>
        <v>0</v>
      </c>
      <c r="AI23" s="334">
        <f t="shared" si="18"/>
        <v>499</v>
      </c>
      <c r="AJ23" s="334">
        <f>-tanks!AW24</f>
        <v>499</v>
      </c>
      <c r="AK23" s="334">
        <f t="shared" si="19"/>
        <v>0</v>
      </c>
      <c r="AL23" s="334">
        <f t="shared" si="43"/>
        <v>6</v>
      </c>
      <c r="AM23" s="334">
        <f t="shared" si="20"/>
        <v>0</v>
      </c>
      <c r="AN23" s="64">
        <v>67</v>
      </c>
      <c r="AO23" s="336">
        <f t="shared" si="21"/>
        <v>2010.0000000000002</v>
      </c>
      <c r="AP23" s="64">
        <v>69</v>
      </c>
      <c r="AQ23" s="336">
        <f t="shared" si="22"/>
        <v>2070</v>
      </c>
      <c r="AR23" s="64">
        <v>70</v>
      </c>
      <c r="AS23" s="336">
        <f t="shared" si="28"/>
        <v>2100</v>
      </c>
      <c r="AT23" s="336">
        <f t="shared" si="29"/>
        <v>6180</v>
      </c>
      <c r="AU23" s="336">
        <f t="shared" si="30"/>
        <v>180</v>
      </c>
      <c r="AV23" s="276"/>
      <c r="AW23" s="276"/>
      <c r="AX23" s="329">
        <f t="shared" si="23"/>
        <v>0.7</v>
      </c>
    </row>
    <row r="24" spans="1:50">
      <c r="A24" s="63">
        <f>ELEC!C22</f>
        <v>43881</v>
      </c>
      <c r="B24" s="64">
        <v>241</v>
      </c>
      <c r="C24" s="64">
        <v>246.5</v>
      </c>
      <c r="D24" s="45">
        <f t="shared" si="0"/>
        <v>2.9000000000000057</v>
      </c>
      <c r="E24" s="45">
        <f t="shared" si="10"/>
        <v>24.302000000000049</v>
      </c>
      <c r="F24" s="64">
        <v>1418</v>
      </c>
      <c r="G24" s="52">
        <f t="shared" si="1"/>
        <v>0</v>
      </c>
      <c r="H24" s="64">
        <v>339608</v>
      </c>
      <c r="I24" s="417">
        <f t="shared" si="2"/>
        <v>0</v>
      </c>
      <c r="J24" s="66">
        <f t="shared" si="11"/>
        <v>0</v>
      </c>
      <c r="K24" s="64">
        <v>1809</v>
      </c>
      <c r="L24" s="52">
        <f t="shared" si="3"/>
        <v>4</v>
      </c>
      <c r="M24" s="64">
        <v>132120</v>
      </c>
      <c r="N24" s="417">
        <f t="shared" si="4"/>
        <v>275</v>
      </c>
      <c r="O24" s="67">
        <f t="shared" si="5"/>
        <v>306.55416666666667</v>
      </c>
      <c r="P24" s="64">
        <v>1659</v>
      </c>
      <c r="Q24" s="64">
        <v>142011</v>
      </c>
      <c r="R24" s="416">
        <f t="shared" si="39"/>
        <v>266</v>
      </c>
      <c r="S24" s="52">
        <f t="shared" ref="S24:S33" si="44">SUM(P24-P23)</f>
        <v>3</v>
      </c>
      <c r="T24" s="68">
        <f t="shared" si="24"/>
        <v>0</v>
      </c>
      <c r="U24" s="423">
        <f t="shared" si="13"/>
        <v>7</v>
      </c>
      <c r="V24" s="62">
        <f t="shared" si="14"/>
        <v>541</v>
      </c>
      <c r="W24" s="421"/>
      <c r="X24" s="64">
        <v>2363</v>
      </c>
      <c r="Y24" s="52">
        <f t="shared" si="16"/>
        <v>0</v>
      </c>
      <c r="Z24" s="64">
        <v>132877.70000000001</v>
      </c>
      <c r="AA24" s="65">
        <f t="shared" si="7"/>
        <v>0</v>
      </c>
      <c r="AB24" s="296">
        <f t="shared" ref="AB24:AB34" si="45">SUM(Y24*$AB$2)</f>
        <v>0</v>
      </c>
      <c r="AC24" s="64">
        <v>1801</v>
      </c>
      <c r="AD24" s="45">
        <f t="shared" si="8"/>
        <v>0</v>
      </c>
      <c r="AE24" s="64">
        <v>357717.4</v>
      </c>
      <c r="AF24" s="323">
        <f t="shared" si="17"/>
        <v>0</v>
      </c>
      <c r="AG24" s="213">
        <f t="shared" si="26"/>
        <v>0</v>
      </c>
      <c r="AH24" s="62">
        <f t="shared" si="27"/>
        <v>0</v>
      </c>
      <c r="AI24" s="334">
        <f t="shared" si="18"/>
        <v>541</v>
      </c>
      <c r="AJ24" s="334">
        <f>-tanks!AW25</f>
        <v>541</v>
      </c>
      <c r="AK24" s="334">
        <f t="shared" si="19"/>
        <v>0</v>
      </c>
      <c r="AL24" s="334">
        <f t="shared" si="43"/>
        <v>7</v>
      </c>
      <c r="AM24" s="334">
        <f t="shared" si="20"/>
        <v>0</v>
      </c>
      <c r="AN24" s="64">
        <v>79</v>
      </c>
      <c r="AO24" s="336">
        <f t="shared" si="21"/>
        <v>2370</v>
      </c>
      <c r="AP24" s="64">
        <v>79</v>
      </c>
      <c r="AQ24" s="336">
        <f t="shared" si="22"/>
        <v>2370</v>
      </c>
      <c r="AR24" s="64">
        <v>81</v>
      </c>
      <c r="AS24" s="336">
        <f t="shared" si="28"/>
        <v>2430</v>
      </c>
      <c r="AT24" s="336">
        <f t="shared" ref="AT24:AT34" si="46">SUM(AO24+AQ24+AS24)</f>
        <v>7170</v>
      </c>
      <c r="AU24" s="336">
        <f t="shared" si="30"/>
        <v>410</v>
      </c>
      <c r="AV24" s="276">
        <v>1400</v>
      </c>
      <c r="AW24" s="276">
        <v>0.7</v>
      </c>
      <c r="AX24" s="329">
        <f t="shared" si="23"/>
        <v>0.7</v>
      </c>
    </row>
    <row r="25" spans="1:50" ht="13.5" customHeight="1">
      <c r="A25" s="63">
        <f>ELEC!C23</f>
        <v>43882</v>
      </c>
      <c r="B25" s="64">
        <v>237</v>
      </c>
      <c r="C25" s="64">
        <v>241</v>
      </c>
      <c r="D25" s="45">
        <f t="shared" si="0"/>
        <v>5.5</v>
      </c>
      <c r="E25" s="45">
        <f t="shared" si="10"/>
        <v>46.09</v>
      </c>
      <c r="F25" s="64">
        <v>1422</v>
      </c>
      <c r="G25" s="52">
        <f t="shared" si="1"/>
        <v>4</v>
      </c>
      <c r="H25" s="64">
        <v>339923</v>
      </c>
      <c r="I25" s="417">
        <f t="shared" si="2"/>
        <v>315</v>
      </c>
      <c r="J25" s="66">
        <f t="shared" si="11"/>
        <v>78.75</v>
      </c>
      <c r="K25" s="64">
        <f t="shared" si="33"/>
        <v>1809</v>
      </c>
      <c r="L25" s="52">
        <f t="shared" si="3"/>
        <v>0</v>
      </c>
      <c r="M25" s="64">
        <f t="shared" si="34"/>
        <v>132120</v>
      </c>
      <c r="N25" s="417">
        <f t="shared" si="4"/>
        <v>0</v>
      </c>
      <c r="O25" s="67">
        <f t="shared" si="5"/>
        <v>0</v>
      </c>
      <c r="P25" s="64">
        <v>1662</v>
      </c>
      <c r="Q25" s="64">
        <v>142265</v>
      </c>
      <c r="R25" s="416">
        <f t="shared" si="39"/>
        <v>254</v>
      </c>
      <c r="S25" s="52">
        <f t="shared" si="44"/>
        <v>3</v>
      </c>
      <c r="T25" s="68">
        <f t="shared" si="24"/>
        <v>0</v>
      </c>
      <c r="U25" s="423">
        <f t="shared" si="13"/>
        <v>7</v>
      </c>
      <c r="V25" s="62">
        <f t="shared" si="14"/>
        <v>569</v>
      </c>
      <c r="W25" s="421"/>
      <c r="X25" s="64">
        <v>2372</v>
      </c>
      <c r="Y25" s="52">
        <f t="shared" si="16"/>
        <v>9</v>
      </c>
      <c r="Z25" s="64">
        <v>133353</v>
      </c>
      <c r="AA25" s="65">
        <f t="shared" si="7"/>
        <v>475.29999999998836</v>
      </c>
      <c r="AB25" s="296">
        <f t="shared" si="45"/>
        <v>0</v>
      </c>
      <c r="AC25" s="64">
        <f t="shared" si="31"/>
        <v>1801</v>
      </c>
      <c r="AD25" s="45">
        <f t="shared" si="8"/>
        <v>0</v>
      </c>
      <c r="AE25" s="64">
        <f t="shared" si="32"/>
        <v>357717.4</v>
      </c>
      <c r="AF25" s="323">
        <f t="shared" si="17"/>
        <v>0</v>
      </c>
      <c r="AG25" s="213">
        <f t="shared" si="26"/>
        <v>0</v>
      </c>
      <c r="AH25" s="62">
        <f t="shared" si="27"/>
        <v>475.29999999998836</v>
      </c>
      <c r="AI25" s="334">
        <f t="shared" si="18"/>
        <v>1044.2999999999884</v>
      </c>
      <c r="AJ25" s="334">
        <f>-tanks!AW26</f>
        <v>1044.2999999999884</v>
      </c>
      <c r="AK25" s="334">
        <f t="shared" si="19"/>
        <v>0</v>
      </c>
      <c r="AL25" s="334">
        <f t="shared" si="43"/>
        <v>7</v>
      </c>
      <c r="AM25" s="334">
        <f t="shared" si="20"/>
        <v>9</v>
      </c>
      <c r="AN25" s="64">
        <f t="shared" ref="AN25" si="47">AN24</f>
        <v>79</v>
      </c>
      <c r="AO25" s="336">
        <f t="shared" si="21"/>
        <v>2370</v>
      </c>
      <c r="AP25" s="64">
        <f t="shared" ref="AP25" si="48">AP24</f>
        <v>79</v>
      </c>
      <c r="AQ25" s="336">
        <f t="shared" ref="AQ25:AQ34" si="49">(AP25/100)*3000</f>
        <v>2370</v>
      </c>
      <c r="AR25" s="64">
        <v>80</v>
      </c>
      <c r="AS25" s="336">
        <f t="shared" si="28"/>
        <v>2400</v>
      </c>
      <c r="AT25" s="336">
        <f t="shared" si="46"/>
        <v>7140</v>
      </c>
      <c r="AU25" s="336">
        <f t="shared" si="30"/>
        <v>30</v>
      </c>
      <c r="AV25" s="276"/>
      <c r="AW25" s="276"/>
      <c r="AX25" s="329">
        <f t="shared" si="23"/>
        <v>0.7</v>
      </c>
    </row>
    <row r="26" spans="1:50" ht="14.25" customHeight="1">
      <c r="A26" s="63">
        <f>ELEC!C24</f>
        <v>43883</v>
      </c>
      <c r="B26" s="64">
        <v>229</v>
      </c>
      <c r="C26" s="64">
        <v>234.3</v>
      </c>
      <c r="D26" s="45">
        <f t="shared" si="0"/>
        <v>6.6999999999999886</v>
      </c>
      <c r="E26" s="45">
        <f t="shared" si="10"/>
        <v>56.145999999999908</v>
      </c>
      <c r="F26" s="64">
        <v>1426</v>
      </c>
      <c r="G26" s="52">
        <f t="shared" si="1"/>
        <v>4</v>
      </c>
      <c r="H26" s="64">
        <v>340262</v>
      </c>
      <c r="I26" s="417">
        <f t="shared" si="2"/>
        <v>339</v>
      </c>
      <c r="J26" s="66">
        <f t="shared" si="11"/>
        <v>84.75</v>
      </c>
      <c r="K26" s="64">
        <v>1814</v>
      </c>
      <c r="L26" s="52">
        <f t="shared" si="3"/>
        <v>5</v>
      </c>
      <c r="M26" s="64">
        <v>132475</v>
      </c>
      <c r="N26" s="417">
        <f t="shared" si="4"/>
        <v>355</v>
      </c>
      <c r="O26" s="67">
        <f t="shared" si="5"/>
        <v>383.19270833333337</v>
      </c>
      <c r="P26" s="64">
        <v>1662</v>
      </c>
      <c r="Q26" s="64">
        <v>142270</v>
      </c>
      <c r="R26" s="416">
        <f t="shared" si="39"/>
        <v>5</v>
      </c>
      <c r="S26" s="52">
        <f t="shared" si="44"/>
        <v>0</v>
      </c>
      <c r="T26" s="68">
        <f t="shared" si="24"/>
        <v>0</v>
      </c>
      <c r="U26" s="423">
        <f t="shared" si="13"/>
        <v>9</v>
      </c>
      <c r="V26" s="62">
        <f t="shared" si="14"/>
        <v>699</v>
      </c>
      <c r="W26" s="421"/>
      <c r="X26" s="64">
        <v>2374</v>
      </c>
      <c r="Y26" s="52">
        <f t="shared" si="16"/>
        <v>2</v>
      </c>
      <c r="Z26" s="64">
        <v>133402</v>
      </c>
      <c r="AA26" s="65">
        <f t="shared" si="7"/>
        <v>49</v>
      </c>
      <c r="AB26" s="296">
        <f t="shared" si="45"/>
        <v>0</v>
      </c>
      <c r="AC26" s="64">
        <f t="shared" si="31"/>
        <v>1801</v>
      </c>
      <c r="AD26" s="45">
        <f t="shared" si="8"/>
        <v>0</v>
      </c>
      <c r="AE26" s="64">
        <f t="shared" si="32"/>
        <v>357717.4</v>
      </c>
      <c r="AF26" s="323">
        <f t="shared" si="17"/>
        <v>0</v>
      </c>
      <c r="AG26" s="213">
        <f t="shared" si="26"/>
        <v>0</v>
      </c>
      <c r="AH26" s="62">
        <f t="shared" si="27"/>
        <v>49</v>
      </c>
      <c r="AI26" s="334">
        <f t="shared" si="18"/>
        <v>748</v>
      </c>
      <c r="AJ26" s="334">
        <f>-tanks!AW27</f>
        <v>748</v>
      </c>
      <c r="AK26" s="334">
        <f t="shared" si="19"/>
        <v>0</v>
      </c>
      <c r="AL26" s="334">
        <f t="shared" si="43"/>
        <v>9</v>
      </c>
      <c r="AM26" s="334">
        <f t="shared" si="20"/>
        <v>2</v>
      </c>
      <c r="AN26" s="64">
        <v>77</v>
      </c>
      <c r="AO26" s="336">
        <f t="shared" si="21"/>
        <v>2310</v>
      </c>
      <c r="AP26" s="64">
        <v>78</v>
      </c>
      <c r="AQ26" s="336">
        <f t="shared" si="49"/>
        <v>2340</v>
      </c>
      <c r="AR26" s="64">
        <v>79</v>
      </c>
      <c r="AS26" s="336">
        <f t="shared" si="28"/>
        <v>2370</v>
      </c>
      <c r="AT26" s="336">
        <f t="shared" si="46"/>
        <v>7020</v>
      </c>
      <c r="AU26" s="336">
        <f t="shared" si="30"/>
        <v>120</v>
      </c>
      <c r="AV26" s="276"/>
      <c r="AW26" s="276"/>
      <c r="AX26" s="329">
        <f t="shared" si="23"/>
        <v>0.7</v>
      </c>
    </row>
    <row r="27" spans="1:50">
      <c r="A27" s="63">
        <f>ELEC!C25</f>
        <v>43884</v>
      </c>
      <c r="B27" s="64">
        <v>222</v>
      </c>
      <c r="C27" s="64">
        <v>228.1</v>
      </c>
      <c r="D27" s="45">
        <f t="shared" si="0"/>
        <v>6.2000000000000171</v>
      </c>
      <c r="E27" s="45">
        <f t="shared" si="10"/>
        <v>51.956000000000145</v>
      </c>
      <c r="F27" s="64">
        <v>1430</v>
      </c>
      <c r="G27" s="52">
        <f t="shared" si="1"/>
        <v>4</v>
      </c>
      <c r="H27" s="64">
        <v>340602</v>
      </c>
      <c r="I27" s="417">
        <f t="shared" si="2"/>
        <v>340</v>
      </c>
      <c r="J27" s="66">
        <f t="shared" si="11"/>
        <v>85</v>
      </c>
      <c r="K27" s="64">
        <v>1818</v>
      </c>
      <c r="L27" s="52">
        <f t="shared" si="3"/>
        <v>4</v>
      </c>
      <c r="M27" s="64">
        <v>132812</v>
      </c>
      <c r="N27" s="417">
        <f t="shared" si="4"/>
        <v>337</v>
      </c>
      <c r="O27" s="67">
        <f t="shared" si="5"/>
        <v>306.55416666666667</v>
      </c>
      <c r="P27" s="64">
        <v>1662</v>
      </c>
      <c r="Q27" s="64">
        <v>142270</v>
      </c>
      <c r="R27" s="416">
        <f t="shared" si="39"/>
        <v>0</v>
      </c>
      <c r="S27" s="52">
        <f t="shared" si="44"/>
        <v>0</v>
      </c>
      <c r="T27" s="68">
        <f t="shared" si="24"/>
        <v>0</v>
      </c>
      <c r="U27" s="423">
        <f t="shared" si="13"/>
        <v>8</v>
      </c>
      <c r="V27" s="62">
        <f t="shared" si="14"/>
        <v>677</v>
      </c>
      <c r="W27" s="421"/>
      <c r="X27" s="64">
        <v>2374</v>
      </c>
      <c r="Y27" s="52">
        <f t="shared" si="16"/>
        <v>0</v>
      </c>
      <c r="Z27" s="64">
        <v>133402.29999999999</v>
      </c>
      <c r="AA27" s="65">
        <f t="shared" si="7"/>
        <v>0.29999999998835847</v>
      </c>
      <c r="AB27" s="296">
        <f t="shared" si="45"/>
        <v>0</v>
      </c>
      <c r="AC27" s="64">
        <v>1801</v>
      </c>
      <c r="AD27" s="45">
        <f t="shared" si="8"/>
        <v>0</v>
      </c>
      <c r="AE27" s="64">
        <v>357717.4</v>
      </c>
      <c r="AF27" s="323">
        <f t="shared" si="17"/>
        <v>0</v>
      </c>
      <c r="AG27" s="213">
        <f t="shared" si="26"/>
        <v>0</v>
      </c>
      <c r="AH27" s="62">
        <f t="shared" si="27"/>
        <v>0.29999999998835847</v>
      </c>
      <c r="AI27" s="334">
        <f t="shared" si="18"/>
        <v>677.29999999998836</v>
      </c>
      <c r="AJ27" s="334">
        <f>-tanks!AW28</f>
        <v>677.29999999998836</v>
      </c>
      <c r="AK27" s="334">
        <f t="shared" si="19"/>
        <v>0</v>
      </c>
      <c r="AL27" s="334">
        <f t="shared" si="43"/>
        <v>8</v>
      </c>
      <c r="AM27" s="334">
        <f t="shared" si="20"/>
        <v>0</v>
      </c>
      <c r="AN27" s="64">
        <v>75</v>
      </c>
      <c r="AO27" s="336">
        <f>(AN27/100)*3000</f>
        <v>2250</v>
      </c>
      <c r="AP27" s="64">
        <v>75</v>
      </c>
      <c r="AQ27" s="336">
        <f t="shared" si="49"/>
        <v>2250</v>
      </c>
      <c r="AR27" s="64">
        <v>77</v>
      </c>
      <c r="AS27" s="336">
        <f t="shared" si="28"/>
        <v>2310</v>
      </c>
      <c r="AT27" s="336">
        <f t="shared" si="46"/>
        <v>6810</v>
      </c>
      <c r="AU27" s="336">
        <f t="shared" si="30"/>
        <v>210</v>
      </c>
      <c r="AV27" s="276"/>
      <c r="AW27" s="544"/>
      <c r="AX27" s="329">
        <f t="shared" si="23"/>
        <v>0.7</v>
      </c>
    </row>
    <row r="28" spans="1:50">
      <c r="A28" s="63">
        <f>ELEC!C26</f>
        <v>43885</v>
      </c>
      <c r="B28" s="64">
        <f t="shared" ref="B28:B35" si="50">B27</f>
        <v>222</v>
      </c>
      <c r="C28" s="64">
        <f t="shared" ref="C28:C35" si="51">C27</f>
        <v>228.1</v>
      </c>
      <c r="D28" s="45">
        <f t="shared" si="0"/>
        <v>0</v>
      </c>
      <c r="E28" s="45">
        <f t="shared" si="10"/>
        <v>0</v>
      </c>
      <c r="F28" s="64">
        <f>F27</f>
        <v>1430</v>
      </c>
      <c r="G28" s="52">
        <f t="shared" si="1"/>
        <v>0</v>
      </c>
      <c r="H28" s="64">
        <f>H27</f>
        <v>340602</v>
      </c>
      <c r="I28" s="417">
        <f t="shared" si="2"/>
        <v>0</v>
      </c>
      <c r="J28" s="66">
        <f t="shared" si="11"/>
        <v>0</v>
      </c>
      <c r="K28" s="64">
        <f t="shared" si="33"/>
        <v>1818</v>
      </c>
      <c r="L28" s="52">
        <f t="shared" si="3"/>
        <v>0</v>
      </c>
      <c r="M28" s="64">
        <f t="shared" ref="M28:M35" si="52">M27</f>
        <v>132812</v>
      </c>
      <c r="N28" s="417">
        <f t="shared" si="4"/>
        <v>0</v>
      </c>
      <c r="O28" s="67">
        <f t="shared" si="5"/>
        <v>0</v>
      </c>
      <c r="P28" s="64">
        <v>1662</v>
      </c>
      <c r="Q28" s="64">
        <f t="shared" ref="Q28:Q35" si="53">Q27</f>
        <v>142270</v>
      </c>
      <c r="R28" s="416">
        <f t="shared" si="39"/>
        <v>0</v>
      </c>
      <c r="S28" s="52">
        <f t="shared" si="44"/>
        <v>0</v>
      </c>
      <c r="T28" s="68">
        <f t="shared" si="24"/>
        <v>0</v>
      </c>
      <c r="U28" s="423">
        <f>SUM(G28+L28+S28)</f>
        <v>0</v>
      </c>
      <c r="V28" s="62">
        <f t="shared" si="14"/>
        <v>0</v>
      </c>
      <c r="W28" s="421"/>
      <c r="X28" s="64">
        <f>X27</f>
        <v>2374</v>
      </c>
      <c r="Y28" s="52">
        <f t="shared" si="16"/>
        <v>0</v>
      </c>
      <c r="Z28" s="64">
        <f>Z27</f>
        <v>133402.29999999999</v>
      </c>
      <c r="AA28" s="65">
        <f t="shared" si="7"/>
        <v>0</v>
      </c>
      <c r="AB28" s="296">
        <f t="shared" si="45"/>
        <v>0</v>
      </c>
      <c r="AC28" s="64">
        <f t="shared" ref="AC28:AC35" si="54">AC27</f>
        <v>1801</v>
      </c>
      <c r="AD28" s="45">
        <f t="shared" si="8"/>
        <v>0</v>
      </c>
      <c r="AE28" s="64">
        <f t="shared" si="32"/>
        <v>357717.4</v>
      </c>
      <c r="AF28" s="323">
        <f t="shared" si="17"/>
        <v>0</v>
      </c>
      <c r="AG28" s="213">
        <f t="shared" si="26"/>
        <v>0</v>
      </c>
      <c r="AH28" s="62">
        <f t="shared" si="27"/>
        <v>0</v>
      </c>
      <c r="AI28" s="334">
        <f>SUM(AH28+V28)</f>
        <v>0</v>
      </c>
      <c r="AJ28" s="334">
        <f>-tanks!AW29</f>
        <v>0</v>
      </c>
      <c r="AK28" s="334">
        <f t="shared" si="19"/>
        <v>0</v>
      </c>
      <c r="AL28" s="334">
        <f t="shared" si="43"/>
        <v>0</v>
      </c>
      <c r="AM28" s="334">
        <f t="shared" si="20"/>
        <v>0</v>
      </c>
      <c r="AN28" s="64">
        <f t="shared" ref="AN28:AN35" si="55">AN27</f>
        <v>75</v>
      </c>
      <c r="AO28" s="336">
        <f>(AN28/100)*3000</f>
        <v>2250</v>
      </c>
      <c r="AP28" s="64">
        <f t="shared" ref="AP28:AP35" si="56">AP27</f>
        <v>75</v>
      </c>
      <c r="AQ28" s="336">
        <f t="shared" si="49"/>
        <v>2250</v>
      </c>
      <c r="AR28" s="64">
        <f t="shared" ref="AR28:AR35" si="57">AR27</f>
        <v>77</v>
      </c>
      <c r="AS28" s="336">
        <f t="shared" si="28"/>
        <v>2310</v>
      </c>
      <c r="AT28" s="336">
        <f>SUM(AO28+AQ28+AS28)</f>
        <v>6810</v>
      </c>
      <c r="AU28" s="336">
        <f>AT27-AT28+AV28</f>
        <v>0</v>
      </c>
      <c r="AV28" s="276"/>
      <c r="AW28" s="276"/>
      <c r="AX28" s="329">
        <f t="shared" si="23"/>
        <v>0.7</v>
      </c>
    </row>
    <row r="29" spans="1:50">
      <c r="A29" s="63">
        <f>ELEC!C27</f>
        <v>43886</v>
      </c>
      <c r="B29" s="64">
        <f t="shared" si="50"/>
        <v>222</v>
      </c>
      <c r="C29" s="64">
        <f t="shared" si="51"/>
        <v>228.1</v>
      </c>
      <c r="D29" s="45">
        <f t="shared" si="0"/>
        <v>0</v>
      </c>
      <c r="E29" s="45">
        <f t="shared" ref="E29:E34" si="58">D29*8.38</f>
        <v>0</v>
      </c>
      <c r="F29" s="64">
        <f t="shared" si="40"/>
        <v>1430</v>
      </c>
      <c r="G29" s="52">
        <f t="shared" si="1"/>
        <v>0</v>
      </c>
      <c r="H29" s="64">
        <f t="shared" ref="H29:H35" si="59">H28</f>
        <v>340602</v>
      </c>
      <c r="I29" s="417">
        <f t="shared" si="2"/>
        <v>0</v>
      </c>
      <c r="J29" s="66">
        <f t="shared" si="11"/>
        <v>0</v>
      </c>
      <c r="K29" s="64">
        <f t="shared" si="33"/>
        <v>1818</v>
      </c>
      <c r="L29" s="52">
        <f t="shared" si="3"/>
        <v>0</v>
      </c>
      <c r="M29" s="64">
        <f t="shared" si="52"/>
        <v>132812</v>
      </c>
      <c r="N29" s="417">
        <f t="shared" si="4"/>
        <v>0</v>
      </c>
      <c r="O29" s="67">
        <f t="shared" si="5"/>
        <v>0</v>
      </c>
      <c r="P29" s="64">
        <f t="shared" si="37"/>
        <v>1662</v>
      </c>
      <c r="Q29" s="64">
        <f t="shared" si="53"/>
        <v>142270</v>
      </c>
      <c r="R29" s="416">
        <f t="shared" si="39"/>
        <v>0</v>
      </c>
      <c r="S29" s="52">
        <f t="shared" si="44"/>
        <v>0</v>
      </c>
      <c r="T29" s="68">
        <f t="shared" si="24"/>
        <v>0</v>
      </c>
      <c r="U29" s="423">
        <f t="shared" si="13"/>
        <v>0</v>
      </c>
      <c r="V29" s="62">
        <f t="shared" si="14"/>
        <v>0</v>
      </c>
      <c r="W29" s="421"/>
      <c r="X29" s="64">
        <f t="shared" ref="X29:X35" si="60">X28</f>
        <v>2374</v>
      </c>
      <c r="Y29" s="52">
        <f t="shared" si="16"/>
        <v>0</v>
      </c>
      <c r="Z29" s="64">
        <f t="shared" ref="Z29:Z35" si="61">Z28</f>
        <v>133402.29999999999</v>
      </c>
      <c r="AA29" s="65">
        <f t="shared" si="7"/>
        <v>0</v>
      </c>
      <c r="AB29" s="296">
        <f t="shared" si="45"/>
        <v>0</v>
      </c>
      <c r="AC29" s="64">
        <f t="shared" si="54"/>
        <v>1801</v>
      </c>
      <c r="AD29" s="45">
        <f t="shared" si="8"/>
        <v>0</v>
      </c>
      <c r="AE29" s="64">
        <f t="shared" si="32"/>
        <v>357717.4</v>
      </c>
      <c r="AF29" s="323">
        <f t="shared" si="17"/>
        <v>0</v>
      </c>
      <c r="AG29" s="213">
        <f t="shared" si="26"/>
        <v>0</v>
      </c>
      <c r="AH29" s="62">
        <f t="shared" si="27"/>
        <v>0</v>
      </c>
      <c r="AI29" s="334">
        <f t="shared" si="18"/>
        <v>0</v>
      </c>
      <c r="AJ29" s="334">
        <f>-tanks!AW30</f>
        <v>0</v>
      </c>
      <c r="AK29" s="334">
        <f t="shared" si="19"/>
        <v>0</v>
      </c>
      <c r="AL29" s="334">
        <f t="shared" si="43"/>
        <v>0</v>
      </c>
      <c r="AM29" s="334">
        <f t="shared" si="20"/>
        <v>0</v>
      </c>
      <c r="AN29" s="64">
        <f t="shared" si="55"/>
        <v>75</v>
      </c>
      <c r="AO29" s="336">
        <f t="shared" ref="AO29:AO34" si="62">(AN29/100)*3000</f>
        <v>2250</v>
      </c>
      <c r="AP29" s="64">
        <f t="shared" si="56"/>
        <v>75</v>
      </c>
      <c r="AQ29" s="336">
        <f t="shared" si="49"/>
        <v>2250</v>
      </c>
      <c r="AR29" s="64">
        <f t="shared" si="57"/>
        <v>77</v>
      </c>
      <c r="AS29" s="336">
        <f t="shared" si="28"/>
        <v>2310</v>
      </c>
      <c r="AT29" s="336">
        <f>SUM(AO29+AQ29+AS29)</f>
        <v>6810</v>
      </c>
      <c r="AU29" s="336">
        <f>AT28-AT29+AV29</f>
        <v>0</v>
      </c>
      <c r="AV29" s="276"/>
      <c r="AW29" s="276"/>
      <c r="AX29" s="329">
        <f t="shared" si="23"/>
        <v>0.7</v>
      </c>
    </row>
    <row r="30" spans="1:50">
      <c r="A30" s="63">
        <f>ELEC!C28</f>
        <v>43887</v>
      </c>
      <c r="B30" s="64">
        <f t="shared" si="50"/>
        <v>222</v>
      </c>
      <c r="C30" s="64">
        <f t="shared" si="51"/>
        <v>228.1</v>
      </c>
      <c r="D30" s="45">
        <f t="shared" si="0"/>
        <v>0</v>
      </c>
      <c r="E30" s="45">
        <f t="shared" si="58"/>
        <v>0</v>
      </c>
      <c r="F30" s="64">
        <f t="shared" si="40"/>
        <v>1430</v>
      </c>
      <c r="G30" s="52">
        <f t="shared" si="1"/>
        <v>0</v>
      </c>
      <c r="H30" s="64">
        <f t="shared" si="59"/>
        <v>340602</v>
      </c>
      <c r="I30" s="417">
        <f t="shared" si="2"/>
        <v>0</v>
      </c>
      <c r="J30" s="66">
        <f t="shared" si="11"/>
        <v>0</v>
      </c>
      <c r="K30" s="64">
        <f t="shared" si="33"/>
        <v>1818</v>
      </c>
      <c r="L30" s="52">
        <f t="shared" si="3"/>
        <v>0</v>
      </c>
      <c r="M30" s="64">
        <f t="shared" si="52"/>
        <v>132812</v>
      </c>
      <c r="N30" s="417">
        <f t="shared" si="4"/>
        <v>0</v>
      </c>
      <c r="O30" s="67">
        <f t="shared" si="5"/>
        <v>0</v>
      </c>
      <c r="P30" s="64">
        <f t="shared" si="37"/>
        <v>1662</v>
      </c>
      <c r="Q30" s="64">
        <f t="shared" si="53"/>
        <v>142270</v>
      </c>
      <c r="R30" s="416">
        <f t="shared" si="39"/>
        <v>0</v>
      </c>
      <c r="S30" s="52">
        <f t="shared" si="44"/>
        <v>0</v>
      </c>
      <c r="T30" s="68">
        <f t="shared" si="24"/>
        <v>0</v>
      </c>
      <c r="U30" s="423">
        <f t="shared" si="13"/>
        <v>0</v>
      </c>
      <c r="V30" s="62">
        <f t="shared" si="14"/>
        <v>0</v>
      </c>
      <c r="W30" s="421"/>
      <c r="X30" s="64">
        <f t="shared" si="60"/>
        <v>2374</v>
      </c>
      <c r="Y30" s="52">
        <f t="shared" si="16"/>
        <v>0</v>
      </c>
      <c r="Z30" s="64">
        <f t="shared" si="61"/>
        <v>133402.29999999999</v>
      </c>
      <c r="AA30" s="65">
        <f t="shared" si="7"/>
        <v>0</v>
      </c>
      <c r="AB30" s="296">
        <f t="shared" si="45"/>
        <v>0</v>
      </c>
      <c r="AC30" s="64">
        <f t="shared" si="54"/>
        <v>1801</v>
      </c>
      <c r="AD30" s="45">
        <f t="shared" si="8"/>
        <v>0</v>
      </c>
      <c r="AE30" s="64">
        <f t="shared" si="32"/>
        <v>357717.4</v>
      </c>
      <c r="AF30" s="323">
        <f t="shared" si="17"/>
        <v>0</v>
      </c>
      <c r="AG30" s="213">
        <f t="shared" si="26"/>
        <v>0</v>
      </c>
      <c r="AH30" s="62">
        <f t="shared" si="27"/>
        <v>0</v>
      </c>
      <c r="AI30" s="334">
        <f t="shared" si="18"/>
        <v>0</v>
      </c>
      <c r="AJ30" s="334">
        <f>-tanks!AW31</f>
        <v>0</v>
      </c>
      <c r="AK30" s="334">
        <f t="shared" si="19"/>
        <v>0</v>
      </c>
      <c r="AL30" s="334">
        <f t="shared" si="43"/>
        <v>0</v>
      </c>
      <c r="AM30" s="334">
        <f t="shared" si="20"/>
        <v>0</v>
      </c>
      <c r="AN30" s="64">
        <f t="shared" si="55"/>
        <v>75</v>
      </c>
      <c r="AO30" s="336">
        <f t="shared" si="62"/>
        <v>2250</v>
      </c>
      <c r="AP30" s="64">
        <f t="shared" si="56"/>
        <v>75</v>
      </c>
      <c r="AQ30" s="336">
        <f t="shared" si="49"/>
        <v>2250</v>
      </c>
      <c r="AR30" s="64">
        <f t="shared" si="57"/>
        <v>77</v>
      </c>
      <c r="AS30" s="336">
        <f t="shared" si="28"/>
        <v>2310</v>
      </c>
      <c r="AT30" s="336">
        <f t="shared" si="46"/>
        <v>6810</v>
      </c>
      <c r="AU30" s="336">
        <f t="shared" si="30"/>
        <v>0</v>
      </c>
      <c r="AV30" s="276"/>
      <c r="AW30" s="276"/>
      <c r="AX30" s="329">
        <f t="shared" si="23"/>
        <v>0.7</v>
      </c>
    </row>
    <row r="31" spans="1:50">
      <c r="A31" s="63">
        <f>ELEC!C29</f>
        <v>43888</v>
      </c>
      <c r="B31" s="64">
        <f t="shared" si="50"/>
        <v>222</v>
      </c>
      <c r="C31" s="64">
        <f t="shared" si="51"/>
        <v>228.1</v>
      </c>
      <c r="D31" s="45">
        <f t="shared" si="0"/>
        <v>0</v>
      </c>
      <c r="E31" s="45">
        <f t="shared" si="58"/>
        <v>0</v>
      </c>
      <c r="F31" s="64">
        <f t="shared" si="40"/>
        <v>1430</v>
      </c>
      <c r="G31" s="52">
        <f t="shared" si="1"/>
        <v>0</v>
      </c>
      <c r="H31" s="64">
        <f t="shared" si="59"/>
        <v>340602</v>
      </c>
      <c r="I31" s="417">
        <f t="shared" si="2"/>
        <v>0</v>
      </c>
      <c r="J31" s="66">
        <f t="shared" si="11"/>
        <v>0</v>
      </c>
      <c r="K31" s="64">
        <f t="shared" si="33"/>
        <v>1818</v>
      </c>
      <c r="L31" s="52">
        <f t="shared" si="3"/>
        <v>0</v>
      </c>
      <c r="M31" s="64">
        <f t="shared" si="52"/>
        <v>132812</v>
      </c>
      <c r="N31" s="417">
        <f>M31-M30</f>
        <v>0</v>
      </c>
      <c r="O31" s="67">
        <f t="shared" si="5"/>
        <v>0</v>
      </c>
      <c r="P31" s="64">
        <f t="shared" si="37"/>
        <v>1662</v>
      </c>
      <c r="Q31" s="64">
        <f t="shared" si="53"/>
        <v>142270</v>
      </c>
      <c r="R31" s="416">
        <f t="shared" si="39"/>
        <v>0</v>
      </c>
      <c r="S31" s="52">
        <f t="shared" si="44"/>
        <v>0</v>
      </c>
      <c r="T31" s="68">
        <f t="shared" si="24"/>
        <v>0</v>
      </c>
      <c r="U31" s="423">
        <f t="shared" si="13"/>
        <v>0</v>
      </c>
      <c r="V31" s="62">
        <f t="shared" si="14"/>
        <v>0</v>
      </c>
      <c r="W31" s="421"/>
      <c r="X31" s="64">
        <f t="shared" si="60"/>
        <v>2374</v>
      </c>
      <c r="Y31" s="52">
        <f t="shared" si="16"/>
        <v>0</v>
      </c>
      <c r="Z31" s="64">
        <f t="shared" si="61"/>
        <v>133402.29999999999</v>
      </c>
      <c r="AA31" s="65">
        <f t="shared" si="7"/>
        <v>0</v>
      </c>
      <c r="AB31" s="296">
        <f t="shared" si="45"/>
        <v>0</v>
      </c>
      <c r="AC31" s="64">
        <f t="shared" si="54"/>
        <v>1801</v>
      </c>
      <c r="AD31" s="276">
        <f t="shared" si="8"/>
        <v>0</v>
      </c>
      <c r="AE31" s="64">
        <f t="shared" si="32"/>
        <v>357717.4</v>
      </c>
      <c r="AF31" s="323">
        <f t="shared" si="17"/>
        <v>0</v>
      </c>
      <c r="AG31" s="213">
        <f t="shared" si="26"/>
        <v>0</v>
      </c>
      <c r="AH31" s="62">
        <f t="shared" si="27"/>
        <v>0</v>
      </c>
      <c r="AI31" s="334">
        <f t="shared" si="18"/>
        <v>0</v>
      </c>
      <c r="AJ31" s="334">
        <f>-tanks!AW32</f>
        <v>0</v>
      </c>
      <c r="AK31" s="334">
        <f t="shared" si="19"/>
        <v>0</v>
      </c>
      <c r="AL31" s="334">
        <f t="shared" si="43"/>
        <v>0</v>
      </c>
      <c r="AM31" s="334">
        <f t="shared" si="20"/>
        <v>0</v>
      </c>
      <c r="AN31" s="64">
        <f t="shared" si="55"/>
        <v>75</v>
      </c>
      <c r="AO31" s="336">
        <f t="shared" si="62"/>
        <v>2250</v>
      </c>
      <c r="AP31" s="64">
        <f t="shared" si="56"/>
        <v>75</v>
      </c>
      <c r="AQ31" s="336">
        <f t="shared" si="49"/>
        <v>2250</v>
      </c>
      <c r="AR31" s="64">
        <f t="shared" si="57"/>
        <v>77</v>
      </c>
      <c r="AS31" s="336">
        <f t="shared" si="28"/>
        <v>2310</v>
      </c>
      <c r="AT31" s="336">
        <f t="shared" si="46"/>
        <v>6810</v>
      </c>
      <c r="AU31" s="336">
        <f t="shared" si="30"/>
        <v>0</v>
      </c>
      <c r="AV31" s="276"/>
      <c r="AW31" s="276"/>
      <c r="AX31" s="329">
        <f t="shared" si="23"/>
        <v>0.7</v>
      </c>
    </row>
    <row r="32" spans="1:50">
      <c r="A32" s="63">
        <f>ELEC!C30</f>
        <v>43889</v>
      </c>
      <c r="B32" s="64">
        <f t="shared" si="50"/>
        <v>222</v>
      </c>
      <c r="C32" s="64">
        <f t="shared" si="51"/>
        <v>228.1</v>
      </c>
      <c r="D32" s="45">
        <f t="shared" si="0"/>
        <v>0</v>
      </c>
      <c r="E32" s="45">
        <f t="shared" si="58"/>
        <v>0</v>
      </c>
      <c r="F32" s="64">
        <f t="shared" si="40"/>
        <v>1430</v>
      </c>
      <c r="G32" s="52">
        <f t="shared" si="1"/>
        <v>0</v>
      </c>
      <c r="H32" s="64">
        <f t="shared" si="59"/>
        <v>340602</v>
      </c>
      <c r="I32" s="417">
        <f t="shared" si="2"/>
        <v>0</v>
      </c>
      <c r="J32" s="66">
        <f t="shared" si="11"/>
        <v>0</v>
      </c>
      <c r="K32" s="64">
        <f t="shared" si="33"/>
        <v>1818</v>
      </c>
      <c r="L32" s="52">
        <f t="shared" si="3"/>
        <v>0</v>
      </c>
      <c r="M32" s="64">
        <f t="shared" si="52"/>
        <v>132812</v>
      </c>
      <c r="N32" s="417">
        <f>M32-M31</f>
        <v>0</v>
      </c>
      <c r="O32" s="67">
        <f t="shared" si="5"/>
        <v>0</v>
      </c>
      <c r="P32" s="64">
        <f t="shared" si="37"/>
        <v>1662</v>
      </c>
      <c r="Q32" s="64">
        <f t="shared" si="53"/>
        <v>142270</v>
      </c>
      <c r="R32" s="416">
        <f t="shared" si="39"/>
        <v>0</v>
      </c>
      <c r="S32" s="52">
        <f t="shared" si="44"/>
        <v>0</v>
      </c>
      <c r="T32" s="68">
        <f t="shared" si="24"/>
        <v>0</v>
      </c>
      <c r="U32" s="423">
        <f t="shared" si="13"/>
        <v>0</v>
      </c>
      <c r="V32" s="62">
        <f t="shared" si="14"/>
        <v>0</v>
      </c>
      <c r="W32" s="421"/>
      <c r="X32" s="64">
        <f t="shared" si="60"/>
        <v>2374</v>
      </c>
      <c r="Y32" s="52">
        <f t="shared" si="16"/>
        <v>0</v>
      </c>
      <c r="Z32" s="64">
        <f t="shared" si="61"/>
        <v>133402.29999999999</v>
      </c>
      <c r="AA32" s="65">
        <f t="shared" si="7"/>
        <v>0</v>
      </c>
      <c r="AB32" s="296">
        <f t="shared" si="45"/>
        <v>0</v>
      </c>
      <c r="AC32" s="64">
        <f t="shared" si="54"/>
        <v>1801</v>
      </c>
      <c r="AD32" s="276">
        <f t="shared" si="8"/>
        <v>0</v>
      </c>
      <c r="AE32" s="64">
        <f t="shared" si="32"/>
        <v>357717.4</v>
      </c>
      <c r="AF32" s="323">
        <f t="shared" si="17"/>
        <v>0</v>
      </c>
      <c r="AG32" s="213">
        <f t="shared" si="26"/>
        <v>0</v>
      </c>
      <c r="AH32" s="62">
        <f t="shared" si="27"/>
        <v>0</v>
      </c>
      <c r="AI32" s="334">
        <f t="shared" si="18"/>
        <v>0</v>
      </c>
      <c r="AJ32" s="334">
        <f>-tanks!AW33</f>
        <v>0</v>
      </c>
      <c r="AK32" s="334">
        <f t="shared" si="19"/>
        <v>0</v>
      </c>
      <c r="AL32" s="334">
        <f t="shared" si="43"/>
        <v>0</v>
      </c>
      <c r="AM32" s="334">
        <f t="shared" si="20"/>
        <v>0</v>
      </c>
      <c r="AN32" s="64">
        <f t="shared" si="55"/>
        <v>75</v>
      </c>
      <c r="AO32" s="336">
        <f t="shared" si="62"/>
        <v>2250</v>
      </c>
      <c r="AP32" s="64">
        <f t="shared" si="56"/>
        <v>75</v>
      </c>
      <c r="AQ32" s="336">
        <f t="shared" si="49"/>
        <v>2250</v>
      </c>
      <c r="AR32" s="64">
        <f t="shared" si="57"/>
        <v>77</v>
      </c>
      <c r="AS32" s="336">
        <f t="shared" si="28"/>
        <v>2310</v>
      </c>
      <c r="AT32" s="336">
        <f t="shared" si="46"/>
        <v>6810</v>
      </c>
      <c r="AU32" s="336">
        <f t="shared" si="30"/>
        <v>0</v>
      </c>
      <c r="AV32" s="276"/>
      <c r="AW32" s="276"/>
      <c r="AX32" s="329">
        <f t="shared" si="23"/>
        <v>0.7</v>
      </c>
    </row>
    <row r="33" spans="1:50">
      <c r="A33" s="63">
        <f>ELEC!C31</f>
        <v>43890</v>
      </c>
      <c r="B33" s="64">
        <f t="shared" si="50"/>
        <v>222</v>
      </c>
      <c r="C33" s="64">
        <f t="shared" si="51"/>
        <v>228.1</v>
      </c>
      <c r="D33" s="45">
        <f t="shared" si="0"/>
        <v>0</v>
      </c>
      <c r="E33" s="45">
        <f t="shared" si="58"/>
        <v>0</v>
      </c>
      <c r="F33" s="64">
        <f t="shared" si="40"/>
        <v>1430</v>
      </c>
      <c r="G33" s="52">
        <f t="shared" si="1"/>
        <v>0</v>
      </c>
      <c r="H33" s="64">
        <f t="shared" si="59"/>
        <v>340602</v>
      </c>
      <c r="I33" s="417">
        <f t="shared" si="2"/>
        <v>0</v>
      </c>
      <c r="J33" s="66">
        <f t="shared" si="11"/>
        <v>0</v>
      </c>
      <c r="K33" s="64">
        <f t="shared" si="33"/>
        <v>1818</v>
      </c>
      <c r="L33" s="52">
        <f t="shared" si="3"/>
        <v>0</v>
      </c>
      <c r="M33" s="64">
        <f t="shared" si="52"/>
        <v>132812</v>
      </c>
      <c r="N33" s="417">
        <f>M33-M32</f>
        <v>0</v>
      </c>
      <c r="O33" s="67">
        <f t="shared" si="5"/>
        <v>0</v>
      </c>
      <c r="P33" s="64">
        <f t="shared" si="37"/>
        <v>1662</v>
      </c>
      <c r="Q33" s="64">
        <f t="shared" si="53"/>
        <v>142270</v>
      </c>
      <c r="R33" s="416">
        <f t="shared" si="39"/>
        <v>0</v>
      </c>
      <c r="S33" s="52">
        <f t="shared" si="44"/>
        <v>0</v>
      </c>
      <c r="T33" s="68">
        <f t="shared" si="24"/>
        <v>0</v>
      </c>
      <c r="U33" s="423">
        <f t="shared" si="13"/>
        <v>0</v>
      </c>
      <c r="V33" s="62">
        <f t="shared" si="14"/>
        <v>0</v>
      </c>
      <c r="W33" s="421"/>
      <c r="X33" s="64">
        <f t="shared" si="60"/>
        <v>2374</v>
      </c>
      <c r="Y33" s="52">
        <f t="shared" si="16"/>
        <v>0</v>
      </c>
      <c r="Z33" s="64">
        <f t="shared" si="61"/>
        <v>133402.29999999999</v>
      </c>
      <c r="AA33" s="65">
        <f t="shared" si="7"/>
        <v>0</v>
      </c>
      <c r="AB33" s="296">
        <f t="shared" si="45"/>
        <v>0</v>
      </c>
      <c r="AC33" s="64">
        <f t="shared" si="54"/>
        <v>1801</v>
      </c>
      <c r="AD33" s="45">
        <f t="shared" si="8"/>
        <v>0</v>
      </c>
      <c r="AE33" s="64">
        <f t="shared" si="32"/>
        <v>357717.4</v>
      </c>
      <c r="AF33" s="323">
        <f t="shared" si="17"/>
        <v>0</v>
      </c>
      <c r="AG33" s="213">
        <f t="shared" si="26"/>
        <v>0</v>
      </c>
      <c r="AH33" s="62">
        <f t="shared" si="27"/>
        <v>0</v>
      </c>
      <c r="AI33" s="334">
        <f t="shared" si="18"/>
        <v>0</v>
      </c>
      <c r="AJ33" s="334">
        <f>-tanks!AW34</f>
        <v>0</v>
      </c>
      <c r="AK33" s="334">
        <f t="shared" si="19"/>
        <v>0</v>
      </c>
      <c r="AL33" s="334">
        <f t="shared" si="43"/>
        <v>0</v>
      </c>
      <c r="AM33" s="334">
        <f t="shared" si="20"/>
        <v>0</v>
      </c>
      <c r="AN33" s="64">
        <f t="shared" si="55"/>
        <v>75</v>
      </c>
      <c r="AO33" s="336">
        <f t="shared" si="62"/>
        <v>2250</v>
      </c>
      <c r="AP33" s="64">
        <f t="shared" si="56"/>
        <v>75</v>
      </c>
      <c r="AQ33" s="336">
        <f t="shared" si="49"/>
        <v>2250</v>
      </c>
      <c r="AR33" s="64">
        <f t="shared" si="57"/>
        <v>77</v>
      </c>
      <c r="AS33" s="336">
        <f t="shared" si="28"/>
        <v>2310</v>
      </c>
      <c r="AT33" s="336">
        <f t="shared" si="46"/>
        <v>6810</v>
      </c>
      <c r="AU33" s="336">
        <f t="shared" si="30"/>
        <v>0</v>
      </c>
      <c r="AV33" s="276"/>
      <c r="AW33" s="276"/>
      <c r="AX33" s="329">
        <f t="shared" si="23"/>
        <v>0.7</v>
      </c>
    </row>
    <row r="34" spans="1:50">
      <c r="A34" s="63"/>
      <c r="B34" s="64">
        <f t="shared" si="50"/>
        <v>222</v>
      </c>
      <c r="C34" s="64">
        <f t="shared" si="51"/>
        <v>228.1</v>
      </c>
      <c r="D34" s="45">
        <f t="shared" si="0"/>
        <v>0</v>
      </c>
      <c r="E34" s="45">
        <f t="shared" si="58"/>
        <v>0</v>
      </c>
      <c r="F34" s="64">
        <f t="shared" si="40"/>
        <v>1430</v>
      </c>
      <c r="G34" s="52">
        <f t="shared" si="1"/>
        <v>0</v>
      </c>
      <c r="H34" s="64">
        <f t="shared" si="59"/>
        <v>340602</v>
      </c>
      <c r="I34" s="417">
        <f t="shared" si="2"/>
        <v>0</v>
      </c>
      <c r="J34" s="66">
        <f t="shared" si="11"/>
        <v>0</v>
      </c>
      <c r="K34" s="64">
        <f t="shared" si="33"/>
        <v>1818</v>
      </c>
      <c r="L34" s="52">
        <f t="shared" si="3"/>
        <v>0</v>
      </c>
      <c r="M34" s="64">
        <f t="shared" si="52"/>
        <v>132812</v>
      </c>
      <c r="N34" s="417">
        <f>M34-M33</f>
        <v>0</v>
      </c>
      <c r="O34" s="67">
        <f t="shared" si="5"/>
        <v>0</v>
      </c>
      <c r="P34" s="64">
        <f t="shared" si="37"/>
        <v>1662</v>
      </c>
      <c r="Q34" s="64">
        <f t="shared" si="53"/>
        <v>142270</v>
      </c>
      <c r="R34" s="416">
        <f t="shared" si="39"/>
        <v>0</v>
      </c>
      <c r="S34" s="52">
        <f>SUM(P34-P33)</f>
        <v>0</v>
      </c>
      <c r="T34" s="68">
        <f t="shared" si="24"/>
        <v>0</v>
      </c>
      <c r="U34" s="423">
        <f t="shared" si="13"/>
        <v>0</v>
      </c>
      <c r="V34" s="62">
        <f t="shared" si="14"/>
        <v>0</v>
      </c>
      <c r="W34" s="421"/>
      <c r="X34" s="64">
        <f t="shared" si="60"/>
        <v>2374</v>
      </c>
      <c r="Y34" s="52">
        <f t="shared" si="16"/>
        <v>0</v>
      </c>
      <c r="Z34" s="64">
        <f t="shared" si="61"/>
        <v>133402.29999999999</v>
      </c>
      <c r="AA34" s="65">
        <f t="shared" si="7"/>
        <v>0</v>
      </c>
      <c r="AB34" s="296">
        <f t="shared" si="45"/>
        <v>0</v>
      </c>
      <c r="AC34" s="64">
        <f t="shared" si="54"/>
        <v>1801</v>
      </c>
      <c r="AD34" s="45">
        <f t="shared" si="8"/>
        <v>0</v>
      </c>
      <c r="AE34" s="64">
        <f t="shared" si="32"/>
        <v>357717.4</v>
      </c>
      <c r="AF34" s="323">
        <f t="shared" si="17"/>
        <v>0</v>
      </c>
      <c r="AG34" s="213">
        <f t="shared" si="26"/>
        <v>0</v>
      </c>
      <c r="AH34" s="62">
        <f t="shared" si="27"/>
        <v>0</v>
      </c>
      <c r="AI34" s="334">
        <f t="shared" si="18"/>
        <v>0</v>
      </c>
      <c r="AJ34" s="334">
        <f>-tanks!AW35</f>
        <v>0</v>
      </c>
      <c r="AK34" s="334">
        <f t="shared" si="19"/>
        <v>0</v>
      </c>
      <c r="AL34" s="334">
        <f t="shared" si="43"/>
        <v>0</v>
      </c>
      <c r="AM34" s="334">
        <f>Y34+AD34</f>
        <v>0</v>
      </c>
      <c r="AN34" s="64">
        <f t="shared" si="55"/>
        <v>75</v>
      </c>
      <c r="AO34" s="336">
        <f t="shared" si="62"/>
        <v>2250</v>
      </c>
      <c r="AP34" s="64">
        <f t="shared" si="56"/>
        <v>75</v>
      </c>
      <c r="AQ34" s="336">
        <f t="shared" si="49"/>
        <v>2250</v>
      </c>
      <c r="AR34" s="64">
        <f t="shared" si="57"/>
        <v>77</v>
      </c>
      <c r="AS34" s="336">
        <f t="shared" si="28"/>
        <v>2310</v>
      </c>
      <c r="AT34" s="336">
        <f t="shared" si="46"/>
        <v>6810</v>
      </c>
      <c r="AU34" s="336">
        <f t="shared" si="30"/>
        <v>0</v>
      </c>
      <c r="AV34" s="276"/>
      <c r="AW34" s="276"/>
      <c r="AX34" s="329">
        <f t="shared" si="23"/>
        <v>0.7</v>
      </c>
    </row>
    <row r="35" spans="1:50">
      <c r="A35" s="63"/>
      <c r="B35" s="64">
        <f t="shared" si="50"/>
        <v>222</v>
      </c>
      <c r="C35" s="64">
        <f t="shared" si="51"/>
        <v>228.1</v>
      </c>
      <c r="D35" s="45">
        <f>C34-C35</f>
        <v>0</v>
      </c>
      <c r="E35" s="45">
        <f>D35*8.38</f>
        <v>0</v>
      </c>
      <c r="F35" s="64">
        <f t="shared" si="40"/>
        <v>1430</v>
      </c>
      <c r="G35" s="52">
        <f>F35-F34</f>
        <v>0</v>
      </c>
      <c r="H35" s="64">
        <f t="shared" si="59"/>
        <v>340602</v>
      </c>
      <c r="I35" s="417">
        <f>SUM(H35-H34)</f>
        <v>0</v>
      </c>
      <c r="J35" s="66">
        <f>IF(G35&gt;0,I35/G35,0)</f>
        <v>0</v>
      </c>
      <c r="K35" s="64">
        <f t="shared" si="33"/>
        <v>1818</v>
      </c>
      <c r="L35" s="52">
        <f>K35-K34</f>
        <v>0</v>
      </c>
      <c r="M35" s="64">
        <f t="shared" si="52"/>
        <v>132812</v>
      </c>
      <c r="N35" s="417">
        <f>M35-M34</f>
        <v>0</v>
      </c>
      <c r="O35" s="67">
        <f>SUM(L35*$J$1)</f>
        <v>0</v>
      </c>
      <c r="P35" s="64">
        <f t="shared" si="37"/>
        <v>1662</v>
      </c>
      <c r="Q35" s="64">
        <f t="shared" si="53"/>
        <v>142270</v>
      </c>
      <c r="R35" s="416">
        <f t="shared" si="39"/>
        <v>0</v>
      </c>
      <c r="S35" s="52">
        <f>SUM(P35-P34)</f>
        <v>0</v>
      </c>
      <c r="T35" s="68">
        <f>SUM(S35*$T$2)</f>
        <v>0</v>
      </c>
      <c r="U35" s="423">
        <f t="shared" si="13"/>
        <v>0</v>
      </c>
      <c r="V35" s="62">
        <f>R35+N35+I35:I35</f>
        <v>0</v>
      </c>
      <c r="W35" s="421"/>
      <c r="X35" s="64">
        <f t="shared" si="60"/>
        <v>2374</v>
      </c>
      <c r="Y35" s="52">
        <f>X35-X34</f>
        <v>0</v>
      </c>
      <c r="Z35" s="64">
        <f t="shared" si="61"/>
        <v>133402.29999999999</v>
      </c>
      <c r="AA35" s="65">
        <f>Z35-Z34</f>
        <v>0</v>
      </c>
      <c r="AB35" s="296">
        <f>SUM(Y35*$AB$2)</f>
        <v>0</v>
      </c>
      <c r="AC35" s="64">
        <f t="shared" si="54"/>
        <v>1801</v>
      </c>
      <c r="AD35" s="45">
        <f>AC35-AC34</f>
        <v>0</v>
      </c>
      <c r="AE35" s="64">
        <f t="shared" si="32"/>
        <v>357717.4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55"/>
        <v>75</v>
      </c>
      <c r="AO35" s="336">
        <f>(AN35/100)*3000</f>
        <v>2250</v>
      </c>
      <c r="AP35" s="64">
        <f t="shared" si="56"/>
        <v>75</v>
      </c>
      <c r="AQ35" s="336">
        <f>(AP35/100)*3000</f>
        <v>2250</v>
      </c>
      <c r="AR35" s="64">
        <f t="shared" si="57"/>
        <v>77</v>
      </c>
      <c r="AS35" s="336">
        <f>(AR35/100)*3000</f>
        <v>2310</v>
      </c>
      <c r="AT35" s="336">
        <f>SUM(AO35+AQ35+AS35)</f>
        <v>6810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5">
        <f>SUM(J5:J34)/(COUNT(J5:J34)-COUNTIF(J5:J34,0))</f>
        <v>76.638541666666669</v>
      </c>
      <c r="AE36" s="72" t="s">
        <v>385</v>
      </c>
      <c r="AG36" s="363"/>
      <c r="AH36" s="62"/>
      <c r="AP36" s="329"/>
      <c r="AQ36" s="329"/>
      <c r="AR36" s="329" t="s">
        <v>225</v>
      </c>
      <c r="AS36" s="329">
        <f>COUNT(AW5:AW35)</f>
        <v>3</v>
      </c>
      <c r="AT36" s="329"/>
      <c r="AU36" s="329">
        <f>SUM(AU5:AU35)</f>
        <v>4200</v>
      </c>
      <c r="AV36" s="72">
        <f>SUM(AV5:AV35)</f>
        <v>3900</v>
      </c>
      <c r="AW36" s="329">
        <f>SUM(AW5:AW35)/AS36</f>
        <v>0.69999999999999984</v>
      </c>
    </row>
    <row r="37" spans="1:50">
      <c r="AH37" s="62">
        <f>AF37+AA37</f>
        <v>0</v>
      </c>
      <c r="AI37" s="337">
        <f>SUM(AI5:AI35)</f>
        <v>18423.799999999988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2142</v>
      </c>
      <c r="AV38" s="329">
        <f>AV36/0.51</f>
        <v>7647.0588235294117</v>
      </c>
      <c r="AW38" s="329">
        <f>SUM(AW5:AW35)/AS36</f>
        <v>0.69999999999999984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1989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6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C1" zoomScaleNormal="100" workbookViewId="0">
      <pane ySplit="3" topLeftCell="A16" activePane="bottomLeft" state="frozen"/>
      <selection pane="bottomLeft" activeCell="BC28" sqref="BC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7.85546875" style="533" customWidth="1"/>
    <col min="14" max="14" width="10.7109375" style="535" hidden="1" customWidth="1"/>
    <col min="15" max="15" width="11.140625" style="533" hidden="1" customWidth="1"/>
    <col min="16" max="16" width="11.140625" style="535" hidden="1" customWidth="1"/>
    <col min="17" max="17" width="17.28515625" style="533" hidden="1" customWidth="1"/>
    <col min="18" max="18" width="8.85546875" style="533" customWidth="1"/>
    <col min="19" max="19" width="9" style="533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8">
        <f>SUM(G21:G35)</f>
        <v>8872145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98" t="s">
        <v>95</v>
      </c>
      <c r="AS2" s="599"/>
      <c r="AT2" s="599"/>
      <c r="AU2" s="599"/>
      <c r="AV2" s="600"/>
      <c r="AW2" s="598" t="s">
        <v>96</v>
      </c>
      <c r="AX2" s="599"/>
      <c r="AY2" s="600"/>
      <c r="AZ2" s="598" t="s">
        <v>98</v>
      </c>
      <c r="BA2" s="599"/>
      <c r="BB2" s="600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394</v>
      </c>
      <c r="L3" s="391" t="s">
        <v>329</v>
      </c>
      <c r="M3" s="557" t="s">
        <v>401</v>
      </c>
      <c r="N3" s="558"/>
      <c r="O3" s="559" t="s">
        <v>402</v>
      </c>
      <c r="P3" s="559"/>
      <c r="Q3" s="559" t="s">
        <v>398</v>
      </c>
      <c r="R3" s="559" t="s">
        <v>400</v>
      </c>
      <c r="S3" s="559" t="s">
        <v>399</v>
      </c>
      <c r="T3" s="388" t="s">
        <v>382</v>
      </c>
      <c r="U3" s="388" t="s">
        <v>384</v>
      </c>
      <c r="V3" s="392" t="s">
        <v>333</v>
      </c>
      <c r="W3" s="393" t="s">
        <v>334</v>
      </c>
      <c r="X3" s="392" t="s">
        <v>337</v>
      </c>
      <c r="Y3" s="393" t="s">
        <v>338</v>
      </c>
      <c r="Z3" s="394" t="s">
        <v>339</v>
      </c>
      <c r="AA3" s="395" t="s">
        <v>397</v>
      </c>
      <c r="AB3" s="472" t="s">
        <v>396</v>
      </c>
      <c r="AC3" s="470" t="s">
        <v>395</v>
      </c>
      <c r="AD3" s="470"/>
      <c r="AE3" s="396" t="s">
        <v>406</v>
      </c>
      <c r="AF3" s="396" t="s">
        <v>407</v>
      </c>
      <c r="AG3" s="396" t="s">
        <v>408</v>
      </c>
      <c r="AH3" s="396" t="s">
        <v>409</v>
      </c>
      <c r="AI3" s="395" t="s">
        <v>410</v>
      </c>
      <c r="AJ3" s="395" t="s">
        <v>340</v>
      </c>
      <c r="AK3" s="396" t="s">
        <v>342</v>
      </c>
      <c r="AL3" s="396" t="s">
        <v>341</v>
      </c>
      <c r="AM3" s="397" t="s">
        <v>125</v>
      </c>
      <c r="AN3" s="595" t="s">
        <v>126</v>
      </c>
      <c r="AO3" s="596"/>
      <c r="AP3" s="597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60"/>
      <c r="N4" s="560"/>
      <c r="O4" s="560"/>
      <c r="P4" s="560"/>
      <c r="Q4" s="560"/>
      <c r="R4" s="560"/>
      <c r="S4" s="560"/>
      <c r="T4" s="84"/>
      <c r="U4" s="84"/>
      <c r="V4" s="339"/>
      <c r="W4" s="340"/>
      <c r="X4" s="339"/>
      <c r="Y4" s="340"/>
      <c r="Z4" s="341"/>
      <c r="AA4" s="471"/>
      <c r="AB4" s="473"/>
      <c r="AC4" s="471"/>
      <c r="AD4" s="471"/>
      <c r="AE4" s="471"/>
      <c r="AF4" s="471"/>
      <c r="AG4" s="471"/>
      <c r="AH4" s="471"/>
      <c r="AI4" s="471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2">
        <f>[1]WATER!B36</f>
        <v>108441</v>
      </c>
      <c r="C5" s="432">
        <f>[1]WATER!C36</f>
        <v>0</v>
      </c>
      <c r="D5" s="432">
        <f>[1]WATER!D36</f>
        <v>0</v>
      </c>
      <c r="E5" s="432">
        <f>[1]WATER!E36</f>
        <v>241.93548387096774</v>
      </c>
      <c r="F5" s="432">
        <f>[1]WATER!F36</f>
        <v>0</v>
      </c>
      <c r="G5" s="432">
        <f>[1]WATER!G36</f>
        <v>589336</v>
      </c>
      <c r="H5" s="432">
        <f>[1]WATER!H36</f>
        <v>0</v>
      </c>
      <c r="I5" s="432">
        <f>[1]WATER!I36</f>
        <v>0</v>
      </c>
      <c r="J5" s="432">
        <f>[1]WATER!J36</f>
        <v>0</v>
      </c>
      <c r="K5" s="432">
        <f>[1]WATER!K36</f>
        <v>5899</v>
      </c>
      <c r="L5" s="432">
        <f>[1]WATER!L36</f>
        <v>1</v>
      </c>
      <c r="M5" s="432">
        <f>[1]WATER!M36</f>
        <v>457.44</v>
      </c>
      <c r="N5" s="432">
        <f>[1]WATER!N36</f>
        <v>0</v>
      </c>
      <c r="O5" s="432">
        <f>[1]WATER!O36</f>
        <v>529.52</v>
      </c>
      <c r="P5" s="432">
        <f>[1]WATER!P36</f>
        <v>0</v>
      </c>
      <c r="Q5" s="432">
        <f>[1]WATER!Q36</f>
        <v>0</v>
      </c>
      <c r="R5" s="432">
        <f>[1]WATER!R36</f>
        <v>0</v>
      </c>
      <c r="S5" s="432">
        <f>[1]WATER!S36</f>
        <v>0</v>
      </c>
      <c r="T5" s="432">
        <f>[1]WATER!T36</f>
        <v>4519</v>
      </c>
      <c r="U5" s="432">
        <f>[1]WATER!U36</f>
        <v>3</v>
      </c>
      <c r="V5" s="432">
        <f>[1]WATER!V36</f>
        <v>363</v>
      </c>
      <c r="W5" s="432">
        <f>[1]WATER!W36</f>
        <v>1</v>
      </c>
      <c r="X5" s="432">
        <f>[1]WATER!X36</f>
        <v>140367</v>
      </c>
      <c r="Y5" s="432">
        <f>[1]WATER!Y36</f>
        <v>0</v>
      </c>
      <c r="Z5" s="432">
        <f>[1]WATER!Z36</f>
        <v>91960</v>
      </c>
      <c r="AA5" s="432">
        <f>[1]WATER!AA36</f>
        <v>0</v>
      </c>
      <c r="AB5" s="432">
        <f>[1]WATER!AB36</f>
        <v>261</v>
      </c>
      <c r="AC5" s="432">
        <f>[1]WATER!AC36</f>
        <v>671</v>
      </c>
      <c r="AD5" s="432">
        <f>[1]WATER!AD36</f>
        <v>0</v>
      </c>
      <c r="AE5" s="432">
        <f>[1]WATER!AE36</f>
        <v>92.38</v>
      </c>
      <c r="AF5" s="432">
        <f>[1]WATER!AF36</f>
        <v>0.81000000000000227</v>
      </c>
      <c r="AG5" s="432">
        <f>[1]WATER!AG36</f>
        <v>1221.01</v>
      </c>
      <c r="AH5" s="432">
        <f>[1]WATER!AH36</f>
        <v>3.2000000000000455</v>
      </c>
      <c r="AI5" s="432">
        <f>[1]WATER!AI36</f>
        <v>4.0100000000000477</v>
      </c>
      <c r="AJ5" s="432">
        <f>[1]WATER!AJ36</f>
        <v>0</v>
      </c>
      <c r="AK5" s="432">
        <f>[1]WATER!AK36</f>
        <v>-1</v>
      </c>
      <c r="AL5" s="432">
        <f>[1]WATER!AL36</f>
        <v>-1</v>
      </c>
      <c r="AM5" s="432">
        <f>[1]WATER!AM36</f>
        <v>15</v>
      </c>
      <c r="AN5" s="432">
        <f>[1]WATER!AN36</f>
        <v>0</v>
      </c>
      <c r="AO5" s="432">
        <f>[1]WATER!AO36</f>
        <v>0</v>
      </c>
      <c r="AP5" s="432">
        <f>[1]WATER!AP36</f>
        <v>210</v>
      </c>
      <c r="AQ5" s="432">
        <f>[1]WATER!AQ36</f>
        <v>0</v>
      </c>
      <c r="AR5" s="432">
        <f>[1]WATER!AR36</f>
        <v>43861</v>
      </c>
      <c r="AS5" s="432">
        <f>[1]WATER!AS36</f>
        <v>0.9</v>
      </c>
      <c r="AT5" s="432">
        <f>[1]WATER!AT36</f>
        <v>98</v>
      </c>
      <c r="AU5" s="432">
        <f>[1]WATER!AU36</f>
        <v>1.1000000000000001</v>
      </c>
      <c r="AV5" s="432">
        <f>[1]WATER!AV36</f>
        <v>134</v>
      </c>
      <c r="AW5" s="432">
        <f>[1]WATER!AW36</f>
        <v>2.9</v>
      </c>
      <c r="AX5" s="432">
        <f>[1]WATER!AX36</f>
        <v>129</v>
      </c>
      <c r="AY5" s="432">
        <f>[1]WATER!AY36</f>
        <v>88.2</v>
      </c>
      <c r="AZ5" s="432">
        <f>[1]WATER!AZ36</f>
        <v>147.4</v>
      </c>
      <c r="BA5" s="432">
        <f>[1]WATER!BA36</f>
        <v>374.09999999999997</v>
      </c>
      <c r="BB5" s="432">
        <f>[1]WATER!BB36</f>
        <v>0</v>
      </c>
      <c r="BC5" s="432">
        <f>[1]WATER!BC36</f>
        <v>-22</v>
      </c>
      <c r="BD5" s="432">
        <f>[1]WATER!BD36</f>
        <v>-58</v>
      </c>
      <c r="BE5" s="432">
        <f>[1]WATER!BE36</f>
        <v>-80</v>
      </c>
      <c r="BF5" s="432">
        <f>[1]WATER!BF36</f>
        <v>80</v>
      </c>
      <c r="BG5" s="432">
        <f>[1]WATER!BG36</f>
        <v>-80</v>
      </c>
    </row>
    <row r="6" spans="1:65" ht="15.75" thickBot="1">
      <c r="A6" s="6">
        <f>ELEC!C3</f>
        <v>43862</v>
      </c>
      <c r="B6" s="5">
        <v>108441</v>
      </c>
      <c r="C6" s="5">
        <f>B6-B5</f>
        <v>0</v>
      </c>
      <c r="D6" s="441">
        <f>C6/27</f>
        <v>0</v>
      </c>
      <c r="E6" s="349">
        <f>SUM((C6*$E$4)+(7500/'EDl log'!$A$36))</f>
        <v>258.62068965517244</v>
      </c>
      <c r="F6" s="440"/>
      <c r="G6" s="5">
        <v>589656</v>
      </c>
      <c r="H6" s="5">
        <f>G6-G5</f>
        <v>320</v>
      </c>
      <c r="I6" s="5">
        <f t="shared" ref="I6:I35" si="0">C6+H6</f>
        <v>320</v>
      </c>
      <c r="J6" s="350">
        <f t="shared" ref="J6:J35" si="1">IF(I6&gt;0,E6/I6,0)</f>
        <v>0.80818965517241392</v>
      </c>
      <c r="K6" s="5">
        <f>'Swimming Pool quality check '!H6</f>
        <v>5897</v>
      </c>
      <c r="L6" s="84">
        <v>0</v>
      </c>
      <c r="M6" s="432">
        <f>M5</f>
        <v>457.44</v>
      </c>
      <c r="N6" s="560">
        <f t="shared" ref="N6:N13" si="2">SUM(M6-M5)</f>
        <v>0</v>
      </c>
      <c r="O6" s="432">
        <f>O5</f>
        <v>529.52</v>
      </c>
      <c r="P6" s="560">
        <f t="shared" ref="P6:P13" si="3">SUM(O6-O5)</f>
        <v>0</v>
      </c>
      <c r="Q6" s="561">
        <f>P6+N6</f>
        <v>0</v>
      </c>
      <c r="R6" s="560"/>
      <c r="S6" s="560"/>
      <c r="T6" s="5">
        <v>4524</v>
      </c>
      <c r="U6" s="5">
        <f t="shared" ref="U6:U35" si="4">SUM(T6-T5)</f>
        <v>5</v>
      </c>
      <c r="V6" s="5">
        <v>363</v>
      </c>
      <c r="W6" s="340">
        <f>+V6-V5</f>
        <v>0</v>
      </c>
      <c r="X6" s="5">
        <v>140535</v>
      </c>
      <c r="Y6" s="340">
        <f>SUM(X6-X5)</f>
        <v>168</v>
      </c>
      <c r="Z6" s="5">
        <v>92018</v>
      </c>
      <c r="AA6" s="84">
        <f>Z6-Z5</f>
        <v>58</v>
      </c>
      <c r="AB6" s="5">
        <f>AB5</f>
        <v>261</v>
      </c>
      <c r="AC6" s="5">
        <f>AC5</f>
        <v>671</v>
      </c>
      <c r="AD6" s="84">
        <v>0</v>
      </c>
      <c r="AE6" s="5">
        <v>94.46</v>
      </c>
      <c r="AF6" s="84">
        <f>AE6-AE5</f>
        <v>2.0799999999999983</v>
      </c>
      <c r="AG6" s="5">
        <v>1236.52</v>
      </c>
      <c r="AH6" s="84">
        <f>AG6-AG5</f>
        <v>15.509999999999991</v>
      </c>
      <c r="AI6" s="84">
        <f>AF6+AH6</f>
        <v>17.589999999999989</v>
      </c>
      <c r="AJ6" s="342">
        <f>+Z6-Z5</f>
        <v>58</v>
      </c>
      <c r="AK6" s="343">
        <f t="shared" ref="AK6:AK38" si="5">SUM(Y6-L6)</f>
        <v>168</v>
      </c>
      <c r="AL6" s="343">
        <f>SUM(AJ6-W6)</f>
        <v>58</v>
      </c>
      <c r="AM6" s="343">
        <f>'General information '!D6</f>
        <v>14.5</v>
      </c>
      <c r="AN6" s="85">
        <f>'General information '!H6</f>
        <v>0</v>
      </c>
      <c r="AO6" s="85"/>
      <c r="AP6" s="85">
        <f>'General information '!J6</f>
        <v>210</v>
      </c>
      <c r="AQ6" s="82"/>
      <c r="AR6" s="287">
        <f>A6</f>
        <v>43862</v>
      </c>
      <c r="AS6" s="446">
        <f t="shared" ref="AS6:AT21" si="6">AS5</f>
        <v>0.9</v>
      </c>
      <c r="AT6" s="205">
        <v>87</v>
      </c>
      <c r="AU6" s="447">
        <f>AU5</f>
        <v>1.1000000000000001</v>
      </c>
      <c r="AV6" s="205">
        <v>147</v>
      </c>
      <c r="AW6" s="5">
        <v>2.9</v>
      </c>
      <c r="AX6" s="205">
        <v>161</v>
      </c>
      <c r="AY6" s="450">
        <f t="shared" ref="AY6:AY35" si="7">AS6*AT6</f>
        <v>78.3</v>
      </c>
      <c r="AZ6" s="450">
        <f>AU6*AV6</f>
        <v>161.70000000000002</v>
      </c>
      <c r="BA6" s="450">
        <f>AW6*AX6</f>
        <v>466.9</v>
      </c>
      <c r="BB6" s="21">
        <f>AY6-AY5</f>
        <v>-9.9000000000000057</v>
      </c>
      <c r="BC6" s="21">
        <f>AZ6-AZ5</f>
        <v>14.300000000000011</v>
      </c>
      <c r="BD6" s="21">
        <f>BA6-BA5</f>
        <v>92.800000000000011</v>
      </c>
      <c r="BE6" s="24">
        <f>SUM(BB6:BD6)</f>
        <v>97.200000000000017</v>
      </c>
      <c r="BF6" s="97">
        <f t="shared" ref="BF6:BF35" si="8">SUM(I6-BE6)</f>
        <v>222.79999999999998</v>
      </c>
      <c r="BG6" s="83">
        <f t="shared" ref="BG6:BG35" si="9">SUM(I6-BF6)</f>
        <v>97.200000000000017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43863</v>
      </c>
      <c r="B7" s="5">
        <v>108441</v>
      </c>
      <c r="C7" s="5">
        <f t="shared" ref="C7:C35" si="10">B7-B6</f>
        <v>0</v>
      </c>
      <c r="D7" s="441">
        <f t="shared" ref="D7:D36" si="11">C7/27</f>
        <v>0</v>
      </c>
      <c r="E7" s="349">
        <f>SUM((C7*$E$4)+(7500/'EDl log'!$A$36))</f>
        <v>258.62068965517244</v>
      </c>
      <c r="F7" s="440"/>
      <c r="G7" s="5">
        <v>589696</v>
      </c>
      <c r="H7" s="5">
        <f t="shared" ref="H7:H35" si="12">G7-G6</f>
        <v>40</v>
      </c>
      <c r="I7" s="5">
        <f t="shared" si="0"/>
        <v>40</v>
      </c>
      <c r="J7" s="350">
        <f t="shared" si="1"/>
        <v>6.4655172413793114</v>
      </c>
      <c r="K7" s="5">
        <f>'Swimming Pool quality check '!H7</f>
        <v>5898</v>
      </c>
      <c r="L7" s="84">
        <f>K7-K6</f>
        <v>1</v>
      </c>
      <c r="M7" s="432">
        <f t="shared" ref="M7:O36" si="13">M6</f>
        <v>457.44</v>
      </c>
      <c r="N7" s="560">
        <f t="shared" si="2"/>
        <v>0</v>
      </c>
      <c r="O7" s="432">
        <f t="shared" si="13"/>
        <v>529.52</v>
      </c>
      <c r="P7" s="560">
        <f t="shared" si="3"/>
        <v>0</v>
      </c>
      <c r="Q7" s="561">
        <f>P7+N7</f>
        <v>0</v>
      </c>
      <c r="R7" s="560"/>
      <c r="S7" s="560"/>
      <c r="T7" s="5">
        <v>4532</v>
      </c>
      <c r="U7" s="5">
        <f t="shared" si="4"/>
        <v>8</v>
      </c>
      <c r="V7" s="5">
        <f t="shared" ref="V7:V36" si="14">V6</f>
        <v>363</v>
      </c>
      <c r="W7" s="340">
        <f t="shared" ref="W7:W36" si="15">+V7-V6</f>
        <v>0</v>
      </c>
      <c r="X7" s="5">
        <v>140535</v>
      </c>
      <c r="Y7" s="340">
        <f>SUM(X7-X6)</f>
        <v>0</v>
      </c>
      <c r="Z7" s="5">
        <v>92018</v>
      </c>
      <c r="AA7" s="84">
        <f t="shared" ref="AA7:AA35" si="16">Z7-Z6</f>
        <v>0</v>
      </c>
      <c r="AB7" s="5">
        <f t="shared" ref="AB7:AB36" si="17">AB6</f>
        <v>261</v>
      </c>
      <c r="AC7" s="5">
        <f t="shared" ref="AC7:AC36" si="18">AC6</f>
        <v>671</v>
      </c>
      <c r="AD7" s="84">
        <f>AC7-AC6</f>
        <v>0</v>
      </c>
      <c r="AE7" s="5">
        <v>94.46</v>
      </c>
      <c r="AF7" s="84">
        <f t="shared" ref="AF7:AF35" si="19">AE7-AE6</f>
        <v>0</v>
      </c>
      <c r="AG7" s="5">
        <v>1236.82</v>
      </c>
      <c r="AH7" s="84">
        <f t="shared" ref="AH7:AH36" si="20">AG7-AG6</f>
        <v>0.29999999999995453</v>
      </c>
      <c r="AI7" s="84">
        <f t="shared" ref="AI7:AI36" si="21">AF7+AH7</f>
        <v>0.29999999999995453</v>
      </c>
      <c r="AJ7" s="342">
        <f t="shared" ref="AJ7:AJ35" si="22">+Z7-Z6</f>
        <v>0</v>
      </c>
      <c r="AK7" s="343">
        <f t="shared" si="5"/>
        <v>-1</v>
      </c>
      <c r="AL7" s="343">
        <f t="shared" ref="AL7:AL35" si="23">SUM(AJ7-W7)</f>
        <v>0</v>
      </c>
      <c r="AM7" s="343">
        <f>'General information '!D7</f>
        <v>14</v>
      </c>
      <c r="AN7" s="85">
        <f>'General information '!H7</f>
        <v>0</v>
      </c>
      <c r="AO7" s="85"/>
      <c r="AP7" s="85">
        <f>'General information '!J7</f>
        <v>258</v>
      </c>
      <c r="AQ7" s="82"/>
      <c r="AR7" s="287">
        <f t="shared" ref="AR7:AR34" si="24">A7</f>
        <v>43863</v>
      </c>
      <c r="AS7" s="446">
        <f t="shared" si="6"/>
        <v>0.9</v>
      </c>
      <c r="AT7" s="205">
        <v>87</v>
      </c>
      <c r="AU7" s="447">
        <f>AU6</f>
        <v>1.1000000000000001</v>
      </c>
      <c r="AV7" s="205">
        <v>123</v>
      </c>
      <c r="AW7" s="5">
        <v>2.9</v>
      </c>
      <c r="AX7" s="205">
        <v>154</v>
      </c>
      <c r="AY7" s="450">
        <f t="shared" si="7"/>
        <v>78.3</v>
      </c>
      <c r="AZ7" s="450">
        <f t="shared" ref="AZ7:AZ35" si="25">AU7*AV7</f>
        <v>135.30000000000001</v>
      </c>
      <c r="BA7" s="450">
        <f t="shared" ref="BA7:BA36" si="26">AW7*AX7</f>
        <v>446.59999999999997</v>
      </c>
      <c r="BB7" s="21">
        <f t="shared" ref="BB7:BD35" si="27">AY7-AY6</f>
        <v>0</v>
      </c>
      <c r="BC7" s="21">
        <f t="shared" ref="BC7:BD21" si="28">AZ7-AZ6</f>
        <v>-26.400000000000006</v>
      </c>
      <c r="BD7" s="21">
        <f t="shared" si="28"/>
        <v>-20.300000000000011</v>
      </c>
      <c r="BE7" s="24">
        <f t="shared" ref="BE7:BE35" si="29">SUM(BB7:BD7)</f>
        <v>-46.700000000000017</v>
      </c>
      <c r="BF7" s="97">
        <f t="shared" si="8"/>
        <v>86.700000000000017</v>
      </c>
      <c r="BG7" s="83">
        <f t="shared" si="9"/>
        <v>-46.700000000000017</v>
      </c>
      <c r="BI7" s="87"/>
      <c r="BJ7" s="17"/>
      <c r="BK7" s="17"/>
      <c r="BL7" s="17"/>
      <c r="BM7" s="17"/>
    </row>
    <row r="8" spans="1:65" ht="15.75" thickBot="1">
      <c r="A8" s="6">
        <f>ELEC!C5</f>
        <v>43864</v>
      </c>
      <c r="B8" s="5">
        <v>108441</v>
      </c>
      <c r="C8" s="5">
        <f>B8-B7</f>
        <v>0</v>
      </c>
      <c r="D8" s="441">
        <f t="shared" si="11"/>
        <v>0</v>
      </c>
      <c r="E8" s="349">
        <f>SUM((C8*$E$4)+(7500/'EDl log'!$A$36))</f>
        <v>258.62068965517244</v>
      </c>
      <c r="F8" s="440"/>
      <c r="G8" s="5">
        <v>589814</v>
      </c>
      <c r="H8" s="5">
        <f t="shared" si="12"/>
        <v>118</v>
      </c>
      <c r="I8" s="5">
        <f t="shared" si="0"/>
        <v>118</v>
      </c>
      <c r="J8" s="350">
        <f t="shared" si="1"/>
        <v>2.191700759789597</v>
      </c>
      <c r="K8" s="5">
        <f>'Swimming Pool quality check '!H8</f>
        <v>5901</v>
      </c>
      <c r="L8" s="84">
        <f>K8-K7</f>
        <v>3</v>
      </c>
      <c r="M8" s="432">
        <f t="shared" si="13"/>
        <v>457.44</v>
      </c>
      <c r="N8" s="560">
        <f t="shared" si="2"/>
        <v>0</v>
      </c>
      <c r="O8" s="432">
        <f>O7</f>
        <v>529.52</v>
      </c>
      <c r="P8" s="560">
        <f t="shared" si="3"/>
        <v>0</v>
      </c>
      <c r="Q8" s="561">
        <f>P8+N8</f>
        <v>0</v>
      </c>
      <c r="R8" s="560"/>
      <c r="S8" s="560"/>
      <c r="T8" s="5">
        <v>4535</v>
      </c>
      <c r="U8" s="5">
        <f t="shared" si="4"/>
        <v>3</v>
      </c>
      <c r="V8" s="5">
        <v>363</v>
      </c>
      <c r="W8" s="340">
        <f t="shared" si="15"/>
        <v>0</v>
      </c>
      <c r="X8" s="5">
        <v>140559</v>
      </c>
      <c r="Y8" s="340">
        <f t="shared" ref="Y8:Y35" si="30">SUM(X8-X7)</f>
        <v>24</v>
      </c>
      <c r="Z8" s="5">
        <v>92061</v>
      </c>
      <c r="AA8" s="84">
        <f t="shared" si="16"/>
        <v>43</v>
      </c>
      <c r="AB8" s="5">
        <f t="shared" si="17"/>
        <v>261</v>
      </c>
      <c r="AC8" s="5">
        <f t="shared" si="18"/>
        <v>671</v>
      </c>
      <c r="AD8" s="84">
        <f t="shared" ref="AD8:AD35" si="31">AC8-AC7</f>
        <v>0</v>
      </c>
      <c r="AE8" s="5">
        <v>94.46</v>
      </c>
      <c r="AF8" s="84">
        <f t="shared" si="19"/>
        <v>0</v>
      </c>
      <c r="AG8" s="5">
        <v>1237.2</v>
      </c>
      <c r="AH8" s="84">
        <f t="shared" si="20"/>
        <v>0.38000000000010914</v>
      </c>
      <c r="AI8" s="84">
        <f t="shared" si="21"/>
        <v>0.38000000000010914</v>
      </c>
      <c r="AJ8" s="342">
        <f t="shared" si="22"/>
        <v>43</v>
      </c>
      <c r="AK8" s="343">
        <f t="shared" si="5"/>
        <v>21</v>
      </c>
      <c r="AL8" s="343">
        <f t="shared" si="23"/>
        <v>43</v>
      </c>
      <c r="AM8" s="343">
        <f>'General information '!D8</f>
        <v>13</v>
      </c>
      <c r="AN8" s="85">
        <f>'General information '!H8</f>
        <v>0</v>
      </c>
      <c r="AO8" s="85"/>
      <c r="AP8" s="85">
        <f>'General information '!J8</f>
        <v>134</v>
      </c>
      <c r="AQ8" s="82"/>
      <c r="AR8" s="287">
        <f t="shared" si="24"/>
        <v>43864</v>
      </c>
      <c r="AS8" s="446">
        <f t="shared" si="6"/>
        <v>0.9</v>
      </c>
      <c r="AT8" s="205">
        <v>196</v>
      </c>
      <c r="AU8" s="447">
        <v>1.1000000000000001</v>
      </c>
      <c r="AV8" s="205">
        <v>142</v>
      </c>
      <c r="AW8" s="5">
        <v>2.9</v>
      </c>
      <c r="AX8" s="205">
        <v>148</v>
      </c>
      <c r="AY8" s="450">
        <f t="shared" si="7"/>
        <v>176.4</v>
      </c>
      <c r="AZ8" s="450">
        <f t="shared" si="25"/>
        <v>156.20000000000002</v>
      </c>
      <c r="BA8" s="450">
        <f t="shared" si="26"/>
        <v>429.2</v>
      </c>
      <c r="BB8" s="21">
        <f t="shared" si="27"/>
        <v>98.100000000000009</v>
      </c>
      <c r="BC8" s="21">
        <f t="shared" si="28"/>
        <v>20.900000000000006</v>
      </c>
      <c r="BD8" s="21">
        <f t="shared" si="28"/>
        <v>-17.399999999999977</v>
      </c>
      <c r="BE8" s="24">
        <f t="shared" si="29"/>
        <v>101.60000000000004</v>
      </c>
      <c r="BF8" s="97">
        <f t="shared" si="8"/>
        <v>16.399999999999963</v>
      </c>
      <c r="BG8" s="83">
        <f t="shared" si="9"/>
        <v>101.60000000000004</v>
      </c>
      <c r="BI8" s="87"/>
      <c r="BJ8" s="17"/>
      <c r="BK8" s="17"/>
    </row>
    <row r="9" spans="1:65" ht="15.75" thickBot="1">
      <c r="A9" s="6">
        <f>ELEC!C6</f>
        <v>43865</v>
      </c>
      <c r="B9" s="5">
        <f t="shared" ref="B9:B36" si="32">B8</f>
        <v>108441</v>
      </c>
      <c r="C9" s="5">
        <f t="shared" si="10"/>
        <v>0</v>
      </c>
      <c r="D9" s="441">
        <f t="shared" si="11"/>
        <v>0</v>
      </c>
      <c r="E9" s="349">
        <f>SUM((C9*$E$4)+(7500/'EDl log'!$A$36))</f>
        <v>258.62068965517244</v>
      </c>
      <c r="F9" s="440"/>
      <c r="G9" s="5">
        <f t="shared" ref="G9:G36" si="33">G8</f>
        <v>589814</v>
      </c>
      <c r="H9" s="5">
        <f t="shared" si="12"/>
        <v>0</v>
      </c>
      <c r="I9" s="5">
        <f t="shared" si="0"/>
        <v>0</v>
      </c>
      <c r="J9" s="350">
        <f t="shared" si="1"/>
        <v>0</v>
      </c>
      <c r="K9" s="5">
        <f>'Swimming Pool quality check '!H9</f>
        <v>5902</v>
      </c>
      <c r="L9" s="84">
        <f t="shared" ref="L9:L35" si="34">K9-K8</f>
        <v>1</v>
      </c>
      <c r="M9" s="432">
        <f t="shared" si="13"/>
        <v>457.44</v>
      </c>
      <c r="N9" s="560">
        <f t="shared" si="2"/>
        <v>0</v>
      </c>
      <c r="O9" s="432">
        <f t="shared" si="13"/>
        <v>529.52</v>
      </c>
      <c r="P9" s="560">
        <f t="shared" si="3"/>
        <v>0</v>
      </c>
      <c r="Q9" s="561">
        <f>P9+N9</f>
        <v>0</v>
      </c>
      <c r="R9" s="560"/>
      <c r="S9" s="560"/>
      <c r="T9" s="5">
        <v>4538</v>
      </c>
      <c r="U9" s="5">
        <f t="shared" si="4"/>
        <v>3</v>
      </c>
      <c r="V9" s="5">
        <v>366</v>
      </c>
      <c r="W9" s="340">
        <f t="shared" si="15"/>
        <v>3</v>
      </c>
      <c r="X9" s="5">
        <v>140561</v>
      </c>
      <c r="Y9" s="340">
        <f t="shared" si="30"/>
        <v>2</v>
      </c>
      <c r="Z9" s="5">
        <v>92063</v>
      </c>
      <c r="AA9" s="84">
        <f t="shared" si="16"/>
        <v>2</v>
      </c>
      <c r="AB9" s="5">
        <f t="shared" si="17"/>
        <v>261</v>
      </c>
      <c r="AC9" s="5">
        <f t="shared" si="18"/>
        <v>671</v>
      </c>
      <c r="AD9" s="84">
        <f t="shared" si="31"/>
        <v>0</v>
      </c>
      <c r="AE9" s="5">
        <v>95.27</v>
      </c>
      <c r="AF9" s="84">
        <f t="shared" si="19"/>
        <v>0.81000000000000227</v>
      </c>
      <c r="AG9" s="5">
        <v>1243.0899999999999</v>
      </c>
      <c r="AH9" s="84">
        <f t="shared" si="20"/>
        <v>5.8899999999998727</v>
      </c>
      <c r="AI9" s="84">
        <f t="shared" si="21"/>
        <v>6.6999999999998749</v>
      </c>
      <c r="AJ9" s="342">
        <f t="shared" si="22"/>
        <v>2</v>
      </c>
      <c r="AK9" s="343">
        <f t="shared" si="5"/>
        <v>1</v>
      </c>
      <c r="AL9" s="343">
        <f t="shared" si="23"/>
        <v>-1</v>
      </c>
      <c r="AM9" s="343">
        <f>'General information '!D9</f>
        <v>15</v>
      </c>
      <c r="AN9" s="85">
        <f>'General information '!H9</f>
        <v>0</v>
      </c>
      <c r="AO9" s="85"/>
      <c r="AP9" s="85">
        <f>'General information '!J9</f>
        <v>155</v>
      </c>
      <c r="AQ9" s="82"/>
      <c r="AR9" s="287">
        <f t="shared" si="24"/>
        <v>43865</v>
      </c>
      <c r="AS9" s="446">
        <f t="shared" si="6"/>
        <v>0.9</v>
      </c>
      <c r="AT9" s="205">
        <v>190</v>
      </c>
      <c r="AU9" s="447">
        <f t="shared" ref="AU9:AU36" si="35">AU8</f>
        <v>1.1000000000000001</v>
      </c>
      <c r="AV9" s="205">
        <v>123</v>
      </c>
      <c r="AW9" s="5">
        <v>2.9</v>
      </c>
      <c r="AX9" s="205">
        <v>139</v>
      </c>
      <c r="AY9" s="450">
        <f t="shared" si="7"/>
        <v>171</v>
      </c>
      <c r="AZ9" s="450">
        <f t="shared" si="25"/>
        <v>135.30000000000001</v>
      </c>
      <c r="BA9" s="450">
        <f t="shared" si="26"/>
        <v>403.09999999999997</v>
      </c>
      <c r="BB9" s="21">
        <f t="shared" si="27"/>
        <v>-5.4000000000000057</v>
      </c>
      <c r="BC9" s="21">
        <f t="shared" si="28"/>
        <v>-20.900000000000006</v>
      </c>
      <c r="BD9" s="21">
        <f t="shared" si="28"/>
        <v>-26.100000000000023</v>
      </c>
      <c r="BE9" s="24">
        <f t="shared" si="29"/>
        <v>-52.400000000000034</v>
      </c>
      <c r="BF9" s="364">
        <f t="shared" si="8"/>
        <v>52.400000000000034</v>
      </c>
      <c r="BG9" s="83">
        <f t="shared" si="9"/>
        <v>-52.400000000000034</v>
      </c>
    </row>
    <row r="10" spans="1:65" ht="15.75" thickBot="1">
      <c r="A10" s="6">
        <f>ELEC!C7</f>
        <v>43866</v>
      </c>
      <c r="B10" s="5">
        <v>108441</v>
      </c>
      <c r="C10" s="5">
        <f t="shared" si="10"/>
        <v>0</v>
      </c>
      <c r="D10" s="441">
        <f t="shared" si="11"/>
        <v>0</v>
      </c>
      <c r="E10" s="349">
        <f>SUM((C10*$E$4)+(7500/'EDl log'!$A$36))</f>
        <v>258.62068965517244</v>
      </c>
      <c r="F10" s="440"/>
      <c r="G10" s="5">
        <v>590125</v>
      </c>
      <c r="H10" s="5">
        <f t="shared" si="12"/>
        <v>311</v>
      </c>
      <c r="I10" s="5">
        <f t="shared" si="0"/>
        <v>311</v>
      </c>
      <c r="J10" s="350">
        <f t="shared" si="1"/>
        <v>0.83157778024171203</v>
      </c>
      <c r="K10" s="5">
        <f>'Swimming Pool quality check '!H10</f>
        <v>5902</v>
      </c>
      <c r="L10" s="84">
        <f>K10-K9</f>
        <v>0</v>
      </c>
      <c r="M10" s="432">
        <f t="shared" si="13"/>
        <v>457.44</v>
      </c>
      <c r="N10" s="560">
        <f t="shared" si="2"/>
        <v>0</v>
      </c>
      <c r="O10" s="432">
        <f t="shared" si="13"/>
        <v>529.52</v>
      </c>
      <c r="P10" s="560">
        <f t="shared" si="3"/>
        <v>0</v>
      </c>
      <c r="Q10" s="561">
        <f>P10+N10</f>
        <v>0</v>
      </c>
      <c r="R10" s="560"/>
      <c r="S10" s="560"/>
      <c r="T10" s="5">
        <v>4541</v>
      </c>
      <c r="U10" s="5">
        <f t="shared" si="4"/>
        <v>3</v>
      </c>
      <c r="V10" s="5">
        <v>366</v>
      </c>
      <c r="W10" s="340">
        <f t="shared" si="15"/>
        <v>0</v>
      </c>
      <c r="X10" s="5">
        <v>140679</v>
      </c>
      <c r="Y10" s="340">
        <f t="shared" si="30"/>
        <v>118</v>
      </c>
      <c r="Z10" s="5">
        <v>92142</v>
      </c>
      <c r="AA10" s="84">
        <f t="shared" si="16"/>
        <v>79</v>
      </c>
      <c r="AB10" s="5">
        <f t="shared" si="17"/>
        <v>261</v>
      </c>
      <c r="AC10" s="5">
        <f t="shared" si="18"/>
        <v>671</v>
      </c>
      <c r="AD10" s="84">
        <f t="shared" si="31"/>
        <v>0</v>
      </c>
      <c r="AE10" s="5">
        <v>97.28</v>
      </c>
      <c r="AF10" s="84">
        <f t="shared" si="19"/>
        <v>2.0100000000000051</v>
      </c>
      <c r="AG10" s="5">
        <v>1263.1600000000001</v>
      </c>
      <c r="AH10" s="84">
        <f t="shared" si="20"/>
        <v>20.070000000000164</v>
      </c>
      <c r="AI10" s="84">
        <f t="shared" si="21"/>
        <v>22.080000000000169</v>
      </c>
      <c r="AJ10" s="342">
        <f t="shared" si="22"/>
        <v>79</v>
      </c>
      <c r="AK10" s="343">
        <f t="shared" si="5"/>
        <v>118</v>
      </c>
      <c r="AL10" s="343">
        <f t="shared" si="23"/>
        <v>79</v>
      </c>
      <c r="AM10" s="343">
        <f>'General information '!D10</f>
        <v>17.5</v>
      </c>
      <c r="AN10" s="85">
        <f>'General information '!H10</f>
        <v>0</v>
      </c>
      <c r="AO10" s="85"/>
      <c r="AP10" s="85">
        <f>'General information '!J10</f>
        <v>175</v>
      </c>
      <c r="AQ10" s="82"/>
      <c r="AR10" s="287">
        <f t="shared" si="24"/>
        <v>43866</v>
      </c>
      <c r="AS10" s="446">
        <f t="shared" si="6"/>
        <v>0.9</v>
      </c>
      <c r="AT10" s="205">
        <v>150</v>
      </c>
      <c r="AU10" s="447">
        <f t="shared" si="35"/>
        <v>1.1000000000000001</v>
      </c>
      <c r="AV10" s="205">
        <v>136</v>
      </c>
      <c r="AW10" s="5">
        <v>2.9</v>
      </c>
      <c r="AX10" s="205">
        <v>155</v>
      </c>
      <c r="AY10" s="450">
        <f t="shared" si="7"/>
        <v>135</v>
      </c>
      <c r="AZ10" s="450">
        <f t="shared" si="25"/>
        <v>149.60000000000002</v>
      </c>
      <c r="BA10" s="450">
        <f t="shared" si="26"/>
        <v>449.5</v>
      </c>
      <c r="BB10" s="21">
        <f t="shared" si="27"/>
        <v>-36</v>
      </c>
      <c r="BC10" s="21">
        <f t="shared" si="28"/>
        <v>14.300000000000011</v>
      </c>
      <c r="BD10" s="21">
        <f t="shared" si="28"/>
        <v>46.400000000000034</v>
      </c>
      <c r="BE10" s="24">
        <f t="shared" si="29"/>
        <v>24.700000000000045</v>
      </c>
      <c r="BF10" s="97">
        <f t="shared" si="8"/>
        <v>286.29999999999995</v>
      </c>
      <c r="BG10" s="83">
        <f t="shared" si="9"/>
        <v>24.700000000000045</v>
      </c>
    </row>
    <row r="11" spans="1:65" ht="15.75" thickBot="1">
      <c r="A11" s="6">
        <f>ELEC!C8</f>
        <v>43867</v>
      </c>
      <c r="B11" s="5">
        <f t="shared" si="32"/>
        <v>108441</v>
      </c>
      <c r="C11" s="5">
        <f t="shared" si="10"/>
        <v>0</v>
      </c>
      <c r="D11" s="441">
        <f t="shared" si="11"/>
        <v>0</v>
      </c>
      <c r="E11" s="349">
        <f>SUM((C11*$E$4)+(7500/'EDl log'!$A$36))</f>
        <v>258.62068965517244</v>
      </c>
      <c r="F11" s="440"/>
      <c r="G11" s="5">
        <f t="shared" si="33"/>
        <v>590125</v>
      </c>
      <c r="H11" s="5">
        <f t="shared" si="12"/>
        <v>0</v>
      </c>
      <c r="I11" s="5">
        <f t="shared" si="0"/>
        <v>0</v>
      </c>
      <c r="J11" s="350">
        <f t="shared" si="1"/>
        <v>0</v>
      </c>
      <c r="K11" s="5">
        <f>'Swimming Pool quality check '!H11</f>
        <v>5902</v>
      </c>
      <c r="L11" s="84">
        <f t="shared" si="34"/>
        <v>0</v>
      </c>
      <c r="M11" s="432">
        <f t="shared" si="13"/>
        <v>457.44</v>
      </c>
      <c r="N11" s="560">
        <f t="shared" si="2"/>
        <v>0</v>
      </c>
      <c r="O11" s="432">
        <f t="shared" si="13"/>
        <v>529.52</v>
      </c>
      <c r="P11" s="560">
        <f t="shared" si="3"/>
        <v>0</v>
      </c>
      <c r="Q11" s="560">
        <f>SUM(P11+N11)</f>
        <v>0</v>
      </c>
      <c r="R11" s="560"/>
      <c r="S11" s="560"/>
      <c r="T11" s="5">
        <v>4544</v>
      </c>
      <c r="U11" s="5">
        <f t="shared" si="4"/>
        <v>3</v>
      </c>
      <c r="V11" s="5">
        <f t="shared" si="14"/>
        <v>366</v>
      </c>
      <c r="W11" s="340">
        <f t="shared" si="15"/>
        <v>0</v>
      </c>
      <c r="X11" s="5">
        <v>140780</v>
      </c>
      <c r="Y11" s="340">
        <f t="shared" si="30"/>
        <v>101</v>
      </c>
      <c r="Z11" s="5">
        <v>92184</v>
      </c>
      <c r="AA11" s="84">
        <f t="shared" si="16"/>
        <v>42</v>
      </c>
      <c r="AB11" s="5">
        <f t="shared" si="17"/>
        <v>261</v>
      </c>
      <c r="AC11" s="5">
        <f t="shared" si="18"/>
        <v>671</v>
      </c>
      <c r="AD11" s="84">
        <f t="shared" si="31"/>
        <v>0</v>
      </c>
      <c r="AE11" s="5">
        <f t="shared" ref="AE11:AE36" si="36">AE10</f>
        <v>97.28</v>
      </c>
      <c r="AF11" s="84">
        <f t="shared" si="19"/>
        <v>0</v>
      </c>
      <c r="AG11" s="5">
        <v>1264.24</v>
      </c>
      <c r="AH11" s="84">
        <f t="shared" si="20"/>
        <v>1.0799999999999272</v>
      </c>
      <c r="AI11" s="84">
        <f t="shared" si="21"/>
        <v>1.0799999999999272</v>
      </c>
      <c r="AJ11" s="342">
        <f t="shared" si="22"/>
        <v>42</v>
      </c>
      <c r="AK11" s="343">
        <f t="shared" si="5"/>
        <v>101</v>
      </c>
      <c r="AL11" s="343">
        <f t="shared" si="23"/>
        <v>42</v>
      </c>
      <c r="AM11" s="343">
        <f>'General information '!D11</f>
        <v>19</v>
      </c>
      <c r="AN11" s="85">
        <f>'General information '!H11</f>
        <v>0</v>
      </c>
      <c r="AO11" s="85"/>
      <c r="AP11" s="85">
        <f>'General information '!J11</f>
        <v>162</v>
      </c>
      <c r="AQ11" s="82"/>
      <c r="AR11" s="287">
        <f t="shared" si="24"/>
        <v>43867</v>
      </c>
      <c r="AS11" s="446">
        <f t="shared" si="6"/>
        <v>0.9</v>
      </c>
      <c r="AT11" s="205">
        <v>36</v>
      </c>
      <c r="AU11" s="447">
        <f t="shared" si="35"/>
        <v>1.1000000000000001</v>
      </c>
      <c r="AV11" s="205">
        <v>150</v>
      </c>
      <c r="AW11" s="5">
        <v>2.9</v>
      </c>
      <c r="AX11" s="205">
        <v>176</v>
      </c>
      <c r="AY11" s="450">
        <f t="shared" si="7"/>
        <v>32.4</v>
      </c>
      <c r="AZ11" s="450">
        <f t="shared" si="25"/>
        <v>165</v>
      </c>
      <c r="BA11" s="450">
        <f t="shared" si="26"/>
        <v>510.4</v>
      </c>
      <c r="BB11" s="21">
        <f t="shared" si="27"/>
        <v>-102.6</v>
      </c>
      <c r="BC11" s="21">
        <f t="shared" si="28"/>
        <v>15.399999999999977</v>
      </c>
      <c r="BD11" s="21">
        <f t="shared" si="28"/>
        <v>60.899999999999977</v>
      </c>
      <c r="BE11" s="24">
        <f t="shared" si="29"/>
        <v>-26.30000000000004</v>
      </c>
      <c r="BF11" s="97">
        <f t="shared" si="8"/>
        <v>26.30000000000004</v>
      </c>
      <c r="BG11" s="83">
        <f t="shared" si="9"/>
        <v>-26.30000000000004</v>
      </c>
    </row>
    <row r="12" spans="1:65" ht="15.75" thickBot="1">
      <c r="A12" s="6">
        <f>ELEC!C9</f>
        <v>43868</v>
      </c>
      <c r="B12" s="5">
        <f t="shared" si="32"/>
        <v>108441</v>
      </c>
      <c r="C12" s="5">
        <f>B12-B11</f>
        <v>0</v>
      </c>
      <c r="D12" s="441">
        <f t="shared" si="11"/>
        <v>0</v>
      </c>
      <c r="E12" s="349">
        <f>SUM((C12*$E$4)+(7500/'EDl log'!$A$36))</f>
        <v>258.62068965517244</v>
      </c>
      <c r="F12" s="440"/>
      <c r="G12" s="5">
        <v>590459</v>
      </c>
      <c r="H12" s="5">
        <f t="shared" si="12"/>
        <v>334</v>
      </c>
      <c r="I12" s="5">
        <f t="shared" si="0"/>
        <v>334</v>
      </c>
      <c r="J12" s="350">
        <f t="shared" si="1"/>
        <v>0.77431344208135466</v>
      </c>
      <c r="K12" s="5">
        <f>'Swimming Pool quality check '!H12</f>
        <v>5903</v>
      </c>
      <c r="L12" s="84">
        <f t="shared" si="34"/>
        <v>1</v>
      </c>
      <c r="M12" s="432">
        <f t="shared" si="13"/>
        <v>457.44</v>
      </c>
      <c r="N12" s="560">
        <f t="shared" si="2"/>
        <v>0</v>
      </c>
      <c r="O12" s="432">
        <f t="shared" si="13"/>
        <v>529.52</v>
      </c>
      <c r="P12" s="560">
        <f t="shared" si="3"/>
        <v>0</v>
      </c>
      <c r="Q12" s="560">
        <f>SUM(P12+N12)</f>
        <v>0</v>
      </c>
      <c r="R12" s="560"/>
      <c r="S12" s="560"/>
      <c r="T12" s="5">
        <v>4550</v>
      </c>
      <c r="U12" s="5">
        <f t="shared" si="4"/>
        <v>6</v>
      </c>
      <c r="V12" s="5">
        <v>373</v>
      </c>
      <c r="W12" s="340">
        <f t="shared" si="15"/>
        <v>7</v>
      </c>
      <c r="X12" s="5">
        <v>140826</v>
      </c>
      <c r="Y12" s="340">
        <f t="shared" si="30"/>
        <v>46</v>
      </c>
      <c r="Z12" s="5">
        <v>92251</v>
      </c>
      <c r="AA12" s="84">
        <f t="shared" si="16"/>
        <v>67</v>
      </c>
      <c r="AB12" s="5">
        <f t="shared" si="17"/>
        <v>261</v>
      </c>
      <c r="AC12" s="5">
        <f t="shared" si="18"/>
        <v>671</v>
      </c>
      <c r="AD12" s="84">
        <f t="shared" si="31"/>
        <v>0</v>
      </c>
      <c r="AE12" s="5">
        <v>98.77</v>
      </c>
      <c r="AF12" s="84">
        <f t="shared" si="19"/>
        <v>1.4899999999999949</v>
      </c>
      <c r="AG12" s="5">
        <v>1270</v>
      </c>
      <c r="AH12" s="84">
        <f t="shared" si="20"/>
        <v>5.7599999999999909</v>
      </c>
      <c r="AI12" s="84">
        <f t="shared" si="21"/>
        <v>7.2499999999999858</v>
      </c>
      <c r="AJ12" s="342">
        <f t="shared" si="22"/>
        <v>67</v>
      </c>
      <c r="AK12" s="343">
        <f t="shared" si="5"/>
        <v>45</v>
      </c>
      <c r="AL12" s="343">
        <f t="shared" si="23"/>
        <v>60</v>
      </c>
      <c r="AM12" s="343">
        <f>'General information '!D12</f>
        <v>13</v>
      </c>
      <c r="AN12" s="85">
        <f>'General information '!H12</f>
        <v>0</v>
      </c>
      <c r="AO12" s="85"/>
      <c r="AP12" s="85">
        <f>'General information '!J12</f>
        <v>304</v>
      </c>
      <c r="AQ12" s="82"/>
      <c r="AR12" s="287">
        <f t="shared" si="24"/>
        <v>43868</v>
      </c>
      <c r="AS12" s="446">
        <f t="shared" si="6"/>
        <v>0.9</v>
      </c>
      <c r="AT12" s="205">
        <v>130</v>
      </c>
      <c r="AU12" s="447">
        <f t="shared" si="35"/>
        <v>1.1000000000000001</v>
      </c>
      <c r="AV12" s="205">
        <v>180</v>
      </c>
      <c r="AW12" s="5">
        <v>2.9</v>
      </c>
      <c r="AX12" s="205">
        <v>183</v>
      </c>
      <c r="AY12" s="450">
        <f t="shared" si="7"/>
        <v>117</v>
      </c>
      <c r="AZ12" s="450">
        <f t="shared" si="25"/>
        <v>198.00000000000003</v>
      </c>
      <c r="BA12" s="450">
        <f t="shared" si="26"/>
        <v>530.69999999999993</v>
      </c>
      <c r="BB12" s="21">
        <f t="shared" si="27"/>
        <v>84.6</v>
      </c>
      <c r="BC12" s="21">
        <f t="shared" si="28"/>
        <v>33.000000000000028</v>
      </c>
      <c r="BD12" s="21">
        <f t="shared" si="28"/>
        <v>20.299999999999955</v>
      </c>
      <c r="BE12" s="24">
        <f t="shared" si="29"/>
        <v>137.89999999999998</v>
      </c>
      <c r="BF12" s="97">
        <f t="shared" si="8"/>
        <v>196.10000000000002</v>
      </c>
      <c r="BG12" s="83">
        <f t="shared" si="9"/>
        <v>137.89999999999998</v>
      </c>
    </row>
    <row r="13" spans="1:65" ht="15.75" thickBot="1">
      <c r="A13" s="6">
        <f>ELEC!C10</f>
        <v>43869</v>
      </c>
      <c r="B13" s="5">
        <f t="shared" si="32"/>
        <v>108441</v>
      </c>
      <c r="C13" s="5">
        <f t="shared" si="10"/>
        <v>0</v>
      </c>
      <c r="D13" s="441">
        <f t="shared" si="11"/>
        <v>0</v>
      </c>
      <c r="E13" s="349">
        <f>SUM((C13*$E$4)+(7500/'EDl log'!$A$36))</f>
        <v>258.62068965517244</v>
      </c>
      <c r="F13" s="440"/>
      <c r="G13" s="5">
        <f t="shared" si="33"/>
        <v>590459</v>
      </c>
      <c r="H13" s="5">
        <f t="shared" si="12"/>
        <v>0</v>
      </c>
      <c r="I13" s="5">
        <f t="shared" si="0"/>
        <v>0</v>
      </c>
      <c r="J13" s="350">
        <f t="shared" si="1"/>
        <v>0</v>
      </c>
      <c r="K13" s="5">
        <f>'Swimming Pool quality check '!H13</f>
        <v>5904</v>
      </c>
      <c r="L13" s="84">
        <f t="shared" si="34"/>
        <v>1</v>
      </c>
      <c r="M13" s="432">
        <f t="shared" si="13"/>
        <v>457.44</v>
      </c>
      <c r="N13" s="560">
        <f t="shared" si="2"/>
        <v>0</v>
      </c>
      <c r="O13" s="432">
        <f t="shared" si="13"/>
        <v>529.52</v>
      </c>
      <c r="P13" s="560">
        <f t="shared" si="3"/>
        <v>0</v>
      </c>
      <c r="Q13" s="560">
        <f>SUM(P13+N13)</f>
        <v>0</v>
      </c>
      <c r="R13" s="560"/>
      <c r="S13" s="560"/>
      <c r="T13" s="5">
        <v>4556</v>
      </c>
      <c r="U13" s="5">
        <f t="shared" si="4"/>
        <v>6</v>
      </c>
      <c r="V13" s="5">
        <v>374</v>
      </c>
      <c r="W13" s="340">
        <f t="shared" si="15"/>
        <v>1</v>
      </c>
      <c r="X13" s="5">
        <f t="shared" ref="X13:X36" si="37">X12</f>
        <v>140826</v>
      </c>
      <c r="Y13" s="340">
        <f t="shared" si="30"/>
        <v>0</v>
      </c>
      <c r="Z13" s="5">
        <f t="shared" ref="Z13:Z36" si="38">Z12</f>
        <v>92251</v>
      </c>
      <c r="AA13" s="84">
        <f t="shared" si="16"/>
        <v>0</v>
      </c>
      <c r="AB13" s="5">
        <f t="shared" si="17"/>
        <v>261</v>
      </c>
      <c r="AC13" s="5">
        <f t="shared" si="18"/>
        <v>671</v>
      </c>
      <c r="AD13" s="84">
        <f t="shared" si="31"/>
        <v>0</v>
      </c>
      <c r="AE13" s="5">
        <v>101.54</v>
      </c>
      <c r="AF13" s="84">
        <f t="shared" si="19"/>
        <v>2.7700000000000102</v>
      </c>
      <c r="AG13" s="5">
        <v>1287.42</v>
      </c>
      <c r="AH13" s="84">
        <f t="shared" si="20"/>
        <v>17.420000000000073</v>
      </c>
      <c r="AI13" s="84">
        <f t="shared" si="21"/>
        <v>20.190000000000083</v>
      </c>
      <c r="AJ13" s="342">
        <f t="shared" si="22"/>
        <v>0</v>
      </c>
      <c r="AK13" s="343">
        <f t="shared" si="5"/>
        <v>-1</v>
      </c>
      <c r="AL13" s="343">
        <f t="shared" si="23"/>
        <v>-1</v>
      </c>
      <c r="AM13" s="343">
        <f>'General information '!D13</f>
        <v>11.5</v>
      </c>
      <c r="AN13" s="85">
        <f>'General information '!H13</f>
        <v>0</v>
      </c>
      <c r="AO13" s="85"/>
      <c r="AP13" s="85">
        <f>'General information '!J13</f>
        <v>445</v>
      </c>
      <c r="AQ13" s="96"/>
      <c r="AR13" s="287">
        <f t="shared" si="24"/>
        <v>43869</v>
      </c>
      <c r="AS13" s="446">
        <f t="shared" si="6"/>
        <v>0.9</v>
      </c>
      <c r="AT13" s="205">
        <v>116</v>
      </c>
      <c r="AU13" s="447">
        <f t="shared" si="35"/>
        <v>1.1000000000000001</v>
      </c>
      <c r="AV13" s="205">
        <v>146</v>
      </c>
      <c r="AW13" s="5">
        <v>2.9</v>
      </c>
      <c r="AX13" s="205">
        <v>173</v>
      </c>
      <c r="AY13" s="450">
        <f t="shared" si="7"/>
        <v>104.4</v>
      </c>
      <c r="AZ13" s="450">
        <f t="shared" si="25"/>
        <v>160.60000000000002</v>
      </c>
      <c r="BA13" s="450">
        <f t="shared" si="26"/>
        <v>501.7</v>
      </c>
      <c r="BB13" s="21">
        <f t="shared" si="27"/>
        <v>-12.599999999999994</v>
      </c>
      <c r="BC13" s="21">
        <f t="shared" si="28"/>
        <v>-37.400000000000006</v>
      </c>
      <c r="BD13" s="21">
        <f t="shared" si="28"/>
        <v>-28.999999999999943</v>
      </c>
      <c r="BE13" s="24">
        <f t="shared" si="29"/>
        <v>-78.999999999999943</v>
      </c>
      <c r="BF13" s="97">
        <f t="shared" si="8"/>
        <v>78.999999999999943</v>
      </c>
      <c r="BG13" s="83">
        <f t="shared" si="9"/>
        <v>-78.999999999999943</v>
      </c>
    </row>
    <row r="14" spans="1:65" ht="15.75" thickBot="1">
      <c r="A14" s="6">
        <f>ELEC!C11</f>
        <v>43870</v>
      </c>
      <c r="B14" s="5">
        <f t="shared" si="32"/>
        <v>108441</v>
      </c>
      <c r="C14" s="5">
        <f t="shared" si="10"/>
        <v>0</v>
      </c>
      <c r="D14" s="441">
        <f t="shared" si="11"/>
        <v>0</v>
      </c>
      <c r="E14" s="349">
        <f>SUM((C14*$E$4)+(7500/'EDl log'!$A$36))</f>
        <v>258.62068965517244</v>
      </c>
      <c r="F14" s="440"/>
      <c r="G14" s="5">
        <f t="shared" si="33"/>
        <v>590459</v>
      </c>
      <c r="H14" s="5">
        <f t="shared" si="12"/>
        <v>0</v>
      </c>
      <c r="I14" s="5">
        <f t="shared" si="0"/>
        <v>0</v>
      </c>
      <c r="J14" s="350">
        <f t="shared" si="1"/>
        <v>0</v>
      </c>
      <c r="K14" s="5">
        <f>'Swimming Pool quality check '!H14</f>
        <v>5904</v>
      </c>
      <c r="L14" s="84">
        <f t="shared" si="34"/>
        <v>0</v>
      </c>
      <c r="M14" s="432">
        <f t="shared" si="13"/>
        <v>457.44</v>
      </c>
      <c r="N14" s="560">
        <f t="shared" ref="N14:N36" si="39">SUM(M14-M13)</f>
        <v>0</v>
      </c>
      <c r="O14" s="432">
        <f t="shared" si="13"/>
        <v>529.52</v>
      </c>
      <c r="P14" s="560">
        <f t="shared" ref="P14:P36" si="40">SUM(O14-O13)</f>
        <v>0</v>
      </c>
      <c r="Q14" s="560">
        <f t="shared" ref="Q14:Q36" si="41">SUM(P14+N14)</f>
        <v>0</v>
      </c>
      <c r="R14" s="560"/>
      <c r="S14" s="560"/>
      <c r="T14" s="5">
        <v>4564</v>
      </c>
      <c r="U14" s="5">
        <f t="shared" si="4"/>
        <v>8</v>
      </c>
      <c r="V14" s="5">
        <f t="shared" si="14"/>
        <v>374</v>
      </c>
      <c r="W14" s="340">
        <f t="shared" si="15"/>
        <v>0</v>
      </c>
      <c r="X14" s="5">
        <v>140947</v>
      </c>
      <c r="Y14" s="340">
        <f t="shared" si="30"/>
        <v>121</v>
      </c>
      <c r="Z14" s="5">
        <v>92350</v>
      </c>
      <c r="AA14" s="84">
        <f t="shared" si="16"/>
        <v>99</v>
      </c>
      <c r="AB14" s="5">
        <f t="shared" si="17"/>
        <v>261</v>
      </c>
      <c r="AC14" s="5">
        <f t="shared" si="18"/>
        <v>671</v>
      </c>
      <c r="AD14" s="84">
        <f t="shared" si="31"/>
        <v>0</v>
      </c>
      <c r="AE14" s="5">
        <v>101.54</v>
      </c>
      <c r="AF14" s="84">
        <f t="shared" si="19"/>
        <v>0</v>
      </c>
      <c r="AG14" s="5">
        <v>1288</v>
      </c>
      <c r="AH14" s="84">
        <f t="shared" si="20"/>
        <v>0.57999999999992724</v>
      </c>
      <c r="AI14" s="84">
        <f t="shared" si="21"/>
        <v>0.57999999999992724</v>
      </c>
      <c r="AJ14" s="342">
        <f t="shared" si="22"/>
        <v>99</v>
      </c>
      <c r="AK14" s="343">
        <f t="shared" si="5"/>
        <v>121</v>
      </c>
      <c r="AL14" s="343">
        <f t="shared" si="23"/>
        <v>99</v>
      </c>
      <c r="AM14" s="343">
        <f>'General information '!D14</f>
        <v>8.5</v>
      </c>
      <c r="AN14" s="85">
        <f>'General information '!H14</f>
        <v>0</v>
      </c>
      <c r="AO14" s="85"/>
      <c r="AP14" s="85">
        <f>'General information '!J14</f>
        <v>376</v>
      </c>
      <c r="AQ14" s="82"/>
      <c r="AR14" s="287">
        <f t="shared" si="24"/>
        <v>43870</v>
      </c>
      <c r="AS14" s="446">
        <f t="shared" si="6"/>
        <v>0.9</v>
      </c>
      <c r="AT14" s="205">
        <v>110</v>
      </c>
      <c r="AU14" s="447">
        <f t="shared" si="35"/>
        <v>1.1000000000000001</v>
      </c>
      <c r="AV14" s="205">
        <v>194</v>
      </c>
      <c r="AW14" s="5">
        <v>2.9</v>
      </c>
      <c r="AX14" s="205">
        <v>195</v>
      </c>
      <c r="AY14" s="450">
        <f t="shared" si="7"/>
        <v>99</v>
      </c>
      <c r="AZ14" s="450">
        <f t="shared" si="25"/>
        <v>213.4</v>
      </c>
      <c r="BA14" s="450">
        <f t="shared" si="26"/>
        <v>565.5</v>
      </c>
      <c r="BB14" s="21">
        <f t="shared" si="27"/>
        <v>-5.4000000000000057</v>
      </c>
      <c r="BC14" s="21">
        <f t="shared" si="28"/>
        <v>52.799999999999983</v>
      </c>
      <c r="BD14" s="21">
        <f t="shared" si="28"/>
        <v>63.800000000000011</v>
      </c>
      <c r="BE14" s="24">
        <f t="shared" si="29"/>
        <v>111.19999999999999</v>
      </c>
      <c r="BF14" s="97">
        <f t="shared" si="8"/>
        <v>-111.19999999999999</v>
      </c>
      <c r="BG14" s="83">
        <f t="shared" si="9"/>
        <v>111.19999999999999</v>
      </c>
    </row>
    <row r="15" spans="1:65" ht="16.5" customHeight="1" thickBot="1">
      <c r="A15" s="6">
        <f>ELEC!C12</f>
        <v>43871</v>
      </c>
      <c r="B15" s="5">
        <v>108441</v>
      </c>
      <c r="C15" s="5">
        <f t="shared" si="10"/>
        <v>0</v>
      </c>
      <c r="D15" s="441">
        <f t="shared" si="11"/>
        <v>0</v>
      </c>
      <c r="E15" s="349">
        <f>SUM((C15*$E$4)+(7500/'EDl log'!$A$36))</f>
        <v>258.62068965517244</v>
      </c>
      <c r="F15" s="440"/>
      <c r="G15" s="5">
        <v>590783</v>
      </c>
      <c r="H15" s="5">
        <f t="shared" si="12"/>
        <v>324</v>
      </c>
      <c r="I15" s="5">
        <f t="shared" si="0"/>
        <v>324</v>
      </c>
      <c r="J15" s="350">
        <f t="shared" si="1"/>
        <v>0.79821200510855694</v>
      </c>
      <c r="K15" s="5">
        <f>'Swimming Pool quality check '!H15</f>
        <v>5905</v>
      </c>
      <c r="L15" s="84">
        <f t="shared" si="34"/>
        <v>1</v>
      </c>
      <c r="M15" s="432">
        <f t="shared" si="13"/>
        <v>457.44</v>
      </c>
      <c r="N15" s="560">
        <f t="shared" si="39"/>
        <v>0</v>
      </c>
      <c r="O15" s="432">
        <f t="shared" si="13"/>
        <v>529.52</v>
      </c>
      <c r="P15" s="560">
        <f t="shared" si="40"/>
        <v>0</v>
      </c>
      <c r="Q15" s="560">
        <f t="shared" si="41"/>
        <v>0</v>
      </c>
      <c r="R15" s="560"/>
      <c r="S15" s="560"/>
      <c r="T15" s="5">
        <v>4571</v>
      </c>
      <c r="U15" s="5">
        <f t="shared" si="4"/>
        <v>7</v>
      </c>
      <c r="V15" s="5">
        <v>374</v>
      </c>
      <c r="W15" s="340">
        <f t="shared" si="15"/>
        <v>0</v>
      </c>
      <c r="X15" s="5">
        <v>140947</v>
      </c>
      <c r="Y15" s="340">
        <f t="shared" si="30"/>
        <v>0</v>
      </c>
      <c r="Z15" s="5">
        <v>92350</v>
      </c>
      <c r="AA15" s="84">
        <f t="shared" si="16"/>
        <v>0</v>
      </c>
      <c r="AB15" s="5">
        <f t="shared" si="17"/>
        <v>261</v>
      </c>
      <c r="AC15" s="5">
        <f t="shared" si="18"/>
        <v>671</v>
      </c>
      <c r="AD15" s="84">
        <f t="shared" si="31"/>
        <v>0</v>
      </c>
      <c r="AE15" s="5">
        <v>101.54</v>
      </c>
      <c r="AF15" s="84">
        <f t="shared" si="19"/>
        <v>0</v>
      </c>
      <c r="AG15" s="5">
        <v>1288.3</v>
      </c>
      <c r="AH15" s="84">
        <f t="shared" si="20"/>
        <v>0.29999999999995453</v>
      </c>
      <c r="AI15" s="84">
        <f t="shared" si="21"/>
        <v>0.29999999999995453</v>
      </c>
      <c r="AJ15" s="342">
        <f t="shared" si="22"/>
        <v>0</v>
      </c>
      <c r="AK15" s="343">
        <f t="shared" si="5"/>
        <v>-1</v>
      </c>
      <c r="AL15" s="343">
        <f t="shared" si="23"/>
        <v>0</v>
      </c>
      <c r="AM15" s="343">
        <f>'General information '!D15</f>
        <v>8.5</v>
      </c>
      <c r="AN15" s="85">
        <f>'General information '!H15</f>
        <v>0</v>
      </c>
      <c r="AO15" s="85"/>
      <c r="AP15" s="85">
        <f>'General information '!J15</f>
        <v>206</v>
      </c>
      <c r="AQ15" s="82"/>
      <c r="AR15" s="287">
        <f t="shared" si="24"/>
        <v>43871</v>
      </c>
      <c r="AS15" s="446">
        <f t="shared" si="6"/>
        <v>0.9</v>
      </c>
      <c r="AT15" s="205">
        <v>110</v>
      </c>
      <c r="AU15" s="447">
        <f t="shared" si="35"/>
        <v>1.1000000000000001</v>
      </c>
      <c r="AV15" s="205">
        <v>175</v>
      </c>
      <c r="AW15" s="5">
        <v>2.9</v>
      </c>
      <c r="AX15" s="205">
        <v>185</v>
      </c>
      <c r="AY15" s="450">
        <f t="shared" si="7"/>
        <v>99</v>
      </c>
      <c r="AZ15" s="450">
        <f t="shared" si="25"/>
        <v>192.50000000000003</v>
      </c>
      <c r="BA15" s="450">
        <f t="shared" si="26"/>
        <v>536.5</v>
      </c>
      <c r="BB15" s="21">
        <f t="shared" si="27"/>
        <v>0</v>
      </c>
      <c r="BC15" s="21">
        <f t="shared" si="28"/>
        <v>-20.899999999999977</v>
      </c>
      <c r="BD15" s="21">
        <f t="shared" si="28"/>
        <v>-29</v>
      </c>
      <c r="BE15" s="24">
        <f t="shared" si="29"/>
        <v>-49.899999999999977</v>
      </c>
      <c r="BF15" s="97">
        <f t="shared" si="8"/>
        <v>373.9</v>
      </c>
      <c r="BG15" s="83">
        <f t="shared" si="9"/>
        <v>-49.899999999999977</v>
      </c>
    </row>
    <row r="16" spans="1:65" ht="15.75" thickBot="1">
      <c r="A16" s="6">
        <f>ELEC!C13</f>
        <v>43872</v>
      </c>
      <c r="B16" s="5">
        <v>108441</v>
      </c>
      <c r="C16" s="5">
        <f t="shared" si="10"/>
        <v>0</v>
      </c>
      <c r="D16" s="441">
        <f t="shared" si="11"/>
        <v>0</v>
      </c>
      <c r="E16" s="349">
        <f>SUM((C16*$E$4)+(7500/'EDl log'!$A$36))</f>
        <v>258.62068965517244</v>
      </c>
      <c r="F16" s="440"/>
      <c r="G16" s="5">
        <v>590924</v>
      </c>
      <c r="H16" s="5">
        <f t="shared" si="12"/>
        <v>141</v>
      </c>
      <c r="I16" s="5">
        <f t="shared" si="0"/>
        <v>141</v>
      </c>
      <c r="J16" s="350">
        <f t="shared" si="1"/>
        <v>1.8341892883345563</v>
      </c>
      <c r="K16" s="5">
        <f>'Swimming Pool quality check '!H16</f>
        <v>5905</v>
      </c>
      <c r="L16" s="282">
        <f t="shared" si="34"/>
        <v>0</v>
      </c>
      <c r="M16" s="432">
        <f t="shared" si="13"/>
        <v>457.44</v>
      </c>
      <c r="N16" s="560">
        <f t="shared" si="39"/>
        <v>0</v>
      </c>
      <c r="O16" s="432">
        <f t="shared" si="13"/>
        <v>529.52</v>
      </c>
      <c r="P16" s="560">
        <f t="shared" si="40"/>
        <v>0</v>
      </c>
      <c r="Q16" s="560">
        <f t="shared" si="41"/>
        <v>0</v>
      </c>
      <c r="R16" s="562"/>
      <c r="S16" s="562"/>
      <c r="T16" s="5">
        <v>4576</v>
      </c>
      <c r="U16" s="5">
        <f t="shared" si="4"/>
        <v>5</v>
      </c>
      <c r="V16" s="5">
        <v>375</v>
      </c>
      <c r="W16" s="340">
        <f t="shared" si="15"/>
        <v>1</v>
      </c>
      <c r="X16" s="5">
        <v>140950</v>
      </c>
      <c r="Y16" s="340">
        <f t="shared" si="30"/>
        <v>3</v>
      </c>
      <c r="Z16" s="5">
        <v>92351</v>
      </c>
      <c r="AA16" s="84">
        <f t="shared" si="16"/>
        <v>1</v>
      </c>
      <c r="AB16" s="5">
        <v>261</v>
      </c>
      <c r="AC16" s="5">
        <f t="shared" si="18"/>
        <v>671</v>
      </c>
      <c r="AD16" s="84">
        <f t="shared" si="31"/>
        <v>0</v>
      </c>
      <c r="AE16" s="5">
        <v>101.54</v>
      </c>
      <c r="AF16" s="84">
        <f t="shared" si="19"/>
        <v>0</v>
      </c>
      <c r="AG16" s="5">
        <v>1288.58</v>
      </c>
      <c r="AH16" s="84">
        <f t="shared" si="20"/>
        <v>0.27999999999997272</v>
      </c>
      <c r="AI16" s="84">
        <f t="shared" si="21"/>
        <v>0.27999999999997272</v>
      </c>
      <c r="AJ16" s="342">
        <f t="shared" si="22"/>
        <v>1</v>
      </c>
      <c r="AK16" s="343">
        <f t="shared" si="5"/>
        <v>3</v>
      </c>
      <c r="AL16" s="343">
        <f t="shared" si="23"/>
        <v>0</v>
      </c>
      <c r="AM16" s="343">
        <f>'General information '!D16</f>
        <v>11</v>
      </c>
      <c r="AN16" s="85">
        <f>'General information '!H16</f>
        <v>0</v>
      </c>
      <c r="AO16" s="85"/>
      <c r="AP16" s="85">
        <f>'General information '!J16</f>
        <v>199</v>
      </c>
      <c r="AQ16" s="82"/>
      <c r="AR16" s="287">
        <f t="shared" si="24"/>
        <v>43872</v>
      </c>
      <c r="AS16" s="446">
        <f t="shared" si="6"/>
        <v>0.9</v>
      </c>
      <c r="AT16" s="205">
        <v>194</v>
      </c>
      <c r="AU16" s="447">
        <f t="shared" si="35"/>
        <v>1.1000000000000001</v>
      </c>
      <c r="AV16" s="205">
        <v>155</v>
      </c>
      <c r="AW16" s="5">
        <v>2.9</v>
      </c>
      <c r="AX16" s="205">
        <v>174</v>
      </c>
      <c r="AY16" s="450">
        <f t="shared" si="7"/>
        <v>174.6</v>
      </c>
      <c r="AZ16" s="450">
        <f t="shared" si="25"/>
        <v>170.5</v>
      </c>
      <c r="BA16" s="450">
        <f t="shared" si="26"/>
        <v>504.59999999999997</v>
      </c>
      <c r="BB16" s="21">
        <f t="shared" si="27"/>
        <v>75.599999999999994</v>
      </c>
      <c r="BC16" s="21">
        <f t="shared" si="28"/>
        <v>-22.000000000000028</v>
      </c>
      <c r="BD16" s="21">
        <f t="shared" si="28"/>
        <v>-31.900000000000034</v>
      </c>
      <c r="BE16" s="24">
        <f t="shared" si="29"/>
        <v>21.699999999999932</v>
      </c>
      <c r="BF16" s="97">
        <f t="shared" si="8"/>
        <v>119.30000000000007</v>
      </c>
      <c r="BG16" s="83">
        <f t="shared" si="9"/>
        <v>21.699999999999932</v>
      </c>
    </row>
    <row r="17" spans="1:61" ht="15.75" thickBot="1">
      <c r="A17" s="6">
        <f>ELEC!C14</f>
        <v>43873</v>
      </c>
      <c r="B17" s="5">
        <f t="shared" si="32"/>
        <v>108441</v>
      </c>
      <c r="C17" s="5">
        <f t="shared" si="10"/>
        <v>0</v>
      </c>
      <c r="D17" s="441">
        <f t="shared" si="11"/>
        <v>0</v>
      </c>
      <c r="E17" s="349">
        <f>SUM((C17*$E$4)+(7500/'EDl log'!$A$36))</f>
        <v>258.62068965517244</v>
      </c>
      <c r="F17" s="440"/>
      <c r="G17" s="5">
        <f t="shared" si="33"/>
        <v>590924</v>
      </c>
      <c r="H17" s="5">
        <f t="shared" si="12"/>
        <v>0</v>
      </c>
      <c r="I17" s="5">
        <f t="shared" si="0"/>
        <v>0</v>
      </c>
      <c r="J17" s="350">
        <f t="shared" si="1"/>
        <v>0</v>
      </c>
      <c r="K17" s="5">
        <f>'Swimming Pool quality check '!H17</f>
        <v>5905</v>
      </c>
      <c r="L17" s="84">
        <f t="shared" si="34"/>
        <v>0</v>
      </c>
      <c r="M17" s="432">
        <f t="shared" si="13"/>
        <v>457.44</v>
      </c>
      <c r="N17" s="560">
        <f t="shared" si="39"/>
        <v>0</v>
      </c>
      <c r="O17" s="432">
        <f t="shared" si="13"/>
        <v>529.52</v>
      </c>
      <c r="P17" s="560">
        <f t="shared" si="40"/>
        <v>0</v>
      </c>
      <c r="Q17" s="560">
        <f t="shared" si="41"/>
        <v>0</v>
      </c>
      <c r="R17" s="560"/>
      <c r="S17" s="560"/>
      <c r="T17" s="5">
        <v>4580</v>
      </c>
      <c r="U17" s="5">
        <f t="shared" si="4"/>
        <v>4</v>
      </c>
      <c r="V17" s="5">
        <f t="shared" si="14"/>
        <v>375</v>
      </c>
      <c r="W17" s="340">
        <f t="shared" si="15"/>
        <v>0</v>
      </c>
      <c r="X17" s="5">
        <f t="shared" si="37"/>
        <v>140950</v>
      </c>
      <c r="Y17" s="340">
        <f t="shared" si="30"/>
        <v>0</v>
      </c>
      <c r="Z17" s="5">
        <f t="shared" si="38"/>
        <v>92351</v>
      </c>
      <c r="AA17" s="84">
        <f t="shared" si="16"/>
        <v>0</v>
      </c>
      <c r="AB17" s="5">
        <f t="shared" si="17"/>
        <v>261</v>
      </c>
      <c r="AC17" s="5">
        <f t="shared" si="18"/>
        <v>671</v>
      </c>
      <c r="AD17" s="84">
        <f t="shared" si="31"/>
        <v>0</v>
      </c>
      <c r="AE17" s="5">
        <v>105.45</v>
      </c>
      <c r="AF17" s="84">
        <f t="shared" si="19"/>
        <v>3.9099999999999966</v>
      </c>
      <c r="AG17" s="5">
        <v>1313.82</v>
      </c>
      <c r="AH17" s="84">
        <f t="shared" si="20"/>
        <v>25.240000000000009</v>
      </c>
      <c r="AI17" s="84">
        <f t="shared" si="21"/>
        <v>29.150000000000006</v>
      </c>
      <c r="AJ17" s="342">
        <f t="shared" si="22"/>
        <v>0</v>
      </c>
      <c r="AK17" s="343">
        <f t="shared" si="5"/>
        <v>0</v>
      </c>
      <c r="AL17" s="343">
        <f t="shared" si="23"/>
        <v>0</v>
      </c>
      <c r="AM17" s="343">
        <f>'General information '!D17</f>
        <v>14.5</v>
      </c>
      <c r="AN17" s="85">
        <f>'General information '!H17</f>
        <v>0</v>
      </c>
      <c r="AO17" s="85"/>
      <c r="AP17" s="85">
        <f>'General information '!J17</f>
        <v>136</v>
      </c>
      <c r="AQ17" s="96"/>
      <c r="AR17" s="287">
        <f t="shared" si="24"/>
        <v>43873</v>
      </c>
      <c r="AS17" s="446">
        <f t="shared" si="6"/>
        <v>0.9</v>
      </c>
      <c r="AT17" s="205">
        <f t="shared" si="6"/>
        <v>194</v>
      </c>
      <c r="AU17" s="447">
        <f t="shared" si="35"/>
        <v>1.1000000000000001</v>
      </c>
      <c r="AV17" s="205">
        <v>115</v>
      </c>
      <c r="AW17" s="5">
        <v>2.9</v>
      </c>
      <c r="AX17" s="205">
        <v>170</v>
      </c>
      <c r="AY17" s="450">
        <f t="shared" si="7"/>
        <v>174.6</v>
      </c>
      <c r="AZ17" s="450">
        <f t="shared" si="25"/>
        <v>126.50000000000001</v>
      </c>
      <c r="BA17" s="450">
        <f t="shared" si="26"/>
        <v>493</v>
      </c>
      <c r="BB17" s="21">
        <f t="shared" si="27"/>
        <v>0</v>
      </c>
      <c r="BC17" s="21">
        <f t="shared" si="28"/>
        <v>-43.999999999999986</v>
      </c>
      <c r="BD17" s="21">
        <f t="shared" si="28"/>
        <v>-11.599999999999966</v>
      </c>
      <c r="BE17" s="24">
        <f t="shared" si="29"/>
        <v>-55.599999999999952</v>
      </c>
      <c r="BF17" s="97">
        <f t="shared" si="8"/>
        <v>55.599999999999952</v>
      </c>
      <c r="BG17" s="83">
        <f t="shared" si="9"/>
        <v>-55.599999999999952</v>
      </c>
    </row>
    <row r="18" spans="1:61" ht="15.75" thickBot="1">
      <c r="A18" s="6">
        <f>ELEC!C15</f>
        <v>43874</v>
      </c>
      <c r="B18" s="5">
        <v>108441</v>
      </c>
      <c r="C18" s="5">
        <f t="shared" si="10"/>
        <v>0</v>
      </c>
      <c r="D18" s="441">
        <f t="shared" si="11"/>
        <v>0</v>
      </c>
      <c r="E18" s="349">
        <f>SUM((C18*$E$4)+(7500/'EDl log'!$A$36))</f>
        <v>258.62068965517244</v>
      </c>
      <c r="F18" s="440"/>
      <c r="G18" s="5">
        <v>590924</v>
      </c>
      <c r="H18" s="5">
        <f t="shared" si="12"/>
        <v>0</v>
      </c>
      <c r="I18" s="5">
        <f t="shared" si="0"/>
        <v>0</v>
      </c>
      <c r="J18" s="350">
        <f t="shared" si="1"/>
        <v>0</v>
      </c>
      <c r="K18" s="5">
        <f>'Swimming Pool quality check '!H18</f>
        <v>5907</v>
      </c>
      <c r="L18" s="84">
        <f t="shared" si="34"/>
        <v>2</v>
      </c>
      <c r="M18" s="432">
        <f t="shared" si="13"/>
        <v>457.44</v>
      </c>
      <c r="N18" s="560">
        <f t="shared" si="39"/>
        <v>0</v>
      </c>
      <c r="O18" s="432">
        <f t="shared" si="13"/>
        <v>529.52</v>
      </c>
      <c r="P18" s="560">
        <f t="shared" si="40"/>
        <v>0</v>
      </c>
      <c r="Q18" s="560">
        <f t="shared" si="41"/>
        <v>0</v>
      </c>
      <c r="R18" s="560"/>
      <c r="S18" s="560"/>
      <c r="T18" s="5">
        <v>4584</v>
      </c>
      <c r="U18" s="5">
        <f t="shared" si="4"/>
        <v>4</v>
      </c>
      <c r="V18" s="5">
        <v>380</v>
      </c>
      <c r="W18" s="340">
        <f t="shared" si="15"/>
        <v>5</v>
      </c>
      <c r="X18" s="5">
        <v>140950</v>
      </c>
      <c r="Y18" s="340">
        <f t="shared" si="30"/>
        <v>0</v>
      </c>
      <c r="Z18" s="5">
        <v>92351</v>
      </c>
      <c r="AA18" s="84">
        <f t="shared" si="16"/>
        <v>0</v>
      </c>
      <c r="AB18" s="5">
        <f t="shared" si="17"/>
        <v>261</v>
      </c>
      <c r="AC18" s="5">
        <f t="shared" si="18"/>
        <v>671</v>
      </c>
      <c r="AD18" s="84">
        <f t="shared" si="31"/>
        <v>0</v>
      </c>
      <c r="AE18" s="5">
        <v>105.47</v>
      </c>
      <c r="AF18" s="84">
        <f t="shared" si="19"/>
        <v>1.9999999999996021E-2</v>
      </c>
      <c r="AG18" s="5">
        <v>1314.29</v>
      </c>
      <c r="AH18" s="84">
        <f t="shared" si="20"/>
        <v>0.47000000000002728</v>
      </c>
      <c r="AI18" s="84">
        <f t="shared" si="21"/>
        <v>0.49000000000002331</v>
      </c>
      <c r="AJ18" s="342">
        <f t="shared" si="22"/>
        <v>0</v>
      </c>
      <c r="AK18" s="343">
        <f t="shared" si="5"/>
        <v>-2</v>
      </c>
      <c r="AL18" s="343">
        <f t="shared" si="23"/>
        <v>-5</v>
      </c>
      <c r="AM18" s="343">
        <f>'General information '!D18</f>
        <v>15.5</v>
      </c>
      <c r="AN18" s="85">
        <f>'General information '!H18</f>
        <v>0</v>
      </c>
      <c r="AO18" s="85"/>
      <c r="AP18" s="85">
        <f>'General information '!J18</f>
        <v>284</v>
      </c>
      <c r="AQ18" s="96"/>
      <c r="AR18" s="287">
        <f t="shared" si="24"/>
        <v>43874</v>
      </c>
      <c r="AS18" s="446">
        <f t="shared" si="6"/>
        <v>0.9</v>
      </c>
      <c r="AT18" s="205">
        <v>182</v>
      </c>
      <c r="AU18" s="447">
        <f t="shared" si="35"/>
        <v>1.1000000000000001</v>
      </c>
      <c r="AV18" s="205">
        <v>95</v>
      </c>
      <c r="AW18" s="5">
        <v>2.9</v>
      </c>
      <c r="AX18" s="205">
        <v>158</v>
      </c>
      <c r="AY18" s="450">
        <f t="shared" si="7"/>
        <v>163.80000000000001</v>
      </c>
      <c r="AZ18" s="450">
        <f t="shared" si="25"/>
        <v>104.50000000000001</v>
      </c>
      <c r="BA18" s="450">
        <f t="shared" si="26"/>
        <v>458.2</v>
      </c>
      <c r="BB18" s="21">
        <f t="shared" si="27"/>
        <v>-10.799999999999983</v>
      </c>
      <c r="BC18" s="21">
        <f t="shared" si="28"/>
        <v>-22</v>
      </c>
      <c r="BD18" s="21">
        <f t="shared" si="28"/>
        <v>-34.800000000000011</v>
      </c>
      <c r="BE18" s="24">
        <f t="shared" si="29"/>
        <v>-67.599999999999994</v>
      </c>
      <c r="BF18" s="97">
        <f t="shared" si="8"/>
        <v>67.599999999999994</v>
      </c>
      <c r="BG18" s="83">
        <f t="shared" si="9"/>
        <v>-67.599999999999994</v>
      </c>
    </row>
    <row r="19" spans="1:61" ht="15.75" thickBot="1">
      <c r="A19" s="6">
        <f>ELEC!C16</f>
        <v>43875</v>
      </c>
      <c r="B19" s="5">
        <f t="shared" si="32"/>
        <v>108441</v>
      </c>
      <c r="C19" s="5">
        <f t="shared" si="10"/>
        <v>0</v>
      </c>
      <c r="D19" s="441">
        <f t="shared" si="11"/>
        <v>0</v>
      </c>
      <c r="E19" s="349">
        <f>SUM((C19*$E$4)+(7500/'EDl log'!$A$36))</f>
        <v>258.62068965517244</v>
      </c>
      <c r="F19" s="440"/>
      <c r="G19" s="5">
        <f t="shared" si="33"/>
        <v>590924</v>
      </c>
      <c r="H19" s="5">
        <f t="shared" si="12"/>
        <v>0</v>
      </c>
      <c r="I19" s="5">
        <f t="shared" si="0"/>
        <v>0</v>
      </c>
      <c r="J19" s="350">
        <f t="shared" si="1"/>
        <v>0</v>
      </c>
      <c r="K19" s="5">
        <f>'Swimming Pool quality check '!H19</f>
        <v>5907</v>
      </c>
      <c r="L19" s="84">
        <f t="shared" si="34"/>
        <v>0</v>
      </c>
      <c r="M19" s="432">
        <f t="shared" si="13"/>
        <v>457.44</v>
      </c>
      <c r="N19" s="560">
        <f t="shared" si="39"/>
        <v>0</v>
      </c>
      <c r="O19" s="432">
        <f t="shared" si="13"/>
        <v>529.52</v>
      </c>
      <c r="P19" s="560">
        <f t="shared" si="40"/>
        <v>0</v>
      </c>
      <c r="Q19" s="560">
        <f t="shared" si="41"/>
        <v>0</v>
      </c>
      <c r="R19" s="560"/>
      <c r="S19" s="560"/>
      <c r="T19" s="5">
        <v>4589</v>
      </c>
      <c r="U19" s="5">
        <f t="shared" si="4"/>
        <v>5</v>
      </c>
      <c r="V19" s="5">
        <v>383</v>
      </c>
      <c r="W19" s="340">
        <f t="shared" si="15"/>
        <v>3</v>
      </c>
      <c r="X19" s="5">
        <v>140950</v>
      </c>
      <c r="Y19" s="340">
        <f t="shared" si="30"/>
        <v>0</v>
      </c>
      <c r="Z19" s="5">
        <v>92352</v>
      </c>
      <c r="AA19" s="84">
        <f t="shared" si="16"/>
        <v>1</v>
      </c>
      <c r="AB19" s="5">
        <f t="shared" si="17"/>
        <v>261</v>
      </c>
      <c r="AC19" s="5">
        <f t="shared" si="18"/>
        <v>671</v>
      </c>
      <c r="AD19" s="84">
        <f t="shared" si="31"/>
        <v>0</v>
      </c>
      <c r="AE19" s="5">
        <v>106.94</v>
      </c>
      <c r="AF19" s="84">
        <f t="shared" si="19"/>
        <v>1.4699999999999989</v>
      </c>
      <c r="AG19" s="5">
        <v>1320.43</v>
      </c>
      <c r="AH19" s="84">
        <f t="shared" si="20"/>
        <v>6.1400000000001</v>
      </c>
      <c r="AI19" s="84">
        <f t="shared" si="21"/>
        <v>7.6100000000000989</v>
      </c>
      <c r="AJ19" s="342">
        <f t="shared" si="22"/>
        <v>1</v>
      </c>
      <c r="AK19" s="343">
        <f t="shared" si="5"/>
        <v>0</v>
      </c>
      <c r="AL19" s="343">
        <f t="shared" si="23"/>
        <v>-2</v>
      </c>
      <c r="AM19" s="343">
        <f>'General information '!D19</f>
        <v>14</v>
      </c>
      <c r="AN19" s="85">
        <f>'General information '!H19</f>
        <v>0</v>
      </c>
      <c r="AO19" s="85"/>
      <c r="AP19" s="85">
        <f>'General information '!J19</f>
        <v>477</v>
      </c>
      <c r="AQ19" s="82"/>
      <c r="AR19" s="287">
        <f t="shared" si="24"/>
        <v>43875</v>
      </c>
      <c r="AS19" s="446">
        <f t="shared" si="6"/>
        <v>0.9</v>
      </c>
      <c r="AT19" s="205">
        <v>181</v>
      </c>
      <c r="AU19" s="447">
        <f t="shared" si="35"/>
        <v>1.1000000000000001</v>
      </c>
      <c r="AV19" s="205">
        <v>66</v>
      </c>
      <c r="AW19" s="5">
        <v>2.9</v>
      </c>
      <c r="AX19" s="205">
        <v>141</v>
      </c>
      <c r="AY19" s="450">
        <f t="shared" si="7"/>
        <v>162.9</v>
      </c>
      <c r="AZ19" s="450">
        <f t="shared" si="25"/>
        <v>72.600000000000009</v>
      </c>
      <c r="BA19" s="450">
        <f t="shared" si="26"/>
        <v>408.9</v>
      </c>
      <c r="BB19" s="21">
        <f t="shared" si="27"/>
        <v>-0.90000000000000568</v>
      </c>
      <c r="BC19" s="21">
        <f t="shared" si="28"/>
        <v>-31.900000000000006</v>
      </c>
      <c r="BD19" s="21">
        <f t="shared" si="28"/>
        <v>-49.300000000000011</v>
      </c>
      <c r="BE19" s="24">
        <f t="shared" si="29"/>
        <v>-82.100000000000023</v>
      </c>
      <c r="BF19" s="97">
        <f t="shared" si="8"/>
        <v>82.100000000000023</v>
      </c>
      <c r="BG19" s="83">
        <f t="shared" si="9"/>
        <v>-82.100000000000023</v>
      </c>
    </row>
    <row r="20" spans="1:61" ht="15.75" thickBot="1">
      <c r="A20" s="6">
        <f>ELEC!C17</f>
        <v>43876</v>
      </c>
      <c r="B20" s="5">
        <f t="shared" si="32"/>
        <v>108441</v>
      </c>
      <c r="C20" s="5">
        <f t="shared" si="10"/>
        <v>0</v>
      </c>
      <c r="D20" s="441">
        <f t="shared" si="11"/>
        <v>0</v>
      </c>
      <c r="E20" s="349">
        <f>SUM((C20*$E$4)+(7500/'EDl log'!$A$36))</f>
        <v>258.62068965517244</v>
      </c>
      <c r="F20" s="440"/>
      <c r="G20" s="5">
        <f t="shared" si="33"/>
        <v>590924</v>
      </c>
      <c r="H20" s="5">
        <f t="shared" si="12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5908</v>
      </c>
      <c r="L20" s="84">
        <f t="shared" si="34"/>
        <v>1</v>
      </c>
      <c r="M20" s="432">
        <f t="shared" si="13"/>
        <v>457.44</v>
      </c>
      <c r="N20" s="560">
        <f t="shared" si="39"/>
        <v>0</v>
      </c>
      <c r="O20" s="432">
        <f t="shared" si="13"/>
        <v>529.52</v>
      </c>
      <c r="P20" s="560">
        <f t="shared" si="40"/>
        <v>0</v>
      </c>
      <c r="Q20" s="560">
        <f t="shared" si="41"/>
        <v>0</v>
      </c>
      <c r="R20" s="560"/>
      <c r="S20" s="560"/>
      <c r="T20" s="5">
        <v>4594</v>
      </c>
      <c r="U20" s="5">
        <f t="shared" si="4"/>
        <v>5</v>
      </c>
      <c r="V20" s="5">
        <f t="shared" si="14"/>
        <v>383</v>
      </c>
      <c r="W20" s="340">
        <f t="shared" si="15"/>
        <v>0</v>
      </c>
      <c r="X20" s="5">
        <f t="shared" si="37"/>
        <v>140950</v>
      </c>
      <c r="Y20" s="340">
        <f t="shared" si="30"/>
        <v>0</v>
      </c>
      <c r="Z20" s="5">
        <f t="shared" si="38"/>
        <v>92352</v>
      </c>
      <c r="AA20" s="84">
        <f t="shared" si="16"/>
        <v>0</v>
      </c>
      <c r="AB20" s="5">
        <f t="shared" si="17"/>
        <v>261</v>
      </c>
      <c r="AC20" s="5">
        <f t="shared" si="18"/>
        <v>671</v>
      </c>
      <c r="AD20" s="84">
        <f t="shared" si="31"/>
        <v>0</v>
      </c>
      <c r="AE20" s="5">
        <v>109.33</v>
      </c>
      <c r="AF20" s="84">
        <f t="shared" si="19"/>
        <v>2.3900000000000006</v>
      </c>
      <c r="AG20" s="5">
        <v>1342.7</v>
      </c>
      <c r="AH20" s="84">
        <f t="shared" si="20"/>
        <v>22.269999999999982</v>
      </c>
      <c r="AI20" s="84">
        <f t="shared" si="21"/>
        <v>24.659999999999982</v>
      </c>
      <c r="AJ20" s="342">
        <f t="shared" si="22"/>
        <v>0</v>
      </c>
      <c r="AK20" s="343">
        <f t="shared" si="5"/>
        <v>-1</v>
      </c>
      <c r="AL20" s="343">
        <f t="shared" si="23"/>
        <v>0</v>
      </c>
      <c r="AM20" s="343">
        <f>'General information '!D20</f>
        <v>14.5</v>
      </c>
      <c r="AN20" s="85">
        <f>'General information '!H20</f>
        <v>0</v>
      </c>
      <c r="AO20" s="85"/>
      <c r="AP20" s="85">
        <f>'General information '!J20</f>
        <v>396</v>
      </c>
      <c r="AQ20" s="82"/>
      <c r="AR20" s="287">
        <f t="shared" si="24"/>
        <v>43876</v>
      </c>
      <c r="AS20" s="446">
        <f t="shared" si="6"/>
        <v>0.9</v>
      </c>
      <c r="AT20" s="205">
        <v>159</v>
      </c>
      <c r="AU20" s="447">
        <f t="shared" si="35"/>
        <v>1.1000000000000001</v>
      </c>
      <c r="AV20" s="205">
        <v>58</v>
      </c>
      <c r="AW20" s="5">
        <v>2.9</v>
      </c>
      <c r="AX20" s="205">
        <v>128</v>
      </c>
      <c r="AY20" s="450">
        <f t="shared" si="7"/>
        <v>143.1</v>
      </c>
      <c r="AZ20" s="450">
        <f t="shared" si="25"/>
        <v>63.800000000000004</v>
      </c>
      <c r="BA20" s="450">
        <f t="shared" si="26"/>
        <v>371.2</v>
      </c>
      <c r="BB20" s="21">
        <f t="shared" si="27"/>
        <v>-19.800000000000011</v>
      </c>
      <c r="BC20" s="21">
        <f t="shared" si="28"/>
        <v>-8.8000000000000043</v>
      </c>
      <c r="BD20" s="21">
        <f t="shared" si="28"/>
        <v>-37.699999999999989</v>
      </c>
      <c r="BE20" s="24">
        <f t="shared" si="29"/>
        <v>-66.300000000000011</v>
      </c>
      <c r="BF20" s="97">
        <f t="shared" si="8"/>
        <v>66.300000000000011</v>
      </c>
      <c r="BG20" s="83">
        <f t="shared" si="9"/>
        <v>-66.300000000000011</v>
      </c>
    </row>
    <row r="21" spans="1:61" ht="15.75" thickBot="1">
      <c r="A21" s="6">
        <f>ELEC!C18</f>
        <v>43877</v>
      </c>
      <c r="B21" s="5">
        <f t="shared" si="32"/>
        <v>108441</v>
      </c>
      <c r="C21" s="5">
        <f t="shared" si="10"/>
        <v>0</v>
      </c>
      <c r="D21" s="441">
        <f t="shared" si="11"/>
        <v>0</v>
      </c>
      <c r="E21" s="349">
        <f>SUM((C21*$E$4)+(7500/'EDl log'!$A$36))</f>
        <v>258.62068965517244</v>
      </c>
      <c r="F21" s="343"/>
      <c r="G21" s="5">
        <f t="shared" si="33"/>
        <v>590924</v>
      </c>
      <c r="H21" s="5">
        <f t="shared" si="12"/>
        <v>0</v>
      </c>
      <c r="I21" s="5">
        <f t="shared" si="0"/>
        <v>0</v>
      </c>
      <c r="J21" s="350">
        <f t="shared" si="1"/>
        <v>0</v>
      </c>
      <c r="K21" s="5">
        <f>'Swimming Pool quality check '!H21</f>
        <v>5909</v>
      </c>
      <c r="L21" s="84">
        <f t="shared" si="34"/>
        <v>1</v>
      </c>
      <c r="M21" s="432">
        <f t="shared" si="13"/>
        <v>457.44</v>
      </c>
      <c r="N21" s="560">
        <f t="shared" si="39"/>
        <v>0</v>
      </c>
      <c r="O21" s="432">
        <f t="shared" si="13"/>
        <v>529.52</v>
      </c>
      <c r="P21" s="560">
        <f t="shared" si="40"/>
        <v>0</v>
      </c>
      <c r="Q21" s="560">
        <f t="shared" si="41"/>
        <v>0</v>
      </c>
      <c r="R21" s="560"/>
      <c r="S21" s="560"/>
      <c r="T21" s="5">
        <v>4599</v>
      </c>
      <c r="U21" s="5">
        <f t="shared" si="4"/>
        <v>5</v>
      </c>
      <c r="V21" s="5">
        <v>383</v>
      </c>
      <c r="W21" s="340">
        <f t="shared" si="15"/>
        <v>0</v>
      </c>
      <c r="X21" s="5">
        <v>140950</v>
      </c>
      <c r="Y21" s="340">
        <f>SUM(X21-X20)</f>
        <v>0</v>
      </c>
      <c r="Z21" s="5">
        <v>92417</v>
      </c>
      <c r="AA21" s="84">
        <f t="shared" si="16"/>
        <v>65</v>
      </c>
      <c r="AB21" s="5">
        <f t="shared" si="17"/>
        <v>261</v>
      </c>
      <c r="AC21" s="5">
        <f t="shared" si="18"/>
        <v>671</v>
      </c>
      <c r="AD21" s="84">
        <f t="shared" si="31"/>
        <v>0</v>
      </c>
      <c r="AE21" s="5">
        <f t="shared" si="36"/>
        <v>109.33</v>
      </c>
      <c r="AF21" s="84">
        <f t="shared" si="19"/>
        <v>0</v>
      </c>
      <c r="AG21" s="5">
        <v>1343.06</v>
      </c>
      <c r="AH21" s="84">
        <f t="shared" si="20"/>
        <v>0.35999999999989996</v>
      </c>
      <c r="AI21" s="84">
        <f t="shared" si="21"/>
        <v>0.35999999999989996</v>
      </c>
      <c r="AJ21" s="342">
        <f t="shared" si="22"/>
        <v>65</v>
      </c>
      <c r="AK21" s="343">
        <f t="shared" si="5"/>
        <v>-1</v>
      </c>
      <c r="AL21" s="343">
        <f t="shared" si="23"/>
        <v>65</v>
      </c>
      <c r="AM21" s="343">
        <f>'General information '!D21</f>
        <v>14</v>
      </c>
      <c r="AN21" s="85">
        <f>'General information '!H21</f>
        <v>0</v>
      </c>
      <c r="AO21" s="85"/>
      <c r="AP21" s="85">
        <f>'General information '!J21</f>
        <v>305</v>
      </c>
      <c r="AQ21" s="82"/>
      <c r="AR21" s="287">
        <f t="shared" si="24"/>
        <v>43877</v>
      </c>
      <c r="AS21" s="446">
        <f t="shared" si="6"/>
        <v>0.9</v>
      </c>
      <c r="AT21" s="205">
        <v>126</v>
      </c>
      <c r="AU21" s="447">
        <f t="shared" si="35"/>
        <v>1.1000000000000001</v>
      </c>
      <c r="AV21" s="205">
        <v>54</v>
      </c>
      <c r="AW21" s="5">
        <v>2.9</v>
      </c>
      <c r="AX21" s="205">
        <v>117</v>
      </c>
      <c r="AY21" s="450">
        <f t="shared" si="7"/>
        <v>113.4</v>
      </c>
      <c r="AZ21" s="450">
        <f t="shared" si="25"/>
        <v>59.400000000000006</v>
      </c>
      <c r="BA21" s="450">
        <f t="shared" si="26"/>
        <v>339.3</v>
      </c>
      <c r="BB21" s="21">
        <f t="shared" si="27"/>
        <v>-29.699999999999989</v>
      </c>
      <c r="BC21" s="21">
        <f t="shared" si="28"/>
        <v>-4.3999999999999986</v>
      </c>
      <c r="BD21" s="21">
        <f t="shared" si="28"/>
        <v>-31.899999999999977</v>
      </c>
      <c r="BE21" s="24">
        <f t="shared" si="29"/>
        <v>-65.999999999999972</v>
      </c>
      <c r="BF21" s="97">
        <f t="shared" si="8"/>
        <v>65.999999999999972</v>
      </c>
      <c r="BG21" s="83">
        <f t="shared" si="9"/>
        <v>-65.999999999999972</v>
      </c>
    </row>
    <row r="22" spans="1:61" ht="15.75" thickBot="1">
      <c r="A22" s="6">
        <f>ELEC!C19</f>
        <v>43878</v>
      </c>
      <c r="B22" s="5">
        <v>108473</v>
      </c>
      <c r="C22" s="5">
        <f t="shared" si="10"/>
        <v>32</v>
      </c>
      <c r="D22" s="441">
        <f t="shared" si="11"/>
        <v>1.1851851851851851</v>
      </c>
      <c r="E22" s="349">
        <f>SUM((C22*$E$4)+(7500/'EDl log'!$A$36))</f>
        <v>311.74068965517245</v>
      </c>
      <c r="F22" s="343"/>
      <c r="G22" s="5">
        <v>591131</v>
      </c>
      <c r="H22" s="5">
        <f t="shared" si="12"/>
        <v>207</v>
      </c>
      <c r="I22" s="5">
        <f t="shared" si="0"/>
        <v>239</v>
      </c>
      <c r="J22" s="350">
        <f t="shared" si="1"/>
        <v>1.3043543500216421</v>
      </c>
      <c r="K22" s="5">
        <f>'Swimming Pool quality check '!H22</f>
        <v>5909</v>
      </c>
      <c r="L22" s="84">
        <f t="shared" si="34"/>
        <v>0</v>
      </c>
      <c r="M22" s="432">
        <f t="shared" si="13"/>
        <v>457.44</v>
      </c>
      <c r="N22" s="560">
        <f t="shared" si="39"/>
        <v>0</v>
      </c>
      <c r="O22" s="432">
        <f t="shared" si="13"/>
        <v>529.52</v>
      </c>
      <c r="P22" s="560">
        <f t="shared" si="40"/>
        <v>0</v>
      </c>
      <c r="Q22" s="560">
        <f t="shared" si="41"/>
        <v>0</v>
      </c>
      <c r="R22" s="560"/>
      <c r="S22" s="560"/>
      <c r="T22" s="5">
        <v>4604</v>
      </c>
      <c r="U22" s="5">
        <f t="shared" si="4"/>
        <v>5</v>
      </c>
      <c r="V22" s="5">
        <v>383</v>
      </c>
      <c r="W22" s="340">
        <f t="shared" si="15"/>
        <v>0</v>
      </c>
      <c r="X22" s="5">
        <v>140950</v>
      </c>
      <c r="Y22" s="340">
        <f t="shared" si="30"/>
        <v>0</v>
      </c>
      <c r="Z22" s="5">
        <v>92452</v>
      </c>
      <c r="AA22" s="84">
        <f t="shared" si="16"/>
        <v>35</v>
      </c>
      <c r="AB22" s="5">
        <v>261</v>
      </c>
      <c r="AC22" s="5">
        <f t="shared" si="18"/>
        <v>671</v>
      </c>
      <c r="AD22" s="84">
        <f t="shared" si="31"/>
        <v>0</v>
      </c>
      <c r="AE22" s="5">
        <v>109.33</v>
      </c>
      <c r="AF22" s="84">
        <f t="shared" si="19"/>
        <v>0</v>
      </c>
      <c r="AG22" s="5">
        <v>1343.38</v>
      </c>
      <c r="AH22" s="84">
        <f t="shared" si="20"/>
        <v>0.32000000000016371</v>
      </c>
      <c r="AI22" s="84">
        <f t="shared" si="21"/>
        <v>0.32000000000016371</v>
      </c>
      <c r="AJ22" s="342">
        <f t="shared" si="22"/>
        <v>35</v>
      </c>
      <c r="AK22" s="343">
        <f t="shared" si="5"/>
        <v>0</v>
      </c>
      <c r="AL22" s="343">
        <f t="shared" si="23"/>
        <v>35</v>
      </c>
      <c r="AM22" s="343">
        <f>'General information '!D22</f>
        <v>14</v>
      </c>
      <c r="AN22" s="85">
        <f>'General information '!H22</f>
        <v>0</v>
      </c>
      <c r="AO22" s="85"/>
      <c r="AP22" s="85">
        <f>'General information '!J22</f>
        <v>178</v>
      </c>
      <c r="AR22" s="287">
        <f t="shared" si="24"/>
        <v>43878</v>
      </c>
      <c r="AS22" s="446">
        <f t="shared" ref="AS22:AT36" si="42">AS21</f>
        <v>0.9</v>
      </c>
      <c r="AT22" s="205">
        <v>180</v>
      </c>
      <c r="AU22" s="447">
        <f t="shared" si="35"/>
        <v>1.1000000000000001</v>
      </c>
      <c r="AV22" s="205">
        <v>62</v>
      </c>
      <c r="AW22" s="5">
        <v>2.9</v>
      </c>
      <c r="AX22" s="205">
        <v>108</v>
      </c>
      <c r="AY22" s="450">
        <f t="shared" si="7"/>
        <v>162</v>
      </c>
      <c r="AZ22" s="450">
        <f t="shared" si="25"/>
        <v>68.2</v>
      </c>
      <c r="BA22" s="450">
        <f t="shared" si="26"/>
        <v>313.2</v>
      </c>
      <c r="BB22" s="21">
        <f t="shared" si="27"/>
        <v>48.599999999999994</v>
      </c>
      <c r="BC22" s="21">
        <f t="shared" si="27"/>
        <v>8.7999999999999972</v>
      </c>
      <c r="BD22" s="21">
        <f t="shared" si="27"/>
        <v>-26.100000000000023</v>
      </c>
      <c r="BE22" s="24">
        <f t="shared" si="29"/>
        <v>31.299999999999969</v>
      </c>
      <c r="BF22" s="97">
        <f t="shared" si="8"/>
        <v>207.70000000000005</v>
      </c>
      <c r="BG22" s="83">
        <f t="shared" si="9"/>
        <v>31.299999999999955</v>
      </c>
    </row>
    <row r="23" spans="1:61" ht="15.75" thickBot="1">
      <c r="A23" s="6">
        <f>ELEC!C20</f>
        <v>43879</v>
      </c>
      <c r="B23" s="5">
        <v>108473</v>
      </c>
      <c r="C23" s="5">
        <f t="shared" si="10"/>
        <v>0</v>
      </c>
      <c r="D23" s="441">
        <f t="shared" si="11"/>
        <v>0</v>
      </c>
      <c r="E23" s="349">
        <f>SUM((C23*$E$4)+(7500/'EDl log'!$A$36))</f>
        <v>258.62068965517244</v>
      </c>
      <c r="F23" s="343"/>
      <c r="G23" s="5">
        <v>591131</v>
      </c>
      <c r="H23" s="5">
        <f t="shared" si="12"/>
        <v>0</v>
      </c>
      <c r="I23" s="5">
        <f t="shared" si="0"/>
        <v>0</v>
      </c>
      <c r="J23" s="350">
        <f t="shared" si="1"/>
        <v>0</v>
      </c>
      <c r="K23" s="5">
        <f>'Swimming Pool quality check '!H23</f>
        <v>5910</v>
      </c>
      <c r="L23" s="282">
        <f t="shared" si="34"/>
        <v>1</v>
      </c>
      <c r="M23" s="432">
        <f t="shared" si="13"/>
        <v>457.44</v>
      </c>
      <c r="N23" s="560">
        <f t="shared" si="39"/>
        <v>0</v>
      </c>
      <c r="O23" s="432">
        <f t="shared" si="13"/>
        <v>529.52</v>
      </c>
      <c r="P23" s="560">
        <f t="shared" si="40"/>
        <v>0</v>
      </c>
      <c r="Q23" s="560">
        <f t="shared" si="41"/>
        <v>0</v>
      </c>
      <c r="R23" s="562"/>
      <c r="S23" s="562"/>
      <c r="T23" s="5">
        <v>4609</v>
      </c>
      <c r="U23" s="5">
        <f t="shared" si="4"/>
        <v>5</v>
      </c>
      <c r="V23" s="5">
        <v>386</v>
      </c>
      <c r="W23" s="340">
        <f t="shared" si="15"/>
        <v>3</v>
      </c>
      <c r="X23" s="5">
        <v>140950</v>
      </c>
      <c r="Y23" s="340">
        <f t="shared" si="30"/>
        <v>0</v>
      </c>
      <c r="Z23" s="5">
        <v>92486</v>
      </c>
      <c r="AA23" s="84">
        <f t="shared" si="16"/>
        <v>34</v>
      </c>
      <c r="AB23" s="5">
        <f t="shared" si="17"/>
        <v>261</v>
      </c>
      <c r="AC23" s="5">
        <f t="shared" si="18"/>
        <v>671</v>
      </c>
      <c r="AD23" s="84">
        <f t="shared" si="31"/>
        <v>0</v>
      </c>
      <c r="AE23" s="5">
        <v>110.36</v>
      </c>
      <c r="AF23" s="84">
        <f t="shared" si="19"/>
        <v>1.0300000000000011</v>
      </c>
      <c r="AG23" s="5">
        <v>1350.8</v>
      </c>
      <c r="AH23" s="84">
        <f t="shared" si="20"/>
        <v>7.4199999999998454</v>
      </c>
      <c r="AI23" s="84">
        <f t="shared" si="21"/>
        <v>8.4499999999998465</v>
      </c>
      <c r="AJ23" s="342">
        <f t="shared" si="22"/>
        <v>34</v>
      </c>
      <c r="AK23" s="343">
        <f t="shared" si="5"/>
        <v>-1</v>
      </c>
      <c r="AL23" s="343">
        <f t="shared" si="23"/>
        <v>31</v>
      </c>
      <c r="AM23" s="343">
        <f>'General information '!D23</f>
        <v>14</v>
      </c>
      <c r="AN23" s="85">
        <f>'General information '!H23</f>
        <v>0</v>
      </c>
      <c r="AO23" s="85"/>
      <c r="AP23" s="85">
        <f>'General information '!J23</f>
        <v>179</v>
      </c>
      <c r="AR23" s="287">
        <f t="shared" si="24"/>
        <v>43879</v>
      </c>
      <c r="AS23" s="446">
        <f t="shared" si="42"/>
        <v>0.9</v>
      </c>
      <c r="AT23" s="205">
        <v>146</v>
      </c>
      <c r="AU23" s="447">
        <f t="shared" si="35"/>
        <v>1.1000000000000001</v>
      </c>
      <c r="AV23" s="205">
        <v>64</v>
      </c>
      <c r="AW23" s="5">
        <v>2.9</v>
      </c>
      <c r="AX23" s="205">
        <v>100</v>
      </c>
      <c r="AY23" s="450">
        <f t="shared" si="7"/>
        <v>131.4</v>
      </c>
      <c r="AZ23" s="450">
        <f t="shared" si="25"/>
        <v>70.400000000000006</v>
      </c>
      <c r="BA23" s="450">
        <f t="shared" si="26"/>
        <v>290</v>
      </c>
      <c r="BB23" s="21">
        <f t="shared" si="27"/>
        <v>-30.599999999999994</v>
      </c>
      <c r="BC23" s="21">
        <f t="shared" si="27"/>
        <v>2.2000000000000028</v>
      </c>
      <c r="BD23" s="21">
        <f t="shared" si="27"/>
        <v>-23.199999999999989</v>
      </c>
      <c r="BE23" s="24">
        <f t="shared" si="29"/>
        <v>-51.59999999999998</v>
      </c>
      <c r="BF23" s="97">
        <f t="shared" si="8"/>
        <v>51.59999999999998</v>
      </c>
      <c r="BG23" s="83">
        <f t="shared" si="9"/>
        <v>-51.59999999999998</v>
      </c>
    </row>
    <row r="24" spans="1:61" ht="15.75" thickBot="1">
      <c r="A24" s="6">
        <f>ELEC!C21</f>
        <v>43880</v>
      </c>
      <c r="B24" s="5">
        <v>108473</v>
      </c>
      <c r="C24" s="5">
        <f t="shared" si="10"/>
        <v>0</v>
      </c>
      <c r="D24" s="441">
        <f t="shared" si="11"/>
        <v>0</v>
      </c>
      <c r="E24" s="349">
        <f>SUM((C24*$E$4)+(7500/'EDl log'!$A$36))</f>
        <v>258.62068965517244</v>
      </c>
      <c r="F24" s="343"/>
      <c r="G24" s="5">
        <v>591244</v>
      </c>
      <c r="H24" s="5">
        <f t="shared" si="12"/>
        <v>113</v>
      </c>
      <c r="I24" s="5">
        <f t="shared" si="0"/>
        <v>113</v>
      </c>
      <c r="J24" s="350">
        <f t="shared" si="1"/>
        <v>2.2886786695148005</v>
      </c>
      <c r="K24" s="5">
        <f>'Swimming Pool quality check '!H24</f>
        <v>5911</v>
      </c>
      <c r="L24" s="282">
        <f t="shared" si="34"/>
        <v>1</v>
      </c>
      <c r="M24" s="432">
        <f t="shared" si="13"/>
        <v>457.44</v>
      </c>
      <c r="N24" s="560">
        <f t="shared" si="39"/>
        <v>0</v>
      </c>
      <c r="O24" s="432">
        <f t="shared" si="13"/>
        <v>529.52</v>
      </c>
      <c r="P24" s="560">
        <f t="shared" si="40"/>
        <v>0</v>
      </c>
      <c r="Q24" s="560">
        <f t="shared" si="41"/>
        <v>0</v>
      </c>
      <c r="R24" s="562"/>
      <c r="S24" s="562"/>
      <c r="T24" s="5">
        <v>4614</v>
      </c>
      <c r="U24" s="5">
        <f t="shared" si="4"/>
        <v>5</v>
      </c>
      <c r="V24" s="5">
        <v>386</v>
      </c>
      <c r="W24" s="340">
        <f t="shared" si="15"/>
        <v>0</v>
      </c>
      <c r="X24" s="5">
        <v>140950</v>
      </c>
      <c r="Y24" s="340">
        <f t="shared" si="30"/>
        <v>0</v>
      </c>
      <c r="Z24" s="5">
        <v>92561</v>
      </c>
      <c r="AA24" s="84">
        <f t="shared" si="16"/>
        <v>75</v>
      </c>
      <c r="AB24" s="5">
        <f t="shared" si="17"/>
        <v>261</v>
      </c>
      <c r="AC24" s="5">
        <f t="shared" si="18"/>
        <v>671</v>
      </c>
      <c r="AD24" s="84">
        <f t="shared" si="31"/>
        <v>0</v>
      </c>
      <c r="AE24" s="5">
        <v>113.66</v>
      </c>
      <c r="AF24" s="84">
        <f t="shared" si="19"/>
        <v>3.2999999999999972</v>
      </c>
      <c r="AG24" s="5">
        <v>1376.36</v>
      </c>
      <c r="AH24" s="84">
        <f t="shared" si="20"/>
        <v>25.559999999999945</v>
      </c>
      <c r="AI24" s="84">
        <f t="shared" si="21"/>
        <v>28.859999999999943</v>
      </c>
      <c r="AJ24" s="342">
        <f t="shared" si="22"/>
        <v>75</v>
      </c>
      <c r="AK24" s="343">
        <f t="shared" si="5"/>
        <v>-1</v>
      </c>
      <c r="AL24" s="343">
        <f t="shared" si="23"/>
        <v>75</v>
      </c>
      <c r="AM24" s="343">
        <f>'General information '!D24</f>
        <v>15.5</v>
      </c>
      <c r="AN24" s="85">
        <f>'General information '!H24</f>
        <v>0</v>
      </c>
      <c r="AO24" s="85"/>
      <c r="AP24" s="85">
        <f>'General information '!J24</f>
        <v>173</v>
      </c>
      <c r="AR24" s="287">
        <f t="shared" si="24"/>
        <v>43880</v>
      </c>
      <c r="AS24" s="446">
        <f t="shared" si="42"/>
        <v>0.9</v>
      </c>
      <c r="AT24" s="205">
        <v>150</v>
      </c>
      <c r="AU24" s="447">
        <f t="shared" si="35"/>
        <v>1.1000000000000001</v>
      </c>
      <c r="AV24" s="205">
        <v>75</v>
      </c>
      <c r="AW24" s="5">
        <v>2.9</v>
      </c>
      <c r="AX24" s="205">
        <v>89</v>
      </c>
      <c r="AY24" s="450">
        <f t="shared" si="7"/>
        <v>135</v>
      </c>
      <c r="AZ24" s="450">
        <f t="shared" si="25"/>
        <v>82.5</v>
      </c>
      <c r="BA24" s="450">
        <f t="shared" si="26"/>
        <v>258.09999999999997</v>
      </c>
      <c r="BB24" s="21">
        <f t="shared" si="27"/>
        <v>3.5999999999999943</v>
      </c>
      <c r="BC24" s="21">
        <f t="shared" si="27"/>
        <v>12.099999999999994</v>
      </c>
      <c r="BD24" s="21">
        <f t="shared" si="27"/>
        <v>-31.900000000000034</v>
      </c>
      <c r="BE24" s="24">
        <f t="shared" si="29"/>
        <v>-16.200000000000045</v>
      </c>
      <c r="BF24" s="97">
        <f t="shared" si="8"/>
        <v>129.20000000000005</v>
      </c>
      <c r="BG24" s="83">
        <f t="shared" si="9"/>
        <v>-16.200000000000045</v>
      </c>
      <c r="BI24" s="83"/>
    </row>
    <row r="25" spans="1:61" ht="15.75" thickBot="1">
      <c r="A25" s="6">
        <f>ELEC!C22</f>
        <v>43881</v>
      </c>
      <c r="B25" s="5">
        <v>108473</v>
      </c>
      <c r="C25" s="5">
        <f t="shared" si="10"/>
        <v>0</v>
      </c>
      <c r="D25" s="441">
        <f t="shared" si="11"/>
        <v>0</v>
      </c>
      <c r="E25" s="349">
        <f>SUM((C25*$E$4)+(7500/'EDl log'!$A$36))</f>
        <v>258.62068965517244</v>
      </c>
      <c r="F25" s="343"/>
      <c r="G25" s="5">
        <v>591244</v>
      </c>
      <c r="H25" s="5">
        <f t="shared" si="12"/>
        <v>0</v>
      </c>
      <c r="I25" s="5">
        <f t="shared" si="0"/>
        <v>0</v>
      </c>
      <c r="J25" s="350">
        <f t="shared" si="1"/>
        <v>0</v>
      </c>
      <c r="K25" s="5">
        <f>'Swimming Pool quality check '!H25</f>
        <v>5911</v>
      </c>
      <c r="L25" s="282">
        <f t="shared" si="34"/>
        <v>0</v>
      </c>
      <c r="M25" s="432">
        <f t="shared" si="13"/>
        <v>457.44</v>
      </c>
      <c r="N25" s="560">
        <f t="shared" si="39"/>
        <v>0</v>
      </c>
      <c r="O25" s="432">
        <f t="shared" si="13"/>
        <v>529.52</v>
      </c>
      <c r="P25" s="560">
        <f t="shared" si="40"/>
        <v>0</v>
      </c>
      <c r="Q25" s="560">
        <f t="shared" si="41"/>
        <v>0</v>
      </c>
      <c r="R25" s="562"/>
      <c r="S25" s="562"/>
      <c r="T25" s="5">
        <v>4618</v>
      </c>
      <c r="U25" s="5">
        <f t="shared" si="4"/>
        <v>4</v>
      </c>
      <c r="V25" s="5">
        <v>386</v>
      </c>
      <c r="W25" s="340">
        <f t="shared" si="15"/>
        <v>0</v>
      </c>
      <c r="X25" s="5">
        <v>140950</v>
      </c>
      <c r="Y25" s="340">
        <f t="shared" si="30"/>
        <v>0</v>
      </c>
      <c r="Z25" s="5">
        <v>92563</v>
      </c>
      <c r="AA25" s="84">
        <f t="shared" si="16"/>
        <v>2</v>
      </c>
      <c r="AB25" s="5">
        <f t="shared" si="17"/>
        <v>261</v>
      </c>
      <c r="AC25" s="5">
        <f t="shared" si="18"/>
        <v>671</v>
      </c>
      <c r="AD25" s="84">
        <f t="shared" si="31"/>
        <v>0</v>
      </c>
      <c r="AE25" s="5">
        <v>113.66</v>
      </c>
      <c r="AF25" s="84">
        <f t="shared" si="19"/>
        <v>0</v>
      </c>
      <c r="AG25" s="5">
        <v>1377.54</v>
      </c>
      <c r="AH25" s="84">
        <f t="shared" si="20"/>
        <v>1.1800000000000637</v>
      </c>
      <c r="AI25" s="84">
        <f t="shared" si="21"/>
        <v>1.1800000000000637</v>
      </c>
      <c r="AJ25" s="342">
        <f t="shared" si="22"/>
        <v>2</v>
      </c>
      <c r="AK25" s="343">
        <f t="shared" si="5"/>
        <v>0</v>
      </c>
      <c r="AL25" s="343">
        <f t="shared" si="23"/>
        <v>2</v>
      </c>
      <c r="AM25" s="343">
        <f>'General information '!D25</f>
        <v>15.5</v>
      </c>
      <c r="AN25" s="85">
        <f>'General information '!H25</f>
        <v>0</v>
      </c>
      <c r="AO25" s="85"/>
      <c r="AP25" s="85">
        <f>'General information '!J25</f>
        <v>266</v>
      </c>
      <c r="AR25" s="287">
        <f t="shared" si="24"/>
        <v>43881</v>
      </c>
      <c r="AS25" s="446">
        <f t="shared" si="42"/>
        <v>0.9</v>
      </c>
      <c r="AT25" s="205">
        <v>145</v>
      </c>
      <c r="AU25" s="447">
        <f t="shared" si="35"/>
        <v>1.1000000000000001</v>
      </c>
      <c r="AV25" s="205">
        <v>64</v>
      </c>
      <c r="AW25" s="5">
        <v>2.9</v>
      </c>
      <c r="AX25" s="205">
        <v>83</v>
      </c>
      <c r="AY25" s="450">
        <f t="shared" si="7"/>
        <v>130.5</v>
      </c>
      <c r="AZ25" s="450">
        <f t="shared" si="25"/>
        <v>70.400000000000006</v>
      </c>
      <c r="BA25" s="450">
        <f t="shared" si="26"/>
        <v>240.7</v>
      </c>
      <c r="BB25" s="21">
        <f t="shared" si="27"/>
        <v>-4.5</v>
      </c>
      <c r="BC25" s="21">
        <f t="shared" si="27"/>
        <v>-12.099999999999994</v>
      </c>
      <c r="BD25" s="21">
        <f t="shared" si="27"/>
        <v>-17.399999999999977</v>
      </c>
      <c r="BE25" s="24">
        <f t="shared" si="29"/>
        <v>-33.999999999999972</v>
      </c>
      <c r="BF25" s="97">
        <f t="shared" si="8"/>
        <v>33.999999999999972</v>
      </c>
      <c r="BG25" s="83">
        <f t="shared" si="9"/>
        <v>-33.999999999999972</v>
      </c>
    </row>
    <row r="26" spans="1:61" ht="15.75" thickBot="1">
      <c r="A26" s="6">
        <f>ELEC!C23</f>
        <v>43882</v>
      </c>
      <c r="B26" s="5">
        <v>108473</v>
      </c>
      <c r="C26" s="5">
        <f t="shared" si="10"/>
        <v>0</v>
      </c>
      <c r="D26" s="441">
        <f t="shared" si="11"/>
        <v>0</v>
      </c>
      <c r="E26" s="349">
        <f>SUM((C26*$E$4)+(7500/'EDl log'!$A$36))</f>
        <v>258.62068965517244</v>
      </c>
      <c r="F26" s="343"/>
      <c r="G26" s="5">
        <v>591368</v>
      </c>
      <c r="H26" s="5">
        <f>G26-G25</f>
        <v>124</v>
      </c>
      <c r="I26" s="5">
        <f t="shared" si="0"/>
        <v>124</v>
      </c>
      <c r="J26" s="350">
        <f t="shared" si="1"/>
        <v>2.0856507230255841</v>
      </c>
      <c r="K26" s="5">
        <f>'Swimming Pool quality check '!H26</f>
        <v>5912</v>
      </c>
      <c r="L26" s="282">
        <f t="shared" si="34"/>
        <v>1</v>
      </c>
      <c r="M26" s="432">
        <f t="shared" si="13"/>
        <v>457.44</v>
      </c>
      <c r="N26" s="560">
        <f t="shared" si="39"/>
        <v>0</v>
      </c>
      <c r="O26" s="432">
        <f t="shared" si="13"/>
        <v>529.52</v>
      </c>
      <c r="P26" s="560">
        <f t="shared" si="40"/>
        <v>0</v>
      </c>
      <c r="Q26" s="560">
        <f t="shared" si="41"/>
        <v>0</v>
      </c>
      <c r="R26" s="562"/>
      <c r="S26" s="562"/>
      <c r="T26" s="5">
        <v>4623</v>
      </c>
      <c r="U26" s="5">
        <f t="shared" si="4"/>
        <v>5</v>
      </c>
      <c r="V26" s="5">
        <v>387</v>
      </c>
      <c r="W26" s="340">
        <f t="shared" si="15"/>
        <v>1</v>
      </c>
      <c r="X26" s="5">
        <f t="shared" si="37"/>
        <v>140950</v>
      </c>
      <c r="Y26" s="340">
        <f t="shared" si="30"/>
        <v>0</v>
      </c>
      <c r="Z26" s="5">
        <v>92618</v>
      </c>
      <c r="AA26" s="84">
        <f t="shared" si="16"/>
        <v>55</v>
      </c>
      <c r="AB26" s="5">
        <f t="shared" si="17"/>
        <v>261</v>
      </c>
      <c r="AC26" s="5">
        <f t="shared" si="18"/>
        <v>671</v>
      </c>
      <c r="AD26" s="84">
        <f t="shared" si="31"/>
        <v>0</v>
      </c>
      <c r="AE26" s="5">
        <v>114.86</v>
      </c>
      <c r="AF26" s="84">
        <f t="shared" si="19"/>
        <v>1.2000000000000028</v>
      </c>
      <c r="AG26" s="5">
        <v>1383.82</v>
      </c>
      <c r="AH26" s="84">
        <f t="shared" si="20"/>
        <v>6.2799999999999727</v>
      </c>
      <c r="AI26" s="84">
        <f t="shared" si="21"/>
        <v>7.4799999999999756</v>
      </c>
      <c r="AJ26" s="342">
        <f t="shared" si="22"/>
        <v>55</v>
      </c>
      <c r="AK26" s="343">
        <f t="shared" si="5"/>
        <v>-1</v>
      </c>
      <c r="AL26" s="343">
        <f>SUM(AJ26-W26)</f>
        <v>54</v>
      </c>
      <c r="AM26" s="343">
        <f>'General information '!D26</f>
        <v>14</v>
      </c>
      <c r="AN26" s="85">
        <f>'General information '!H26</f>
        <v>0</v>
      </c>
      <c r="AO26" s="85"/>
      <c r="AP26" s="85">
        <f>'General information '!J26</f>
        <v>208</v>
      </c>
      <c r="AR26" s="287">
        <f t="shared" si="24"/>
        <v>43882</v>
      </c>
      <c r="AS26" s="446">
        <f t="shared" si="42"/>
        <v>0.9</v>
      </c>
      <c r="AT26" s="205">
        <v>165</v>
      </c>
      <c r="AU26" s="447">
        <f t="shared" si="35"/>
        <v>1.1000000000000001</v>
      </c>
      <c r="AV26" s="205">
        <v>80</v>
      </c>
      <c r="AW26" s="5">
        <v>2.9</v>
      </c>
      <c r="AX26" s="205">
        <v>75</v>
      </c>
      <c r="AY26" s="450">
        <f t="shared" si="7"/>
        <v>148.5</v>
      </c>
      <c r="AZ26" s="450">
        <f t="shared" si="25"/>
        <v>88</v>
      </c>
      <c r="BA26" s="450">
        <f t="shared" si="26"/>
        <v>217.5</v>
      </c>
      <c r="BB26" s="21">
        <f t="shared" si="27"/>
        <v>18</v>
      </c>
      <c r="BC26" s="21">
        <f t="shared" si="27"/>
        <v>17.599999999999994</v>
      </c>
      <c r="BD26" s="21">
        <f t="shared" si="27"/>
        <v>-23.199999999999989</v>
      </c>
      <c r="BE26" s="24">
        <f t="shared" si="29"/>
        <v>12.400000000000006</v>
      </c>
      <c r="BF26" s="97">
        <f t="shared" si="8"/>
        <v>111.6</v>
      </c>
      <c r="BG26" s="83">
        <f t="shared" si="9"/>
        <v>12.400000000000006</v>
      </c>
    </row>
    <row r="27" spans="1:61" ht="15.75" thickBot="1">
      <c r="A27" s="6">
        <f>ELEC!C24</f>
        <v>43883</v>
      </c>
      <c r="B27" s="5">
        <f t="shared" si="32"/>
        <v>108473</v>
      </c>
      <c r="C27" s="5">
        <f t="shared" si="10"/>
        <v>0</v>
      </c>
      <c r="D27" s="441">
        <f t="shared" si="11"/>
        <v>0</v>
      </c>
      <c r="E27" s="349">
        <f>SUM((C27*$E$4)+(7500/'EDl log'!$A$36))</f>
        <v>258.62068965517244</v>
      </c>
      <c r="F27" s="343"/>
      <c r="G27" s="5">
        <v>591391</v>
      </c>
      <c r="H27" s="5">
        <f t="shared" si="12"/>
        <v>23</v>
      </c>
      <c r="I27" s="5">
        <f t="shared" si="0"/>
        <v>23</v>
      </c>
      <c r="J27" s="350">
        <f t="shared" si="1"/>
        <v>11.244377811094454</v>
      </c>
      <c r="K27" s="5">
        <f>'Swimming Pool quality check '!H27</f>
        <v>5913</v>
      </c>
      <c r="L27" s="282">
        <f t="shared" si="34"/>
        <v>1</v>
      </c>
      <c r="M27" s="432">
        <f t="shared" si="13"/>
        <v>457.44</v>
      </c>
      <c r="N27" s="560">
        <f t="shared" si="39"/>
        <v>0</v>
      </c>
      <c r="O27" s="432">
        <f t="shared" si="13"/>
        <v>529.52</v>
      </c>
      <c r="P27" s="560">
        <f t="shared" si="40"/>
        <v>0</v>
      </c>
      <c r="Q27" s="560">
        <f t="shared" si="41"/>
        <v>0</v>
      </c>
      <c r="R27" s="562"/>
      <c r="S27" s="562"/>
      <c r="T27" s="5">
        <v>4628</v>
      </c>
      <c r="U27" s="5">
        <f t="shared" si="4"/>
        <v>5</v>
      </c>
      <c r="V27" s="5">
        <v>389</v>
      </c>
      <c r="W27" s="340">
        <f t="shared" si="15"/>
        <v>2</v>
      </c>
      <c r="X27" s="5">
        <v>141019</v>
      </c>
      <c r="Y27" s="340">
        <f>SUM(X27-X26)</f>
        <v>69</v>
      </c>
      <c r="Z27" s="5">
        <v>92651</v>
      </c>
      <c r="AA27" s="84">
        <f t="shared" si="16"/>
        <v>33</v>
      </c>
      <c r="AB27" s="5">
        <f t="shared" si="17"/>
        <v>261</v>
      </c>
      <c r="AC27" s="5">
        <f t="shared" si="18"/>
        <v>671</v>
      </c>
      <c r="AD27" s="84">
        <f t="shared" si="31"/>
        <v>0</v>
      </c>
      <c r="AE27" s="5">
        <v>117.52</v>
      </c>
      <c r="AF27" s="84">
        <f t="shared" si="19"/>
        <v>2.6599999999999966</v>
      </c>
      <c r="AG27" s="5">
        <v>1406.45</v>
      </c>
      <c r="AH27" s="84">
        <f t="shared" si="20"/>
        <v>22.630000000000109</v>
      </c>
      <c r="AI27" s="84">
        <f t="shared" si="21"/>
        <v>25.290000000000106</v>
      </c>
      <c r="AJ27" s="342">
        <f t="shared" si="22"/>
        <v>33</v>
      </c>
      <c r="AK27" s="343">
        <f t="shared" si="5"/>
        <v>68</v>
      </c>
      <c r="AL27" s="343">
        <f t="shared" si="23"/>
        <v>31</v>
      </c>
      <c r="AM27" s="343">
        <f>'General information '!D27</f>
        <v>14.5</v>
      </c>
      <c r="AN27" s="85">
        <f>'General information '!H27</f>
        <v>0</v>
      </c>
      <c r="AO27" s="85"/>
      <c r="AP27" s="85">
        <f>'General information '!J27</f>
        <v>264</v>
      </c>
      <c r="AR27" s="287">
        <f t="shared" si="24"/>
        <v>43883</v>
      </c>
      <c r="AS27" s="446">
        <f t="shared" si="42"/>
        <v>0.9</v>
      </c>
      <c r="AT27" s="205">
        <v>96</v>
      </c>
      <c r="AU27" s="447">
        <f t="shared" si="35"/>
        <v>1.1000000000000001</v>
      </c>
      <c r="AV27" s="205">
        <v>62</v>
      </c>
      <c r="AW27" s="5">
        <v>2.9</v>
      </c>
      <c r="AX27" s="205">
        <v>77</v>
      </c>
      <c r="AY27" s="450">
        <f t="shared" si="7"/>
        <v>86.4</v>
      </c>
      <c r="AZ27" s="450">
        <f t="shared" si="25"/>
        <v>68.2</v>
      </c>
      <c r="BA27" s="450">
        <f t="shared" si="26"/>
        <v>223.29999999999998</v>
      </c>
      <c r="BB27" s="21">
        <f t="shared" si="27"/>
        <v>-62.099999999999994</v>
      </c>
      <c r="BC27" s="21">
        <f t="shared" si="27"/>
        <v>-19.799999999999997</v>
      </c>
      <c r="BD27" s="21">
        <f t="shared" si="27"/>
        <v>5.7999999999999829</v>
      </c>
      <c r="BE27" s="24">
        <f t="shared" si="29"/>
        <v>-76.100000000000009</v>
      </c>
      <c r="BF27" s="97">
        <f t="shared" si="8"/>
        <v>99.100000000000009</v>
      </c>
      <c r="BG27" s="83">
        <f t="shared" si="9"/>
        <v>-76.100000000000009</v>
      </c>
    </row>
    <row r="28" spans="1:61" ht="15.75" thickBot="1">
      <c r="A28" s="6">
        <f>ELEC!C25</f>
        <v>43884</v>
      </c>
      <c r="B28" s="5">
        <v>108473</v>
      </c>
      <c r="C28" s="5">
        <f t="shared" si="10"/>
        <v>0</v>
      </c>
      <c r="D28" s="441">
        <f t="shared" si="11"/>
        <v>0</v>
      </c>
      <c r="E28" s="349">
        <f>SUM((C28*$E$4)+(7500/'EDl log'!$A$36))</f>
        <v>258.62068965517244</v>
      </c>
      <c r="F28" s="343"/>
      <c r="G28" s="5">
        <v>591714</v>
      </c>
      <c r="H28" s="5">
        <f t="shared" si="12"/>
        <v>323</v>
      </c>
      <c r="I28" s="5">
        <f t="shared" si="0"/>
        <v>323</v>
      </c>
      <c r="J28" s="350">
        <f t="shared" si="1"/>
        <v>0.80068324970641624</v>
      </c>
      <c r="K28" s="5">
        <f>'Swimming Pool quality check '!H28</f>
        <v>5913</v>
      </c>
      <c r="L28" s="282">
        <f t="shared" si="34"/>
        <v>0</v>
      </c>
      <c r="M28" s="432">
        <f t="shared" si="13"/>
        <v>457.44</v>
      </c>
      <c r="N28" s="560">
        <f t="shared" si="39"/>
        <v>0</v>
      </c>
      <c r="O28" s="432">
        <f t="shared" si="13"/>
        <v>529.52</v>
      </c>
      <c r="P28" s="560">
        <f t="shared" si="40"/>
        <v>0</v>
      </c>
      <c r="Q28" s="560">
        <f t="shared" si="41"/>
        <v>0</v>
      </c>
      <c r="R28" s="562"/>
      <c r="S28" s="562"/>
      <c r="T28" s="5">
        <v>4635</v>
      </c>
      <c r="U28" s="5">
        <f t="shared" si="4"/>
        <v>7</v>
      </c>
      <c r="V28" s="5">
        <v>389</v>
      </c>
      <c r="W28" s="340">
        <f t="shared" si="15"/>
        <v>0</v>
      </c>
      <c r="X28" s="5">
        <v>141112</v>
      </c>
      <c r="Y28" s="340">
        <f t="shared" si="30"/>
        <v>93</v>
      </c>
      <c r="Z28" s="5">
        <v>92717</v>
      </c>
      <c r="AA28" s="84">
        <f t="shared" si="16"/>
        <v>66</v>
      </c>
      <c r="AB28" s="5">
        <f t="shared" si="17"/>
        <v>261</v>
      </c>
      <c r="AC28" s="5">
        <f t="shared" si="18"/>
        <v>671</v>
      </c>
      <c r="AD28" s="84">
        <f t="shared" si="31"/>
        <v>0</v>
      </c>
      <c r="AE28" s="5">
        <v>117.52</v>
      </c>
      <c r="AF28" s="84">
        <f t="shared" si="19"/>
        <v>0</v>
      </c>
      <c r="AG28" s="5">
        <v>1407.32</v>
      </c>
      <c r="AH28" s="84">
        <f t="shared" si="20"/>
        <v>0.86999999999989086</v>
      </c>
      <c r="AI28" s="84">
        <f t="shared" si="21"/>
        <v>0.86999999999989086</v>
      </c>
      <c r="AJ28" s="342">
        <f t="shared" si="22"/>
        <v>66</v>
      </c>
      <c r="AK28" s="343">
        <f t="shared" si="5"/>
        <v>93</v>
      </c>
      <c r="AL28" s="343">
        <f t="shared" si="23"/>
        <v>66</v>
      </c>
      <c r="AM28" s="343">
        <f>'General information '!D28</f>
        <v>15</v>
      </c>
      <c r="AN28" s="85">
        <f>'General information '!H28</f>
        <v>0</v>
      </c>
      <c r="AO28" s="85"/>
      <c r="AP28" s="85">
        <f>'General information '!J28</f>
        <v>209</v>
      </c>
      <c r="AR28" s="287">
        <f t="shared" si="24"/>
        <v>43884</v>
      </c>
      <c r="AS28" s="446">
        <f t="shared" si="42"/>
        <v>0.9</v>
      </c>
      <c r="AT28" s="205">
        <v>165</v>
      </c>
      <c r="AU28" s="447">
        <f t="shared" si="35"/>
        <v>1.1000000000000001</v>
      </c>
      <c r="AV28" s="205">
        <v>77</v>
      </c>
      <c r="AW28" s="5">
        <v>2.9</v>
      </c>
      <c r="AX28" s="205">
        <v>90</v>
      </c>
      <c r="AY28" s="450">
        <f t="shared" si="7"/>
        <v>148.5</v>
      </c>
      <c r="AZ28" s="450">
        <f t="shared" si="25"/>
        <v>84.7</v>
      </c>
      <c r="BA28" s="450">
        <f t="shared" si="26"/>
        <v>261</v>
      </c>
      <c r="BB28" s="21">
        <f t="shared" si="27"/>
        <v>62.099999999999994</v>
      </c>
      <c r="BC28" s="21">
        <f t="shared" si="27"/>
        <v>16.5</v>
      </c>
      <c r="BD28" s="21">
        <f t="shared" si="27"/>
        <v>37.700000000000017</v>
      </c>
      <c r="BE28" s="24">
        <f t="shared" si="29"/>
        <v>116.30000000000001</v>
      </c>
      <c r="BF28" s="97">
        <f t="shared" si="8"/>
        <v>206.7</v>
      </c>
      <c r="BG28" s="83">
        <f t="shared" si="9"/>
        <v>116.30000000000001</v>
      </c>
    </row>
    <row r="29" spans="1:61" ht="15.75" thickBot="1">
      <c r="A29" s="6">
        <f>ELEC!C26</f>
        <v>43885</v>
      </c>
      <c r="B29" s="5">
        <f t="shared" si="32"/>
        <v>108473</v>
      </c>
      <c r="C29" s="5">
        <f t="shared" si="10"/>
        <v>0</v>
      </c>
      <c r="D29" s="441">
        <f t="shared" si="11"/>
        <v>0</v>
      </c>
      <c r="E29" s="349">
        <f>SUM((C29*$E$4)+(7500/'EDl log'!$A$36))</f>
        <v>258.62068965517244</v>
      </c>
      <c r="F29" s="343"/>
      <c r="G29" s="5">
        <f t="shared" si="33"/>
        <v>591714</v>
      </c>
      <c r="H29" s="5">
        <f t="shared" si="12"/>
        <v>0</v>
      </c>
      <c r="I29" s="5">
        <f t="shared" si="0"/>
        <v>0</v>
      </c>
      <c r="J29" s="350">
        <f t="shared" si="1"/>
        <v>0</v>
      </c>
      <c r="K29" s="5">
        <f>'Swimming Pool quality check '!H29</f>
        <v>5913</v>
      </c>
      <c r="L29" s="282">
        <f t="shared" si="34"/>
        <v>0</v>
      </c>
      <c r="M29" s="432">
        <f t="shared" si="13"/>
        <v>457.44</v>
      </c>
      <c r="N29" s="560">
        <f t="shared" si="39"/>
        <v>0</v>
      </c>
      <c r="O29" s="432">
        <f t="shared" si="13"/>
        <v>529.52</v>
      </c>
      <c r="P29" s="560">
        <f t="shared" si="40"/>
        <v>0</v>
      </c>
      <c r="Q29" s="560">
        <f t="shared" si="41"/>
        <v>0</v>
      </c>
      <c r="R29" s="562"/>
      <c r="S29" s="562"/>
      <c r="T29" s="5">
        <f t="shared" ref="T29:T36" si="43">T28</f>
        <v>4635</v>
      </c>
      <c r="U29" s="5">
        <f t="shared" si="4"/>
        <v>0</v>
      </c>
      <c r="V29" s="5">
        <f t="shared" si="14"/>
        <v>389</v>
      </c>
      <c r="W29" s="340">
        <f t="shared" si="15"/>
        <v>0</v>
      </c>
      <c r="X29" s="5">
        <f t="shared" si="37"/>
        <v>141112</v>
      </c>
      <c r="Y29" s="340">
        <f t="shared" si="30"/>
        <v>0</v>
      </c>
      <c r="Z29" s="5">
        <f t="shared" si="38"/>
        <v>92717</v>
      </c>
      <c r="AA29" s="84">
        <f t="shared" si="16"/>
        <v>0</v>
      </c>
      <c r="AB29" s="5">
        <f t="shared" si="17"/>
        <v>261</v>
      </c>
      <c r="AC29" s="5">
        <f t="shared" si="18"/>
        <v>671</v>
      </c>
      <c r="AD29" s="84">
        <f t="shared" si="31"/>
        <v>0</v>
      </c>
      <c r="AE29" s="5">
        <f t="shared" si="36"/>
        <v>117.52</v>
      </c>
      <c r="AF29" s="84">
        <f t="shared" si="19"/>
        <v>0</v>
      </c>
      <c r="AG29" s="5">
        <f t="shared" ref="AG29:AG36" si="44">AG28</f>
        <v>1407.32</v>
      </c>
      <c r="AH29" s="84">
        <f t="shared" si="20"/>
        <v>0</v>
      </c>
      <c r="AI29" s="84">
        <f t="shared" si="21"/>
        <v>0</v>
      </c>
      <c r="AJ29" s="342">
        <f t="shared" si="22"/>
        <v>0</v>
      </c>
      <c r="AK29" s="343">
        <f t="shared" si="5"/>
        <v>0</v>
      </c>
      <c r="AL29" s="343">
        <f t="shared" si="23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7">
        <f t="shared" si="24"/>
        <v>43885</v>
      </c>
      <c r="AS29" s="446">
        <f t="shared" si="42"/>
        <v>0.9</v>
      </c>
      <c r="AT29" s="205">
        <f t="shared" si="42"/>
        <v>165</v>
      </c>
      <c r="AU29" s="447">
        <f t="shared" si="35"/>
        <v>1.1000000000000001</v>
      </c>
      <c r="AV29" s="205">
        <f t="shared" ref="AV29:AV36" si="45">AV28</f>
        <v>77</v>
      </c>
      <c r="AW29" s="5">
        <v>2.9</v>
      </c>
      <c r="AX29" s="205">
        <f t="shared" ref="AX29:AX36" si="46">AX28</f>
        <v>90</v>
      </c>
      <c r="AY29" s="450">
        <f t="shared" si="7"/>
        <v>148.5</v>
      </c>
      <c r="AZ29" s="450">
        <f t="shared" si="25"/>
        <v>84.7</v>
      </c>
      <c r="BA29" s="450">
        <f t="shared" si="26"/>
        <v>261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43886</v>
      </c>
      <c r="B30" s="5">
        <f t="shared" si="32"/>
        <v>108473</v>
      </c>
      <c r="C30" s="5">
        <f t="shared" si="10"/>
        <v>0</v>
      </c>
      <c r="D30" s="441">
        <f t="shared" si="11"/>
        <v>0</v>
      </c>
      <c r="E30" s="349">
        <f>SUM((C30*$E$4)+(7500/'EDl log'!$A$36))</f>
        <v>258.62068965517244</v>
      </c>
      <c r="F30" s="343"/>
      <c r="G30" s="5">
        <f t="shared" si="33"/>
        <v>591714</v>
      </c>
      <c r="H30" s="5">
        <f t="shared" si="12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5913</v>
      </c>
      <c r="L30" s="282">
        <f t="shared" si="34"/>
        <v>0</v>
      </c>
      <c r="M30" s="432">
        <f t="shared" si="13"/>
        <v>457.44</v>
      </c>
      <c r="N30" s="560">
        <f t="shared" si="39"/>
        <v>0</v>
      </c>
      <c r="O30" s="432">
        <f t="shared" si="13"/>
        <v>529.52</v>
      </c>
      <c r="P30" s="560">
        <f t="shared" si="40"/>
        <v>0</v>
      </c>
      <c r="Q30" s="560">
        <f t="shared" si="41"/>
        <v>0</v>
      </c>
      <c r="R30" s="562"/>
      <c r="S30" s="562"/>
      <c r="T30" s="5">
        <f t="shared" si="43"/>
        <v>4635</v>
      </c>
      <c r="U30" s="5">
        <f t="shared" si="4"/>
        <v>0</v>
      </c>
      <c r="V30" s="5">
        <f t="shared" si="14"/>
        <v>389</v>
      </c>
      <c r="W30" s="340">
        <f t="shared" si="15"/>
        <v>0</v>
      </c>
      <c r="X30" s="5">
        <f t="shared" si="37"/>
        <v>141112</v>
      </c>
      <c r="Y30" s="340">
        <f t="shared" si="30"/>
        <v>0</v>
      </c>
      <c r="Z30" s="5">
        <f t="shared" si="38"/>
        <v>92717</v>
      </c>
      <c r="AA30" s="84">
        <f t="shared" si="16"/>
        <v>0</v>
      </c>
      <c r="AB30" s="5">
        <f t="shared" si="17"/>
        <v>261</v>
      </c>
      <c r="AC30" s="5">
        <f t="shared" si="18"/>
        <v>671</v>
      </c>
      <c r="AD30" s="84">
        <f t="shared" si="31"/>
        <v>0</v>
      </c>
      <c r="AE30" s="5">
        <f t="shared" si="36"/>
        <v>117.52</v>
      </c>
      <c r="AF30" s="84">
        <f t="shared" si="19"/>
        <v>0</v>
      </c>
      <c r="AG30" s="5">
        <f t="shared" si="44"/>
        <v>1407.32</v>
      </c>
      <c r="AH30" s="84">
        <f t="shared" si="20"/>
        <v>0</v>
      </c>
      <c r="AI30" s="84">
        <f t="shared" si="21"/>
        <v>0</v>
      </c>
      <c r="AJ30" s="342">
        <f t="shared" si="22"/>
        <v>0</v>
      </c>
      <c r="AK30" s="343">
        <f t="shared" si="5"/>
        <v>0</v>
      </c>
      <c r="AL30" s="343">
        <f t="shared" si="23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7">
        <f t="shared" si="24"/>
        <v>43886</v>
      </c>
      <c r="AS30" s="446">
        <f t="shared" si="42"/>
        <v>0.9</v>
      </c>
      <c r="AT30" s="205">
        <f t="shared" si="42"/>
        <v>165</v>
      </c>
      <c r="AU30" s="447">
        <f t="shared" si="35"/>
        <v>1.1000000000000001</v>
      </c>
      <c r="AV30" s="205">
        <f t="shared" si="45"/>
        <v>77</v>
      </c>
      <c r="AW30" s="5">
        <v>2.9</v>
      </c>
      <c r="AX30" s="205">
        <f t="shared" si="46"/>
        <v>90</v>
      </c>
      <c r="AY30" s="450">
        <f t="shared" si="7"/>
        <v>148.5</v>
      </c>
      <c r="AZ30" s="450">
        <f t="shared" si="25"/>
        <v>84.7</v>
      </c>
      <c r="BA30" s="450">
        <f t="shared" si="26"/>
        <v>261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43887</v>
      </c>
      <c r="B31" s="5">
        <f t="shared" si="32"/>
        <v>108473</v>
      </c>
      <c r="C31" s="5">
        <f t="shared" si="10"/>
        <v>0</v>
      </c>
      <c r="D31" s="441">
        <f t="shared" si="11"/>
        <v>0</v>
      </c>
      <c r="E31" s="349">
        <f>SUM((C31*$E$4)+(7500/'EDl log'!$A$36))</f>
        <v>258.62068965517244</v>
      </c>
      <c r="F31" s="343"/>
      <c r="G31" s="5">
        <f t="shared" si="33"/>
        <v>591714</v>
      </c>
      <c r="H31" s="5">
        <f t="shared" si="12"/>
        <v>0</v>
      </c>
      <c r="I31" s="5">
        <f t="shared" si="0"/>
        <v>0</v>
      </c>
      <c r="J31" s="350">
        <f t="shared" si="1"/>
        <v>0</v>
      </c>
      <c r="K31" s="5">
        <f>'Swimming Pool quality check '!H31</f>
        <v>5913</v>
      </c>
      <c r="L31" s="282">
        <f t="shared" si="34"/>
        <v>0</v>
      </c>
      <c r="M31" s="432">
        <f t="shared" si="13"/>
        <v>457.44</v>
      </c>
      <c r="N31" s="560">
        <f t="shared" si="39"/>
        <v>0</v>
      </c>
      <c r="O31" s="432">
        <f t="shared" si="13"/>
        <v>529.52</v>
      </c>
      <c r="P31" s="560">
        <f t="shared" si="40"/>
        <v>0</v>
      </c>
      <c r="Q31" s="560">
        <f t="shared" si="41"/>
        <v>0</v>
      </c>
      <c r="R31" s="562"/>
      <c r="S31" s="562"/>
      <c r="T31" s="5">
        <f t="shared" si="43"/>
        <v>4635</v>
      </c>
      <c r="U31" s="5">
        <f t="shared" si="4"/>
        <v>0</v>
      </c>
      <c r="V31" s="5">
        <f t="shared" si="14"/>
        <v>389</v>
      </c>
      <c r="W31" s="340">
        <f t="shared" si="15"/>
        <v>0</v>
      </c>
      <c r="X31" s="5">
        <f t="shared" si="37"/>
        <v>141112</v>
      </c>
      <c r="Y31" s="340">
        <f t="shared" si="30"/>
        <v>0</v>
      </c>
      <c r="Z31" s="5">
        <f t="shared" si="38"/>
        <v>92717</v>
      </c>
      <c r="AA31" s="84">
        <f t="shared" si="16"/>
        <v>0</v>
      </c>
      <c r="AB31" s="5">
        <f t="shared" si="17"/>
        <v>261</v>
      </c>
      <c r="AC31" s="5">
        <f t="shared" si="18"/>
        <v>671</v>
      </c>
      <c r="AD31" s="84">
        <f t="shared" si="31"/>
        <v>0</v>
      </c>
      <c r="AE31" s="5">
        <f t="shared" si="36"/>
        <v>117.52</v>
      </c>
      <c r="AF31" s="84">
        <f t="shared" si="19"/>
        <v>0</v>
      </c>
      <c r="AG31" s="5">
        <f t="shared" si="44"/>
        <v>1407.32</v>
      </c>
      <c r="AH31" s="84">
        <f t="shared" si="20"/>
        <v>0</v>
      </c>
      <c r="AI31" s="84">
        <f t="shared" si="21"/>
        <v>0</v>
      </c>
      <c r="AJ31" s="342">
        <f t="shared" si="22"/>
        <v>0</v>
      </c>
      <c r="AK31" s="343">
        <f t="shared" si="5"/>
        <v>0</v>
      </c>
      <c r="AL31" s="343">
        <f t="shared" si="23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7">
        <f t="shared" si="24"/>
        <v>43887</v>
      </c>
      <c r="AS31" s="446">
        <f t="shared" si="42"/>
        <v>0.9</v>
      </c>
      <c r="AT31" s="205">
        <f t="shared" si="42"/>
        <v>165</v>
      </c>
      <c r="AU31" s="447">
        <f t="shared" si="35"/>
        <v>1.1000000000000001</v>
      </c>
      <c r="AV31" s="205">
        <f t="shared" si="45"/>
        <v>77</v>
      </c>
      <c r="AW31" s="5">
        <v>2.9</v>
      </c>
      <c r="AX31" s="205">
        <f t="shared" si="46"/>
        <v>90</v>
      </c>
      <c r="AY31" s="450">
        <f t="shared" si="7"/>
        <v>148.5</v>
      </c>
      <c r="AZ31" s="450">
        <f t="shared" si="25"/>
        <v>84.7</v>
      </c>
      <c r="BA31" s="450">
        <f t="shared" si="26"/>
        <v>261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43888</v>
      </c>
      <c r="B32" s="5">
        <f t="shared" si="32"/>
        <v>108473</v>
      </c>
      <c r="C32" s="5">
        <f t="shared" si="10"/>
        <v>0</v>
      </c>
      <c r="D32" s="441">
        <f t="shared" si="11"/>
        <v>0</v>
      </c>
      <c r="E32" s="349">
        <f>SUM((C32*$E$4)+(7500/'EDl log'!$A$36))</f>
        <v>258.62068965517244</v>
      </c>
      <c r="F32" s="343"/>
      <c r="G32" s="5">
        <f t="shared" si="33"/>
        <v>591714</v>
      </c>
      <c r="H32" s="5">
        <f t="shared" si="12"/>
        <v>0</v>
      </c>
      <c r="I32" s="5">
        <f t="shared" si="0"/>
        <v>0</v>
      </c>
      <c r="J32" s="350">
        <f t="shared" si="1"/>
        <v>0</v>
      </c>
      <c r="K32" s="5">
        <f>'Swimming Pool quality check '!H32</f>
        <v>5913</v>
      </c>
      <c r="L32" s="282">
        <f t="shared" si="34"/>
        <v>0</v>
      </c>
      <c r="M32" s="432">
        <f t="shared" si="13"/>
        <v>457.44</v>
      </c>
      <c r="N32" s="560">
        <f t="shared" si="39"/>
        <v>0</v>
      </c>
      <c r="O32" s="432">
        <f t="shared" si="13"/>
        <v>529.52</v>
      </c>
      <c r="P32" s="560">
        <f t="shared" si="40"/>
        <v>0</v>
      </c>
      <c r="Q32" s="560">
        <f t="shared" si="41"/>
        <v>0</v>
      </c>
      <c r="R32" s="562"/>
      <c r="S32" s="562"/>
      <c r="T32" s="5">
        <f t="shared" si="43"/>
        <v>4635</v>
      </c>
      <c r="U32" s="5">
        <f t="shared" si="4"/>
        <v>0</v>
      </c>
      <c r="V32" s="5">
        <f t="shared" si="14"/>
        <v>389</v>
      </c>
      <c r="W32" s="340">
        <f t="shared" si="15"/>
        <v>0</v>
      </c>
      <c r="X32" s="5">
        <f t="shared" si="37"/>
        <v>141112</v>
      </c>
      <c r="Y32" s="340">
        <f t="shared" si="30"/>
        <v>0</v>
      </c>
      <c r="Z32" s="5">
        <f t="shared" si="38"/>
        <v>92717</v>
      </c>
      <c r="AA32" s="84">
        <f t="shared" si="16"/>
        <v>0</v>
      </c>
      <c r="AB32" s="5">
        <f t="shared" si="17"/>
        <v>261</v>
      </c>
      <c r="AC32" s="5">
        <f t="shared" si="18"/>
        <v>671</v>
      </c>
      <c r="AD32" s="84">
        <f t="shared" si="31"/>
        <v>0</v>
      </c>
      <c r="AE32" s="5">
        <f t="shared" si="36"/>
        <v>117.52</v>
      </c>
      <c r="AF32" s="84">
        <f t="shared" si="19"/>
        <v>0</v>
      </c>
      <c r="AG32" s="5">
        <f t="shared" si="44"/>
        <v>1407.32</v>
      </c>
      <c r="AH32" s="84">
        <f t="shared" si="20"/>
        <v>0</v>
      </c>
      <c r="AI32" s="84">
        <f t="shared" si="21"/>
        <v>0</v>
      </c>
      <c r="AJ32" s="342">
        <f t="shared" si="22"/>
        <v>0</v>
      </c>
      <c r="AK32" s="343">
        <f t="shared" si="5"/>
        <v>0</v>
      </c>
      <c r="AL32" s="343">
        <f t="shared" si="23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24"/>
        <v>43888</v>
      </c>
      <c r="AS32" s="446">
        <f t="shared" si="42"/>
        <v>0.9</v>
      </c>
      <c r="AT32" s="205">
        <f t="shared" si="42"/>
        <v>165</v>
      </c>
      <c r="AU32" s="447">
        <f t="shared" si="35"/>
        <v>1.1000000000000001</v>
      </c>
      <c r="AV32" s="205">
        <f t="shared" si="45"/>
        <v>77</v>
      </c>
      <c r="AW32" s="5">
        <v>2.9</v>
      </c>
      <c r="AX32" s="205">
        <f t="shared" si="46"/>
        <v>90</v>
      </c>
      <c r="AY32" s="450">
        <f t="shared" si="7"/>
        <v>148.5</v>
      </c>
      <c r="AZ32" s="450">
        <f t="shared" si="25"/>
        <v>84.7</v>
      </c>
      <c r="BA32" s="450">
        <f t="shared" si="26"/>
        <v>261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43889</v>
      </c>
      <c r="B33" s="5">
        <f t="shared" si="32"/>
        <v>108473</v>
      </c>
      <c r="C33" s="5">
        <f t="shared" si="10"/>
        <v>0</v>
      </c>
      <c r="D33" s="441">
        <f t="shared" si="11"/>
        <v>0</v>
      </c>
      <c r="E33" s="349">
        <f>SUM((C33*$E$4)+(7500/'EDl log'!$A$36))</f>
        <v>258.62068965517244</v>
      </c>
      <c r="F33" s="343"/>
      <c r="G33" s="5">
        <f t="shared" si="33"/>
        <v>591714</v>
      </c>
      <c r="H33" s="5">
        <f t="shared" si="12"/>
        <v>0</v>
      </c>
      <c r="I33" s="5">
        <f t="shared" si="0"/>
        <v>0</v>
      </c>
      <c r="J33" s="350">
        <f t="shared" si="1"/>
        <v>0</v>
      </c>
      <c r="K33" s="5">
        <f>'Swimming Pool quality check '!H33</f>
        <v>5913</v>
      </c>
      <c r="L33" s="282">
        <f t="shared" si="34"/>
        <v>0</v>
      </c>
      <c r="M33" s="432">
        <f t="shared" si="13"/>
        <v>457.44</v>
      </c>
      <c r="N33" s="560">
        <f t="shared" si="39"/>
        <v>0</v>
      </c>
      <c r="O33" s="432">
        <f t="shared" si="13"/>
        <v>529.52</v>
      </c>
      <c r="P33" s="560">
        <f t="shared" si="40"/>
        <v>0</v>
      </c>
      <c r="Q33" s="560">
        <f t="shared" si="41"/>
        <v>0</v>
      </c>
      <c r="R33" s="562"/>
      <c r="S33" s="562"/>
      <c r="T33" s="5">
        <f t="shared" si="43"/>
        <v>4635</v>
      </c>
      <c r="U33" s="5">
        <f t="shared" si="4"/>
        <v>0</v>
      </c>
      <c r="V33" s="5">
        <f t="shared" si="14"/>
        <v>389</v>
      </c>
      <c r="W33" s="340">
        <f t="shared" si="15"/>
        <v>0</v>
      </c>
      <c r="X33" s="5">
        <f t="shared" si="37"/>
        <v>141112</v>
      </c>
      <c r="Y33" s="340">
        <f t="shared" si="30"/>
        <v>0</v>
      </c>
      <c r="Z33" s="5">
        <f t="shared" si="38"/>
        <v>92717</v>
      </c>
      <c r="AA33" s="84">
        <f t="shared" si="16"/>
        <v>0</v>
      </c>
      <c r="AB33" s="5">
        <f t="shared" si="17"/>
        <v>261</v>
      </c>
      <c r="AC33" s="5">
        <f t="shared" si="18"/>
        <v>671</v>
      </c>
      <c r="AD33" s="84">
        <f t="shared" si="31"/>
        <v>0</v>
      </c>
      <c r="AE33" s="5">
        <f t="shared" si="36"/>
        <v>117.52</v>
      </c>
      <c r="AF33" s="84">
        <f>AE33-AE32</f>
        <v>0</v>
      </c>
      <c r="AG33" s="5">
        <f t="shared" si="44"/>
        <v>1407.32</v>
      </c>
      <c r="AH33" s="84">
        <f t="shared" si="20"/>
        <v>0</v>
      </c>
      <c r="AI33" s="84">
        <f t="shared" si="21"/>
        <v>0</v>
      </c>
      <c r="AJ33" s="342">
        <f t="shared" si="22"/>
        <v>0</v>
      </c>
      <c r="AK33" s="343">
        <f t="shared" si="5"/>
        <v>0</v>
      </c>
      <c r="AL33" s="343">
        <f t="shared" si="23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4"/>
        <v>43889</v>
      </c>
      <c r="AS33" s="446">
        <f t="shared" si="42"/>
        <v>0.9</v>
      </c>
      <c r="AT33" s="205">
        <f t="shared" si="42"/>
        <v>165</v>
      </c>
      <c r="AU33" s="447">
        <f t="shared" si="35"/>
        <v>1.1000000000000001</v>
      </c>
      <c r="AV33" s="205">
        <f t="shared" si="45"/>
        <v>77</v>
      </c>
      <c r="AW33" s="5">
        <v>2.9</v>
      </c>
      <c r="AX33" s="205">
        <f t="shared" si="46"/>
        <v>90</v>
      </c>
      <c r="AY33" s="450">
        <f t="shared" si="7"/>
        <v>148.5</v>
      </c>
      <c r="AZ33" s="450">
        <f t="shared" si="25"/>
        <v>84.7</v>
      </c>
      <c r="BA33" s="450">
        <f t="shared" si="26"/>
        <v>261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43890</v>
      </c>
      <c r="B34" s="5">
        <f t="shared" si="32"/>
        <v>108473</v>
      </c>
      <c r="C34" s="5">
        <f t="shared" si="10"/>
        <v>0</v>
      </c>
      <c r="D34" s="441">
        <f t="shared" si="11"/>
        <v>0</v>
      </c>
      <c r="E34" s="349">
        <f>SUM((C34*$E$4)+(7500/'EDl log'!$A$36))</f>
        <v>258.62068965517244</v>
      </c>
      <c r="F34" s="343"/>
      <c r="G34" s="5">
        <f t="shared" si="33"/>
        <v>591714</v>
      </c>
      <c r="H34" s="5">
        <f t="shared" si="12"/>
        <v>0</v>
      </c>
      <c r="I34" s="5">
        <f t="shared" si="0"/>
        <v>0</v>
      </c>
      <c r="J34" s="350">
        <f t="shared" si="1"/>
        <v>0</v>
      </c>
      <c r="K34" s="5">
        <f>'Swimming Pool quality check '!H34</f>
        <v>5913</v>
      </c>
      <c r="L34" s="282">
        <f t="shared" si="34"/>
        <v>0</v>
      </c>
      <c r="M34" s="432">
        <f t="shared" si="13"/>
        <v>457.44</v>
      </c>
      <c r="N34" s="560">
        <f t="shared" si="39"/>
        <v>0</v>
      </c>
      <c r="O34" s="432">
        <f t="shared" si="13"/>
        <v>529.52</v>
      </c>
      <c r="P34" s="560">
        <f t="shared" si="40"/>
        <v>0</v>
      </c>
      <c r="Q34" s="560">
        <f t="shared" si="41"/>
        <v>0</v>
      </c>
      <c r="R34" s="562"/>
      <c r="S34" s="562"/>
      <c r="T34" s="5">
        <f t="shared" si="43"/>
        <v>4635</v>
      </c>
      <c r="U34" s="5">
        <f t="shared" si="4"/>
        <v>0</v>
      </c>
      <c r="V34" s="5">
        <f t="shared" si="14"/>
        <v>389</v>
      </c>
      <c r="W34" s="340">
        <f t="shared" si="15"/>
        <v>0</v>
      </c>
      <c r="X34" s="5">
        <f t="shared" si="37"/>
        <v>141112</v>
      </c>
      <c r="Y34" s="340">
        <f t="shared" si="30"/>
        <v>0</v>
      </c>
      <c r="Z34" s="5">
        <f t="shared" si="38"/>
        <v>92717</v>
      </c>
      <c r="AA34" s="84">
        <f t="shared" si="16"/>
        <v>0</v>
      </c>
      <c r="AB34" s="5">
        <f t="shared" si="17"/>
        <v>261</v>
      </c>
      <c r="AC34" s="5">
        <f t="shared" si="18"/>
        <v>671</v>
      </c>
      <c r="AD34" s="84">
        <f t="shared" si="31"/>
        <v>0</v>
      </c>
      <c r="AE34" s="5">
        <f t="shared" si="36"/>
        <v>117.52</v>
      </c>
      <c r="AF34" s="84">
        <f t="shared" si="19"/>
        <v>0</v>
      </c>
      <c r="AG34" s="5">
        <f t="shared" si="44"/>
        <v>1407.32</v>
      </c>
      <c r="AH34" s="84">
        <f t="shared" si="20"/>
        <v>0</v>
      </c>
      <c r="AI34" s="84">
        <f t="shared" si="21"/>
        <v>0</v>
      </c>
      <c r="AJ34" s="342">
        <f t="shared" si="22"/>
        <v>0</v>
      </c>
      <c r="AK34" s="343">
        <f t="shared" si="5"/>
        <v>0</v>
      </c>
      <c r="AL34" s="343">
        <f t="shared" si="23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4"/>
        <v>43890</v>
      </c>
      <c r="AS34" s="446">
        <f t="shared" si="42"/>
        <v>0.9</v>
      </c>
      <c r="AT34" s="205">
        <f t="shared" si="42"/>
        <v>165</v>
      </c>
      <c r="AU34" s="448">
        <f t="shared" si="35"/>
        <v>1.1000000000000001</v>
      </c>
      <c r="AV34" s="205">
        <f t="shared" si="45"/>
        <v>77</v>
      </c>
      <c r="AW34" s="5">
        <v>2.9</v>
      </c>
      <c r="AX34" s="205">
        <f t="shared" si="46"/>
        <v>90</v>
      </c>
      <c r="AY34" s="450">
        <f t="shared" si="7"/>
        <v>148.5</v>
      </c>
      <c r="AZ34" s="450">
        <f t="shared" si="25"/>
        <v>84.7</v>
      </c>
      <c r="BA34" s="450">
        <f t="shared" si="26"/>
        <v>261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/>
      <c r="B35" s="5">
        <f t="shared" si="32"/>
        <v>108473</v>
      </c>
      <c r="C35" s="5">
        <f t="shared" si="10"/>
        <v>0</v>
      </c>
      <c r="D35" s="441">
        <f t="shared" si="11"/>
        <v>0</v>
      </c>
      <c r="E35" s="349">
        <f>SUM((C35*$E$4)+(7500/'EDl log'!$A$36))</f>
        <v>258.62068965517244</v>
      </c>
      <c r="F35" s="343"/>
      <c r="G35" s="5">
        <f t="shared" si="33"/>
        <v>591714</v>
      </c>
      <c r="H35" s="5">
        <f t="shared" si="12"/>
        <v>0</v>
      </c>
      <c r="I35" s="5">
        <f t="shared" si="0"/>
        <v>0</v>
      </c>
      <c r="J35" s="350">
        <f t="shared" si="1"/>
        <v>0</v>
      </c>
      <c r="K35" s="5">
        <f>'Swimming Pool quality check '!H35</f>
        <v>5913</v>
      </c>
      <c r="L35" s="84">
        <f t="shared" si="34"/>
        <v>0</v>
      </c>
      <c r="M35" s="432">
        <f t="shared" si="13"/>
        <v>457.44</v>
      </c>
      <c r="N35" s="560">
        <f t="shared" si="39"/>
        <v>0</v>
      </c>
      <c r="O35" s="432">
        <f t="shared" si="13"/>
        <v>529.52</v>
      </c>
      <c r="P35" s="560">
        <f t="shared" si="40"/>
        <v>0</v>
      </c>
      <c r="Q35" s="560">
        <f t="shared" si="41"/>
        <v>0</v>
      </c>
      <c r="R35" s="560"/>
      <c r="S35" s="560"/>
      <c r="T35" s="5">
        <f t="shared" si="43"/>
        <v>4635</v>
      </c>
      <c r="U35" s="5">
        <f t="shared" si="4"/>
        <v>0</v>
      </c>
      <c r="V35" s="5">
        <f t="shared" si="14"/>
        <v>389</v>
      </c>
      <c r="W35" s="340">
        <f t="shared" si="15"/>
        <v>0</v>
      </c>
      <c r="X35" s="5">
        <f t="shared" si="37"/>
        <v>141112</v>
      </c>
      <c r="Y35" s="340">
        <f t="shared" si="30"/>
        <v>0</v>
      </c>
      <c r="Z35" s="5">
        <f t="shared" si="38"/>
        <v>92717</v>
      </c>
      <c r="AA35" s="84">
        <f t="shared" si="16"/>
        <v>0</v>
      </c>
      <c r="AB35" s="5">
        <f t="shared" si="17"/>
        <v>261</v>
      </c>
      <c r="AC35" s="5">
        <f t="shared" si="18"/>
        <v>671</v>
      </c>
      <c r="AD35" s="84">
        <f t="shared" si="31"/>
        <v>0</v>
      </c>
      <c r="AE35" s="5">
        <f t="shared" si="36"/>
        <v>117.52</v>
      </c>
      <c r="AF35" s="84">
        <f t="shared" si="19"/>
        <v>0</v>
      </c>
      <c r="AG35" s="5">
        <f t="shared" si="44"/>
        <v>1407.32</v>
      </c>
      <c r="AH35" s="84">
        <f t="shared" si="20"/>
        <v>0</v>
      </c>
      <c r="AI35" s="84">
        <f t="shared" si="21"/>
        <v>0</v>
      </c>
      <c r="AJ35" s="342">
        <f t="shared" si="22"/>
        <v>0</v>
      </c>
      <c r="AK35" s="343">
        <f t="shared" si="5"/>
        <v>0</v>
      </c>
      <c r="AL35" s="343">
        <f t="shared" si="23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/>
      <c r="AS35" s="446">
        <f t="shared" si="42"/>
        <v>0.9</v>
      </c>
      <c r="AT35" s="205">
        <f t="shared" si="42"/>
        <v>165</v>
      </c>
      <c r="AU35" s="449">
        <f t="shared" si="35"/>
        <v>1.1000000000000001</v>
      </c>
      <c r="AV35" s="205">
        <f t="shared" si="45"/>
        <v>77</v>
      </c>
      <c r="AW35" s="5">
        <v>2.9</v>
      </c>
      <c r="AX35" s="205">
        <f t="shared" si="46"/>
        <v>90</v>
      </c>
      <c r="AY35" s="450">
        <f t="shared" si="7"/>
        <v>148.5</v>
      </c>
      <c r="AZ35" s="450">
        <f t="shared" si="25"/>
        <v>84.7</v>
      </c>
      <c r="BA35" s="450">
        <f t="shared" si="26"/>
        <v>261</v>
      </c>
      <c r="BB35" s="21">
        <f t="shared" si="27"/>
        <v>0</v>
      </c>
      <c r="BC35" s="231">
        <f t="shared" si="27"/>
        <v>0</v>
      </c>
      <c r="BD35" s="231">
        <f t="shared" si="27"/>
        <v>0</v>
      </c>
      <c r="BE35" s="24">
        <f t="shared" si="29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/>
      <c r="B36" s="5">
        <f t="shared" si="32"/>
        <v>108473</v>
      </c>
      <c r="C36" s="5">
        <f>B36-B35</f>
        <v>0</v>
      </c>
      <c r="D36" s="441">
        <f t="shared" si="11"/>
        <v>0</v>
      </c>
      <c r="E36" s="349">
        <f>SUM((C36*$E$4)+(7500/'EDl log'!$A$36))</f>
        <v>258.62068965517244</v>
      </c>
      <c r="F36" s="343"/>
      <c r="G36" s="5">
        <f t="shared" si="33"/>
        <v>591714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5913</v>
      </c>
      <c r="L36" s="84">
        <f>K36-K35</f>
        <v>0</v>
      </c>
      <c r="M36" s="432">
        <f t="shared" si="13"/>
        <v>457.44</v>
      </c>
      <c r="N36" s="560">
        <f t="shared" si="39"/>
        <v>0</v>
      </c>
      <c r="O36" s="432">
        <f t="shared" si="13"/>
        <v>529.52</v>
      </c>
      <c r="P36" s="560">
        <f t="shared" si="40"/>
        <v>0</v>
      </c>
      <c r="Q36" s="560">
        <f t="shared" si="41"/>
        <v>0</v>
      </c>
      <c r="R36" s="560"/>
      <c r="S36" s="560"/>
      <c r="T36" s="5">
        <f t="shared" si="43"/>
        <v>4635</v>
      </c>
      <c r="U36" s="5">
        <f>SUM(T36-T35)</f>
        <v>0</v>
      </c>
      <c r="V36" s="5">
        <f t="shared" si="14"/>
        <v>389</v>
      </c>
      <c r="W36" s="340">
        <f t="shared" si="15"/>
        <v>0</v>
      </c>
      <c r="X36" s="5">
        <f t="shared" si="37"/>
        <v>141112</v>
      </c>
      <c r="Y36" s="340">
        <f>SUM(X36-X35)</f>
        <v>0</v>
      </c>
      <c r="Z36" s="5">
        <f t="shared" si="38"/>
        <v>92717</v>
      </c>
      <c r="AA36" s="84">
        <f>Z36-Z35</f>
        <v>0</v>
      </c>
      <c r="AB36" s="5">
        <f t="shared" si="17"/>
        <v>261</v>
      </c>
      <c r="AC36" s="5">
        <f t="shared" si="18"/>
        <v>671</v>
      </c>
      <c r="AD36" s="84">
        <f>AC36-AC35</f>
        <v>0</v>
      </c>
      <c r="AE36" s="5">
        <f t="shared" si="36"/>
        <v>117.52</v>
      </c>
      <c r="AF36" s="84">
        <f>AE36-AE35</f>
        <v>0</v>
      </c>
      <c r="AG36" s="5">
        <f t="shared" si="44"/>
        <v>1407.32</v>
      </c>
      <c r="AH36" s="84">
        <f t="shared" si="20"/>
        <v>0</v>
      </c>
      <c r="AI36" s="84">
        <f t="shared" si="21"/>
        <v>0</v>
      </c>
      <c r="AJ36" s="342">
        <f>+Z36-Z35</f>
        <v>0</v>
      </c>
      <c r="AK36" s="343">
        <f t="shared" si="5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/>
      <c r="AS36" s="446">
        <f t="shared" si="42"/>
        <v>0.9</v>
      </c>
      <c r="AT36" s="205">
        <f t="shared" si="42"/>
        <v>165</v>
      </c>
      <c r="AU36" s="449">
        <f t="shared" si="35"/>
        <v>1.1000000000000001</v>
      </c>
      <c r="AV36" s="205">
        <f t="shared" si="45"/>
        <v>77</v>
      </c>
      <c r="AW36" s="5">
        <v>2.9</v>
      </c>
      <c r="AX36" s="205">
        <f t="shared" si="46"/>
        <v>90</v>
      </c>
      <c r="AY36" s="450">
        <f>AS36*AT36</f>
        <v>148.5</v>
      </c>
      <c r="AZ36" s="450">
        <f>AU36*AV36</f>
        <v>84.7</v>
      </c>
      <c r="BA36" s="450">
        <f t="shared" si="26"/>
        <v>261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32</v>
      </c>
      <c r="D37" s="338">
        <f>SUM(D6:D36)</f>
        <v>1.1851851851851851</v>
      </c>
      <c r="F37" s="436">
        <f>SUM(F6:F36)</f>
        <v>0</v>
      </c>
      <c r="H37" s="434">
        <f>SUM(H6:H36)</f>
        <v>2378</v>
      </c>
      <c r="I37" s="434">
        <f>SUM(I6:I36)</f>
        <v>2410</v>
      </c>
      <c r="L37" s="275">
        <f>SUM(L7:L36)</f>
        <v>16</v>
      </c>
      <c r="Q37" s="536">
        <f>SUM(Q5:Q35)</f>
        <v>0</v>
      </c>
      <c r="U37" s="431">
        <f>SUM(U6:U36)</f>
        <v>116</v>
      </c>
      <c r="X37" s="339"/>
      <c r="Y37" s="338">
        <f>SUM(Y35,Y33,Y31,Y29,Y27,Y25,Y23,Y21,Y19,Y17,Y15,Y13,Y11,Y9,Y7+Y36)</f>
        <v>172</v>
      </c>
      <c r="AJ37" s="338">
        <f>SUM(AJ6:AJ36)</f>
        <v>757</v>
      </c>
      <c r="AK37" s="343">
        <f t="shared" si="5"/>
        <v>156</v>
      </c>
      <c r="AL37" s="338">
        <f>SUM(AL6:AL36)</f>
        <v>731</v>
      </c>
      <c r="AP37" s="17"/>
      <c r="AQ37" s="17"/>
      <c r="AR37" s="17"/>
      <c r="AS37" s="230"/>
      <c r="AT37" s="5"/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53.12</v>
      </c>
      <c r="E38" s="348">
        <f>SUM(E6:E36)</f>
        <v>8070.3613793103414</v>
      </c>
      <c r="F38" s="439">
        <f>SUM(F6:F36)</f>
        <v>0</v>
      </c>
      <c r="H38" s="158">
        <v>7500</v>
      </c>
      <c r="I38" s="435">
        <f>SUM('General information '!G37/WATER!I37)</f>
        <v>0.42728464730290472</v>
      </c>
      <c r="L38" s="158"/>
      <c r="O38" s="533">
        <f>SUM(Q37+I37)</f>
        <v>2410</v>
      </c>
      <c r="Z38" s="338">
        <f>SUM(Y37:AJ37)</f>
        <v>929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1.1851851851851851</v>
      </c>
      <c r="F39" s="437">
        <f>SUM(F6:F36)</f>
        <v>0</v>
      </c>
      <c r="G39" s="1">
        <f>SUM(I37)</f>
        <v>2410</v>
      </c>
      <c r="H39" s="1">
        <f>SUM(H38+C38)</f>
        <v>7553.12</v>
      </c>
      <c r="K39" s="1">
        <f>SUM(H39/G39)</f>
        <v>3.1340746887966806</v>
      </c>
      <c r="AJ39" s="338">
        <f>SUM(C38-AK38)</f>
        <v>53.12</v>
      </c>
      <c r="AM39" s="365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3" activePane="bottomLeft" state="frozen"/>
      <selection pane="bottomLeft" activeCell="D48" sqref="D48"/>
    </sheetView>
  </sheetViews>
  <sheetFormatPr defaultRowHeight="15"/>
  <cols>
    <col min="1" max="1" width="11.85546875" style="516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1" t="s">
        <v>193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3"/>
    </row>
    <row r="2" spans="1:15" ht="15.75" customHeight="1" thickBot="1">
      <c r="A2" s="604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6"/>
    </row>
    <row r="3" spans="1:15" ht="9" customHeight="1" thickBot="1">
      <c r="A3" s="51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4"/>
      <c r="B4" s="150" t="s">
        <v>389</v>
      </c>
      <c r="C4" s="151" t="s">
        <v>158</v>
      </c>
      <c r="D4" s="148" t="s">
        <v>160</v>
      </c>
      <c r="E4" s="152" t="s">
        <v>159</v>
      </c>
      <c r="F4" s="545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15" t="str">
        <f>ELEC!C2</f>
        <v>31-01-2020</v>
      </c>
      <c r="B5" s="375">
        <f>'[1]General information '!B36</f>
        <v>17</v>
      </c>
      <c r="C5" s="375">
        <f>'[1]General information '!C36</f>
        <v>13</v>
      </c>
      <c r="D5" s="375">
        <f>'[1]General information '!D36</f>
        <v>15</v>
      </c>
      <c r="E5" s="573">
        <f>'[1]General information '!E36</f>
        <v>0.64</v>
      </c>
      <c r="F5" s="573">
        <f>'[1]General information '!F36</f>
        <v>0.14779999999999999</v>
      </c>
      <c r="G5" s="375">
        <f>'[1]General information '!G36</f>
        <v>33.994</v>
      </c>
      <c r="H5" s="375">
        <f>'[1]General information '!H36</f>
        <v>0</v>
      </c>
      <c r="I5" s="375">
        <f>'[1]General information '!I36</f>
        <v>0</v>
      </c>
      <c r="J5" s="375">
        <f>'[1]General information '!J36</f>
        <v>210</v>
      </c>
      <c r="K5" s="375">
        <f>'[1]General information '!K36</f>
        <v>210</v>
      </c>
      <c r="L5" s="375">
        <f>'[1]General information '!L36</f>
        <v>0</v>
      </c>
      <c r="M5" s="375">
        <f>'[1]General information '!M36</f>
        <v>0</v>
      </c>
      <c r="N5" s="375">
        <f>'[1]General information '!N36</f>
        <v>0</v>
      </c>
      <c r="O5" s="375">
        <f>'[1]General information '!O36</f>
        <v>0</v>
      </c>
    </row>
    <row r="6" spans="1:15">
      <c r="A6" s="515">
        <f>ELEC!C3</f>
        <v>43862</v>
      </c>
      <c r="B6" s="37">
        <v>17</v>
      </c>
      <c r="C6" s="37">
        <v>12</v>
      </c>
      <c r="D6" s="26">
        <f t="shared" ref="D6:D12" si="0">(C6+B6)/2</f>
        <v>14.5</v>
      </c>
      <c r="E6" s="415">
        <v>0.56000000000000005</v>
      </c>
      <c r="F6" s="415">
        <v>0.14779999999999999</v>
      </c>
      <c r="G6" s="246">
        <f t="shared" ref="G6:G12" si="1">F6*230</f>
        <v>33.994</v>
      </c>
      <c r="H6" s="3"/>
      <c r="I6" s="3"/>
      <c r="J6" s="37">
        <v>210</v>
      </c>
      <c r="K6" s="270">
        <f t="shared" ref="K6:K26" si="2">+J6+H6</f>
        <v>210</v>
      </c>
      <c r="L6" s="3"/>
      <c r="M6" s="3"/>
      <c r="N6" s="156"/>
      <c r="O6" s="3"/>
    </row>
    <row r="7" spans="1:15">
      <c r="A7" s="515">
        <f>ELEC!C4</f>
        <v>43863</v>
      </c>
      <c r="B7" s="37">
        <v>17</v>
      </c>
      <c r="C7" s="37">
        <v>11</v>
      </c>
      <c r="D7" s="26">
        <f t="shared" si="0"/>
        <v>14</v>
      </c>
      <c r="E7" s="357">
        <v>0.6</v>
      </c>
      <c r="F7" s="362">
        <v>0.1087</v>
      </c>
      <c r="G7" s="246">
        <f t="shared" si="1"/>
        <v>25.001000000000001</v>
      </c>
      <c r="H7" s="3"/>
      <c r="I7" s="3"/>
      <c r="J7" s="37">
        <v>258</v>
      </c>
      <c r="K7" s="270">
        <f t="shared" si="2"/>
        <v>258</v>
      </c>
      <c r="L7" s="3"/>
      <c r="M7" s="3"/>
      <c r="N7" s="156"/>
      <c r="O7" s="3"/>
    </row>
    <row r="8" spans="1:15">
      <c r="A8" s="515">
        <f>ELEC!C5</f>
        <v>43864</v>
      </c>
      <c r="B8" s="37">
        <v>16</v>
      </c>
      <c r="C8" s="37">
        <v>10</v>
      </c>
      <c r="D8" s="26">
        <f t="shared" si="0"/>
        <v>13</v>
      </c>
      <c r="E8" s="357">
        <v>0.65</v>
      </c>
      <c r="F8" s="357">
        <v>0.1174</v>
      </c>
      <c r="G8" s="246">
        <f t="shared" si="1"/>
        <v>27.002000000000002</v>
      </c>
      <c r="H8" s="3"/>
      <c r="I8" s="3"/>
      <c r="J8" s="37">
        <v>134</v>
      </c>
      <c r="K8" s="270">
        <f t="shared" si="2"/>
        <v>134</v>
      </c>
      <c r="L8" s="3"/>
      <c r="M8" s="171"/>
      <c r="N8" s="156"/>
      <c r="O8" s="3"/>
    </row>
    <row r="9" spans="1:15">
      <c r="A9" s="515">
        <f>ELEC!C6</f>
        <v>43865</v>
      </c>
      <c r="B9" s="37">
        <v>17</v>
      </c>
      <c r="C9" s="37">
        <v>13</v>
      </c>
      <c r="D9" s="26">
        <f>(C9+B9)/2</f>
        <v>15</v>
      </c>
      <c r="E9" s="415">
        <v>0.71</v>
      </c>
      <c r="F9" s="415">
        <v>0.1174</v>
      </c>
      <c r="G9" s="246">
        <f>F9*230</f>
        <v>27.002000000000002</v>
      </c>
      <c r="H9" s="3"/>
      <c r="I9" s="3">
        <v>0</v>
      </c>
      <c r="J9" s="37">
        <v>155</v>
      </c>
      <c r="K9" s="270">
        <f>+J9+H9</f>
        <v>155</v>
      </c>
      <c r="L9" s="3"/>
      <c r="M9" s="3"/>
      <c r="N9" s="156"/>
      <c r="O9" s="3"/>
    </row>
    <row r="10" spans="1:15">
      <c r="A10" s="515">
        <f>ELEC!C7</f>
        <v>43866</v>
      </c>
      <c r="B10" s="37">
        <v>20</v>
      </c>
      <c r="C10" s="37">
        <v>15</v>
      </c>
      <c r="D10" s="26">
        <f t="shared" si="0"/>
        <v>17.5</v>
      </c>
      <c r="E10" s="373">
        <v>0.65</v>
      </c>
      <c r="F10" s="357">
        <v>0.14779999999999999</v>
      </c>
      <c r="G10" s="246">
        <f t="shared" si="1"/>
        <v>33.994</v>
      </c>
      <c r="H10" s="3"/>
      <c r="I10" s="3"/>
      <c r="J10" s="37">
        <v>175</v>
      </c>
      <c r="K10" s="270">
        <f t="shared" si="2"/>
        <v>175</v>
      </c>
      <c r="L10" s="3"/>
      <c r="M10" s="3"/>
      <c r="N10" s="156"/>
      <c r="O10" s="3"/>
    </row>
    <row r="11" spans="1:15">
      <c r="A11" s="515">
        <f>ELEC!C8</f>
        <v>43867</v>
      </c>
      <c r="B11" s="37">
        <v>22</v>
      </c>
      <c r="C11" s="37">
        <v>16</v>
      </c>
      <c r="D11" s="26">
        <f t="shared" si="0"/>
        <v>19</v>
      </c>
      <c r="E11" s="415">
        <v>0.61</v>
      </c>
      <c r="F11" s="357">
        <v>0.2</v>
      </c>
      <c r="G11" s="246">
        <f t="shared" si="1"/>
        <v>46</v>
      </c>
      <c r="H11" s="3"/>
      <c r="I11" s="3">
        <v>0</v>
      </c>
      <c r="J11" s="37">
        <v>162</v>
      </c>
      <c r="K11" s="270">
        <f>+J11+H11</f>
        <v>162</v>
      </c>
      <c r="L11" s="3"/>
      <c r="M11" s="3"/>
      <c r="N11" s="156"/>
      <c r="O11" s="3"/>
    </row>
    <row r="12" spans="1:15">
      <c r="A12" s="515">
        <f>ELEC!C9</f>
        <v>43868</v>
      </c>
      <c r="B12" s="37">
        <v>16</v>
      </c>
      <c r="C12" s="37">
        <v>10</v>
      </c>
      <c r="D12" s="26">
        <f t="shared" si="0"/>
        <v>13</v>
      </c>
      <c r="E12" s="415">
        <v>0.61</v>
      </c>
      <c r="F12" s="415">
        <v>0.19570000000000001</v>
      </c>
      <c r="G12" s="246">
        <f t="shared" si="1"/>
        <v>45.011000000000003</v>
      </c>
      <c r="H12" s="3"/>
      <c r="I12" s="3"/>
      <c r="J12" s="37">
        <v>304</v>
      </c>
      <c r="K12" s="270">
        <f t="shared" si="2"/>
        <v>304</v>
      </c>
      <c r="L12" s="3"/>
      <c r="M12" s="3"/>
      <c r="N12" s="156"/>
      <c r="O12" s="3"/>
    </row>
    <row r="13" spans="1:15">
      <c r="A13" s="515">
        <f>ELEC!C10</f>
        <v>43869</v>
      </c>
      <c r="B13" s="37">
        <v>14</v>
      </c>
      <c r="C13" s="37">
        <v>9</v>
      </c>
      <c r="D13" s="26">
        <f>(C13+B13)/2</f>
        <v>11.5</v>
      </c>
      <c r="E13" s="373">
        <v>0.46</v>
      </c>
      <c r="F13" s="373">
        <v>0.13900000000000001</v>
      </c>
      <c r="G13" s="246">
        <f>F13*230</f>
        <v>31.970000000000002</v>
      </c>
      <c r="H13" s="3"/>
      <c r="I13" s="3"/>
      <c r="J13" s="37">
        <v>445</v>
      </c>
      <c r="K13" s="270">
        <f t="shared" si="2"/>
        <v>445</v>
      </c>
      <c r="L13" s="3"/>
      <c r="M13" s="3"/>
      <c r="N13" s="156"/>
      <c r="O13" s="3"/>
    </row>
    <row r="14" spans="1:15">
      <c r="A14" s="515">
        <f>ELEC!C11</f>
        <v>43870</v>
      </c>
      <c r="B14" s="37">
        <v>9</v>
      </c>
      <c r="C14" s="37">
        <v>8</v>
      </c>
      <c r="D14" s="26">
        <f t="shared" ref="D14:D35" si="3">(C14+B14)/2</f>
        <v>8.5</v>
      </c>
      <c r="E14" s="357">
        <v>0.52</v>
      </c>
      <c r="F14" s="357">
        <v>0.1522</v>
      </c>
      <c r="G14" s="246">
        <f t="shared" ref="G14:G35" si="4">F14*230</f>
        <v>35.006</v>
      </c>
      <c r="H14" s="3"/>
      <c r="I14" s="3">
        <v>0</v>
      </c>
      <c r="J14" s="37">
        <v>376</v>
      </c>
      <c r="K14" s="270">
        <f t="shared" si="2"/>
        <v>376</v>
      </c>
      <c r="L14" s="3"/>
      <c r="M14" s="3"/>
      <c r="N14" s="156"/>
      <c r="O14" s="3"/>
    </row>
    <row r="15" spans="1:15">
      <c r="A15" s="515">
        <f>ELEC!C12</f>
        <v>43871</v>
      </c>
      <c r="B15" s="37">
        <v>10</v>
      </c>
      <c r="C15" s="37">
        <v>7</v>
      </c>
      <c r="D15" s="26">
        <f t="shared" si="3"/>
        <v>8.5</v>
      </c>
      <c r="E15" s="357">
        <v>0.55000000000000004</v>
      </c>
      <c r="F15" s="357">
        <v>0.16089999999999999</v>
      </c>
      <c r="G15" s="246">
        <f>F15*230</f>
        <v>37.006999999999998</v>
      </c>
      <c r="H15" s="3"/>
      <c r="I15" s="3"/>
      <c r="J15" s="37">
        <v>206</v>
      </c>
      <c r="K15" s="270">
        <f>+J15+H15</f>
        <v>206</v>
      </c>
      <c r="L15" s="3"/>
      <c r="M15" s="3"/>
      <c r="N15" s="156"/>
      <c r="O15" s="3"/>
    </row>
    <row r="16" spans="1:15">
      <c r="A16" s="515">
        <f>ELEC!C13</f>
        <v>43872</v>
      </c>
      <c r="B16" s="37">
        <v>14</v>
      </c>
      <c r="C16" s="37">
        <v>8</v>
      </c>
      <c r="D16" s="26">
        <f t="shared" si="3"/>
        <v>11</v>
      </c>
      <c r="E16" s="357">
        <v>0.5</v>
      </c>
      <c r="F16" s="357">
        <v>0.14779999999999999</v>
      </c>
      <c r="G16" s="246">
        <f t="shared" si="4"/>
        <v>33.994</v>
      </c>
      <c r="H16" s="3"/>
      <c r="I16" s="3"/>
      <c r="J16" s="37">
        <v>199</v>
      </c>
      <c r="K16" s="270">
        <f>+J16+H16</f>
        <v>199</v>
      </c>
      <c r="L16" s="3"/>
      <c r="M16" s="3"/>
      <c r="N16" s="156"/>
      <c r="O16" s="3"/>
    </row>
    <row r="17" spans="1:15">
      <c r="A17" s="515">
        <f>ELEC!C14</f>
        <v>43873</v>
      </c>
      <c r="B17" s="37">
        <v>16</v>
      </c>
      <c r="C17" s="37">
        <v>13</v>
      </c>
      <c r="D17" s="26">
        <f t="shared" si="3"/>
        <v>14.5</v>
      </c>
      <c r="E17" s="357">
        <v>0.6</v>
      </c>
      <c r="F17" s="357">
        <v>0.20430000000000001</v>
      </c>
      <c r="G17" s="246">
        <f t="shared" si="4"/>
        <v>46.989000000000004</v>
      </c>
      <c r="H17" s="3"/>
      <c r="I17" s="3">
        <v>0</v>
      </c>
      <c r="J17" s="464">
        <v>136</v>
      </c>
      <c r="K17" s="270">
        <f t="shared" si="2"/>
        <v>136</v>
      </c>
      <c r="L17" s="3"/>
      <c r="M17" s="3"/>
      <c r="N17" s="156"/>
      <c r="O17" s="3"/>
    </row>
    <row r="18" spans="1:15">
      <c r="A18" s="515">
        <f>ELEC!C15</f>
        <v>43874</v>
      </c>
      <c r="B18" s="37">
        <v>17</v>
      </c>
      <c r="C18" s="37">
        <v>14</v>
      </c>
      <c r="D18" s="26">
        <f t="shared" si="3"/>
        <v>15.5</v>
      </c>
      <c r="E18" s="451">
        <v>0.65</v>
      </c>
      <c r="F18" s="357">
        <v>0.3478</v>
      </c>
      <c r="G18" s="246">
        <f t="shared" si="4"/>
        <v>79.994</v>
      </c>
      <c r="H18" s="3"/>
      <c r="I18" s="3"/>
      <c r="J18" s="3">
        <v>284</v>
      </c>
      <c r="K18" s="270">
        <f t="shared" si="2"/>
        <v>284</v>
      </c>
      <c r="L18" s="3"/>
      <c r="M18" s="3"/>
      <c r="N18" s="156"/>
      <c r="O18" s="3"/>
    </row>
    <row r="19" spans="1:15">
      <c r="A19" s="515">
        <f>ELEC!C16</f>
        <v>43875</v>
      </c>
      <c r="B19" s="37">
        <v>17</v>
      </c>
      <c r="C19" s="37">
        <v>11</v>
      </c>
      <c r="D19" s="26">
        <f t="shared" si="3"/>
        <v>14</v>
      </c>
      <c r="E19" s="357">
        <v>0.78</v>
      </c>
      <c r="F19" s="357">
        <v>0.3826</v>
      </c>
      <c r="G19" s="246">
        <f t="shared" si="4"/>
        <v>87.998000000000005</v>
      </c>
      <c r="H19" s="3"/>
      <c r="I19" s="3">
        <v>0</v>
      </c>
      <c r="J19" s="3">
        <v>477</v>
      </c>
      <c r="K19" s="270">
        <f t="shared" si="2"/>
        <v>477</v>
      </c>
      <c r="L19" s="3"/>
      <c r="M19" s="3"/>
      <c r="N19" s="156"/>
      <c r="O19" s="3"/>
    </row>
    <row r="20" spans="1:15">
      <c r="A20" s="515">
        <f>ELEC!C17</f>
        <v>43876</v>
      </c>
      <c r="B20" s="37">
        <v>17</v>
      </c>
      <c r="C20" s="37">
        <v>12</v>
      </c>
      <c r="D20" s="26">
        <f t="shared" si="3"/>
        <v>14.5</v>
      </c>
      <c r="E20" s="357">
        <v>0.59</v>
      </c>
      <c r="F20" s="357">
        <v>0.247</v>
      </c>
      <c r="G20" s="246">
        <f t="shared" si="4"/>
        <v>56.81</v>
      </c>
      <c r="H20" s="3"/>
      <c r="I20" s="3"/>
      <c r="J20" s="3">
        <v>396</v>
      </c>
      <c r="K20" s="270">
        <f t="shared" si="2"/>
        <v>396</v>
      </c>
      <c r="L20" s="3"/>
      <c r="M20" s="3"/>
      <c r="N20" s="156"/>
      <c r="O20" s="3"/>
    </row>
    <row r="21" spans="1:15">
      <c r="A21" s="515">
        <f>ELEC!C18</f>
        <v>43877</v>
      </c>
      <c r="B21" s="37">
        <v>17</v>
      </c>
      <c r="C21" s="37">
        <v>11</v>
      </c>
      <c r="D21" s="26">
        <f>(C21+B21)/2</f>
        <v>14</v>
      </c>
      <c r="E21" s="357">
        <v>0.57999999999999996</v>
      </c>
      <c r="F21" s="357">
        <v>0.1696</v>
      </c>
      <c r="G21" s="246">
        <f t="shared" si="4"/>
        <v>39.008000000000003</v>
      </c>
      <c r="H21" s="3"/>
      <c r="I21" s="3"/>
      <c r="J21" s="3">
        <v>305</v>
      </c>
      <c r="K21" s="270">
        <f t="shared" si="2"/>
        <v>305</v>
      </c>
      <c r="L21" s="3"/>
      <c r="M21" s="3"/>
      <c r="N21" s="156"/>
      <c r="O21" s="3"/>
    </row>
    <row r="22" spans="1:15">
      <c r="A22" s="515">
        <f>ELEC!C19</f>
        <v>43878</v>
      </c>
      <c r="B22" s="37">
        <v>16</v>
      </c>
      <c r="C22" s="37">
        <v>12</v>
      </c>
      <c r="D22" s="26">
        <f t="shared" si="3"/>
        <v>14</v>
      </c>
      <c r="E22" s="357">
        <v>0.6</v>
      </c>
      <c r="F22" s="415">
        <v>0.23039999999999999</v>
      </c>
      <c r="G22" s="246">
        <f t="shared" si="4"/>
        <v>52.991999999999997</v>
      </c>
      <c r="H22" s="3"/>
      <c r="I22" s="3"/>
      <c r="J22" s="3">
        <v>178</v>
      </c>
      <c r="K22" s="270">
        <f t="shared" si="2"/>
        <v>178</v>
      </c>
      <c r="L22" s="3"/>
      <c r="M22" s="3"/>
      <c r="N22" s="156"/>
      <c r="O22" s="3"/>
    </row>
    <row r="23" spans="1:15">
      <c r="A23" s="515">
        <f>ELEC!C20</f>
        <v>43879</v>
      </c>
      <c r="B23" s="37">
        <v>17</v>
      </c>
      <c r="C23" s="37">
        <v>11</v>
      </c>
      <c r="D23" s="26">
        <f>(C23+B23)/2</f>
        <v>14</v>
      </c>
      <c r="E23" s="357">
        <v>0.62</v>
      </c>
      <c r="F23" s="357">
        <v>0.23480000000000001</v>
      </c>
      <c r="G23" s="246">
        <f t="shared" si="4"/>
        <v>54.004000000000005</v>
      </c>
      <c r="H23" s="3"/>
      <c r="I23" s="3"/>
      <c r="J23" s="3">
        <v>179</v>
      </c>
      <c r="K23" s="270">
        <f t="shared" si="2"/>
        <v>179</v>
      </c>
      <c r="L23" s="3"/>
      <c r="M23" s="3"/>
      <c r="N23" s="156"/>
      <c r="O23" s="3"/>
    </row>
    <row r="24" spans="1:15">
      <c r="A24" s="515">
        <f>ELEC!C21</f>
        <v>43880</v>
      </c>
      <c r="B24" s="37">
        <v>17</v>
      </c>
      <c r="C24" s="37">
        <v>14</v>
      </c>
      <c r="D24" s="26">
        <f t="shared" si="3"/>
        <v>15.5</v>
      </c>
      <c r="E24" s="357">
        <v>0.6</v>
      </c>
      <c r="F24" s="357">
        <v>0.23039999999999999</v>
      </c>
      <c r="G24" s="246">
        <f t="shared" si="4"/>
        <v>52.991999999999997</v>
      </c>
      <c r="H24" s="3"/>
      <c r="I24" s="3"/>
      <c r="J24" s="3">
        <v>173</v>
      </c>
      <c r="K24" s="270">
        <f t="shared" si="2"/>
        <v>173</v>
      </c>
      <c r="L24" s="3"/>
      <c r="M24" s="3"/>
      <c r="N24" s="156"/>
      <c r="O24" s="3"/>
    </row>
    <row r="25" spans="1:15">
      <c r="A25" s="515">
        <f>ELEC!C22</f>
        <v>43881</v>
      </c>
      <c r="B25" s="37">
        <v>17</v>
      </c>
      <c r="C25" s="37">
        <v>14</v>
      </c>
      <c r="D25" s="26">
        <f t="shared" si="3"/>
        <v>15.5</v>
      </c>
      <c r="E25" s="357">
        <v>0.59</v>
      </c>
      <c r="F25" s="357">
        <v>0.2261</v>
      </c>
      <c r="G25" s="246">
        <f t="shared" si="4"/>
        <v>52.003</v>
      </c>
      <c r="H25" s="3"/>
      <c r="I25" s="3"/>
      <c r="J25" s="3">
        <v>266</v>
      </c>
      <c r="K25" s="270">
        <f t="shared" si="2"/>
        <v>266</v>
      </c>
      <c r="L25" s="3"/>
      <c r="M25" s="3"/>
      <c r="N25" s="156"/>
      <c r="O25" s="3"/>
    </row>
    <row r="26" spans="1:15">
      <c r="A26" s="515">
        <f>ELEC!C23</f>
        <v>43882</v>
      </c>
      <c r="B26" s="37">
        <v>16</v>
      </c>
      <c r="C26" s="37">
        <v>12</v>
      </c>
      <c r="D26" s="26">
        <f>(C26+B26)/2</f>
        <v>14</v>
      </c>
      <c r="E26" s="357">
        <v>0.82</v>
      </c>
      <c r="F26" s="357">
        <v>0.24779999999999999</v>
      </c>
      <c r="G26" s="246">
        <f t="shared" si="4"/>
        <v>56.994</v>
      </c>
      <c r="H26" s="3"/>
      <c r="I26" s="3"/>
      <c r="J26" s="3">
        <v>208</v>
      </c>
      <c r="K26" s="270">
        <f t="shared" si="2"/>
        <v>208</v>
      </c>
      <c r="L26" s="3"/>
      <c r="M26" s="3"/>
      <c r="N26" s="156"/>
      <c r="O26" s="3"/>
    </row>
    <row r="27" spans="1:15">
      <c r="A27" s="515">
        <f>ELEC!C24</f>
        <v>43883</v>
      </c>
      <c r="B27" s="37">
        <v>17</v>
      </c>
      <c r="C27" s="37">
        <v>12</v>
      </c>
      <c r="D27" s="26">
        <f t="shared" si="3"/>
        <v>14.5</v>
      </c>
      <c r="E27" s="357">
        <v>0.65</v>
      </c>
      <c r="F27" s="357">
        <v>0.18260000000000001</v>
      </c>
      <c r="G27" s="246">
        <f t="shared" si="4"/>
        <v>41.998000000000005</v>
      </c>
      <c r="H27" s="3"/>
      <c r="I27" s="3"/>
      <c r="J27" s="3">
        <v>264</v>
      </c>
      <c r="K27" s="270">
        <f>+J27+H27+I27</f>
        <v>264</v>
      </c>
      <c r="L27" s="3"/>
      <c r="M27" s="3"/>
      <c r="N27" s="156"/>
      <c r="O27" s="3"/>
    </row>
    <row r="28" spans="1:15">
      <c r="A28" s="515">
        <f>ELEC!C25</f>
        <v>43884</v>
      </c>
      <c r="B28" s="37">
        <v>16</v>
      </c>
      <c r="C28" s="37">
        <v>14</v>
      </c>
      <c r="D28" s="26">
        <f t="shared" si="3"/>
        <v>15</v>
      </c>
      <c r="E28" s="357">
        <v>0.66</v>
      </c>
      <c r="F28" s="357">
        <v>0.1391</v>
      </c>
      <c r="G28" s="246">
        <f t="shared" si="4"/>
        <v>31.993000000000002</v>
      </c>
      <c r="H28" s="3"/>
      <c r="I28" s="3"/>
      <c r="J28" s="3">
        <v>209</v>
      </c>
      <c r="K28" s="270">
        <f t="shared" ref="K28:K35" si="5">+J28+H28+I28</f>
        <v>209</v>
      </c>
      <c r="L28" s="3"/>
      <c r="M28" s="3"/>
      <c r="N28" s="156"/>
      <c r="O28" s="3"/>
    </row>
    <row r="29" spans="1:15">
      <c r="A29" s="515">
        <f>ELEC!C26</f>
        <v>43885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"/>
      <c r="K29" s="270">
        <f t="shared" si="5"/>
        <v>0</v>
      </c>
      <c r="L29" s="3"/>
      <c r="M29" s="3"/>
      <c r="N29" s="156"/>
      <c r="O29" s="3"/>
    </row>
    <row r="30" spans="1:15">
      <c r="A30" s="515">
        <f>ELEC!C27</f>
        <v>43886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"/>
      <c r="K30" s="270">
        <f t="shared" si="5"/>
        <v>0</v>
      </c>
      <c r="L30" s="3"/>
      <c r="M30" s="3"/>
      <c r="N30" s="156"/>
      <c r="O30" s="3"/>
    </row>
    <row r="31" spans="1:15">
      <c r="A31" s="515">
        <f>ELEC!C28</f>
        <v>43887</v>
      </c>
      <c r="B31" s="37"/>
      <c r="C31" s="37"/>
      <c r="D31" s="3">
        <f t="shared" si="3"/>
        <v>0</v>
      </c>
      <c r="E31" s="358"/>
      <c r="F31" s="292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15">
        <f>ELEC!C29</f>
        <v>43888</v>
      </c>
      <c r="B32" s="37"/>
      <c r="C32" s="37"/>
      <c r="D32" s="291">
        <f>(C32+B32)/2</f>
        <v>0</v>
      </c>
      <c r="E32" s="358"/>
      <c r="F32" s="361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15">
        <f>ELEC!C30</f>
        <v>43889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15">
        <f>ELEC!C31</f>
        <v>43890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15">
        <f>ELEC!C32</f>
        <v>0</v>
      </c>
      <c r="B35" s="37"/>
      <c r="C35" s="37"/>
      <c r="D35" s="26">
        <f t="shared" si="3"/>
        <v>0</v>
      </c>
      <c r="E35" s="373"/>
      <c r="F35" s="373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15">
        <f>ELEC!C33</f>
        <v>0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0.19466086956521739</v>
      </c>
      <c r="G37" s="207">
        <f>SUM(G6:G35)</f>
        <v>1029.7560000000003</v>
      </c>
    </row>
    <row r="38" spans="1:15">
      <c r="D38" s="268">
        <f>SUM(D6:D36)/'EDl log'!A34</f>
        <v>13.934782608695652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J1" activePane="topRight" state="frozen"/>
      <selection pane="topRight" activeCell="AW28" sqref="AW2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5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1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1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9" t="s">
        <v>108</v>
      </c>
      <c r="AS3" s="609" t="s">
        <v>234</v>
      </c>
      <c r="AT3" s="607" t="s">
        <v>302</v>
      </c>
      <c r="AU3" s="608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0"/>
      <c r="AS4" s="610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5" t="str">
        <f>ELEC!C2</f>
        <v>31-01-2020</v>
      </c>
      <c r="B5" s="207">
        <f>[1]tanks!B36</f>
        <v>242.4</v>
      </c>
      <c r="C5" s="207">
        <f>[1]tanks!C36</f>
        <v>5215.5096774193553</v>
      </c>
      <c r="D5" s="207">
        <f>[1]tanks!D36</f>
        <v>242.4</v>
      </c>
      <c r="E5" s="207">
        <f>[1]tanks!E36</f>
        <v>5215.5096774193553</v>
      </c>
      <c r="F5" s="207">
        <f>[1]tanks!F36</f>
        <v>242.4</v>
      </c>
      <c r="G5" s="207">
        <f>[1]tanks!G36</f>
        <v>5215.5096774193553</v>
      </c>
      <c r="H5" s="207">
        <f>[1]tanks!H36</f>
        <v>242.4</v>
      </c>
      <c r="I5" s="207">
        <f>[1]tanks!I36</f>
        <v>5215.5096774193553</v>
      </c>
      <c r="J5" s="207">
        <f>[1]tanks!J36</f>
        <v>242.4</v>
      </c>
      <c r="K5" s="207">
        <f>[1]tanks!K36</f>
        <v>5215.5096774193553</v>
      </c>
      <c r="L5" s="207">
        <f>[1]tanks!L36</f>
        <v>242.4</v>
      </c>
      <c r="M5" s="207">
        <f>[1]tanks!M36</f>
        <v>5215.5096774193553</v>
      </c>
      <c r="N5" s="207">
        <f>[1]tanks!N36</f>
        <v>242.4</v>
      </c>
      <c r="O5" s="207">
        <f>[1]tanks!O36</f>
        <v>5215.5096774193553</v>
      </c>
      <c r="P5" s="207">
        <f>[1]tanks!P36</f>
        <v>242.4</v>
      </c>
      <c r="Q5" s="207">
        <f>[1]tanks!Q36</f>
        <v>5215.5096774193553</v>
      </c>
      <c r="R5" s="207">
        <f>[1]tanks!R36</f>
        <v>242.4</v>
      </c>
      <c r="S5" s="207">
        <f>[1]tanks!S36</f>
        <v>5215.5096774193553</v>
      </c>
      <c r="T5" s="207">
        <f>[1]tanks!T36</f>
        <v>242.4</v>
      </c>
      <c r="U5" s="207">
        <f>[1]tanks!U36</f>
        <v>5215.5096774193553</v>
      </c>
      <c r="V5" s="207">
        <f>[1]tanks!V36</f>
        <v>242.4</v>
      </c>
      <c r="W5" s="207">
        <f>[1]tanks!W36</f>
        <v>5215.5096774193553</v>
      </c>
      <c r="X5" s="547">
        <f>[1]tanks!X36</f>
        <v>0.78193548387096767</v>
      </c>
      <c r="Y5" s="207">
        <f>[1]tanks!Y36</f>
        <v>57370.606451612897</v>
      </c>
      <c r="Z5" s="207">
        <f>[1]tanks!Z36</f>
        <v>248</v>
      </c>
      <c r="AA5" s="207">
        <f>[1]tanks!AA36</f>
        <v>2480</v>
      </c>
      <c r="AB5" s="207">
        <f>[1]tanks!AB36</f>
        <v>248</v>
      </c>
      <c r="AC5" s="207">
        <f>[1]tanks!AC36</f>
        <v>2480</v>
      </c>
      <c r="AD5" s="207">
        <f>[1]tanks!AD36</f>
        <v>248</v>
      </c>
      <c r="AE5" s="207">
        <f>[1]tanks!AE36</f>
        <v>2480</v>
      </c>
      <c r="AF5" s="207">
        <f>[1]tanks!AF36</f>
        <v>248</v>
      </c>
      <c r="AG5" s="207">
        <f>[1]tanks!AG36</f>
        <v>2480</v>
      </c>
      <c r="AH5" s="207">
        <f>[1]tanks!AH36</f>
        <v>248</v>
      </c>
      <c r="AI5" s="207">
        <f>[1]tanks!AI36</f>
        <v>2480</v>
      </c>
      <c r="AJ5" s="207">
        <f>[1]tanks!AJ36</f>
        <v>248</v>
      </c>
      <c r="AK5" s="207">
        <f>[1]tanks!AK36</f>
        <v>2480</v>
      </c>
      <c r="AL5" s="207">
        <f>[1]tanks!AL36</f>
        <v>248</v>
      </c>
      <c r="AM5" s="207">
        <f>[1]tanks!AM36</f>
        <v>2480</v>
      </c>
      <c r="AN5" s="547">
        <f>[1]tanks!AN36</f>
        <v>0.88571428571428568</v>
      </c>
      <c r="AO5" s="207">
        <f>[1]tanks!AO36</f>
        <v>17360</v>
      </c>
      <c r="AP5" s="207">
        <f>[2]tanks!AP36</f>
        <v>0</v>
      </c>
      <c r="AQ5" s="547">
        <f>[1]tanks!AQ36</f>
        <v>0.80381420298604811</v>
      </c>
      <c r="AR5" s="572">
        <f>[1]tanks!AR36</f>
        <v>74730.606451612897</v>
      </c>
      <c r="AS5" s="570">
        <f>[1]tanks!AS36</f>
        <v>-1493.0516129032185</v>
      </c>
      <c r="AT5" s="570">
        <f>[1]tanks!AT36</f>
        <v>0</v>
      </c>
      <c r="AU5" s="570">
        <f>[1]tanks!AU36</f>
        <v>0</v>
      </c>
      <c r="AV5" s="570">
        <f>[1]tanks!AV36</f>
        <v>0.58350000000000002</v>
      </c>
      <c r="AW5" s="570">
        <f>[1]tanks!AW36</f>
        <v>-877.90000000002328</v>
      </c>
      <c r="AX5" s="570">
        <f>[1]tanks!AX36</f>
        <v>-615.1516129031952</v>
      </c>
      <c r="AY5" s="547">
        <f>[1]tanks!AY36</f>
        <v>-1493.0516129032185</v>
      </c>
      <c r="AZ5" s="547">
        <f>[1]tanks!AZ36</f>
        <v>0.14779999999999999</v>
      </c>
      <c r="BA5" s="571">
        <f>[1]tanks!BA36</f>
        <v>15</v>
      </c>
      <c r="BB5" s="547">
        <f>[1]tanks!BB36</f>
        <v>0.64</v>
      </c>
      <c r="BC5" s="207">
        <f>[2]tanks!BC36</f>
        <v>0</v>
      </c>
      <c r="BD5" s="207">
        <f>[2]tanks!BD36</f>
        <v>0</v>
      </c>
      <c r="BE5" s="207">
        <f>[2]tanks!BE36</f>
        <v>0</v>
      </c>
      <c r="BF5" s="207">
        <f>[2]tanks!BF36</f>
        <v>0</v>
      </c>
      <c r="BG5" s="207">
        <f>[2]tanks!BG36</f>
        <v>0</v>
      </c>
      <c r="BH5" s="207">
        <f>[2]tanks!BH36</f>
        <v>0</v>
      </c>
      <c r="BI5" s="207"/>
    </row>
    <row r="6" spans="1:61">
      <c r="A6" s="475">
        <f>ELEC!C3</f>
        <v>43862</v>
      </c>
      <c r="B6">
        <f>'B5'!B5</f>
        <v>237</v>
      </c>
      <c r="C6" s="207">
        <f>B6*$B$4</f>
        <v>5099.322580645161</v>
      </c>
      <c r="D6">
        <f>SUM(B6)</f>
        <v>237</v>
      </c>
      <c r="E6" s="207">
        <f>D6*$B$4</f>
        <v>5099.322580645161</v>
      </c>
      <c r="F6">
        <f>SUM(D6)</f>
        <v>237</v>
      </c>
      <c r="G6" s="207">
        <f t="shared" ref="G6:G35" si="1">F6*$B$4</f>
        <v>5099.322580645161</v>
      </c>
      <c r="H6" s="207">
        <f>SUM(F6)</f>
        <v>237</v>
      </c>
      <c r="I6" s="207">
        <f t="shared" ref="I6:I35" si="2">H6*$B$4</f>
        <v>5099.322580645161</v>
      </c>
      <c r="J6" s="207">
        <f>SUM(H6)</f>
        <v>237</v>
      </c>
      <c r="K6" s="207">
        <f t="shared" ref="K6:K35" si="3">J6*$B$4</f>
        <v>5099.322580645161</v>
      </c>
      <c r="L6" s="207">
        <f>SUM(J6)</f>
        <v>237</v>
      </c>
      <c r="M6" s="207">
        <f t="shared" ref="M6:M35" si="4">L6*$B$4</f>
        <v>5099.322580645161</v>
      </c>
      <c r="N6" s="207">
        <f>SUM(L6)</f>
        <v>237</v>
      </c>
      <c r="O6" s="207">
        <f t="shared" ref="O6:O35" si="5">N6*$B$4</f>
        <v>5099.322580645161</v>
      </c>
      <c r="P6" s="207">
        <f>SUM(N6)</f>
        <v>237</v>
      </c>
      <c r="Q6" s="207">
        <f t="shared" ref="Q6:Q35" si="6">P6*$B$4</f>
        <v>5099.322580645161</v>
      </c>
      <c r="R6" s="207">
        <f>SUM(P6)</f>
        <v>237</v>
      </c>
      <c r="S6" s="207">
        <f t="shared" ref="S6:S35" si="7">R6*$B$4</f>
        <v>5099.322580645161</v>
      </c>
      <c r="T6" s="207">
        <f>SUM(R6)</f>
        <v>237</v>
      </c>
      <c r="U6" s="207">
        <f t="shared" ref="U6:U35" si="8">T6*$B$4</f>
        <v>5099.322580645161</v>
      </c>
      <c r="V6" s="207">
        <f>SUM(T6)</f>
        <v>237</v>
      </c>
      <c r="W6" s="207">
        <f t="shared" ref="W6:W35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7">
        <f>'B5'!C5</f>
        <v>242</v>
      </c>
      <c r="AA6" s="207">
        <f>SUM(Z6*$Z$4)</f>
        <v>2420</v>
      </c>
      <c r="AB6" s="207">
        <f>SUM(Z6)</f>
        <v>242</v>
      </c>
      <c r="AC6" s="207">
        <f>SUM(AB6*$Z$4)</f>
        <v>2420</v>
      </c>
      <c r="AD6" s="207">
        <f>SUM(AB6)</f>
        <v>242</v>
      </c>
      <c r="AE6" s="207">
        <f t="shared" ref="AE6:AE35" si="11">SUM(AD6*$Z$4)</f>
        <v>2420</v>
      </c>
      <c r="AF6" s="207">
        <f>SUM(AD6)</f>
        <v>242</v>
      </c>
      <c r="AG6" s="207">
        <f t="shared" ref="AG6:AG35" si="12">SUM(AF6*$Z$4)</f>
        <v>2420</v>
      </c>
      <c r="AH6" s="207">
        <f>SUM(AF6)</f>
        <v>242</v>
      </c>
      <c r="AI6" s="207">
        <f t="shared" ref="AI6:AI35" si="13">SUM(AH6*$Z$4)</f>
        <v>2420</v>
      </c>
      <c r="AJ6" s="207">
        <f>SUM(AH6)</f>
        <v>242</v>
      </c>
      <c r="AK6" s="207">
        <f t="shared" ref="AK6:AK35" si="14">SUM(AJ6*$Z$4)</f>
        <v>2420</v>
      </c>
      <c r="AL6" s="207">
        <f>SUM(AJ6)</f>
        <v>242</v>
      </c>
      <c r="AM6" s="207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6" si="17">SUM(AA6+AC6+AE6+AG6+AI6+AK6+AM6)</f>
        <v>16940</v>
      </c>
      <c r="AQ6" s="227">
        <f>SUM(AR6/92970)</f>
        <v>0.78554962232006842</v>
      </c>
      <c r="AR6" s="38">
        <f>SUM(AO6+Y6)</f>
        <v>73032.548387096758</v>
      </c>
      <c r="AS6" s="201">
        <f>SUM(AR6-AR5-AT6)</f>
        <v>-1698.058064516139</v>
      </c>
      <c r="AT6" s="374"/>
      <c r="AU6" s="467"/>
      <c r="AV6" s="567">
        <f>IF(AT6&gt;0,AU6,AV5)</f>
        <v>0.58350000000000002</v>
      </c>
      <c r="AW6" s="302">
        <f>-SUM('B5'!AI5)</f>
        <v>-530</v>
      </c>
      <c r="AX6" s="302">
        <f>-SUM(AW6-AS6)</f>
        <v>-1168.058064516139</v>
      </c>
      <c r="AY6" s="37">
        <f>SUM(AX6+AW6)</f>
        <v>-1698.058064516139</v>
      </c>
      <c r="AZ6" s="101">
        <f>ELEC!A3</f>
        <v>0.14779999999999999</v>
      </c>
      <c r="BA6" s="119">
        <f>'General information '!D6</f>
        <v>14.5</v>
      </c>
      <c r="BB6" s="292">
        <f>SUM('General information '!E6)</f>
        <v>0.56000000000000005</v>
      </c>
      <c r="BC6" s="3">
        <f>IF(AR3&gt;=AR6,0,1)</f>
        <v>0</v>
      </c>
      <c r="BD6" s="103">
        <v>19222</v>
      </c>
      <c r="BE6" s="14">
        <f>(305/1185)*ELEC!Q4</f>
        <v>497.26582278498995</v>
      </c>
      <c r="BF6" s="14"/>
      <c r="BG6" s="14" t="e">
        <f>#REF!-BE6</f>
        <v>#REF!</v>
      </c>
      <c r="BH6" s="11">
        <v>21</v>
      </c>
    </row>
    <row r="7" spans="1:61">
      <c r="A7" s="475">
        <f>ELEC!C4</f>
        <v>43863</v>
      </c>
      <c r="B7">
        <f>'B5'!B6</f>
        <v>232</v>
      </c>
      <c r="C7" s="207">
        <f t="shared" ref="C7:E35" si="18">B7*$B$4</f>
        <v>4991.7419354838712</v>
      </c>
      <c r="D7">
        <f t="shared" ref="D7:D29" si="19">SUM(B7)</f>
        <v>232</v>
      </c>
      <c r="E7" s="207">
        <f t="shared" si="18"/>
        <v>4991.7419354838712</v>
      </c>
      <c r="F7">
        <f t="shared" ref="F7:F29" si="20">SUM(D7)</f>
        <v>232</v>
      </c>
      <c r="G7" s="207">
        <f t="shared" si="1"/>
        <v>4991.7419354838712</v>
      </c>
      <c r="H7" s="207">
        <f t="shared" ref="H7:H29" si="21">SUM(F7)</f>
        <v>232</v>
      </c>
      <c r="I7" s="207">
        <f t="shared" si="2"/>
        <v>4991.7419354838712</v>
      </c>
      <c r="J7" s="207">
        <f t="shared" ref="J7:J29" si="22">SUM(H7)</f>
        <v>232</v>
      </c>
      <c r="K7" s="207">
        <f t="shared" si="3"/>
        <v>4991.7419354838712</v>
      </c>
      <c r="L7" s="207">
        <f t="shared" ref="L7:L29" si="23">SUM(J7)</f>
        <v>232</v>
      </c>
      <c r="M7" s="207">
        <f t="shared" si="4"/>
        <v>4991.7419354838712</v>
      </c>
      <c r="N7" s="207">
        <f t="shared" ref="N7:N29" si="24">SUM(L7)</f>
        <v>232</v>
      </c>
      <c r="O7" s="207">
        <f t="shared" si="5"/>
        <v>4991.7419354838712</v>
      </c>
      <c r="P7" s="207">
        <f t="shared" ref="P7:P29" si="25">SUM(N7)</f>
        <v>232</v>
      </c>
      <c r="Q7" s="207">
        <f t="shared" si="6"/>
        <v>4991.7419354838712</v>
      </c>
      <c r="R7" s="207">
        <f t="shared" ref="R7:R29" si="26">SUM(P7)</f>
        <v>232</v>
      </c>
      <c r="S7" s="207">
        <f t="shared" si="7"/>
        <v>4991.7419354838712</v>
      </c>
      <c r="T7" s="207">
        <f t="shared" ref="T7:T29" si="27">SUM(R7)</f>
        <v>232</v>
      </c>
      <c r="U7" s="207">
        <f t="shared" si="8"/>
        <v>4991.7419354838712</v>
      </c>
      <c r="V7" s="207">
        <f t="shared" ref="V7:V29" si="28">SUM(T7)</f>
        <v>232</v>
      </c>
      <c r="W7" s="207">
        <f t="shared" si="9"/>
        <v>4991.7419354838712</v>
      </c>
      <c r="X7" s="35">
        <f t="shared" si="10"/>
        <v>0.74838709677419357</v>
      </c>
      <c r="Y7" s="36">
        <f t="shared" ref="Y7:Y29" si="29">SUM(C7+E7+G7+I7+K7+M7+O7+Q7+S7+U7+W7)</f>
        <v>54909.161290322583</v>
      </c>
      <c r="Z7" s="207">
        <f>'B5'!C6</f>
        <v>238</v>
      </c>
      <c r="AA7" s="207">
        <f t="shared" ref="AA7:AC35" si="30">SUM(Z7*$Z$4)</f>
        <v>2380</v>
      </c>
      <c r="AB7" s="207">
        <f t="shared" ref="AB7:AB29" si="31">SUM(Z7)</f>
        <v>238</v>
      </c>
      <c r="AC7" s="207">
        <f t="shared" si="30"/>
        <v>2380</v>
      </c>
      <c r="AD7" s="207">
        <f t="shared" ref="AD7:AD29" si="32">SUM(AB7)</f>
        <v>238</v>
      </c>
      <c r="AE7" s="207">
        <f t="shared" si="11"/>
        <v>2380</v>
      </c>
      <c r="AF7" s="207">
        <f t="shared" ref="AF7:AF29" si="33">SUM(AD7)</f>
        <v>238</v>
      </c>
      <c r="AG7" s="207">
        <f t="shared" si="12"/>
        <v>2380</v>
      </c>
      <c r="AH7" s="207">
        <f t="shared" ref="AH7:AH29" si="34">SUM(AF7)</f>
        <v>238</v>
      </c>
      <c r="AI7" s="207">
        <f t="shared" si="13"/>
        <v>2380</v>
      </c>
      <c r="AJ7" s="207">
        <f t="shared" ref="AJ7:AJ29" si="35">SUM(AH7)</f>
        <v>238</v>
      </c>
      <c r="AK7" s="207">
        <f t="shared" si="14"/>
        <v>2380</v>
      </c>
      <c r="AL7" s="207">
        <f t="shared" ref="AL7:AL29" si="36">SUM(AJ7)</f>
        <v>238</v>
      </c>
      <c r="AM7" s="207">
        <f t="shared" si="15"/>
        <v>2380</v>
      </c>
      <c r="AN7" s="35">
        <f t="shared" si="16"/>
        <v>0.85</v>
      </c>
      <c r="AO7" s="36">
        <f t="shared" si="17"/>
        <v>16660</v>
      </c>
      <c r="AQ7" s="227">
        <f t="shared" ref="AQ7:AQ33" si="37">SUM(AR7/92970)</f>
        <v>0.76980919963776029</v>
      </c>
      <c r="AR7" s="38">
        <f>SUM(AO7+Y7)</f>
        <v>71569.161290322576</v>
      </c>
      <c r="AS7" s="201">
        <f t="shared" ref="AS7:AS35" si="38">SUM(AR7-AR6-AT7)</f>
        <v>-1463.3870967741823</v>
      </c>
      <c r="AT7" s="278"/>
      <c r="AU7" s="532"/>
      <c r="AV7" s="567">
        <f>IF(AT7&gt;0,AU7,AV6)</f>
        <v>0.58350000000000002</v>
      </c>
      <c r="AW7" s="302">
        <f>-SUM('B5'!AI6)</f>
        <v>-606</v>
      </c>
      <c r="AX7" s="302">
        <f t="shared" ref="AX7:AX35" si="39">-SUM(AW7-AS7)</f>
        <v>-857.38709677418228</v>
      </c>
      <c r="AY7" s="37">
        <f t="shared" ref="AY7:AY35" si="40">SUM(AX7+AW7)</f>
        <v>-1463.3870967741823</v>
      </c>
      <c r="AZ7" s="101">
        <f>ELEC!A4</f>
        <v>0.1087</v>
      </c>
      <c r="BA7" s="119">
        <f>'General information '!D7</f>
        <v>14</v>
      </c>
      <c r="BB7" s="415">
        <f>SUM('General information '!E7)</f>
        <v>0.6</v>
      </c>
      <c r="BC7" s="3">
        <v>0</v>
      </c>
      <c r="BD7" s="103">
        <v>19222</v>
      </c>
      <c r="BE7" s="14">
        <f>(305/1185)*ELEC!Q5</f>
        <v>735.60337552747114</v>
      </c>
      <c r="BF7" s="14"/>
      <c r="BG7" s="14" t="e">
        <f>#REF!-BE7</f>
        <v>#REF!</v>
      </c>
      <c r="BH7" s="11">
        <v>19</v>
      </c>
    </row>
    <row r="8" spans="1:61">
      <c r="A8" s="475">
        <f>ELEC!C5</f>
        <v>43864</v>
      </c>
      <c r="B8">
        <f>'B5'!B7</f>
        <v>226.4</v>
      </c>
      <c r="C8" s="207">
        <f t="shared" si="18"/>
        <v>4871.2516129032256</v>
      </c>
      <c r="D8">
        <f t="shared" si="19"/>
        <v>226.4</v>
      </c>
      <c r="E8" s="207">
        <f t="shared" si="18"/>
        <v>4871.2516129032256</v>
      </c>
      <c r="F8">
        <f t="shared" si="20"/>
        <v>226.4</v>
      </c>
      <c r="G8" s="207">
        <f t="shared" si="1"/>
        <v>4871.2516129032256</v>
      </c>
      <c r="H8" s="207">
        <f t="shared" si="21"/>
        <v>226.4</v>
      </c>
      <c r="I8" s="207">
        <f t="shared" si="2"/>
        <v>4871.2516129032256</v>
      </c>
      <c r="J8" s="207">
        <f t="shared" si="22"/>
        <v>226.4</v>
      </c>
      <c r="K8" s="207">
        <f t="shared" si="3"/>
        <v>4871.2516129032256</v>
      </c>
      <c r="L8" s="207">
        <f t="shared" si="23"/>
        <v>226.4</v>
      </c>
      <c r="M8" s="207">
        <f t="shared" si="4"/>
        <v>4871.2516129032256</v>
      </c>
      <c r="N8" s="207">
        <f t="shared" si="24"/>
        <v>226.4</v>
      </c>
      <c r="O8" s="207">
        <f t="shared" si="5"/>
        <v>4871.2516129032256</v>
      </c>
      <c r="P8" s="207">
        <f t="shared" si="25"/>
        <v>226.4</v>
      </c>
      <c r="Q8" s="207">
        <f t="shared" si="6"/>
        <v>4871.2516129032256</v>
      </c>
      <c r="R8" s="207">
        <f t="shared" si="26"/>
        <v>226.4</v>
      </c>
      <c r="S8" s="207">
        <f t="shared" si="7"/>
        <v>4871.2516129032256</v>
      </c>
      <c r="T8" s="207">
        <f t="shared" si="27"/>
        <v>226.4</v>
      </c>
      <c r="U8" s="207">
        <f t="shared" si="8"/>
        <v>4871.2516129032256</v>
      </c>
      <c r="V8" s="207">
        <f t="shared" si="28"/>
        <v>226.4</v>
      </c>
      <c r="W8" s="207">
        <f t="shared" si="9"/>
        <v>4871.2516129032256</v>
      </c>
      <c r="X8" s="35">
        <f t="shared" si="10"/>
        <v>0.73032258064516109</v>
      </c>
      <c r="Y8" s="36">
        <f t="shared" si="29"/>
        <v>53583.767741935473</v>
      </c>
      <c r="Z8" s="207">
        <f>'B5'!C7</f>
        <v>232.2</v>
      </c>
      <c r="AA8" s="207">
        <f t="shared" si="30"/>
        <v>2322</v>
      </c>
      <c r="AB8" s="207">
        <f t="shared" si="31"/>
        <v>232.2</v>
      </c>
      <c r="AC8" s="207">
        <f t="shared" si="30"/>
        <v>2322</v>
      </c>
      <c r="AD8" s="207">
        <f t="shared" si="32"/>
        <v>232.2</v>
      </c>
      <c r="AE8" s="207">
        <f t="shared" si="11"/>
        <v>2322</v>
      </c>
      <c r="AF8" s="207">
        <f t="shared" si="33"/>
        <v>232.2</v>
      </c>
      <c r="AG8" s="207">
        <f t="shared" si="12"/>
        <v>2322</v>
      </c>
      <c r="AH8" s="207">
        <f t="shared" si="34"/>
        <v>232.2</v>
      </c>
      <c r="AI8" s="207">
        <f t="shared" si="13"/>
        <v>2322</v>
      </c>
      <c r="AJ8" s="207">
        <f t="shared" si="35"/>
        <v>232.2</v>
      </c>
      <c r="AK8" s="207">
        <f t="shared" si="14"/>
        <v>2322</v>
      </c>
      <c r="AL8" s="207">
        <f t="shared" si="36"/>
        <v>232.2</v>
      </c>
      <c r="AM8" s="207">
        <f t="shared" si="15"/>
        <v>2322</v>
      </c>
      <c r="AN8" s="35">
        <f t="shared" si="16"/>
        <v>0.82928571428571429</v>
      </c>
      <c r="AO8" s="36">
        <f t="shared" si="17"/>
        <v>16254</v>
      </c>
      <c r="AQ8" s="227">
        <f t="shared" si="37"/>
        <v>0.75118605724357823</v>
      </c>
      <c r="AR8" s="38">
        <f>SUM(AO8+Y8)</f>
        <v>69837.767741935473</v>
      </c>
      <c r="AS8" s="201">
        <f t="shared" si="38"/>
        <v>-1731.3935483871028</v>
      </c>
      <c r="AT8" s="374"/>
      <c r="AU8" s="467"/>
      <c r="AV8" s="567">
        <f t="shared" ref="AV8:AV34" si="41">IF(AT8&gt;0,AU8,AV7)</f>
        <v>0.58350000000000002</v>
      </c>
      <c r="AW8" s="302">
        <f>-SUM('B5'!AI7)</f>
        <v>-655</v>
      </c>
      <c r="AX8" s="302">
        <f t="shared" si="39"/>
        <v>-1076.3935483871028</v>
      </c>
      <c r="AY8" s="37">
        <f t="shared" si="40"/>
        <v>-1731.3935483871028</v>
      </c>
      <c r="AZ8" s="101">
        <f>ELEC!A5</f>
        <v>0.1174</v>
      </c>
      <c r="BA8" s="119">
        <f>'General information '!D8</f>
        <v>13</v>
      </c>
      <c r="BB8" s="415">
        <f>SUM('General information '!E8)</f>
        <v>0.65</v>
      </c>
      <c r="BC8" s="3">
        <f t="shared" ref="BC8:BC33" si="42">IF(AR7&gt;=AR8,0,1)</f>
        <v>0</v>
      </c>
      <c r="BD8" s="103">
        <v>19222</v>
      </c>
      <c r="BE8" s="14">
        <f>(305/1185)*ELEC!Q6</f>
        <v>715.01265822791186</v>
      </c>
      <c r="BF8" s="14"/>
      <c r="BG8" s="14" t="e">
        <f>#REF!-BE8</f>
        <v>#REF!</v>
      </c>
      <c r="BH8" s="11">
        <v>16</v>
      </c>
    </row>
    <row r="9" spans="1:61">
      <c r="A9" s="475">
        <f>ELEC!C6</f>
        <v>43865</v>
      </c>
      <c r="B9">
        <f>'B5'!B8</f>
        <v>220</v>
      </c>
      <c r="C9" s="207">
        <f t="shared" si="18"/>
        <v>4733.5483870967737</v>
      </c>
      <c r="D9">
        <f t="shared" si="19"/>
        <v>220</v>
      </c>
      <c r="E9" s="207">
        <f t="shared" si="18"/>
        <v>4733.5483870967737</v>
      </c>
      <c r="F9">
        <f t="shared" si="20"/>
        <v>220</v>
      </c>
      <c r="G9" s="207">
        <f t="shared" si="1"/>
        <v>4733.5483870967737</v>
      </c>
      <c r="H9" s="207">
        <f t="shared" si="21"/>
        <v>220</v>
      </c>
      <c r="I9" s="207">
        <f t="shared" si="2"/>
        <v>4733.5483870967737</v>
      </c>
      <c r="J9" s="207">
        <f t="shared" si="22"/>
        <v>220</v>
      </c>
      <c r="K9" s="207">
        <f t="shared" si="3"/>
        <v>4733.5483870967737</v>
      </c>
      <c r="L9" s="207">
        <f t="shared" si="23"/>
        <v>220</v>
      </c>
      <c r="M9" s="207">
        <f t="shared" si="4"/>
        <v>4733.5483870967737</v>
      </c>
      <c r="N9" s="207">
        <f t="shared" si="24"/>
        <v>220</v>
      </c>
      <c r="O9" s="207">
        <f t="shared" si="5"/>
        <v>4733.5483870967737</v>
      </c>
      <c r="P9" s="207">
        <f t="shared" si="25"/>
        <v>220</v>
      </c>
      <c r="Q9" s="207">
        <f t="shared" si="6"/>
        <v>4733.5483870967737</v>
      </c>
      <c r="R9" s="207">
        <f t="shared" si="26"/>
        <v>220</v>
      </c>
      <c r="S9" s="207">
        <f t="shared" si="7"/>
        <v>4733.5483870967737</v>
      </c>
      <c r="T9" s="207">
        <f t="shared" si="27"/>
        <v>220</v>
      </c>
      <c r="U9" s="207">
        <f t="shared" si="8"/>
        <v>4733.5483870967737</v>
      </c>
      <c r="V9" s="207">
        <f t="shared" si="28"/>
        <v>220</v>
      </c>
      <c r="W9" s="207">
        <f t="shared" si="9"/>
        <v>4733.5483870967737</v>
      </c>
      <c r="X9" s="35">
        <f t="shared" si="10"/>
        <v>0.70967741935483863</v>
      </c>
      <c r="Y9" s="36">
        <f t="shared" si="29"/>
        <v>52069.032258064508</v>
      </c>
      <c r="Z9" s="207">
        <f>'B5'!C8</f>
        <v>226</v>
      </c>
      <c r="AA9" s="207">
        <f t="shared" si="30"/>
        <v>2260</v>
      </c>
      <c r="AB9" s="207">
        <f t="shared" si="31"/>
        <v>226</v>
      </c>
      <c r="AC9" s="207">
        <f t="shared" si="30"/>
        <v>2260</v>
      </c>
      <c r="AD9" s="207">
        <f t="shared" si="32"/>
        <v>226</v>
      </c>
      <c r="AE9" s="207">
        <f t="shared" si="11"/>
        <v>2260</v>
      </c>
      <c r="AF9" s="207">
        <f t="shared" si="33"/>
        <v>226</v>
      </c>
      <c r="AG9" s="207">
        <f t="shared" si="12"/>
        <v>2260</v>
      </c>
      <c r="AH9" s="207">
        <f t="shared" si="34"/>
        <v>226</v>
      </c>
      <c r="AI9" s="207">
        <f t="shared" si="13"/>
        <v>2260</v>
      </c>
      <c r="AJ9" s="207">
        <f t="shared" si="35"/>
        <v>226</v>
      </c>
      <c r="AK9" s="207">
        <f t="shared" si="14"/>
        <v>2260</v>
      </c>
      <c r="AL9" s="207">
        <f t="shared" si="36"/>
        <v>226</v>
      </c>
      <c r="AM9" s="207">
        <f t="shared" si="15"/>
        <v>2260</v>
      </c>
      <c r="AN9" s="35">
        <f t="shared" si="16"/>
        <v>0.80714285714285716</v>
      </c>
      <c r="AO9" s="36">
        <f>SUM(AA9+AC9+AE9+AG9+AI9+AK9+AM9)</f>
        <v>15820</v>
      </c>
      <c r="AQ9" s="227">
        <f t="shared" si="37"/>
        <v>0.73022515067295379</v>
      </c>
      <c r="AR9" s="38">
        <f>SUM(AO9+Y9)</f>
        <v>67889.032258064515</v>
      </c>
      <c r="AS9" s="201">
        <f t="shared" si="38"/>
        <v>-1948.735483870958</v>
      </c>
      <c r="AT9" s="374"/>
      <c r="AU9" s="467"/>
      <c r="AV9" s="567">
        <f t="shared" si="41"/>
        <v>0.58350000000000002</v>
      </c>
      <c r="AW9" s="302">
        <f>-SUM('B5'!AI8)</f>
        <v>-1137.6999999999971</v>
      </c>
      <c r="AX9" s="302">
        <f>-SUM(AW9-AS9)</f>
        <v>-811.03548387096089</v>
      </c>
      <c r="AY9" s="37">
        <f t="shared" si="40"/>
        <v>-1948.735483870958</v>
      </c>
      <c r="AZ9" s="101">
        <f>ELEC!A6</f>
        <v>0.1174</v>
      </c>
      <c r="BA9" s="119">
        <f>'General information '!D9</f>
        <v>15</v>
      </c>
      <c r="BB9" s="415">
        <f>SUM('General information '!E9)</f>
        <v>0.71</v>
      </c>
      <c r="BC9" s="3">
        <f t="shared" si="42"/>
        <v>0</v>
      </c>
      <c r="BD9" s="103">
        <v>19222</v>
      </c>
      <c r="BE9" s="14">
        <f>(305/1185)*ELEC!Q7</f>
        <v>561.35443037940604</v>
      </c>
      <c r="BF9" s="14"/>
      <c r="BG9" s="14" t="e">
        <f>#REF!-BE9</f>
        <v>#REF!</v>
      </c>
      <c r="BH9" s="11">
        <v>18</v>
      </c>
    </row>
    <row r="10" spans="1:61">
      <c r="A10" s="475">
        <f>ELEC!C7</f>
        <v>43866</v>
      </c>
      <c r="B10">
        <f>'B5'!B9</f>
        <v>214.2</v>
      </c>
      <c r="C10" s="207">
        <f t="shared" si="18"/>
        <v>4608.7548387096767</v>
      </c>
      <c r="D10">
        <f t="shared" si="19"/>
        <v>214.2</v>
      </c>
      <c r="E10" s="207">
        <f t="shared" si="18"/>
        <v>4608.7548387096767</v>
      </c>
      <c r="F10">
        <f t="shared" si="20"/>
        <v>214.2</v>
      </c>
      <c r="G10" s="207">
        <f t="shared" si="1"/>
        <v>4608.7548387096767</v>
      </c>
      <c r="H10" s="207">
        <f t="shared" si="21"/>
        <v>214.2</v>
      </c>
      <c r="I10" s="207">
        <f t="shared" si="2"/>
        <v>4608.7548387096767</v>
      </c>
      <c r="J10" s="207">
        <f t="shared" si="22"/>
        <v>214.2</v>
      </c>
      <c r="K10" s="207">
        <f t="shared" si="3"/>
        <v>4608.7548387096767</v>
      </c>
      <c r="L10" s="207">
        <f t="shared" si="23"/>
        <v>214.2</v>
      </c>
      <c r="M10" s="207">
        <f t="shared" si="4"/>
        <v>4608.7548387096767</v>
      </c>
      <c r="N10" s="207">
        <f t="shared" si="24"/>
        <v>214.2</v>
      </c>
      <c r="O10" s="207">
        <f t="shared" si="5"/>
        <v>4608.7548387096767</v>
      </c>
      <c r="P10" s="207">
        <f t="shared" si="25"/>
        <v>214.2</v>
      </c>
      <c r="Q10" s="207">
        <f t="shared" si="6"/>
        <v>4608.7548387096767</v>
      </c>
      <c r="R10" s="207">
        <f t="shared" si="26"/>
        <v>214.2</v>
      </c>
      <c r="S10" s="207">
        <f t="shared" si="7"/>
        <v>4608.7548387096767</v>
      </c>
      <c r="T10" s="207">
        <f t="shared" si="27"/>
        <v>214.2</v>
      </c>
      <c r="U10" s="207">
        <f t="shared" si="8"/>
        <v>4608.7548387096767</v>
      </c>
      <c r="V10" s="207">
        <f t="shared" si="28"/>
        <v>214.2</v>
      </c>
      <c r="W10" s="207">
        <f t="shared" si="9"/>
        <v>4608.7548387096767</v>
      </c>
      <c r="X10" s="35">
        <f t="shared" si="10"/>
        <v>0.69096774193548371</v>
      </c>
      <c r="Y10" s="36">
        <f t="shared" si="29"/>
        <v>50696.303225806441</v>
      </c>
      <c r="Z10" s="207">
        <f>'B5'!C9</f>
        <v>220</v>
      </c>
      <c r="AA10" s="207">
        <f t="shared" si="30"/>
        <v>2200</v>
      </c>
      <c r="AB10" s="207">
        <f t="shared" si="31"/>
        <v>220</v>
      </c>
      <c r="AC10" s="207">
        <f t="shared" si="30"/>
        <v>2200</v>
      </c>
      <c r="AD10" s="207">
        <f t="shared" si="32"/>
        <v>220</v>
      </c>
      <c r="AE10" s="207">
        <f t="shared" si="11"/>
        <v>2200</v>
      </c>
      <c r="AF10" s="207">
        <f t="shared" si="33"/>
        <v>220</v>
      </c>
      <c r="AG10" s="207">
        <f t="shared" si="12"/>
        <v>2200</v>
      </c>
      <c r="AH10" s="207">
        <f t="shared" si="34"/>
        <v>220</v>
      </c>
      <c r="AI10" s="207">
        <f t="shared" si="13"/>
        <v>2200</v>
      </c>
      <c r="AJ10" s="207">
        <f t="shared" si="35"/>
        <v>220</v>
      </c>
      <c r="AK10" s="207">
        <f t="shared" si="14"/>
        <v>2200</v>
      </c>
      <c r="AL10" s="207">
        <f t="shared" si="36"/>
        <v>220</v>
      </c>
      <c r="AM10" s="207">
        <f t="shared" si="15"/>
        <v>2200</v>
      </c>
      <c r="AN10" s="35">
        <f t="shared" si="16"/>
        <v>0.7857142857142857</v>
      </c>
      <c r="AO10" s="36">
        <f t="shared" si="17"/>
        <v>15400</v>
      </c>
      <c r="AQ10" s="227">
        <f t="shared" si="37"/>
        <v>0.7109422741293584</v>
      </c>
      <c r="AR10" s="38">
        <f t="shared" ref="AR10:AR26" si="43">SUM(AO10+Y10)</f>
        <v>66096.303225806449</v>
      </c>
      <c r="AS10" s="201">
        <f>SUM(AR10-AR9-AT10)</f>
        <v>-1792.7290322580666</v>
      </c>
      <c r="AT10" s="374"/>
      <c r="AU10" s="467"/>
      <c r="AV10" s="567">
        <f>IF(AT10&gt;0,AU10,AV9)</f>
        <v>0.58350000000000002</v>
      </c>
      <c r="AW10" s="302">
        <f>-SUM('B5'!AI9)</f>
        <v>-617</v>
      </c>
      <c r="AX10" s="302">
        <f>-SUM(AW10-AS10)</f>
        <v>-1175.7290322580666</v>
      </c>
      <c r="AY10" s="37">
        <f t="shared" si="40"/>
        <v>-1792.7290322580666</v>
      </c>
      <c r="AZ10" s="101">
        <f>ELEC!A7</f>
        <v>0.14779999999999999</v>
      </c>
      <c r="BA10" s="119">
        <f>'General information '!D10</f>
        <v>17.5</v>
      </c>
      <c r="BB10" s="415">
        <f>SUM('General information '!E10)</f>
        <v>0.65</v>
      </c>
      <c r="BC10" s="3">
        <f t="shared" si="42"/>
        <v>0</v>
      </c>
      <c r="BD10" s="103">
        <v>19222</v>
      </c>
      <c r="BE10" s="14">
        <f>(305/1185)*ELEC!Q8</f>
        <v>481.56540084414036</v>
      </c>
      <c r="BF10" s="14"/>
      <c r="BG10" s="14" t="e">
        <f>#REF!-BE10</f>
        <v>#REF!</v>
      </c>
      <c r="BH10" s="11">
        <v>16</v>
      </c>
    </row>
    <row r="11" spans="1:61">
      <c r="A11" s="475">
        <f>ELEC!C8</f>
        <v>43867</v>
      </c>
      <c r="B11">
        <f>'B5'!B10</f>
        <v>210.3</v>
      </c>
      <c r="C11" s="207">
        <f t="shared" si="18"/>
        <v>4524.8419354838716</v>
      </c>
      <c r="D11">
        <f>SUM(B11)</f>
        <v>210.3</v>
      </c>
      <c r="E11" s="207">
        <f t="shared" si="18"/>
        <v>4524.8419354838716</v>
      </c>
      <c r="F11">
        <f>SUM(D11)</f>
        <v>210.3</v>
      </c>
      <c r="G11" s="207">
        <f t="shared" si="1"/>
        <v>4524.8419354838716</v>
      </c>
      <c r="H11" s="207">
        <f>SUM(F11)</f>
        <v>210.3</v>
      </c>
      <c r="I11" s="207">
        <f t="shared" si="2"/>
        <v>4524.8419354838716</v>
      </c>
      <c r="J11" s="207">
        <f>SUM(H11)</f>
        <v>210.3</v>
      </c>
      <c r="K11" s="207">
        <f t="shared" si="3"/>
        <v>4524.8419354838716</v>
      </c>
      <c r="L11" s="207">
        <f>SUM(J11)</f>
        <v>210.3</v>
      </c>
      <c r="M11" s="207">
        <f t="shared" si="4"/>
        <v>4524.8419354838716</v>
      </c>
      <c r="N11" s="207">
        <f>SUM(L11)</f>
        <v>210.3</v>
      </c>
      <c r="O11" s="207">
        <f t="shared" si="5"/>
        <v>4524.8419354838716</v>
      </c>
      <c r="P11" s="207">
        <f>SUM(N11)</f>
        <v>210.3</v>
      </c>
      <c r="Q11" s="207">
        <f t="shared" si="6"/>
        <v>4524.8419354838716</v>
      </c>
      <c r="R11" s="207">
        <f>SUM(P11)</f>
        <v>210.3</v>
      </c>
      <c r="S11" s="207">
        <f t="shared" si="7"/>
        <v>4524.8419354838716</v>
      </c>
      <c r="T11" s="207">
        <f>SUM(R11)</f>
        <v>210.3</v>
      </c>
      <c r="U11" s="207">
        <f t="shared" si="8"/>
        <v>4524.8419354838716</v>
      </c>
      <c r="V11" s="207">
        <f>SUM(T11)</f>
        <v>210.3</v>
      </c>
      <c r="W11" s="207">
        <f t="shared" si="9"/>
        <v>4524.8419354838716</v>
      </c>
      <c r="X11" s="35">
        <f>SUM(Y11/73370)</f>
        <v>0.67838709677419351</v>
      </c>
      <c r="Y11" s="36">
        <f>SUM(C11+E11+G11+I11+K11+M11+O11+Q11+S11+U11+W11)</f>
        <v>49773.261290322574</v>
      </c>
      <c r="Z11" s="207">
        <f>'B5'!C10</f>
        <v>216.4</v>
      </c>
      <c r="AA11" s="207">
        <f t="shared" si="30"/>
        <v>2164</v>
      </c>
      <c r="AB11" s="207">
        <f>SUM(Z11)</f>
        <v>216.4</v>
      </c>
      <c r="AC11" s="207">
        <f t="shared" si="30"/>
        <v>2164</v>
      </c>
      <c r="AD11" s="207">
        <f>SUM(AB11)</f>
        <v>216.4</v>
      </c>
      <c r="AE11" s="207">
        <f t="shared" si="11"/>
        <v>2164</v>
      </c>
      <c r="AF11" s="207">
        <f>SUM(AD11)</f>
        <v>216.4</v>
      </c>
      <c r="AG11" s="207">
        <f t="shared" si="12"/>
        <v>2164</v>
      </c>
      <c r="AH11" s="207">
        <f>SUM(AF11)</f>
        <v>216.4</v>
      </c>
      <c r="AI11" s="207">
        <f t="shared" si="13"/>
        <v>2164</v>
      </c>
      <c r="AJ11" s="207">
        <f>SUM(AH11)</f>
        <v>216.4</v>
      </c>
      <c r="AK11" s="207">
        <f t="shared" si="14"/>
        <v>2164</v>
      </c>
      <c r="AL11" s="207">
        <f>SUM(AJ11)</f>
        <v>216.4</v>
      </c>
      <c r="AM11" s="207">
        <f t="shared" si="15"/>
        <v>2164</v>
      </c>
      <c r="AN11" s="35">
        <f>SUM(AO11/19600)</f>
        <v>0.77285714285714291</v>
      </c>
      <c r="AO11" s="36">
        <f t="shared" si="17"/>
        <v>15148</v>
      </c>
      <c r="AQ11" s="227">
        <f t="shared" si="37"/>
        <v>0.69830333753170459</v>
      </c>
      <c r="AR11" s="38">
        <f t="shared" si="43"/>
        <v>64921.261290322574</v>
      </c>
      <c r="AS11" s="201">
        <f>SUM(AR11-AR10-AT11)</f>
        <v>-1175.0419354838741</v>
      </c>
      <c r="AT11" s="374"/>
      <c r="AU11" s="467"/>
      <c r="AV11" s="567">
        <f>IF(AT11&gt;0,AU11,AV10)</f>
        <v>0.58350000000000002</v>
      </c>
      <c r="AW11" s="302">
        <f>-SUM('B5'!AI10)</f>
        <v>-453</v>
      </c>
      <c r="AX11" s="302">
        <f>-SUM(AW11-AS11)</f>
        <v>-722.04193548387411</v>
      </c>
      <c r="AY11" s="37">
        <f t="shared" si="40"/>
        <v>-1175.0419354838741</v>
      </c>
      <c r="AZ11" s="101">
        <f>ELEC!A8</f>
        <v>0.2</v>
      </c>
      <c r="BA11" s="119">
        <f>'General information '!D11</f>
        <v>19</v>
      </c>
      <c r="BB11" s="415">
        <f>SUM('General information '!E11)</f>
        <v>0.61</v>
      </c>
      <c r="BC11" s="3">
        <f t="shared" si="42"/>
        <v>0</v>
      </c>
      <c r="BD11" s="103">
        <v>19222</v>
      </c>
      <c r="BE11" s="14">
        <f>(305/1185)*ELEC!Q9</f>
        <v>707.54852320669863</v>
      </c>
      <c r="BF11" s="14"/>
      <c r="BG11" s="14" t="e">
        <f>#REF!-BE11</f>
        <v>#REF!</v>
      </c>
      <c r="BH11" s="11">
        <v>16.5</v>
      </c>
    </row>
    <row r="12" spans="1:61">
      <c r="A12" s="475">
        <f>ELEC!C9</f>
        <v>43868</v>
      </c>
      <c r="B12">
        <f>'B5'!B11</f>
        <v>252</v>
      </c>
      <c r="C12" s="207">
        <f t="shared" si="18"/>
        <v>5422.0645161290322</v>
      </c>
      <c r="D12">
        <f t="shared" si="19"/>
        <v>252</v>
      </c>
      <c r="E12" s="207">
        <f t="shared" si="18"/>
        <v>5422.0645161290322</v>
      </c>
      <c r="F12">
        <f t="shared" si="20"/>
        <v>252</v>
      </c>
      <c r="G12" s="207">
        <f t="shared" si="1"/>
        <v>5422.0645161290322</v>
      </c>
      <c r="H12" s="207">
        <f t="shared" si="21"/>
        <v>252</v>
      </c>
      <c r="I12" s="207">
        <f t="shared" si="2"/>
        <v>5422.0645161290322</v>
      </c>
      <c r="J12" s="207">
        <f t="shared" si="22"/>
        <v>252</v>
      </c>
      <c r="K12" s="207">
        <f t="shared" si="3"/>
        <v>5422.0645161290322</v>
      </c>
      <c r="L12" s="207">
        <f t="shared" si="23"/>
        <v>252</v>
      </c>
      <c r="M12" s="207">
        <f t="shared" si="4"/>
        <v>5422.0645161290322</v>
      </c>
      <c r="N12" s="207">
        <f t="shared" si="24"/>
        <v>252</v>
      </c>
      <c r="O12" s="207">
        <f t="shared" si="5"/>
        <v>5422.0645161290322</v>
      </c>
      <c r="P12" s="207">
        <f t="shared" si="25"/>
        <v>252</v>
      </c>
      <c r="Q12" s="207">
        <f t="shared" si="6"/>
        <v>5422.0645161290322</v>
      </c>
      <c r="R12" s="207">
        <f t="shared" si="26"/>
        <v>252</v>
      </c>
      <c r="S12" s="207">
        <f t="shared" si="7"/>
        <v>5422.0645161290322</v>
      </c>
      <c r="T12" s="207">
        <f t="shared" si="27"/>
        <v>252</v>
      </c>
      <c r="U12" s="207">
        <f t="shared" si="8"/>
        <v>5422.0645161290322</v>
      </c>
      <c r="V12" s="207">
        <f t="shared" si="28"/>
        <v>252</v>
      </c>
      <c r="W12" s="207">
        <f t="shared" si="9"/>
        <v>5422.0645161290322</v>
      </c>
      <c r="X12" s="35">
        <f t="shared" si="10"/>
        <v>0.81290322580645147</v>
      </c>
      <c r="Y12" s="36">
        <f t="shared" si="29"/>
        <v>59642.709677419341</v>
      </c>
      <c r="Z12" s="207">
        <f>'B5'!C11</f>
        <v>259</v>
      </c>
      <c r="AA12" s="207">
        <f t="shared" si="30"/>
        <v>2590</v>
      </c>
      <c r="AB12" s="207">
        <f t="shared" si="31"/>
        <v>259</v>
      </c>
      <c r="AC12" s="207">
        <f t="shared" si="30"/>
        <v>2590</v>
      </c>
      <c r="AD12" s="207">
        <f t="shared" si="32"/>
        <v>259</v>
      </c>
      <c r="AE12" s="207">
        <f t="shared" si="11"/>
        <v>2590</v>
      </c>
      <c r="AF12" s="207">
        <f t="shared" si="33"/>
        <v>259</v>
      </c>
      <c r="AG12" s="207">
        <f t="shared" si="12"/>
        <v>2590</v>
      </c>
      <c r="AH12" s="207">
        <f t="shared" si="34"/>
        <v>259</v>
      </c>
      <c r="AI12" s="207">
        <f t="shared" si="13"/>
        <v>2590</v>
      </c>
      <c r="AJ12" s="207">
        <f t="shared" si="35"/>
        <v>259</v>
      </c>
      <c r="AK12" s="207">
        <f t="shared" si="14"/>
        <v>2590</v>
      </c>
      <c r="AL12" s="207">
        <f t="shared" si="36"/>
        <v>259</v>
      </c>
      <c r="AM12" s="207">
        <f t="shared" si="15"/>
        <v>2590</v>
      </c>
      <c r="AN12" s="35">
        <f t="shared" si="16"/>
        <v>0.92500000000000004</v>
      </c>
      <c r="AO12" s="36">
        <f t="shared" si="17"/>
        <v>18130</v>
      </c>
      <c r="AQ12" s="227">
        <f t="shared" si="37"/>
        <v>0.83653554563213228</v>
      </c>
      <c r="AR12" s="38">
        <f t="shared" si="43"/>
        <v>77772.709677419334</v>
      </c>
      <c r="AS12" s="201">
        <f t="shared" si="38"/>
        <v>-132.55161290324031</v>
      </c>
      <c r="AT12" s="278">
        <v>12984</v>
      </c>
      <c r="AU12" s="510">
        <v>0.54</v>
      </c>
      <c r="AV12" s="567">
        <f t="shared" si="41"/>
        <v>0.54</v>
      </c>
      <c r="AW12" s="302">
        <f>-SUM('B5'!AI11)</f>
        <v>-906.90000000000873</v>
      </c>
      <c r="AX12" s="302">
        <f t="shared" si="39"/>
        <v>774.34838709676842</v>
      </c>
      <c r="AY12" s="37">
        <f t="shared" si="40"/>
        <v>-132.55161290324031</v>
      </c>
      <c r="AZ12" s="101">
        <f>ELEC!A9</f>
        <v>0.19570000000000001</v>
      </c>
      <c r="BA12" s="119">
        <f>'General information '!D12</f>
        <v>13</v>
      </c>
      <c r="BB12" s="415">
        <f>SUM('General information '!E12)</f>
        <v>0.61</v>
      </c>
      <c r="BC12" s="3">
        <f t="shared" si="42"/>
        <v>1</v>
      </c>
      <c r="BD12" s="103">
        <v>19222</v>
      </c>
      <c r="BE12" s="14">
        <f>(305/1185)*ELEC!Q10</f>
        <v>369.86075949364471</v>
      </c>
      <c r="BF12" s="14"/>
      <c r="BG12" s="14" t="e">
        <f>#REF!-BE12</f>
        <v>#REF!</v>
      </c>
      <c r="BH12" s="11">
        <v>15.5</v>
      </c>
    </row>
    <row r="13" spans="1:61">
      <c r="A13" s="475">
        <f>ELEC!C10</f>
        <v>43869</v>
      </c>
      <c r="B13">
        <f>'B5'!B12</f>
        <v>248</v>
      </c>
      <c r="C13" s="207">
        <f t="shared" si="18"/>
        <v>5336</v>
      </c>
      <c r="D13">
        <f t="shared" si="19"/>
        <v>248</v>
      </c>
      <c r="E13" s="207">
        <f t="shared" si="18"/>
        <v>5336</v>
      </c>
      <c r="F13">
        <f t="shared" si="20"/>
        <v>248</v>
      </c>
      <c r="G13" s="207">
        <f t="shared" si="1"/>
        <v>5336</v>
      </c>
      <c r="H13" s="207">
        <f t="shared" si="21"/>
        <v>248</v>
      </c>
      <c r="I13" s="207">
        <f t="shared" si="2"/>
        <v>5336</v>
      </c>
      <c r="J13" s="207">
        <f t="shared" si="22"/>
        <v>248</v>
      </c>
      <c r="K13" s="207">
        <f t="shared" si="3"/>
        <v>5336</v>
      </c>
      <c r="L13" s="207">
        <f t="shared" si="23"/>
        <v>248</v>
      </c>
      <c r="M13" s="207">
        <f t="shared" si="4"/>
        <v>5336</v>
      </c>
      <c r="N13" s="207">
        <f t="shared" si="24"/>
        <v>248</v>
      </c>
      <c r="O13" s="207">
        <f t="shared" si="5"/>
        <v>5336</v>
      </c>
      <c r="P13" s="207">
        <f t="shared" si="25"/>
        <v>248</v>
      </c>
      <c r="Q13" s="207">
        <f t="shared" si="6"/>
        <v>5336</v>
      </c>
      <c r="R13" s="207">
        <f t="shared" si="26"/>
        <v>248</v>
      </c>
      <c r="S13" s="207">
        <f t="shared" si="7"/>
        <v>5336</v>
      </c>
      <c r="T13" s="207">
        <f t="shared" si="27"/>
        <v>248</v>
      </c>
      <c r="U13" s="207">
        <f t="shared" si="8"/>
        <v>5336</v>
      </c>
      <c r="V13" s="207">
        <f t="shared" si="28"/>
        <v>248</v>
      </c>
      <c r="W13" s="207">
        <f t="shared" si="9"/>
        <v>5336</v>
      </c>
      <c r="X13" s="35">
        <f t="shared" si="10"/>
        <v>0.8</v>
      </c>
      <c r="Y13" s="36">
        <f t="shared" si="29"/>
        <v>58696</v>
      </c>
      <c r="Z13" s="207">
        <f>'B5'!C12</f>
        <v>253.4</v>
      </c>
      <c r="AA13" s="207">
        <f t="shared" si="30"/>
        <v>2534</v>
      </c>
      <c r="AB13" s="207">
        <f t="shared" si="31"/>
        <v>253.4</v>
      </c>
      <c r="AC13" s="207">
        <f t="shared" si="30"/>
        <v>2534</v>
      </c>
      <c r="AD13" s="207">
        <f t="shared" si="32"/>
        <v>253.4</v>
      </c>
      <c r="AE13" s="207">
        <f t="shared" si="11"/>
        <v>2534</v>
      </c>
      <c r="AF13" s="207">
        <f t="shared" si="33"/>
        <v>253.4</v>
      </c>
      <c r="AG13" s="207">
        <f t="shared" si="12"/>
        <v>2534</v>
      </c>
      <c r="AH13" s="207">
        <f t="shared" si="34"/>
        <v>253.4</v>
      </c>
      <c r="AI13" s="207">
        <f t="shared" si="13"/>
        <v>2534</v>
      </c>
      <c r="AJ13" s="207">
        <f t="shared" si="35"/>
        <v>253.4</v>
      </c>
      <c r="AK13" s="207">
        <f t="shared" si="14"/>
        <v>2534</v>
      </c>
      <c r="AL13" s="207">
        <f t="shared" si="36"/>
        <v>253.4</v>
      </c>
      <c r="AM13" s="207">
        <f t="shared" si="15"/>
        <v>2534</v>
      </c>
      <c r="AN13" s="35">
        <f t="shared" si="16"/>
        <v>0.90500000000000003</v>
      </c>
      <c r="AO13" s="36">
        <f t="shared" si="17"/>
        <v>17738</v>
      </c>
      <c r="AQ13" s="227">
        <f t="shared" si="37"/>
        <v>0.82213617295901908</v>
      </c>
      <c r="AR13" s="38">
        <f t="shared" si="43"/>
        <v>76434</v>
      </c>
      <c r="AS13" s="201">
        <f t="shared" si="38"/>
        <v>-1338.7096774193342</v>
      </c>
      <c r="AT13" s="278"/>
      <c r="AU13" s="467"/>
      <c r="AV13" s="567">
        <f t="shared" si="41"/>
        <v>0.54</v>
      </c>
      <c r="AW13" s="302">
        <f>-SUM('B5'!AI12)</f>
        <v>-669.79999999998836</v>
      </c>
      <c r="AX13" s="302">
        <f t="shared" si="39"/>
        <v>-668.90967741934583</v>
      </c>
      <c r="AY13" s="37">
        <f t="shared" si="40"/>
        <v>-1338.7096774193342</v>
      </c>
      <c r="AZ13" s="101">
        <f>ELEC!A10</f>
        <v>0.13900000000000001</v>
      </c>
      <c r="BA13" s="119">
        <f>'General information '!D13</f>
        <v>11.5</v>
      </c>
      <c r="BB13" s="415">
        <f>SUM('General information '!E13)</f>
        <v>0.46</v>
      </c>
      <c r="BC13" s="3">
        <f t="shared" si="42"/>
        <v>0</v>
      </c>
      <c r="BD13" s="103">
        <v>19222</v>
      </c>
      <c r="BE13" s="14">
        <f>(305/1185)*ELEC!Q11</f>
        <v>537.93248945151424</v>
      </c>
      <c r="BF13" s="14"/>
      <c r="BG13" s="14" t="e">
        <f>#REF!-BE13</f>
        <v>#REF!</v>
      </c>
      <c r="BH13" s="11"/>
    </row>
    <row r="14" spans="1:61">
      <c r="A14" s="475">
        <f>ELEC!C11</f>
        <v>43870</v>
      </c>
      <c r="B14">
        <f>'B5'!B13</f>
        <v>242</v>
      </c>
      <c r="C14" s="207">
        <f t="shared" si="18"/>
        <v>5206.9032258064517</v>
      </c>
      <c r="D14">
        <f t="shared" si="19"/>
        <v>242</v>
      </c>
      <c r="E14" s="207">
        <f t="shared" si="18"/>
        <v>5206.9032258064517</v>
      </c>
      <c r="F14">
        <f t="shared" si="20"/>
        <v>242</v>
      </c>
      <c r="G14" s="207">
        <f t="shared" si="1"/>
        <v>5206.9032258064517</v>
      </c>
      <c r="H14" s="207">
        <f t="shared" si="21"/>
        <v>242</v>
      </c>
      <c r="I14" s="207">
        <f t="shared" si="2"/>
        <v>5206.9032258064517</v>
      </c>
      <c r="J14" s="207">
        <f t="shared" si="22"/>
        <v>242</v>
      </c>
      <c r="K14" s="207">
        <f t="shared" si="3"/>
        <v>5206.9032258064517</v>
      </c>
      <c r="L14" s="207">
        <f t="shared" si="23"/>
        <v>242</v>
      </c>
      <c r="M14" s="207">
        <f t="shared" si="4"/>
        <v>5206.9032258064517</v>
      </c>
      <c r="N14" s="207">
        <f t="shared" si="24"/>
        <v>242</v>
      </c>
      <c r="O14" s="207">
        <f t="shared" si="5"/>
        <v>5206.9032258064517</v>
      </c>
      <c r="P14" s="207">
        <f t="shared" si="25"/>
        <v>242</v>
      </c>
      <c r="Q14" s="207">
        <f t="shared" si="6"/>
        <v>5206.9032258064517</v>
      </c>
      <c r="R14" s="207">
        <f t="shared" si="26"/>
        <v>242</v>
      </c>
      <c r="S14" s="207">
        <f t="shared" si="7"/>
        <v>5206.9032258064517</v>
      </c>
      <c r="T14" s="207">
        <f t="shared" si="27"/>
        <v>242</v>
      </c>
      <c r="U14" s="207">
        <f t="shared" si="8"/>
        <v>5206.9032258064517</v>
      </c>
      <c r="V14" s="207">
        <f t="shared" si="28"/>
        <v>242</v>
      </c>
      <c r="W14" s="207">
        <f t="shared" si="9"/>
        <v>5206.9032258064517</v>
      </c>
      <c r="X14" s="35">
        <f t="shared" si="10"/>
        <v>0.78064516129032269</v>
      </c>
      <c r="Y14" s="36">
        <f t="shared" si="29"/>
        <v>57275.935483870977</v>
      </c>
      <c r="Z14" s="207">
        <f>'B5'!C13</f>
        <v>248</v>
      </c>
      <c r="AA14" s="207">
        <f t="shared" si="30"/>
        <v>2480</v>
      </c>
      <c r="AB14" s="207">
        <f t="shared" si="31"/>
        <v>248</v>
      </c>
      <c r="AC14" s="207">
        <f t="shared" si="30"/>
        <v>2480</v>
      </c>
      <c r="AD14" s="207">
        <f t="shared" si="32"/>
        <v>248</v>
      </c>
      <c r="AE14" s="207">
        <f t="shared" si="11"/>
        <v>2480</v>
      </c>
      <c r="AF14" s="207">
        <f t="shared" si="33"/>
        <v>248</v>
      </c>
      <c r="AG14" s="207">
        <f t="shared" si="12"/>
        <v>2480</v>
      </c>
      <c r="AH14" s="207">
        <f t="shared" si="34"/>
        <v>248</v>
      </c>
      <c r="AI14" s="207">
        <f t="shared" si="13"/>
        <v>2480</v>
      </c>
      <c r="AJ14" s="207">
        <f t="shared" si="35"/>
        <v>248</v>
      </c>
      <c r="AK14" s="207">
        <f t="shared" si="14"/>
        <v>2480</v>
      </c>
      <c r="AL14" s="207">
        <f t="shared" si="36"/>
        <v>248</v>
      </c>
      <c r="AM14" s="207">
        <f t="shared" si="15"/>
        <v>2480</v>
      </c>
      <c r="AN14" s="35">
        <f t="shared" si="16"/>
        <v>0.88571428571428568</v>
      </c>
      <c r="AO14" s="36">
        <f t="shared" si="17"/>
        <v>17360</v>
      </c>
      <c r="AQ14" s="227">
        <f t="shared" si="37"/>
        <v>0.80279590710843252</v>
      </c>
      <c r="AR14" s="38">
        <f t="shared" si="43"/>
        <v>74635.93548387097</v>
      </c>
      <c r="AS14" s="201">
        <f t="shared" si="38"/>
        <v>-1798.0645161290304</v>
      </c>
      <c r="AT14" s="278"/>
      <c r="AU14" s="510"/>
      <c r="AV14" s="567">
        <f t="shared" si="41"/>
        <v>0.54</v>
      </c>
      <c r="AW14" s="302">
        <f>-SUM('B5'!AI13)</f>
        <v>-828</v>
      </c>
      <c r="AX14" s="302">
        <f t="shared" si="39"/>
        <v>-970.06451612903038</v>
      </c>
      <c r="AY14" s="37">
        <f t="shared" si="40"/>
        <v>-1798.0645161290304</v>
      </c>
      <c r="AZ14" s="101">
        <f>ELEC!A11</f>
        <v>0.1522</v>
      </c>
      <c r="BA14" s="119">
        <f>'General information '!D14</f>
        <v>8.5</v>
      </c>
      <c r="BB14" s="415">
        <f>SUM('General information '!E14)</f>
        <v>0.52</v>
      </c>
      <c r="BC14" s="3">
        <f t="shared" si="42"/>
        <v>0</v>
      </c>
      <c r="BD14" s="103">
        <v>19222</v>
      </c>
      <c r="BE14" s="14">
        <f>(305/1185)*ELEC!Q12</f>
        <v>409.2405063291514</v>
      </c>
      <c r="BF14" s="14"/>
      <c r="BG14" s="14" t="e">
        <f>#REF!-BE14</f>
        <v>#REF!</v>
      </c>
      <c r="BH14" s="11"/>
    </row>
    <row r="15" spans="1:61" ht="13.5" customHeight="1">
      <c r="A15" s="475">
        <f>ELEC!C12</f>
        <v>43871</v>
      </c>
      <c r="B15">
        <f>'B5'!B14</f>
        <v>236.1</v>
      </c>
      <c r="C15" s="207">
        <f t="shared" si="18"/>
        <v>5079.9580645161286</v>
      </c>
      <c r="D15">
        <f t="shared" si="19"/>
        <v>236.1</v>
      </c>
      <c r="E15" s="207">
        <f t="shared" si="18"/>
        <v>5079.9580645161286</v>
      </c>
      <c r="F15">
        <f t="shared" si="20"/>
        <v>236.1</v>
      </c>
      <c r="G15" s="207">
        <f t="shared" si="1"/>
        <v>5079.9580645161286</v>
      </c>
      <c r="H15" s="207">
        <f t="shared" si="21"/>
        <v>236.1</v>
      </c>
      <c r="I15" s="207">
        <f t="shared" si="2"/>
        <v>5079.9580645161286</v>
      </c>
      <c r="J15" s="207">
        <f t="shared" si="22"/>
        <v>236.1</v>
      </c>
      <c r="K15" s="207">
        <f t="shared" si="3"/>
        <v>5079.9580645161286</v>
      </c>
      <c r="L15" s="207">
        <f t="shared" si="23"/>
        <v>236.1</v>
      </c>
      <c r="M15" s="207">
        <f t="shared" si="4"/>
        <v>5079.9580645161286</v>
      </c>
      <c r="N15" s="207">
        <f t="shared" si="24"/>
        <v>236.1</v>
      </c>
      <c r="O15" s="207">
        <f t="shared" si="5"/>
        <v>5079.9580645161286</v>
      </c>
      <c r="P15" s="207">
        <f t="shared" si="25"/>
        <v>236.1</v>
      </c>
      <c r="Q15" s="207">
        <f t="shared" si="6"/>
        <v>5079.9580645161286</v>
      </c>
      <c r="R15" s="207">
        <f t="shared" si="26"/>
        <v>236.1</v>
      </c>
      <c r="S15" s="207">
        <f t="shared" si="7"/>
        <v>5079.9580645161286</v>
      </c>
      <c r="T15" s="207">
        <f t="shared" si="27"/>
        <v>236.1</v>
      </c>
      <c r="U15" s="207">
        <f t="shared" si="8"/>
        <v>5079.9580645161286</v>
      </c>
      <c r="V15" s="207">
        <f t="shared" si="28"/>
        <v>236.1</v>
      </c>
      <c r="W15" s="207">
        <f t="shared" si="9"/>
        <v>5079.9580645161286</v>
      </c>
      <c r="X15" s="35">
        <f t="shared" si="10"/>
        <v>0.76161290322580633</v>
      </c>
      <c r="Y15" s="36">
        <f t="shared" si="29"/>
        <v>55879.538709677407</v>
      </c>
      <c r="Z15" s="207">
        <f>'B5'!C14</f>
        <v>241.4</v>
      </c>
      <c r="AA15" s="207">
        <f t="shared" si="30"/>
        <v>2414</v>
      </c>
      <c r="AB15" s="207">
        <f t="shared" si="31"/>
        <v>241.4</v>
      </c>
      <c r="AC15" s="207">
        <f t="shared" si="30"/>
        <v>2414</v>
      </c>
      <c r="AD15" s="207">
        <f t="shared" si="32"/>
        <v>241.4</v>
      </c>
      <c r="AE15" s="207">
        <f t="shared" si="11"/>
        <v>2414</v>
      </c>
      <c r="AF15" s="207">
        <f t="shared" si="33"/>
        <v>241.4</v>
      </c>
      <c r="AG15" s="207">
        <f t="shared" si="12"/>
        <v>2414</v>
      </c>
      <c r="AH15" s="207">
        <f t="shared" si="34"/>
        <v>241.4</v>
      </c>
      <c r="AI15" s="207">
        <f t="shared" si="13"/>
        <v>2414</v>
      </c>
      <c r="AJ15" s="207">
        <f t="shared" si="35"/>
        <v>241.4</v>
      </c>
      <c r="AK15" s="207">
        <f t="shared" si="14"/>
        <v>2414</v>
      </c>
      <c r="AL15" s="207">
        <f t="shared" si="36"/>
        <v>241.4</v>
      </c>
      <c r="AM15" s="207">
        <f t="shared" si="15"/>
        <v>2414</v>
      </c>
      <c r="AN15" s="35">
        <f t="shared" si="16"/>
        <v>0.8621428571428571</v>
      </c>
      <c r="AO15" s="36">
        <f t="shared" si="17"/>
        <v>16898</v>
      </c>
      <c r="AQ15" s="227">
        <f t="shared" si="37"/>
        <v>0.78280669796361624</v>
      </c>
      <c r="AR15" s="38">
        <f t="shared" si="43"/>
        <v>72777.538709677407</v>
      </c>
      <c r="AS15" s="201">
        <f>SUM(AR15-AR14-AT15)</f>
        <v>-1858.396774193563</v>
      </c>
      <c r="AT15" s="278"/>
      <c r="AU15" s="467"/>
      <c r="AV15" s="567">
        <f>IF(AT15&gt;0,AU15,AV14)</f>
        <v>0.54</v>
      </c>
      <c r="AW15" s="302">
        <f>-SUM('B5'!AI14)</f>
        <v>-1098.5999999999767</v>
      </c>
      <c r="AX15" s="302">
        <f t="shared" si="39"/>
        <v>-759.79677419358632</v>
      </c>
      <c r="AY15" s="37">
        <f t="shared" si="40"/>
        <v>-1858.396774193563</v>
      </c>
      <c r="AZ15" s="101">
        <f>ELEC!A12</f>
        <v>0.16089999999999999</v>
      </c>
      <c r="BA15" s="119">
        <f>'General information '!D15</f>
        <v>8.5</v>
      </c>
      <c r="BB15" s="415">
        <f>SUM('General information '!E15)</f>
        <v>0.55000000000000004</v>
      </c>
      <c r="BC15" s="3">
        <f t="shared" si="42"/>
        <v>0</v>
      </c>
      <c r="BD15" s="103">
        <v>19222</v>
      </c>
      <c r="BE15" s="14">
        <f>(305/1185)*ELEC!Q13</f>
        <v>424.94092827000105</v>
      </c>
      <c r="BF15" s="14"/>
      <c r="BG15" s="14" t="e">
        <f>#REF!-BE15</f>
        <v>#REF!</v>
      </c>
      <c r="BH15" s="11"/>
    </row>
    <row r="16" spans="1:61">
      <c r="A16" s="475">
        <f>ELEC!C13</f>
        <v>43872</v>
      </c>
      <c r="B16">
        <f>'B5'!B15</f>
        <v>230</v>
      </c>
      <c r="C16" s="207">
        <f t="shared" si="18"/>
        <v>4948.7096774193551</v>
      </c>
      <c r="D16">
        <f t="shared" si="19"/>
        <v>230</v>
      </c>
      <c r="E16" s="207">
        <f t="shared" si="18"/>
        <v>4948.7096774193551</v>
      </c>
      <c r="F16">
        <f t="shared" si="20"/>
        <v>230</v>
      </c>
      <c r="G16" s="207">
        <f t="shared" si="1"/>
        <v>4948.7096774193551</v>
      </c>
      <c r="H16" s="207">
        <f t="shared" si="21"/>
        <v>230</v>
      </c>
      <c r="I16" s="207">
        <f t="shared" si="2"/>
        <v>4948.7096774193551</v>
      </c>
      <c r="J16" s="207">
        <f t="shared" si="22"/>
        <v>230</v>
      </c>
      <c r="K16" s="207">
        <f t="shared" si="3"/>
        <v>4948.7096774193551</v>
      </c>
      <c r="L16" s="207">
        <f t="shared" si="23"/>
        <v>230</v>
      </c>
      <c r="M16" s="207">
        <f t="shared" si="4"/>
        <v>4948.7096774193551</v>
      </c>
      <c r="N16" s="207">
        <f t="shared" si="24"/>
        <v>230</v>
      </c>
      <c r="O16" s="207">
        <f t="shared" si="5"/>
        <v>4948.7096774193551</v>
      </c>
      <c r="P16" s="207">
        <f t="shared" si="25"/>
        <v>230</v>
      </c>
      <c r="Q16" s="207">
        <f t="shared" si="6"/>
        <v>4948.7096774193551</v>
      </c>
      <c r="R16" s="207">
        <f t="shared" si="26"/>
        <v>230</v>
      </c>
      <c r="S16" s="207">
        <f t="shared" si="7"/>
        <v>4948.7096774193551</v>
      </c>
      <c r="T16" s="207">
        <f t="shared" si="27"/>
        <v>230</v>
      </c>
      <c r="U16" s="207">
        <f t="shared" si="8"/>
        <v>4948.7096774193551</v>
      </c>
      <c r="V16" s="207">
        <f t="shared" si="28"/>
        <v>230</v>
      </c>
      <c r="W16" s="207">
        <f t="shared" si="9"/>
        <v>4948.7096774193551</v>
      </c>
      <c r="X16" s="35">
        <f t="shared" si="10"/>
        <v>0.74193548387096786</v>
      </c>
      <c r="Y16" s="36">
        <f t="shared" si="29"/>
        <v>54435.806451612909</v>
      </c>
      <c r="Z16" s="207">
        <f>'B5'!C15</f>
        <v>235.4</v>
      </c>
      <c r="AA16" s="207">
        <f t="shared" si="30"/>
        <v>2354</v>
      </c>
      <c r="AB16" s="207">
        <f t="shared" si="31"/>
        <v>235.4</v>
      </c>
      <c r="AC16" s="207">
        <f t="shared" si="30"/>
        <v>2354</v>
      </c>
      <c r="AD16" s="207">
        <f t="shared" si="32"/>
        <v>235.4</v>
      </c>
      <c r="AE16" s="207">
        <f t="shared" si="11"/>
        <v>2354</v>
      </c>
      <c r="AF16" s="207">
        <f t="shared" si="33"/>
        <v>235.4</v>
      </c>
      <c r="AG16" s="207">
        <f t="shared" si="12"/>
        <v>2354</v>
      </c>
      <c r="AH16" s="207">
        <f t="shared" si="34"/>
        <v>235.4</v>
      </c>
      <c r="AI16" s="207">
        <f t="shared" si="13"/>
        <v>2354</v>
      </c>
      <c r="AJ16" s="207">
        <f t="shared" si="35"/>
        <v>235.4</v>
      </c>
      <c r="AK16" s="207">
        <f t="shared" si="14"/>
        <v>2354</v>
      </c>
      <c r="AL16" s="207">
        <f t="shared" si="36"/>
        <v>235.4</v>
      </c>
      <c r="AM16" s="207">
        <f t="shared" si="15"/>
        <v>2354</v>
      </c>
      <c r="AN16" s="35">
        <f t="shared" si="16"/>
        <v>0.84071428571428575</v>
      </c>
      <c r="AO16" s="36">
        <f t="shared" si="17"/>
        <v>16478</v>
      </c>
      <c r="AQ16" s="227">
        <f t="shared" si="37"/>
        <v>0.76276009951180923</v>
      </c>
      <c r="AR16" s="38">
        <f t="shared" si="43"/>
        <v>70913.806451612909</v>
      </c>
      <c r="AS16" s="201">
        <f>SUM(AR16-AR15-AT16)</f>
        <v>-1863.7322580644977</v>
      </c>
      <c r="AT16" s="278"/>
      <c r="AU16" s="467"/>
      <c r="AV16" s="567">
        <f>IF(AT16&gt;0,AU16,AV15)</f>
        <v>0.54</v>
      </c>
      <c r="AW16" s="302">
        <f>-SUM('B5'!AI15)</f>
        <v>-1468.1000000000349</v>
      </c>
      <c r="AX16" s="302">
        <f>-SUM(AW16-AS16)</f>
        <v>-395.6322580644628</v>
      </c>
      <c r="AY16" s="37">
        <f t="shared" si="40"/>
        <v>-1863.7322580644977</v>
      </c>
      <c r="AZ16" s="101">
        <f>ELEC!A13</f>
        <v>0.14779999999999999</v>
      </c>
      <c r="BA16" s="119">
        <f>'General information '!D16</f>
        <v>11</v>
      </c>
      <c r="BB16" s="415">
        <f>SUM('General information '!E16)</f>
        <v>0.5</v>
      </c>
      <c r="BC16" s="3">
        <f t="shared" si="42"/>
        <v>0</v>
      </c>
      <c r="BD16" s="103">
        <v>19222</v>
      </c>
      <c r="BE16" s="14">
        <f>(305/1185)*ELEC!Q14</f>
        <v>440.12658227825631</v>
      </c>
      <c r="BF16" s="14"/>
      <c r="BG16" s="14" t="e">
        <f>#REF!-BE16</f>
        <v>#REF!</v>
      </c>
      <c r="BH16" s="11"/>
    </row>
    <row r="17" spans="1:61">
      <c r="A17" s="475">
        <f>ELEC!C14</f>
        <v>43873</v>
      </c>
      <c r="B17">
        <f>'B5'!B16</f>
        <v>223</v>
      </c>
      <c r="C17" s="207">
        <f t="shared" si="18"/>
        <v>4798.0967741935483</v>
      </c>
      <c r="D17">
        <f t="shared" si="19"/>
        <v>223</v>
      </c>
      <c r="E17" s="207">
        <f t="shared" si="18"/>
        <v>4798.0967741935483</v>
      </c>
      <c r="F17">
        <f t="shared" si="20"/>
        <v>223</v>
      </c>
      <c r="G17" s="207">
        <f t="shared" si="1"/>
        <v>4798.0967741935483</v>
      </c>
      <c r="H17" s="207">
        <f t="shared" si="21"/>
        <v>223</v>
      </c>
      <c r="I17" s="207">
        <f t="shared" si="2"/>
        <v>4798.0967741935483</v>
      </c>
      <c r="J17" s="207">
        <f t="shared" si="22"/>
        <v>223</v>
      </c>
      <c r="K17" s="207">
        <f t="shared" si="3"/>
        <v>4798.0967741935483</v>
      </c>
      <c r="L17" s="207">
        <f t="shared" si="23"/>
        <v>223</v>
      </c>
      <c r="M17" s="207">
        <f t="shared" si="4"/>
        <v>4798.0967741935483</v>
      </c>
      <c r="N17" s="207">
        <f t="shared" si="24"/>
        <v>223</v>
      </c>
      <c r="O17" s="207">
        <f t="shared" si="5"/>
        <v>4798.0967741935483</v>
      </c>
      <c r="P17" s="207">
        <f t="shared" si="25"/>
        <v>223</v>
      </c>
      <c r="Q17" s="207">
        <f t="shared" si="6"/>
        <v>4798.0967741935483</v>
      </c>
      <c r="R17" s="207">
        <f t="shared" si="26"/>
        <v>223</v>
      </c>
      <c r="S17" s="207">
        <f t="shared" si="7"/>
        <v>4798.0967741935483</v>
      </c>
      <c r="T17" s="207">
        <f t="shared" si="27"/>
        <v>223</v>
      </c>
      <c r="U17" s="207">
        <f t="shared" si="8"/>
        <v>4798.0967741935483</v>
      </c>
      <c r="V17" s="207">
        <f t="shared" si="28"/>
        <v>223</v>
      </c>
      <c r="W17" s="207">
        <f t="shared" si="9"/>
        <v>4798.0967741935483</v>
      </c>
      <c r="X17" s="35">
        <f t="shared" si="10"/>
        <v>0.71935483870967731</v>
      </c>
      <c r="Y17" s="36">
        <f t="shared" si="29"/>
        <v>52779.064516129023</v>
      </c>
      <c r="Z17" s="207">
        <f>'B5'!C16</f>
        <v>229.5</v>
      </c>
      <c r="AA17" s="207">
        <f t="shared" si="30"/>
        <v>2295</v>
      </c>
      <c r="AB17" s="207">
        <f t="shared" si="31"/>
        <v>229.5</v>
      </c>
      <c r="AC17" s="207">
        <f t="shared" si="30"/>
        <v>2295</v>
      </c>
      <c r="AD17" s="207">
        <f t="shared" si="32"/>
        <v>229.5</v>
      </c>
      <c r="AE17" s="207">
        <f t="shared" si="11"/>
        <v>2295</v>
      </c>
      <c r="AF17" s="207">
        <f t="shared" si="33"/>
        <v>229.5</v>
      </c>
      <c r="AG17" s="207">
        <f t="shared" si="12"/>
        <v>2295</v>
      </c>
      <c r="AH17" s="207">
        <f t="shared" si="34"/>
        <v>229.5</v>
      </c>
      <c r="AI17" s="207">
        <f t="shared" si="13"/>
        <v>2295</v>
      </c>
      <c r="AJ17" s="207">
        <f t="shared" si="35"/>
        <v>229.5</v>
      </c>
      <c r="AK17" s="207">
        <f t="shared" si="14"/>
        <v>2295</v>
      </c>
      <c r="AL17" s="207">
        <f t="shared" si="36"/>
        <v>229.5</v>
      </c>
      <c r="AM17" s="207">
        <f t="shared" si="15"/>
        <v>2295</v>
      </c>
      <c r="AN17" s="35">
        <f t="shared" si="16"/>
        <v>0.81964285714285712</v>
      </c>
      <c r="AO17" s="36">
        <f>SUM(AA17+AC17+AE17+AG17+AI17+AK17+AM17)</f>
        <v>16065</v>
      </c>
      <c r="AQ17" s="227">
        <f t="shared" si="37"/>
        <v>0.74049762844066935</v>
      </c>
      <c r="AR17" s="38">
        <f t="shared" si="43"/>
        <v>68844.06451612903</v>
      </c>
      <c r="AS17" s="201">
        <f t="shared" si="38"/>
        <v>-2069.7419354838785</v>
      </c>
      <c r="AT17" s="374"/>
      <c r="AU17" s="510"/>
      <c r="AV17" s="567">
        <f t="shared" si="41"/>
        <v>0.54</v>
      </c>
      <c r="AW17" s="302">
        <f>-SUM('B5'!AI16)</f>
        <v>-880</v>
      </c>
      <c r="AX17" s="302">
        <f t="shared" si="39"/>
        <v>-1189.7419354838785</v>
      </c>
      <c r="AY17" s="37">
        <f t="shared" si="40"/>
        <v>-2069.7419354838785</v>
      </c>
      <c r="AZ17" s="101">
        <f>ELEC!A14</f>
        <v>0.20430000000000001</v>
      </c>
      <c r="BA17" s="119">
        <f>'General information '!D17</f>
        <v>14.5</v>
      </c>
      <c r="BB17" s="415">
        <f>SUM('General information '!E17)</f>
        <v>0.6</v>
      </c>
      <c r="BC17" s="3">
        <f t="shared" si="42"/>
        <v>0</v>
      </c>
      <c r="BD17" s="103">
        <v>19222</v>
      </c>
      <c r="BE17" s="14">
        <f>(305/1185)*ELEC!Q15</f>
        <v>543.85232067541267</v>
      </c>
      <c r="BF17" s="14"/>
      <c r="BG17" s="14" t="e">
        <f>#REF!-BE17</f>
        <v>#REF!</v>
      </c>
      <c r="BH17" s="11"/>
    </row>
    <row r="18" spans="1:61">
      <c r="A18" s="475">
        <f>ELEC!C15</f>
        <v>43874</v>
      </c>
      <c r="B18">
        <f>'B5'!B17</f>
        <v>219</v>
      </c>
      <c r="C18" s="207">
        <f t="shared" si="18"/>
        <v>4712.0322580645161</v>
      </c>
      <c r="D18">
        <f t="shared" si="19"/>
        <v>219</v>
      </c>
      <c r="E18" s="207">
        <f t="shared" si="18"/>
        <v>4712.0322580645161</v>
      </c>
      <c r="F18">
        <f t="shared" si="20"/>
        <v>219</v>
      </c>
      <c r="G18" s="207">
        <f t="shared" si="1"/>
        <v>4712.0322580645161</v>
      </c>
      <c r="H18" s="207">
        <f t="shared" si="21"/>
        <v>219</v>
      </c>
      <c r="I18" s="207">
        <f t="shared" si="2"/>
        <v>4712.0322580645161</v>
      </c>
      <c r="J18" s="207">
        <f t="shared" si="22"/>
        <v>219</v>
      </c>
      <c r="K18" s="207">
        <f t="shared" si="3"/>
        <v>4712.0322580645161</v>
      </c>
      <c r="L18" s="207">
        <f t="shared" si="23"/>
        <v>219</v>
      </c>
      <c r="M18" s="207">
        <f t="shared" si="4"/>
        <v>4712.0322580645161</v>
      </c>
      <c r="N18" s="207">
        <f t="shared" si="24"/>
        <v>219</v>
      </c>
      <c r="O18" s="207">
        <f t="shared" si="5"/>
        <v>4712.0322580645161</v>
      </c>
      <c r="P18" s="207">
        <f t="shared" si="25"/>
        <v>219</v>
      </c>
      <c r="Q18" s="207">
        <f t="shared" si="6"/>
        <v>4712.0322580645161</v>
      </c>
      <c r="R18" s="207">
        <f t="shared" si="26"/>
        <v>219</v>
      </c>
      <c r="S18" s="207">
        <f t="shared" si="7"/>
        <v>4712.0322580645161</v>
      </c>
      <c r="T18" s="207">
        <f t="shared" si="27"/>
        <v>219</v>
      </c>
      <c r="U18" s="207">
        <f t="shared" si="8"/>
        <v>4712.0322580645161</v>
      </c>
      <c r="V18" s="207">
        <f t="shared" si="28"/>
        <v>219</v>
      </c>
      <c r="W18" s="207">
        <f t="shared" si="9"/>
        <v>4712.0322580645161</v>
      </c>
      <c r="X18" s="35">
        <f t="shared" si="10"/>
        <v>0.70645161290322578</v>
      </c>
      <c r="Y18" s="36">
        <f t="shared" si="29"/>
        <v>51832.354838709674</v>
      </c>
      <c r="Z18" s="207">
        <f>'B5'!C17</f>
        <v>225</v>
      </c>
      <c r="AA18" s="207">
        <f t="shared" si="30"/>
        <v>2250</v>
      </c>
      <c r="AB18" s="207">
        <f t="shared" si="31"/>
        <v>225</v>
      </c>
      <c r="AC18" s="207">
        <f t="shared" si="30"/>
        <v>2250</v>
      </c>
      <c r="AD18" s="207">
        <f t="shared" si="32"/>
        <v>225</v>
      </c>
      <c r="AE18" s="207">
        <f t="shared" si="11"/>
        <v>2250</v>
      </c>
      <c r="AF18" s="207">
        <f t="shared" si="33"/>
        <v>225</v>
      </c>
      <c r="AG18" s="207">
        <f t="shared" si="12"/>
        <v>2250</v>
      </c>
      <c r="AH18" s="207">
        <f t="shared" si="34"/>
        <v>225</v>
      </c>
      <c r="AI18" s="207">
        <f t="shared" si="13"/>
        <v>2250</v>
      </c>
      <c r="AJ18" s="207">
        <f t="shared" si="35"/>
        <v>225</v>
      </c>
      <c r="AK18" s="207">
        <f t="shared" si="14"/>
        <v>2250</v>
      </c>
      <c r="AL18" s="207">
        <f t="shared" si="36"/>
        <v>225</v>
      </c>
      <c r="AM18" s="207">
        <f t="shared" si="15"/>
        <v>2250</v>
      </c>
      <c r="AN18" s="35">
        <f t="shared" si="16"/>
        <v>0.8035714285714286</v>
      </c>
      <c r="AO18" s="36">
        <f t="shared" si="17"/>
        <v>15750</v>
      </c>
      <c r="AQ18" s="227">
        <f t="shared" si="37"/>
        <v>0.72692647992588644</v>
      </c>
      <c r="AR18" s="38">
        <f t="shared" si="43"/>
        <v>67582.354838709667</v>
      </c>
      <c r="AS18" s="201">
        <f t="shared" si="38"/>
        <v>-1261.7096774193633</v>
      </c>
      <c r="AT18" s="278"/>
      <c r="AU18" s="467"/>
      <c r="AV18" s="567">
        <f>IF(AT18&gt;0,AU18,AV17)</f>
        <v>0.54</v>
      </c>
      <c r="AW18" s="302">
        <f>-SUM('B5'!AI17)</f>
        <v>-735</v>
      </c>
      <c r="AX18" s="302">
        <f t="shared" si="39"/>
        <v>-526.70967741936329</v>
      </c>
      <c r="AY18" s="37">
        <f t="shared" si="40"/>
        <v>-1261.7096774193633</v>
      </c>
      <c r="AZ18" s="101">
        <f>ELEC!A15</f>
        <v>0.3478</v>
      </c>
      <c r="BA18" s="119">
        <f>'General information '!D18</f>
        <v>15.5</v>
      </c>
      <c r="BB18" s="415">
        <f>SUM('General information '!E18)</f>
        <v>0.65</v>
      </c>
      <c r="BC18" s="3">
        <f t="shared" si="42"/>
        <v>0</v>
      </c>
      <c r="BD18" s="103">
        <v>19222</v>
      </c>
      <c r="BE18" s="14">
        <f>(305/1185)*ELEC!Q16</f>
        <v>539.73417721512624</v>
      </c>
      <c r="BF18" s="14"/>
      <c r="BG18" s="14" t="e">
        <f>#REF!-BE18</f>
        <v>#REF!</v>
      </c>
      <c r="BH18" s="11"/>
    </row>
    <row r="19" spans="1:61">
      <c r="A19" s="475">
        <f>ELEC!C16</f>
        <v>43875</v>
      </c>
      <c r="B19">
        <f>'B5'!B18</f>
        <v>213.2</v>
      </c>
      <c r="C19" s="207">
        <f t="shared" si="18"/>
        <v>4587.2387096774191</v>
      </c>
      <c r="D19">
        <f t="shared" si="19"/>
        <v>213.2</v>
      </c>
      <c r="E19" s="207">
        <f t="shared" si="18"/>
        <v>4587.2387096774191</v>
      </c>
      <c r="F19">
        <f t="shared" si="20"/>
        <v>213.2</v>
      </c>
      <c r="G19" s="207">
        <f t="shared" si="1"/>
        <v>4587.2387096774191</v>
      </c>
      <c r="H19" s="207">
        <f t="shared" si="21"/>
        <v>213.2</v>
      </c>
      <c r="I19" s="207">
        <f t="shared" si="2"/>
        <v>4587.2387096774191</v>
      </c>
      <c r="J19" s="207">
        <f t="shared" si="22"/>
        <v>213.2</v>
      </c>
      <c r="K19" s="207">
        <f t="shared" si="3"/>
        <v>4587.2387096774191</v>
      </c>
      <c r="L19" s="207">
        <f t="shared" si="23"/>
        <v>213.2</v>
      </c>
      <c r="M19" s="207">
        <f t="shared" si="4"/>
        <v>4587.2387096774191</v>
      </c>
      <c r="N19" s="207">
        <f t="shared" si="24"/>
        <v>213.2</v>
      </c>
      <c r="O19" s="207">
        <f t="shared" si="5"/>
        <v>4587.2387096774191</v>
      </c>
      <c r="P19" s="207">
        <f t="shared" si="25"/>
        <v>213.2</v>
      </c>
      <c r="Q19" s="207">
        <f t="shared" si="6"/>
        <v>4587.2387096774191</v>
      </c>
      <c r="R19" s="207">
        <f t="shared" si="26"/>
        <v>213.2</v>
      </c>
      <c r="S19" s="207">
        <f t="shared" si="7"/>
        <v>4587.2387096774191</v>
      </c>
      <c r="T19" s="207">
        <f t="shared" si="27"/>
        <v>213.2</v>
      </c>
      <c r="U19" s="207">
        <f t="shared" si="8"/>
        <v>4587.2387096774191</v>
      </c>
      <c r="V19" s="207">
        <f t="shared" si="28"/>
        <v>213.2</v>
      </c>
      <c r="W19" s="207">
        <f t="shared" si="9"/>
        <v>4587.2387096774191</v>
      </c>
      <c r="X19" s="35">
        <f t="shared" si="10"/>
        <v>0.68774193548387086</v>
      </c>
      <c r="Y19" s="36">
        <f t="shared" si="29"/>
        <v>50459.625806451608</v>
      </c>
      <c r="Z19" s="207">
        <f>'B5'!C18</f>
        <v>219</v>
      </c>
      <c r="AA19" s="207">
        <f t="shared" si="30"/>
        <v>2190</v>
      </c>
      <c r="AB19" s="207">
        <f t="shared" si="31"/>
        <v>219</v>
      </c>
      <c r="AC19" s="207">
        <f t="shared" si="30"/>
        <v>2190</v>
      </c>
      <c r="AD19" s="207">
        <f t="shared" si="32"/>
        <v>219</v>
      </c>
      <c r="AE19" s="207">
        <f t="shared" si="11"/>
        <v>2190</v>
      </c>
      <c r="AF19" s="207">
        <f t="shared" si="33"/>
        <v>219</v>
      </c>
      <c r="AG19" s="207">
        <f t="shared" si="12"/>
        <v>2190</v>
      </c>
      <c r="AH19" s="207">
        <f t="shared" si="34"/>
        <v>219</v>
      </c>
      <c r="AI19" s="207">
        <f t="shared" si="13"/>
        <v>2190</v>
      </c>
      <c r="AJ19" s="207">
        <f t="shared" si="35"/>
        <v>219</v>
      </c>
      <c r="AK19" s="207">
        <f t="shared" si="14"/>
        <v>2190</v>
      </c>
      <c r="AL19" s="207">
        <f t="shared" si="36"/>
        <v>219</v>
      </c>
      <c r="AM19" s="207">
        <f t="shared" si="15"/>
        <v>2190</v>
      </c>
      <c r="AN19" s="35">
        <f t="shared" si="16"/>
        <v>0.78214285714285714</v>
      </c>
      <c r="AO19" s="36">
        <f t="shared" si="17"/>
        <v>15330</v>
      </c>
      <c r="AQ19" s="227">
        <f t="shared" si="37"/>
        <v>0.70764360338229104</v>
      </c>
      <c r="AR19" s="38">
        <f t="shared" si="43"/>
        <v>65789.625806451601</v>
      </c>
      <c r="AS19" s="201">
        <f t="shared" si="38"/>
        <v>-1792.7290322580666</v>
      </c>
      <c r="AT19" s="278"/>
      <c r="AU19" s="510"/>
      <c r="AV19" s="567">
        <f t="shared" si="41"/>
        <v>0.54</v>
      </c>
      <c r="AW19" s="302">
        <f>-SUM('B5'!AI18)</f>
        <v>-1187.1000000000058</v>
      </c>
      <c r="AX19" s="302">
        <f t="shared" si="39"/>
        <v>-605.62903225806076</v>
      </c>
      <c r="AY19" s="37">
        <f t="shared" si="40"/>
        <v>-1792.7290322580666</v>
      </c>
      <c r="AZ19" s="101">
        <f>ELEC!A16</f>
        <v>0.3826</v>
      </c>
      <c r="BA19" s="119">
        <f>'General information '!D19</f>
        <v>14</v>
      </c>
      <c r="BB19" s="415">
        <f>SUM('General information '!E19)</f>
        <v>0.78</v>
      </c>
      <c r="BC19" s="3">
        <f t="shared" si="42"/>
        <v>0</v>
      </c>
      <c r="BD19" s="103">
        <v>19222</v>
      </c>
      <c r="BE19" s="14">
        <f>(305/1185)*ELEC!Q17</f>
        <v>641.91561181449958</v>
      </c>
      <c r="BF19" s="14"/>
      <c r="BG19" s="14" t="e">
        <f>#REF!-BE19</f>
        <v>#REF!</v>
      </c>
      <c r="BH19" s="11"/>
    </row>
    <row r="20" spans="1:61">
      <c r="A20" s="475">
        <f>ELEC!C17</f>
        <v>43876</v>
      </c>
      <c r="B20">
        <f>'B5'!B19</f>
        <v>206.1</v>
      </c>
      <c r="C20" s="207">
        <f t="shared" si="18"/>
        <v>4434.4741935483871</v>
      </c>
      <c r="D20">
        <f t="shared" si="19"/>
        <v>206.1</v>
      </c>
      <c r="E20" s="207">
        <f t="shared" si="18"/>
        <v>4434.4741935483871</v>
      </c>
      <c r="F20">
        <f t="shared" si="20"/>
        <v>206.1</v>
      </c>
      <c r="G20" s="207">
        <f t="shared" si="1"/>
        <v>4434.4741935483871</v>
      </c>
      <c r="H20" s="207">
        <f t="shared" si="21"/>
        <v>206.1</v>
      </c>
      <c r="I20" s="207">
        <f t="shared" si="2"/>
        <v>4434.4741935483871</v>
      </c>
      <c r="J20" s="207">
        <f t="shared" si="22"/>
        <v>206.1</v>
      </c>
      <c r="K20" s="207">
        <f t="shared" si="3"/>
        <v>4434.4741935483871</v>
      </c>
      <c r="L20" s="207">
        <f t="shared" si="23"/>
        <v>206.1</v>
      </c>
      <c r="M20" s="207">
        <f t="shared" si="4"/>
        <v>4434.4741935483871</v>
      </c>
      <c r="N20" s="207">
        <f t="shared" si="24"/>
        <v>206.1</v>
      </c>
      <c r="O20" s="207">
        <f t="shared" si="5"/>
        <v>4434.4741935483871</v>
      </c>
      <c r="P20" s="207">
        <f t="shared" si="25"/>
        <v>206.1</v>
      </c>
      <c r="Q20" s="207">
        <f t="shared" si="6"/>
        <v>4434.4741935483871</v>
      </c>
      <c r="R20" s="207">
        <f t="shared" si="26"/>
        <v>206.1</v>
      </c>
      <c r="S20" s="207">
        <f t="shared" si="7"/>
        <v>4434.4741935483871</v>
      </c>
      <c r="T20" s="207">
        <f t="shared" si="27"/>
        <v>206.1</v>
      </c>
      <c r="U20" s="207">
        <f t="shared" si="8"/>
        <v>4434.4741935483871</v>
      </c>
      <c r="V20" s="207">
        <f t="shared" si="28"/>
        <v>206.1</v>
      </c>
      <c r="W20" s="207">
        <f t="shared" si="9"/>
        <v>4434.4741935483871</v>
      </c>
      <c r="X20" s="35">
        <f t="shared" si="10"/>
        <v>0.66483870967741954</v>
      </c>
      <c r="Y20" s="36">
        <f t="shared" si="29"/>
        <v>48779.216129032269</v>
      </c>
      <c r="Z20" s="207">
        <f>'B5'!C19</f>
        <v>212</v>
      </c>
      <c r="AA20" s="207">
        <f t="shared" si="30"/>
        <v>2120</v>
      </c>
      <c r="AB20" s="207">
        <f t="shared" si="31"/>
        <v>212</v>
      </c>
      <c r="AC20" s="207">
        <f t="shared" si="30"/>
        <v>2120</v>
      </c>
      <c r="AD20" s="207">
        <f t="shared" si="32"/>
        <v>212</v>
      </c>
      <c r="AE20" s="207">
        <f t="shared" si="11"/>
        <v>2120</v>
      </c>
      <c r="AF20" s="207">
        <f t="shared" si="33"/>
        <v>212</v>
      </c>
      <c r="AG20" s="207">
        <f t="shared" si="12"/>
        <v>2120</v>
      </c>
      <c r="AH20" s="207">
        <f t="shared" si="34"/>
        <v>212</v>
      </c>
      <c r="AI20" s="207">
        <f t="shared" si="13"/>
        <v>2120</v>
      </c>
      <c r="AJ20" s="207">
        <f t="shared" si="35"/>
        <v>212</v>
      </c>
      <c r="AK20" s="207">
        <f t="shared" si="14"/>
        <v>2120</v>
      </c>
      <c r="AL20" s="207">
        <f t="shared" si="36"/>
        <v>212</v>
      </c>
      <c r="AM20" s="207">
        <f t="shared" si="15"/>
        <v>2120</v>
      </c>
      <c r="AN20" s="35">
        <f t="shared" si="16"/>
        <v>0.75714285714285712</v>
      </c>
      <c r="AO20" s="36">
        <f t="shared" si="17"/>
        <v>14840</v>
      </c>
      <c r="AQ20" s="227">
        <f t="shared" si="37"/>
        <v>0.6842983341834169</v>
      </c>
      <c r="AR20" s="38">
        <f t="shared" si="43"/>
        <v>63619.216129032269</v>
      </c>
      <c r="AS20" s="201">
        <f t="shared" si="38"/>
        <v>-2170.4096774193313</v>
      </c>
      <c r="AT20" s="278"/>
      <c r="AU20" s="467"/>
      <c r="AV20" s="567">
        <f t="shared" si="41"/>
        <v>0.54</v>
      </c>
      <c r="AW20" s="302">
        <f>-SUM('B5'!AI19)</f>
        <v>-746</v>
      </c>
      <c r="AX20" s="302">
        <f t="shared" si="39"/>
        <v>-1424.4096774193313</v>
      </c>
      <c r="AY20" s="37">
        <f t="shared" si="40"/>
        <v>-2170.4096774193313</v>
      </c>
      <c r="AZ20" s="101">
        <f>ELEC!A17</f>
        <v>0.247</v>
      </c>
      <c r="BA20" s="119">
        <f>'General information '!D20</f>
        <v>14.5</v>
      </c>
      <c r="BB20" s="415">
        <f>SUM('General information '!E20)</f>
        <v>0.59</v>
      </c>
      <c r="BC20" s="3">
        <f t="shared" si="42"/>
        <v>0</v>
      </c>
      <c r="BD20" s="103">
        <v>19222</v>
      </c>
      <c r="BE20" s="14">
        <f>(305/1185)*ELEC!Q18</f>
        <v>225.21097046413504</v>
      </c>
      <c r="BF20" s="14"/>
      <c r="BG20" s="14" t="e">
        <f>#REF!-BE20</f>
        <v>#REF!</v>
      </c>
      <c r="BH20" s="11"/>
    </row>
    <row r="21" spans="1:61">
      <c r="A21" s="475">
        <f>ELEC!C18</f>
        <v>43877</v>
      </c>
      <c r="B21">
        <f>'B5'!B20</f>
        <v>202.3</v>
      </c>
      <c r="C21" s="207">
        <f t="shared" si="18"/>
        <v>4352.7129032258063</v>
      </c>
      <c r="D21">
        <f t="shared" si="19"/>
        <v>202.3</v>
      </c>
      <c r="E21" s="207">
        <f t="shared" si="18"/>
        <v>4352.7129032258063</v>
      </c>
      <c r="F21">
        <f t="shared" si="20"/>
        <v>202.3</v>
      </c>
      <c r="G21" s="207">
        <f t="shared" si="1"/>
        <v>4352.7129032258063</v>
      </c>
      <c r="H21" s="207">
        <f t="shared" si="21"/>
        <v>202.3</v>
      </c>
      <c r="I21" s="207">
        <f t="shared" si="2"/>
        <v>4352.7129032258063</v>
      </c>
      <c r="J21" s="207">
        <f t="shared" si="22"/>
        <v>202.3</v>
      </c>
      <c r="K21" s="207">
        <f t="shared" si="3"/>
        <v>4352.7129032258063</v>
      </c>
      <c r="L21" s="207">
        <f t="shared" si="23"/>
        <v>202.3</v>
      </c>
      <c r="M21" s="207">
        <f t="shared" si="4"/>
        <v>4352.7129032258063</v>
      </c>
      <c r="N21" s="207">
        <f t="shared" si="24"/>
        <v>202.3</v>
      </c>
      <c r="O21" s="207">
        <f t="shared" si="5"/>
        <v>4352.7129032258063</v>
      </c>
      <c r="P21" s="207">
        <f t="shared" si="25"/>
        <v>202.3</v>
      </c>
      <c r="Q21" s="207">
        <f t="shared" si="6"/>
        <v>4352.7129032258063</v>
      </c>
      <c r="R21" s="207">
        <f t="shared" si="26"/>
        <v>202.3</v>
      </c>
      <c r="S21" s="207">
        <f t="shared" si="7"/>
        <v>4352.7129032258063</v>
      </c>
      <c r="T21" s="207">
        <f t="shared" si="27"/>
        <v>202.3</v>
      </c>
      <c r="U21" s="207">
        <f t="shared" si="8"/>
        <v>4352.7129032258063</v>
      </c>
      <c r="V21" s="207">
        <f t="shared" si="28"/>
        <v>202.3</v>
      </c>
      <c r="W21" s="207">
        <f t="shared" si="9"/>
        <v>4352.7129032258063</v>
      </c>
      <c r="X21" s="35">
        <f t="shared" si="10"/>
        <v>0.65258064516129044</v>
      </c>
      <c r="Y21" s="36">
        <f t="shared" si="29"/>
        <v>47879.841935483877</v>
      </c>
      <c r="Z21" s="207">
        <f>'B5'!C20</f>
        <v>208.1</v>
      </c>
      <c r="AA21" s="207">
        <f t="shared" si="30"/>
        <v>2081</v>
      </c>
      <c r="AB21" s="207">
        <f t="shared" si="31"/>
        <v>208.1</v>
      </c>
      <c r="AC21" s="207">
        <f t="shared" si="30"/>
        <v>2081</v>
      </c>
      <c r="AD21" s="207">
        <f t="shared" si="32"/>
        <v>208.1</v>
      </c>
      <c r="AE21" s="207">
        <f t="shared" si="11"/>
        <v>2081</v>
      </c>
      <c r="AF21" s="207">
        <f t="shared" si="33"/>
        <v>208.1</v>
      </c>
      <c r="AG21" s="207">
        <f t="shared" si="12"/>
        <v>2081</v>
      </c>
      <c r="AH21" s="207">
        <f t="shared" si="34"/>
        <v>208.1</v>
      </c>
      <c r="AI21" s="207">
        <f t="shared" si="13"/>
        <v>2081</v>
      </c>
      <c r="AJ21" s="207">
        <f t="shared" si="35"/>
        <v>208.1</v>
      </c>
      <c r="AK21" s="207">
        <f t="shared" si="14"/>
        <v>2081</v>
      </c>
      <c r="AL21" s="207">
        <f t="shared" si="36"/>
        <v>208.1</v>
      </c>
      <c r="AM21" s="207">
        <f t="shared" si="15"/>
        <v>2081</v>
      </c>
      <c r="AN21" s="35">
        <f t="shared" si="16"/>
        <v>0.74321428571428572</v>
      </c>
      <c r="AO21" s="36">
        <f t="shared" si="17"/>
        <v>14567</v>
      </c>
      <c r="AQ21" s="227">
        <f t="shared" si="37"/>
        <v>0.67168809223925863</v>
      </c>
      <c r="AR21" s="38">
        <f>SUM(AO21+Y21)</f>
        <v>62446.841935483877</v>
      </c>
      <c r="AS21" s="201">
        <f>SUM(AR21-AR20-AT21)</f>
        <v>-1172.3741935483922</v>
      </c>
      <c r="AT21" s="278"/>
      <c r="AU21" s="467"/>
      <c r="AV21" s="567">
        <f t="shared" si="41"/>
        <v>0.54</v>
      </c>
      <c r="AW21" s="302">
        <f>-SUM('B5'!AI20)</f>
        <v>-644</v>
      </c>
      <c r="AX21" s="302">
        <f t="shared" si="39"/>
        <v>-528.37419354839221</v>
      </c>
      <c r="AY21" s="37">
        <f t="shared" si="40"/>
        <v>-1172.3741935483922</v>
      </c>
      <c r="AZ21" s="101">
        <f>ELEC!A18</f>
        <v>0.1696</v>
      </c>
      <c r="BA21" s="119">
        <f>'General information '!D21</f>
        <v>14</v>
      </c>
      <c r="BB21" s="415">
        <f>SUM('General information '!E21)</f>
        <v>0.57999999999999996</v>
      </c>
      <c r="BC21" s="3">
        <f t="shared" si="42"/>
        <v>0</v>
      </c>
      <c r="BD21" s="103">
        <v>19222</v>
      </c>
      <c r="BE21" s="14">
        <f>(305/1185)*ELEC!Q19</f>
        <v>571.13502109682543</v>
      </c>
      <c r="BF21" s="14"/>
      <c r="BG21" s="14" t="e">
        <f>#REF!-BE21</f>
        <v>#REF!</v>
      </c>
      <c r="BH21" s="11"/>
    </row>
    <row r="22" spans="1:61">
      <c r="A22" s="475">
        <f>ELEC!C19</f>
        <v>43878</v>
      </c>
      <c r="B22">
        <f>'B5'!B21</f>
        <v>198</v>
      </c>
      <c r="C22" s="207">
        <f t="shared" si="18"/>
        <v>4260.1935483870966</v>
      </c>
      <c r="D22">
        <f t="shared" si="19"/>
        <v>198</v>
      </c>
      <c r="E22" s="207">
        <f t="shared" si="18"/>
        <v>4260.1935483870966</v>
      </c>
      <c r="F22">
        <f t="shared" si="20"/>
        <v>198</v>
      </c>
      <c r="G22" s="207">
        <f t="shared" si="1"/>
        <v>4260.1935483870966</v>
      </c>
      <c r="H22" s="207">
        <f t="shared" si="21"/>
        <v>198</v>
      </c>
      <c r="I22" s="207">
        <f t="shared" si="2"/>
        <v>4260.1935483870966</v>
      </c>
      <c r="J22" s="207">
        <f t="shared" si="22"/>
        <v>198</v>
      </c>
      <c r="K22" s="207">
        <f t="shared" si="3"/>
        <v>4260.1935483870966</v>
      </c>
      <c r="L22" s="207">
        <f t="shared" si="23"/>
        <v>198</v>
      </c>
      <c r="M22" s="207">
        <f t="shared" si="4"/>
        <v>4260.1935483870966</v>
      </c>
      <c r="N22" s="207">
        <f t="shared" si="24"/>
        <v>198</v>
      </c>
      <c r="O22" s="207">
        <f t="shared" si="5"/>
        <v>4260.1935483870966</v>
      </c>
      <c r="P22" s="207">
        <f t="shared" si="25"/>
        <v>198</v>
      </c>
      <c r="Q22" s="207">
        <f t="shared" si="6"/>
        <v>4260.1935483870966</v>
      </c>
      <c r="R22" s="207">
        <f t="shared" si="26"/>
        <v>198</v>
      </c>
      <c r="S22" s="207">
        <f t="shared" si="7"/>
        <v>4260.1935483870966</v>
      </c>
      <c r="T22" s="207">
        <f t="shared" si="27"/>
        <v>198</v>
      </c>
      <c r="U22" s="207">
        <f t="shared" si="8"/>
        <v>4260.1935483870966</v>
      </c>
      <c r="V22" s="207">
        <f t="shared" si="28"/>
        <v>198</v>
      </c>
      <c r="W22" s="207">
        <f t="shared" si="9"/>
        <v>4260.1935483870966</v>
      </c>
      <c r="X22" s="35">
        <f t="shared" si="10"/>
        <v>0.63870967741935503</v>
      </c>
      <c r="Y22" s="36">
        <f t="shared" si="29"/>
        <v>46862.129032258075</v>
      </c>
      <c r="Z22" s="207">
        <f>'B5'!C21</f>
        <v>203.3</v>
      </c>
      <c r="AA22" s="207">
        <f t="shared" si="30"/>
        <v>2033</v>
      </c>
      <c r="AB22" s="207">
        <f t="shared" si="31"/>
        <v>203.3</v>
      </c>
      <c r="AC22" s="207">
        <f t="shared" si="30"/>
        <v>2033</v>
      </c>
      <c r="AD22" s="207">
        <f t="shared" si="32"/>
        <v>203.3</v>
      </c>
      <c r="AE22" s="207">
        <f t="shared" si="11"/>
        <v>2033</v>
      </c>
      <c r="AF22" s="207">
        <f t="shared" si="33"/>
        <v>203.3</v>
      </c>
      <c r="AG22" s="207">
        <f t="shared" si="12"/>
        <v>2033</v>
      </c>
      <c r="AH22" s="207">
        <f t="shared" si="34"/>
        <v>203.3</v>
      </c>
      <c r="AI22" s="207">
        <f t="shared" si="13"/>
        <v>2033</v>
      </c>
      <c r="AJ22" s="207">
        <f t="shared" si="35"/>
        <v>203.3</v>
      </c>
      <c r="AK22" s="207">
        <f t="shared" si="14"/>
        <v>2033</v>
      </c>
      <c r="AL22" s="207">
        <f t="shared" si="36"/>
        <v>203.3</v>
      </c>
      <c r="AM22" s="207">
        <f t="shared" si="15"/>
        <v>2033</v>
      </c>
      <c r="AN22" s="35">
        <f t="shared" si="16"/>
        <v>0.72607142857142859</v>
      </c>
      <c r="AO22" s="36">
        <f t="shared" si="17"/>
        <v>14231</v>
      </c>
      <c r="AQ22" s="227">
        <f t="shared" si="37"/>
        <v>0.65712734250035576</v>
      </c>
      <c r="AR22" s="38">
        <f t="shared" si="43"/>
        <v>61093.129032258075</v>
      </c>
      <c r="AS22" s="201">
        <f t="shared" si="38"/>
        <v>-1353.7129032258017</v>
      </c>
      <c r="AT22" s="278"/>
      <c r="AU22" s="467"/>
      <c r="AV22" s="567">
        <f t="shared" si="41"/>
        <v>0.54</v>
      </c>
      <c r="AW22" s="302">
        <f>-SUM('B5'!AI21)</f>
        <v>-630</v>
      </c>
      <c r="AX22" s="302">
        <f t="shared" si="39"/>
        <v>-723.71290322580171</v>
      </c>
      <c r="AY22" s="37">
        <f t="shared" si="40"/>
        <v>-1353.7129032258017</v>
      </c>
      <c r="AZ22" s="101">
        <f>ELEC!A19</f>
        <v>0.23039999999999999</v>
      </c>
      <c r="BA22" s="119">
        <f>'General information '!D22</f>
        <v>14</v>
      </c>
      <c r="BB22" s="415">
        <f>SUM('General information '!E22)</f>
        <v>0.6</v>
      </c>
      <c r="BC22" s="3">
        <f t="shared" si="42"/>
        <v>0</v>
      </c>
      <c r="BD22" s="103">
        <v>19222</v>
      </c>
      <c r="BE22" s="14">
        <f>(305/1185)*ELEC!Q20</f>
        <v>582.45991561202788</v>
      </c>
      <c r="BF22" s="14"/>
      <c r="BG22" s="14" t="e">
        <f>#REF!-BE22</f>
        <v>#REF!</v>
      </c>
      <c r="BH22" s="11"/>
    </row>
    <row r="23" spans="1:61">
      <c r="A23" s="475">
        <f>ELEC!C20</f>
        <v>43879</v>
      </c>
      <c r="B23">
        <f>'B5'!B22</f>
        <v>251.2</v>
      </c>
      <c r="C23" s="207">
        <f t="shared" si="18"/>
        <v>5404.851612903225</v>
      </c>
      <c r="D23">
        <f t="shared" si="19"/>
        <v>251.2</v>
      </c>
      <c r="E23" s="207">
        <f t="shared" si="18"/>
        <v>5404.851612903225</v>
      </c>
      <c r="F23">
        <f t="shared" si="20"/>
        <v>251.2</v>
      </c>
      <c r="G23" s="207">
        <f t="shared" si="1"/>
        <v>5404.851612903225</v>
      </c>
      <c r="H23" s="207">
        <f t="shared" si="21"/>
        <v>251.2</v>
      </c>
      <c r="I23" s="207">
        <f t="shared" si="2"/>
        <v>5404.851612903225</v>
      </c>
      <c r="J23" s="207">
        <f t="shared" si="22"/>
        <v>251.2</v>
      </c>
      <c r="K23" s="207">
        <f t="shared" si="3"/>
        <v>5404.851612903225</v>
      </c>
      <c r="L23" s="207">
        <f t="shared" si="23"/>
        <v>251.2</v>
      </c>
      <c r="M23" s="207">
        <f t="shared" si="4"/>
        <v>5404.851612903225</v>
      </c>
      <c r="N23" s="207">
        <f t="shared" si="24"/>
        <v>251.2</v>
      </c>
      <c r="O23" s="207">
        <f t="shared" si="5"/>
        <v>5404.851612903225</v>
      </c>
      <c r="P23" s="207">
        <f t="shared" si="25"/>
        <v>251.2</v>
      </c>
      <c r="Q23" s="207">
        <f t="shared" si="6"/>
        <v>5404.851612903225</v>
      </c>
      <c r="R23" s="207">
        <f t="shared" si="26"/>
        <v>251.2</v>
      </c>
      <c r="S23" s="207">
        <f t="shared" si="7"/>
        <v>5404.851612903225</v>
      </c>
      <c r="T23" s="207">
        <f t="shared" si="27"/>
        <v>251.2</v>
      </c>
      <c r="U23" s="207">
        <f t="shared" si="8"/>
        <v>5404.851612903225</v>
      </c>
      <c r="V23" s="207">
        <f t="shared" si="28"/>
        <v>251.2</v>
      </c>
      <c r="W23" s="207">
        <f t="shared" si="9"/>
        <v>5404.851612903225</v>
      </c>
      <c r="X23" s="35">
        <f t="shared" si="10"/>
        <v>0.81032258064516105</v>
      </c>
      <c r="Y23" s="36">
        <f t="shared" si="29"/>
        <v>59453.367741935464</v>
      </c>
      <c r="Z23" s="207">
        <f>'B5'!C22</f>
        <v>256.39999999999998</v>
      </c>
      <c r="AA23" s="207">
        <f t="shared" si="30"/>
        <v>2564</v>
      </c>
      <c r="AB23" s="207">
        <f t="shared" si="31"/>
        <v>256.39999999999998</v>
      </c>
      <c r="AC23" s="207">
        <f t="shared" si="30"/>
        <v>2564</v>
      </c>
      <c r="AD23" s="207">
        <f t="shared" si="32"/>
        <v>256.39999999999998</v>
      </c>
      <c r="AE23" s="207">
        <f t="shared" si="11"/>
        <v>2564</v>
      </c>
      <c r="AF23" s="207">
        <f t="shared" si="33"/>
        <v>256.39999999999998</v>
      </c>
      <c r="AG23" s="207">
        <f t="shared" si="12"/>
        <v>2564</v>
      </c>
      <c r="AH23" s="207">
        <f t="shared" si="34"/>
        <v>256.39999999999998</v>
      </c>
      <c r="AI23" s="207">
        <f t="shared" si="13"/>
        <v>2564</v>
      </c>
      <c r="AJ23" s="207">
        <f t="shared" si="35"/>
        <v>256.39999999999998</v>
      </c>
      <c r="AK23" s="207">
        <f t="shared" si="14"/>
        <v>2564</v>
      </c>
      <c r="AL23" s="207">
        <f t="shared" si="36"/>
        <v>256.39999999999998</v>
      </c>
      <c r="AM23" s="207">
        <f t="shared" si="15"/>
        <v>2564</v>
      </c>
      <c r="AN23" s="35">
        <f t="shared" si="16"/>
        <v>0.9157142857142857</v>
      </c>
      <c r="AO23" s="36">
        <f t="shared" si="17"/>
        <v>17948</v>
      </c>
      <c r="AQ23" s="227">
        <f t="shared" si="37"/>
        <v>0.83254133313902834</v>
      </c>
      <c r="AR23" s="38">
        <f t="shared" si="43"/>
        <v>77401.367741935464</v>
      </c>
      <c r="AS23" s="201">
        <f t="shared" si="38"/>
        <v>425.23870967738912</v>
      </c>
      <c r="AT23" s="278">
        <v>15883</v>
      </c>
      <c r="AU23" s="467">
        <v>0.51649999999999996</v>
      </c>
      <c r="AV23" s="567">
        <f t="shared" si="41"/>
        <v>0.51649999999999996</v>
      </c>
      <c r="AW23" s="302">
        <f>-SUM('B5'!AI22)</f>
        <v>-1122</v>
      </c>
      <c r="AX23" s="302">
        <f t="shared" si="39"/>
        <v>1547.2387096773891</v>
      </c>
      <c r="AY23" s="37">
        <f t="shared" si="40"/>
        <v>425.23870967738912</v>
      </c>
      <c r="AZ23" s="101">
        <f>ELEC!A20</f>
        <v>0.23480000000000001</v>
      </c>
      <c r="BA23" s="119">
        <f>'General information '!D23</f>
        <v>14</v>
      </c>
      <c r="BB23" s="415">
        <f>SUM('General information '!E23)</f>
        <v>0.62</v>
      </c>
      <c r="BC23" s="3">
        <f t="shared" si="42"/>
        <v>1</v>
      </c>
      <c r="BD23" s="103">
        <v>19222</v>
      </c>
      <c r="BE23" s="14">
        <f>(305/1185)*ELEC!Q21</f>
        <v>672.54430379730741</v>
      </c>
      <c r="BF23" s="14"/>
      <c r="BG23" s="14" t="e">
        <f>#REF!-BE23</f>
        <v>#REF!</v>
      </c>
      <c r="BH23" s="11"/>
    </row>
    <row r="24" spans="1:61">
      <c r="A24" s="475">
        <f>ELEC!C21</f>
        <v>43880</v>
      </c>
      <c r="B24">
        <f>'B5'!B23</f>
        <v>245</v>
      </c>
      <c r="C24" s="207">
        <f t="shared" si="18"/>
        <v>5271.4516129032254</v>
      </c>
      <c r="D24">
        <f t="shared" si="19"/>
        <v>245</v>
      </c>
      <c r="E24" s="207">
        <f t="shared" si="18"/>
        <v>5271.4516129032254</v>
      </c>
      <c r="F24">
        <f t="shared" si="20"/>
        <v>245</v>
      </c>
      <c r="G24" s="207">
        <f t="shared" si="1"/>
        <v>5271.4516129032254</v>
      </c>
      <c r="H24" s="207">
        <f t="shared" si="21"/>
        <v>245</v>
      </c>
      <c r="I24" s="207">
        <f t="shared" si="2"/>
        <v>5271.4516129032254</v>
      </c>
      <c r="J24" s="207">
        <f t="shared" si="22"/>
        <v>245</v>
      </c>
      <c r="K24" s="207">
        <f t="shared" si="3"/>
        <v>5271.4516129032254</v>
      </c>
      <c r="L24" s="207">
        <f t="shared" si="23"/>
        <v>245</v>
      </c>
      <c r="M24" s="207">
        <f t="shared" si="4"/>
        <v>5271.4516129032254</v>
      </c>
      <c r="N24" s="207">
        <f t="shared" si="24"/>
        <v>245</v>
      </c>
      <c r="O24" s="207">
        <f t="shared" si="5"/>
        <v>5271.4516129032254</v>
      </c>
      <c r="P24" s="207">
        <f t="shared" si="25"/>
        <v>245</v>
      </c>
      <c r="Q24" s="207">
        <f t="shared" si="6"/>
        <v>5271.4516129032254</v>
      </c>
      <c r="R24" s="207">
        <f t="shared" si="26"/>
        <v>245</v>
      </c>
      <c r="S24" s="207">
        <f t="shared" si="7"/>
        <v>5271.4516129032254</v>
      </c>
      <c r="T24" s="207">
        <f t="shared" si="27"/>
        <v>245</v>
      </c>
      <c r="U24" s="207">
        <f t="shared" si="8"/>
        <v>5271.4516129032254</v>
      </c>
      <c r="V24" s="207">
        <f t="shared" si="28"/>
        <v>245</v>
      </c>
      <c r="W24" s="207">
        <f t="shared" si="9"/>
        <v>5271.4516129032254</v>
      </c>
      <c r="X24" s="35">
        <f t="shared" si="10"/>
        <v>0.79032258064516137</v>
      </c>
      <c r="Y24" s="36">
        <f t="shared" si="29"/>
        <v>57985.967741935492</v>
      </c>
      <c r="Z24" s="207">
        <f>'B5'!C23</f>
        <v>249.4</v>
      </c>
      <c r="AA24" s="207">
        <f t="shared" si="30"/>
        <v>2494</v>
      </c>
      <c r="AB24" s="207">
        <f t="shared" si="31"/>
        <v>249.4</v>
      </c>
      <c r="AC24" s="207">
        <f t="shared" si="30"/>
        <v>2494</v>
      </c>
      <c r="AD24" s="207">
        <f t="shared" si="32"/>
        <v>249.4</v>
      </c>
      <c r="AE24" s="207">
        <f t="shared" si="11"/>
        <v>2494</v>
      </c>
      <c r="AF24" s="207">
        <f t="shared" si="33"/>
        <v>249.4</v>
      </c>
      <c r="AG24" s="207">
        <f t="shared" si="12"/>
        <v>2494</v>
      </c>
      <c r="AH24" s="207">
        <f t="shared" si="34"/>
        <v>249.4</v>
      </c>
      <c r="AI24" s="207">
        <f t="shared" si="13"/>
        <v>2494</v>
      </c>
      <c r="AJ24" s="207">
        <f t="shared" si="35"/>
        <v>249.4</v>
      </c>
      <c r="AK24" s="207">
        <f t="shared" si="14"/>
        <v>2494</v>
      </c>
      <c r="AL24" s="207">
        <f t="shared" si="36"/>
        <v>249.4</v>
      </c>
      <c r="AM24" s="207">
        <f t="shared" si="15"/>
        <v>2494</v>
      </c>
      <c r="AN24" s="35">
        <f t="shared" si="16"/>
        <v>0.89071428571428568</v>
      </c>
      <c r="AO24" s="36">
        <f t="shared" si="17"/>
        <v>17458</v>
      </c>
      <c r="AQ24" s="227">
        <f t="shared" si="37"/>
        <v>0.81148722966478959</v>
      </c>
      <c r="AR24" s="38">
        <f t="shared" si="43"/>
        <v>75443.967741935485</v>
      </c>
      <c r="AS24" s="201">
        <f t="shared" si="38"/>
        <v>-1957.3999999999796</v>
      </c>
      <c r="AT24" s="278"/>
      <c r="AU24" s="467"/>
      <c r="AV24" s="567">
        <f t="shared" si="41"/>
        <v>0.51649999999999996</v>
      </c>
      <c r="AW24" s="302">
        <f>-SUM('B5'!AI23)</f>
        <v>-499</v>
      </c>
      <c r="AX24" s="302">
        <f t="shared" si="39"/>
        <v>-1458.3999999999796</v>
      </c>
      <c r="AY24" s="37">
        <f t="shared" si="40"/>
        <v>-1957.3999999999796</v>
      </c>
      <c r="AZ24" s="101">
        <f>ELEC!A21</f>
        <v>0.23039999999999999</v>
      </c>
      <c r="BA24" s="119">
        <f>'General information '!D24</f>
        <v>15.5</v>
      </c>
      <c r="BB24" s="415">
        <f>SUM('General information '!E24)</f>
        <v>0.6</v>
      </c>
      <c r="BC24" s="3">
        <f t="shared" si="42"/>
        <v>0</v>
      </c>
      <c r="BD24" s="103">
        <v>19222</v>
      </c>
      <c r="BE24" s="14">
        <f>(305/1185)*ELEC!Q22</f>
        <v>523.7763713079795</v>
      </c>
      <c r="BF24" s="14"/>
      <c r="BG24" s="14" t="e">
        <f>#REF!-BE24</f>
        <v>#REF!</v>
      </c>
      <c r="BH24" s="11"/>
      <c r="BI24" t="s">
        <v>325</v>
      </c>
    </row>
    <row r="25" spans="1:61">
      <c r="A25" s="475">
        <f>ELEC!C22</f>
        <v>43881</v>
      </c>
      <c r="B25">
        <f>'B5'!B24</f>
        <v>241</v>
      </c>
      <c r="C25" s="207">
        <f t="shared" si="18"/>
        <v>5185.3870967741932</v>
      </c>
      <c r="D25">
        <f t="shared" si="19"/>
        <v>241</v>
      </c>
      <c r="E25" s="207">
        <f t="shared" si="18"/>
        <v>5185.3870967741932</v>
      </c>
      <c r="F25">
        <f t="shared" si="20"/>
        <v>241</v>
      </c>
      <c r="G25" s="207">
        <f t="shared" si="1"/>
        <v>5185.3870967741932</v>
      </c>
      <c r="H25" s="207">
        <f t="shared" si="21"/>
        <v>241</v>
      </c>
      <c r="I25" s="207">
        <f t="shared" si="2"/>
        <v>5185.3870967741932</v>
      </c>
      <c r="J25" s="207">
        <f t="shared" si="22"/>
        <v>241</v>
      </c>
      <c r="K25" s="207">
        <f t="shared" si="3"/>
        <v>5185.3870967741932</v>
      </c>
      <c r="L25" s="207">
        <f t="shared" si="23"/>
        <v>241</v>
      </c>
      <c r="M25" s="207">
        <f t="shared" si="4"/>
        <v>5185.3870967741932</v>
      </c>
      <c r="N25" s="207">
        <f t="shared" si="24"/>
        <v>241</v>
      </c>
      <c r="O25" s="207">
        <f t="shared" si="5"/>
        <v>5185.3870967741932</v>
      </c>
      <c r="P25" s="207">
        <f t="shared" si="25"/>
        <v>241</v>
      </c>
      <c r="Q25" s="207">
        <f t="shared" si="6"/>
        <v>5185.3870967741932</v>
      </c>
      <c r="R25" s="207">
        <f t="shared" si="26"/>
        <v>241</v>
      </c>
      <c r="S25" s="207">
        <f t="shared" si="7"/>
        <v>5185.3870967741932</v>
      </c>
      <c r="T25" s="207">
        <f t="shared" si="27"/>
        <v>241</v>
      </c>
      <c r="U25" s="207">
        <f t="shared" si="8"/>
        <v>5185.3870967741932</v>
      </c>
      <c r="V25" s="207">
        <f t="shared" si="28"/>
        <v>241</v>
      </c>
      <c r="W25" s="207">
        <f t="shared" si="9"/>
        <v>5185.3870967741932</v>
      </c>
      <c r="X25" s="35">
        <f t="shared" si="10"/>
        <v>0.77741935483870972</v>
      </c>
      <c r="Y25" s="36">
        <f t="shared" si="29"/>
        <v>57039.258064516136</v>
      </c>
      <c r="Z25" s="207">
        <f>'B5'!C24</f>
        <v>246.5</v>
      </c>
      <c r="AA25" s="207">
        <f t="shared" si="30"/>
        <v>2465</v>
      </c>
      <c r="AB25" s="207">
        <f t="shared" si="31"/>
        <v>246.5</v>
      </c>
      <c r="AC25" s="207">
        <f t="shared" si="30"/>
        <v>2465</v>
      </c>
      <c r="AD25" s="207">
        <f t="shared" si="32"/>
        <v>246.5</v>
      </c>
      <c r="AE25" s="207">
        <f t="shared" si="11"/>
        <v>2465</v>
      </c>
      <c r="AF25" s="207">
        <f t="shared" si="33"/>
        <v>246.5</v>
      </c>
      <c r="AG25" s="207">
        <f t="shared" si="12"/>
        <v>2465</v>
      </c>
      <c r="AH25" s="207">
        <f t="shared" si="34"/>
        <v>246.5</v>
      </c>
      <c r="AI25" s="207">
        <f t="shared" si="13"/>
        <v>2465</v>
      </c>
      <c r="AJ25" s="207">
        <f t="shared" si="35"/>
        <v>246.5</v>
      </c>
      <c r="AK25" s="207">
        <f t="shared" si="14"/>
        <v>2465</v>
      </c>
      <c r="AL25" s="207">
        <f t="shared" si="36"/>
        <v>246.5</v>
      </c>
      <c r="AM25" s="207">
        <f t="shared" si="15"/>
        <v>2465</v>
      </c>
      <c r="AN25" s="35">
        <f t="shared" si="16"/>
        <v>0.88035714285714284</v>
      </c>
      <c r="AO25" s="36">
        <f t="shared" si="17"/>
        <v>17255</v>
      </c>
      <c r="AQ25" s="227">
        <f t="shared" si="37"/>
        <v>0.79912077083485145</v>
      </c>
      <c r="AR25" s="38">
        <f t="shared" si="43"/>
        <v>74294.258064516136</v>
      </c>
      <c r="AS25" s="201">
        <f t="shared" si="38"/>
        <v>-1149.7096774193487</v>
      </c>
      <c r="AT25" s="278"/>
      <c r="AU25" s="467"/>
      <c r="AV25" s="567">
        <f t="shared" si="41"/>
        <v>0.51649999999999996</v>
      </c>
      <c r="AW25" s="302">
        <f>-SUM('B5'!AI24)</f>
        <v>-541</v>
      </c>
      <c r="AX25" s="302">
        <f t="shared" si="39"/>
        <v>-608.70967741934874</v>
      </c>
      <c r="AY25" s="37">
        <f t="shared" si="40"/>
        <v>-1149.7096774193487</v>
      </c>
      <c r="AZ25" s="101">
        <f>ELEC!A22</f>
        <v>0.2261</v>
      </c>
      <c r="BA25" s="119">
        <f>'General information '!D25</f>
        <v>15.5</v>
      </c>
      <c r="BB25" s="415">
        <f>SUM('General information '!E25)</f>
        <v>0.59</v>
      </c>
      <c r="BC25" s="3">
        <f t="shared" si="42"/>
        <v>0</v>
      </c>
      <c r="BD25" s="103">
        <v>19222</v>
      </c>
      <c r="BE25" s="14">
        <f>(305/1185)*ELEC!Q23</f>
        <v>583.74683544304548</v>
      </c>
      <c r="BF25" s="14"/>
      <c r="BG25" s="14" t="e">
        <f>#REF!-BE25</f>
        <v>#REF!</v>
      </c>
      <c r="BH25" s="11"/>
    </row>
    <row r="26" spans="1:61">
      <c r="A26" s="475">
        <f>ELEC!C23</f>
        <v>43882</v>
      </c>
      <c r="B26">
        <f>'B5'!B25</f>
        <v>237</v>
      </c>
      <c r="C26" s="207">
        <f t="shared" si="18"/>
        <v>5099.322580645161</v>
      </c>
      <c r="D26">
        <f t="shared" si="19"/>
        <v>237</v>
      </c>
      <c r="E26" s="207">
        <f t="shared" si="18"/>
        <v>5099.322580645161</v>
      </c>
      <c r="F26">
        <f t="shared" si="20"/>
        <v>237</v>
      </c>
      <c r="G26" s="207">
        <f t="shared" si="1"/>
        <v>5099.322580645161</v>
      </c>
      <c r="H26" s="207">
        <f t="shared" si="21"/>
        <v>237</v>
      </c>
      <c r="I26" s="207">
        <f t="shared" si="2"/>
        <v>5099.322580645161</v>
      </c>
      <c r="J26" s="207">
        <f t="shared" si="22"/>
        <v>237</v>
      </c>
      <c r="K26" s="207">
        <f t="shared" si="3"/>
        <v>5099.322580645161</v>
      </c>
      <c r="L26" s="207">
        <f t="shared" si="23"/>
        <v>237</v>
      </c>
      <c r="M26" s="207">
        <f t="shared" si="4"/>
        <v>5099.322580645161</v>
      </c>
      <c r="N26" s="207">
        <f t="shared" si="24"/>
        <v>237</v>
      </c>
      <c r="O26" s="207">
        <f t="shared" si="5"/>
        <v>5099.322580645161</v>
      </c>
      <c r="P26" s="207">
        <f t="shared" si="25"/>
        <v>237</v>
      </c>
      <c r="Q26" s="207">
        <f t="shared" si="6"/>
        <v>5099.322580645161</v>
      </c>
      <c r="R26" s="207">
        <f t="shared" si="26"/>
        <v>237</v>
      </c>
      <c r="S26" s="207">
        <f t="shared" si="7"/>
        <v>5099.322580645161</v>
      </c>
      <c r="T26" s="207">
        <f t="shared" si="27"/>
        <v>237</v>
      </c>
      <c r="U26" s="207">
        <f t="shared" si="8"/>
        <v>5099.322580645161</v>
      </c>
      <c r="V26" s="207">
        <f t="shared" si="28"/>
        <v>237</v>
      </c>
      <c r="W26" s="207">
        <f t="shared" si="9"/>
        <v>5099.322580645161</v>
      </c>
      <c r="X26" s="35">
        <f t="shared" si="10"/>
        <v>0.76451612903225785</v>
      </c>
      <c r="Y26" s="36">
        <f t="shared" si="29"/>
        <v>56092.548387096758</v>
      </c>
      <c r="Z26" s="207">
        <f>'B5'!C25</f>
        <v>241</v>
      </c>
      <c r="AA26" s="207">
        <f t="shared" si="30"/>
        <v>2410</v>
      </c>
      <c r="AB26" s="207">
        <f t="shared" si="31"/>
        <v>241</v>
      </c>
      <c r="AC26" s="207">
        <f t="shared" si="30"/>
        <v>2410</v>
      </c>
      <c r="AD26" s="207">
        <f t="shared" si="32"/>
        <v>241</v>
      </c>
      <c r="AE26" s="207">
        <f t="shared" si="11"/>
        <v>2410</v>
      </c>
      <c r="AF26" s="207">
        <f t="shared" si="33"/>
        <v>241</v>
      </c>
      <c r="AG26" s="207">
        <f t="shared" si="12"/>
        <v>2410</v>
      </c>
      <c r="AH26" s="207">
        <f t="shared" si="34"/>
        <v>241</v>
      </c>
      <c r="AI26" s="207">
        <f t="shared" si="13"/>
        <v>2410</v>
      </c>
      <c r="AJ26" s="207">
        <f t="shared" si="35"/>
        <v>241</v>
      </c>
      <c r="AK26" s="207">
        <f t="shared" si="14"/>
        <v>2410</v>
      </c>
      <c r="AL26" s="207">
        <f t="shared" si="36"/>
        <v>241</v>
      </c>
      <c r="AM26" s="207">
        <f t="shared" si="15"/>
        <v>2410</v>
      </c>
      <c r="AN26" s="35">
        <f t="shared" si="16"/>
        <v>0.86071428571428577</v>
      </c>
      <c r="AO26" s="36">
        <f t="shared" si="17"/>
        <v>16870</v>
      </c>
      <c r="AQ26" s="227">
        <f t="shared" si="37"/>
        <v>0.78479669126704055</v>
      </c>
      <c r="AR26" s="38">
        <f t="shared" si="43"/>
        <v>72962.548387096758</v>
      </c>
      <c r="AS26" s="201">
        <f t="shared" si="38"/>
        <v>-1331.7096774193778</v>
      </c>
      <c r="AT26" s="278"/>
      <c r="AU26" s="467"/>
      <c r="AV26" s="567">
        <f t="shared" si="41"/>
        <v>0.51649999999999996</v>
      </c>
      <c r="AW26" s="302">
        <f>-SUM('B5'!AI25)</f>
        <v>-1044.2999999999884</v>
      </c>
      <c r="AX26" s="302">
        <f t="shared" si="39"/>
        <v>-287.40967741938948</v>
      </c>
      <c r="AY26" s="37">
        <f t="shared" si="40"/>
        <v>-1331.7096774193778</v>
      </c>
      <c r="AZ26" s="101">
        <f>ELEC!A23</f>
        <v>0.24779999999999999</v>
      </c>
      <c r="BA26" s="119">
        <f>'General information '!D26</f>
        <v>14</v>
      </c>
      <c r="BB26" s="415">
        <f>SUM('General information '!E26)</f>
        <v>0.82</v>
      </c>
      <c r="BC26" s="3">
        <f t="shared" si="42"/>
        <v>0</v>
      </c>
      <c r="BD26" s="103">
        <v>19222</v>
      </c>
      <c r="BE26" s="14">
        <f>(305/1185)*ELEC!Q24</f>
        <v>685.67088607612175</v>
      </c>
      <c r="BF26" s="14"/>
      <c r="BG26" s="14" t="e">
        <f>#REF!-BE26</f>
        <v>#REF!</v>
      </c>
      <c r="BH26" s="11"/>
    </row>
    <row r="27" spans="1:61">
      <c r="A27" s="475">
        <f>ELEC!C24</f>
        <v>43883</v>
      </c>
      <c r="B27">
        <f>'B5'!B26</f>
        <v>229</v>
      </c>
      <c r="C27" s="207">
        <f t="shared" si="18"/>
        <v>4927.1935483870966</v>
      </c>
      <c r="D27">
        <f t="shared" si="19"/>
        <v>229</v>
      </c>
      <c r="E27" s="207">
        <f t="shared" si="18"/>
        <v>4927.1935483870966</v>
      </c>
      <c r="F27">
        <f t="shared" si="20"/>
        <v>229</v>
      </c>
      <c r="G27" s="207">
        <f t="shared" si="1"/>
        <v>4927.1935483870966</v>
      </c>
      <c r="H27" s="207">
        <f t="shared" si="21"/>
        <v>229</v>
      </c>
      <c r="I27" s="207">
        <f t="shared" si="2"/>
        <v>4927.1935483870966</v>
      </c>
      <c r="J27" s="207">
        <f t="shared" si="22"/>
        <v>229</v>
      </c>
      <c r="K27" s="207">
        <f t="shared" si="3"/>
        <v>4927.1935483870966</v>
      </c>
      <c r="L27" s="207">
        <f t="shared" si="23"/>
        <v>229</v>
      </c>
      <c r="M27" s="207">
        <f t="shared" si="4"/>
        <v>4927.1935483870966</v>
      </c>
      <c r="N27" s="207">
        <f t="shared" si="24"/>
        <v>229</v>
      </c>
      <c r="O27" s="207">
        <f t="shared" si="5"/>
        <v>4927.1935483870966</v>
      </c>
      <c r="P27" s="207">
        <f t="shared" si="25"/>
        <v>229</v>
      </c>
      <c r="Q27" s="207">
        <f t="shared" si="6"/>
        <v>4927.1935483870966</v>
      </c>
      <c r="R27" s="207">
        <f t="shared" si="26"/>
        <v>229</v>
      </c>
      <c r="S27" s="207">
        <f t="shared" si="7"/>
        <v>4927.1935483870966</v>
      </c>
      <c r="T27" s="207">
        <f t="shared" si="27"/>
        <v>229</v>
      </c>
      <c r="U27" s="207">
        <f t="shared" si="8"/>
        <v>4927.1935483870966</v>
      </c>
      <c r="V27" s="207">
        <f t="shared" si="28"/>
        <v>229</v>
      </c>
      <c r="W27" s="207">
        <f t="shared" si="9"/>
        <v>4927.1935483870966</v>
      </c>
      <c r="X27" s="35">
        <f t="shared" si="10"/>
        <v>0.738709677419355</v>
      </c>
      <c r="Y27" s="36">
        <f t="shared" si="29"/>
        <v>54199.129032258075</v>
      </c>
      <c r="Z27" s="207">
        <f>'B5'!C26</f>
        <v>234.3</v>
      </c>
      <c r="AA27" s="207">
        <f t="shared" si="30"/>
        <v>2343</v>
      </c>
      <c r="AB27" s="207">
        <f t="shared" si="31"/>
        <v>234.3</v>
      </c>
      <c r="AC27" s="207">
        <f t="shared" si="30"/>
        <v>2343</v>
      </c>
      <c r="AD27" s="207">
        <f t="shared" si="32"/>
        <v>234.3</v>
      </c>
      <c r="AE27" s="207">
        <f t="shared" si="11"/>
        <v>2343</v>
      </c>
      <c r="AF27" s="207">
        <f t="shared" si="33"/>
        <v>234.3</v>
      </c>
      <c r="AG27" s="207">
        <f t="shared" si="12"/>
        <v>2343</v>
      </c>
      <c r="AH27" s="207">
        <f t="shared" si="34"/>
        <v>234.3</v>
      </c>
      <c r="AI27" s="207">
        <f t="shared" si="13"/>
        <v>2343</v>
      </c>
      <c r="AJ27" s="207">
        <f t="shared" si="35"/>
        <v>234.3</v>
      </c>
      <c r="AK27" s="207">
        <f t="shared" si="14"/>
        <v>2343</v>
      </c>
      <c r="AL27" s="207">
        <f t="shared" si="36"/>
        <v>234.3</v>
      </c>
      <c r="AM27" s="207">
        <f t="shared" si="15"/>
        <v>2343</v>
      </c>
      <c r="AN27" s="35">
        <f t="shared" si="16"/>
        <v>0.83678571428571424</v>
      </c>
      <c r="AO27" s="36">
        <f>SUM(AA27+AC27+AE27+AG27+AI27+AK27+AM27)</f>
        <v>16401</v>
      </c>
      <c r="AQ27" s="227">
        <f t="shared" si="37"/>
        <v>0.75938613565943935</v>
      </c>
      <c r="AR27" s="38">
        <f>SUM(AO27+Y27)</f>
        <v>70600.129032258075</v>
      </c>
      <c r="AS27" s="201">
        <f t="shared" si="38"/>
        <v>-2362.4193548386829</v>
      </c>
      <c r="AT27" s="278"/>
      <c r="AU27" s="467"/>
      <c r="AV27" s="567">
        <f t="shared" si="41"/>
        <v>0.51649999999999996</v>
      </c>
      <c r="AW27" s="302">
        <f>-SUM('B5'!AI26)</f>
        <v>-748</v>
      </c>
      <c r="AX27" s="302">
        <f t="shared" si="39"/>
        <v>-1614.4193548386829</v>
      </c>
      <c r="AY27" s="37">
        <f t="shared" si="40"/>
        <v>-2362.4193548386829</v>
      </c>
      <c r="AZ27" s="101">
        <f>ELEC!A24</f>
        <v>0.18260000000000001</v>
      </c>
      <c r="BA27" s="119">
        <f>'General information '!D27</f>
        <v>14.5</v>
      </c>
      <c r="BB27" s="415">
        <f>SUM('General information '!E27)</f>
        <v>0.65</v>
      </c>
      <c r="BC27" s="3">
        <f t="shared" si="42"/>
        <v>0</v>
      </c>
      <c r="BD27" s="103">
        <v>19222</v>
      </c>
      <c r="BE27" s="14">
        <f>(305/1185)*ELEC!Q25</f>
        <v>989.89873417709919</v>
      </c>
      <c r="BF27" s="14"/>
      <c r="BG27" s="14" t="e">
        <f>#REF!-BE27</f>
        <v>#REF!</v>
      </c>
      <c r="BH27" s="11"/>
    </row>
    <row r="28" spans="1:61">
      <c r="A28" s="475">
        <f>ELEC!C25</f>
        <v>43884</v>
      </c>
      <c r="B28">
        <f>'B5'!B27</f>
        <v>222</v>
      </c>
      <c r="C28" s="207">
        <f t="shared" si="18"/>
        <v>4776.5806451612898</v>
      </c>
      <c r="D28">
        <f t="shared" si="19"/>
        <v>222</v>
      </c>
      <c r="E28" s="207">
        <f t="shared" si="18"/>
        <v>4776.5806451612898</v>
      </c>
      <c r="F28">
        <f t="shared" si="20"/>
        <v>222</v>
      </c>
      <c r="G28" s="207">
        <f t="shared" si="1"/>
        <v>4776.5806451612898</v>
      </c>
      <c r="H28" s="207">
        <f t="shared" si="21"/>
        <v>222</v>
      </c>
      <c r="I28" s="207">
        <f t="shared" si="2"/>
        <v>4776.5806451612898</v>
      </c>
      <c r="J28" s="207">
        <f t="shared" si="22"/>
        <v>222</v>
      </c>
      <c r="K28" s="207">
        <f t="shared" si="3"/>
        <v>4776.5806451612898</v>
      </c>
      <c r="L28" s="207">
        <f t="shared" si="23"/>
        <v>222</v>
      </c>
      <c r="M28" s="207">
        <f t="shared" si="4"/>
        <v>4776.5806451612898</v>
      </c>
      <c r="N28" s="207">
        <f t="shared" si="24"/>
        <v>222</v>
      </c>
      <c r="O28" s="207">
        <f t="shared" si="5"/>
        <v>4776.5806451612898</v>
      </c>
      <c r="P28" s="207">
        <f t="shared" si="25"/>
        <v>222</v>
      </c>
      <c r="Q28" s="207">
        <f t="shared" si="6"/>
        <v>4776.5806451612898</v>
      </c>
      <c r="R28" s="207">
        <f t="shared" si="26"/>
        <v>222</v>
      </c>
      <c r="S28" s="207">
        <f t="shared" si="7"/>
        <v>4776.5806451612898</v>
      </c>
      <c r="T28" s="207">
        <f t="shared" si="27"/>
        <v>222</v>
      </c>
      <c r="U28" s="207">
        <f t="shared" si="8"/>
        <v>4776.5806451612898</v>
      </c>
      <c r="V28" s="207">
        <f t="shared" si="28"/>
        <v>222</v>
      </c>
      <c r="W28" s="207">
        <f t="shared" si="9"/>
        <v>4776.5806451612898</v>
      </c>
      <c r="X28" s="35">
        <f t="shared" si="10"/>
        <v>0.71612903225806424</v>
      </c>
      <c r="Y28" s="36">
        <f>SUM(C28+E28+G28+I28+K28+M28+O28+Q28+S28+U28+W28)</f>
        <v>52542.387096774175</v>
      </c>
      <c r="Z28" s="207">
        <f>'B5'!C27</f>
        <v>228.1</v>
      </c>
      <c r="AA28" s="207">
        <f>SUM(Z28*$Z$4)</f>
        <v>2281</v>
      </c>
      <c r="AB28" s="207">
        <f t="shared" si="31"/>
        <v>228.1</v>
      </c>
      <c r="AC28" s="207">
        <f t="shared" si="30"/>
        <v>2281</v>
      </c>
      <c r="AD28" s="207">
        <f t="shared" si="32"/>
        <v>228.1</v>
      </c>
      <c r="AE28" s="207">
        <f t="shared" si="11"/>
        <v>2281</v>
      </c>
      <c r="AF28" s="207">
        <f t="shared" si="33"/>
        <v>228.1</v>
      </c>
      <c r="AG28" s="207">
        <f t="shared" si="12"/>
        <v>2281</v>
      </c>
      <c r="AH28" s="207">
        <f t="shared" si="34"/>
        <v>228.1</v>
      </c>
      <c r="AI28" s="207">
        <f t="shared" si="13"/>
        <v>2281</v>
      </c>
      <c r="AJ28" s="207">
        <f t="shared" si="35"/>
        <v>228.1</v>
      </c>
      <c r="AK28" s="207">
        <f t="shared" si="14"/>
        <v>2281</v>
      </c>
      <c r="AL28" s="207">
        <f t="shared" si="36"/>
        <v>228.1</v>
      </c>
      <c r="AM28" s="207">
        <f t="shared" si="15"/>
        <v>2281</v>
      </c>
      <c r="AN28" s="35">
        <f t="shared" si="16"/>
        <v>0.81464285714285711</v>
      </c>
      <c r="AO28" s="36">
        <f>SUM(AA28+AC28+AE28+AG28+AI28+AK28+AM28)</f>
        <v>15967</v>
      </c>
      <c r="AQ28" s="227">
        <f t="shared" si="37"/>
        <v>0.73689778527239091</v>
      </c>
      <c r="AR28" s="38">
        <f>SUM(AO28+Y28)</f>
        <v>68509.387096774182</v>
      </c>
      <c r="AS28" s="201">
        <f>SUM(AR28-AR27-AT28)</f>
        <v>-2090.741935483893</v>
      </c>
      <c r="AT28" s="374"/>
      <c r="AU28" s="467"/>
      <c r="AV28" s="567">
        <f t="shared" si="41"/>
        <v>0.51649999999999996</v>
      </c>
      <c r="AW28" s="302">
        <f>-SUM('B5'!AI27)</f>
        <v>-677.29999999998836</v>
      </c>
      <c r="AX28" s="302">
        <f t="shared" si="39"/>
        <v>-1413.4419354839047</v>
      </c>
      <c r="AY28" s="37">
        <f t="shared" si="40"/>
        <v>-2090.741935483893</v>
      </c>
      <c r="AZ28" s="101">
        <f>ELEC!A25</f>
        <v>0.1391</v>
      </c>
      <c r="BA28" s="119">
        <f>'General information '!D28</f>
        <v>15</v>
      </c>
      <c r="BB28" s="415">
        <f>SUM('General information '!E28)</f>
        <v>0.66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75">
        <f>ELEC!C26</f>
        <v>43885</v>
      </c>
      <c r="B29">
        <f>'B5'!B28</f>
        <v>222</v>
      </c>
      <c r="C29" s="207">
        <f t="shared" si="18"/>
        <v>4776.5806451612898</v>
      </c>
      <c r="D29">
        <f t="shared" si="19"/>
        <v>222</v>
      </c>
      <c r="E29" s="207">
        <f t="shared" si="18"/>
        <v>4776.5806451612898</v>
      </c>
      <c r="F29">
        <f t="shared" si="20"/>
        <v>222</v>
      </c>
      <c r="G29" s="207">
        <f t="shared" si="1"/>
        <v>4776.5806451612898</v>
      </c>
      <c r="H29" s="207">
        <f t="shared" si="21"/>
        <v>222</v>
      </c>
      <c r="I29" s="207">
        <f t="shared" si="2"/>
        <v>4776.5806451612898</v>
      </c>
      <c r="J29" s="207">
        <f t="shared" si="22"/>
        <v>222</v>
      </c>
      <c r="K29" s="207">
        <f t="shared" si="3"/>
        <v>4776.5806451612898</v>
      </c>
      <c r="L29" s="207">
        <f t="shared" si="23"/>
        <v>222</v>
      </c>
      <c r="M29" s="207">
        <f t="shared" si="4"/>
        <v>4776.5806451612898</v>
      </c>
      <c r="N29" s="207">
        <f t="shared" si="24"/>
        <v>222</v>
      </c>
      <c r="O29" s="207">
        <f t="shared" si="5"/>
        <v>4776.5806451612898</v>
      </c>
      <c r="P29" s="207">
        <f t="shared" si="25"/>
        <v>222</v>
      </c>
      <c r="Q29" s="207">
        <f t="shared" si="6"/>
        <v>4776.5806451612898</v>
      </c>
      <c r="R29" s="207">
        <f t="shared" si="26"/>
        <v>222</v>
      </c>
      <c r="S29" s="207">
        <f t="shared" si="7"/>
        <v>4776.5806451612898</v>
      </c>
      <c r="T29" s="207">
        <f t="shared" si="27"/>
        <v>222</v>
      </c>
      <c r="U29" s="207">
        <f t="shared" si="8"/>
        <v>4776.5806451612898</v>
      </c>
      <c r="V29" s="207">
        <f t="shared" si="28"/>
        <v>222</v>
      </c>
      <c r="W29" s="207">
        <f t="shared" si="9"/>
        <v>4776.5806451612898</v>
      </c>
      <c r="X29" s="35">
        <f t="shared" si="10"/>
        <v>0.71612903225806424</v>
      </c>
      <c r="Y29" s="36">
        <f t="shared" si="29"/>
        <v>52542.387096774175</v>
      </c>
      <c r="Z29" s="207">
        <f>'B5'!C28</f>
        <v>228.1</v>
      </c>
      <c r="AA29" s="207">
        <f t="shared" si="30"/>
        <v>2281</v>
      </c>
      <c r="AB29" s="207">
        <f t="shared" si="31"/>
        <v>228.1</v>
      </c>
      <c r="AC29" s="207">
        <f t="shared" si="30"/>
        <v>2281</v>
      </c>
      <c r="AD29" s="207">
        <f t="shared" si="32"/>
        <v>228.1</v>
      </c>
      <c r="AE29" s="207">
        <f t="shared" si="11"/>
        <v>2281</v>
      </c>
      <c r="AF29" s="207">
        <f t="shared" si="33"/>
        <v>228.1</v>
      </c>
      <c r="AG29" s="207">
        <f t="shared" si="12"/>
        <v>2281</v>
      </c>
      <c r="AH29" s="207">
        <f t="shared" si="34"/>
        <v>228.1</v>
      </c>
      <c r="AI29" s="207">
        <f t="shared" si="13"/>
        <v>2281</v>
      </c>
      <c r="AJ29" s="207">
        <f t="shared" si="35"/>
        <v>228.1</v>
      </c>
      <c r="AK29" s="207">
        <f t="shared" si="14"/>
        <v>2281</v>
      </c>
      <c r="AL29" s="207">
        <f t="shared" si="36"/>
        <v>228.1</v>
      </c>
      <c r="AM29" s="207">
        <f t="shared" si="15"/>
        <v>2281</v>
      </c>
      <c r="AN29" s="35">
        <f t="shared" si="16"/>
        <v>0.81464285714285711</v>
      </c>
      <c r="AO29" s="36">
        <f>SUM(AA29+AC29+AE29+AG29+AI29+AK29+AM29)</f>
        <v>15967</v>
      </c>
      <c r="AQ29" s="227">
        <f t="shared" si="37"/>
        <v>0.73689778527239091</v>
      </c>
      <c r="AR29" s="38">
        <f t="shared" ref="AR29:AR35" si="44">SUM(AO29+Y29)</f>
        <v>68509.387096774182</v>
      </c>
      <c r="AS29" s="201">
        <f>SUM(AR29-AR28-AT29)</f>
        <v>0</v>
      </c>
      <c r="AT29" s="374"/>
      <c r="AU29" s="467"/>
      <c r="AV29" s="567">
        <f t="shared" si="41"/>
        <v>0.51649999999999996</v>
      </c>
      <c r="AW29" s="302">
        <f>-SUM('B5'!AI28)</f>
        <v>0</v>
      </c>
      <c r="AX29" s="302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75">
        <f>ELEC!C27</f>
        <v>43886</v>
      </c>
      <c r="B30">
        <f>'B5'!B29</f>
        <v>222</v>
      </c>
      <c r="C30" s="207">
        <f t="shared" si="18"/>
        <v>4776.5806451612898</v>
      </c>
      <c r="D30">
        <f t="shared" ref="D30:D35" si="45">SUM(B30)</f>
        <v>222</v>
      </c>
      <c r="E30" s="207">
        <f t="shared" si="18"/>
        <v>4776.5806451612898</v>
      </c>
      <c r="F30">
        <f t="shared" ref="F30:F35" si="46">SUM(D30)</f>
        <v>222</v>
      </c>
      <c r="G30" s="207">
        <f t="shared" si="1"/>
        <v>4776.5806451612898</v>
      </c>
      <c r="H30" s="207">
        <f t="shared" ref="H30:H35" si="47">SUM(F30)</f>
        <v>222</v>
      </c>
      <c r="I30" s="207">
        <f t="shared" si="2"/>
        <v>4776.5806451612898</v>
      </c>
      <c r="J30" s="207">
        <f t="shared" ref="J30:J35" si="48">SUM(H30)</f>
        <v>222</v>
      </c>
      <c r="K30" s="207">
        <f t="shared" si="3"/>
        <v>4776.5806451612898</v>
      </c>
      <c r="L30" s="207">
        <f t="shared" ref="L30:L35" si="49">SUM(J30)</f>
        <v>222</v>
      </c>
      <c r="M30" s="207">
        <f t="shared" si="4"/>
        <v>4776.5806451612898</v>
      </c>
      <c r="N30" s="207">
        <f t="shared" ref="N30:N35" si="50">SUM(L30)</f>
        <v>222</v>
      </c>
      <c r="O30" s="207">
        <f t="shared" si="5"/>
        <v>4776.5806451612898</v>
      </c>
      <c r="P30" s="207">
        <f t="shared" ref="P30:P35" si="51">SUM(N30)</f>
        <v>222</v>
      </c>
      <c r="Q30" s="207">
        <f t="shared" si="6"/>
        <v>4776.5806451612898</v>
      </c>
      <c r="R30" s="207">
        <f t="shared" ref="R30:R35" si="52">SUM(P30)</f>
        <v>222</v>
      </c>
      <c r="S30" s="207">
        <f t="shared" si="7"/>
        <v>4776.5806451612898</v>
      </c>
      <c r="T30" s="207">
        <f t="shared" ref="T30:T35" si="53">SUM(R30)</f>
        <v>222</v>
      </c>
      <c r="U30" s="207">
        <f t="shared" si="8"/>
        <v>4776.5806451612898</v>
      </c>
      <c r="V30" s="207">
        <f t="shared" ref="V30:V35" si="54">SUM(T30)</f>
        <v>222</v>
      </c>
      <c r="W30" s="207">
        <f t="shared" si="9"/>
        <v>4776.5806451612898</v>
      </c>
      <c r="X30" s="35">
        <f t="shared" ref="X30:X35" si="55">SUM(Y30/73370)</f>
        <v>0.71612903225806424</v>
      </c>
      <c r="Y30" s="36">
        <f t="shared" ref="Y30:Y35" si="56">SUM(C30+E30+G30+I30+K30+M30+O30+Q30+S30+U30+W30)</f>
        <v>52542.387096774175</v>
      </c>
      <c r="Z30" s="207">
        <f>'B5'!C29</f>
        <v>228.1</v>
      </c>
      <c r="AA30" s="207">
        <f t="shared" si="30"/>
        <v>2281</v>
      </c>
      <c r="AB30" s="207">
        <f t="shared" ref="AB30:AB35" si="57">SUM(Z30)</f>
        <v>228.1</v>
      </c>
      <c r="AC30" s="207">
        <f t="shared" si="30"/>
        <v>2281</v>
      </c>
      <c r="AD30" s="207">
        <f t="shared" ref="AD30:AD35" si="58">SUM(AB30)</f>
        <v>228.1</v>
      </c>
      <c r="AE30" s="207">
        <f t="shared" si="11"/>
        <v>2281</v>
      </c>
      <c r="AF30" s="207">
        <f t="shared" ref="AF30:AF35" si="59">SUM(AD30)</f>
        <v>228.1</v>
      </c>
      <c r="AG30" s="207">
        <f t="shared" si="12"/>
        <v>2281</v>
      </c>
      <c r="AH30" s="207">
        <f t="shared" ref="AH30:AH35" si="60">SUM(AF30)</f>
        <v>228.1</v>
      </c>
      <c r="AI30" s="207">
        <f t="shared" si="13"/>
        <v>2281</v>
      </c>
      <c r="AJ30" s="207">
        <f t="shared" ref="AJ30:AJ35" si="61">SUM(AH30)</f>
        <v>228.1</v>
      </c>
      <c r="AK30" s="207">
        <f t="shared" si="14"/>
        <v>2281</v>
      </c>
      <c r="AL30" s="207">
        <f t="shared" ref="AL30:AL35" si="62">SUM(AJ30)</f>
        <v>228.1</v>
      </c>
      <c r="AM30" s="207">
        <f t="shared" si="15"/>
        <v>2281</v>
      </c>
      <c r="AN30" s="35">
        <f t="shared" ref="AN30:AN35" si="63">SUM(AO30/19600)</f>
        <v>0.81464285714285711</v>
      </c>
      <c r="AO30" s="36">
        <f t="shared" ref="AO30:AO35" si="64">SUM(AA30+AC30+AE30+AG30+AI30+AK30+AM30)</f>
        <v>15967</v>
      </c>
      <c r="AQ30" s="227">
        <f t="shared" si="37"/>
        <v>0.73689778527239091</v>
      </c>
      <c r="AR30" s="38">
        <f t="shared" si="44"/>
        <v>68509.387096774182</v>
      </c>
      <c r="AS30" s="201">
        <f t="shared" si="38"/>
        <v>0</v>
      </c>
      <c r="AT30" s="374"/>
      <c r="AU30" s="467"/>
      <c r="AV30" s="567">
        <f t="shared" si="41"/>
        <v>0.51649999999999996</v>
      </c>
      <c r="AW30" s="302">
        <f>-SUM('B5'!AI29)</f>
        <v>0</v>
      </c>
      <c r="AX30" s="302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75">
        <f>ELEC!C28</f>
        <v>43887</v>
      </c>
      <c r="B31">
        <f>'B5'!B30</f>
        <v>222</v>
      </c>
      <c r="C31" s="207">
        <f t="shared" si="18"/>
        <v>4776.5806451612898</v>
      </c>
      <c r="D31">
        <f t="shared" si="45"/>
        <v>222</v>
      </c>
      <c r="E31" s="207">
        <f t="shared" si="18"/>
        <v>4776.5806451612898</v>
      </c>
      <c r="F31">
        <f t="shared" si="46"/>
        <v>222</v>
      </c>
      <c r="G31" s="207">
        <f t="shared" si="1"/>
        <v>4776.5806451612898</v>
      </c>
      <c r="H31" s="207">
        <f t="shared" si="47"/>
        <v>222</v>
      </c>
      <c r="I31" s="207">
        <f t="shared" si="2"/>
        <v>4776.5806451612898</v>
      </c>
      <c r="J31" s="207">
        <f t="shared" si="48"/>
        <v>222</v>
      </c>
      <c r="K31" s="207">
        <f t="shared" si="3"/>
        <v>4776.5806451612898</v>
      </c>
      <c r="L31" s="207">
        <f t="shared" si="49"/>
        <v>222</v>
      </c>
      <c r="M31" s="207">
        <f t="shared" si="4"/>
        <v>4776.5806451612898</v>
      </c>
      <c r="N31" s="207">
        <f t="shared" si="50"/>
        <v>222</v>
      </c>
      <c r="O31" s="207">
        <f t="shared" si="5"/>
        <v>4776.5806451612898</v>
      </c>
      <c r="P31" s="207">
        <f t="shared" si="51"/>
        <v>222</v>
      </c>
      <c r="Q31" s="207">
        <f t="shared" si="6"/>
        <v>4776.5806451612898</v>
      </c>
      <c r="R31" s="207">
        <f t="shared" si="52"/>
        <v>222</v>
      </c>
      <c r="S31" s="207">
        <f t="shared" si="7"/>
        <v>4776.5806451612898</v>
      </c>
      <c r="T31" s="207">
        <f t="shared" si="53"/>
        <v>222</v>
      </c>
      <c r="U31" s="207">
        <f t="shared" si="8"/>
        <v>4776.5806451612898</v>
      </c>
      <c r="V31" s="207">
        <f t="shared" si="54"/>
        <v>222</v>
      </c>
      <c r="W31" s="207">
        <f t="shared" si="9"/>
        <v>4776.5806451612898</v>
      </c>
      <c r="X31" s="35">
        <f t="shared" si="55"/>
        <v>0.71612903225806424</v>
      </c>
      <c r="Y31" s="36">
        <f t="shared" si="56"/>
        <v>52542.387096774175</v>
      </c>
      <c r="Z31" s="207">
        <f>'B5'!C30</f>
        <v>228.1</v>
      </c>
      <c r="AA31" s="207">
        <f t="shared" si="30"/>
        <v>2281</v>
      </c>
      <c r="AB31" s="207">
        <f t="shared" si="57"/>
        <v>228.1</v>
      </c>
      <c r="AC31" s="207">
        <f t="shared" si="30"/>
        <v>2281</v>
      </c>
      <c r="AD31" s="207">
        <f t="shared" si="58"/>
        <v>228.1</v>
      </c>
      <c r="AE31" s="207">
        <f t="shared" si="11"/>
        <v>2281</v>
      </c>
      <c r="AF31" s="207">
        <f t="shared" si="59"/>
        <v>228.1</v>
      </c>
      <c r="AG31" s="207">
        <f t="shared" si="12"/>
        <v>2281</v>
      </c>
      <c r="AH31" s="207">
        <f t="shared" si="60"/>
        <v>228.1</v>
      </c>
      <c r="AI31" s="207">
        <f t="shared" si="13"/>
        <v>2281</v>
      </c>
      <c r="AJ31" s="207">
        <f t="shared" si="61"/>
        <v>228.1</v>
      </c>
      <c r="AK31" s="207">
        <f t="shared" si="14"/>
        <v>2281</v>
      </c>
      <c r="AL31" s="207">
        <f t="shared" si="62"/>
        <v>228.1</v>
      </c>
      <c r="AM31" s="207">
        <f t="shared" si="15"/>
        <v>2281</v>
      </c>
      <c r="AN31" s="35">
        <f t="shared" si="63"/>
        <v>0.81464285714285711</v>
      </c>
      <c r="AO31" s="36">
        <f t="shared" si="64"/>
        <v>15967</v>
      </c>
      <c r="AQ31" s="227">
        <f t="shared" si="37"/>
        <v>0.73689778527239091</v>
      </c>
      <c r="AR31" s="38">
        <f t="shared" si="44"/>
        <v>68509.387096774182</v>
      </c>
      <c r="AS31" s="201">
        <f>SUM(AR31-AR30-AT31)</f>
        <v>0</v>
      </c>
      <c r="AT31" s="374"/>
      <c r="AU31" s="467"/>
      <c r="AV31" s="567">
        <f t="shared" si="41"/>
        <v>0.51649999999999996</v>
      </c>
      <c r="AW31" s="302">
        <f>-SUM('B5'!AI30)</f>
        <v>0</v>
      </c>
      <c r="AX31" s="302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5">
        <f>ELEC!C29</f>
        <v>43888</v>
      </c>
      <c r="B32">
        <f>'B5'!B31</f>
        <v>222</v>
      </c>
      <c r="C32" s="207">
        <f t="shared" si="18"/>
        <v>4776.5806451612898</v>
      </c>
      <c r="D32">
        <f t="shared" si="45"/>
        <v>222</v>
      </c>
      <c r="E32" s="207">
        <f t="shared" si="18"/>
        <v>4776.5806451612898</v>
      </c>
      <c r="F32">
        <f t="shared" si="46"/>
        <v>222</v>
      </c>
      <c r="G32" s="207">
        <f t="shared" si="1"/>
        <v>4776.5806451612898</v>
      </c>
      <c r="H32" s="207">
        <f t="shared" si="47"/>
        <v>222</v>
      </c>
      <c r="I32" s="207">
        <f t="shared" si="2"/>
        <v>4776.5806451612898</v>
      </c>
      <c r="J32" s="207">
        <f t="shared" si="48"/>
        <v>222</v>
      </c>
      <c r="K32" s="207">
        <f t="shared" si="3"/>
        <v>4776.5806451612898</v>
      </c>
      <c r="L32" s="207">
        <f t="shared" si="49"/>
        <v>222</v>
      </c>
      <c r="M32" s="207">
        <f t="shared" si="4"/>
        <v>4776.5806451612898</v>
      </c>
      <c r="N32" s="207">
        <f t="shared" si="50"/>
        <v>222</v>
      </c>
      <c r="O32" s="207">
        <f t="shared" si="5"/>
        <v>4776.5806451612898</v>
      </c>
      <c r="P32" s="207">
        <f t="shared" si="51"/>
        <v>222</v>
      </c>
      <c r="Q32" s="207">
        <f t="shared" si="6"/>
        <v>4776.5806451612898</v>
      </c>
      <c r="R32" s="207">
        <f t="shared" si="52"/>
        <v>222</v>
      </c>
      <c r="S32" s="207">
        <f t="shared" si="7"/>
        <v>4776.5806451612898</v>
      </c>
      <c r="T32" s="207">
        <f t="shared" si="53"/>
        <v>222</v>
      </c>
      <c r="U32" s="207">
        <f t="shared" si="8"/>
        <v>4776.5806451612898</v>
      </c>
      <c r="V32" s="207">
        <f t="shared" si="54"/>
        <v>222</v>
      </c>
      <c r="W32" s="207">
        <f t="shared" si="9"/>
        <v>4776.5806451612898</v>
      </c>
      <c r="X32" s="35">
        <f t="shared" si="55"/>
        <v>0.71612903225806424</v>
      </c>
      <c r="Y32" s="36">
        <f t="shared" si="56"/>
        <v>52542.387096774175</v>
      </c>
      <c r="Z32" s="207">
        <f>'B5'!C31</f>
        <v>228.1</v>
      </c>
      <c r="AA32" s="207">
        <f t="shared" si="30"/>
        <v>2281</v>
      </c>
      <c r="AB32" s="207">
        <f t="shared" si="57"/>
        <v>228.1</v>
      </c>
      <c r="AC32" s="207">
        <f t="shared" si="30"/>
        <v>2281</v>
      </c>
      <c r="AD32" s="207">
        <f t="shared" si="58"/>
        <v>228.1</v>
      </c>
      <c r="AE32" s="207">
        <f t="shared" si="11"/>
        <v>2281</v>
      </c>
      <c r="AF32" s="207">
        <f t="shared" si="59"/>
        <v>228.1</v>
      </c>
      <c r="AG32" s="207">
        <f t="shared" si="12"/>
        <v>2281</v>
      </c>
      <c r="AH32" s="207">
        <f t="shared" si="60"/>
        <v>228.1</v>
      </c>
      <c r="AI32" s="207">
        <f t="shared" si="13"/>
        <v>2281</v>
      </c>
      <c r="AJ32" s="207">
        <f t="shared" si="61"/>
        <v>228.1</v>
      </c>
      <c r="AK32" s="207">
        <f t="shared" si="14"/>
        <v>2281</v>
      </c>
      <c r="AL32" s="207">
        <f t="shared" si="62"/>
        <v>228.1</v>
      </c>
      <c r="AM32" s="207">
        <f t="shared" si="15"/>
        <v>2281</v>
      </c>
      <c r="AN32" s="35">
        <f t="shared" si="63"/>
        <v>0.81464285714285711</v>
      </c>
      <c r="AO32" s="36">
        <f t="shared" si="64"/>
        <v>15967</v>
      </c>
      <c r="AQ32" s="227">
        <f t="shared" si="37"/>
        <v>0.73689778527239091</v>
      </c>
      <c r="AR32" s="38">
        <f t="shared" si="44"/>
        <v>68509.387096774182</v>
      </c>
      <c r="AS32" s="201">
        <f t="shared" si="38"/>
        <v>0</v>
      </c>
      <c r="AT32" s="374"/>
      <c r="AU32" s="467"/>
      <c r="AV32" s="567">
        <f>IF(AT32&gt;0,AU32,AV31)</f>
        <v>0.51649999999999996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5">
        <f>ELEC!C30</f>
        <v>43889</v>
      </c>
      <c r="B33">
        <f>'B5'!B32</f>
        <v>222</v>
      </c>
      <c r="C33" s="207">
        <f t="shared" si="18"/>
        <v>4776.5806451612898</v>
      </c>
      <c r="D33">
        <f t="shared" si="45"/>
        <v>222</v>
      </c>
      <c r="E33" s="207">
        <f t="shared" si="18"/>
        <v>4776.5806451612898</v>
      </c>
      <c r="F33">
        <f t="shared" si="46"/>
        <v>222</v>
      </c>
      <c r="G33" s="207">
        <f t="shared" si="1"/>
        <v>4776.5806451612898</v>
      </c>
      <c r="H33" s="207">
        <f t="shared" si="47"/>
        <v>222</v>
      </c>
      <c r="I33" s="207">
        <f t="shared" si="2"/>
        <v>4776.5806451612898</v>
      </c>
      <c r="J33" s="207">
        <f t="shared" si="48"/>
        <v>222</v>
      </c>
      <c r="K33" s="207">
        <f t="shared" si="3"/>
        <v>4776.5806451612898</v>
      </c>
      <c r="L33" s="207">
        <f t="shared" si="49"/>
        <v>222</v>
      </c>
      <c r="M33" s="207">
        <f t="shared" si="4"/>
        <v>4776.5806451612898</v>
      </c>
      <c r="N33" s="207">
        <f t="shared" si="50"/>
        <v>222</v>
      </c>
      <c r="O33" s="207">
        <f t="shared" si="5"/>
        <v>4776.5806451612898</v>
      </c>
      <c r="P33" s="207">
        <f t="shared" si="51"/>
        <v>222</v>
      </c>
      <c r="Q33" s="207">
        <f t="shared" si="6"/>
        <v>4776.5806451612898</v>
      </c>
      <c r="R33" s="207">
        <f t="shared" si="52"/>
        <v>222</v>
      </c>
      <c r="S33" s="207">
        <f t="shared" si="7"/>
        <v>4776.5806451612898</v>
      </c>
      <c r="T33" s="207">
        <f t="shared" si="53"/>
        <v>222</v>
      </c>
      <c r="U33" s="207">
        <f t="shared" si="8"/>
        <v>4776.5806451612898</v>
      </c>
      <c r="V33" s="207">
        <f t="shared" si="54"/>
        <v>222</v>
      </c>
      <c r="W33" s="207">
        <f t="shared" si="9"/>
        <v>4776.5806451612898</v>
      </c>
      <c r="X33" s="35">
        <f t="shared" si="55"/>
        <v>0.71612903225806424</v>
      </c>
      <c r="Y33" s="36">
        <f t="shared" si="56"/>
        <v>52542.387096774175</v>
      </c>
      <c r="Z33" s="207">
        <f>'B5'!C32</f>
        <v>228.1</v>
      </c>
      <c r="AA33" s="207">
        <f t="shared" si="30"/>
        <v>2281</v>
      </c>
      <c r="AB33" s="207">
        <f t="shared" si="57"/>
        <v>228.1</v>
      </c>
      <c r="AC33" s="207">
        <f t="shared" si="30"/>
        <v>2281</v>
      </c>
      <c r="AD33" s="207">
        <f t="shared" si="58"/>
        <v>228.1</v>
      </c>
      <c r="AE33" s="207">
        <f t="shared" si="11"/>
        <v>2281</v>
      </c>
      <c r="AF33" s="207">
        <f t="shared" si="59"/>
        <v>228.1</v>
      </c>
      <c r="AG33" s="207">
        <f t="shared" si="12"/>
        <v>2281</v>
      </c>
      <c r="AH33" s="207">
        <f t="shared" si="60"/>
        <v>228.1</v>
      </c>
      <c r="AI33" s="207">
        <f t="shared" si="13"/>
        <v>2281</v>
      </c>
      <c r="AJ33" s="207">
        <f t="shared" si="61"/>
        <v>228.1</v>
      </c>
      <c r="AK33" s="207">
        <f t="shared" si="14"/>
        <v>2281</v>
      </c>
      <c r="AL33" s="207">
        <f t="shared" si="62"/>
        <v>228.1</v>
      </c>
      <c r="AM33" s="207">
        <f t="shared" si="15"/>
        <v>2281</v>
      </c>
      <c r="AN33" s="35">
        <f t="shared" si="63"/>
        <v>0.81464285714285711</v>
      </c>
      <c r="AO33" s="36">
        <f t="shared" si="64"/>
        <v>15967</v>
      </c>
      <c r="AQ33" s="227">
        <f t="shared" si="37"/>
        <v>0.73689778527239091</v>
      </c>
      <c r="AR33" s="38">
        <f t="shared" si="44"/>
        <v>68509.387096774182</v>
      </c>
      <c r="AS33" s="201">
        <f t="shared" si="38"/>
        <v>0</v>
      </c>
      <c r="AT33" s="374"/>
      <c r="AU33" s="467"/>
      <c r="AV33" s="567">
        <f>IF(AT33&gt;0,AU33,AV32)</f>
        <v>0.51649999999999996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5">
        <f>ELEC!C31</f>
        <v>43890</v>
      </c>
      <c r="B34">
        <f>'B5'!B33</f>
        <v>222</v>
      </c>
      <c r="C34" s="207">
        <f t="shared" si="18"/>
        <v>4776.5806451612898</v>
      </c>
      <c r="D34">
        <f t="shared" si="45"/>
        <v>222</v>
      </c>
      <c r="E34" s="207">
        <f t="shared" si="18"/>
        <v>4776.5806451612898</v>
      </c>
      <c r="F34">
        <f t="shared" si="46"/>
        <v>222</v>
      </c>
      <c r="G34" s="207">
        <f t="shared" si="1"/>
        <v>4776.5806451612898</v>
      </c>
      <c r="H34" s="207">
        <f t="shared" si="47"/>
        <v>222</v>
      </c>
      <c r="I34" s="207">
        <f t="shared" si="2"/>
        <v>4776.5806451612898</v>
      </c>
      <c r="J34" s="207">
        <f t="shared" si="48"/>
        <v>222</v>
      </c>
      <c r="K34" s="207">
        <f t="shared" si="3"/>
        <v>4776.5806451612898</v>
      </c>
      <c r="L34" s="207">
        <f t="shared" si="49"/>
        <v>222</v>
      </c>
      <c r="M34" s="207">
        <f t="shared" si="4"/>
        <v>4776.5806451612898</v>
      </c>
      <c r="N34" s="207">
        <f t="shared" si="50"/>
        <v>222</v>
      </c>
      <c r="O34" s="207">
        <f t="shared" si="5"/>
        <v>4776.5806451612898</v>
      </c>
      <c r="P34" s="207">
        <f t="shared" si="51"/>
        <v>222</v>
      </c>
      <c r="Q34" s="207">
        <f t="shared" si="6"/>
        <v>4776.5806451612898</v>
      </c>
      <c r="R34" s="207">
        <f t="shared" si="52"/>
        <v>222</v>
      </c>
      <c r="S34" s="207">
        <f t="shared" si="7"/>
        <v>4776.5806451612898</v>
      </c>
      <c r="T34" s="207">
        <f t="shared" si="53"/>
        <v>222</v>
      </c>
      <c r="U34" s="207">
        <f t="shared" si="8"/>
        <v>4776.5806451612898</v>
      </c>
      <c r="V34" s="207">
        <f t="shared" si="54"/>
        <v>222</v>
      </c>
      <c r="W34" s="207">
        <f t="shared" si="9"/>
        <v>4776.5806451612898</v>
      </c>
      <c r="X34" s="35">
        <f t="shared" si="55"/>
        <v>0.71612903225806424</v>
      </c>
      <c r="Y34" s="36">
        <f t="shared" si="56"/>
        <v>52542.387096774175</v>
      </c>
      <c r="Z34" s="207">
        <f>'B5'!C33</f>
        <v>228.1</v>
      </c>
      <c r="AA34" s="207">
        <f t="shared" si="30"/>
        <v>2281</v>
      </c>
      <c r="AB34" s="207">
        <f t="shared" si="57"/>
        <v>228.1</v>
      </c>
      <c r="AC34" s="207">
        <f t="shared" si="30"/>
        <v>2281</v>
      </c>
      <c r="AD34" s="207">
        <f t="shared" si="58"/>
        <v>228.1</v>
      </c>
      <c r="AE34" s="207">
        <f t="shared" si="11"/>
        <v>2281</v>
      </c>
      <c r="AF34" s="207">
        <f t="shared" si="59"/>
        <v>228.1</v>
      </c>
      <c r="AG34" s="207">
        <f t="shared" si="12"/>
        <v>2281</v>
      </c>
      <c r="AH34" s="207">
        <f t="shared" si="60"/>
        <v>228.1</v>
      </c>
      <c r="AI34" s="207">
        <f t="shared" si="13"/>
        <v>2281</v>
      </c>
      <c r="AJ34" s="207">
        <f t="shared" si="61"/>
        <v>228.1</v>
      </c>
      <c r="AK34" s="207">
        <f t="shared" si="14"/>
        <v>2281</v>
      </c>
      <c r="AL34" s="207">
        <f t="shared" si="62"/>
        <v>228.1</v>
      </c>
      <c r="AM34" s="207">
        <f t="shared" si="15"/>
        <v>2281</v>
      </c>
      <c r="AN34" s="35">
        <f t="shared" si="63"/>
        <v>0.81464285714285711</v>
      </c>
      <c r="AO34" s="36">
        <f t="shared" si="64"/>
        <v>15967</v>
      </c>
      <c r="AQ34" s="227">
        <f>SUM(AR34/92970)</f>
        <v>0.73689778527239091</v>
      </c>
      <c r="AR34" s="38">
        <f t="shared" si="44"/>
        <v>68509.387096774182</v>
      </c>
      <c r="AS34" s="201">
        <f t="shared" si="38"/>
        <v>0</v>
      </c>
      <c r="AT34" s="374"/>
      <c r="AU34" s="467"/>
      <c r="AV34" s="567">
        <f t="shared" si="41"/>
        <v>0.51649999999999996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5">
        <f>ELEC!C32</f>
        <v>0</v>
      </c>
      <c r="B35">
        <f>'B5'!B34</f>
        <v>222</v>
      </c>
      <c r="C35" s="207">
        <f t="shared" si="18"/>
        <v>4776.5806451612898</v>
      </c>
      <c r="D35">
        <f t="shared" si="45"/>
        <v>222</v>
      </c>
      <c r="E35" s="207">
        <f t="shared" si="18"/>
        <v>4776.5806451612898</v>
      </c>
      <c r="F35">
        <f t="shared" si="46"/>
        <v>222</v>
      </c>
      <c r="G35" s="207">
        <f t="shared" si="1"/>
        <v>4776.5806451612898</v>
      </c>
      <c r="H35" s="207">
        <f t="shared" si="47"/>
        <v>222</v>
      </c>
      <c r="I35" s="207">
        <f t="shared" si="2"/>
        <v>4776.5806451612898</v>
      </c>
      <c r="J35" s="207">
        <f t="shared" si="48"/>
        <v>222</v>
      </c>
      <c r="K35" s="207">
        <f t="shared" si="3"/>
        <v>4776.5806451612898</v>
      </c>
      <c r="L35" s="207">
        <f t="shared" si="49"/>
        <v>222</v>
      </c>
      <c r="M35" s="207">
        <f t="shared" si="4"/>
        <v>4776.5806451612898</v>
      </c>
      <c r="N35" s="207">
        <f t="shared" si="50"/>
        <v>222</v>
      </c>
      <c r="O35" s="207">
        <f t="shared" si="5"/>
        <v>4776.5806451612898</v>
      </c>
      <c r="P35" s="207">
        <f t="shared" si="51"/>
        <v>222</v>
      </c>
      <c r="Q35" s="207">
        <f t="shared" si="6"/>
        <v>4776.5806451612898</v>
      </c>
      <c r="R35" s="207">
        <f t="shared" si="52"/>
        <v>222</v>
      </c>
      <c r="S35" s="207">
        <f t="shared" si="7"/>
        <v>4776.5806451612898</v>
      </c>
      <c r="T35" s="207">
        <f t="shared" si="53"/>
        <v>222</v>
      </c>
      <c r="U35" s="207">
        <f t="shared" si="8"/>
        <v>4776.5806451612898</v>
      </c>
      <c r="V35" s="207">
        <f t="shared" si="54"/>
        <v>222</v>
      </c>
      <c r="W35" s="207">
        <f t="shared" si="9"/>
        <v>4776.5806451612898</v>
      </c>
      <c r="X35" s="35">
        <f t="shared" si="55"/>
        <v>0.71612903225806424</v>
      </c>
      <c r="Y35" s="36">
        <f t="shared" si="56"/>
        <v>52542.387096774175</v>
      </c>
      <c r="Z35" s="207">
        <f>'B5'!C34</f>
        <v>228.1</v>
      </c>
      <c r="AA35" s="207">
        <f t="shared" si="30"/>
        <v>2281</v>
      </c>
      <c r="AB35" s="207">
        <f t="shared" si="57"/>
        <v>228.1</v>
      </c>
      <c r="AC35" s="207">
        <f t="shared" si="30"/>
        <v>2281</v>
      </c>
      <c r="AD35" s="207">
        <f t="shared" si="58"/>
        <v>228.1</v>
      </c>
      <c r="AE35" s="207">
        <f t="shared" si="11"/>
        <v>2281</v>
      </c>
      <c r="AF35" s="207">
        <f t="shared" si="59"/>
        <v>228.1</v>
      </c>
      <c r="AG35" s="207">
        <f t="shared" si="12"/>
        <v>2281</v>
      </c>
      <c r="AH35" s="207">
        <f t="shared" si="60"/>
        <v>228.1</v>
      </c>
      <c r="AI35" s="207">
        <f t="shared" si="13"/>
        <v>2281</v>
      </c>
      <c r="AJ35" s="207">
        <f t="shared" si="61"/>
        <v>228.1</v>
      </c>
      <c r="AK35" s="207">
        <f t="shared" si="14"/>
        <v>2281</v>
      </c>
      <c r="AL35" s="207">
        <f t="shared" si="62"/>
        <v>228.1</v>
      </c>
      <c r="AM35" s="207">
        <f t="shared" si="15"/>
        <v>2281</v>
      </c>
      <c r="AN35" s="35">
        <f t="shared" si="63"/>
        <v>0.81464285714285711</v>
      </c>
      <c r="AO35" s="36">
        <f t="shared" si="64"/>
        <v>15967</v>
      </c>
      <c r="AQ35" s="227">
        <f>SUM(AR35/92970)</f>
        <v>0.73689778527239091</v>
      </c>
      <c r="AR35" s="38">
        <f t="shared" si="44"/>
        <v>68509.387096774182</v>
      </c>
      <c r="AS35" s="201">
        <f t="shared" si="38"/>
        <v>0</v>
      </c>
      <c r="AT35" s="374"/>
      <c r="AU35" s="467"/>
      <c r="AV35" s="567">
        <f>IF(AT35&gt;0,AU35,AV34)</f>
        <v>0.51649999999999996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5">
        <f>ELEC!C33</f>
        <v>0</v>
      </c>
      <c r="B36">
        <f>'B5'!B35</f>
        <v>222</v>
      </c>
      <c r="C36" s="207">
        <f>B36*$B$4</f>
        <v>4776.5806451612898</v>
      </c>
      <c r="D36">
        <f>SUM(B36)</f>
        <v>222</v>
      </c>
      <c r="E36" s="207">
        <f>D36*$B$4</f>
        <v>4776.5806451612898</v>
      </c>
      <c r="F36">
        <f>SUM(D36)</f>
        <v>222</v>
      </c>
      <c r="G36" s="207">
        <f>F36*$B$4</f>
        <v>4776.5806451612898</v>
      </c>
      <c r="H36" s="207">
        <f>SUM(F36)</f>
        <v>222</v>
      </c>
      <c r="I36" s="207">
        <f>H36*$B$4</f>
        <v>4776.5806451612898</v>
      </c>
      <c r="J36" s="207">
        <f>SUM(H36)</f>
        <v>222</v>
      </c>
      <c r="K36" s="207">
        <f>J36*$B$4</f>
        <v>4776.5806451612898</v>
      </c>
      <c r="L36" s="207">
        <f>SUM(J36)</f>
        <v>222</v>
      </c>
      <c r="M36" s="207">
        <f>L36*$B$4</f>
        <v>4776.5806451612898</v>
      </c>
      <c r="N36" s="207">
        <f>SUM(L36)</f>
        <v>222</v>
      </c>
      <c r="O36" s="207">
        <f>N36*$B$4</f>
        <v>4776.5806451612898</v>
      </c>
      <c r="P36" s="207">
        <f>SUM(N36)</f>
        <v>222</v>
      </c>
      <c r="Q36" s="207">
        <f>P36*$B$4</f>
        <v>4776.5806451612898</v>
      </c>
      <c r="R36" s="207">
        <f>SUM(P36)</f>
        <v>222</v>
      </c>
      <c r="S36" s="207">
        <f>R36*$B$4</f>
        <v>4776.5806451612898</v>
      </c>
      <c r="T36" s="207">
        <f>SUM(R36)</f>
        <v>222</v>
      </c>
      <c r="U36" s="207">
        <f>T36*$B$4</f>
        <v>4776.5806451612898</v>
      </c>
      <c r="V36" s="207">
        <f>SUM(T36)</f>
        <v>222</v>
      </c>
      <c r="W36" s="207">
        <f>V36*$B$4</f>
        <v>4776.5806451612898</v>
      </c>
      <c r="X36" s="35">
        <f>SUM(Y36/73370)</f>
        <v>0.71612903225806424</v>
      </c>
      <c r="Y36" s="36">
        <f>SUM(C36+E36+G36+I36+K36+M36+O36+Q36+S36+U36+W36)</f>
        <v>52542.387096774175</v>
      </c>
      <c r="Z36" s="207">
        <f>'B5'!C35</f>
        <v>228.1</v>
      </c>
      <c r="AA36" s="207">
        <f>SUM(Z36*$Z$4)</f>
        <v>2281</v>
      </c>
      <c r="AB36" s="207">
        <f>SUM(Z36)</f>
        <v>228.1</v>
      </c>
      <c r="AC36" s="207">
        <f>SUM(AB36*$Z$4)</f>
        <v>2281</v>
      </c>
      <c r="AD36" s="207">
        <f>SUM(AB36)</f>
        <v>228.1</v>
      </c>
      <c r="AE36" s="207">
        <f>SUM(AD36*$Z$4)</f>
        <v>2281</v>
      </c>
      <c r="AF36" s="207">
        <f>SUM(AD36)</f>
        <v>228.1</v>
      </c>
      <c r="AG36" s="207">
        <f>SUM(AF36*$Z$4)</f>
        <v>2281</v>
      </c>
      <c r="AH36" s="207">
        <f>SUM(AF36)</f>
        <v>228.1</v>
      </c>
      <c r="AI36" s="207">
        <f>SUM(AH36*$Z$4)</f>
        <v>2281</v>
      </c>
      <c r="AJ36" s="207">
        <f>SUM(AH36)</f>
        <v>228.1</v>
      </c>
      <c r="AK36" s="207">
        <f>SUM(AJ36*$Z$4)</f>
        <v>2281</v>
      </c>
      <c r="AL36" s="207">
        <f>SUM(AJ36)</f>
        <v>228.1</v>
      </c>
      <c r="AM36" s="207">
        <f>SUM(AL36*$Z$4)</f>
        <v>2281</v>
      </c>
      <c r="AN36" s="35">
        <f>SUM(AO36/19600)</f>
        <v>0.81464285714285711</v>
      </c>
      <c r="AO36" s="36">
        <f>SUM(AA36+AC36+AE36+AG36+AI36+AK36+AM36)</f>
        <v>15967</v>
      </c>
      <c r="AP36" s="259"/>
      <c r="AQ36" s="227">
        <f>SUM(AR36/92970)</f>
        <v>0.73689778527239091</v>
      </c>
      <c r="AR36" s="38">
        <f>SUM(AO36+Y36)</f>
        <v>68509.387096774182</v>
      </c>
      <c r="AS36" s="201">
        <f>SUM(AR36-AR35-AT36)</f>
        <v>0</v>
      </c>
      <c r="AT36" s="374"/>
      <c r="AU36" s="467"/>
      <c r="AV36" s="567">
        <f>IF(AT36&gt;0,AU36,AV35)</f>
        <v>0.51649999999999996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7"/>
      <c r="BE36" s="518"/>
      <c r="BF36" s="518"/>
      <c r="BG36" s="518"/>
      <c r="BH36" s="519"/>
    </row>
    <row r="37" spans="1:60">
      <c r="AQ37" s="20"/>
      <c r="AR37" s="511" t="s">
        <v>226</v>
      </c>
      <c r="AS37" s="520">
        <f>COUNT(AT6:AT36)</f>
        <v>2</v>
      </c>
      <c r="AT37" s="207">
        <f>SUM(AT6:AT36)</f>
        <v>28867</v>
      </c>
      <c r="AU37">
        <f>SUM(AU6:AU36)/AS37</f>
        <v>0.52825</v>
      </c>
      <c r="AX37" s="207">
        <f>SUM(AX6:AX36)</f>
        <v>-16664.419354838727</v>
      </c>
      <c r="AY37" s="207">
        <f>SUM(AY6:AY36)</f>
        <v>-35088.219354838715</v>
      </c>
    </row>
    <row r="38" spans="1:60">
      <c r="AS38" s="210"/>
      <c r="AT38">
        <f>+AT37*AU37</f>
        <v>15248.992749999999</v>
      </c>
    </row>
    <row r="40" spans="1:60">
      <c r="AS40" s="166">
        <f>SUM(AS6:AS36)/'EDl log'!A34</f>
        <v>-1525.5747545582051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11" activePane="bottomLeft" state="frozen"/>
      <selection pane="bottomLeft" activeCell="D25" sqref="D25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1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8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8" t="s">
        <v>374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376</v>
      </c>
    </row>
    <row r="2" spans="1:37">
      <c r="A2" s="4" t="str">
        <f>ELEC!C2</f>
        <v>31-01-2020</v>
      </c>
      <c r="B2" s="277">
        <f>[1]GEN!B33</f>
        <v>8505</v>
      </c>
      <c r="C2" s="277">
        <f>[1]GEN!C33</f>
        <v>0</v>
      </c>
      <c r="D2" s="277">
        <f>[1]GEN!D33</f>
        <v>123672.5</v>
      </c>
      <c r="E2" s="277">
        <f>[1]GEN!E33</f>
        <v>0</v>
      </c>
      <c r="F2" s="277">
        <f>[1]GEN!F33</f>
        <v>0</v>
      </c>
      <c r="G2" s="277">
        <f>[1]GEN!G33</f>
        <v>0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237067.1</v>
      </c>
      <c r="M2" s="277">
        <f>[1]GEN!M33</f>
        <v>0</v>
      </c>
      <c r="N2" s="277">
        <f>[1]GEN!N33</f>
        <v>0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10915</v>
      </c>
      <c r="S2" s="277">
        <f>[1]GEN!S33</f>
        <v>5</v>
      </c>
      <c r="T2" s="277">
        <f>[1]GEN!T33</f>
        <v>183339</v>
      </c>
      <c r="U2" s="277">
        <f>[1]GEN!U33</f>
        <v>1292.5</v>
      </c>
      <c r="V2" s="277">
        <f>[1]GEN!V33</f>
        <v>258.5</v>
      </c>
      <c r="W2" s="277">
        <f>[1]GEN!W33</f>
        <v>0</v>
      </c>
      <c r="X2" s="277">
        <f>[1]GEN!X33</f>
        <v>11169</v>
      </c>
      <c r="Y2" s="277" t="str">
        <f>[1]GEN!Y33</f>
        <v>ok</v>
      </c>
      <c r="Z2" s="277">
        <f>[1]GEN!Z33</f>
        <v>5</v>
      </c>
      <c r="AA2" s="277">
        <f>[1]GEN!AA33</f>
        <v>1292.5</v>
      </c>
      <c r="AB2" s="277">
        <f>[1]GEN!AB33</f>
        <v>258.5</v>
      </c>
      <c r="AC2" s="277">
        <f>[1]GEN!AC33</f>
        <v>258.5</v>
      </c>
      <c r="AD2" s="277">
        <f>[1]GEN!AD33</f>
        <v>1953.9999999997235</v>
      </c>
      <c r="AE2" s="277">
        <f>[1]GEN!AE33</f>
        <v>390.7999999999447</v>
      </c>
      <c r="AF2" s="277">
        <f>[1]GEN!AF33</f>
        <v>0.24424999999996544</v>
      </c>
      <c r="AG2" s="277">
        <f>[1]GEN!AG33</f>
        <v>78.159999999988941</v>
      </c>
      <c r="AH2" s="277">
        <f>[1]GEN!AH33</f>
        <v>180.34000000001106</v>
      </c>
      <c r="AI2" s="277">
        <f>[1]GEN!AI33</f>
        <v>0</v>
      </c>
      <c r="AJ2" s="277">
        <f>[1]GEN!AJ33</f>
        <v>0</v>
      </c>
      <c r="AK2" s="277">
        <f>[1]GEN!AK33</f>
        <v>0</v>
      </c>
    </row>
    <row r="3" spans="1:37">
      <c r="A3" s="4">
        <f>ELEC!C3</f>
        <v>43862</v>
      </c>
      <c r="B3" s="277">
        <f>B2</f>
        <v>8505</v>
      </c>
      <c r="C3" s="299">
        <f>B3-B2</f>
        <v>0</v>
      </c>
      <c r="D3" s="277">
        <f>D2</f>
        <v>123672.5</v>
      </c>
      <c r="E3" s="299">
        <f>SUM(D3-D2)</f>
        <v>0</v>
      </c>
      <c r="F3" s="299">
        <f t="shared" ref="F3:F32" si="0">IF(C3&gt;0,E3/C3,0)</f>
        <v>0</v>
      </c>
      <c r="G3" s="277">
        <f>[3]GEN!G32</f>
        <v>0</v>
      </c>
      <c r="H3" s="300">
        <f>H2</f>
        <v>8497</v>
      </c>
      <c r="I3" s="299" t="str">
        <f t="shared" ref="I3:I32" si="1">IF(B3-H3&lt;=0,"ok","oil change")</f>
        <v>oil change</v>
      </c>
      <c r="J3" s="277">
        <f>J2</f>
        <v>10689</v>
      </c>
      <c r="K3" s="299">
        <f t="shared" ref="K3:K31" si="2">J3-J2</f>
        <v>0</v>
      </c>
      <c r="L3" s="277">
        <f>L2</f>
        <v>237067.1</v>
      </c>
      <c r="M3" s="299">
        <f t="shared" ref="M3:M33" si="3">SUM(L3-L2)</f>
        <v>0</v>
      </c>
      <c r="N3" s="299">
        <f>IF(K3&gt;0,M3/K3,0)</f>
        <v>0</v>
      </c>
      <c r="O3" s="277">
        <f>[3]GEN!O32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10920</v>
      </c>
      <c r="S3" s="299">
        <f t="shared" ref="S3:S32" si="5">R3-R2</f>
        <v>5</v>
      </c>
      <c r="T3" s="277">
        <v>184775.9</v>
      </c>
      <c r="U3" s="299">
        <f>T3-T2</f>
        <v>1436.8999999999942</v>
      </c>
      <c r="V3" s="299">
        <f>IF(S3&gt;0,U3/S3,0)</f>
        <v>287.37999999999886</v>
      </c>
      <c r="W3" s="277">
        <f>[3]GEN!W32</f>
        <v>0</v>
      </c>
      <c r="X3" s="300">
        <f>X2</f>
        <v>11169</v>
      </c>
      <c r="Y3" s="299" t="str">
        <f t="shared" ref="Y3:Y20" si="6">IF(R3-X3&lt;=0,"ok","oil change")</f>
        <v>ok</v>
      </c>
      <c r="Z3" s="299">
        <f t="shared" ref="Z3:Z32" si="7">C3+K3+S3</f>
        <v>5</v>
      </c>
      <c r="AA3" s="299">
        <f>U3+M3+E3</f>
        <v>1436.8999999999942</v>
      </c>
      <c r="AB3" s="299">
        <f>V3+N3+F3</f>
        <v>287.37999999999886</v>
      </c>
      <c r="AC3" s="299">
        <f>IF(Z3&gt;0,AA3/Z3,0)</f>
        <v>287.37999999999886</v>
      </c>
      <c r="AD3" s="74">
        <f>ELEC!Q3</f>
        <v>2425.9999999994761</v>
      </c>
      <c r="AE3" s="74">
        <f>SUM(AD3/Z3)</f>
        <v>485.19999999989523</v>
      </c>
      <c r="AF3" s="424">
        <f>SUM(AE3/1600)</f>
        <v>0.30324999999993452</v>
      </c>
      <c r="AG3" s="425">
        <f>SUM(360*AF3)</f>
        <v>109.16999999997643</v>
      </c>
      <c r="AH3" s="425">
        <f>SUM(AC3-AG3)</f>
        <v>178.21000000002243</v>
      </c>
      <c r="AI3" s="74">
        <f>AD3*AJ3</f>
        <v>624.41350210956989</v>
      </c>
      <c r="AJ3" s="301">
        <f t="shared" ref="AJ3:AJ32" si="8">305/1185</f>
        <v>0.25738396624472576</v>
      </c>
      <c r="AK3" s="301">
        <f t="shared" ref="AK3:AK8" si="9">AI3/Z3</f>
        <v>124.88270042191398</v>
      </c>
    </row>
    <row r="4" spans="1:37">
      <c r="A4" s="4">
        <f>ELEC!C4</f>
        <v>43863</v>
      </c>
      <c r="B4" s="277">
        <v>8505</v>
      </c>
      <c r="C4" s="299">
        <f t="shared" ref="C4:C32" si="10">B4-B3</f>
        <v>0</v>
      </c>
      <c r="D4" s="277">
        <v>123673</v>
      </c>
      <c r="E4" s="299">
        <f t="shared" ref="E4:E32" si="11">SUM(D4-D3)</f>
        <v>0.5</v>
      </c>
      <c r="F4" s="299">
        <f t="shared" si="0"/>
        <v>0</v>
      </c>
      <c r="G4" s="200"/>
      <c r="H4" s="300">
        <f t="shared" ref="H4:H33" si="12">H3</f>
        <v>8497</v>
      </c>
      <c r="I4" s="299" t="str">
        <f t="shared" si="1"/>
        <v>oil change</v>
      </c>
      <c r="J4" s="277">
        <v>10689</v>
      </c>
      <c r="K4" s="299">
        <f t="shared" si="2"/>
        <v>0</v>
      </c>
      <c r="L4" s="277">
        <v>237067</v>
      </c>
      <c r="M4" s="299">
        <f t="shared" si="3"/>
        <v>-0.10000000000582077</v>
      </c>
      <c r="N4" s="299">
        <f t="shared" ref="N4:N32" si="13">IF(K4&gt;0,M4/K4,0)</f>
        <v>0</v>
      </c>
      <c r="O4" s="200"/>
      <c r="P4" s="300">
        <f t="shared" ref="P4:P33" si="14">P3</f>
        <v>10873</v>
      </c>
      <c r="Q4" s="299" t="str">
        <f t="shared" si="4"/>
        <v>ok</v>
      </c>
      <c r="R4" s="277">
        <v>10923</v>
      </c>
      <c r="S4" s="299">
        <f t="shared" si="5"/>
        <v>3</v>
      </c>
      <c r="T4" s="277">
        <v>185422</v>
      </c>
      <c r="U4" s="299">
        <f t="shared" ref="U4:U33" si="15">T4-T3</f>
        <v>646.10000000000582</v>
      </c>
      <c r="V4" s="299">
        <f t="shared" ref="V4:V32" si="16">IF(S4&gt;0,U4/S4,0)</f>
        <v>215.36666666666861</v>
      </c>
      <c r="W4" s="200"/>
      <c r="X4" s="300">
        <f t="shared" ref="X4:X33" si="17">X3</f>
        <v>11169</v>
      </c>
      <c r="Y4" s="299" t="str">
        <f t="shared" si="6"/>
        <v>ok</v>
      </c>
      <c r="Z4" s="299">
        <f>C4+K4+S4</f>
        <v>3</v>
      </c>
      <c r="AA4" s="299">
        <f t="shared" ref="AA4:AA32" si="18">U4+M4+E4</f>
        <v>646.5</v>
      </c>
      <c r="AB4" s="299">
        <f t="shared" ref="AB4:AB32" si="19">V4+N4+F4</f>
        <v>215.36666666666861</v>
      </c>
      <c r="AC4" s="299">
        <f t="shared" ref="AC4:AC32" si="20">IF(Z4&gt;0,AA4/Z4,0)</f>
        <v>215.5</v>
      </c>
      <c r="AD4" s="74">
        <f>ELEC!Q4</f>
        <v>1932.0000000006985</v>
      </c>
      <c r="AE4" s="74">
        <f>SUM(AD4/Z4)</f>
        <v>644.00000000023283</v>
      </c>
      <c r="AF4" s="424">
        <f>SUM(AE4/1600)</f>
        <v>0.40250000000014552</v>
      </c>
      <c r="AG4" s="425">
        <f>SUM(360*AF4)</f>
        <v>144.90000000005239</v>
      </c>
      <c r="AH4" s="425">
        <f t="shared" ref="AH4:AH32" si="21">SUM(AC4-AG4)</f>
        <v>70.599999999947613</v>
      </c>
      <c r="AI4" s="74">
        <f>AD4*AJ4</f>
        <v>497.26582278498995</v>
      </c>
      <c r="AJ4" s="301">
        <f t="shared" si="8"/>
        <v>0.25738396624472576</v>
      </c>
      <c r="AK4" s="301">
        <f t="shared" si="9"/>
        <v>165.75527426166332</v>
      </c>
    </row>
    <row r="5" spans="1:37">
      <c r="A5" s="4">
        <f>ELEC!C5</f>
        <v>43864</v>
      </c>
      <c r="B5" s="277">
        <v>8505</v>
      </c>
      <c r="C5" s="299">
        <f t="shared" si="10"/>
        <v>0</v>
      </c>
      <c r="D5" s="277">
        <v>123673</v>
      </c>
      <c r="E5" s="299">
        <f t="shared" si="11"/>
        <v>0</v>
      </c>
      <c r="F5" s="299">
        <f t="shared" si="0"/>
        <v>0</v>
      </c>
      <c r="G5" s="297"/>
      <c r="H5" s="300">
        <v>8497</v>
      </c>
      <c r="I5" s="299" t="str">
        <f t="shared" si="1"/>
        <v>oil change</v>
      </c>
      <c r="J5" s="277">
        <v>10689</v>
      </c>
      <c r="K5" s="299">
        <f t="shared" si="2"/>
        <v>0</v>
      </c>
      <c r="L5" s="277">
        <v>237067</v>
      </c>
      <c r="M5" s="299">
        <f t="shared" si="3"/>
        <v>0</v>
      </c>
      <c r="N5" s="299">
        <f t="shared" si="13"/>
        <v>0</v>
      </c>
      <c r="O5" s="200"/>
      <c r="P5" s="300">
        <f>P4</f>
        <v>10873</v>
      </c>
      <c r="Q5" s="299" t="str">
        <f t="shared" si="4"/>
        <v>ok</v>
      </c>
      <c r="R5" s="277">
        <v>10929</v>
      </c>
      <c r="S5" s="299">
        <f t="shared" si="5"/>
        <v>6</v>
      </c>
      <c r="T5" s="277">
        <v>186761</v>
      </c>
      <c r="U5" s="299">
        <f t="shared" si="15"/>
        <v>1339</v>
      </c>
      <c r="V5" s="299">
        <f>IF(S5&gt;0,U5/S5,0)</f>
        <v>223.16666666666666</v>
      </c>
      <c r="W5" s="200"/>
      <c r="X5" s="300">
        <f t="shared" si="17"/>
        <v>11169</v>
      </c>
      <c r="Y5" s="299" t="str">
        <f t="shared" si="6"/>
        <v>ok</v>
      </c>
      <c r="Z5" s="299">
        <f t="shared" si="7"/>
        <v>6</v>
      </c>
      <c r="AA5" s="299">
        <f t="shared" si="18"/>
        <v>1339</v>
      </c>
      <c r="AB5" s="299">
        <f t="shared" si="19"/>
        <v>223.16666666666666</v>
      </c>
      <c r="AC5" s="299">
        <f t="shared" si="20"/>
        <v>223.16666666666666</v>
      </c>
      <c r="AD5" s="74">
        <f>ELEC!Q5</f>
        <v>2858.0000000001746</v>
      </c>
      <c r="AE5" s="74">
        <f t="shared" ref="AE5:AE32" si="22">SUM(AD5/Z5)</f>
        <v>476.33333333336242</v>
      </c>
      <c r="AF5" s="424">
        <f t="shared" ref="AF5:AF32" si="23">SUM(AE5/1600)</f>
        <v>0.2977083333333515</v>
      </c>
      <c r="AG5" s="425">
        <f t="shared" ref="AG5:AG32" si="24">SUM(320*AF5)</f>
        <v>95.266666666672478</v>
      </c>
      <c r="AH5" s="425">
        <f t="shared" si="21"/>
        <v>127.89999999999418</v>
      </c>
      <c r="AI5" s="74">
        <f t="shared" ref="AI5:AI32" si="25">AD5*AJ5</f>
        <v>735.60337552747114</v>
      </c>
      <c r="AJ5" s="301">
        <f t="shared" si="8"/>
        <v>0.25738396624472576</v>
      </c>
      <c r="AK5" s="301">
        <f t="shared" si="9"/>
        <v>122.60056258791185</v>
      </c>
    </row>
    <row r="6" spans="1:37">
      <c r="A6" s="4">
        <f>ELEC!C6</f>
        <v>43865</v>
      </c>
      <c r="B6" s="277">
        <f t="shared" ref="B6:B33" si="26">B5</f>
        <v>8505</v>
      </c>
      <c r="C6" s="299">
        <f t="shared" si="10"/>
        <v>0</v>
      </c>
      <c r="D6" s="277">
        <f t="shared" ref="D6:D33" si="27">D5</f>
        <v>123673</v>
      </c>
      <c r="E6" s="299">
        <f t="shared" si="11"/>
        <v>0</v>
      </c>
      <c r="F6" s="299">
        <f t="shared" si="0"/>
        <v>0</v>
      </c>
      <c r="G6" s="200"/>
      <c r="H6" s="300">
        <f t="shared" si="12"/>
        <v>8497</v>
      </c>
      <c r="I6" s="299" t="str">
        <f t="shared" si="1"/>
        <v>oil change</v>
      </c>
      <c r="J6" s="277">
        <f t="shared" ref="J6:J33" si="28">J5</f>
        <v>10689</v>
      </c>
      <c r="K6" s="299">
        <f t="shared" si="2"/>
        <v>0</v>
      </c>
      <c r="L6" s="277">
        <f t="shared" ref="L6:L33" si="29">L5</f>
        <v>237067</v>
      </c>
      <c r="M6" s="299">
        <f t="shared" si="3"/>
        <v>0</v>
      </c>
      <c r="N6" s="299">
        <f t="shared" si="13"/>
        <v>0</v>
      </c>
      <c r="O6" s="324"/>
      <c r="P6" s="300">
        <f t="shared" si="14"/>
        <v>10873</v>
      </c>
      <c r="Q6" s="299" t="str">
        <f t="shared" si="4"/>
        <v>ok</v>
      </c>
      <c r="R6" s="277">
        <v>10934</v>
      </c>
      <c r="S6" s="299">
        <f t="shared" si="5"/>
        <v>5</v>
      </c>
      <c r="T6" s="277">
        <v>187849</v>
      </c>
      <c r="U6" s="299">
        <f t="shared" si="15"/>
        <v>1088</v>
      </c>
      <c r="V6" s="299">
        <f t="shared" si="16"/>
        <v>217.6</v>
      </c>
      <c r="W6" s="324"/>
      <c r="X6" s="300">
        <f t="shared" si="17"/>
        <v>11169</v>
      </c>
      <c r="Y6" s="299" t="str">
        <f t="shared" si="6"/>
        <v>ok</v>
      </c>
      <c r="Z6" s="299">
        <f t="shared" si="7"/>
        <v>5</v>
      </c>
      <c r="AA6" s="299">
        <f t="shared" si="18"/>
        <v>1088</v>
      </c>
      <c r="AB6" s="299">
        <f t="shared" si="19"/>
        <v>217.6</v>
      </c>
      <c r="AC6" s="299">
        <f t="shared" si="20"/>
        <v>217.6</v>
      </c>
      <c r="AD6" s="74">
        <f>ELEC!Q6</f>
        <v>2778.0000000002474</v>
      </c>
      <c r="AE6" s="74">
        <f>SUM(AD6/Z6)</f>
        <v>555.60000000004948</v>
      </c>
      <c r="AF6" s="424">
        <f t="shared" si="23"/>
        <v>0.34725000000003092</v>
      </c>
      <c r="AG6" s="425">
        <f>SUM(320*AF6)</f>
        <v>111.1200000000099</v>
      </c>
      <c r="AH6" s="425">
        <f t="shared" si="21"/>
        <v>106.4799999999901</v>
      </c>
      <c r="AI6" s="74">
        <f t="shared" si="25"/>
        <v>715.01265822791186</v>
      </c>
      <c r="AJ6" s="301">
        <f t="shared" si="8"/>
        <v>0.25738396624472576</v>
      </c>
      <c r="AK6" s="301">
        <f t="shared" si="9"/>
        <v>143.00253164558237</v>
      </c>
    </row>
    <row r="7" spans="1:37">
      <c r="A7" s="4">
        <f>ELEC!C7</f>
        <v>43866</v>
      </c>
      <c r="B7" s="277">
        <v>8505</v>
      </c>
      <c r="C7" s="299">
        <f t="shared" si="10"/>
        <v>0</v>
      </c>
      <c r="D7" s="277">
        <v>123673</v>
      </c>
      <c r="E7" s="299">
        <f t="shared" si="11"/>
        <v>0</v>
      </c>
      <c r="F7" s="299">
        <f t="shared" si="0"/>
        <v>0</v>
      </c>
      <c r="G7" s="200"/>
      <c r="H7" s="300">
        <f t="shared" si="12"/>
        <v>8497</v>
      </c>
      <c r="I7" s="299" t="str">
        <f t="shared" si="1"/>
        <v>oil change</v>
      </c>
      <c r="J7" s="277">
        <v>10689</v>
      </c>
      <c r="K7" s="299">
        <f t="shared" si="2"/>
        <v>0</v>
      </c>
      <c r="L7" s="277">
        <v>237068</v>
      </c>
      <c r="M7" s="299">
        <f t="shared" si="3"/>
        <v>1</v>
      </c>
      <c r="N7" s="299">
        <f t="shared" si="13"/>
        <v>0</v>
      </c>
      <c r="O7" s="324"/>
      <c r="P7" s="300">
        <f t="shared" si="14"/>
        <v>10873</v>
      </c>
      <c r="Q7" s="299" t="str">
        <f t="shared" si="4"/>
        <v>ok</v>
      </c>
      <c r="R7" s="277">
        <v>10937</v>
      </c>
      <c r="S7" s="299">
        <f t="shared" si="5"/>
        <v>3</v>
      </c>
      <c r="T7" s="277">
        <v>188444</v>
      </c>
      <c r="U7" s="299">
        <f t="shared" si="15"/>
        <v>595</v>
      </c>
      <c r="V7" s="299">
        <f t="shared" si="16"/>
        <v>198.33333333333334</v>
      </c>
      <c r="W7" s="200"/>
      <c r="X7" s="300">
        <f t="shared" si="17"/>
        <v>11169</v>
      </c>
      <c r="Y7" s="299" t="str">
        <f t="shared" si="6"/>
        <v>ok</v>
      </c>
      <c r="Z7" s="299">
        <f t="shared" si="7"/>
        <v>3</v>
      </c>
      <c r="AA7" s="299">
        <f>U7+M7+E7</f>
        <v>596</v>
      </c>
      <c r="AB7" s="299">
        <f t="shared" si="19"/>
        <v>198.33333333333334</v>
      </c>
      <c r="AC7" s="299">
        <f t="shared" si="20"/>
        <v>198.66666666666666</v>
      </c>
      <c r="AD7" s="74">
        <f>ELEC!Q7</f>
        <v>2180.9999999986758</v>
      </c>
      <c r="AE7" s="74">
        <f t="shared" si="22"/>
        <v>726.99999999955855</v>
      </c>
      <c r="AF7" s="424">
        <f t="shared" si="23"/>
        <v>0.45437499999972408</v>
      </c>
      <c r="AG7" s="546" t="s">
        <v>405</v>
      </c>
      <c r="AH7" s="425" t="e">
        <f t="shared" si="21"/>
        <v>#VALUE!</v>
      </c>
      <c r="AI7" s="74">
        <f t="shared" si="25"/>
        <v>561.35443037940604</v>
      </c>
      <c r="AJ7" s="301">
        <f t="shared" si="8"/>
        <v>0.25738396624472576</v>
      </c>
      <c r="AK7" s="301">
        <f t="shared" si="9"/>
        <v>187.11814345980201</v>
      </c>
    </row>
    <row r="8" spans="1:37">
      <c r="A8" s="4">
        <f>ELEC!C8</f>
        <v>43867</v>
      </c>
      <c r="B8" s="277">
        <f t="shared" si="26"/>
        <v>8505</v>
      </c>
      <c r="C8" s="299">
        <f t="shared" si="10"/>
        <v>0</v>
      </c>
      <c r="D8" s="277">
        <f t="shared" si="27"/>
        <v>123673</v>
      </c>
      <c r="E8" s="299">
        <f t="shared" si="11"/>
        <v>0</v>
      </c>
      <c r="F8" s="299">
        <f t="shared" si="0"/>
        <v>0</v>
      </c>
      <c r="G8" s="200"/>
      <c r="H8" s="300">
        <f t="shared" si="12"/>
        <v>8497</v>
      </c>
      <c r="I8" s="299" t="str">
        <f t="shared" si="1"/>
        <v>oil change</v>
      </c>
      <c r="J8" s="277">
        <f t="shared" si="28"/>
        <v>10689</v>
      </c>
      <c r="K8" s="299">
        <f t="shared" si="2"/>
        <v>0</v>
      </c>
      <c r="L8" s="277">
        <f t="shared" si="29"/>
        <v>237068</v>
      </c>
      <c r="M8" s="299">
        <f t="shared" si="3"/>
        <v>0</v>
      </c>
      <c r="N8" s="299">
        <f t="shared" si="13"/>
        <v>0</v>
      </c>
      <c r="O8" s="200"/>
      <c r="P8" s="300">
        <f t="shared" si="14"/>
        <v>10873</v>
      </c>
      <c r="Q8" s="299" t="str">
        <f t="shared" si="4"/>
        <v>ok</v>
      </c>
      <c r="R8" s="277">
        <v>10940</v>
      </c>
      <c r="S8" s="299">
        <f t="shared" si="5"/>
        <v>3</v>
      </c>
      <c r="T8" s="277">
        <v>189127</v>
      </c>
      <c r="U8" s="299">
        <f t="shared" si="15"/>
        <v>683</v>
      </c>
      <c r="V8" s="299">
        <f t="shared" si="16"/>
        <v>227.66666666666666</v>
      </c>
      <c r="W8" s="200"/>
      <c r="X8" s="300">
        <f t="shared" si="17"/>
        <v>11169</v>
      </c>
      <c r="Y8" s="299" t="str">
        <f t="shared" si="6"/>
        <v>ok</v>
      </c>
      <c r="Z8" s="299">
        <f t="shared" si="7"/>
        <v>3</v>
      </c>
      <c r="AA8" s="299">
        <f t="shared" si="18"/>
        <v>683</v>
      </c>
      <c r="AB8" s="299">
        <f t="shared" si="19"/>
        <v>227.66666666666666</v>
      </c>
      <c r="AC8" s="299">
        <f t="shared" si="20"/>
        <v>227.66666666666666</v>
      </c>
      <c r="AD8" s="74">
        <f>ELEC!Q8</f>
        <v>1871.0000000010041</v>
      </c>
      <c r="AE8" s="74">
        <f t="shared" si="22"/>
        <v>623.66666666700132</v>
      </c>
      <c r="AF8" s="424">
        <f t="shared" si="23"/>
        <v>0.38979166666687581</v>
      </c>
      <c r="AG8" s="425">
        <f t="shared" si="24"/>
        <v>124.73333333340025</v>
      </c>
      <c r="AH8" s="425">
        <f t="shared" si="21"/>
        <v>102.9333333332664</v>
      </c>
      <c r="AI8" s="74">
        <f t="shared" si="25"/>
        <v>481.56540084414036</v>
      </c>
      <c r="AJ8" s="301">
        <f t="shared" si="8"/>
        <v>0.25738396624472576</v>
      </c>
      <c r="AK8" s="301">
        <f t="shared" si="9"/>
        <v>160.52180028138011</v>
      </c>
    </row>
    <row r="9" spans="1:37">
      <c r="A9" s="4">
        <f>ELEC!C9</f>
        <v>43868</v>
      </c>
      <c r="B9" s="277">
        <f t="shared" si="26"/>
        <v>8505</v>
      </c>
      <c r="C9" s="299">
        <f t="shared" si="10"/>
        <v>0</v>
      </c>
      <c r="D9" s="277">
        <f t="shared" si="27"/>
        <v>123673</v>
      </c>
      <c r="E9" s="299">
        <f t="shared" si="11"/>
        <v>0</v>
      </c>
      <c r="F9" s="299">
        <f t="shared" si="0"/>
        <v>0</v>
      </c>
      <c r="G9" s="200"/>
      <c r="H9" s="300">
        <f t="shared" si="12"/>
        <v>8497</v>
      </c>
      <c r="I9" s="299" t="str">
        <f t="shared" si="1"/>
        <v>oil change</v>
      </c>
      <c r="J9" s="277">
        <f t="shared" si="28"/>
        <v>10689</v>
      </c>
      <c r="K9" s="299">
        <f t="shared" si="2"/>
        <v>0</v>
      </c>
      <c r="L9" s="277">
        <f t="shared" si="29"/>
        <v>237068</v>
      </c>
      <c r="M9" s="299">
        <f t="shared" si="3"/>
        <v>0</v>
      </c>
      <c r="N9" s="299">
        <f t="shared" si="13"/>
        <v>0</v>
      </c>
      <c r="O9" s="200"/>
      <c r="P9" s="300">
        <f t="shared" si="14"/>
        <v>10873</v>
      </c>
      <c r="Q9" s="299" t="str">
        <f t="shared" si="4"/>
        <v>ok</v>
      </c>
      <c r="R9" s="277">
        <v>10945</v>
      </c>
      <c r="S9" s="299">
        <f t="shared" si="5"/>
        <v>5</v>
      </c>
      <c r="T9" s="277">
        <v>190428</v>
      </c>
      <c r="U9" s="299">
        <f>T9-T8</f>
        <v>1301</v>
      </c>
      <c r="V9" s="299">
        <f t="shared" si="16"/>
        <v>260.2</v>
      </c>
      <c r="W9" s="200"/>
      <c r="X9" s="300">
        <f>X8</f>
        <v>11169</v>
      </c>
      <c r="Y9" s="299" t="str">
        <f t="shared" si="6"/>
        <v>ok</v>
      </c>
      <c r="Z9" s="299">
        <f t="shared" si="7"/>
        <v>5</v>
      </c>
      <c r="AA9" s="299">
        <f t="shared" si="18"/>
        <v>1301</v>
      </c>
      <c r="AB9" s="299">
        <f t="shared" si="19"/>
        <v>260.2</v>
      </c>
      <c r="AC9" s="299">
        <f t="shared" si="20"/>
        <v>260.2</v>
      </c>
      <c r="AD9" s="74">
        <f>ELEC!Q9</f>
        <v>2748.9999999997963</v>
      </c>
      <c r="AE9" s="74">
        <f t="shared" si="22"/>
        <v>549.79999999995925</v>
      </c>
      <c r="AF9" s="424">
        <f t="shared" si="23"/>
        <v>0.34362499999997453</v>
      </c>
      <c r="AG9" s="425">
        <f t="shared" si="24"/>
        <v>109.95999999999185</v>
      </c>
      <c r="AH9" s="425">
        <f t="shared" si="21"/>
        <v>150.24000000000814</v>
      </c>
      <c r="AI9" s="74">
        <f t="shared" si="25"/>
        <v>707.54852320669863</v>
      </c>
      <c r="AJ9" s="301">
        <v>0.25738396624472576</v>
      </c>
      <c r="AK9" s="301">
        <f t="shared" ref="AK9:AK16" si="30">IF(Z9&gt;0,AI9/Z9,0)</f>
        <v>141.50970464133974</v>
      </c>
    </row>
    <row r="10" spans="1:37">
      <c r="A10" s="4">
        <f>ELEC!C10</f>
        <v>43869</v>
      </c>
      <c r="B10" s="277">
        <f t="shared" si="26"/>
        <v>8505</v>
      </c>
      <c r="C10" s="299">
        <f t="shared" si="10"/>
        <v>0</v>
      </c>
      <c r="D10" s="277">
        <f t="shared" si="27"/>
        <v>123673</v>
      </c>
      <c r="E10" s="299">
        <f t="shared" si="11"/>
        <v>0</v>
      </c>
      <c r="F10" s="299">
        <f t="shared" si="0"/>
        <v>0</v>
      </c>
      <c r="G10" s="200"/>
      <c r="H10" s="300">
        <f t="shared" si="12"/>
        <v>8497</v>
      </c>
      <c r="I10" s="299" t="str">
        <f t="shared" si="1"/>
        <v>oil change</v>
      </c>
      <c r="J10" s="277">
        <f t="shared" si="28"/>
        <v>10689</v>
      </c>
      <c r="K10" s="299">
        <f t="shared" si="2"/>
        <v>0</v>
      </c>
      <c r="L10" s="277">
        <f t="shared" si="29"/>
        <v>237068</v>
      </c>
      <c r="M10" s="299">
        <f t="shared" si="3"/>
        <v>0</v>
      </c>
      <c r="N10" s="299">
        <f t="shared" si="13"/>
        <v>0</v>
      </c>
      <c r="O10" s="200"/>
      <c r="P10" s="300">
        <v>10873</v>
      </c>
      <c r="Q10" s="299" t="str">
        <f t="shared" si="4"/>
        <v>ok</v>
      </c>
      <c r="R10" s="277">
        <v>10948</v>
      </c>
      <c r="S10" s="299">
        <f t="shared" si="5"/>
        <v>3</v>
      </c>
      <c r="T10" s="277">
        <v>191262</v>
      </c>
      <c r="U10" s="299">
        <f t="shared" si="15"/>
        <v>834</v>
      </c>
      <c r="V10" s="299">
        <f t="shared" si="16"/>
        <v>278</v>
      </c>
      <c r="W10" s="200"/>
      <c r="X10" s="300">
        <f t="shared" si="17"/>
        <v>11169</v>
      </c>
      <c r="Y10" s="299" t="str">
        <f t="shared" si="6"/>
        <v>ok</v>
      </c>
      <c r="Z10" s="299">
        <f t="shared" si="7"/>
        <v>3</v>
      </c>
      <c r="AA10" s="299">
        <f t="shared" si="18"/>
        <v>834</v>
      </c>
      <c r="AB10" s="299">
        <f t="shared" si="19"/>
        <v>278</v>
      </c>
      <c r="AC10" s="299">
        <f t="shared" si="20"/>
        <v>278</v>
      </c>
      <c r="AD10" s="74">
        <f>ELEC!Q10</f>
        <v>1436.9999999998981</v>
      </c>
      <c r="AE10" s="74">
        <f t="shared" si="22"/>
        <v>478.99999999996606</v>
      </c>
      <c r="AF10" s="424">
        <f t="shared" si="23"/>
        <v>0.2993749999999788</v>
      </c>
      <c r="AG10" s="425">
        <f t="shared" si="24"/>
        <v>95.799999999993219</v>
      </c>
      <c r="AH10" s="425">
        <f t="shared" si="21"/>
        <v>182.20000000000678</v>
      </c>
      <c r="AI10" s="74">
        <f t="shared" si="25"/>
        <v>369.86075949364471</v>
      </c>
      <c r="AJ10" s="301">
        <f t="shared" si="8"/>
        <v>0.25738396624472576</v>
      </c>
      <c r="AK10" s="301">
        <f t="shared" si="30"/>
        <v>123.2869198312149</v>
      </c>
    </row>
    <row r="11" spans="1:37">
      <c r="A11" s="4">
        <f>ELEC!C11</f>
        <v>43870</v>
      </c>
      <c r="B11" s="277">
        <f t="shared" si="26"/>
        <v>8505</v>
      </c>
      <c r="C11" s="299">
        <f t="shared" si="10"/>
        <v>0</v>
      </c>
      <c r="D11" s="277">
        <f t="shared" si="27"/>
        <v>123673</v>
      </c>
      <c r="E11" s="299">
        <f t="shared" si="11"/>
        <v>0</v>
      </c>
      <c r="F11" s="299">
        <f t="shared" si="0"/>
        <v>0</v>
      </c>
      <c r="G11" s="200"/>
      <c r="H11" s="300">
        <f t="shared" si="12"/>
        <v>8497</v>
      </c>
      <c r="I11" s="299" t="str">
        <f t="shared" si="1"/>
        <v>oil change</v>
      </c>
      <c r="J11" s="277">
        <f t="shared" si="28"/>
        <v>10689</v>
      </c>
      <c r="K11" s="299">
        <f t="shared" si="2"/>
        <v>0</v>
      </c>
      <c r="L11" s="277">
        <f t="shared" si="29"/>
        <v>237068</v>
      </c>
      <c r="M11" s="299">
        <f t="shared" si="3"/>
        <v>0</v>
      </c>
      <c r="N11" s="299">
        <f t="shared" si="13"/>
        <v>0</v>
      </c>
      <c r="O11" s="200"/>
      <c r="P11" s="300">
        <f t="shared" si="14"/>
        <v>10873</v>
      </c>
      <c r="Q11" s="299" t="str">
        <f t="shared" si="4"/>
        <v>ok</v>
      </c>
      <c r="R11" s="277">
        <v>10951</v>
      </c>
      <c r="S11" s="299">
        <f t="shared" si="5"/>
        <v>3</v>
      </c>
      <c r="T11" s="277">
        <v>191835</v>
      </c>
      <c r="U11" s="299">
        <f t="shared" si="15"/>
        <v>573</v>
      </c>
      <c r="V11" s="299">
        <f t="shared" si="16"/>
        <v>191</v>
      </c>
      <c r="W11" s="200"/>
      <c r="X11" s="300">
        <f t="shared" si="17"/>
        <v>11169</v>
      </c>
      <c r="Y11" s="299" t="str">
        <f t="shared" si="6"/>
        <v>ok</v>
      </c>
      <c r="Z11" s="299">
        <f t="shared" si="7"/>
        <v>3</v>
      </c>
      <c r="AA11" s="299">
        <f t="shared" si="18"/>
        <v>573</v>
      </c>
      <c r="AB11" s="299">
        <f t="shared" si="19"/>
        <v>191</v>
      </c>
      <c r="AC11" s="299">
        <f t="shared" si="20"/>
        <v>191</v>
      </c>
      <c r="AD11" s="74">
        <f>ELEC!Q11</f>
        <v>2090.0000000001455</v>
      </c>
      <c r="AE11" s="74">
        <f t="shared" si="22"/>
        <v>696.66666666671517</v>
      </c>
      <c r="AF11" s="424">
        <f t="shared" si="23"/>
        <v>0.43541666666669698</v>
      </c>
      <c r="AG11" s="425">
        <f t="shared" si="24"/>
        <v>139.33333333334303</v>
      </c>
      <c r="AH11" s="425">
        <f t="shared" si="21"/>
        <v>51.666666666656965</v>
      </c>
      <c r="AI11" s="74">
        <f t="shared" si="25"/>
        <v>537.93248945151424</v>
      </c>
      <c r="AJ11" s="301">
        <f t="shared" si="8"/>
        <v>0.25738396624472576</v>
      </c>
      <c r="AK11" s="301">
        <f t="shared" si="30"/>
        <v>179.31082981717142</v>
      </c>
    </row>
    <row r="12" spans="1:37">
      <c r="A12" s="4">
        <f>ELEC!C12</f>
        <v>43871</v>
      </c>
      <c r="B12" s="277">
        <v>8505</v>
      </c>
      <c r="C12" s="299">
        <f t="shared" si="10"/>
        <v>0</v>
      </c>
      <c r="D12" s="277">
        <v>123673</v>
      </c>
      <c r="E12" s="299">
        <f t="shared" si="11"/>
        <v>0</v>
      </c>
      <c r="F12" s="299">
        <f t="shared" si="0"/>
        <v>0</v>
      </c>
      <c r="G12" s="200"/>
      <c r="H12" s="300">
        <f t="shared" si="12"/>
        <v>8497</v>
      </c>
      <c r="I12" s="299" t="str">
        <f t="shared" si="1"/>
        <v>oil change</v>
      </c>
      <c r="J12" s="277">
        <v>10689</v>
      </c>
      <c r="K12" s="299">
        <f t="shared" si="2"/>
        <v>0</v>
      </c>
      <c r="L12" s="277">
        <f t="shared" si="29"/>
        <v>237068</v>
      </c>
      <c r="M12" s="299">
        <f t="shared" si="3"/>
        <v>0</v>
      </c>
      <c r="N12" s="299">
        <f t="shared" si="13"/>
        <v>0</v>
      </c>
      <c r="O12" s="200"/>
      <c r="P12" s="300">
        <f t="shared" si="14"/>
        <v>10873</v>
      </c>
      <c r="Q12" s="299" t="str">
        <f t="shared" si="4"/>
        <v>ok</v>
      </c>
      <c r="R12" s="277">
        <v>10954.58</v>
      </c>
      <c r="S12" s="299">
        <f t="shared" si="5"/>
        <v>3.5799999999999272</v>
      </c>
      <c r="T12" s="277">
        <v>192680.6</v>
      </c>
      <c r="U12" s="299">
        <f t="shared" si="15"/>
        <v>845.60000000000582</v>
      </c>
      <c r="V12" s="299">
        <f t="shared" si="16"/>
        <v>236.20111731844219</v>
      </c>
      <c r="W12" s="200"/>
      <c r="X12" s="300">
        <f t="shared" si="17"/>
        <v>11169</v>
      </c>
      <c r="Y12" s="299" t="str">
        <f t="shared" si="6"/>
        <v>ok</v>
      </c>
      <c r="Z12" s="299">
        <f t="shared" si="7"/>
        <v>3.5799999999999272</v>
      </c>
      <c r="AA12" s="299">
        <f t="shared" si="18"/>
        <v>845.60000000000582</v>
      </c>
      <c r="AB12" s="299">
        <f t="shared" si="19"/>
        <v>236.20111731844219</v>
      </c>
      <c r="AC12" s="299">
        <f t="shared" si="20"/>
        <v>236.20111731844219</v>
      </c>
      <c r="AD12" s="74">
        <f>ELEC!Q12</f>
        <v>1590.0000000001455</v>
      </c>
      <c r="AE12" s="74">
        <f t="shared" si="22"/>
        <v>444.13407821234017</v>
      </c>
      <c r="AF12" s="424">
        <f t="shared" si="23"/>
        <v>0.27758379888271262</v>
      </c>
      <c r="AG12" s="425">
        <f t="shared" si="24"/>
        <v>88.826815642468034</v>
      </c>
      <c r="AH12" s="425">
        <f t="shared" si="21"/>
        <v>147.37430167597415</v>
      </c>
      <c r="AI12" s="74">
        <f t="shared" si="25"/>
        <v>409.2405063291514</v>
      </c>
      <c r="AJ12" s="301">
        <f t="shared" si="8"/>
        <v>0.25738396624472576</v>
      </c>
      <c r="AK12" s="301">
        <f t="shared" si="30"/>
        <v>114.31299059473736</v>
      </c>
    </row>
    <row r="13" spans="1:37">
      <c r="A13" s="4">
        <f>ELEC!C13</f>
        <v>43872</v>
      </c>
      <c r="B13" s="277">
        <v>8505</v>
      </c>
      <c r="C13" s="299">
        <f t="shared" si="10"/>
        <v>0</v>
      </c>
      <c r="D13" s="277">
        <v>123673.4</v>
      </c>
      <c r="E13" s="299">
        <f t="shared" si="11"/>
        <v>0.39999999999417923</v>
      </c>
      <c r="F13" s="299">
        <f t="shared" si="0"/>
        <v>0</v>
      </c>
      <c r="G13" s="200"/>
      <c r="H13" s="300">
        <f t="shared" si="12"/>
        <v>8497</v>
      </c>
      <c r="I13" s="299" t="str">
        <f t="shared" si="1"/>
        <v>oil change</v>
      </c>
      <c r="J13" s="277">
        <v>10689.42</v>
      </c>
      <c r="K13" s="299">
        <f t="shared" si="2"/>
        <v>0.42000000000007276</v>
      </c>
      <c r="L13" s="277">
        <v>237068.2</v>
      </c>
      <c r="M13" s="299">
        <f t="shared" si="3"/>
        <v>0.20000000001164153</v>
      </c>
      <c r="N13" s="299">
        <f t="shared" si="13"/>
        <v>0.47619047621811161</v>
      </c>
      <c r="O13" s="200"/>
      <c r="P13" s="300">
        <f t="shared" si="14"/>
        <v>10873</v>
      </c>
      <c r="Q13" s="299" t="str">
        <f t="shared" si="4"/>
        <v>ok</v>
      </c>
      <c r="R13" s="277">
        <v>10958.04</v>
      </c>
      <c r="S13" s="299">
        <f t="shared" si="5"/>
        <v>3.4600000000009459</v>
      </c>
      <c r="T13" s="277">
        <v>193505</v>
      </c>
      <c r="U13" s="299">
        <f t="shared" si="15"/>
        <v>824.39999999999418</v>
      </c>
      <c r="V13" s="299">
        <f t="shared" si="16"/>
        <v>238.2658959536904</v>
      </c>
      <c r="W13" s="200"/>
      <c r="X13" s="300">
        <f>X12+180</f>
        <v>11349</v>
      </c>
      <c r="Y13" s="299" t="str">
        <f t="shared" si="6"/>
        <v>ok</v>
      </c>
      <c r="Z13" s="299">
        <f t="shared" si="7"/>
        <v>3.8800000000010186</v>
      </c>
      <c r="AA13" s="299">
        <f t="shared" si="18"/>
        <v>825</v>
      </c>
      <c r="AB13" s="299">
        <f t="shared" si="19"/>
        <v>238.74208642990851</v>
      </c>
      <c r="AC13" s="299">
        <f t="shared" si="20"/>
        <v>212.62886597932561</v>
      </c>
      <c r="AD13" s="74">
        <f>ELEC!Q13</f>
        <v>1650.9999999998399</v>
      </c>
      <c r="AE13" s="74">
        <f t="shared" si="22"/>
        <v>425.51546391737281</v>
      </c>
      <c r="AF13" s="424">
        <f t="shared" si="23"/>
        <v>0.26594716494835802</v>
      </c>
      <c r="AG13" s="425">
        <f t="shared" si="24"/>
        <v>85.103092783474565</v>
      </c>
      <c r="AH13" s="425">
        <f t="shared" si="21"/>
        <v>127.52577319585104</v>
      </c>
      <c r="AI13" s="74">
        <f t="shared" si="25"/>
        <v>424.94092827000105</v>
      </c>
      <c r="AJ13" s="301">
        <f t="shared" si="8"/>
        <v>0.25738396624472576</v>
      </c>
      <c r="AK13" s="301">
        <f t="shared" si="30"/>
        <v>109.52085780151791</v>
      </c>
    </row>
    <row r="14" spans="1:37">
      <c r="A14" s="4">
        <f>ELEC!C14</f>
        <v>43873</v>
      </c>
      <c r="B14" s="277">
        <f t="shared" si="26"/>
        <v>8505</v>
      </c>
      <c r="C14" s="299">
        <f t="shared" si="10"/>
        <v>0</v>
      </c>
      <c r="D14" s="277">
        <f t="shared" si="27"/>
        <v>123673.4</v>
      </c>
      <c r="E14" s="299">
        <f t="shared" si="11"/>
        <v>0</v>
      </c>
      <c r="F14" s="299">
        <f t="shared" si="0"/>
        <v>0</v>
      </c>
      <c r="G14" s="200"/>
      <c r="H14" s="300">
        <f t="shared" si="12"/>
        <v>8497</v>
      </c>
      <c r="I14" s="299" t="str">
        <f t="shared" si="1"/>
        <v>oil change</v>
      </c>
      <c r="J14" s="277">
        <f t="shared" si="28"/>
        <v>10689.42</v>
      </c>
      <c r="K14" s="299">
        <f t="shared" si="2"/>
        <v>0</v>
      </c>
      <c r="L14" s="277">
        <f t="shared" si="29"/>
        <v>237068.2</v>
      </c>
      <c r="M14" s="299">
        <f t="shared" si="3"/>
        <v>0</v>
      </c>
      <c r="N14" s="299">
        <f t="shared" si="13"/>
        <v>0</v>
      </c>
      <c r="O14" s="200"/>
      <c r="P14" s="300">
        <f t="shared" si="14"/>
        <v>10873</v>
      </c>
      <c r="Q14" s="299" t="str">
        <f t="shared" si="4"/>
        <v>ok</v>
      </c>
      <c r="R14" s="277">
        <v>10961.53</v>
      </c>
      <c r="S14" s="299">
        <f t="shared" si="5"/>
        <v>3.4899999999997817</v>
      </c>
      <c r="T14" s="277">
        <v>194583.1</v>
      </c>
      <c r="U14" s="299">
        <f t="shared" si="15"/>
        <v>1078.1000000000058</v>
      </c>
      <c r="V14" s="299">
        <f t="shared" si="16"/>
        <v>308.91117478512126</v>
      </c>
      <c r="W14" s="200"/>
      <c r="X14" s="300">
        <f t="shared" si="17"/>
        <v>11349</v>
      </c>
      <c r="Y14" s="299" t="str">
        <f t="shared" si="6"/>
        <v>ok</v>
      </c>
      <c r="Z14" s="299">
        <f t="shared" si="7"/>
        <v>3.4899999999997817</v>
      </c>
      <c r="AA14" s="299">
        <f t="shared" si="18"/>
        <v>1078.1000000000058</v>
      </c>
      <c r="AB14" s="299">
        <f t="shared" si="19"/>
        <v>308.91117478512126</v>
      </c>
      <c r="AC14" s="299">
        <f t="shared" si="20"/>
        <v>308.91117478512126</v>
      </c>
      <c r="AD14" s="74">
        <f>ELEC!Q14</f>
        <v>1709.9999999991269</v>
      </c>
      <c r="AE14" s="74">
        <f t="shared" si="22"/>
        <v>489.97134670465152</v>
      </c>
      <c r="AF14" s="424">
        <f t="shared" si="23"/>
        <v>0.30623209169040722</v>
      </c>
      <c r="AG14" s="425">
        <f t="shared" si="24"/>
        <v>97.994269340930316</v>
      </c>
      <c r="AH14" s="425">
        <f t="shared" si="21"/>
        <v>210.91690544419095</v>
      </c>
      <c r="AI14" s="74">
        <f t="shared" si="25"/>
        <v>440.12658227825631</v>
      </c>
      <c r="AJ14" s="301">
        <f t="shared" si="8"/>
        <v>0.25738396624472576</v>
      </c>
      <c r="AK14" s="301">
        <f t="shared" si="30"/>
        <v>126.11076856111285</v>
      </c>
    </row>
    <row r="15" spans="1:37">
      <c r="A15" s="4">
        <f>ELEC!C15</f>
        <v>43874</v>
      </c>
      <c r="B15" s="277">
        <v>8505.41</v>
      </c>
      <c r="C15" s="299">
        <f t="shared" si="10"/>
        <v>0.40999999999985448</v>
      </c>
      <c r="D15" s="277">
        <v>123673</v>
      </c>
      <c r="E15" s="299">
        <f t="shared" si="11"/>
        <v>-0.39999999999417923</v>
      </c>
      <c r="F15" s="299">
        <f t="shared" si="0"/>
        <v>-0.97560975608371026</v>
      </c>
      <c r="G15" s="200"/>
      <c r="H15" s="300">
        <f t="shared" si="12"/>
        <v>8497</v>
      </c>
      <c r="I15" s="299" t="str">
        <f t="shared" si="1"/>
        <v>oil change</v>
      </c>
      <c r="J15" s="277">
        <v>10689.42</v>
      </c>
      <c r="K15" s="299">
        <f t="shared" si="2"/>
        <v>0</v>
      </c>
      <c r="L15" s="277">
        <v>237068</v>
      </c>
      <c r="M15" s="299">
        <f t="shared" si="3"/>
        <v>-0.20000000001164153</v>
      </c>
      <c r="N15" s="299">
        <f t="shared" si="13"/>
        <v>0</v>
      </c>
      <c r="O15" s="200"/>
      <c r="P15" s="300">
        <f t="shared" si="14"/>
        <v>10873</v>
      </c>
      <c r="Q15" s="299" t="str">
        <f t="shared" si="4"/>
        <v>ok</v>
      </c>
      <c r="R15" s="277">
        <v>10965</v>
      </c>
      <c r="S15" s="299">
        <f t="shared" si="5"/>
        <v>3.4699999999993452</v>
      </c>
      <c r="T15" s="277">
        <v>195298</v>
      </c>
      <c r="U15" s="299">
        <f t="shared" si="15"/>
        <v>714.89999999999418</v>
      </c>
      <c r="V15" s="299">
        <f t="shared" si="16"/>
        <v>206.02305475508044</v>
      </c>
      <c r="W15" s="200"/>
      <c r="X15" s="300">
        <f t="shared" si="17"/>
        <v>11349</v>
      </c>
      <c r="Y15" s="299" t="str">
        <f t="shared" si="6"/>
        <v>ok</v>
      </c>
      <c r="Z15" s="299">
        <f t="shared" si="7"/>
        <v>3.8799999999991996</v>
      </c>
      <c r="AA15" s="299">
        <f t="shared" si="18"/>
        <v>714.29999999998836</v>
      </c>
      <c r="AB15" s="299">
        <f t="shared" si="19"/>
        <v>205.04744499899672</v>
      </c>
      <c r="AC15" s="299">
        <f t="shared" si="20"/>
        <v>184.09793814436486</v>
      </c>
      <c r="AD15" s="74">
        <f>ELEC!Q15</f>
        <v>2113.0000000011933</v>
      </c>
      <c r="AE15" s="74">
        <f t="shared" si="22"/>
        <v>544.58762886639931</v>
      </c>
      <c r="AF15" s="424">
        <f t="shared" si="23"/>
        <v>0.34036726804149958</v>
      </c>
      <c r="AG15" s="425">
        <f t="shared" si="24"/>
        <v>108.91752577327986</v>
      </c>
      <c r="AH15" s="425">
        <f t="shared" si="21"/>
        <v>75.180412371084998</v>
      </c>
      <c r="AI15" s="74">
        <f t="shared" si="25"/>
        <v>543.85232067541267</v>
      </c>
      <c r="AJ15" s="301">
        <f t="shared" si="8"/>
        <v>0.25738396624472576</v>
      </c>
      <c r="AK15" s="301">
        <f t="shared" si="30"/>
        <v>140.16812388544454</v>
      </c>
    </row>
    <row r="16" spans="1:37">
      <c r="A16" s="4">
        <f>ELEC!C16</f>
        <v>43875</v>
      </c>
      <c r="B16" s="277">
        <f t="shared" si="26"/>
        <v>8505.41</v>
      </c>
      <c r="C16" s="299">
        <f t="shared" si="10"/>
        <v>0</v>
      </c>
      <c r="D16" s="277">
        <f t="shared" si="27"/>
        <v>123673</v>
      </c>
      <c r="E16" s="299">
        <f t="shared" si="11"/>
        <v>0</v>
      </c>
      <c r="F16" s="299">
        <f t="shared" si="0"/>
        <v>0</v>
      </c>
      <c r="G16" s="200"/>
      <c r="H16" s="300">
        <f t="shared" si="12"/>
        <v>8497</v>
      </c>
      <c r="I16" s="299" t="str">
        <f t="shared" si="1"/>
        <v>oil change</v>
      </c>
      <c r="J16" s="277">
        <f t="shared" si="28"/>
        <v>10689.42</v>
      </c>
      <c r="K16" s="299">
        <f t="shared" si="2"/>
        <v>0</v>
      </c>
      <c r="L16" s="277">
        <f t="shared" si="29"/>
        <v>237068</v>
      </c>
      <c r="M16" s="299">
        <f t="shared" si="3"/>
        <v>0</v>
      </c>
      <c r="N16" s="299">
        <f t="shared" si="13"/>
        <v>0</v>
      </c>
      <c r="O16" s="200"/>
      <c r="P16" s="300">
        <f t="shared" si="14"/>
        <v>10873</v>
      </c>
      <c r="Q16" s="299" t="str">
        <f t="shared" si="4"/>
        <v>ok</v>
      </c>
      <c r="R16" s="277">
        <v>10968</v>
      </c>
      <c r="S16" s="555">
        <f t="shared" si="5"/>
        <v>3</v>
      </c>
      <c r="T16" s="277">
        <v>195896.8</v>
      </c>
      <c r="U16" s="299">
        <f t="shared" si="15"/>
        <v>598.79999999998836</v>
      </c>
      <c r="V16" s="299">
        <f t="shared" si="16"/>
        <v>199.59999999999613</v>
      </c>
      <c r="W16" s="200"/>
      <c r="X16" s="300">
        <f t="shared" si="17"/>
        <v>11349</v>
      </c>
      <c r="Y16" s="299" t="str">
        <f t="shared" si="6"/>
        <v>ok</v>
      </c>
      <c r="Z16" s="299">
        <f t="shared" si="7"/>
        <v>3</v>
      </c>
      <c r="AA16" s="299">
        <f t="shared" si="18"/>
        <v>598.79999999998836</v>
      </c>
      <c r="AB16" s="299">
        <f t="shared" si="19"/>
        <v>199.59999999999613</v>
      </c>
      <c r="AC16" s="299">
        <f t="shared" si="20"/>
        <v>199.59999999999613</v>
      </c>
      <c r="AD16" s="74">
        <f>ELEC!Q16</f>
        <v>2096.9999999997526</v>
      </c>
      <c r="AE16" s="74">
        <f t="shared" si="22"/>
        <v>698.99999999991758</v>
      </c>
      <c r="AF16" s="424">
        <f t="shared" si="23"/>
        <v>0.4368749999999485</v>
      </c>
      <c r="AG16" s="425">
        <f t="shared" si="24"/>
        <v>139.79999999998353</v>
      </c>
      <c r="AH16" s="425">
        <f t="shared" si="21"/>
        <v>59.800000000012602</v>
      </c>
      <c r="AI16" s="74">
        <f t="shared" si="25"/>
        <v>539.73417721512624</v>
      </c>
      <c r="AJ16" s="301">
        <f t="shared" si="8"/>
        <v>0.25738396624472576</v>
      </c>
      <c r="AK16" s="301">
        <f t="shared" si="30"/>
        <v>179.91139240504208</v>
      </c>
    </row>
    <row r="17" spans="1:37">
      <c r="A17" s="4">
        <f>ELEC!C17</f>
        <v>43876</v>
      </c>
      <c r="B17" s="277">
        <f t="shared" si="26"/>
        <v>8505.41</v>
      </c>
      <c r="C17" s="299">
        <f t="shared" si="10"/>
        <v>0</v>
      </c>
      <c r="D17" s="277">
        <f t="shared" si="27"/>
        <v>123673</v>
      </c>
      <c r="E17" s="299">
        <f t="shared" si="11"/>
        <v>0</v>
      </c>
      <c r="F17" s="299">
        <f t="shared" si="0"/>
        <v>0</v>
      </c>
      <c r="G17" s="200"/>
      <c r="H17" s="300">
        <f t="shared" si="12"/>
        <v>8497</v>
      </c>
      <c r="I17" s="299" t="str">
        <f t="shared" si="1"/>
        <v>oil change</v>
      </c>
      <c r="J17" s="277">
        <f t="shared" si="28"/>
        <v>10689.42</v>
      </c>
      <c r="K17" s="299">
        <f t="shared" si="2"/>
        <v>0</v>
      </c>
      <c r="L17" s="277">
        <f t="shared" si="29"/>
        <v>237068</v>
      </c>
      <c r="M17" s="299">
        <f t="shared" si="3"/>
        <v>0</v>
      </c>
      <c r="N17" s="299">
        <f t="shared" si="13"/>
        <v>0</v>
      </c>
      <c r="O17" s="200"/>
      <c r="P17" s="300">
        <f t="shared" si="14"/>
        <v>10873</v>
      </c>
      <c r="Q17" s="299" t="str">
        <f t="shared" si="4"/>
        <v>ok</v>
      </c>
      <c r="R17" s="277">
        <v>10972.18</v>
      </c>
      <c r="S17" s="556">
        <f t="shared" si="5"/>
        <v>4.180000000000291</v>
      </c>
      <c r="T17" s="277">
        <v>196777.7</v>
      </c>
      <c r="U17" s="299">
        <f t="shared" si="15"/>
        <v>880.90000000002328</v>
      </c>
      <c r="V17" s="299">
        <f t="shared" si="16"/>
        <v>210.74162679424927</v>
      </c>
      <c r="W17" s="200"/>
      <c r="X17" s="300">
        <f t="shared" si="17"/>
        <v>11349</v>
      </c>
      <c r="Y17" s="299" t="str">
        <f t="shared" si="6"/>
        <v>ok</v>
      </c>
      <c r="Z17" s="299">
        <f t="shared" si="7"/>
        <v>4.180000000000291</v>
      </c>
      <c r="AA17" s="299">
        <f t="shared" si="18"/>
        <v>880.90000000002328</v>
      </c>
      <c r="AB17" s="299">
        <f t="shared" si="19"/>
        <v>210.74162679424927</v>
      </c>
      <c r="AC17" s="299">
        <f t="shared" si="20"/>
        <v>210.74162679424927</v>
      </c>
      <c r="AD17" s="74">
        <f>ELEC!Q17</f>
        <v>2494.0000000005966</v>
      </c>
      <c r="AE17" s="74">
        <f t="shared" si="22"/>
        <v>596.65071770345048</v>
      </c>
      <c r="AF17" s="424">
        <f t="shared" si="23"/>
        <v>0.37290669856465652</v>
      </c>
      <c r="AG17" s="425">
        <f t="shared" si="24"/>
        <v>119.33014354069009</v>
      </c>
      <c r="AH17" s="425">
        <f t="shared" si="21"/>
        <v>91.411483253559183</v>
      </c>
      <c r="AI17" s="74">
        <f t="shared" si="25"/>
        <v>641.91561181449958</v>
      </c>
      <c r="AJ17" s="301">
        <f t="shared" si="8"/>
        <v>0.25738396624472576</v>
      </c>
      <c r="AK17" s="301">
        <f t="shared" ref="AK17:AK32" si="31">IF(Z17&gt;0,AI17/Z17,0)</f>
        <v>153.5683281852763</v>
      </c>
    </row>
    <row r="18" spans="1:37">
      <c r="A18" s="4">
        <f>ELEC!C18</f>
        <v>43877</v>
      </c>
      <c r="B18" s="277">
        <f t="shared" si="26"/>
        <v>8505.41</v>
      </c>
      <c r="C18" s="299">
        <f t="shared" si="10"/>
        <v>0</v>
      </c>
      <c r="D18" s="277">
        <f t="shared" si="27"/>
        <v>123673</v>
      </c>
      <c r="E18" s="299">
        <f t="shared" si="11"/>
        <v>0</v>
      </c>
      <c r="F18" s="299">
        <f t="shared" si="0"/>
        <v>0</v>
      </c>
      <c r="G18" s="200"/>
      <c r="H18" s="300">
        <f t="shared" si="12"/>
        <v>8497</v>
      </c>
      <c r="I18" s="299" t="str">
        <f t="shared" si="1"/>
        <v>oil change</v>
      </c>
      <c r="J18" s="277">
        <f t="shared" si="28"/>
        <v>10689.42</v>
      </c>
      <c r="K18" s="299">
        <f t="shared" si="2"/>
        <v>0</v>
      </c>
      <c r="L18" s="277">
        <f t="shared" si="29"/>
        <v>237068</v>
      </c>
      <c r="M18" s="299">
        <f t="shared" si="3"/>
        <v>0</v>
      </c>
      <c r="N18" s="299">
        <f t="shared" si="13"/>
        <v>0</v>
      </c>
      <c r="O18" s="200"/>
      <c r="P18" s="300">
        <f t="shared" si="14"/>
        <v>10873</v>
      </c>
      <c r="Q18" s="299" t="str">
        <f>IF(J18-P14&lt;=0,"ok","oil change")</f>
        <v>ok</v>
      </c>
      <c r="R18" s="277">
        <v>10974</v>
      </c>
      <c r="S18" s="299">
        <f t="shared" si="5"/>
        <v>1.819999999999709</v>
      </c>
      <c r="T18" s="277">
        <v>197351.6</v>
      </c>
      <c r="U18" s="299">
        <f t="shared" si="15"/>
        <v>573.89999999999418</v>
      </c>
      <c r="V18" s="299">
        <f t="shared" si="16"/>
        <v>315.32967032971754</v>
      </c>
      <c r="W18" s="355"/>
      <c r="X18" s="300">
        <f t="shared" si="17"/>
        <v>11349</v>
      </c>
      <c r="Y18" s="299" t="str">
        <f t="shared" si="6"/>
        <v>ok</v>
      </c>
      <c r="Z18" s="299">
        <f t="shared" si="7"/>
        <v>1.819999999999709</v>
      </c>
      <c r="AA18" s="299">
        <f t="shared" si="18"/>
        <v>573.89999999999418</v>
      </c>
      <c r="AB18" s="299">
        <f t="shared" si="19"/>
        <v>315.32967032971754</v>
      </c>
      <c r="AC18" s="299">
        <f t="shared" si="20"/>
        <v>315.32967032971754</v>
      </c>
      <c r="AD18" s="74">
        <f>ELEC!Q18</f>
        <v>875</v>
      </c>
      <c r="AE18" s="74">
        <f t="shared" si="22"/>
        <v>480.76923076930763</v>
      </c>
      <c r="AF18" s="424">
        <f t="shared" si="23"/>
        <v>0.30048076923081729</v>
      </c>
      <c r="AG18" s="425">
        <f t="shared" si="24"/>
        <v>96.153846153861537</v>
      </c>
      <c r="AH18" s="425">
        <f t="shared" si="21"/>
        <v>219.17582417585601</v>
      </c>
      <c r="AI18" s="74">
        <f t="shared" si="25"/>
        <v>225.21097046413504</v>
      </c>
      <c r="AJ18" s="301">
        <f t="shared" si="8"/>
        <v>0.25738396624472576</v>
      </c>
      <c r="AK18" s="301">
        <f t="shared" si="31"/>
        <v>123.74229146383026</v>
      </c>
    </row>
    <row r="19" spans="1:37">
      <c r="A19" s="4">
        <f>ELEC!C19</f>
        <v>43878</v>
      </c>
      <c r="B19" s="277">
        <v>8505</v>
      </c>
      <c r="C19" s="299">
        <f t="shared" si="10"/>
        <v>-0.40999999999985448</v>
      </c>
      <c r="D19" s="277">
        <v>123673.7</v>
      </c>
      <c r="E19" s="299">
        <f t="shared" si="11"/>
        <v>0.69999999999708962</v>
      </c>
      <c r="F19" s="299">
        <f t="shared" si="0"/>
        <v>0</v>
      </c>
      <c r="G19" s="200"/>
      <c r="H19" s="300">
        <f t="shared" si="12"/>
        <v>8497</v>
      </c>
      <c r="I19" s="299" t="str">
        <f t="shared" si="1"/>
        <v>oil change</v>
      </c>
      <c r="J19" s="277">
        <v>10689</v>
      </c>
      <c r="K19" s="299">
        <v>0</v>
      </c>
      <c r="L19" s="277">
        <v>237068</v>
      </c>
      <c r="M19" s="299">
        <f t="shared" si="3"/>
        <v>0</v>
      </c>
      <c r="N19" s="299">
        <f t="shared" si="13"/>
        <v>0</v>
      </c>
      <c r="O19" s="200"/>
      <c r="P19" s="300">
        <f t="shared" si="14"/>
        <v>10873</v>
      </c>
      <c r="Q19" s="299" t="str">
        <f t="shared" ref="Q19:Q32" si="32">IF(J19-P19&lt;=0,"ok","oil change")</f>
        <v>ok</v>
      </c>
      <c r="R19" s="277">
        <v>10977</v>
      </c>
      <c r="S19" s="299">
        <f t="shared" si="5"/>
        <v>3</v>
      </c>
      <c r="T19" s="277">
        <v>198004.2</v>
      </c>
      <c r="U19" s="299">
        <f t="shared" si="15"/>
        <v>652.60000000000582</v>
      </c>
      <c r="V19" s="299">
        <f t="shared" si="16"/>
        <v>217.53333333333526</v>
      </c>
      <c r="W19" s="200"/>
      <c r="X19" s="300">
        <f t="shared" si="17"/>
        <v>11349</v>
      </c>
      <c r="Y19" s="299" t="str">
        <f t="shared" si="6"/>
        <v>ok</v>
      </c>
      <c r="Z19" s="299">
        <f t="shared" si="7"/>
        <v>2.5900000000001455</v>
      </c>
      <c r="AA19" s="299">
        <f t="shared" si="18"/>
        <v>653.30000000000291</v>
      </c>
      <c r="AB19" s="299">
        <f t="shared" si="19"/>
        <v>217.53333333333526</v>
      </c>
      <c r="AC19" s="299">
        <f t="shared" si="20"/>
        <v>252.23938223936918</v>
      </c>
      <c r="AD19" s="74">
        <f>ELEC!Q19</f>
        <v>2218.9999999991414</v>
      </c>
      <c r="AE19" s="74">
        <f t="shared" si="22"/>
        <v>856.75675675637717</v>
      </c>
      <c r="AF19" s="424">
        <f t="shared" si="23"/>
        <v>0.53547297297273577</v>
      </c>
      <c r="AG19" s="425">
        <f t="shared" si="24"/>
        <v>171.35135135127544</v>
      </c>
      <c r="AH19" s="425">
        <f t="shared" si="21"/>
        <v>80.888030888093738</v>
      </c>
      <c r="AI19" s="74">
        <f t="shared" si="25"/>
        <v>571.13502109682543</v>
      </c>
      <c r="AJ19" s="301">
        <f t="shared" si="8"/>
        <v>0.25738396624472576</v>
      </c>
      <c r="AK19" s="301">
        <f t="shared" si="31"/>
        <v>220.51545216092407</v>
      </c>
    </row>
    <row r="20" spans="1:37">
      <c r="A20" s="4">
        <f>ELEC!C20</f>
        <v>43879</v>
      </c>
      <c r="B20" s="277">
        <v>8505</v>
      </c>
      <c r="C20" s="299">
        <f>B20-B19</f>
        <v>0</v>
      </c>
      <c r="D20" s="277">
        <v>123674</v>
      </c>
      <c r="E20" s="299">
        <f t="shared" si="11"/>
        <v>0.30000000000291038</v>
      </c>
      <c r="F20" s="299">
        <f t="shared" si="0"/>
        <v>0</v>
      </c>
      <c r="G20" s="200"/>
      <c r="H20" s="300">
        <f t="shared" si="12"/>
        <v>8497</v>
      </c>
      <c r="I20" s="299" t="str">
        <f t="shared" si="1"/>
        <v>oil change</v>
      </c>
      <c r="J20" s="277">
        <v>10689</v>
      </c>
      <c r="K20" s="299">
        <f t="shared" si="2"/>
        <v>0</v>
      </c>
      <c r="L20" s="277">
        <v>237068</v>
      </c>
      <c r="M20" s="299">
        <f t="shared" si="3"/>
        <v>0</v>
      </c>
      <c r="N20" s="299">
        <f t="shared" si="13"/>
        <v>0</v>
      </c>
      <c r="O20" s="200"/>
      <c r="P20" s="300">
        <f t="shared" si="14"/>
        <v>10873</v>
      </c>
      <c r="Q20" s="299" t="str">
        <f t="shared" si="32"/>
        <v>ok</v>
      </c>
      <c r="R20" s="277">
        <v>10980</v>
      </c>
      <c r="S20" s="299">
        <f t="shared" si="5"/>
        <v>3</v>
      </c>
      <c r="T20" s="277">
        <v>198620</v>
      </c>
      <c r="U20" s="299">
        <f t="shared" si="15"/>
        <v>615.79999999998836</v>
      </c>
      <c r="V20" s="299">
        <f t="shared" si="16"/>
        <v>205.26666666666279</v>
      </c>
      <c r="W20" s="200"/>
      <c r="X20" s="300">
        <f t="shared" si="17"/>
        <v>11349</v>
      </c>
      <c r="Y20" s="299" t="str">
        <f t="shared" si="6"/>
        <v>ok</v>
      </c>
      <c r="Z20" s="299">
        <f t="shared" si="7"/>
        <v>3</v>
      </c>
      <c r="AA20" s="299">
        <f t="shared" si="18"/>
        <v>616.09999999999127</v>
      </c>
      <c r="AB20" s="299">
        <f t="shared" si="19"/>
        <v>205.26666666666279</v>
      </c>
      <c r="AC20" s="299">
        <f t="shared" si="20"/>
        <v>205.36666666666375</v>
      </c>
      <c r="AD20" s="74">
        <f>ELEC!Q20</f>
        <v>2263.0000000008295</v>
      </c>
      <c r="AE20" s="74">
        <f t="shared" si="22"/>
        <v>754.33333333360986</v>
      </c>
      <c r="AF20" s="424">
        <f t="shared" si="23"/>
        <v>0.47145833333350617</v>
      </c>
      <c r="AG20" s="425">
        <f t="shared" si="24"/>
        <v>150.86666666672198</v>
      </c>
      <c r="AH20" s="425">
        <f t="shared" si="21"/>
        <v>54.499999999941764</v>
      </c>
      <c r="AI20" s="74">
        <f>AD20*AJ20</f>
        <v>582.45991561202788</v>
      </c>
      <c r="AJ20" s="301">
        <f t="shared" si="8"/>
        <v>0.25738396624472576</v>
      </c>
      <c r="AK20" s="301">
        <f t="shared" si="31"/>
        <v>194.15330520400929</v>
      </c>
    </row>
    <row r="21" spans="1:37">
      <c r="A21" s="4">
        <f>ELEC!C21</f>
        <v>43880</v>
      </c>
      <c r="B21" s="277">
        <v>8505</v>
      </c>
      <c r="C21" s="299">
        <f t="shared" si="10"/>
        <v>0</v>
      </c>
      <c r="D21" s="277">
        <v>123673.9</v>
      </c>
      <c r="E21" s="299">
        <f t="shared" si="11"/>
        <v>-0.10000000000582077</v>
      </c>
      <c r="F21" s="299">
        <f t="shared" si="0"/>
        <v>0</v>
      </c>
      <c r="G21" s="200"/>
      <c r="H21" s="300">
        <f t="shared" si="12"/>
        <v>8497</v>
      </c>
      <c r="I21" s="299" t="str">
        <f t="shared" si="1"/>
        <v>oil change</v>
      </c>
      <c r="J21" s="277">
        <v>10689</v>
      </c>
      <c r="K21" s="299">
        <f t="shared" si="2"/>
        <v>0</v>
      </c>
      <c r="L21" s="277">
        <v>237068.7</v>
      </c>
      <c r="M21" s="299">
        <f t="shared" si="3"/>
        <v>0.70000000001164153</v>
      </c>
      <c r="N21" s="299">
        <f t="shared" si="13"/>
        <v>0</v>
      </c>
      <c r="O21" s="200"/>
      <c r="P21" s="300">
        <f t="shared" si="14"/>
        <v>10873</v>
      </c>
      <c r="Q21" s="299" t="str">
        <f t="shared" si="32"/>
        <v>ok</v>
      </c>
      <c r="R21" s="277">
        <v>10984</v>
      </c>
      <c r="S21" s="299">
        <f t="shared" si="5"/>
        <v>4</v>
      </c>
      <c r="T21" s="277">
        <v>199438.6</v>
      </c>
      <c r="U21" s="299">
        <f t="shared" si="15"/>
        <v>818.60000000000582</v>
      </c>
      <c r="V21" s="299">
        <f t="shared" si="16"/>
        <v>204.65000000000146</v>
      </c>
      <c r="W21" s="200"/>
      <c r="X21" s="300">
        <f t="shared" si="17"/>
        <v>11349</v>
      </c>
      <c r="Y21" s="299" t="str">
        <f>Y20</f>
        <v>ok</v>
      </c>
      <c r="Z21" s="299">
        <f t="shared" si="7"/>
        <v>4</v>
      </c>
      <c r="AA21" s="299">
        <f t="shared" si="18"/>
        <v>819.20000000001164</v>
      </c>
      <c r="AB21" s="299">
        <f t="shared" si="19"/>
        <v>204.65000000000146</v>
      </c>
      <c r="AC21" s="299">
        <f t="shared" si="20"/>
        <v>204.80000000000291</v>
      </c>
      <c r="AD21" s="74">
        <f>ELEC!Q21</f>
        <v>2612.9999999993743</v>
      </c>
      <c r="AE21" s="74">
        <f t="shared" si="22"/>
        <v>653.24999999984357</v>
      </c>
      <c r="AF21" s="424">
        <f t="shared" si="23"/>
        <v>0.40828124999990223</v>
      </c>
      <c r="AG21" s="425">
        <f t="shared" si="24"/>
        <v>130.64999999996871</v>
      </c>
      <c r="AH21" s="425">
        <f t="shared" si="21"/>
        <v>74.150000000034197</v>
      </c>
      <c r="AI21" s="74">
        <f t="shared" si="25"/>
        <v>672.54430379730741</v>
      </c>
      <c r="AJ21" s="301">
        <f t="shared" si="8"/>
        <v>0.25738396624472576</v>
      </c>
      <c r="AK21" s="301">
        <f t="shared" si="31"/>
        <v>168.13607594932685</v>
      </c>
    </row>
    <row r="22" spans="1:37">
      <c r="A22" s="4">
        <f>ELEC!C22</f>
        <v>43881</v>
      </c>
      <c r="B22" s="277">
        <v>8505</v>
      </c>
      <c r="C22" s="299">
        <f t="shared" si="10"/>
        <v>0</v>
      </c>
      <c r="D22" s="277">
        <f t="shared" si="27"/>
        <v>123673.9</v>
      </c>
      <c r="E22" s="299">
        <f t="shared" si="11"/>
        <v>0</v>
      </c>
      <c r="F22" s="299">
        <f t="shared" si="0"/>
        <v>0</v>
      </c>
      <c r="G22" s="200"/>
      <c r="H22" s="300">
        <f t="shared" si="12"/>
        <v>8497</v>
      </c>
      <c r="I22" s="299" t="str">
        <f t="shared" si="1"/>
        <v>oil change</v>
      </c>
      <c r="J22" s="277">
        <v>10689</v>
      </c>
      <c r="K22" s="299">
        <f t="shared" si="2"/>
        <v>0</v>
      </c>
      <c r="L22" s="277">
        <f t="shared" si="29"/>
        <v>237068.7</v>
      </c>
      <c r="M22" s="299">
        <f t="shared" si="3"/>
        <v>0</v>
      </c>
      <c r="N22" s="299">
        <f t="shared" si="13"/>
        <v>0</v>
      </c>
      <c r="O22" s="200"/>
      <c r="P22" s="300">
        <f t="shared" si="14"/>
        <v>10873</v>
      </c>
      <c r="Q22" s="299" t="str">
        <f t="shared" si="32"/>
        <v>ok</v>
      </c>
      <c r="R22" s="277">
        <v>10988</v>
      </c>
      <c r="S22" s="299">
        <f t="shared" si="5"/>
        <v>4</v>
      </c>
      <c r="T22" s="277">
        <v>200436.3</v>
      </c>
      <c r="U22" s="299">
        <f t="shared" si="15"/>
        <v>997.69999999998254</v>
      </c>
      <c r="V22" s="299">
        <f t="shared" si="16"/>
        <v>249.42499999999563</v>
      </c>
      <c r="W22" s="200"/>
      <c r="X22" s="300">
        <f t="shared" si="17"/>
        <v>11349</v>
      </c>
      <c r="Y22" s="299" t="str">
        <f t="shared" ref="Y22:Y32" si="33">IF(R22-X22&lt;=0,"ok","oil change")</f>
        <v>ok</v>
      </c>
      <c r="Z22" s="299">
        <f t="shared" si="7"/>
        <v>4</v>
      </c>
      <c r="AA22" s="299">
        <f t="shared" si="18"/>
        <v>997.69999999998254</v>
      </c>
      <c r="AB22" s="299">
        <f t="shared" si="19"/>
        <v>249.42499999999563</v>
      </c>
      <c r="AC22" s="299">
        <f t="shared" si="20"/>
        <v>249.42499999999563</v>
      </c>
      <c r="AD22" s="74">
        <f>ELEC!Q22</f>
        <v>2034.9999999998545</v>
      </c>
      <c r="AE22" s="74">
        <f t="shared" si="22"/>
        <v>508.74999999996362</v>
      </c>
      <c r="AF22" s="424">
        <f t="shared" si="23"/>
        <v>0.31796874999997726</v>
      </c>
      <c r="AG22" s="425">
        <f t="shared" si="24"/>
        <v>101.74999999999272</v>
      </c>
      <c r="AH22" s="425">
        <f t="shared" si="21"/>
        <v>147.67500000000291</v>
      </c>
      <c r="AI22" s="74">
        <f t="shared" si="25"/>
        <v>523.7763713079795</v>
      </c>
      <c r="AJ22" s="301">
        <f t="shared" si="8"/>
        <v>0.25738396624472576</v>
      </c>
      <c r="AK22" s="301">
        <f t="shared" si="31"/>
        <v>130.94409282699488</v>
      </c>
    </row>
    <row r="23" spans="1:37">
      <c r="A23" s="4">
        <f>ELEC!C23</f>
        <v>43882</v>
      </c>
      <c r="B23" s="277">
        <f t="shared" si="26"/>
        <v>8505</v>
      </c>
      <c r="C23" s="299">
        <f t="shared" si="10"/>
        <v>0</v>
      </c>
      <c r="D23" s="277">
        <f t="shared" si="27"/>
        <v>123673.9</v>
      </c>
      <c r="E23" s="299">
        <f t="shared" si="11"/>
        <v>0</v>
      </c>
      <c r="F23" s="299">
        <f t="shared" si="0"/>
        <v>0</v>
      </c>
      <c r="G23" s="200"/>
      <c r="H23" s="300">
        <f t="shared" si="12"/>
        <v>8497</v>
      </c>
      <c r="I23" s="299" t="str">
        <f t="shared" si="1"/>
        <v>oil change</v>
      </c>
      <c r="J23" s="277">
        <f t="shared" si="28"/>
        <v>10689</v>
      </c>
      <c r="K23" s="299">
        <f t="shared" si="2"/>
        <v>0</v>
      </c>
      <c r="L23" s="277">
        <f t="shared" si="29"/>
        <v>237068.7</v>
      </c>
      <c r="M23" s="299">
        <f t="shared" si="3"/>
        <v>0</v>
      </c>
      <c r="N23" s="299">
        <f t="shared" si="13"/>
        <v>0</v>
      </c>
      <c r="O23" s="200"/>
      <c r="P23" s="300">
        <f t="shared" si="14"/>
        <v>10873</v>
      </c>
      <c r="Q23" s="299" t="str">
        <f t="shared" si="32"/>
        <v>ok</v>
      </c>
      <c r="R23" s="277">
        <v>10992</v>
      </c>
      <c r="S23" s="299">
        <f t="shared" si="5"/>
        <v>4</v>
      </c>
      <c r="T23" s="277">
        <v>201136.8</v>
      </c>
      <c r="U23" s="299">
        <f t="shared" si="15"/>
        <v>700.5</v>
      </c>
      <c r="V23" s="299">
        <f t="shared" si="16"/>
        <v>175.125</v>
      </c>
      <c r="W23" s="200"/>
      <c r="X23" s="300">
        <f t="shared" si="17"/>
        <v>11349</v>
      </c>
      <c r="Y23" s="299" t="str">
        <f t="shared" si="33"/>
        <v>ok</v>
      </c>
      <c r="Z23" s="299">
        <f t="shared" si="7"/>
        <v>4</v>
      </c>
      <c r="AA23" s="299">
        <f t="shared" si="18"/>
        <v>700.5</v>
      </c>
      <c r="AB23" s="299">
        <f t="shared" si="19"/>
        <v>175.125</v>
      </c>
      <c r="AC23" s="299">
        <f t="shared" si="20"/>
        <v>175.125</v>
      </c>
      <c r="AD23" s="74">
        <f>ELEC!Q23</f>
        <v>2268.0000000000291</v>
      </c>
      <c r="AE23" s="74">
        <f t="shared" si="22"/>
        <v>567.00000000000728</v>
      </c>
      <c r="AF23" s="424">
        <f t="shared" si="23"/>
        <v>0.35437500000000455</v>
      </c>
      <c r="AG23" s="425">
        <f t="shared" si="24"/>
        <v>113.40000000000146</v>
      </c>
      <c r="AH23" s="425">
        <f t="shared" si="21"/>
        <v>61.724999999998545</v>
      </c>
      <c r="AI23" s="74">
        <f t="shared" si="25"/>
        <v>583.74683544304548</v>
      </c>
      <c r="AJ23" s="301">
        <f t="shared" si="8"/>
        <v>0.25738396624472576</v>
      </c>
      <c r="AK23" s="301">
        <f t="shared" si="31"/>
        <v>145.93670886076137</v>
      </c>
    </row>
    <row r="24" spans="1:37">
      <c r="A24" s="4">
        <f>ELEC!C24</f>
        <v>43883</v>
      </c>
      <c r="B24" s="277">
        <v>8509</v>
      </c>
      <c r="C24" s="299">
        <f t="shared" si="10"/>
        <v>4</v>
      </c>
      <c r="D24" s="277">
        <v>124172.8</v>
      </c>
      <c r="E24" s="299">
        <f t="shared" si="11"/>
        <v>498.90000000000873</v>
      </c>
      <c r="F24" s="299">
        <f t="shared" si="0"/>
        <v>124.72500000000218</v>
      </c>
      <c r="G24" s="200"/>
      <c r="H24" s="300">
        <f t="shared" si="12"/>
        <v>8497</v>
      </c>
      <c r="I24" s="299" t="str">
        <f t="shared" si="1"/>
        <v>oil change</v>
      </c>
      <c r="J24" s="277">
        <f t="shared" si="28"/>
        <v>10689</v>
      </c>
      <c r="K24" s="299">
        <f t="shared" si="2"/>
        <v>0</v>
      </c>
      <c r="L24" s="277">
        <v>237069</v>
      </c>
      <c r="M24" s="299">
        <f t="shared" si="3"/>
        <v>0.29999999998835847</v>
      </c>
      <c r="N24" s="299">
        <f t="shared" si="13"/>
        <v>0</v>
      </c>
      <c r="O24" s="200"/>
      <c r="P24" s="300">
        <f t="shared" si="14"/>
        <v>10873</v>
      </c>
      <c r="Q24" s="299" t="str">
        <f t="shared" si="32"/>
        <v>ok</v>
      </c>
      <c r="R24" s="277">
        <f t="shared" ref="R24:R33" si="34">R23</f>
        <v>10992</v>
      </c>
      <c r="S24" s="299">
        <f t="shared" si="5"/>
        <v>0</v>
      </c>
      <c r="T24" s="277">
        <v>201242.5</v>
      </c>
      <c r="U24" s="299">
        <f t="shared" si="15"/>
        <v>105.70000000001164</v>
      </c>
      <c r="V24" s="299">
        <f t="shared" si="16"/>
        <v>0</v>
      </c>
      <c r="W24" s="200"/>
      <c r="X24" s="300">
        <f t="shared" si="17"/>
        <v>11349</v>
      </c>
      <c r="Y24" s="299" t="str">
        <f t="shared" si="33"/>
        <v>ok</v>
      </c>
      <c r="Z24" s="299">
        <f t="shared" si="7"/>
        <v>4</v>
      </c>
      <c r="AA24" s="299">
        <f t="shared" si="18"/>
        <v>604.90000000000873</v>
      </c>
      <c r="AB24" s="299">
        <f t="shared" si="19"/>
        <v>124.72500000000218</v>
      </c>
      <c r="AC24" s="299">
        <f t="shared" si="20"/>
        <v>151.22500000000218</v>
      </c>
      <c r="AD24" s="74">
        <f>ELEC!Q24</f>
        <v>2664.0000000006694</v>
      </c>
      <c r="AE24" s="74">
        <f t="shared" si="22"/>
        <v>666.00000000016735</v>
      </c>
      <c r="AF24" s="424">
        <f t="shared" si="23"/>
        <v>0.41625000000010459</v>
      </c>
      <c r="AG24" s="425">
        <f t="shared" si="24"/>
        <v>133.20000000003347</v>
      </c>
      <c r="AH24" s="425">
        <f t="shared" si="21"/>
        <v>18.024999999968713</v>
      </c>
      <c r="AI24" s="74">
        <f t="shared" si="25"/>
        <v>685.67088607612175</v>
      </c>
      <c r="AJ24" s="301">
        <f t="shared" si="8"/>
        <v>0.25738396624472576</v>
      </c>
      <c r="AK24" s="301">
        <f t="shared" si="31"/>
        <v>171.41772151903044</v>
      </c>
    </row>
    <row r="25" spans="1:37">
      <c r="A25" s="4">
        <f>ELEC!C25</f>
        <v>43884</v>
      </c>
      <c r="B25" s="277">
        <v>8514</v>
      </c>
      <c r="C25" s="299">
        <f t="shared" si="10"/>
        <v>5</v>
      </c>
      <c r="D25" s="277">
        <v>125193</v>
      </c>
      <c r="E25" s="299">
        <f t="shared" si="11"/>
        <v>1020.1999999999971</v>
      </c>
      <c r="F25" s="299">
        <f t="shared" si="0"/>
        <v>204.03999999999942</v>
      </c>
      <c r="G25" s="200"/>
      <c r="H25" s="300">
        <f t="shared" si="12"/>
        <v>8497</v>
      </c>
      <c r="I25" s="299" t="str">
        <f t="shared" si="1"/>
        <v>oil change</v>
      </c>
      <c r="J25" s="277">
        <v>10689</v>
      </c>
      <c r="K25" s="299">
        <f t="shared" si="2"/>
        <v>0</v>
      </c>
      <c r="L25" s="277">
        <v>237069</v>
      </c>
      <c r="M25" s="299">
        <f t="shared" si="3"/>
        <v>0</v>
      </c>
      <c r="N25" s="299">
        <f t="shared" si="13"/>
        <v>0</v>
      </c>
      <c r="O25" s="200"/>
      <c r="P25" s="300">
        <f t="shared" si="14"/>
        <v>10873</v>
      </c>
      <c r="Q25" s="299" t="str">
        <f t="shared" si="32"/>
        <v>ok</v>
      </c>
      <c r="R25" s="277">
        <v>10992</v>
      </c>
      <c r="S25" s="299">
        <f t="shared" si="5"/>
        <v>0</v>
      </c>
      <c r="T25" s="277">
        <v>201242.5</v>
      </c>
      <c r="U25" s="299">
        <f t="shared" si="15"/>
        <v>0</v>
      </c>
      <c r="V25" s="299">
        <f t="shared" si="16"/>
        <v>0</v>
      </c>
      <c r="W25" s="200"/>
      <c r="X25" s="300">
        <f t="shared" si="17"/>
        <v>11349</v>
      </c>
      <c r="Y25" s="299" t="str">
        <f t="shared" si="33"/>
        <v>ok</v>
      </c>
      <c r="Z25" s="299">
        <f t="shared" si="7"/>
        <v>5</v>
      </c>
      <c r="AA25" s="299">
        <f t="shared" si="18"/>
        <v>1020.1999999999971</v>
      </c>
      <c r="AB25" s="299">
        <f t="shared" si="19"/>
        <v>204.03999999999942</v>
      </c>
      <c r="AC25" s="299">
        <f t="shared" si="20"/>
        <v>204.03999999999942</v>
      </c>
      <c r="AD25" s="74">
        <f>ELEC!Q25</f>
        <v>3845.9999999995489</v>
      </c>
      <c r="AE25" s="74">
        <f t="shared" si="22"/>
        <v>769.19999999990978</v>
      </c>
      <c r="AF25" s="424">
        <f t="shared" si="23"/>
        <v>0.48074999999994361</v>
      </c>
      <c r="AG25" s="425">
        <f t="shared" si="24"/>
        <v>153.83999999998196</v>
      </c>
      <c r="AH25" s="425">
        <f t="shared" si="21"/>
        <v>50.200000000017468</v>
      </c>
      <c r="AI25" s="74">
        <f t="shared" si="25"/>
        <v>989.89873417709919</v>
      </c>
      <c r="AJ25" s="301">
        <f t="shared" si="8"/>
        <v>0.25738396624472576</v>
      </c>
      <c r="AK25" s="301">
        <f t="shared" si="31"/>
        <v>197.97974683541983</v>
      </c>
    </row>
    <row r="26" spans="1:37">
      <c r="A26" s="4">
        <f>ELEC!C26</f>
        <v>43885</v>
      </c>
      <c r="B26" s="277">
        <f t="shared" si="26"/>
        <v>8514</v>
      </c>
      <c r="C26" s="299">
        <f t="shared" si="10"/>
        <v>0</v>
      </c>
      <c r="D26" s="277">
        <f t="shared" si="27"/>
        <v>125193</v>
      </c>
      <c r="E26" s="299">
        <f t="shared" si="11"/>
        <v>0</v>
      </c>
      <c r="F26" s="299">
        <f t="shared" si="0"/>
        <v>0</v>
      </c>
      <c r="G26" s="200"/>
      <c r="H26" s="300">
        <f t="shared" si="12"/>
        <v>8497</v>
      </c>
      <c r="I26" s="299" t="str">
        <f t="shared" si="1"/>
        <v>oil change</v>
      </c>
      <c r="J26" s="277">
        <f t="shared" si="28"/>
        <v>10689</v>
      </c>
      <c r="K26" s="299">
        <f t="shared" si="2"/>
        <v>0</v>
      </c>
      <c r="L26" s="277">
        <f t="shared" si="29"/>
        <v>237069</v>
      </c>
      <c r="M26" s="299">
        <f t="shared" si="3"/>
        <v>0</v>
      </c>
      <c r="N26" s="299">
        <f t="shared" si="13"/>
        <v>0</v>
      </c>
      <c r="O26" s="200"/>
      <c r="P26" s="300">
        <f t="shared" si="14"/>
        <v>10873</v>
      </c>
      <c r="Q26" s="299" t="str">
        <f t="shared" si="32"/>
        <v>ok</v>
      </c>
      <c r="R26" s="277">
        <f t="shared" si="34"/>
        <v>10992</v>
      </c>
      <c r="S26" s="299">
        <f t="shared" si="5"/>
        <v>0</v>
      </c>
      <c r="T26" s="277">
        <f t="shared" ref="T26:T33" si="35">T25</f>
        <v>201242.5</v>
      </c>
      <c r="U26" s="299">
        <f t="shared" si="15"/>
        <v>0</v>
      </c>
      <c r="V26" s="299">
        <f t="shared" si="16"/>
        <v>0</v>
      </c>
      <c r="W26" s="200"/>
      <c r="X26" s="300">
        <f t="shared" si="17"/>
        <v>11349</v>
      </c>
      <c r="Y26" s="299" t="str">
        <f t="shared" si="33"/>
        <v>ok</v>
      </c>
      <c r="Z26" s="299">
        <f t="shared" si="7"/>
        <v>0</v>
      </c>
      <c r="AA26" s="299">
        <f t="shared" si="18"/>
        <v>0</v>
      </c>
      <c r="AB26" s="299">
        <f t="shared" si="19"/>
        <v>0</v>
      </c>
      <c r="AC26" s="299">
        <f t="shared" si="20"/>
        <v>0</v>
      </c>
      <c r="AD26" s="74">
        <f>ELEC!Q26</f>
        <v>0</v>
      </c>
      <c r="AE26" s="74" t="e">
        <f t="shared" si="22"/>
        <v>#DIV/0!</v>
      </c>
      <c r="AF26" s="424" t="e">
        <f t="shared" si="23"/>
        <v>#DIV/0!</v>
      </c>
      <c r="AG26" s="425" t="e">
        <f t="shared" si="24"/>
        <v>#DIV/0!</v>
      </c>
      <c r="AH26" s="425" t="e">
        <f t="shared" si="21"/>
        <v>#DIV/0!</v>
      </c>
      <c r="AI26" s="74">
        <f t="shared" si="25"/>
        <v>0</v>
      </c>
      <c r="AJ26" s="301">
        <f t="shared" si="8"/>
        <v>0.25738396624472576</v>
      </c>
      <c r="AK26" s="301">
        <f t="shared" si="31"/>
        <v>0</v>
      </c>
    </row>
    <row r="27" spans="1:37">
      <c r="A27" s="4">
        <f>ELEC!C27</f>
        <v>43886</v>
      </c>
      <c r="B27" s="277">
        <f t="shared" si="26"/>
        <v>8514</v>
      </c>
      <c r="C27" s="299">
        <f t="shared" si="10"/>
        <v>0</v>
      </c>
      <c r="D27" s="277">
        <f t="shared" si="27"/>
        <v>125193</v>
      </c>
      <c r="E27" s="299">
        <f t="shared" si="11"/>
        <v>0</v>
      </c>
      <c r="F27" s="299">
        <f t="shared" si="0"/>
        <v>0</v>
      </c>
      <c r="G27" s="200"/>
      <c r="H27" s="300">
        <f t="shared" si="12"/>
        <v>8497</v>
      </c>
      <c r="I27" s="299" t="str">
        <f>IF(B27-H27&lt;=0,"ok","oil change")</f>
        <v>oil change</v>
      </c>
      <c r="J27" s="277">
        <f t="shared" si="28"/>
        <v>10689</v>
      </c>
      <c r="K27" s="299">
        <f t="shared" si="2"/>
        <v>0</v>
      </c>
      <c r="L27" s="277">
        <f t="shared" si="29"/>
        <v>237069</v>
      </c>
      <c r="M27" s="299">
        <f t="shared" si="3"/>
        <v>0</v>
      </c>
      <c r="N27" s="299">
        <f t="shared" si="13"/>
        <v>0</v>
      </c>
      <c r="O27" s="200"/>
      <c r="P27" s="300">
        <f t="shared" si="14"/>
        <v>10873</v>
      </c>
      <c r="Q27" s="299" t="str">
        <f t="shared" si="32"/>
        <v>ok</v>
      </c>
      <c r="R27" s="277">
        <f t="shared" si="34"/>
        <v>10992</v>
      </c>
      <c r="S27" s="299">
        <f t="shared" si="5"/>
        <v>0</v>
      </c>
      <c r="T27" s="277">
        <f t="shared" si="35"/>
        <v>201242.5</v>
      </c>
      <c r="U27" s="299">
        <f t="shared" si="15"/>
        <v>0</v>
      </c>
      <c r="V27" s="299">
        <f t="shared" si="16"/>
        <v>0</v>
      </c>
      <c r="W27" s="200"/>
      <c r="X27" s="300">
        <f t="shared" si="17"/>
        <v>11349</v>
      </c>
      <c r="Y27" s="299" t="str">
        <f t="shared" si="33"/>
        <v>ok</v>
      </c>
      <c r="Z27" s="299">
        <f t="shared" si="7"/>
        <v>0</v>
      </c>
      <c r="AA27" s="299">
        <f t="shared" si="18"/>
        <v>0</v>
      </c>
      <c r="AB27" s="299">
        <f t="shared" si="19"/>
        <v>0</v>
      </c>
      <c r="AC27" s="299">
        <f t="shared" si="20"/>
        <v>0</v>
      </c>
      <c r="AD27" s="74">
        <f>ELEC!Q27</f>
        <v>0</v>
      </c>
      <c r="AE27" s="74" t="e">
        <f t="shared" si="22"/>
        <v>#DIV/0!</v>
      </c>
      <c r="AF27" s="424" t="e">
        <f t="shared" si="23"/>
        <v>#DIV/0!</v>
      </c>
      <c r="AG27" s="425" t="e">
        <f t="shared" si="24"/>
        <v>#DIV/0!</v>
      </c>
      <c r="AH27" s="425" t="e">
        <f t="shared" si="21"/>
        <v>#DIV/0!</v>
      </c>
      <c r="AI27" s="74">
        <f t="shared" si="25"/>
        <v>0</v>
      </c>
      <c r="AJ27" s="301">
        <f t="shared" si="8"/>
        <v>0.25738396624472576</v>
      </c>
      <c r="AK27" s="301">
        <f t="shared" si="31"/>
        <v>0</v>
      </c>
    </row>
    <row r="28" spans="1:37">
      <c r="A28" s="4">
        <f>ELEC!C28</f>
        <v>43887</v>
      </c>
      <c r="B28" s="277">
        <f t="shared" si="26"/>
        <v>8514</v>
      </c>
      <c r="C28" s="299">
        <f t="shared" si="10"/>
        <v>0</v>
      </c>
      <c r="D28" s="277">
        <f t="shared" si="27"/>
        <v>125193</v>
      </c>
      <c r="E28" s="299">
        <f t="shared" si="11"/>
        <v>0</v>
      </c>
      <c r="F28" s="299">
        <f t="shared" si="0"/>
        <v>0</v>
      </c>
      <c r="G28" s="297"/>
      <c r="H28" s="300">
        <f t="shared" si="12"/>
        <v>8497</v>
      </c>
      <c r="I28" s="299" t="str">
        <f t="shared" si="1"/>
        <v>oil change</v>
      </c>
      <c r="J28" s="277">
        <f t="shared" si="28"/>
        <v>10689</v>
      </c>
      <c r="K28" s="299">
        <f t="shared" si="2"/>
        <v>0</v>
      </c>
      <c r="L28" s="277">
        <f t="shared" si="29"/>
        <v>237069</v>
      </c>
      <c r="M28" s="299">
        <f t="shared" si="3"/>
        <v>0</v>
      </c>
      <c r="N28" s="299">
        <f t="shared" si="13"/>
        <v>0</v>
      </c>
      <c r="O28" s="200"/>
      <c r="P28" s="300">
        <f t="shared" si="14"/>
        <v>10873</v>
      </c>
      <c r="Q28" s="299" t="str">
        <f t="shared" si="32"/>
        <v>ok</v>
      </c>
      <c r="R28" s="277">
        <f t="shared" si="34"/>
        <v>10992</v>
      </c>
      <c r="S28" s="299">
        <f t="shared" si="5"/>
        <v>0</v>
      </c>
      <c r="T28" s="277">
        <f t="shared" si="35"/>
        <v>201242.5</v>
      </c>
      <c r="U28" s="299">
        <f t="shared" si="15"/>
        <v>0</v>
      </c>
      <c r="V28" s="299">
        <f t="shared" si="16"/>
        <v>0</v>
      </c>
      <c r="W28" s="200"/>
      <c r="X28" s="300">
        <f t="shared" si="17"/>
        <v>11349</v>
      </c>
      <c r="Y28" s="299" t="str">
        <f t="shared" si="33"/>
        <v>ok</v>
      </c>
      <c r="Z28" s="299">
        <f t="shared" si="7"/>
        <v>0</v>
      </c>
      <c r="AA28" s="299">
        <f t="shared" si="18"/>
        <v>0</v>
      </c>
      <c r="AB28" s="299">
        <f t="shared" si="19"/>
        <v>0</v>
      </c>
      <c r="AC28" s="299">
        <f t="shared" si="20"/>
        <v>0</v>
      </c>
      <c r="AD28" s="74">
        <f>ELEC!Q28</f>
        <v>0</v>
      </c>
      <c r="AE28" s="74" t="e">
        <f t="shared" si="22"/>
        <v>#DIV/0!</v>
      </c>
      <c r="AF28" s="424" t="e">
        <f t="shared" si="23"/>
        <v>#DIV/0!</v>
      </c>
      <c r="AG28" s="425" t="e">
        <f t="shared" si="24"/>
        <v>#DIV/0!</v>
      </c>
      <c r="AH28" s="425" t="e">
        <f t="shared" si="21"/>
        <v>#DIV/0!</v>
      </c>
      <c r="AI28" s="74">
        <f t="shared" si="25"/>
        <v>0</v>
      </c>
      <c r="AJ28" s="301">
        <f t="shared" si="8"/>
        <v>0.25738396624472576</v>
      </c>
      <c r="AK28" s="301">
        <f t="shared" si="31"/>
        <v>0</v>
      </c>
    </row>
    <row r="29" spans="1:37">
      <c r="A29" s="4">
        <f>ELEC!C29</f>
        <v>43888</v>
      </c>
      <c r="B29" s="277">
        <f t="shared" si="26"/>
        <v>8514</v>
      </c>
      <c r="C29" s="299">
        <f t="shared" si="10"/>
        <v>0</v>
      </c>
      <c r="D29" s="277">
        <f t="shared" si="27"/>
        <v>125193</v>
      </c>
      <c r="E29" s="299">
        <f>SUM(D29-D28)</f>
        <v>0</v>
      </c>
      <c r="F29" s="299">
        <f t="shared" si="0"/>
        <v>0</v>
      </c>
      <c r="G29" s="200"/>
      <c r="H29" s="300">
        <f t="shared" si="12"/>
        <v>8497</v>
      </c>
      <c r="I29" s="299" t="str">
        <f t="shared" si="1"/>
        <v>oil change</v>
      </c>
      <c r="J29" s="277">
        <f t="shared" si="28"/>
        <v>10689</v>
      </c>
      <c r="K29" s="299">
        <f t="shared" si="2"/>
        <v>0</v>
      </c>
      <c r="L29" s="277">
        <f t="shared" si="29"/>
        <v>237069</v>
      </c>
      <c r="M29" s="299">
        <f t="shared" si="3"/>
        <v>0</v>
      </c>
      <c r="N29" s="299">
        <f t="shared" si="13"/>
        <v>0</v>
      </c>
      <c r="O29" s="200"/>
      <c r="P29" s="300">
        <f t="shared" si="14"/>
        <v>10873</v>
      </c>
      <c r="Q29" s="299" t="str">
        <f t="shared" si="32"/>
        <v>ok</v>
      </c>
      <c r="R29" s="277">
        <f t="shared" si="34"/>
        <v>10992</v>
      </c>
      <c r="S29" s="299">
        <f t="shared" si="5"/>
        <v>0</v>
      </c>
      <c r="T29" s="277">
        <f t="shared" si="35"/>
        <v>201242.5</v>
      </c>
      <c r="U29" s="299">
        <f t="shared" si="15"/>
        <v>0</v>
      </c>
      <c r="V29" s="299">
        <f t="shared" si="16"/>
        <v>0</v>
      </c>
      <c r="W29" s="200"/>
      <c r="X29" s="300">
        <f t="shared" si="17"/>
        <v>11349</v>
      </c>
      <c r="Y29" s="299" t="str">
        <f t="shared" si="33"/>
        <v>ok</v>
      </c>
      <c r="Z29" s="299">
        <f t="shared" si="7"/>
        <v>0</v>
      </c>
      <c r="AA29" s="299">
        <f t="shared" si="18"/>
        <v>0</v>
      </c>
      <c r="AB29" s="299">
        <f t="shared" si="19"/>
        <v>0</v>
      </c>
      <c r="AC29" s="299">
        <f t="shared" si="20"/>
        <v>0</v>
      </c>
      <c r="AD29" s="74">
        <f>ELEC!Q29</f>
        <v>0</v>
      </c>
      <c r="AE29" s="74" t="e">
        <f t="shared" si="22"/>
        <v>#DIV/0!</v>
      </c>
      <c r="AF29" s="424" t="e">
        <f t="shared" si="23"/>
        <v>#DIV/0!</v>
      </c>
      <c r="AG29" s="425" t="e">
        <f t="shared" si="24"/>
        <v>#DIV/0!</v>
      </c>
      <c r="AH29" s="425" t="e">
        <f t="shared" si="21"/>
        <v>#DIV/0!</v>
      </c>
      <c r="AI29" s="74">
        <f t="shared" si="25"/>
        <v>0</v>
      </c>
      <c r="AJ29" s="301">
        <f t="shared" si="8"/>
        <v>0.25738396624472576</v>
      </c>
      <c r="AK29" s="301">
        <f t="shared" si="31"/>
        <v>0</v>
      </c>
    </row>
    <row r="30" spans="1:37">
      <c r="A30" s="4">
        <f>ELEC!C30</f>
        <v>43889</v>
      </c>
      <c r="B30" s="277">
        <f t="shared" si="26"/>
        <v>8514</v>
      </c>
      <c r="C30" s="299">
        <f t="shared" si="10"/>
        <v>0</v>
      </c>
      <c r="D30" s="277">
        <f t="shared" si="27"/>
        <v>125193</v>
      </c>
      <c r="E30" s="299">
        <f t="shared" si="11"/>
        <v>0</v>
      </c>
      <c r="F30" s="299">
        <f t="shared" si="0"/>
        <v>0</v>
      </c>
      <c r="G30" s="200"/>
      <c r="H30" s="300">
        <f t="shared" si="12"/>
        <v>8497</v>
      </c>
      <c r="I30" s="299" t="str">
        <f t="shared" si="1"/>
        <v>oil change</v>
      </c>
      <c r="J30" s="277">
        <f t="shared" si="28"/>
        <v>10689</v>
      </c>
      <c r="K30" s="299">
        <f t="shared" si="2"/>
        <v>0</v>
      </c>
      <c r="L30" s="277">
        <f t="shared" si="29"/>
        <v>237069</v>
      </c>
      <c r="M30" s="299">
        <f t="shared" si="3"/>
        <v>0</v>
      </c>
      <c r="N30" s="299">
        <f t="shared" si="13"/>
        <v>0</v>
      </c>
      <c r="O30" s="200"/>
      <c r="P30" s="300">
        <f t="shared" si="14"/>
        <v>10873</v>
      </c>
      <c r="Q30" s="299" t="str">
        <f t="shared" si="32"/>
        <v>ok</v>
      </c>
      <c r="R30" s="277">
        <f t="shared" si="34"/>
        <v>10992</v>
      </c>
      <c r="S30" s="299">
        <f t="shared" si="5"/>
        <v>0</v>
      </c>
      <c r="T30" s="277">
        <f t="shared" si="35"/>
        <v>201242.5</v>
      </c>
      <c r="U30" s="299">
        <f t="shared" si="15"/>
        <v>0</v>
      </c>
      <c r="V30" s="299">
        <f t="shared" si="16"/>
        <v>0</v>
      </c>
      <c r="W30" s="297"/>
      <c r="X30" s="300">
        <f t="shared" si="17"/>
        <v>11349</v>
      </c>
      <c r="Y30" s="299" t="str">
        <f t="shared" si="33"/>
        <v>ok</v>
      </c>
      <c r="Z30" s="299">
        <f t="shared" si="7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2"/>
        <v>#DIV/0!</v>
      </c>
      <c r="AF30" s="424" t="e">
        <f t="shared" si="23"/>
        <v>#DIV/0!</v>
      </c>
      <c r="AG30" s="425" t="e">
        <f t="shared" si="24"/>
        <v>#DIV/0!</v>
      </c>
      <c r="AH30" s="425" t="e">
        <f t="shared" si="21"/>
        <v>#DIV/0!</v>
      </c>
      <c r="AI30" s="74">
        <f t="shared" si="25"/>
        <v>0</v>
      </c>
      <c r="AJ30" s="301">
        <f t="shared" si="8"/>
        <v>0.25738396624472576</v>
      </c>
      <c r="AK30" s="301">
        <f t="shared" si="31"/>
        <v>0</v>
      </c>
    </row>
    <row r="31" spans="1:37">
      <c r="A31" s="4">
        <f>ELEC!C31</f>
        <v>43890</v>
      </c>
      <c r="B31" s="277">
        <f t="shared" si="26"/>
        <v>8514</v>
      </c>
      <c r="C31" s="299">
        <f t="shared" si="10"/>
        <v>0</v>
      </c>
      <c r="D31" s="277">
        <f t="shared" si="27"/>
        <v>125193</v>
      </c>
      <c r="E31" s="299">
        <f t="shared" si="11"/>
        <v>0</v>
      </c>
      <c r="F31" s="299">
        <f t="shared" si="0"/>
        <v>0</v>
      </c>
      <c r="G31" s="200"/>
      <c r="H31" s="300">
        <f t="shared" si="12"/>
        <v>8497</v>
      </c>
      <c r="I31" s="299" t="str">
        <f t="shared" si="1"/>
        <v>oil change</v>
      </c>
      <c r="J31" s="277">
        <f t="shared" si="28"/>
        <v>10689</v>
      </c>
      <c r="K31" s="299">
        <f t="shared" si="2"/>
        <v>0</v>
      </c>
      <c r="L31" s="277">
        <f t="shared" si="29"/>
        <v>237069</v>
      </c>
      <c r="M31" s="299">
        <f t="shared" si="3"/>
        <v>0</v>
      </c>
      <c r="N31" s="299">
        <f t="shared" si="13"/>
        <v>0</v>
      </c>
      <c r="O31" s="200"/>
      <c r="P31" s="300">
        <f t="shared" si="14"/>
        <v>10873</v>
      </c>
      <c r="Q31" s="299" t="str">
        <f t="shared" si="32"/>
        <v>ok</v>
      </c>
      <c r="R31" s="277">
        <f t="shared" si="34"/>
        <v>10992</v>
      </c>
      <c r="S31" s="299">
        <f t="shared" si="5"/>
        <v>0</v>
      </c>
      <c r="T31" s="277">
        <f t="shared" si="35"/>
        <v>201242.5</v>
      </c>
      <c r="U31" s="299">
        <f t="shared" si="15"/>
        <v>0</v>
      </c>
      <c r="V31" s="299">
        <f t="shared" si="16"/>
        <v>0</v>
      </c>
      <c r="W31" s="200"/>
      <c r="X31" s="300">
        <f t="shared" si="17"/>
        <v>11349</v>
      </c>
      <c r="Y31" s="299" t="str">
        <f t="shared" si="33"/>
        <v>ok</v>
      </c>
      <c r="Z31" s="299">
        <f t="shared" si="7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2"/>
        <v>#DIV/0!</v>
      </c>
      <c r="AF31" s="424" t="e">
        <f t="shared" si="23"/>
        <v>#DIV/0!</v>
      </c>
      <c r="AG31" s="425" t="e">
        <f t="shared" si="24"/>
        <v>#DIV/0!</v>
      </c>
      <c r="AH31" s="425" t="e">
        <f t="shared" si="21"/>
        <v>#DIV/0!</v>
      </c>
      <c r="AI31" s="74">
        <f t="shared" si="25"/>
        <v>0</v>
      </c>
      <c r="AJ31" s="301">
        <f t="shared" si="8"/>
        <v>0.25738396624472576</v>
      </c>
      <c r="AK31" s="301">
        <f t="shared" si="31"/>
        <v>0</v>
      </c>
    </row>
    <row r="32" spans="1:37">
      <c r="A32" s="4"/>
      <c r="B32" s="277">
        <f t="shared" si="26"/>
        <v>8514</v>
      </c>
      <c r="C32" s="299">
        <f t="shared" si="10"/>
        <v>0</v>
      </c>
      <c r="D32" s="277">
        <f t="shared" si="27"/>
        <v>125193</v>
      </c>
      <c r="E32" s="299">
        <f t="shared" si="11"/>
        <v>0</v>
      </c>
      <c r="F32" s="299">
        <f t="shared" si="0"/>
        <v>0</v>
      </c>
      <c r="G32" s="200"/>
      <c r="H32" s="300">
        <f t="shared" si="12"/>
        <v>8497</v>
      </c>
      <c r="I32" s="299" t="str">
        <f t="shared" si="1"/>
        <v>oil change</v>
      </c>
      <c r="J32" s="277">
        <f t="shared" si="28"/>
        <v>10689</v>
      </c>
      <c r="K32" s="299">
        <f>J32-J31</f>
        <v>0</v>
      </c>
      <c r="L32" s="277">
        <f t="shared" si="29"/>
        <v>237069</v>
      </c>
      <c r="M32" s="299">
        <f t="shared" si="3"/>
        <v>0</v>
      </c>
      <c r="N32" s="299">
        <f t="shared" si="13"/>
        <v>0</v>
      </c>
      <c r="O32" s="200"/>
      <c r="P32" s="300">
        <f t="shared" si="14"/>
        <v>10873</v>
      </c>
      <c r="Q32" s="299" t="str">
        <f t="shared" si="32"/>
        <v>ok</v>
      </c>
      <c r="R32" s="277">
        <f t="shared" si="34"/>
        <v>10992</v>
      </c>
      <c r="S32" s="299">
        <f t="shared" si="5"/>
        <v>0</v>
      </c>
      <c r="T32" s="277">
        <f t="shared" si="35"/>
        <v>201242.5</v>
      </c>
      <c r="U32" s="299">
        <f t="shared" si="15"/>
        <v>0</v>
      </c>
      <c r="V32" s="299">
        <f t="shared" si="16"/>
        <v>0</v>
      </c>
      <c r="W32" s="200"/>
      <c r="X32" s="300">
        <f t="shared" si="17"/>
        <v>11349</v>
      </c>
      <c r="Y32" s="299" t="str">
        <f t="shared" si="33"/>
        <v>ok</v>
      </c>
      <c r="Z32" s="299">
        <f t="shared" si="7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2"/>
        <v>#DIV/0!</v>
      </c>
      <c r="AF32" s="424" t="e">
        <f t="shared" si="23"/>
        <v>#DIV/0!</v>
      </c>
      <c r="AG32" s="425" t="e">
        <f t="shared" si="24"/>
        <v>#DIV/0!</v>
      </c>
      <c r="AH32" s="425" t="e">
        <f t="shared" si="21"/>
        <v>#DIV/0!</v>
      </c>
      <c r="AI32" s="74">
        <f t="shared" si="25"/>
        <v>0</v>
      </c>
      <c r="AJ32" s="301">
        <f t="shared" si="8"/>
        <v>0.25738396624472576</v>
      </c>
      <c r="AK32" s="301">
        <f t="shared" si="31"/>
        <v>0</v>
      </c>
    </row>
    <row r="33" spans="1:37">
      <c r="A33" s="4"/>
      <c r="B33" s="277">
        <f t="shared" si="26"/>
        <v>8514</v>
      </c>
      <c r="C33" s="299">
        <f>B33-B32</f>
        <v>0</v>
      </c>
      <c r="D33" s="277">
        <f t="shared" si="27"/>
        <v>125193</v>
      </c>
      <c r="E33" s="299">
        <f>SUM(D33-D32)</f>
        <v>0</v>
      </c>
      <c r="F33" s="299">
        <f>IF(C33&gt;0,E33/C33,0)</f>
        <v>0</v>
      </c>
      <c r="G33" s="355"/>
      <c r="H33" s="300">
        <f t="shared" si="12"/>
        <v>8497</v>
      </c>
      <c r="I33" s="299" t="str">
        <f>IF(B33-H33&lt;=0,"ok","oil change")</f>
        <v>oil change</v>
      </c>
      <c r="J33" s="277">
        <f t="shared" si="28"/>
        <v>10689</v>
      </c>
      <c r="K33" s="299">
        <f>J33-J32</f>
        <v>0</v>
      </c>
      <c r="L33" s="277">
        <f t="shared" si="29"/>
        <v>237069</v>
      </c>
      <c r="M33" s="299">
        <f t="shared" si="3"/>
        <v>0</v>
      </c>
      <c r="N33" s="299">
        <f>IF(K33&gt;0,M33/K33,0)</f>
        <v>0</v>
      </c>
      <c r="O33" s="355"/>
      <c r="P33" s="300">
        <f t="shared" si="14"/>
        <v>10873</v>
      </c>
      <c r="Q33" s="299" t="str">
        <f>IF(J33-P33&lt;=0,"ok","oil change")</f>
        <v>ok</v>
      </c>
      <c r="R33" s="277">
        <f t="shared" si="34"/>
        <v>10992</v>
      </c>
      <c r="S33" s="299">
        <f>R33-R32</f>
        <v>0</v>
      </c>
      <c r="T33" s="277">
        <f t="shared" si="35"/>
        <v>201242.5</v>
      </c>
      <c r="U33" s="299">
        <f t="shared" si="15"/>
        <v>0</v>
      </c>
      <c r="V33" s="299">
        <f>IF(S33&gt;0,U33/S33,0)</f>
        <v>0</v>
      </c>
      <c r="W33" s="355"/>
      <c r="X33" s="300">
        <f t="shared" si="17"/>
        <v>11349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86.420000000000073</v>
      </c>
      <c r="V34" s="40"/>
      <c r="X34">
        <v>341</v>
      </c>
      <c r="Z34" s="443">
        <f>SUM(Z3:Z33)</f>
        <v>86.420000000000073</v>
      </c>
    </row>
    <row r="35" spans="1:37">
      <c r="C35" s="40">
        <f>SUM(C3:C33)</f>
        <v>9</v>
      </c>
      <c r="K35" s="40">
        <f>SUM(K3:K33)</f>
        <v>0.42000000000007276</v>
      </c>
      <c r="S35" s="40">
        <f>SUM(S3:S33)</f>
        <v>77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469</v>
      </c>
      <c r="C2" s="3">
        <f>ELEC!N3</f>
        <v>11338</v>
      </c>
      <c r="D2" s="3">
        <f>C2-E2</f>
        <v>8912.0000000005239</v>
      </c>
      <c r="E2" s="3">
        <f>ELEC!Q3</f>
        <v>2425.9999999994761</v>
      </c>
      <c r="F2" s="3">
        <f>GEN!Z2</f>
        <v>5</v>
      </c>
      <c r="G2" s="3">
        <f>WATER!C5+WATER!H5</f>
        <v>0</v>
      </c>
      <c r="H2" s="3">
        <f>WATER!L5</f>
        <v>1</v>
      </c>
      <c r="I2" s="15">
        <f>WATER!BC5+WATER!BD5+WATER!BE6-Sheet1!G2</f>
        <v>17.200000000000017</v>
      </c>
      <c r="J2" s="9" t="str">
        <f>'B5'!A4</f>
        <v>31-01-2020</v>
      </c>
    </row>
    <row r="3" spans="1:10">
      <c r="A3" s="3">
        <f>ELEC!T4+ELEC!X2+ELEC!AB4</f>
        <v>6</v>
      </c>
      <c r="B3" s="3">
        <f>ELEC!AF4</f>
        <v>1050</v>
      </c>
      <c r="C3" s="3">
        <f>ELEC!N4</f>
        <v>13781</v>
      </c>
      <c r="D3" s="3">
        <f t="shared" ref="D3:D30" si="0">C3-E3</f>
        <v>11848.999999999302</v>
      </c>
      <c r="E3" s="3">
        <f>ELEC!Q4</f>
        <v>1932.0000000006985</v>
      </c>
      <c r="F3" s="3">
        <f>GEN!Z3</f>
        <v>5</v>
      </c>
      <c r="G3" s="3">
        <f>WATER!C6+WATER!H6</f>
        <v>320</v>
      </c>
      <c r="H3" s="3">
        <f>WATER!L6</f>
        <v>0</v>
      </c>
      <c r="I3" s="15">
        <f>WATER!BC6+WATER!BD6+WATER!BE7-Sheet1!G3</f>
        <v>-259.60000000000002</v>
      </c>
      <c r="J3" s="9">
        <f>'B5'!A5</f>
        <v>43862</v>
      </c>
    </row>
    <row r="4" spans="1:10">
      <c r="A4" s="3">
        <f>ELEC!T5+ELEC!X5+ELEC!AB5</f>
        <v>3</v>
      </c>
      <c r="B4" s="3">
        <f>ELEC!AF5</f>
        <v>493</v>
      </c>
      <c r="C4" s="3">
        <f>ELEC!N5</f>
        <v>10327</v>
      </c>
      <c r="D4" s="3">
        <f t="shared" si="0"/>
        <v>7468.9999999998254</v>
      </c>
      <c r="E4" s="3">
        <f>ELEC!Q5</f>
        <v>2858.0000000001746</v>
      </c>
      <c r="F4" s="3">
        <f>GEN!Z4</f>
        <v>3</v>
      </c>
      <c r="G4" s="3">
        <f>WATER!C7+WATER!H7</f>
        <v>40</v>
      </c>
      <c r="H4" s="3">
        <f>WATER!L7</f>
        <v>1</v>
      </c>
      <c r="I4" s="15">
        <f>WATER!BC7+WATER!BD7+WATER!BE8-Sheet1!G4</f>
        <v>14.90000000000002</v>
      </c>
      <c r="J4" s="9">
        <f>'B5'!A6</f>
        <v>43863</v>
      </c>
    </row>
    <row r="5" spans="1:10">
      <c r="A5" s="3">
        <f>ELEC!T6+ELEC!X6+ELEC!AB6</f>
        <v>3</v>
      </c>
      <c r="B5" s="3">
        <f>ELEC!AF6</f>
        <v>417</v>
      </c>
      <c r="C5" s="3">
        <f>ELEC!N6</f>
        <v>12214</v>
      </c>
      <c r="D5" s="3">
        <f t="shared" si="0"/>
        <v>9435.9999999997526</v>
      </c>
      <c r="E5" s="3">
        <f>ELEC!Q6</f>
        <v>2778.0000000002474</v>
      </c>
      <c r="F5" s="3">
        <f>GEN!Z5</f>
        <v>6</v>
      </c>
      <c r="G5" s="3">
        <f>WATER!C8+WATER!H8</f>
        <v>118</v>
      </c>
      <c r="H5" s="3">
        <f>WATER!L8</f>
        <v>3</v>
      </c>
      <c r="I5" s="15">
        <f>WATER!BC8+WATER!BD8+WATER!BE9-Sheet1!G5</f>
        <v>-166.9</v>
      </c>
      <c r="J5" s="9">
        <f>'B5'!A7</f>
        <v>43864</v>
      </c>
    </row>
    <row r="6" spans="1:10">
      <c r="A6" s="3">
        <f>ELEC!T7+ELEC!X7+ELEC!AB7</f>
        <v>2</v>
      </c>
      <c r="B6" s="3">
        <f>ELEC!AF7</f>
        <v>622</v>
      </c>
      <c r="C6" s="3">
        <f>ELEC!N7</f>
        <v>13334</v>
      </c>
      <c r="D6" s="3">
        <f t="shared" si="0"/>
        <v>10669.999999999331</v>
      </c>
      <c r="E6" s="3">
        <f>ELEC!Q24</f>
        <v>2664.0000000006694</v>
      </c>
      <c r="F6" s="3">
        <f>GEN!Z6</f>
        <v>5</v>
      </c>
      <c r="G6" s="3">
        <f>WATER!C9+WATER!H9</f>
        <v>0</v>
      </c>
      <c r="H6" s="3">
        <f>WATER!L9</f>
        <v>1</v>
      </c>
      <c r="I6" s="15">
        <f>WATER!BC9+WATER!BD9+WATER!BE10-Sheet1!G6</f>
        <v>-22.299999999999983</v>
      </c>
      <c r="J6" s="9">
        <f>'B5'!A8</f>
        <v>43865</v>
      </c>
    </row>
    <row r="7" spans="1:10">
      <c r="A7" s="3">
        <f>ELEC!T8+ELEC!X8+ELEC!AB8</f>
        <v>3</v>
      </c>
      <c r="B7" s="3">
        <f>ELEC!AF8</f>
        <v>433</v>
      </c>
      <c r="C7" s="3">
        <f>ELEC!N8</f>
        <v>11008</v>
      </c>
      <c r="D7" s="3">
        <f t="shared" si="0"/>
        <v>9136.9999999989959</v>
      </c>
      <c r="E7" s="3">
        <f>ELEC!Q8</f>
        <v>1871.0000000010041</v>
      </c>
      <c r="F7" s="3">
        <f>GEN!Z7</f>
        <v>3</v>
      </c>
      <c r="G7" s="3">
        <f>WATER!C10+WATER!H10</f>
        <v>311</v>
      </c>
      <c r="H7" s="3">
        <f>WATER!L10</f>
        <v>0</v>
      </c>
      <c r="I7" s="15">
        <f>WATER!BC10+WATER!BD10+WATER!BE11-Sheet1!G7</f>
        <v>-276.60000000000002</v>
      </c>
      <c r="J7" s="9">
        <f>'B5'!A9</f>
        <v>43866</v>
      </c>
    </row>
    <row r="8" spans="1:10">
      <c r="A8" s="3">
        <f>ELEC!T9+ELEC!X9+ELEC!AB9</f>
        <v>1</v>
      </c>
      <c r="B8" s="3">
        <f>ELEC!AF9</f>
        <v>332</v>
      </c>
      <c r="C8" s="3">
        <f>ELEC!N9</f>
        <v>12629</v>
      </c>
      <c r="D8" s="3">
        <f t="shared" si="0"/>
        <v>9880.0000000002037</v>
      </c>
      <c r="E8" s="3">
        <f>ELEC!Q9</f>
        <v>2748.9999999997963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214.19999999999993</v>
      </c>
      <c r="J8" s="9">
        <f>'B5'!A10</f>
        <v>43867</v>
      </c>
    </row>
    <row r="9" spans="1:10">
      <c r="A9" s="3">
        <f>ELEC!T10+ELEC!X10+ELEC!AB10</f>
        <v>2</v>
      </c>
      <c r="B9" s="3">
        <f>ELEC!AF10</f>
        <v>412</v>
      </c>
      <c r="C9" s="3">
        <f>ELEC!N10</f>
        <v>12830</v>
      </c>
      <c r="D9" s="3">
        <f t="shared" si="0"/>
        <v>11393.000000000102</v>
      </c>
      <c r="E9" s="3">
        <f>ELEC!Q10</f>
        <v>1436.9999999998981</v>
      </c>
      <c r="F9" s="3">
        <f>GEN!Z9</f>
        <v>5</v>
      </c>
      <c r="G9" s="3">
        <f>WATER!C12+WATER!H12</f>
        <v>334</v>
      </c>
      <c r="H9" s="3">
        <f>WATER!L12</f>
        <v>1</v>
      </c>
      <c r="I9" s="15">
        <f>WATER!BC12+WATER!BD12+WATER!BE13-Sheet1!G9</f>
        <v>-359.69999999999993</v>
      </c>
      <c r="J9" s="9">
        <f>'B5'!A11</f>
        <v>43868</v>
      </c>
    </row>
    <row r="10" spans="1:10">
      <c r="A10" s="3">
        <f>ELEC!T11+ELEC!X11+ELEC!AB11</f>
        <v>4</v>
      </c>
      <c r="B10" s="3">
        <f>ELEC!AF11</f>
        <v>608</v>
      </c>
      <c r="C10" s="3">
        <f>ELEC!N11</f>
        <v>10890</v>
      </c>
      <c r="D10" s="3">
        <f t="shared" si="0"/>
        <v>8799.9999999998545</v>
      </c>
      <c r="E10" s="3">
        <f>ELEC!Q11</f>
        <v>2090.0000000001455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44.80000000000004</v>
      </c>
      <c r="J10" s="9">
        <f>'B5'!A12</f>
        <v>43869</v>
      </c>
    </row>
    <row r="11" spans="1:10">
      <c r="A11" s="3">
        <f>ELEC!T12+ELEC!X12+ELEC!AB12</f>
        <v>1</v>
      </c>
      <c r="B11" s="3">
        <f>ELEC!AF12</f>
        <v>21</v>
      </c>
      <c r="C11" s="3">
        <f>ELEC!N12</f>
        <v>10518</v>
      </c>
      <c r="D11" s="3">
        <f t="shared" si="0"/>
        <v>8927.9999999998545</v>
      </c>
      <c r="E11" s="3">
        <f>ELEC!Q12</f>
        <v>1590.0000000001455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66.700000000000017</v>
      </c>
      <c r="J11" s="9">
        <f>'B5'!A13</f>
        <v>43870</v>
      </c>
    </row>
    <row r="12" spans="1:10">
      <c r="A12" s="3">
        <f>ELEC!T13+ELEC!X13+ELEC!AB13</f>
        <v>0</v>
      </c>
      <c r="B12" s="3">
        <f>ELEC!AF13</f>
        <v>5</v>
      </c>
      <c r="C12" s="3">
        <f>ELEC!N13</f>
        <v>10923</v>
      </c>
      <c r="D12" s="3">
        <f t="shared" si="0"/>
        <v>9272.0000000001601</v>
      </c>
      <c r="E12" s="3">
        <f>ELEC!Q13</f>
        <v>1650.9999999998399</v>
      </c>
      <c r="F12" s="3">
        <f>GEN!Z12</f>
        <v>3.5799999999999272</v>
      </c>
      <c r="G12" s="3">
        <f>WATER!C15+WATER!H15</f>
        <v>324</v>
      </c>
      <c r="H12" s="3">
        <f>WATER!L15</f>
        <v>1</v>
      </c>
      <c r="I12" s="15">
        <f>WATER!BC15+WATER!BD15+WATER!BE16-Sheet1!G12</f>
        <v>-352.20000000000005</v>
      </c>
      <c r="J12" s="9">
        <f>'B5'!A14</f>
        <v>43871</v>
      </c>
    </row>
    <row r="13" spans="1:10">
      <c r="A13" s="3">
        <f>ELEC!T14+ELEC!X14+ELEC!AB14</f>
        <v>1</v>
      </c>
      <c r="B13" s="3">
        <f>ELEC!AF14</f>
        <v>298</v>
      </c>
      <c r="C13" s="3">
        <f>ELEC!N14</f>
        <v>11363.399999999907</v>
      </c>
      <c r="D13" s="3">
        <f t="shared" si="0"/>
        <v>9653.40000000078</v>
      </c>
      <c r="E13" s="3">
        <f>ELEC!Q14</f>
        <v>1709.9999999991269</v>
      </c>
      <c r="F13" s="3">
        <f>GEN!Z13</f>
        <v>3.8800000000010186</v>
      </c>
      <c r="G13" s="3">
        <f>WATER!C16+WATER!H16</f>
        <v>141</v>
      </c>
      <c r="H13" s="3">
        <f>WATER!L16</f>
        <v>0</v>
      </c>
      <c r="I13" s="15">
        <f>WATER!BC16+WATER!BD16+WATER!BE17-Sheet1!G13</f>
        <v>-250.5</v>
      </c>
      <c r="J13" s="9">
        <f>'B5'!A15</f>
        <v>43872</v>
      </c>
    </row>
    <row r="14" spans="1:10">
      <c r="A14" s="3">
        <f>ELEC!T15+ELEC!X15+ELEC!AB15</f>
        <v>2</v>
      </c>
      <c r="B14" s="3">
        <f>ELEC!AF15</f>
        <v>306</v>
      </c>
      <c r="C14" s="3">
        <f>ELEC!N15</f>
        <v>11590.600000000093</v>
      </c>
      <c r="D14" s="3">
        <f t="shared" si="0"/>
        <v>9477.5999999988999</v>
      </c>
      <c r="E14" s="3">
        <f>ELEC!Q15</f>
        <v>2113.0000000011933</v>
      </c>
      <c r="F14" s="3">
        <f>GEN!Z14</f>
        <v>3.4899999999997817</v>
      </c>
      <c r="G14" s="3">
        <f>WATER!C17+WATER!H17</f>
        <v>0</v>
      </c>
      <c r="H14" s="3">
        <f>WATER!L17</f>
        <v>0</v>
      </c>
      <c r="I14" s="15">
        <f>WATER!BC17+WATER!BD17+WATER!BE18-Sheet1!G14</f>
        <v>-123.19999999999995</v>
      </c>
      <c r="J14" s="9">
        <f>'B5'!A16</f>
        <v>43873</v>
      </c>
    </row>
    <row r="15" spans="1:10">
      <c r="A15" s="3">
        <f>ELEC!T16+ELEC!X16+ELEC!AB16</f>
        <v>6</v>
      </c>
      <c r="B15" s="3">
        <f>ELEC!AF16</f>
        <v>1201</v>
      </c>
      <c r="C15" s="3">
        <f>ELEC!N16</f>
        <v>13973</v>
      </c>
      <c r="D15" s="3">
        <f t="shared" si="0"/>
        <v>11876.000000000247</v>
      </c>
      <c r="E15" s="3">
        <f>ELEC!Q16</f>
        <v>2096.9999999997526</v>
      </c>
      <c r="F15" s="3">
        <f>GEN!Z15</f>
        <v>3.8799999999991996</v>
      </c>
      <c r="G15" s="3">
        <f>WATER!C18+WATER!H18</f>
        <v>0</v>
      </c>
      <c r="H15" s="3">
        <f>WATER!L18</f>
        <v>2</v>
      </c>
      <c r="I15" s="15">
        <f>WATER!BC18+WATER!BD18+WATER!BE19-Sheet1!G15</f>
        <v>-138.90000000000003</v>
      </c>
      <c r="J15" s="9">
        <f>'B5'!A17</f>
        <v>43874</v>
      </c>
    </row>
    <row r="16" spans="1:10">
      <c r="A16" s="3">
        <f>ELEC!T17+ELEC!X17+ELEC!AB17</f>
        <v>5</v>
      </c>
      <c r="B16" s="3">
        <f>ELEC!AF17</f>
        <v>1059</v>
      </c>
      <c r="C16" s="3">
        <f>ELEC!N17</f>
        <v>13170.799999999814</v>
      </c>
      <c r="D16" s="3">
        <f t="shared" si="0"/>
        <v>10676.799999999217</v>
      </c>
      <c r="E16" s="3">
        <f>ELEC!Q17</f>
        <v>2494.0000000005966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-147.50000000000003</v>
      </c>
      <c r="J16" s="9">
        <f>'B5'!A18</f>
        <v>43875</v>
      </c>
    </row>
    <row r="17" spans="1:10">
      <c r="A17" s="3">
        <f>ELEC!T18+ELEC!X18+ELEC!AB18</f>
        <v>3</v>
      </c>
      <c r="B17" s="3">
        <f>ELEC!AF18</f>
        <v>634</v>
      </c>
      <c r="C17" s="3">
        <f>ELEC!N18</f>
        <v>13465.200000000186</v>
      </c>
      <c r="D17" s="3">
        <f t="shared" si="0"/>
        <v>12590.200000000186</v>
      </c>
      <c r="E17" s="3">
        <f>ELEC!Q18</f>
        <v>875</v>
      </c>
      <c r="F17" s="3">
        <f>GEN!Z17</f>
        <v>4.180000000000291</v>
      </c>
      <c r="G17" s="3">
        <f>WATER!C20+WATER!H20</f>
        <v>0</v>
      </c>
      <c r="H17" s="3">
        <f>WATER!L20</f>
        <v>1</v>
      </c>
      <c r="I17" s="15">
        <f>WATER!BC20+WATER!BD20+WATER!BE21-Sheet1!G17</f>
        <v>-112.49999999999997</v>
      </c>
      <c r="J17" s="9">
        <f>'B5'!A19</f>
        <v>43876</v>
      </c>
    </row>
    <row r="18" spans="1:10">
      <c r="A18" s="3">
        <f>ELEC!T19+ELEC!X19+ELEC!AB19</f>
        <v>4</v>
      </c>
      <c r="B18" s="3">
        <f>ELEC!AF19</f>
        <v>929</v>
      </c>
      <c r="C18" s="3">
        <f>ELEC!N19</f>
        <v>13492</v>
      </c>
      <c r="D18" s="3">
        <f t="shared" si="0"/>
        <v>11273.000000000859</v>
      </c>
      <c r="E18" s="3">
        <f>ELEC!Q19</f>
        <v>2218.9999999991414</v>
      </c>
      <c r="F18" s="3">
        <f>GEN!Z18</f>
        <v>1.819999999999709</v>
      </c>
      <c r="G18" s="3">
        <f>WATER!C21+WATER!H21</f>
        <v>0</v>
      </c>
      <c r="H18" s="3">
        <f>WATER!L21</f>
        <v>1</v>
      </c>
      <c r="I18" s="15">
        <f>WATER!BC21+WATER!BD21+WATER!BE22-Sheet1!G18</f>
        <v>-5.0000000000000071</v>
      </c>
      <c r="J18" s="9">
        <f>'B5'!A20</f>
        <v>43877</v>
      </c>
    </row>
    <row r="19" spans="1:10">
      <c r="A19" s="3">
        <f>ELEC!T20+ELEC!X20+ELEC!AB20</f>
        <v>4</v>
      </c>
      <c r="B19" s="3">
        <f>ELEC!AF20</f>
        <v>801</v>
      </c>
      <c r="C19" s="3">
        <f>ELEC!N20</f>
        <v>11885</v>
      </c>
      <c r="D19" s="3">
        <f t="shared" si="0"/>
        <v>9621.9999999991705</v>
      </c>
      <c r="E19" s="3">
        <f>ELEC!Q20</f>
        <v>2263.0000000008295</v>
      </c>
      <c r="F19" s="3">
        <f>GEN!Z19</f>
        <v>2.5900000000001455</v>
      </c>
      <c r="G19" s="3">
        <f>WATER!C22+WATER!H22</f>
        <v>239</v>
      </c>
      <c r="H19" s="3">
        <f>WATER!L22</f>
        <v>0</v>
      </c>
      <c r="I19" s="15">
        <f>WATER!BC22+WATER!BD22+WATER!BE23-Sheet1!G19</f>
        <v>-307.89999999999998</v>
      </c>
      <c r="J19" s="9">
        <f>'B5'!A21</f>
        <v>43878</v>
      </c>
    </row>
    <row r="20" spans="1:10">
      <c r="A20" s="3">
        <f>ELEC!T21+ELEC!X21+ELEC!AB21</f>
        <v>2</v>
      </c>
      <c r="B20" s="3">
        <f>ELEC!AF21</f>
        <v>450</v>
      </c>
      <c r="C20" s="3">
        <f>ELEC!N21</f>
        <v>12076</v>
      </c>
      <c r="D20" s="3">
        <f t="shared" si="0"/>
        <v>9463.0000000006257</v>
      </c>
      <c r="E20" s="3">
        <f>ELEC!Q21</f>
        <v>2612.9999999993743</v>
      </c>
      <c r="F20" s="3">
        <f>GEN!Z20</f>
        <v>3</v>
      </c>
      <c r="G20" s="3">
        <f>WATER!C23+WATER!H23</f>
        <v>0</v>
      </c>
      <c r="H20" s="3">
        <f>WATER!L23</f>
        <v>1</v>
      </c>
      <c r="I20" s="15">
        <f>WATER!BC23+WATER!BD23+WATER!BE24-Sheet1!G20</f>
        <v>-37.200000000000031</v>
      </c>
      <c r="J20" s="9">
        <f>'B5'!A22</f>
        <v>43879</v>
      </c>
    </row>
    <row r="21" spans="1:10">
      <c r="A21" s="3">
        <f>ELEC!T22+ELEC!X22+ELEC!AB22</f>
        <v>5</v>
      </c>
      <c r="B21" s="3">
        <f>ELEC!AF22</f>
        <v>860</v>
      </c>
      <c r="C21" s="3">
        <f>ELEC!N22</f>
        <v>12383</v>
      </c>
      <c r="D21" s="3">
        <f t="shared" si="0"/>
        <v>10348.000000000146</v>
      </c>
      <c r="E21" s="3">
        <f>ELEC!Q22</f>
        <v>2034.9999999998545</v>
      </c>
      <c r="F21" s="3">
        <f>GEN!Z21</f>
        <v>4</v>
      </c>
      <c r="G21" s="3">
        <f>WATER!C24+WATER!H24</f>
        <v>113</v>
      </c>
      <c r="H21" s="3">
        <f>WATER!L24</f>
        <v>1</v>
      </c>
      <c r="I21" s="15">
        <f>WATER!BC24+WATER!BD24+WATER!BE25-Sheet1!G21</f>
        <v>-166.8</v>
      </c>
      <c r="J21" s="9">
        <f>'B5'!A23</f>
        <v>43880</v>
      </c>
    </row>
    <row r="22" spans="1:10">
      <c r="A22" s="3">
        <f>ELEC!T23+ELEC!X23+ELEC!AB23</f>
        <v>6</v>
      </c>
      <c r="B22" s="3">
        <f>ELEC!AF23</f>
        <v>1121</v>
      </c>
      <c r="C22" s="3">
        <f>ELEC!N23</f>
        <v>13537</v>
      </c>
      <c r="D22" s="3">
        <f t="shared" si="0"/>
        <v>11268.999999999971</v>
      </c>
      <c r="E22" s="3">
        <f>ELEC!Q23</f>
        <v>2268.0000000000291</v>
      </c>
      <c r="F22" s="3">
        <f>GEN!Z22</f>
        <v>4</v>
      </c>
      <c r="G22" s="3">
        <f>WATER!C25+WATER!H25</f>
        <v>0</v>
      </c>
      <c r="H22" s="3">
        <f>WATER!L25</f>
        <v>0</v>
      </c>
      <c r="I22" s="15">
        <f>WATER!BC25+WATER!BD25+WATER!BE26-Sheet1!G22</f>
        <v>-17.099999999999966</v>
      </c>
      <c r="J22" s="9">
        <f>'B5'!A24</f>
        <v>43881</v>
      </c>
    </row>
    <row r="23" spans="1:10">
      <c r="A23" s="3">
        <f>ELEC!T24+ELEC!X24+ELEC!AB24</f>
        <v>5</v>
      </c>
      <c r="B23" s="3">
        <f>ELEC!AF24</f>
        <v>995</v>
      </c>
      <c r="C23" s="3">
        <f>ELEC!N24</f>
        <v>13772</v>
      </c>
      <c r="D23" s="3">
        <f t="shared" si="0"/>
        <v>11107.999999999331</v>
      </c>
      <c r="E23" s="3">
        <f>ELEC!Q24</f>
        <v>2664.0000000006694</v>
      </c>
      <c r="F23" s="3">
        <f>GEN!Z23</f>
        <v>4</v>
      </c>
      <c r="G23" s="3">
        <f>WATER!C26+WATER!H26</f>
        <v>124</v>
      </c>
      <c r="H23" s="3">
        <f>WATER!L26</f>
        <v>1</v>
      </c>
      <c r="I23" s="15">
        <f>WATER!BC26+WATER!BD26+WATER!BE27-Sheet1!G23</f>
        <v>-205.7</v>
      </c>
      <c r="J23" s="9">
        <f>'B5'!A25</f>
        <v>43882</v>
      </c>
    </row>
    <row r="24" spans="1:10">
      <c r="A24" s="3">
        <f>ELEC!T25+ELEC!X25+ELEC!AB25</f>
        <v>7</v>
      </c>
      <c r="B24" s="3">
        <f>ELEC!AF25</f>
        <v>1073</v>
      </c>
      <c r="C24" s="3">
        <f>ELEC!N25</f>
        <v>14299</v>
      </c>
      <c r="D24" s="3">
        <f t="shared" si="0"/>
        <v>10453.000000000451</v>
      </c>
      <c r="E24" s="3">
        <f>ELEC!Q25</f>
        <v>3845.9999999995489</v>
      </c>
      <c r="F24" s="3">
        <f>GEN!Z24</f>
        <v>4</v>
      </c>
      <c r="G24" s="3">
        <f>WATER!C27+WATER!H27</f>
        <v>23</v>
      </c>
      <c r="H24" s="3">
        <f>WATER!L27</f>
        <v>1</v>
      </c>
      <c r="I24" s="15">
        <f>WATER!BC27+WATER!BD27+WATER!BE28-Sheet1!G24</f>
        <v>79.3</v>
      </c>
      <c r="J24" s="9">
        <f>'B5'!A26</f>
        <v>43883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5</v>
      </c>
      <c r="G25" s="3">
        <f>WATER!C28+WATER!H28</f>
        <v>323</v>
      </c>
      <c r="H25" s="3">
        <f>WATER!L28</f>
        <v>0</v>
      </c>
      <c r="I25" s="15">
        <f>WATER!BC28+WATER!BD28+WATER!BE29-Sheet1!G25</f>
        <v>-268.79999999999995</v>
      </c>
      <c r="J25" s="9">
        <f>'B5'!A27</f>
        <v>43884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43885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43886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43887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43888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43889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43890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7"/>
      <c r="B1" s="615" t="s">
        <v>119</v>
      </c>
      <c r="C1" s="615" t="s">
        <v>118</v>
      </c>
      <c r="D1" s="619" t="s">
        <v>113</v>
      </c>
      <c r="E1" s="619" t="s">
        <v>114</v>
      </c>
      <c r="F1" s="620" t="s">
        <v>120</v>
      </c>
      <c r="G1" s="621" t="s">
        <v>75</v>
      </c>
      <c r="H1" s="612" t="s">
        <v>115</v>
      </c>
      <c r="I1" s="613" t="s">
        <v>116</v>
      </c>
      <c r="J1" s="612" t="s">
        <v>117</v>
      </c>
      <c r="K1" s="611" t="s">
        <v>121</v>
      </c>
      <c r="L1" s="611" t="s">
        <v>122</v>
      </c>
      <c r="M1" s="611" t="s">
        <v>123</v>
      </c>
      <c r="N1" s="611" t="s">
        <v>124</v>
      </c>
    </row>
    <row r="2" spans="1:14">
      <c r="A2" s="618"/>
      <c r="B2" s="616"/>
      <c r="C2" s="616"/>
      <c r="D2" s="619"/>
      <c r="E2" s="619"/>
      <c r="F2" s="620"/>
      <c r="G2" s="621"/>
      <c r="H2" s="612"/>
      <c r="I2" s="614"/>
      <c r="J2" s="612"/>
      <c r="K2" s="611"/>
      <c r="L2" s="611"/>
      <c r="M2" s="611"/>
      <c r="N2" s="611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43862</v>
      </c>
      <c r="B5" s="77">
        <f>'B5'!V5</f>
        <v>530</v>
      </c>
      <c r="C5" s="77">
        <f>'B5'!AH5</f>
        <v>0</v>
      </c>
      <c r="D5" s="77">
        <f>GEN!AI3</f>
        <v>624.41350210956989</v>
      </c>
      <c r="E5" s="248">
        <f t="shared" ref="E5:E33" si="0">B5+C5+D5</f>
        <v>1154.4135021095699</v>
      </c>
      <c r="F5" s="76">
        <f>WATER!L5</f>
        <v>1</v>
      </c>
      <c r="G5" s="79">
        <f>WATER!BG5</f>
        <v>-80</v>
      </c>
      <c r="H5" s="80">
        <f>ELEC!AF3</f>
        <v>469</v>
      </c>
      <c r="I5" s="80">
        <f>ELEC!Q3</f>
        <v>2425.9999999994761</v>
      </c>
      <c r="J5" s="80">
        <f>ELEC!R3</f>
        <v>8912.0000000005239</v>
      </c>
      <c r="K5" s="81"/>
      <c r="L5" s="3"/>
      <c r="M5" s="3"/>
      <c r="N5" s="3"/>
    </row>
    <row r="6" spans="1:14">
      <c r="A6" s="63">
        <f>'B5'!A6</f>
        <v>43863</v>
      </c>
      <c r="B6" s="77">
        <f>'B5'!V6</f>
        <v>606</v>
      </c>
      <c r="C6" s="77">
        <f>'B5'!AH6</f>
        <v>0</v>
      </c>
      <c r="D6" s="77">
        <f>GEN!AI4</f>
        <v>497.26582278498995</v>
      </c>
      <c r="E6" s="248">
        <f t="shared" si="0"/>
        <v>1103.26582278499</v>
      </c>
      <c r="F6" s="76">
        <f>WATER!L6</f>
        <v>0</v>
      </c>
      <c r="G6" s="79">
        <f>WATER!BG6</f>
        <v>97.200000000000017</v>
      </c>
      <c r="H6" s="80">
        <f>ELEC!AF4</f>
        <v>1050</v>
      </c>
      <c r="I6" s="80">
        <f>ELEC!Q4</f>
        <v>1932.0000000006985</v>
      </c>
      <c r="J6" s="80">
        <f>ELEC!R4</f>
        <v>11848.999999999302</v>
      </c>
      <c r="K6" s="3"/>
      <c r="L6" s="3"/>
      <c r="M6" s="3"/>
      <c r="N6" s="3"/>
    </row>
    <row r="7" spans="1:14">
      <c r="A7" s="63">
        <f>'B5'!A7</f>
        <v>43864</v>
      </c>
      <c r="B7" s="77">
        <f>'B5'!V7</f>
        <v>655</v>
      </c>
      <c r="C7" s="77">
        <f>'B5'!AH7</f>
        <v>0</v>
      </c>
      <c r="D7" s="77">
        <f>GEN!AI5</f>
        <v>735.60337552747114</v>
      </c>
      <c r="E7" s="248">
        <f t="shared" si="0"/>
        <v>1390.6033755274711</v>
      </c>
      <c r="F7" s="76">
        <f>WATER!L7</f>
        <v>1</v>
      </c>
      <c r="G7" s="79">
        <f>WATER!BG7</f>
        <v>-46.700000000000017</v>
      </c>
      <c r="H7" s="80">
        <f>ELEC!AF5</f>
        <v>493</v>
      </c>
      <c r="I7" s="80">
        <f>ELEC!Q5</f>
        <v>2858.0000000001746</v>
      </c>
      <c r="J7" s="80">
        <f>ELEC!R5</f>
        <v>7468.9999999998254</v>
      </c>
      <c r="K7" s="3"/>
      <c r="L7" s="3"/>
      <c r="M7" s="3"/>
      <c r="N7" s="3"/>
    </row>
    <row r="8" spans="1:14">
      <c r="A8" s="63">
        <f>'B5'!A8</f>
        <v>43865</v>
      </c>
      <c r="B8" s="77">
        <f>'B5'!V8</f>
        <v>711</v>
      </c>
      <c r="C8" s="77">
        <f>'B5'!AH8</f>
        <v>426.69999999999709</v>
      </c>
      <c r="D8" s="77">
        <f>GEN!AI6</f>
        <v>715.01265822791186</v>
      </c>
      <c r="E8" s="248">
        <f t="shared" si="0"/>
        <v>1852.7126582279088</v>
      </c>
      <c r="F8" s="76">
        <f>WATER!L8</f>
        <v>3</v>
      </c>
      <c r="G8" s="79">
        <f>WATER!BG8</f>
        <v>101.60000000000004</v>
      </c>
      <c r="H8" s="80">
        <f>ELEC!AF6</f>
        <v>417</v>
      </c>
      <c r="I8" s="80">
        <f>ELEC!Q6</f>
        <v>2778.0000000002474</v>
      </c>
      <c r="J8" s="80">
        <f>ELEC!R6</f>
        <v>9435.9999999997526</v>
      </c>
      <c r="K8" s="3"/>
      <c r="L8" s="3"/>
      <c r="M8" s="3"/>
      <c r="N8" s="3"/>
    </row>
    <row r="9" spans="1:14">
      <c r="A9" s="63">
        <f>'B5'!A9</f>
        <v>43866</v>
      </c>
      <c r="B9" s="77">
        <f>'B5'!V9</f>
        <v>617</v>
      </c>
      <c r="C9" s="77">
        <f>'B5'!AH9</f>
        <v>0</v>
      </c>
      <c r="D9" s="77">
        <f>GEN!AI7</f>
        <v>561.35443037940604</v>
      </c>
      <c r="E9" s="248">
        <f t="shared" si="0"/>
        <v>1178.354430379406</v>
      </c>
      <c r="F9" s="76">
        <f>WATER!L9</f>
        <v>1</v>
      </c>
      <c r="G9" s="79">
        <f>WATER!BG9</f>
        <v>-52.400000000000034</v>
      </c>
      <c r="H9" s="80">
        <f>ELEC!AF7</f>
        <v>622</v>
      </c>
      <c r="I9" s="80">
        <f>ELEC!Q7</f>
        <v>2180.9999999986758</v>
      </c>
      <c r="J9" s="80">
        <f>ELEC!R7</f>
        <v>10669.999999999331</v>
      </c>
      <c r="K9" s="3"/>
      <c r="L9" s="3"/>
      <c r="M9" s="3"/>
      <c r="N9" s="3"/>
    </row>
    <row r="10" spans="1:14">
      <c r="A10" s="63">
        <f>'B5'!A10</f>
        <v>43867</v>
      </c>
      <c r="B10" s="77">
        <f>'B5'!V10</f>
        <v>453</v>
      </c>
      <c r="C10" s="77">
        <f>'B5'!AH10</f>
        <v>0</v>
      </c>
      <c r="D10" s="77">
        <f>GEN!AI8</f>
        <v>481.56540084414036</v>
      </c>
      <c r="E10" s="248">
        <f t="shared" si="0"/>
        <v>934.56540084414041</v>
      </c>
      <c r="F10" s="76">
        <f>WATER!L10</f>
        <v>0</v>
      </c>
      <c r="G10" s="79">
        <f>WATER!BG10</f>
        <v>24.700000000000045</v>
      </c>
      <c r="H10" s="80">
        <f>ELEC!AF8</f>
        <v>433</v>
      </c>
      <c r="I10" s="80">
        <f>ELEC!Q8</f>
        <v>1871.0000000010041</v>
      </c>
      <c r="J10" s="80">
        <f>ELEC!R8</f>
        <v>9136.9999999989959</v>
      </c>
      <c r="K10" s="3"/>
      <c r="L10" s="3"/>
      <c r="M10" s="3"/>
      <c r="N10" s="3"/>
    </row>
    <row r="11" spans="1:14">
      <c r="A11" s="63">
        <f>'B5'!A11</f>
        <v>43868</v>
      </c>
      <c r="B11" s="77">
        <f>'B5'!V11</f>
        <v>554</v>
      </c>
      <c r="C11" s="77">
        <f>'B5'!AH11</f>
        <v>352.90000000000873</v>
      </c>
      <c r="D11" s="77">
        <f>GEN!AI9</f>
        <v>707.54852320669863</v>
      </c>
      <c r="E11" s="248">
        <f t="shared" si="0"/>
        <v>1614.4485232067073</v>
      </c>
      <c r="F11" s="76">
        <f>WATER!L11</f>
        <v>0</v>
      </c>
      <c r="G11" s="79">
        <f>WATER!BG11</f>
        <v>-26.30000000000004</v>
      </c>
      <c r="H11" s="80">
        <f>ELEC!AF9</f>
        <v>332</v>
      </c>
      <c r="I11" s="80">
        <f>ELEC!Q9</f>
        <v>2748.9999999997963</v>
      </c>
      <c r="J11" s="80">
        <f>ELEC!R9</f>
        <v>9880.0000000002037</v>
      </c>
      <c r="K11" s="3"/>
      <c r="L11" s="3"/>
      <c r="M11" s="3"/>
      <c r="N11" s="3"/>
    </row>
    <row r="12" spans="1:14">
      <c r="A12" s="63">
        <f>'B5'!A12</f>
        <v>43869</v>
      </c>
      <c r="B12" s="77">
        <f>'B5'!V12</f>
        <v>580</v>
      </c>
      <c r="C12" s="77">
        <f>'B5'!AH12</f>
        <v>89.799999999988358</v>
      </c>
      <c r="D12" s="77">
        <f>GEN!AI10</f>
        <v>369.86075949364471</v>
      </c>
      <c r="E12" s="248">
        <f t="shared" si="0"/>
        <v>1039.6607594936331</v>
      </c>
      <c r="F12" s="76">
        <f>WATER!L12</f>
        <v>1</v>
      </c>
      <c r="G12" s="79">
        <f>WATER!BG12</f>
        <v>137.89999999999998</v>
      </c>
      <c r="H12" s="80">
        <f>ELEC!AF10</f>
        <v>412</v>
      </c>
      <c r="I12" s="80">
        <f>ELEC!Q10</f>
        <v>1436.9999999998981</v>
      </c>
      <c r="J12" s="80">
        <f>ELEC!R10</f>
        <v>11393.000000000102</v>
      </c>
      <c r="K12" s="3"/>
      <c r="L12" s="3"/>
      <c r="M12" s="3"/>
      <c r="N12" s="3"/>
    </row>
    <row r="13" spans="1:14">
      <c r="A13" s="63">
        <f>'B5'!A13</f>
        <v>43870</v>
      </c>
      <c r="B13" s="77">
        <f>'B5'!V13</f>
        <v>828</v>
      </c>
      <c r="C13" s="77">
        <f>'B5'!AH13</f>
        <v>0</v>
      </c>
      <c r="D13" s="77">
        <f>GEN!AI11</f>
        <v>537.93248945151424</v>
      </c>
      <c r="E13" s="248">
        <f t="shared" si="0"/>
        <v>1365.9324894515144</v>
      </c>
      <c r="F13" s="76">
        <f>WATER!L13</f>
        <v>1</v>
      </c>
      <c r="G13" s="79">
        <f>WATER!BG13</f>
        <v>-78.999999999999943</v>
      </c>
      <c r="H13" s="80">
        <f>ELEC!AF11</f>
        <v>608</v>
      </c>
      <c r="I13" s="80">
        <f>ELEC!Q11</f>
        <v>2090.0000000001455</v>
      </c>
      <c r="J13" s="80">
        <f>ELEC!R11</f>
        <v>8799.9999999998545</v>
      </c>
      <c r="K13" s="3"/>
      <c r="L13" s="3"/>
      <c r="M13" s="3"/>
      <c r="N13" s="3"/>
    </row>
    <row r="14" spans="1:14">
      <c r="A14" s="63">
        <f>'B5'!A14</f>
        <v>43871</v>
      </c>
      <c r="B14" s="77">
        <f>'B5'!V14</f>
        <v>1099</v>
      </c>
      <c r="C14" s="77">
        <f>'B5'!AH14</f>
        <v>-0.40000000002328306</v>
      </c>
      <c r="D14" s="77">
        <f>GEN!AI12</f>
        <v>409.2405063291514</v>
      </c>
      <c r="E14" s="248">
        <f t="shared" si="0"/>
        <v>1507.8405063291282</v>
      </c>
      <c r="F14" s="76">
        <f>WATER!L14</f>
        <v>0</v>
      </c>
      <c r="G14" s="79">
        <f>WATER!BG14</f>
        <v>111.19999999999999</v>
      </c>
      <c r="H14" s="80">
        <f>ELEC!AF12</f>
        <v>21</v>
      </c>
      <c r="I14" s="80">
        <f>ELEC!Q12</f>
        <v>1590.0000000001455</v>
      </c>
      <c r="J14" s="80">
        <f>ELEC!R12</f>
        <v>8927.9999999998545</v>
      </c>
      <c r="K14" s="3"/>
      <c r="L14" s="3"/>
      <c r="M14" s="3"/>
      <c r="N14" s="3"/>
    </row>
    <row r="15" spans="1:14">
      <c r="A15" s="63">
        <f>'B5'!A15</f>
        <v>43872</v>
      </c>
      <c r="B15" s="77">
        <f>'B5'!V15</f>
        <v>1004</v>
      </c>
      <c r="C15" s="77">
        <f>'B5'!AH15</f>
        <v>464.10000000003492</v>
      </c>
      <c r="D15" s="77">
        <f>GEN!AI13</f>
        <v>424.94092827000105</v>
      </c>
      <c r="E15" s="248">
        <f t="shared" si="0"/>
        <v>1893.0409282700359</v>
      </c>
      <c r="F15" s="76">
        <f>WATER!L15</f>
        <v>1</v>
      </c>
      <c r="G15" s="79">
        <f>WATER!BG15</f>
        <v>-49.899999999999977</v>
      </c>
      <c r="H15" s="80">
        <f>ELEC!AF13</f>
        <v>5</v>
      </c>
      <c r="I15" s="80">
        <f>ELEC!Q13</f>
        <v>1650.9999999998399</v>
      </c>
      <c r="J15" s="80">
        <f>ELEC!R13</f>
        <v>9272.0000000001601</v>
      </c>
      <c r="K15" s="3"/>
      <c r="L15" s="3"/>
      <c r="M15" s="3"/>
      <c r="N15" s="3"/>
    </row>
    <row r="16" spans="1:14">
      <c r="A16" s="63">
        <f>'B5'!A16</f>
        <v>43873</v>
      </c>
      <c r="B16" s="77">
        <f>'B5'!V16</f>
        <v>880</v>
      </c>
      <c r="C16" s="77">
        <f>'B5'!AH16</f>
        <v>0</v>
      </c>
      <c r="D16" s="77">
        <f>GEN!AI14</f>
        <v>440.12658227825631</v>
      </c>
      <c r="E16" s="248">
        <f t="shared" si="0"/>
        <v>1320.1265822782564</v>
      </c>
      <c r="F16" s="76">
        <f>WATER!L16</f>
        <v>0</v>
      </c>
      <c r="G16" s="79">
        <f>WATER!BG16</f>
        <v>21.699999999999932</v>
      </c>
      <c r="H16" s="80">
        <f>ELEC!AF14</f>
        <v>298</v>
      </c>
      <c r="I16" s="80">
        <f>ELEC!Q14</f>
        <v>1709.9999999991269</v>
      </c>
      <c r="J16" s="80">
        <f>ELEC!R14</f>
        <v>9653.40000000078</v>
      </c>
      <c r="K16" s="3"/>
      <c r="L16" s="3"/>
      <c r="M16" s="3"/>
      <c r="N16" s="3"/>
    </row>
    <row r="17" spans="1:14">
      <c r="A17" s="63">
        <f>'B5'!A17</f>
        <v>43874</v>
      </c>
      <c r="B17" s="77">
        <f>'B5'!V17</f>
        <v>735</v>
      </c>
      <c r="C17" s="77">
        <f>'B5'!AH17</f>
        <v>0</v>
      </c>
      <c r="D17" s="77">
        <f>GEN!AI15</f>
        <v>543.85232067541267</v>
      </c>
      <c r="E17" s="248">
        <f t="shared" si="0"/>
        <v>1278.8523206754126</v>
      </c>
      <c r="F17" s="76">
        <f>WATER!L17</f>
        <v>0</v>
      </c>
      <c r="G17" s="79">
        <f>WATER!BG17</f>
        <v>-55.599999999999952</v>
      </c>
      <c r="H17" s="80">
        <f>ELEC!AF15</f>
        <v>306</v>
      </c>
      <c r="I17" s="80">
        <f>ELEC!Q15</f>
        <v>2113.0000000011933</v>
      </c>
      <c r="J17" s="80">
        <f>ELEC!R15</f>
        <v>9477.5999999988999</v>
      </c>
      <c r="K17" s="3"/>
      <c r="L17" s="3"/>
      <c r="M17" s="3"/>
      <c r="N17" s="3"/>
    </row>
    <row r="18" spans="1:14">
      <c r="A18" s="63">
        <f>'B5'!A18</f>
        <v>43875</v>
      </c>
      <c r="B18" s="77">
        <f>'B5'!V18</f>
        <v>745</v>
      </c>
      <c r="C18" s="77">
        <f>'B5'!AH18</f>
        <v>442.10000000000582</v>
      </c>
      <c r="D18" s="77">
        <f>GEN!AI16</f>
        <v>539.73417721512624</v>
      </c>
      <c r="E18" s="248">
        <f t="shared" si="0"/>
        <v>1726.8341772151321</v>
      </c>
      <c r="F18" s="76">
        <f>WATER!L18</f>
        <v>2</v>
      </c>
      <c r="G18" s="79">
        <f>WATER!BG18</f>
        <v>-67.599999999999994</v>
      </c>
      <c r="H18" s="80">
        <f>ELEC!AF16</f>
        <v>1201</v>
      </c>
      <c r="I18" s="80">
        <f>ELEC!Q16</f>
        <v>2096.9999999997526</v>
      </c>
      <c r="J18" s="80">
        <f>ELEC!R16</f>
        <v>11876.000000000247</v>
      </c>
      <c r="K18" s="3"/>
      <c r="L18" s="3"/>
      <c r="M18" s="3"/>
      <c r="N18" s="3"/>
    </row>
    <row r="19" spans="1:14">
      <c r="A19" s="63">
        <f>'B5'!A19</f>
        <v>43876</v>
      </c>
      <c r="B19" s="77">
        <f>'B5'!V19</f>
        <v>719</v>
      </c>
      <c r="C19" s="77">
        <f>'B5'!AH19</f>
        <v>27</v>
      </c>
      <c r="D19" s="77">
        <f>GEN!AI17</f>
        <v>641.91561181449958</v>
      </c>
      <c r="E19" s="248">
        <f t="shared" si="0"/>
        <v>1387.9156118144997</v>
      </c>
      <c r="F19" s="76">
        <f>WATER!L19</f>
        <v>0</v>
      </c>
      <c r="G19" s="79">
        <f>WATER!BG19</f>
        <v>-82.100000000000023</v>
      </c>
      <c r="H19" s="80">
        <f>ELEC!AF17</f>
        <v>1059</v>
      </c>
      <c r="I19" s="80">
        <f>ELEC!Q17</f>
        <v>2494.0000000005966</v>
      </c>
      <c r="J19" s="80">
        <f>ELEC!R17</f>
        <v>10676.799999999217</v>
      </c>
      <c r="K19" s="3"/>
      <c r="L19" s="3"/>
      <c r="M19" s="3"/>
      <c r="N19" s="3"/>
    </row>
    <row r="20" spans="1:14">
      <c r="A20" s="63">
        <f>'B5'!A20</f>
        <v>43877</v>
      </c>
      <c r="B20" s="77">
        <f>'B5'!V20</f>
        <v>644</v>
      </c>
      <c r="C20" s="77">
        <f>'B5'!AH20</f>
        <v>0</v>
      </c>
      <c r="D20" s="77">
        <f>GEN!AI18</f>
        <v>225.21097046413504</v>
      </c>
      <c r="E20" s="248">
        <f t="shared" si="0"/>
        <v>869.21097046413502</v>
      </c>
      <c r="F20" s="76">
        <f>WATER!L20</f>
        <v>1</v>
      </c>
      <c r="G20" s="79">
        <f>WATER!BG20</f>
        <v>-66.300000000000011</v>
      </c>
      <c r="H20" s="80">
        <f>ELEC!AF18</f>
        <v>634</v>
      </c>
      <c r="I20" s="80">
        <f>ELEC!Q18</f>
        <v>875</v>
      </c>
      <c r="J20" s="80">
        <f>ELEC!R18</f>
        <v>12590.200000000186</v>
      </c>
      <c r="K20" s="3"/>
      <c r="L20" s="3"/>
      <c r="M20" s="3"/>
      <c r="N20" s="3"/>
    </row>
    <row r="21" spans="1:14">
      <c r="A21" s="63">
        <f>'B5'!A21</f>
        <v>43878</v>
      </c>
      <c r="B21" s="77">
        <f>'B5'!V21</f>
        <v>630</v>
      </c>
      <c r="C21" s="77">
        <f>'B5'!AH21</f>
        <v>0</v>
      </c>
      <c r="D21" s="77">
        <f>GEN!AI19</f>
        <v>571.13502109682543</v>
      </c>
      <c r="E21" s="248">
        <f t="shared" si="0"/>
        <v>1201.1350210968253</v>
      </c>
      <c r="F21" s="76">
        <f>WATER!L21</f>
        <v>1</v>
      </c>
      <c r="G21" s="79">
        <f>WATER!BG21</f>
        <v>-65.999999999999972</v>
      </c>
      <c r="H21" s="80">
        <f>ELEC!AF19</f>
        <v>929</v>
      </c>
      <c r="I21" s="80">
        <f>ELEC!Q19</f>
        <v>2218.9999999991414</v>
      </c>
      <c r="J21" s="80">
        <f>ELEC!R19</f>
        <v>11273.000000000859</v>
      </c>
      <c r="K21" s="3"/>
      <c r="L21" s="3"/>
      <c r="M21" s="3"/>
      <c r="N21" s="3"/>
    </row>
    <row r="22" spans="1:14">
      <c r="A22" s="63">
        <f>'B5'!A22</f>
        <v>43879</v>
      </c>
      <c r="B22" s="77">
        <f>'B5'!V22</f>
        <v>570</v>
      </c>
      <c r="C22" s="77">
        <f>'B5'!AH22</f>
        <v>552</v>
      </c>
      <c r="D22" s="77">
        <f>GEN!AI20</f>
        <v>582.45991561202788</v>
      </c>
      <c r="E22" s="248">
        <f t="shared" si="0"/>
        <v>1704.459915612028</v>
      </c>
      <c r="F22" s="76">
        <f>WATER!L22</f>
        <v>0</v>
      </c>
      <c r="G22" s="79">
        <f>WATER!BG22</f>
        <v>31.299999999999955</v>
      </c>
      <c r="H22" s="80">
        <f>ELEC!AF20</f>
        <v>801</v>
      </c>
      <c r="I22" s="80">
        <f>ELEC!Q20</f>
        <v>2263.0000000008295</v>
      </c>
      <c r="J22" s="80">
        <f>ELEC!R20</f>
        <v>9621.9999999991705</v>
      </c>
      <c r="K22" s="3"/>
      <c r="L22" s="3"/>
      <c r="M22" s="3"/>
      <c r="N22" s="3"/>
    </row>
    <row r="23" spans="1:14">
      <c r="A23" s="63">
        <f>'B5'!A23</f>
        <v>43880</v>
      </c>
      <c r="B23" s="77">
        <f>'B5'!V23</f>
        <v>499</v>
      </c>
      <c r="C23" s="77">
        <f>'B5'!AH23</f>
        <v>0</v>
      </c>
      <c r="D23" s="77">
        <f>GEN!AI21</f>
        <v>672.54430379730741</v>
      </c>
      <c r="E23" s="248">
        <f t="shared" si="0"/>
        <v>1171.5443037973073</v>
      </c>
      <c r="F23" s="76">
        <f>WATER!L23</f>
        <v>1</v>
      </c>
      <c r="G23" s="79">
        <f>WATER!BG23</f>
        <v>-51.59999999999998</v>
      </c>
      <c r="H23" s="80">
        <f>ELEC!AF21</f>
        <v>450</v>
      </c>
      <c r="I23" s="80">
        <f>ELEC!Q21</f>
        <v>2612.9999999993743</v>
      </c>
      <c r="J23" s="80">
        <f>ELEC!R21</f>
        <v>9463.0000000006257</v>
      </c>
      <c r="K23" s="3"/>
      <c r="L23" s="3"/>
      <c r="M23" s="3"/>
      <c r="N23" s="3"/>
    </row>
    <row r="24" spans="1:14">
      <c r="A24" s="63">
        <f>'B5'!A24</f>
        <v>43881</v>
      </c>
      <c r="B24" s="77">
        <f>'B5'!V24</f>
        <v>541</v>
      </c>
      <c r="C24" s="77">
        <f>'B5'!AH24</f>
        <v>0</v>
      </c>
      <c r="D24" s="77">
        <f>GEN!AI22</f>
        <v>523.7763713079795</v>
      </c>
      <c r="E24" s="248">
        <f t="shared" si="0"/>
        <v>1064.7763713079794</v>
      </c>
      <c r="F24" s="76">
        <f>WATER!L24</f>
        <v>1</v>
      </c>
      <c r="G24" s="79">
        <f>WATER!BG24</f>
        <v>-16.200000000000045</v>
      </c>
      <c r="H24" s="80">
        <f>ELEC!AF22</f>
        <v>860</v>
      </c>
      <c r="I24" s="80">
        <f>ELEC!Q22</f>
        <v>2034.9999999998545</v>
      </c>
      <c r="J24" s="80">
        <f>ELEC!R22</f>
        <v>10348.000000000146</v>
      </c>
      <c r="K24" s="3"/>
      <c r="L24" s="3"/>
      <c r="M24" s="3"/>
      <c r="N24" s="3"/>
    </row>
    <row r="25" spans="1:14">
      <c r="A25" s="63">
        <f>'B5'!A25</f>
        <v>43882</v>
      </c>
      <c r="B25" s="77">
        <f>'B5'!V25</f>
        <v>569</v>
      </c>
      <c r="C25" s="77">
        <f>'B5'!AH25</f>
        <v>475.29999999998836</v>
      </c>
      <c r="D25" s="77">
        <f>GEN!AI23</f>
        <v>583.74683544304548</v>
      </c>
      <c r="E25" s="248">
        <f t="shared" si="0"/>
        <v>1628.0468354430338</v>
      </c>
      <c r="F25" s="76">
        <f>WATER!L25</f>
        <v>0</v>
      </c>
      <c r="G25" s="79">
        <f>WATER!BG25</f>
        <v>-33.999999999999972</v>
      </c>
      <c r="H25" s="80">
        <f>ELEC!AF23</f>
        <v>1121</v>
      </c>
      <c r="I25" s="80">
        <f>ELEC!Q23</f>
        <v>2268.0000000000291</v>
      </c>
      <c r="J25" s="80">
        <f>ELEC!R23</f>
        <v>11268.999999999971</v>
      </c>
      <c r="K25" s="3"/>
      <c r="L25" s="3"/>
      <c r="M25" s="3"/>
      <c r="N25" s="3"/>
    </row>
    <row r="26" spans="1:14">
      <c r="A26" s="63">
        <f>'B5'!A26</f>
        <v>43883</v>
      </c>
      <c r="B26" s="77">
        <f>'B5'!V26</f>
        <v>699</v>
      </c>
      <c r="C26" s="77">
        <f>'B5'!AH26</f>
        <v>49</v>
      </c>
      <c r="D26" s="77">
        <f>GEN!AI24</f>
        <v>685.67088607612175</v>
      </c>
      <c r="E26" s="248">
        <f t="shared" si="0"/>
        <v>1433.6708860761219</v>
      </c>
      <c r="F26" s="76">
        <f>WATER!L26</f>
        <v>1</v>
      </c>
      <c r="G26" s="79">
        <f>WATER!BG26</f>
        <v>12.400000000000006</v>
      </c>
      <c r="H26" s="80">
        <f>ELEC!AF24</f>
        <v>995</v>
      </c>
      <c r="I26" s="80">
        <f>ELEC!Q24</f>
        <v>2664.0000000006694</v>
      </c>
      <c r="J26" s="80">
        <f>ELEC!R24</f>
        <v>11107.999999999331</v>
      </c>
      <c r="K26" s="3"/>
      <c r="L26" s="3"/>
      <c r="M26" s="3"/>
      <c r="N26" s="3"/>
    </row>
    <row r="27" spans="1:14">
      <c r="A27" s="63">
        <f>'B5'!A27</f>
        <v>43884</v>
      </c>
      <c r="B27" s="77">
        <f>'B5'!V27</f>
        <v>677</v>
      </c>
      <c r="C27" s="77">
        <f>'B5'!AH27</f>
        <v>0.29999999998835847</v>
      </c>
      <c r="D27" s="77">
        <f>GEN!AI25</f>
        <v>989.89873417709919</v>
      </c>
      <c r="E27" s="248">
        <f t="shared" si="0"/>
        <v>1667.1987341770875</v>
      </c>
      <c r="F27" s="76">
        <f>WATER!L27</f>
        <v>1</v>
      </c>
      <c r="G27" s="79">
        <f>WATER!BG27</f>
        <v>-76.100000000000009</v>
      </c>
      <c r="H27" s="80">
        <f>ELEC!AF25</f>
        <v>1073</v>
      </c>
      <c r="I27" s="80">
        <f>ELEC!Q25</f>
        <v>3845.9999999995489</v>
      </c>
      <c r="J27" s="80">
        <f>ELEC!R25</f>
        <v>10453.000000000451</v>
      </c>
      <c r="K27" s="3"/>
      <c r="L27" s="3"/>
      <c r="M27" s="3"/>
      <c r="N27" s="3"/>
    </row>
    <row r="28" spans="1:14">
      <c r="A28" s="63">
        <f>'B5'!A28</f>
        <v>43885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116.30000000000001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43886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43887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43888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43889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43890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22" t="s">
        <v>151</v>
      </c>
      <c r="U3" s="62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7</v>
      </c>
      <c r="E5">
        <f t="shared" ref="E5:E37" si="0">D5*90</f>
        <v>630</v>
      </c>
      <c r="F5">
        <f>'B5'!AM4</f>
        <v>7</v>
      </c>
      <c r="G5">
        <f t="shared" ref="G5:G37" si="1">F5*107</f>
        <v>749</v>
      </c>
      <c r="H5">
        <f>GEN!Z3</f>
        <v>5</v>
      </c>
    </row>
    <row r="6" spans="3:21">
      <c r="C6" s="100">
        <v>42430</v>
      </c>
      <c r="D6">
        <f>'B5'!AL5</f>
        <v>7</v>
      </c>
      <c r="E6">
        <f t="shared" si="0"/>
        <v>630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8</v>
      </c>
      <c r="E7">
        <f t="shared" si="0"/>
        <v>720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10</v>
      </c>
      <c r="E9">
        <f t="shared" si="0"/>
        <v>900</v>
      </c>
      <c r="F9">
        <f>'B5'!AM8</f>
        <v>8</v>
      </c>
      <c r="G9">
        <f t="shared" si="1"/>
        <v>856</v>
      </c>
    </row>
    <row r="10" spans="3:21">
      <c r="C10" s="100">
        <v>42434</v>
      </c>
      <c r="D10">
        <f>'B5'!AL9</f>
        <v>8</v>
      </c>
      <c r="E10">
        <f t="shared" si="0"/>
        <v>720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7</v>
      </c>
      <c r="E12">
        <f t="shared" si="0"/>
        <v>630</v>
      </c>
      <c r="F12">
        <f>'B5'!AM11</f>
        <v>7</v>
      </c>
      <c r="G12">
        <f t="shared" si="1"/>
        <v>749</v>
      </c>
    </row>
    <row r="13" spans="3:21">
      <c r="C13" s="100">
        <v>42437</v>
      </c>
      <c r="D13">
        <f>'B5'!AL12</f>
        <v>8</v>
      </c>
      <c r="E13">
        <f t="shared" si="0"/>
        <v>720</v>
      </c>
      <c r="F13">
        <f>'B5'!AM12</f>
        <v>1</v>
      </c>
      <c r="G13">
        <f t="shared" si="1"/>
        <v>107</v>
      </c>
    </row>
    <row r="14" spans="3:21">
      <c r="C14" s="100">
        <v>42438</v>
      </c>
      <c r="D14">
        <f>'B5'!AL13</f>
        <v>10</v>
      </c>
      <c r="E14">
        <f t="shared" si="0"/>
        <v>900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14</v>
      </c>
      <c r="E16">
        <f t="shared" si="0"/>
        <v>1260</v>
      </c>
      <c r="F16">
        <f>'B5'!AM15</f>
        <v>9</v>
      </c>
      <c r="G16">
        <f t="shared" si="1"/>
        <v>963</v>
      </c>
    </row>
    <row r="17" spans="3:7">
      <c r="C17" s="100">
        <v>42441</v>
      </c>
      <c r="D17">
        <f>'B5'!AL16</f>
        <v>12</v>
      </c>
      <c r="E17">
        <f t="shared" si="0"/>
        <v>1080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9</v>
      </c>
      <c r="E18">
        <f t="shared" si="0"/>
        <v>810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9</v>
      </c>
      <c r="E19">
        <f t="shared" si="0"/>
        <v>810</v>
      </c>
      <c r="F19">
        <f>'B5'!AM18</f>
        <v>9</v>
      </c>
      <c r="G19">
        <f t="shared" si="1"/>
        <v>963</v>
      </c>
    </row>
    <row r="20" spans="3:7">
      <c r="C20" s="100">
        <v>42444</v>
      </c>
      <c r="D20">
        <f>'B5'!AL19</f>
        <v>15</v>
      </c>
      <c r="E20">
        <f t="shared" si="0"/>
        <v>1350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8</v>
      </c>
      <c r="E22">
        <f t="shared" si="0"/>
        <v>720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8</v>
      </c>
      <c r="E23">
        <f t="shared" si="0"/>
        <v>720</v>
      </c>
      <c r="F23">
        <f>'B5'!AM22</f>
        <v>10</v>
      </c>
      <c r="G23">
        <f t="shared" si="1"/>
        <v>1070</v>
      </c>
    </row>
    <row r="24" spans="3:7">
      <c r="C24" s="100">
        <v>42448</v>
      </c>
      <c r="D24">
        <f>'B5'!AL23</f>
        <v>6</v>
      </c>
      <c r="E24">
        <f t="shared" si="0"/>
        <v>540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7</v>
      </c>
      <c r="E25">
        <f t="shared" si="0"/>
        <v>630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7</v>
      </c>
      <c r="E26">
        <f t="shared" si="0"/>
        <v>630</v>
      </c>
      <c r="F26">
        <f>'B5'!AM25</f>
        <v>9</v>
      </c>
      <c r="G26">
        <f t="shared" si="1"/>
        <v>963</v>
      </c>
    </row>
    <row r="27" spans="3:7">
      <c r="C27" s="100">
        <v>42451</v>
      </c>
      <c r="D27">
        <f>'B5'!AL26</f>
        <v>9</v>
      </c>
      <c r="E27">
        <f t="shared" si="0"/>
        <v>810</v>
      </c>
      <c r="F27">
        <f>'B5'!AM26</f>
        <v>2</v>
      </c>
      <c r="G27">
        <f t="shared" si="1"/>
        <v>214</v>
      </c>
    </row>
    <row r="28" spans="3:7">
      <c r="C28" s="100">
        <v>42452</v>
      </c>
      <c r="D28">
        <f>'B5'!AL27</f>
        <v>8</v>
      </c>
      <c r="E28">
        <f t="shared" si="0"/>
        <v>720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2"/>
  <sheetViews>
    <sheetView topLeftCell="K1" zoomScale="80" zoomScaleNormal="80" workbookViewId="0">
      <selection activeCell="AA26" sqref="AA2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364</v>
      </c>
      <c r="M2" s="165" t="s">
        <v>365</v>
      </c>
      <c r="N2" s="165" t="s">
        <v>366</v>
      </c>
      <c r="O2" s="165" t="s">
        <v>367</v>
      </c>
      <c r="P2" s="165" t="s">
        <v>368</v>
      </c>
      <c r="Q2" s="165" t="s">
        <v>369</v>
      </c>
      <c r="R2" s="165" t="s">
        <v>370</v>
      </c>
      <c r="S2" s="315"/>
      <c r="T2" s="351"/>
    </row>
    <row r="3" spans="1:30" ht="15.75" thickBot="1">
      <c r="A3" s="164" t="str">
        <f>ELEC!C2</f>
        <v>31-01-2020</v>
      </c>
      <c r="B3" s="271">
        <f>'[1]EDl log'!B34</f>
        <v>49427274</v>
      </c>
      <c r="C3" s="271">
        <f>'[1]EDl log'!C34</f>
        <v>4345</v>
      </c>
      <c r="D3" s="271">
        <f>'[1]EDl log'!D34</f>
        <v>4344</v>
      </c>
      <c r="E3" s="271">
        <f>'[1]EDl log'!E34</f>
        <v>49427273</v>
      </c>
      <c r="F3" s="271">
        <f>'[1]EDl log'!F34</f>
        <v>7944681</v>
      </c>
      <c r="G3" s="271">
        <f>'[1]EDl log'!G34</f>
        <v>890</v>
      </c>
      <c r="H3" s="271">
        <f>'[1]EDl log'!H34</f>
        <v>24340859</v>
      </c>
      <c r="I3" s="271">
        <f>'[1]EDl log'!I34</f>
        <v>2071</v>
      </c>
      <c r="J3" s="271">
        <f>'[1]EDl log'!J34</f>
        <v>17141733</v>
      </c>
      <c r="K3" s="271">
        <f>'[1]EDl log'!K34</f>
        <v>1383</v>
      </c>
      <c r="L3" s="271">
        <f>'[1]EDl log'!L34</f>
        <v>188.92205638474294</v>
      </c>
      <c r="M3" s="271">
        <f>'[1]EDl log'!M34</f>
        <v>153.86533996683249</v>
      </c>
      <c r="N3" s="271">
        <f>'[1]EDl log'!N34</f>
        <v>73.393034825870643</v>
      </c>
      <c r="O3" s="271">
        <f>'[1]EDl log'!O34</f>
        <v>154.80303857058792</v>
      </c>
      <c r="P3" s="271">
        <f>'[1]EDl log'!P34</f>
        <v>570.98346974803405</v>
      </c>
      <c r="Q3" s="271">
        <f>'[1]EDl log'!Q34</f>
        <v>356.78793548385318</v>
      </c>
      <c r="R3" s="271">
        <f>'[1]EDl log'!R34</f>
        <v>927.77140523188723</v>
      </c>
      <c r="S3" s="271">
        <f>'[1]EDl log'!S34</f>
        <v>10347.799999999814</v>
      </c>
      <c r="T3" s="271">
        <f>'[1]EDl log'!T34</f>
        <v>8.9658807208479477E-2</v>
      </c>
      <c r="Z3" t="s">
        <v>214</v>
      </c>
      <c r="AA3">
        <v>0.1</v>
      </c>
    </row>
    <row r="4" spans="1:30">
      <c r="A4" s="164">
        <f>ELEC!C3</f>
        <v>43862</v>
      </c>
      <c r="B4" s="411">
        <v>49431907</v>
      </c>
      <c r="C4" s="280">
        <f>SUM(B4-B3)</f>
        <v>4633</v>
      </c>
      <c r="D4" s="325">
        <f>SUM(G4+I4+K4)</f>
        <v>4634</v>
      </c>
      <c r="E4" s="325">
        <f>B3+D4</f>
        <v>49431908</v>
      </c>
      <c r="F4" s="563">
        <v>7945301</v>
      </c>
      <c r="G4" s="161">
        <f t="shared" ref="G4:G32" si="0">F4-F3</f>
        <v>620</v>
      </c>
      <c r="H4" s="563">
        <v>24343155</v>
      </c>
      <c r="I4" s="162">
        <f t="shared" ref="I4:I32" si="1">H4-H3</f>
        <v>2296</v>
      </c>
      <c r="J4" s="563">
        <v>17143451</v>
      </c>
      <c r="K4" s="163">
        <f t="shared" ref="K4:K32" si="2">J4-J3</f>
        <v>1718</v>
      </c>
      <c r="L4" s="312">
        <f>SUM(G4*$Y$28)/1507.5</f>
        <v>131.60862354892205</v>
      </c>
      <c r="M4" s="312">
        <f>SUM(I4*$Y$27)/1507.5</f>
        <v>170.58175787728027</v>
      </c>
      <c r="N4" s="312">
        <f>SUM(K4*$Y$26)/1507.5</f>
        <v>91.170812603648429</v>
      </c>
      <c r="O4" s="312">
        <f t="shared" ref="O4:O32" si="3">($AC$31/$A$36)/1507.5</f>
        <v>131.24205291418454</v>
      </c>
      <c r="P4" s="313">
        <f>SUM(L4:O4)</f>
        <v>524.60324694403528</v>
      </c>
      <c r="Q4" s="313">
        <f>SUM(-tanks!AX6*tanks!$AU$37)</f>
        <v>617.02667258065037</v>
      </c>
      <c r="R4" s="313">
        <f>SUM(P4:Q4)</f>
        <v>1141.6299195246856</v>
      </c>
      <c r="S4" s="316">
        <f>SUM(ELEC!N3)</f>
        <v>11338</v>
      </c>
      <c r="T4" s="352">
        <f>IF(S4&gt;0,R4/S4,0)</f>
        <v>0.10069059089122294</v>
      </c>
      <c r="U4" s="256"/>
      <c r="V4" s="257" t="str">
        <f>'[4]EDl log'!V21</f>
        <v xml:space="preserve">EDL </v>
      </c>
      <c r="W4" s="168">
        <v>43850</v>
      </c>
      <c r="X4" s="170"/>
      <c r="Y4" s="170"/>
      <c r="Z4" s="170" t="s">
        <v>202</v>
      </c>
      <c r="AA4" s="170"/>
      <c r="AB4" s="633"/>
      <c r="AC4" s="634"/>
    </row>
    <row r="5" spans="1:30">
      <c r="A5" s="164">
        <f>ELEC!C4</f>
        <v>43863</v>
      </c>
      <c r="B5" s="568">
        <v>49438019</v>
      </c>
      <c r="C5" s="271">
        <f t="shared" ref="C5:C32" si="4">SUM(B5-B4)</f>
        <v>6112</v>
      </c>
      <c r="D5" s="325">
        <f t="shared" ref="D5:D32" si="5">SUM(G5+I5+K5)</f>
        <v>6112</v>
      </c>
      <c r="E5" s="325">
        <f>B4+D5</f>
        <v>49438019</v>
      </c>
      <c r="F5" s="568">
        <v>7946229</v>
      </c>
      <c r="G5" s="161">
        <f t="shared" si="0"/>
        <v>928</v>
      </c>
      <c r="H5" s="568">
        <v>24345640</v>
      </c>
      <c r="I5" s="162">
        <f t="shared" si="1"/>
        <v>2485</v>
      </c>
      <c r="J5" s="568">
        <v>17146150</v>
      </c>
      <c r="K5" s="163">
        <f t="shared" si="2"/>
        <v>2699</v>
      </c>
      <c r="L5" s="312">
        <f t="shared" ref="L5:L32" si="6">SUM(G5*$Y$28)/1507.5</f>
        <v>196.98839137645109</v>
      </c>
      <c r="M5" s="312">
        <f t="shared" ref="M5:M32" si="7">SUM(I5*$Y$27)/1507.5</f>
        <v>184.62354892205639</v>
      </c>
      <c r="N5" s="312">
        <f t="shared" ref="N5:N32" si="8">SUM(K5*$Y$26)/1507.5</f>
        <v>143.23051409618574</v>
      </c>
      <c r="O5" s="312">
        <f t="shared" si="3"/>
        <v>131.24205291418454</v>
      </c>
      <c r="P5" s="313">
        <f t="shared" ref="P5:P32" si="9">SUM(L5:O5)</f>
        <v>656.08450730887785</v>
      </c>
      <c r="Q5" s="313">
        <f>SUM(-tanks!AX7*tanks!$AU$37)</f>
        <v>452.91473387096181</v>
      </c>
      <c r="R5" s="313">
        <f t="shared" ref="R5:R32" si="10">SUM(P5:Q5)</f>
        <v>1108.9992411798396</v>
      </c>
      <c r="S5" s="316">
        <f>SUM(ELEC!N4)</f>
        <v>13781</v>
      </c>
      <c r="T5" s="352">
        <f>IF(S5&gt;0,R5/S5,0)</f>
        <v>8.0473060095772417E-2</v>
      </c>
      <c r="U5" s="256"/>
      <c r="V5" s="627"/>
      <c r="W5" s="628"/>
      <c r="X5" s="628"/>
      <c r="Y5" s="629"/>
      <c r="Z5" s="26" t="s">
        <v>203</v>
      </c>
      <c r="AA5" s="271">
        <f>'[5]EDl log'!AA5</f>
        <v>5000</v>
      </c>
      <c r="AB5" s="635"/>
      <c r="AC5" s="636"/>
    </row>
    <row r="6" spans="1:30">
      <c r="A6" s="164">
        <f>ELEC!C5</f>
        <v>43864</v>
      </c>
      <c r="B6" s="568">
        <v>49441884</v>
      </c>
      <c r="C6" s="271">
        <f t="shared" si="4"/>
        <v>3865</v>
      </c>
      <c r="D6" s="325">
        <f t="shared" si="5"/>
        <v>3866</v>
      </c>
      <c r="E6" s="325">
        <f t="shared" ref="E6:E32" si="11">B5+D6</f>
        <v>49441885</v>
      </c>
      <c r="F6" s="568">
        <v>7946695</v>
      </c>
      <c r="G6" s="161">
        <f t="shared" si="0"/>
        <v>466</v>
      </c>
      <c r="H6" s="568">
        <v>24347833</v>
      </c>
      <c r="I6" s="162">
        <f t="shared" si="1"/>
        <v>2193</v>
      </c>
      <c r="J6" s="568">
        <v>17147357</v>
      </c>
      <c r="K6" s="163">
        <f t="shared" si="2"/>
        <v>1207</v>
      </c>
      <c r="L6" s="312">
        <f t="shared" si="6"/>
        <v>98.91873963515755</v>
      </c>
      <c r="M6" s="312">
        <f t="shared" si="7"/>
        <v>162.92935323383085</v>
      </c>
      <c r="N6" s="312">
        <f t="shared" si="8"/>
        <v>64.053067993366497</v>
      </c>
      <c r="O6" s="312">
        <f t="shared" si="3"/>
        <v>131.24205291418454</v>
      </c>
      <c r="P6" s="313">
        <f t="shared" si="9"/>
        <v>457.14321377653937</v>
      </c>
      <c r="Q6" s="313">
        <f>SUM(-tanks!AX8*tanks!$AU$37)</f>
        <v>568.60489193548699</v>
      </c>
      <c r="R6" s="313">
        <f t="shared" si="10"/>
        <v>1025.7481057120262</v>
      </c>
      <c r="S6" s="316">
        <f>SUM(ELEC!N5)</f>
        <v>10327</v>
      </c>
      <c r="T6" s="352">
        <f t="shared" ref="T6:T32" si="12">IF(S6&gt;0,R6/S6,0)</f>
        <v>9.9326823444565338E-2</v>
      </c>
      <c r="V6" s="630"/>
      <c r="W6" s="631"/>
      <c r="X6" s="631"/>
      <c r="Y6" s="632"/>
      <c r="Z6" s="3"/>
      <c r="AA6" s="3"/>
      <c r="AB6" s="635"/>
      <c r="AC6" s="636"/>
    </row>
    <row r="7" spans="1:30" ht="15" customHeight="1">
      <c r="A7" s="164">
        <f>ELEC!C6</f>
        <v>43865</v>
      </c>
      <c r="B7" s="568">
        <v>49446768</v>
      </c>
      <c r="C7" s="271">
        <f t="shared" si="4"/>
        <v>4884</v>
      </c>
      <c r="D7" s="325">
        <f t="shared" si="5"/>
        <v>4882</v>
      </c>
      <c r="E7" s="325">
        <f t="shared" si="11"/>
        <v>49446766</v>
      </c>
      <c r="F7" s="568">
        <v>7947387</v>
      </c>
      <c r="G7" s="161">
        <f t="shared" si="0"/>
        <v>692</v>
      </c>
      <c r="H7" s="568">
        <v>24350141</v>
      </c>
      <c r="I7" s="162">
        <f t="shared" si="1"/>
        <v>2308</v>
      </c>
      <c r="J7" s="568">
        <v>17149239</v>
      </c>
      <c r="K7" s="163">
        <f t="shared" si="2"/>
        <v>1882</v>
      </c>
      <c r="L7" s="312">
        <f t="shared" si="6"/>
        <v>146.89220563847431</v>
      </c>
      <c r="M7" s="312">
        <f t="shared" si="7"/>
        <v>171.47330016583749</v>
      </c>
      <c r="N7" s="312">
        <f t="shared" si="8"/>
        <v>99.873963515754554</v>
      </c>
      <c r="O7" s="312">
        <f t="shared" si="3"/>
        <v>131.24205291418454</v>
      </c>
      <c r="P7" s="313">
        <f t="shared" si="9"/>
        <v>549.48152223425086</v>
      </c>
      <c r="Q7" s="313">
        <f>SUM(-tanks!AX9*tanks!$AU$37)</f>
        <v>428.42949435483507</v>
      </c>
      <c r="R7" s="313">
        <f t="shared" si="10"/>
        <v>977.91101658908588</v>
      </c>
      <c r="S7" s="316">
        <f>SUM(ELEC!N6)</f>
        <v>12214</v>
      </c>
      <c r="T7" s="352">
        <f t="shared" si="12"/>
        <v>8.006476310701538E-2</v>
      </c>
      <c r="V7" s="623" t="s">
        <v>204</v>
      </c>
      <c r="W7" s="624"/>
      <c r="X7" s="625" t="s">
        <v>205</v>
      </c>
      <c r="Y7" s="626"/>
      <c r="Z7" s="624"/>
      <c r="AA7" s="26"/>
      <c r="AB7" s="637"/>
      <c r="AC7" s="638"/>
    </row>
    <row r="8" spans="1:30" ht="15.75" customHeight="1">
      <c r="A8" s="164">
        <f>ELEC!C7</f>
        <v>43866</v>
      </c>
      <c r="B8" s="568">
        <v>49451815</v>
      </c>
      <c r="C8" s="271">
        <f t="shared" si="4"/>
        <v>5047</v>
      </c>
      <c r="D8" s="325">
        <f t="shared" si="5"/>
        <v>5047</v>
      </c>
      <c r="E8" s="325">
        <f t="shared" si="11"/>
        <v>49451815</v>
      </c>
      <c r="F8" s="568">
        <v>7948125</v>
      </c>
      <c r="G8" s="161">
        <f t="shared" si="0"/>
        <v>738</v>
      </c>
      <c r="H8" s="568">
        <v>24352952</v>
      </c>
      <c r="I8" s="162">
        <f t="shared" si="1"/>
        <v>2811</v>
      </c>
      <c r="J8" s="568">
        <v>17150737</v>
      </c>
      <c r="K8" s="163">
        <f>J8-J7</f>
        <v>1498</v>
      </c>
      <c r="L8" s="312">
        <f>SUM(G8*$Y$28)/1507.5</f>
        <v>156.65671641791045</v>
      </c>
      <c r="M8" s="312">
        <f>SUM(I8*$Y$27)/1507.5</f>
        <v>208.84378109452737</v>
      </c>
      <c r="N8" s="312">
        <f>SUM(K8*$Y$26)/1507.5</f>
        <v>79.495854063018243</v>
      </c>
      <c r="O8" s="312">
        <f t="shared" si="3"/>
        <v>131.24205291418454</v>
      </c>
      <c r="P8" s="313">
        <f t="shared" si="9"/>
        <v>576.23840448964063</v>
      </c>
      <c r="Q8" s="313">
        <f>SUM(-tanks!AX10*tanks!$AU$37)</f>
        <v>621.07886129032363</v>
      </c>
      <c r="R8" s="313">
        <f t="shared" si="10"/>
        <v>1197.3172657799641</v>
      </c>
      <c r="S8" s="316">
        <f>SUM(ELEC!N7)</f>
        <v>13334</v>
      </c>
      <c r="T8" s="352">
        <f>IF(S8&gt;0,R8/S8,0)</f>
        <v>8.9794305218236406E-2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43867</v>
      </c>
      <c r="B9" s="568">
        <v>49457259</v>
      </c>
      <c r="C9" s="271">
        <f t="shared" si="4"/>
        <v>5444</v>
      </c>
      <c r="D9" s="325">
        <f t="shared" si="5"/>
        <v>5444</v>
      </c>
      <c r="E9" s="325">
        <f t="shared" si="11"/>
        <v>49457259</v>
      </c>
      <c r="F9" s="568">
        <v>7949100</v>
      </c>
      <c r="G9" s="161">
        <f t="shared" si="0"/>
        <v>975</v>
      </c>
      <c r="H9" s="568">
        <v>24355205</v>
      </c>
      <c r="I9" s="162">
        <f t="shared" si="1"/>
        <v>2253</v>
      </c>
      <c r="J9" s="568">
        <v>17152953</v>
      </c>
      <c r="K9" s="163">
        <f>J9-J8</f>
        <v>2216</v>
      </c>
      <c r="L9" s="312">
        <f>SUM(G9*$Y$28)/1507.5</f>
        <v>206.96517412935324</v>
      </c>
      <c r="M9" s="312">
        <f>SUM(I9*$Y$27)/1507.5</f>
        <v>167.38706467661692</v>
      </c>
      <c r="N9" s="312">
        <f>SUM(K9*$Y$26)/1507.5</f>
        <v>117.59867330016584</v>
      </c>
      <c r="O9" s="312">
        <f t="shared" si="3"/>
        <v>131.24205291418454</v>
      </c>
      <c r="P9" s="313">
        <f t="shared" si="9"/>
        <v>623.19296502032057</v>
      </c>
      <c r="Q9" s="313">
        <f>SUM(-tanks!AX11*tanks!$AU$37)</f>
        <v>381.41865241935648</v>
      </c>
      <c r="R9" s="313">
        <f>SUM(P9:Q9)</f>
        <v>1004.611617439677</v>
      </c>
      <c r="S9" s="316">
        <f>SUM(ELEC!N8)</f>
        <v>11008</v>
      </c>
      <c r="T9" s="352">
        <f t="shared" si="12"/>
        <v>9.1261956526133448E-2</v>
      </c>
      <c r="V9" s="271">
        <f>'[1]EDl log'!V26</f>
        <v>17085395</v>
      </c>
      <c r="W9" s="271">
        <f>'[1]EDl log'!W26</f>
        <v>17141733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56338</v>
      </c>
      <c r="AB9" s="271">
        <f>'[1]EDl log'!AB26</f>
        <v>4507040</v>
      </c>
      <c r="AC9" s="271">
        <f>'[1]EDl log'!AC26</f>
        <v>1033333</v>
      </c>
      <c r="AD9" s="549">
        <f>'[1]EDl log'!AD26</f>
        <v>0.36644746684358759</v>
      </c>
    </row>
    <row r="10" spans="1:30">
      <c r="A10" s="164">
        <f>ELEC!C9</f>
        <v>43868</v>
      </c>
      <c r="B10" s="568">
        <v>49462368</v>
      </c>
      <c r="C10" s="271">
        <f t="shared" si="4"/>
        <v>5109</v>
      </c>
      <c r="D10" s="325">
        <f t="shared" si="5"/>
        <v>5109</v>
      </c>
      <c r="E10" s="325">
        <f t="shared" si="11"/>
        <v>49462368</v>
      </c>
      <c r="F10" s="568">
        <v>7949814</v>
      </c>
      <c r="G10" s="161">
        <f t="shared" si="0"/>
        <v>714</v>
      </c>
      <c r="H10" s="568">
        <v>24357534</v>
      </c>
      <c r="I10" s="162">
        <f t="shared" si="1"/>
        <v>2329</v>
      </c>
      <c r="J10" s="568">
        <v>17155019</v>
      </c>
      <c r="K10" s="163">
        <f t="shared" si="2"/>
        <v>2066</v>
      </c>
      <c r="L10" s="312">
        <f t="shared" si="6"/>
        <v>151.56218905472636</v>
      </c>
      <c r="M10" s="312">
        <f t="shared" si="7"/>
        <v>173.0334991708126</v>
      </c>
      <c r="N10" s="312">
        <f t="shared" si="8"/>
        <v>109.63847429519072</v>
      </c>
      <c r="O10" s="312">
        <f t="shared" si="3"/>
        <v>131.24205291418454</v>
      </c>
      <c r="P10" s="313">
        <f t="shared" si="9"/>
        <v>565.47621543491425</v>
      </c>
      <c r="Q10" s="313">
        <f>SUM(-tanks!AX12*tanks!$AU$37)</f>
        <v>-409.04953548386794</v>
      </c>
      <c r="R10" s="313">
        <f t="shared" si="10"/>
        <v>156.42667995104631</v>
      </c>
      <c r="S10" s="316">
        <f>SUM(ELEC!N9)</f>
        <v>12629</v>
      </c>
      <c r="T10" s="352">
        <f t="shared" si="12"/>
        <v>1.2386307700613376E-2</v>
      </c>
      <c r="V10" s="271">
        <f>'[1]EDl log'!V27</f>
        <v>24270583</v>
      </c>
      <c r="W10" s="271">
        <f>'[1]EDl log'!W27</f>
        <v>24340859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70276</v>
      </c>
      <c r="AB10" s="271">
        <f>'[1]EDl log'!AB27</f>
        <v>7870912</v>
      </c>
      <c r="AC10" s="271">
        <f>'[1]EDl log'!AC27</f>
        <v>6200000</v>
      </c>
      <c r="AD10" s="549">
        <f>'[1]EDl log'!AD27</f>
        <v>0.45710643224644049</v>
      </c>
    </row>
    <row r="11" spans="1:30">
      <c r="A11" s="164">
        <f>ELEC!C10</f>
        <v>43869</v>
      </c>
      <c r="B11" s="568">
        <v>49468292</v>
      </c>
      <c r="C11" s="271">
        <f t="shared" si="4"/>
        <v>5924</v>
      </c>
      <c r="D11" s="325">
        <f>SUM(G11+I11+K11)</f>
        <v>5925</v>
      </c>
      <c r="E11" s="325">
        <f t="shared" si="11"/>
        <v>49468293</v>
      </c>
      <c r="F11" s="568">
        <v>7950977</v>
      </c>
      <c r="G11" s="161">
        <f t="shared" si="0"/>
        <v>1163</v>
      </c>
      <c r="H11" s="568">
        <v>24360747</v>
      </c>
      <c r="I11" s="162">
        <f t="shared" si="1"/>
        <v>3213</v>
      </c>
      <c r="J11" s="568">
        <v>17156568</v>
      </c>
      <c r="K11" s="163">
        <f t="shared" si="2"/>
        <v>1549</v>
      </c>
      <c r="L11" s="312">
        <f t="shared" si="6"/>
        <v>246.87230514096186</v>
      </c>
      <c r="M11" s="312">
        <f t="shared" si="7"/>
        <v>238.71044776119402</v>
      </c>
      <c r="N11" s="312">
        <f t="shared" si="8"/>
        <v>82.20232172470979</v>
      </c>
      <c r="O11" s="312">
        <f t="shared" si="3"/>
        <v>131.24205291418454</v>
      </c>
      <c r="P11" s="313">
        <f t="shared" si="9"/>
        <v>699.02712754105028</v>
      </c>
      <c r="Q11" s="313">
        <f>SUM(-tanks!AX13*tanks!$AU$37)</f>
        <v>353.35153709676945</v>
      </c>
      <c r="R11" s="313">
        <f t="shared" si="10"/>
        <v>1052.3786646378198</v>
      </c>
      <c r="S11" s="316">
        <f>SUM(ELEC!N10)</f>
        <v>12830</v>
      </c>
      <c r="T11" s="352">
        <f t="shared" si="12"/>
        <v>8.2024837462028044E-2</v>
      </c>
      <c r="V11" s="271">
        <f>'[1]EDl log'!V28</f>
        <v>7917555</v>
      </c>
      <c r="W11" s="271">
        <f>'[1]EDl log'!W28</f>
        <v>7944681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27126</v>
      </c>
      <c r="AB11" s="271">
        <f>'[1]EDl log'!AB28</f>
        <v>8680320</v>
      </c>
      <c r="AC11" s="271">
        <f>'[1]EDl log'!AC28</f>
        <v>1000</v>
      </c>
      <c r="AD11" s="549">
        <f>'[1]EDl log'!AD28</f>
        <v>0.17643959646418328</v>
      </c>
    </row>
    <row r="12" spans="1:30">
      <c r="A12" s="164">
        <f>ELEC!C11</f>
        <v>43870</v>
      </c>
      <c r="B12" s="568">
        <v>49472520</v>
      </c>
      <c r="C12" s="271">
        <f t="shared" si="4"/>
        <v>4228</v>
      </c>
      <c r="D12" s="325">
        <f t="shared" si="5"/>
        <v>4230</v>
      </c>
      <c r="E12" s="325">
        <f t="shared" si="11"/>
        <v>49472522</v>
      </c>
      <c r="F12" s="568">
        <v>7951674</v>
      </c>
      <c r="G12" s="161">
        <f t="shared" si="0"/>
        <v>697</v>
      </c>
      <c r="H12" s="568">
        <v>24362916</v>
      </c>
      <c r="I12" s="162">
        <f t="shared" si="1"/>
        <v>2169</v>
      </c>
      <c r="J12" s="568">
        <v>17157932</v>
      </c>
      <c r="K12" s="163">
        <f t="shared" si="2"/>
        <v>1364</v>
      </c>
      <c r="L12" s="312">
        <f t="shared" si="6"/>
        <v>147.95356550580431</v>
      </c>
      <c r="M12" s="312">
        <f t="shared" si="7"/>
        <v>161.14626865671642</v>
      </c>
      <c r="N12" s="312">
        <f t="shared" si="8"/>
        <v>72.384742951907128</v>
      </c>
      <c r="O12" s="312">
        <f t="shared" si="3"/>
        <v>131.24205291418454</v>
      </c>
      <c r="P12" s="313">
        <f t="shared" si="9"/>
        <v>512.72663002861236</v>
      </c>
      <c r="Q12" s="313">
        <f>SUM(-tanks!AX14*tanks!$AU$37)</f>
        <v>512.43658064516035</v>
      </c>
      <c r="R12" s="313">
        <f t="shared" si="10"/>
        <v>1025.1632106737727</v>
      </c>
      <c r="S12" s="316">
        <f>SUM(ELEC!N11)</f>
        <v>10890</v>
      </c>
      <c r="T12" s="352">
        <f t="shared" si="12"/>
        <v>9.4138035874542947E-2</v>
      </c>
      <c r="V12" s="271">
        <f>'[1]EDl log'!V29</f>
        <v>0</v>
      </c>
      <c r="W12" s="271">
        <f>'[1]EDl log'!W29</f>
        <v>0</v>
      </c>
      <c r="X12" s="3"/>
      <c r="Y12" s="271">
        <f>'[1]EDl log'!Y12</f>
        <v>0</v>
      </c>
      <c r="Z12" s="28"/>
      <c r="AA12" s="271">
        <f>'[1]EDl log'!AA29</f>
        <v>153740</v>
      </c>
      <c r="AB12" s="271">
        <f>'[1]EDl log'!AB12</f>
        <v>0</v>
      </c>
      <c r="AC12" s="271">
        <f>'[1]EDl log'!AC12</f>
        <v>0</v>
      </c>
    </row>
    <row r="13" spans="1:30">
      <c r="A13" s="164">
        <f>ELEC!C12</f>
        <v>43871</v>
      </c>
      <c r="B13" s="568">
        <v>49477474</v>
      </c>
      <c r="C13" s="271">
        <f t="shared" si="4"/>
        <v>4954</v>
      </c>
      <c r="D13" s="325">
        <f t="shared" si="5"/>
        <v>4954</v>
      </c>
      <c r="E13" s="325">
        <f t="shared" si="11"/>
        <v>49477474</v>
      </c>
      <c r="F13" s="568">
        <v>7952563</v>
      </c>
      <c r="G13" s="161">
        <f t="shared" si="0"/>
        <v>889</v>
      </c>
      <c r="H13" s="568">
        <v>24365031</v>
      </c>
      <c r="I13" s="162">
        <f t="shared" si="1"/>
        <v>2115</v>
      </c>
      <c r="J13" s="568">
        <v>17159882</v>
      </c>
      <c r="K13" s="163">
        <f t="shared" si="2"/>
        <v>1950</v>
      </c>
      <c r="L13" s="312">
        <f t="shared" si="6"/>
        <v>188.70978441127696</v>
      </c>
      <c r="M13" s="312">
        <f t="shared" si="7"/>
        <v>157.13432835820896</v>
      </c>
      <c r="N13" s="312">
        <f t="shared" si="8"/>
        <v>103.48258706467662</v>
      </c>
      <c r="O13" s="312">
        <f t="shared" si="3"/>
        <v>131.24205291418454</v>
      </c>
      <c r="P13" s="313">
        <f t="shared" si="9"/>
        <v>580.56875274834715</v>
      </c>
      <c r="Q13" s="313">
        <f>SUM(-tanks!AX15*tanks!$AU$37)</f>
        <v>401.36264596776198</v>
      </c>
      <c r="R13" s="313">
        <f t="shared" si="10"/>
        <v>981.93139871610913</v>
      </c>
      <c r="S13" s="316">
        <f>SUM(ELEC!N12)</f>
        <v>10518</v>
      </c>
      <c r="T13" s="352">
        <f t="shared" si="12"/>
        <v>9.3357235093754432E-2</v>
      </c>
      <c r="V13" s="271" t="str">
        <f>'[1]EDl log'!V30</f>
        <v>Occ %</v>
      </c>
      <c r="W13" s="271">
        <f>'[1]EDl log'!W30</f>
        <v>0.17442580645161299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21058272</v>
      </c>
      <c r="AC13" s="271">
        <f>'[1]EDl log'!AC30</f>
        <v>7234333</v>
      </c>
    </row>
    <row r="14" spans="1:30">
      <c r="A14" s="164">
        <f>ELEC!C13</f>
        <v>43872</v>
      </c>
      <c r="B14" s="568">
        <v>49482284</v>
      </c>
      <c r="C14" s="271">
        <f t="shared" si="4"/>
        <v>4810</v>
      </c>
      <c r="D14" s="325">
        <f t="shared" si="5"/>
        <v>4809</v>
      </c>
      <c r="E14" s="325">
        <f t="shared" si="11"/>
        <v>49482283</v>
      </c>
      <c r="F14" s="568">
        <v>7953523</v>
      </c>
      <c r="G14" s="161">
        <f t="shared" si="0"/>
        <v>960</v>
      </c>
      <c r="H14" s="568">
        <v>24367192</v>
      </c>
      <c r="I14" s="162">
        <f t="shared" si="1"/>
        <v>2161</v>
      </c>
      <c r="J14" s="568">
        <v>17161570</v>
      </c>
      <c r="K14" s="163">
        <f t="shared" si="2"/>
        <v>1688</v>
      </c>
      <c r="L14" s="312">
        <f t="shared" si="6"/>
        <v>203.78109452736319</v>
      </c>
      <c r="M14" s="312">
        <f t="shared" si="7"/>
        <v>160.5519071310116</v>
      </c>
      <c r="N14" s="312">
        <f t="shared" si="8"/>
        <v>89.578772802653404</v>
      </c>
      <c r="O14" s="312">
        <f t="shared" si="3"/>
        <v>131.24205291418454</v>
      </c>
      <c r="P14" s="313">
        <f t="shared" si="9"/>
        <v>585.1538273752127</v>
      </c>
      <c r="Q14" s="313">
        <f>SUM(-tanks!AX16*tanks!$AU$37)</f>
        <v>208.99274032255246</v>
      </c>
      <c r="R14" s="313">
        <f>SUM(P14:Q14)</f>
        <v>794.14656769776514</v>
      </c>
      <c r="S14" s="316">
        <f>SUM(ELEC!N13)</f>
        <v>10923</v>
      </c>
      <c r="T14" s="352">
        <f t="shared" si="12"/>
        <v>7.2704071015084235E-2</v>
      </c>
      <c r="V14" s="271" t="str">
        <f>'[1]EDl log'!V31</f>
        <v>Gen RH</v>
      </c>
      <c r="W14" s="271">
        <f>'[1]EDl log'!W31</f>
        <v>151</v>
      </c>
      <c r="X14" s="271">
        <f>'[1]EDl log'!X31</f>
        <v>4.870967741935484</v>
      </c>
      <c r="Y14" s="271">
        <f>'[1]EDl log'!Y31</f>
        <v>2.435483870967742</v>
      </c>
      <c r="Z14" s="3"/>
      <c r="AA14" s="3"/>
      <c r="AB14" s="271">
        <f>'[1]EDl log'!AB31</f>
        <v>28292605</v>
      </c>
      <c r="AC14" s="271">
        <f>'[1]EDl log'!AC31</f>
        <v>7234333</v>
      </c>
    </row>
    <row r="15" spans="1:30">
      <c r="A15" s="164">
        <f>ELEC!C14</f>
        <v>43873</v>
      </c>
      <c r="B15" s="568">
        <v>49487286</v>
      </c>
      <c r="C15" s="271">
        <f t="shared" si="4"/>
        <v>5002</v>
      </c>
      <c r="D15" s="325">
        <f t="shared" si="5"/>
        <v>5003</v>
      </c>
      <c r="E15" s="325">
        <f t="shared" si="11"/>
        <v>49487287</v>
      </c>
      <c r="F15" s="568">
        <v>7954266</v>
      </c>
      <c r="G15" s="161">
        <f t="shared" si="0"/>
        <v>743</v>
      </c>
      <c r="H15" s="568">
        <v>24369776</v>
      </c>
      <c r="I15" s="162">
        <f t="shared" si="1"/>
        <v>2584</v>
      </c>
      <c r="J15" s="568">
        <v>17163246</v>
      </c>
      <c r="K15" s="163">
        <f t="shared" si="2"/>
        <v>1676</v>
      </c>
      <c r="L15" s="312">
        <f t="shared" si="6"/>
        <v>157.71807628524047</v>
      </c>
      <c r="M15" s="312">
        <f t="shared" si="7"/>
        <v>191.9787728026534</v>
      </c>
      <c r="N15" s="312">
        <f t="shared" si="8"/>
        <v>88.941956882255383</v>
      </c>
      <c r="O15" s="312">
        <f t="shared" si="3"/>
        <v>131.24205291418454</v>
      </c>
      <c r="P15" s="313">
        <f t="shared" si="9"/>
        <v>569.88085888433375</v>
      </c>
      <c r="Q15" s="313">
        <f>SUM(-tanks!AX17*tanks!$AU$37)</f>
        <v>628.4811774193588</v>
      </c>
      <c r="R15" s="313">
        <f t="shared" si="10"/>
        <v>1198.3620363036925</v>
      </c>
      <c r="S15" s="316">
        <f>SUM(ELEC!N14)</f>
        <v>11363.399999999907</v>
      </c>
      <c r="T15" s="352">
        <f t="shared" si="12"/>
        <v>0.10545805272222243</v>
      </c>
      <c r="V15" s="271" t="str">
        <f>'[1]EDl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/>
      <c r="AC15" s="271"/>
    </row>
    <row r="16" spans="1:30">
      <c r="A16" s="164">
        <f>ELEC!C15</f>
        <v>43874</v>
      </c>
      <c r="B16" s="568">
        <v>49492195</v>
      </c>
      <c r="C16" s="271">
        <f t="shared" si="4"/>
        <v>4909</v>
      </c>
      <c r="D16" s="325">
        <f t="shared" si="5"/>
        <v>4907</v>
      </c>
      <c r="E16" s="325">
        <f t="shared" si="11"/>
        <v>49492193</v>
      </c>
      <c r="F16" s="568">
        <v>7954905</v>
      </c>
      <c r="G16" s="161">
        <f t="shared" si="0"/>
        <v>639</v>
      </c>
      <c r="H16" s="568">
        <v>24372318</v>
      </c>
      <c r="I16" s="162">
        <f t="shared" si="1"/>
        <v>2542</v>
      </c>
      <c r="J16" s="568">
        <v>17164972</v>
      </c>
      <c r="K16" s="163">
        <f t="shared" si="2"/>
        <v>1726</v>
      </c>
      <c r="L16" s="312">
        <f t="shared" si="6"/>
        <v>135.64179104477611</v>
      </c>
      <c r="M16" s="312">
        <f t="shared" si="7"/>
        <v>188.85837479270316</v>
      </c>
      <c r="N16" s="312">
        <f t="shared" si="8"/>
        <v>91.595356550580433</v>
      </c>
      <c r="O16" s="312">
        <f t="shared" si="3"/>
        <v>131.24205291418454</v>
      </c>
      <c r="P16" s="313">
        <f t="shared" si="9"/>
        <v>547.3375753022442</v>
      </c>
      <c r="Q16" s="313">
        <f>SUM(-tanks!AX18*tanks!$AU$37)</f>
        <v>278.23438709677868</v>
      </c>
      <c r="R16" s="313">
        <f t="shared" si="10"/>
        <v>825.57196239902282</v>
      </c>
      <c r="S16" s="316">
        <f>SUM(ELEC!N15)</f>
        <v>11590.600000000093</v>
      </c>
      <c r="T16" s="352">
        <f t="shared" si="12"/>
        <v>7.1227715769590541E-2</v>
      </c>
      <c r="V16" s="271" t="str">
        <f>'[1]EDl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/>
      <c r="AC16" s="271"/>
    </row>
    <row r="17" spans="1:32">
      <c r="A17" s="164">
        <f>ELEC!C16</f>
        <v>43875</v>
      </c>
      <c r="B17" s="568">
        <v>49498330</v>
      </c>
      <c r="C17" s="271">
        <f t="shared" si="4"/>
        <v>6135</v>
      </c>
      <c r="D17" s="325">
        <f t="shared" si="5"/>
        <v>6135</v>
      </c>
      <c r="E17" s="325">
        <f t="shared" si="11"/>
        <v>49498330</v>
      </c>
      <c r="F17" s="568">
        <v>7956142</v>
      </c>
      <c r="G17" s="161">
        <f t="shared" si="0"/>
        <v>1237</v>
      </c>
      <c r="H17" s="568">
        <v>24375191</v>
      </c>
      <c r="I17" s="162">
        <f t="shared" si="1"/>
        <v>2873</v>
      </c>
      <c r="J17" s="568">
        <v>17166997</v>
      </c>
      <c r="K17" s="163">
        <f t="shared" si="2"/>
        <v>2025</v>
      </c>
      <c r="L17" s="312">
        <f t="shared" si="6"/>
        <v>262.58043117744609</v>
      </c>
      <c r="M17" s="312">
        <f t="shared" si="7"/>
        <v>213.45008291873964</v>
      </c>
      <c r="N17" s="312">
        <f t="shared" si="8"/>
        <v>107.46268656716418</v>
      </c>
      <c r="O17" s="312">
        <f t="shared" si="3"/>
        <v>131.24205291418454</v>
      </c>
      <c r="P17" s="313">
        <f t="shared" si="9"/>
        <v>714.73525357753442</v>
      </c>
      <c r="Q17" s="313">
        <f>SUM(-tanks!AX19*tanks!$AU$37)</f>
        <v>319.92353629032061</v>
      </c>
      <c r="R17" s="313">
        <f t="shared" si="10"/>
        <v>1034.6587898678549</v>
      </c>
      <c r="S17" s="316">
        <f>SUM(ELEC!N16)</f>
        <v>13973</v>
      </c>
      <c r="T17" s="352">
        <f t="shared" si="12"/>
        <v>7.4047004212971793E-2</v>
      </c>
      <c r="V17" s="259"/>
      <c r="W17" s="271">
        <f>'[1]EDl log'!W34</f>
        <v>0</v>
      </c>
      <c r="X17" s="3"/>
      <c r="Y17" s="455"/>
      <c r="Z17" s="455" t="str">
        <f>'[6]EDl log'!Z34</f>
        <v xml:space="preserve">VAT </v>
      </c>
      <c r="AA17" s="548">
        <f>'[7]EDl log'!$AA$35</f>
        <v>0.11</v>
      </c>
      <c r="AB17" s="271"/>
      <c r="AC17" s="271"/>
    </row>
    <row r="18" spans="1:32" ht="15.75" thickBot="1">
      <c r="A18" s="164">
        <f>ELEC!C17</f>
        <v>43876</v>
      </c>
      <c r="B18" s="568">
        <v>49503848</v>
      </c>
      <c r="C18" s="271">
        <f t="shared" si="4"/>
        <v>5518</v>
      </c>
      <c r="D18" s="325">
        <f t="shared" si="5"/>
        <v>5519</v>
      </c>
      <c r="E18" s="325">
        <f t="shared" si="11"/>
        <v>49503849</v>
      </c>
      <c r="F18" s="568">
        <v>7957060</v>
      </c>
      <c r="G18" s="161">
        <f t="shared" si="0"/>
        <v>918</v>
      </c>
      <c r="H18" s="568">
        <v>24377592</v>
      </c>
      <c r="I18" s="162">
        <f t="shared" si="1"/>
        <v>2401</v>
      </c>
      <c r="J18" s="568">
        <v>17169197</v>
      </c>
      <c r="K18" s="163">
        <f t="shared" si="2"/>
        <v>2200</v>
      </c>
      <c r="L18" s="312">
        <f t="shared" si="6"/>
        <v>194.86567164179104</v>
      </c>
      <c r="M18" s="312">
        <f t="shared" si="7"/>
        <v>178.38275290215589</v>
      </c>
      <c r="N18" s="312">
        <f t="shared" si="8"/>
        <v>116.74958540630182</v>
      </c>
      <c r="O18" s="312">
        <f t="shared" si="3"/>
        <v>131.24205291418454</v>
      </c>
      <c r="P18" s="313">
        <f t="shared" si="9"/>
        <v>621.2400628644333</v>
      </c>
      <c r="Q18" s="313">
        <f>SUM(-tanks!AX20*tanks!$AU$37)</f>
        <v>752.44441209676177</v>
      </c>
      <c r="R18" s="313">
        <f t="shared" si="10"/>
        <v>1373.6844749611951</v>
      </c>
      <c r="S18" s="316">
        <f>SUM(ELEC!N17)</f>
        <v>13170.799999999814</v>
      </c>
      <c r="T18" s="352">
        <f t="shared" si="12"/>
        <v>0.10429772488848169</v>
      </c>
      <c r="V18" s="233"/>
      <c r="W18" s="234"/>
      <c r="X18" s="234"/>
      <c r="Y18" s="455"/>
      <c r="Z18" s="455"/>
      <c r="AA18" s="45"/>
      <c r="AB18" s="271">
        <f>'[1]EDl log'!AB35</f>
        <v>3112186.55</v>
      </c>
      <c r="AC18" s="271"/>
    </row>
    <row r="19" spans="1:32" ht="15.75" thickBot="1">
      <c r="A19" s="164">
        <f>ELEC!C18</f>
        <v>43877</v>
      </c>
      <c r="B19" s="568">
        <v>49510352</v>
      </c>
      <c r="C19" s="271">
        <f t="shared" si="4"/>
        <v>6504</v>
      </c>
      <c r="D19" s="325">
        <f t="shared" si="5"/>
        <v>6503</v>
      </c>
      <c r="E19" s="325">
        <f t="shared" si="11"/>
        <v>49510351</v>
      </c>
      <c r="F19" s="568">
        <v>7958267</v>
      </c>
      <c r="G19" s="161">
        <f>F19-F18</f>
        <v>1207</v>
      </c>
      <c r="H19" s="568">
        <v>24380984</v>
      </c>
      <c r="I19" s="162">
        <f t="shared" si="1"/>
        <v>3392</v>
      </c>
      <c r="J19" s="568">
        <v>17171101</v>
      </c>
      <c r="K19" s="163">
        <f t="shared" si="2"/>
        <v>1904</v>
      </c>
      <c r="L19" s="312">
        <f t="shared" si="6"/>
        <v>256.21227197346599</v>
      </c>
      <c r="M19" s="312">
        <f t="shared" si="7"/>
        <v>252.00928689883915</v>
      </c>
      <c r="N19" s="312">
        <f t="shared" si="8"/>
        <v>101.04145936981757</v>
      </c>
      <c r="O19" s="312">
        <f t="shared" si="3"/>
        <v>131.24205291418454</v>
      </c>
      <c r="P19" s="313">
        <f t="shared" si="9"/>
        <v>740.50507115630728</v>
      </c>
      <c r="Q19" s="313">
        <f>SUM(-tanks!AX21*tanks!$AU$37)</f>
        <v>279.11366774193817</v>
      </c>
      <c r="R19" s="313">
        <f t="shared" si="10"/>
        <v>1019.6187388982455</v>
      </c>
      <c r="S19" s="316">
        <f>SUM(ELEC!N18)</f>
        <v>13465.200000000186</v>
      </c>
      <c r="T19" s="352">
        <f t="shared" si="12"/>
        <v>7.5722509795489959E-2</v>
      </c>
      <c r="V19" s="233"/>
      <c r="W19" s="234"/>
      <c r="X19" s="234"/>
      <c r="Y19" s="455"/>
      <c r="Z19" s="455"/>
      <c r="AA19" s="234" t="s">
        <v>215</v>
      </c>
      <c r="AB19" s="271">
        <f>'[1]EDl log'!AB36</f>
        <v>31404791.550000001</v>
      </c>
      <c r="AC19" s="271"/>
    </row>
    <row r="20" spans="1:32" ht="15.75" thickBot="1">
      <c r="A20" s="164">
        <f>ELEC!C19</f>
        <v>43878</v>
      </c>
      <c r="B20" s="568">
        <v>49516213</v>
      </c>
      <c r="C20" s="271">
        <f t="shared" si="4"/>
        <v>5861</v>
      </c>
      <c r="D20" s="325">
        <f t="shared" si="5"/>
        <v>5861</v>
      </c>
      <c r="E20" s="325">
        <f t="shared" si="11"/>
        <v>49516213</v>
      </c>
      <c r="F20" s="568">
        <v>7958922</v>
      </c>
      <c r="G20" s="161">
        <f t="shared" si="0"/>
        <v>655</v>
      </c>
      <c r="H20" s="568">
        <v>24384084</v>
      </c>
      <c r="I20" s="162">
        <f t="shared" si="1"/>
        <v>3100</v>
      </c>
      <c r="J20" s="568">
        <v>17173207</v>
      </c>
      <c r="K20" s="163">
        <f t="shared" si="2"/>
        <v>2106</v>
      </c>
      <c r="L20" s="312">
        <f t="shared" si="6"/>
        <v>139.03814262023218</v>
      </c>
      <c r="M20" s="312">
        <f t="shared" si="7"/>
        <v>230.31509121061359</v>
      </c>
      <c r="N20" s="312">
        <f t="shared" si="8"/>
        <v>111.76119402985074</v>
      </c>
      <c r="O20" s="312">
        <f t="shared" si="3"/>
        <v>131.24205291418454</v>
      </c>
      <c r="P20" s="313">
        <f t="shared" si="9"/>
        <v>612.35648077488099</v>
      </c>
      <c r="Q20" s="313">
        <f>SUM(-tanks!AX22*tanks!$AU$37)</f>
        <v>382.30134112902977</v>
      </c>
      <c r="R20" s="313">
        <f t="shared" si="10"/>
        <v>994.65782190391076</v>
      </c>
      <c r="S20" s="316">
        <f>SUM(ELEC!N19)</f>
        <v>13492</v>
      </c>
      <c r="T20" s="352">
        <f t="shared" si="12"/>
        <v>7.3722044315439578E-2</v>
      </c>
      <c r="AB20" s="271"/>
    </row>
    <row r="21" spans="1:32">
      <c r="A21" s="164">
        <f>ELEC!C20</f>
        <v>43879</v>
      </c>
      <c r="B21" s="568">
        <v>49521193</v>
      </c>
      <c r="C21" s="271">
        <f t="shared" si="4"/>
        <v>4980</v>
      </c>
      <c r="D21" s="325">
        <f t="shared" si="5"/>
        <v>4980</v>
      </c>
      <c r="E21" s="325">
        <f t="shared" si="11"/>
        <v>49521193</v>
      </c>
      <c r="F21" s="568">
        <v>7960053</v>
      </c>
      <c r="G21" s="161">
        <f t="shared" si="0"/>
        <v>1131</v>
      </c>
      <c r="H21" s="568">
        <v>24386402</v>
      </c>
      <c r="I21" s="162">
        <f t="shared" si="1"/>
        <v>2318</v>
      </c>
      <c r="J21" s="568">
        <v>17174738</v>
      </c>
      <c r="K21" s="163">
        <f t="shared" si="2"/>
        <v>1531</v>
      </c>
      <c r="L21" s="312">
        <f t="shared" si="6"/>
        <v>240.07960199004975</v>
      </c>
      <c r="M21" s="312">
        <f t="shared" si="7"/>
        <v>172.2162520729685</v>
      </c>
      <c r="N21" s="312">
        <f t="shared" si="8"/>
        <v>81.247097844112773</v>
      </c>
      <c r="O21" s="312">
        <f t="shared" si="3"/>
        <v>131.24205291418454</v>
      </c>
      <c r="P21" s="313">
        <f t="shared" si="9"/>
        <v>624.78500482131562</v>
      </c>
      <c r="Q21" s="313">
        <f>SUM(-tanks!AX23*tanks!$AU$37)</f>
        <v>-817.32884838708082</v>
      </c>
      <c r="R21" s="313">
        <f t="shared" si="10"/>
        <v>-192.5438435657652</v>
      </c>
      <c r="S21" s="316">
        <f>SUM(ELEC!N20)</f>
        <v>11885</v>
      </c>
      <c r="T21" s="352">
        <f t="shared" si="12"/>
        <v>-1.6200575815377805E-2</v>
      </c>
      <c r="V21" s="167" t="s">
        <v>201</v>
      </c>
      <c r="W21" s="168">
        <v>43881</v>
      </c>
      <c r="X21" s="169"/>
      <c r="Y21" s="169"/>
      <c r="Z21" s="170" t="s">
        <v>202</v>
      </c>
      <c r="AA21" s="169"/>
      <c r="AB21" s="633"/>
      <c r="AC21" s="634"/>
    </row>
    <row r="22" spans="1:32">
      <c r="A22" s="164">
        <f>ELEC!C21</f>
        <v>43880</v>
      </c>
      <c r="B22" s="568">
        <v>49526042</v>
      </c>
      <c r="C22" s="271">
        <f t="shared" si="4"/>
        <v>4849</v>
      </c>
      <c r="D22" s="325">
        <f t="shared" si="5"/>
        <v>4849</v>
      </c>
      <c r="E22" s="325">
        <f t="shared" si="11"/>
        <v>49526042</v>
      </c>
      <c r="F22" s="568">
        <v>7960782</v>
      </c>
      <c r="G22" s="161">
        <f t="shared" si="0"/>
        <v>729</v>
      </c>
      <c r="H22" s="568">
        <v>24388662</v>
      </c>
      <c r="I22" s="162">
        <f t="shared" si="1"/>
        <v>2260</v>
      </c>
      <c r="J22" s="568">
        <v>17176598</v>
      </c>
      <c r="K22" s="163">
        <f t="shared" si="2"/>
        <v>1860</v>
      </c>
      <c r="L22" s="312">
        <f t="shared" si="6"/>
        <v>154.74626865671641</v>
      </c>
      <c r="M22" s="312">
        <f t="shared" si="7"/>
        <v>167.90713101160861</v>
      </c>
      <c r="N22" s="312">
        <f t="shared" si="8"/>
        <v>98.706467661691548</v>
      </c>
      <c r="O22" s="312">
        <f t="shared" si="3"/>
        <v>131.24205291418454</v>
      </c>
      <c r="P22" s="313">
        <f t="shared" si="9"/>
        <v>552.6019202442011</v>
      </c>
      <c r="Q22" s="313">
        <f>SUM(-tanks!AX24*tanks!$AU$37)</f>
        <v>770.39979999998923</v>
      </c>
      <c r="R22" s="313">
        <f t="shared" si="10"/>
        <v>1323.0017202441904</v>
      </c>
      <c r="S22" s="316">
        <f>SUM(ELEC!N21)</f>
        <v>12076</v>
      </c>
      <c r="T22" s="352">
        <f t="shared" si="12"/>
        <v>0.10955628687017145</v>
      </c>
      <c r="V22" s="639"/>
      <c r="W22" s="640"/>
      <c r="X22" s="640"/>
      <c r="Y22" s="641"/>
      <c r="Z22" s="26" t="s">
        <v>203</v>
      </c>
      <c r="AA22" s="26">
        <v>5000</v>
      </c>
      <c r="AB22" s="635"/>
      <c r="AC22" s="636"/>
    </row>
    <row r="23" spans="1:32">
      <c r="A23" s="164">
        <f>ELEC!C22</f>
        <v>43881</v>
      </c>
      <c r="B23" s="568">
        <v>49531452</v>
      </c>
      <c r="C23" s="271">
        <f t="shared" si="4"/>
        <v>5410</v>
      </c>
      <c r="D23" s="325">
        <f t="shared" si="5"/>
        <v>5410</v>
      </c>
      <c r="E23" s="325">
        <f t="shared" si="11"/>
        <v>49531452</v>
      </c>
      <c r="F23" s="568">
        <v>7961758</v>
      </c>
      <c r="G23" s="161">
        <f t="shared" si="0"/>
        <v>976</v>
      </c>
      <c r="H23" s="568">
        <v>24391629</v>
      </c>
      <c r="I23" s="162">
        <f t="shared" si="1"/>
        <v>2967</v>
      </c>
      <c r="J23" s="568">
        <v>17178065</v>
      </c>
      <c r="K23" s="163">
        <f t="shared" si="2"/>
        <v>1467</v>
      </c>
      <c r="L23" s="312">
        <f t="shared" si="6"/>
        <v>207.17744610281923</v>
      </c>
      <c r="M23" s="312">
        <f t="shared" si="7"/>
        <v>220.43383084577115</v>
      </c>
      <c r="N23" s="312">
        <f t="shared" si="8"/>
        <v>77.850746268656721</v>
      </c>
      <c r="O23" s="312">
        <f t="shared" si="3"/>
        <v>131.24205291418454</v>
      </c>
      <c r="P23" s="313">
        <f t="shared" si="9"/>
        <v>636.70407613143163</v>
      </c>
      <c r="Q23" s="313">
        <f>SUM(-tanks!AX25*tanks!$AU$37)</f>
        <v>321.55088709677096</v>
      </c>
      <c r="R23" s="313">
        <f t="shared" si="10"/>
        <v>958.25496322820254</v>
      </c>
      <c r="S23" s="316">
        <f>SUM(ELEC!N22)</f>
        <v>12383</v>
      </c>
      <c r="T23" s="352">
        <f t="shared" si="12"/>
        <v>7.7384718018913237E-2</v>
      </c>
      <c r="V23" s="642"/>
      <c r="W23" s="643"/>
      <c r="X23" s="643"/>
      <c r="Y23" s="644"/>
      <c r="Z23" s="645"/>
      <c r="AA23" s="646"/>
      <c r="AB23" s="635"/>
      <c r="AC23" s="636"/>
    </row>
    <row r="24" spans="1:32" ht="15" customHeight="1">
      <c r="A24" s="164">
        <f>ELEC!C23</f>
        <v>43882</v>
      </c>
      <c r="B24" s="568">
        <v>49537279</v>
      </c>
      <c r="C24" s="271">
        <f t="shared" si="4"/>
        <v>5827</v>
      </c>
      <c r="D24" s="325">
        <f t="shared" si="5"/>
        <v>5827</v>
      </c>
      <c r="E24" s="325">
        <f t="shared" si="11"/>
        <v>49537279</v>
      </c>
      <c r="F24" s="568">
        <v>7962460</v>
      </c>
      <c r="G24" s="161">
        <f t="shared" si="0"/>
        <v>702</v>
      </c>
      <c r="H24" s="568">
        <v>24394688</v>
      </c>
      <c r="I24" s="162">
        <f t="shared" si="1"/>
        <v>3059</v>
      </c>
      <c r="J24" s="568">
        <v>17180131</v>
      </c>
      <c r="K24" s="163">
        <f t="shared" si="2"/>
        <v>2066</v>
      </c>
      <c r="L24" s="312">
        <f t="shared" si="6"/>
        <v>149.01492537313433</v>
      </c>
      <c r="M24" s="312">
        <f t="shared" si="7"/>
        <v>227.26898839137644</v>
      </c>
      <c r="N24" s="312">
        <f t="shared" si="8"/>
        <v>109.63847429519072</v>
      </c>
      <c r="O24" s="312">
        <f t="shared" si="3"/>
        <v>131.24205291418454</v>
      </c>
      <c r="P24" s="313">
        <f t="shared" si="9"/>
        <v>617.16444097388603</v>
      </c>
      <c r="Q24" s="313">
        <f>SUM(-tanks!AX26*tanks!$AU$37)</f>
        <v>151.82416209679249</v>
      </c>
      <c r="R24" s="313">
        <f t="shared" si="10"/>
        <v>768.98860307067855</v>
      </c>
      <c r="S24" s="316">
        <f>SUM(ELEC!N23)</f>
        <v>13537</v>
      </c>
      <c r="T24" s="352">
        <f t="shared" si="12"/>
        <v>5.6806427057005136E-2</v>
      </c>
      <c r="V24" s="647" t="s">
        <v>204</v>
      </c>
      <c r="W24" s="648"/>
      <c r="X24" s="649" t="s">
        <v>205</v>
      </c>
      <c r="Y24" s="650"/>
      <c r="Z24" s="651"/>
      <c r="AA24" s="171"/>
      <c r="AB24" s="637"/>
      <c r="AC24" s="638"/>
    </row>
    <row r="25" spans="1:32" ht="17.25" customHeight="1">
      <c r="A25" s="164">
        <f>ELEC!C24</f>
        <v>43883</v>
      </c>
      <c r="B25" s="568">
        <v>49543046</v>
      </c>
      <c r="C25" s="271">
        <f t="shared" si="4"/>
        <v>5767</v>
      </c>
      <c r="D25" s="325">
        <f t="shared" si="5"/>
        <v>5766</v>
      </c>
      <c r="E25" s="325">
        <f t="shared" si="11"/>
        <v>49543045</v>
      </c>
      <c r="F25" s="568">
        <v>7963426</v>
      </c>
      <c r="G25" s="161">
        <f t="shared" si="0"/>
        <v>966</v>
      </c>
      <c r="H25" s="568">
        <v>24397045</v>
      </c>
      <c r="I25" s="162">
        <f t="shared" si="1"/>
        <v>2357</v>
      </c>
      <c r="J25" s="568">
        <v>17182574</v>
      </c>
      <c r="K25" s="163">
        <f t="shared" si="2"/>
        <v>2443</v>
      </c>
      <c r="L25" s="312">
        <f t="shared" si="6"/>
        <v>205.05472636815921</v>
      </c>
      <c r="M25" s="312">
        <f t="shared" si="7"/>
        <v>175.11376451077945</v>
      </c>
      <c r="N25" s="312">
        <f t="shared" si="8"/>
        <v>129.64510779436154</v>
      </c>
      <c r="O25" s="312">
        <f t="shared" si="3"/>
        <v>131.24205291418454</v>
      </c>
      <c r="P25" s="313">
        <f t="shared" si="9"/>
        <v>641.0556515874847</v>
      </c>
      <c r="Q25" s="313">
        <f>SUM(-tanks!AX27*tanks!$AU$37)</f>
        <v>852.81702419353428</v>
      </c>
      <c r="R25" s="313">
        <f t="shared" si="10"/>
        <v>1493.8726757810191</v>
      </c>
      <c r="S25" s="316">
        <f>SUM(ELEC!N24)</f>
        <v>13772</v>
      </c>
      <c r="T25" s="352">
        <f t="shared" si="12"/>
        <v>0.10847173074215939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43884</v>
      </c>
      <c r="B26" s="568">
        <v>49548451</v>
      </c>
      <c r="C26" s="271">
        <f t="shared" si="4"/>
        <v>5405</v>
      </c>
      <c r="D26" s="325">
        <f t="shared" si="5"/>
        <v>5406</v>
      </c>
      <c r="E26" s="325">
        <f t="shared" si="11"/>
        <v>49548452</v>
      </c>
      <c r="F26" s="568">
        <v>7963821</v>
      </c>
      <c r="G26" s="161">
        <f t="shared" si="0"/>
        <v>395</v>
      </c>
      <c r="H26" s="568">
        <v>24399388</v>
      </c>
      <c r="I26" s="162">
        <f t="shared" si="1"/>
        <v>2343</v>
      </c>
      <c r="J26" s="568">
        <v>17185242</v>
      </c>
      <c r="K26" s="163">
        <f t="shared" si="2"/>
        <v>2668</v>
      </c>
      <c r="L26" s="312">
        <f t="shared" si="6"/>
        <v>83.847429519071312</v>
      </c>
      <c r="M26" s="312">
        <f t="shared" si="7"/>
        <v>174.07363184079603</v>
      </c>
      <c r="N26" s="312">
        <f t="shared" si="8"/>
        <v>141.58540630182421</v>
      </c>
      <c r="O26" s="312">
        <f t="shared" si="3"/>
        <v>131.24205291418454</v>
      </c>
      <c r="P26" s="313">
        <f t="shared" si="9"/>
        <v>530.74852057587611</v>
      </c>
      <c r="Q26" s="313">
        <f>SUM(-tanks!AX28*tanks!$AU$37)</f>
        <v>746.65070241937269</v>
      </c>
      <c r="R26" s="313">
        <f t="shared" si="10"/>
        <v>1277.3992229952487</v>
      </c>
      <c r="S26" s="316">
        <f>SUM(ELEC!N25)</f>
        <v>14299</v>
      </c>
      <c r="T26" s="352">
        <f t="shared" si="12"/>
        <v>8.9334864185974458E-2</v>
      </c>
      <c r="V26" s="260">
        <f>W9</f>
        <v>17141733</v>
      </c>
      <c r="W26" s="171">
        <f>J32</f>
        <v>17185242</v>
      </c>
      <c r="X26" s="173" t="s">
        <v>199</v>
      </c>
      <c r="Y26" s="173">
        <v>80</v>
      </c>
      <c r="Z26" s="173">
        <v>1</v>
      </c>
      <c r="AA26" s="200">
        <f>(W26-V26)*Z26</f>
        <v>43509</v>
      </c>
      <c r="AB26" s="200">
        <f>AA26*Y26</f>
        <v>3480720</v>
      </c>
      <c r="AC26" s="255">
        <f>AC9</f>
        <v>1033333</v>
      </c>
      <c r="AD26" s="216">
        <f>SUM(K35)</f>
        <v>0.35905328568952855</v>
      </c>
    </row>
    <row r="27" spans="1:32">
      <c r="A27" s="164">
        <f>ELEC!C26</f>
        <v>43885</v>
      </c>
      <c r="B27" s="568">
        <f t="shared" ref="B27:B32" si="13">B26</f>
        <v>49548451</v>
      </c>
      <c r="C27" s="271">
        <f t="shared" si="4"/>
        <v>0</v>
      </c>
      <c r="D27" s="325">
        <f t="shared" si="5"/>
        <v>0</v>
      </c>
      <c r="E27" s="325">
        <f t="shared" si="11"/>
        <v>49548451</v>
      </c>
      <c r="F27" s="568">
        <f t="shared" ref="F27:F32" si="14">F26</f>
        <v>7963821</v>
      </c>
      <c r="G27" s="161">
        <f t="shared" si="0"/>
        <v>0</v>
      </c>
      <c r="H27" s="568">
        <f t="shared" ref="H27:H32" si="15">H26</f>
        <v>24399388</v>
      </c>
      <c r="I27" s="162">
        <f t="shared" si="1"/>
        <v>0</v>
      </c>
      <c r="J27" s="568">
        <f t="shared" ref="J27:J32" si="16">J26</f>
        <v>17185242</v>
      </c>
      <c r="K27" s="163">
        <f t="shared" si="2"/>
        <v>0</v>
      </c>
      <c r="L27" s="312">
        <f t="shared" si="6"/>
        <v>0</v>
      </c>
      <c r="M27" s="312">
        <f t="shared" si="7"/>
        <v>0</v>
      </c>
      <c r="N27" s="312">
        <f t="shared" si="8"/>
        <v>0</v>
      </c>
      <c r="O27" s="312">
        <f t="shared" si="3"/>
        <v>131.24205291418454</v>
      </c>
      <c r="P27" s="313">
        <f t="shared" si="9"/>
        <v>131.24205291418454</v>
      </c>
      <c r="Q27" s="313">
        <f>SUM(-tanks!AX29*tanks!$AU$37)</f>
        <v>0</v>
      </c>
      <c r="R27" s="313">
        <f t="shared" si="10"/>
        <v>131.24205291418454</v>
      </c>
      <c r="S27" s="316">
        <f>SUM(ELEC!N26)</f>
        <v>0</v>
      </c>
      <c r="T27" s="352">
        <f t="shared" si="12"/>
        <v>0</v>
      </c>
      <c r="V27" s="260">
        <f>W10</f>
        <v>24340859</v>
      </c>
      <c r="W27" s="171">
        <f>H32</f>
        <v>24399388</v>
      </c>
      <c r="X27" s="173" t="s">
        <v>213</v>
      </c>
      <c r="Y27" s="173">
        <v>112</v>
      </c>
      <c r="Z27" s="173">
        <v>1</v>
      </c>
      <c r="AA27" s="200">
        <f>(W27-V27)*Z27</f>
        <v>58529</v>
      </c>
      <c r="AB27" s="200">
        <f>SUM(AA27*Y27)</f>
        <v>6555248</v>
      </c>
      <c r="AC27" s="255">
        <f>AC10</f>
        <v>6200000</v>
      </c>
      <c r="AD27" s="216">
        <f>SUM(I35)</f>
        <v>0.48300420046708537</v>
      </c>
    </row>
    <row r="28" spans="1:32">
      <c r="A28" s="164">
        <f>ELEC!C27</f>
        <v>43886</v>
      </c>
      <c r="B28" s="568">
        <f t="shared" si="13"/>
        <v>49548451</v>
      </c>
      <c r="C28" s="271">
        <f t="shared" si="4"/>
        <v>0</v>
      </c>
      <c r="D28" s="325">
        <f t="shared" si="5"/>
        <v>0</v>
      </c>
      <c r="E28" s="325">
        <f t="shared" si="11"/>
        <v>49548451</v>
      </c>
      <c r="F28" s="568">
        <f t="shared" si="14"/>
        <v>7963821</v>
      </c>
      <c r="G28" s="161">
        <f t="shared" si="0"/>
        <v>0</v>
      </c>
      <c r="H28" s="568">
        <f t="shared" si="15"/>
        <v>24399388</v>
      </c>
      <c r="I28" s="162">
        <f t="shared" si="1"/>
        <v>0</v>
      </c>
      <c r="J28" s="568">
        <f t="shared" si="16"/>
        <v>17185242</v>
      </c>
      <c r="K28" s="163">
        <f t="shared" si="2"/>
        <v>0</v>
      </c>
      <c r="L28" s="312">
        <f t="shared" si="6"/>
        <v>0</v>
      </c>
      <c r="M28" s="312">
        <f t="shared" si="7"/>
        <v>0</v>
      </c>
      <c r="N28" s="312">
        <f t="shared" si="8"/>
        <v>0</v>
      </c>
      <c r="O28" s="312">
        <f t="shared" si="3"/>
        <v>131.24205291418454</v>
      </c>
      <c r="P28" s="313">
        <f t="shared" si="9"/>
        <v>131.24205291418454</v>
      </c>
      <c r="Q28" s="313">
        <f>SUM(-tanks!AX30*tanks!$AU$37)</f>
        <v>0</v>
      </c>
      <c r="R28" s="313">
        <f t="shared" si="10"/>
        <v>131.24205291418454</v>
      </c>
      <c r="S28" s="316">
        <f>SUM(ELEC!N27)</f>
        <v>0</v>
      </c>
      <c r="T28" s="352">
        <f t="shared" si="12"/>
        <v>0</v>
      </c>
      <c r="V28" s="260">
        <f>W11</f>
        <v>7944681</v>
      </c>
      <c r="W28" s="171">
        <f>F32</f>
        <v>7963821</v>
      </c>
      <c r="X28" s="173" t="s">
        <v>197</v>
      </c>
      <c r="Y28" s="173">
        <v>320</v>
      </c>
      <c r="Z28" s="173">
        <v>1</v>
      </c>
      <c r="AA28" s="200">
        <f>(W28-V28)*Z28</f>
        <v>19140</v>
      </c>
      <c r="AB28" s="200">
        <f>SUM(AA28*Y28)</f>
        <v>6124800</v>
      </c>
      <c r="AC28" s="255">
        <f>AC11</f>
        <v>1000</v>
      </c>
      <c r="AD28" s="216">
        <f>SUM(G35)</f>
        <v>0.15795076623451645</v>
      </c>
      <c r="AE28" s="40">
        <f>SUM(AB28*5%)</f>
        <v>306240</v>
      </c>
      <c r="AF28" s="83">
        <f>SUM(AE28/7)*31</f>
        <v>1356205.7142857143</v>
      </c>
    </row>
    <row r="29" spans="1:32">
      <c r="A29" s="164">
        <f>ELEC!C28</f>
        <v>43887</v>
      </c>
      <c r="B29" s="568">
        <f t="shared" si="13"/>
        <v>49548451</v>
      </c>
      <c r="C29" s="271">
        <f t="shared" si="4"/>
        <v>0</v>
      </c>
      <c r="D29" s="325">
        <f t="shared" si="5"/>
        <v>0</v>
      </c>
      <c r="E29" s="325">
        <f t="shared" si="11"/>
        <v>49548451</v>
      </c>
      <c r="F29" s="568">
        <f t="shared" si="14"/>
        <v>7963821</v>
      </c>
      <c r="G29" s="161">
        <f t="shared" si="0"/>
        <v>0</v>
      </c>
      <c r="H29" s="568">
        <f t="shared" si="15"/>
        <v>24399388</v>
      </c>
      <c r="I29" s="162">
        <f t="shared" si="1"/>
        <v>0</v>
      </c>
      <c r="J29" s="568">
        <f t="shared" si="16"/>
        <v>17185242</v>
      </c>
      <c r="K29" s="163">
        <f t="shared" si="2"/>
        <v>0</v>
      </c>
      <c r="L29" s="312">
        <f t="shared" si="6"/>
        <v>0</v>
      </c>
      <c r="M29" s="312">
        <f t="shared" si="7"/>
        <v>0</v>
      </c>
      <c r="N29" s="312">
        <f t="shared" si="8"/>
        <v>0</v>
      </c>
      <c r="O29" s="312">
        <f t="shared" si="3"/>
        <v>131.24205291418454</v>
      </c>
      <c r="P29" s="313">
        <f t="shared" si="9"/>
        <v>131.24205291418454</v>
      </c>
      <c r="Q29" s="313">
        <f>SUM(-tanks!AX31*tanks!$AU$37)</f>
        <v>0</v>
      </c>
      <c r="R29" s="313">
        <f t="shared" si="10"/>
        <v>131.24205291418454</v>
      </c>
      <c r="S29" s="316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7">
        <f>SUM(AA26:AA28)</f>
        <v>121178</v>
      </c>
      <c r="AB29" s="200"/>
      <c r="AC29" s="255"/>
    </row>
    <row r="30" spans="1:32" ht="14.25" customHeight="1">
      <c r="A30" s="164">
        <f>ELEC!C29</f>
        <v>43888</v>
      </c>
      <c r="B30" s="568">
        <f t="shared" si="13"/>
        <v>49548451</v>
      </c>
      <c r="C30" s="271">
        <f t="shared" si="4"/>
        <v>0</v>
      </c>
      <c r="D30" s="325">
        <f t="shared" si="5"/>
        <v>0</v>
      </c>
      <c r="E30" s="325">
        <f t="shared" si="11"/>
        <v>49548451</v>
      </c>
      <c r="F30" s="568">
        <f t="shared" si="14"/>
        <v>7963821</v>
      </c>
      <c r="G30" s="161">
        <f t="shared" si="0"/>
        <v>0</v>
      </c>
      <c r="H30" s="568">
        <f t="shared" si="15"/>
        <v>24399388</v>
      </c>
      <c r="I30" s="162">
        <f t="shared" si="1"/>
        <v>0</v>
      </c>
      <c r="J30" s="568">
        <f t="shared" si="16"/>
        <v>17185242</v>
      </c>
      <c r="K30" s="163">
        <f t="shared" si="2"/>
        <v>0</v>
      </c>
      <c r="L30" s="312">
        <f t="shared" si="6"/>
        <v>0</v>
      </c>
      <c r="M30" s="312">
        <f t="shared" si="7"/>
        <v>0</v>
      </c>
      <c r="N30" s="312">
        <f t="shared" si="8"/>
        <v>0</v>
      </c>
      <c r="O30" s="312">
        <f t="shared" si="3"/>
        <v>131.24205291418454</v>
      </c>
      <c r="P30" s="313">
        <f t="shared" si="9"/>
        <v>131.24205291418454</v>
      </c>
      <c r="Q30" s="313">
        <f>SUM(-tanks!AX32*tanks!$AU$37)</f>
        <v>0</v>
      </c>
      <c r="R30" s="313">
        <f t="shared" si="10"/>
        <v>131.24205291418454</v>
      </c>
      <c r="S30" s="316">
        <f>SUM(ELEC!N29)</f>
        <v>0</v>
      </c>
      <c r="T30" s="352">
        <f t="shared" si="12"/>
        <v>0</v>
      </c>
      <c r="V30" s="220" t="s">
        <v>317</v>
      </c>
      <c r="W30" s="474">
        <f>'General information '!F37</f>
        <v>0.19466086956521739</v>
      </c>
      <c r="X30" s="221"/>
      <c r="Y30" s="222" t="s">
        <v>332</v>
      </c>
      <c r="Z30" s="3"/>
      <c r="AA30" s="297"/>
      <c r="AB30" s="200">
        <f>SUM(AB26:AB29)</f>
        <v>16160768</v>
      </c>
      <c r="AC30" s="255">
        <f>SUM(AC26:AC29)/A36*A34</f>
        <v>5737574.4482758623</v>
      </c>
    </row>
    <row r="31" spans="1:32">
      <c r="A31" s="164">
        <f>ELEC!C30</f>
        <v>43889</v>
      </c>
      <c r="B31" s="568">
        <f t="shared" si="13"/>
        <v>49548451</v>
      </c>
      <c r="C31" s="271">
        <f t="shared" si="4"/>
        <v>0</v>
      </c>
      <c r="D31" s="325">
        <f t="shared" si="5"/>
        <v>0</v>
      </c>
      <c r="E31" s="325">
        <f t="shared" si="11"/>
        <v>49548451</v>
      </c>
      <c r="F31" s="568">
        <f t="shared" si="14"/>
        <v>7963821</v>
      </c>
      <c r="G31" s="161">
        <f t="shared" si="0"/>
        <v>0</v>
      </c>
      <c r="H31" s="568">
        <f t="shared" si="15"/>
        <v>24399388</v>
      </c>
      <c r="I31" s="162">
        <f t="shared" si="1"/>
        <v>0</v>
      </c>
      <c r="J31" s="568">
        <f t="shared" si="16"/>
        <v>17185242</v>
      </c>
      <c r="K31" s="163">
        <f t="shared" si="2"/>
        <v>0</v>
      </c>
      <c r="L31" s="312">
        <f t="shared" si="6"/>
        <v>0</v>
      </c>
      <c r="M31" s="312">
        <f t="shared" si="7"/>
        <v>0</v>
      </c>
      <c r="N31" s="312">
        <f t="shared" si="8"/>
        <v>0</v>
      </c>
      <c r="O31" s="312">
        <f t="shared" si="3"/>
        <v>131.24205291418454</v>
      </c>
      <c r="P31" s="313">
        <f t="shared" si="9"/>
        <v>131.24205291418454</v>
      </c>
      <c r="Q31" s="313">
        <f>SUM(-tanks!AX33*tanks!$AU$37)</f>
        <v>0</v>
      </c>
      <c r="R31" s="313">
        <f t="shared" si="10"/>
        <v>131.24205291418454</v>
      </c>
      <c r="S31" s="316">
        <f>SUM(ELEC!N30)</f>
        <v>0</v>
      </c>
      <c r="T31" s="352">
        <f t="shared" si="12"/>
        <v>0</v>
      </c>
      <c r="V31" s="220" t="s">
        <v>318</v>
      </c>
      <c r="W31" s="221">
        <f>SUM(GEN!U34)</f>
        <v>86.420000000000073</v>
      </c>
      <c r="X31" s="226">
        <f>SUM(W31/A34)</f>
        <v>3.7573913043478293</v>
      </c>
      <c r="Y31" s="267">
        <f>SUM(X31/2)</f>
        <v>1.8786956521739147</v>
      </c>
      <c r="Z31" s="3"/>
      <c r="AA31" s="3"/>
      <c r="AB31" s="200">
        <f>SUM(AB30+AC31)</f>
        <v>21898342.448275864</v>
      </c>
      <c r="AC31" s="255">
        <f>SUM(AC30)</f>
        <v>5737574.4482758623</v>
      </c>
    </row>
    <row r="32" spans="1:32">
      <c r="A32" s="164">
        <f>ELEC!C31</f>
        <v>43890</v>
      </c>
      <c r="B32" s="568">
        <f t="shared" si="13"/>
        <v>49548451</v>
      </c>
      <c r="C32" s="271">
        <f t="shared" si="4"/>
        <v>0</v>
      </c>
      <c r="D32" s="325">
        <f t="shared" si="5"/>
        <v>0</v>
      </c>
      <c r="E32" s="325">
        <f t="shared" si="11"/>
        <v>49548451</v>
      </c>
      <c r="F32" s="568">
        <f t="shared" si="14"/>
        <v>7963821</v>
      </c>
      <c r="G32" s="161">
        <f t="shared" si="0"/>
        <v>0</v>
      </c>
      <c r="H32" s="568">
        <f t="shared" si="15"/>
        <v>24399388</v>
      </c>
      <c r="I32" s="162">
        <f t="shared" si="1"/>
        <v>0</v>
      </c>
      <c r="J32" s="568">
        <f t="shared" si="16"/>
        <v>17185242</v>
      </c>
      <c r="K32" s="163">
        <f t="shared" si="2"/>
        <v>0</v>
      </c>
      <c r="L32" s="312">
        <f t="shared" si="6"/>
        <v>0</v>
      </c>
      <c r="M32" s="312">
        <f t="shared" si="7"/>
        <v>0</v>
      </c>
      <c r="N32" s="312">
        <f t="shared" si="8"/>
        <v>0</v>
      </c>
      <c r="O32" s="312">
        <f t="shared" si="3"/>
        <v>131.24205291418454</v>
      </c>
      <c r="P32" s="313">
        <f t="shared" si="9"/>
        <v>131.24205291418454</v>
      </c>
      <c r="Q32" s="313">
        <f>SUM(-tanks!AX34*tanks!$AU$37)</f>
        <v>0</v>
      </c>
      <c r="R32" s="313">
        <f t="shared" si="10"/>
        <v>131.24205291418454</v>
      </c>
      <c r="S32" s="316">
        <f>SUM(ELEC!N31)</f>
        <v>0</v>
      </c>
      <c r="T32" s="352">
        <f t="shared" si="12"/>
        <v>0</v>
      </c>
      <c r="V32" s="220" t="s">
        <v>319</v>
      </c>
      <c r="W32" s="221">
        <f>SUM('Degree Days 2020'!J81)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/>
      <c r="B33" s="306"/>
      <c r="C33" s="307"/>
      <c r="D33" s="307"/>
      <c r="E33" s="307"/>
      <c r="F33" s="306"/>
      <c r="G33" s="308"/>
      <c r="H33" s="306"/>
      <c r="I33" s="309"/>
      <c r="J33" s="306"/>
      <c r="K33" s="177">
        <f>SUM(K4:K32)/A34</f>
        <v>1891.695652173913</v>
      </c>
      <c r="L33" s="314">
        <f t="shared" ref="L33:S33" si="17">SUM(L4:L32)</f>
        <v>4062.8855721393033</v>
      </c>
      <c r="M33" s="314">
        <f t="shared" si="17"/>
        <v>4348.4232172470984</v>
      </c>
      <c r="N33" s="314">
        <f t="shared" si="17"/>
        <v>2308.9353233830843</v>
      </c>
      <c r="O33" s="314">
        <f t="shared" si="17"/>
        <v>3806.019534511352</v>
      </c>
      <c r="P33" s="317">
        <f t="shared" si="17"/>
        <v>14526.26364728083</v>
      </c>
      <c r="Q33" s="317">
        <f t="shared" si="17"/>
        <v>8802.9795241935572</v>
      </c>
      <c r="R33" s="317">
        <f t="shared" si="17"/>
        <v>23329.243171474402</v>
      </c>
      <c r="S33" s="317">
        <f t="shared" si="17"/>
        <v>284799</v>
      </c>
      <c r="T33" s="353"/>
      <c r="V33" s="259"/>
      <c r="W33" s="17"/>
      <c r="X33" s="17"/>
      <c r="Y33" s="17"/>
      <c r="Z33" s="3" t="s">
        <v>214</v>
      </c>
      <c r="AA33" s="288">
        <v>0.11</v>
      </c>
      <c r="AB33" s="303">
        <f>SUM(AB31*AA33)</f>
        <v>2408817.6693103448</v>
      </c>
      <c r="AC33" s="290"/>
    </row>
    <row r="34" spans="1:29" ht="15.75" thickBot="1">
      <c r="A34" s="284">
        <f>A36-COUNTIF(C4:C32,0)</f>
        <v>23</v>
      </c>
      <c r="C34" s="177">
        <f>SUM(C4:C32)/A34</f>
        <v>5268.565217391304</v>
      </c>
      <c r="D34" s="177"/>
      <c r="E34" s="177"/>
      <c r="G34" s="177">
        <f>SUM(G4:G32)/A34</f>
        <v>832.17391304347825</v>
      </c>
      <c r="I34" s="177">
        <f>SUM(I4:I32)/A34</f>
        <v>2544.7391304347825</v>
      </c>
      <c r="K34" s="177"/>
      <c r="L34" s="177">
        <f>SUM(L33*1507.5)</f>
        <v>6124800</v>
      </c>
      <c r="M34" s="177">
        <f>SUM(M33*1507.5)</f>
        <v>6555248.0000000009</v>
      </c>
      <c r="N34" s="177">
        <f>SUM(N33*1507.5)</f>
        <v>3480719.9999999995</v>
      </c>
      <c r="O34" s="177">
        <f>SUM(O33*1507.5)</f>
        <v>5737574.4482758632</v>
      </c>
      <c r="P34" s="177"/>
      <c r="Q34" s="177"/>
      <c r="R34" s="177"/>
      <c r="S34" s="317"/>
      <c r="V34" s="233"/>
      <c r="W34" s="234"/>
      <c r="X34" s="234"/>
      <c r="Y34" s="234"/>
      <c r="Z34" s="3"/>
      <c r="AA34" s="45"/>
      <c r="AB34" s="303">
        <f>SUM(AB31+AB33)</f>
        <v>24307160.11758621</v>
      </c>
      <c r="AC34" s="290"/>
    </row>
    <row r="35" spans="1:29" ht="15.75" thickBot="1">
      <c r="A35" s="214"/>
      <c r="C35" s="216">
        <f>SUM(G35:K35)</f>
        <v>1.0000082523911304</v>
      </c>
      <c r="G35" s="229">
        <f>IF(C34&gt;0,G34/C34,0)</f>
        <v>0.15795076623451645</v>
      </c>
      <c r="H35" s="216"/>
      <c r="I35" s="229">
        <f>SUM(I34/C34)</f>
        <v>0.48300420046708537</v>
      </c>
      <c r="J35" s="216"/>
      <c r="K35" s="229">
        <f>SUM(K33/C34)</f>
        <v>0.35905328568952855</v>
      </c>
      <c r="L35" s="229"/>
      <c r="M35" s="229"/>
      <c r="N35" s="229"/>
      <c r="O35" s="229"/>
      <c r="P35" s="229"/>
      <c r="Q35" s="229"/>
      <c r="R35" s="229"/>
      <c r="S35" s="318"/>
      <c r="V35" s="233"/>
      <c r="W35" s="234"/>
      <c r="X35" s="234"/>
      <c r="Y35" s="234"/>
      <c r="Z35" s="234"/>
      <c r="AA35" s="234" t="s">
        <v>215</v>
      </c>
      <c r="AB35" s="303">
        <f>SUM(AB31/1507.5)</f>
        <v>14526.263647280839</v>
      </c>
      <c r="AC35" s="290"/>
    </row>
    <row r="36" spans="1:29" ht="15.75" thickBot="1">
      <c r="A36">
        <v>29</v>
      </c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V36" s="283"/>
      <c r="W36" s="223"/>
      <c r="X36" s="223"/>
      <c r="Y36" s="224"/>
      <c r="Z36" s="175"/>
      <c r="AA36" s="175"/>
      <c r="AB36" s="263"/>
      <c r="AC36" s="176"/>
    </row>
    <row r="37" spans="1:29">
      <c r="V37" s="221"/>
      <c r="W37" s="83">
        <f>AC30/1500</f>
        <v>3825.0496321839082</v>
      </c>
      <c r="Z37" s="40"/>
      <c r="AA37" s="304" t="s">
        <v>215</v>
      </c>
      <c r="AB37" s="305">
        <f>SUM(AB35)</f>
        <v>14526.263647280839</v>
      </c>
    </row>
    <row r="38" spans="1:29">
      <c r="V38" s="221"/>
      <c r="W38" s="83">
        <f>AB30/1500</f>
        <v>10773.845333333333</v>
      </c>
      <c r="Z38" s="310">
        <f>SUM(AB37)</f>
        <v>14526.263647280839</v>
      </c>
      <c r="AA38" s="305"/>
      <c r="AB38" s="305"/>
    </row>
    <row r="39" spans="1:29">
      <c r="V39" s="17"/>
      <c r="W39" s="83">
        <f>SUM(W37:W38)</f>
        <v>14598.89496551724</v>
      </c>
      <c r="Y39" s="83"/>
      <c r="Z39" s="310">
        <f>SUM(-tanks!AX37)*tanks!AU37</f>
        <v>8802.9795241935572</v>
      </c>
      <c r="AA39" s="102">
        <f>SUM(AB31/A34)</f>
        <v>952101.84557721147</v>
      </c>
      <c r="AB39" s="367">
        <f>SUM(AA39*A36)</f>
        <v>27610953.521739133</v>
      </c>
    </row>
    <row r="40" spans="1:29" ht="18.75">
      <c r="W40" s="83">
        <f>AB30/1500</f>
        <v>10773.845333333333</v>
      </c>
      <c r="Z40" s="286">
        <f>SUM(Z38:Z39)</f>
        <v>23329.243171474394</v>
      </c>
      <c r="AA40" s="305">
        <f>SUM(AA39/1507.5)</f>
        <v>631.57668031655817</v>
      </c>
      <c r="AB40" s="366">
        <f>SUM(AB39/1507.5)</f>
        <v>18315.723729180187</v>
      </c>
    </row>
    <row r="41" spans="1:29">
      <c r="W41" s="83">
        <f>SUM(W39:W40)</f>
        <v>25372.740298850571</v>
      </c>
      <c r="Z41" s="311" t="e">
        <f>SUM(ELEC!#REF!)</f>
        <v>#REF!</v>
      </c>
    </row>
    <row r="42" spans="1:29">
      <c r="Z42" s="305" t="e">
        <f>Z40/Z41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2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B10" sqref="B10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63" t="s">
        <v>161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  <c r="P1" s="663"/>
      <c r="Q1" s="663"/>
      <c r="R1" s="663"/>
      <c r="S1" s="663"/>
      <c r="T1" s="663"/>
      <c r="U1" s="663"/>
      <c r="V1" s="663"/>
      <c r="W1" s="663"/>
      <c r="X1" s="663"/>
    </row>
    <row r="2" spans="1:28" ht="19.5">
      <c r="A2" s="664"/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</row>
    <row r="3" spans="1:28" ht="19.5">
      <c r="A3" s="664" t="s">
        <v>162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  <c r="T3" s="664"/>
      <c r="U3" s="664"/>
      <c r="V3" s="664"/>
      <c r="W3" s="664"/>
      <c r="X3" s="664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64" t="s">
        <v>411</v>
      </c>
      <c r="B5" s="664"/>
      <c r="C5" s="664"/>
      <c r="D5" s="664"/>
      <c r="E5" s="664"/>
      <c r="F5" s="664"/>
      <c r="G5" s="664"/>
      <c r="H5" s="664"/>
      <c r="I5" s="664"/>
      <c r="J5" s="664"/>
      <c r="K5" s="664"/>
      <c r="L5" s="664"/>
      <c r="M5" s="664"/>
      <c r="N5" s="664"/>
      <c r="O5" s="664"/>
      <c r="P5" s="664"/>
      <c r="Q5" s="664"/>
      <c r="R5" s="664"/>
      <c r="S5" s="664"/>
      <c r="T5" s="664"/>
      <c r="U5" s="664"/>
      <c r="V5" s="664"/>
      <c r="W5" s="664"/>
      <c r="X5" s="664"/>
    </row>
    <row r="6" spans="1:28" ht="15.75" thickBot="1">
      <c r="A6" s="665"/>
      <c r="B6" s="665"/>
      <c r="C6" s="665"/>
      <c r="D6" s="665"/>
      <c r="E6" s="665"/>
      <c r="F6" s="665"/>
      <c r="G6" s="665"/>
      <c r="H6" s="665"/>
      <c r="I6" s="665"/>
      <c r="J6" s="665"/>
      <c r="K6" s="665"/>
      <c r="L6" s="665"/>
      <c r="M6" s="665"/>
      <c r="N6" s="665"/>
      <c r="O6" s="665"/>
      <c r="P6" s="665"/>
      <c r="Q6" s="665"/>
      <c r="R6" s="665"/>
      <c r="S6" s="665"/>
      <c r="T6" s="665"/>
      <c r="U6" s="665"/>
      <c r="V6" s="665"/>
      <c r="W6" s="665"/>
      <c r="X6" s="665"/>
    </row>
    <row r="7" spans="1:28" ht="15.75" thickBot="1">
      <c r="A7" s="653" t="s">
        <v>163</v>
      </c>
      <c r="B7" s="654"/>
      <c r="C7" s="655" t="s">
        <v>164</v>
      </c>
      <c r="D7" s="656"/>
      <c r="E7" s="656"/>
      <c r="F7" s="656"/>
      <c r="G7" s="656"/>
      <c r="H7" s="656"/>
      <c r="I7" s="656"/>
      <c r="J7" s="656"/>
      <c r="K7" s="657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17</v>
      </c>
      <c r="C10" s="279">
        <f>'General information '!C6</f>
        <v>12</v>
      </c>
      <c r="D10" s="120">
        <f t="shared" ref="D10:D40" si="0">(B10+C10)/2-18.3</f>
        <v>-3.8000000000000007</v>
      </c>
      <c r="E10" s="464">
        <v>1</v>
      </c>
      <c r="F10" s="279">
        <f>'General information '!B6</f>
        <v>17</v>
      </c>
      <c r="G10" s="279">
        <f>'General information '!C6</f>
        <v>12</v>
      </c>
      <c r="H10" s="120">
        <f t="shared" ref="H10:H40" si="1">(F10+G10)/2-18.3</f>
        <v>-3.8000000000000007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'[8]Degree Days 2018'!AA10</f>
        <v>-116.79999999999994</v>
      </c>
      <c r="AB10" s="279">
        <f>'[8]Degree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11</v>
      </c>
      <c r="D11" s="120">
        <f t="shared" si="0"/>
        <v>-4.3000000000000007</v>
      </c>
      <c r="E11" s="464">
        <v>2</v>
      </c>
      <c r="F11" s="279">
        <f>'General information '!B7</f>
        <v>17</v>
      </c>
      <c r="G11" s="279">
        <f>'General information '!C7</f>
        <v>11</v>
      </c>
      <c r="H11" s="120">
        <f t="shared" si="1"/>
        <v>-4.3000000000000007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'[8]Degree Days 2018'!AA11</f>
        <v>-100.69999999999997</v>
      </c>
      <c r="AB11" s="279">
        <f>'[8]Degree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10</v>
      </c>
      <c r="D12" s="120">
        <f t="shared" si="0"/>
        <v>-5.3000000000000007</v>
      </c>
      <c r="E12" s="464">
        <v>3</v>
      </c>
      <c r="F12" s="279">
        <f>'General information '!B8</f>
        <v>16</v>
      </c>
      <c r="G12" s="279">
        <f>'General information '!C8</f>
        <v>10</v>
      </c>
      <c r="H12" s="120">
        <f t="shared" si="1"/>
        <v>-5.3000000000000007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'[8]Degree Days 2018'!AA12</f>
        <v>-87.799999999999955</v>
      </c>
      <c r="AB12" s="279">
        <f>'[8]Degree Days 2018'!AB12</f>
        <v>0</v>
      </c>
    </row>
    <row r="13" spans="1:28">
      <c r="A13" s="118">
        <v>4</v>
      </c>
      <c r="B13" s="279">
        <f>'General information '!B9</f>
        <v>17</v>
      </c>
      <c r="C13" s="279">
        <f>'General information '!C9</f>
        <v>13</v>
      </c>
      <c r="D13" s="120">
        <f t="shared" si="0"/>
        <v>-3.3000000000000007</v>
      </c>
      <c r="E13" s="464">
        <v>4</v>
      </c>
      <c r="F13" s="279">
        <f>'General information '!B9</f>
        <v>17</v>
      </c>
      <c r="G13" s="279">
        <f>'General information '!C9</f>
        <v>13</v>
      </c>
      <c r="H13" s="120">
        <f t="shared" si="1"/>
        <v>-3.3000000000000007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'[8]Degree Days 2018'!AA13</f>
        <v>-38.700000000000003</v>
      </c>
      <c r="AB13" s="279">
        <f>'[8]Degree Days 2018'!AB13</f>
        <v>33.199999999999989</v>
      </c>
    </row>
    <row r="14" spans="1:28">
      <c r="A14" s="118">
        <v>5</v>
      </c>
      <c r="B14" s="279">
        <f>'General information '!B10</f>
        <v>20</v>
      </c>
      <c r="C14" s="279">
        <f>'General information '!C10</f>
        <v>15</v>
      </c>
      <c r="D14" s="120">
        <f t="shared" si="0"/>
        <v>-0.80000000000000071</v>
      </c>
      <c r="E14" s="464">
        <v>5</v>
      </c>
      <c r="F14" s="279">
        <f>'General information '!B10</f>
        <v>20</v>
      </c>
      <c r="G14" s="279">
        <f>'General information '!C10</f>
        <v>15</v>
      </c>
      <c r="H14" s="120">
        <f t="shared" si="1"/>
        <v>-0.80000000000000071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'[8]Degree Days 2018'!AA14</f>
        <v>-18.3</v>
      </c>
      <c r="AB14" s="279">
        <f>'[8]Degree Days 2018'!AB14</f>
        <v>151</v>
      </c>
    </row>
    <row r="15" spans="1:28">
      <c r="A15" s="118">
        <v>6</v>
      </c>
      <c r="B15" s="279">
        <f>'General information '!B11</f>
        <v>22</v>
      </c>
      <c r="C15" s="279">
        <f>'General information '!C11</f>
        <v>16</v>
      </c>
      <c r="D15" s="120">
        <f t="shared" si="0"/>
        <v>0.69999999999999929</v>
      </c>
      <c r="E15" s="464">
        <v>6</v>
      </c>
      <c r="F15" s="279">
        <f>'General information '!B11</f>
        <v>22</v>
      </c>
      <c r="G15" s="279">
        <f>'General information '!C11</f>
        <v>16</v>
      </c>
      <c r="H15" s="120">
        <f t="shared" si="1"/>
        <v>0.69999999999999929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'[8]Degree Days 2018'!AA15</f>
        <v>-0.30000000000000071</v>
      </c>
      <c r="AB15" s="279">
        <f>'[8]Degree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10</v>
      </c>
      <c r="D16" s="120">
        <f t="shared" si="0"/>
        <v>-5.3000000000000007</v>
      </c>
      <c r="E16" s="464">
        <v>7</v>
      </c>
      <c r="F16" s="279">
        <f>'General information '!B12</f>
        <v>16</v>
      </c>
      <c r="G16" s="279">
        <f>'General information '!C12</f>
        <v>10</v>
      </c>
      <c r="H16" s="120">
        <f t="shared" si="1"/>
        <v>-5.3000000000000007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'[8]Degree Days 2018'!AA16</f>
        <v>31</v>
      </c>
      <c r="AB16" s="279">
        <f>'[8]Degree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9</v>
      </c>
      <c r="D17" s="120">
        <f t="shared" si="0"/>
        <v>-6.8000000000000007</v>
      </c>
      <c r="E17" s="464">
        <v>8</v>
      </c>
      <c r="F17" s="279">
        <f>'General information '!B13</f>
        <v>14</v>
      </c>
      <c r="G17" s="279">
        <f>'General information '!C13</f>
        <v>9</v>
      </c>
      <c r="H17" s="120">
        <f t="shared" si="1"/>
        <v>-6.8000000000000007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'[8]Degree Days 2018'!AA17</f>
        <v>31</v>
      </c>
      <c r="AB17" s="279">
        <f>'[8]Degree Days 2018'!AB17</f>
        <v>27</v>
      </c>
    </row>
    <row r="18" spans="1:28">
      <c r="A18" s="118">
        <v>9</v>
      </c>
      <c r="B18" s="279">
        <f>'General information '!B14</f>
        <v>9</v>
      </c>
      <c r="C18" s="279">
        <f>'General information '!C14</f>
        <v>8</v>
      </c>
      <c r="D18" s="120">
        <f t="shared" si="0"/>
        <v>-9.8000000000000007</v>
      </c>
      <c r="E18" s="464">
        <v>9</v>
      </c>
      <c r="F18" s="279">
        <f>'General information '!B14</f>
        <v>9</v>
      </c>
      <c r="G18" s="279">
        <f>'General information '!C14</f>
        <v>8</v>
      </c>
      <c r="H18" s="120">
        <f t="shared" si="1"/>
        <v>-9.8000000000000007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'[8]Degree Days 2018'!AA18</f>
        <v>31</v>
      </c>
      <c r="AB18" s="279">
        <f>'[8]Degree Days 2018'!AB18</f>
        <v>26</v>
      </c>
    </row>
    <row r="19" spans="1:28">
      <c r="A19" s="118">
        <v>10</v>
      </c>
      <c r="B19" s="279">
        <f>'General information '!B15</f>
        <v>10</v>
      </c>
      <c r="C19" s="279">
        <f>'General information '!C15</f>
        <v>7</v>
      </c>
      <c r="D19" s="120">
        <f t="shared" si="0"/>
        <v>-9.8000000000000007</v>
      </c>
      <c r="E19" s="464">
        <v>10</v>
      </c>
      <c r="F19" s="279">
        <f>'General information '!B15</f>
        <v>10</v>
      </c>
      <c r="G19" s="279">
        <f>'General information '!C15</f>
        <v>7</v>
      </c>
      <c r="H19" s="120">
        <f t="shared" si="1"/>
        <v>-9.8000000000000007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'[8]Degree Days 2018'!AA19</f>
        <v>32</v>
      </c>
      <c r="AB19" s="279">
        <f>'[8]Degree Days 2018'!AB19</f>
        <v>26</v>
      </c>
    </row>
    <row r="20" spans="1:28">
      <c r="A20" s="118">
        <v>11</v>
      </c>
      <c r="B20" s="279">
        <f>'General information '!B16</f>
        <v>14</v>
      </c>
      <c r="C20" s="279">
        <f>'General information '!C16</f>
        <v>8</v>
      </c>
      <c r="D20" s="120">
        <f t="shared" si="0"/>
        <v>-7.3000000000000007</v>
      </c>
      <c r="E20" s="464">
        <v>11</v>
      </c>
      <c r="F20" s="279">
        <f>'General information '!B16</f>
        <v>14</v>
      </c>
      <c r="G20" s="279">
        <f>'General information '!C16</f>
        <v>8</v>
      </c>
      <c r="H20" s="120">
        <f t="shared" si="1"/>
        <v>-7.3000000000000007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16</v>
      </c>
      <c r="C21" s="279">
        <f>'General information '!C17</f>
        <v>13</v>
      </c>
      <c r="D21" s="120">
        <f t="shared" si="0"/>
        <v>-3.8000000000000007</v>
      </c>
      <c r="E21" s="464">
        <v>12</v>
      </c>
      <c r="F21" s="279">
        <f>'General information '!B17</f>
        <v>16</v>
      </c>
      <c r="G21" s="279">
        <f>'General information '!C17</f>
        <v>13</v>
      </c>
      <c r="H21" s="120">
        <f t="shared" si="1"/>
        <v>-3.8000000000000007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17</v>
      </c>
      <c r="C22" s="279">
        <f>'General information '!C18</f>
        <v>14</v>
      </c>
      <c r="D22" s="120">
        <f t="shared" si="0"/>
        <v>-2.8000000000000007</v>
      </c>
      <c r="E22" s="464">
        <v>13</v>
      </c>
      <c r="F22" s="279">
        <f>'General information '!B18</f>
        <v>17</v>
      </c>
      <c r="G22" s="279">
        <f>'General information '!C18</f>
        <v>14</v>
      </c>
      <c r="H22" s="120">
        <f t="shared" si="1"/>
        <v>-2.8000000000000007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17</v>
      </c>
      <c r="C23" s="279">
        <f>'General information '!C19</f>
        <v>11</v>
      </c>
      <c r="D23" s="120">
        <f t="shared" si="0"/>
        <v>-4.3000000000000007</v>
      </c>
      <c r="E23" s="464">
        <v>14</v>
      </c>
      <c r="F23" s="279">
        <f>'General information '!B19</f>
        <v>17</v>
      </c>
      <c r="G23" s="279">
        <f>'General information '!C19</f>
        <v>11</v>
      </c>
      <c r="H23" s="120">
        <f t="shared" si="1"/>
        <v>-4.3000000000000007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17</v>
      </c>
      <c r="C24" s="279">
        <f>'General information '!C20</f>
        <v>12</v>
      </c>
      <c r="D24" s="120">
        <f t="shared" si="0"/>
        <v>-3.8000000000000007</v>
      </c>
      <c r="E24" s="464">
        <v>15</v>
      </c>
      <c r="F24" s="279">
        <f>'General information '!B20</f>
        <v>17</v>
      </c>
      <c r="G24" s="279">
        <f>'General information '!C20</f>
        <v>12</v>
      </c>
      <c r="H24" s="120">
        <f t="shared" si="1"/>
        <v>-3.8000000000000007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17</v>
      </c>
      <c r="C25" s="279">
        <f>'General information '!C21</f>
        <v>11</v>
      </c>
      <c r="D25" s="120">
        <f t="shared" si="0"/>
        <v>-4.3000000000000007</v>
      </c>
      <c r="E25" s="464">
        <v>16</v>
      </c>
      <c r="F25" s="279">
        <f>'General information '!B21</f>
        <v>17</v>
      </c>
      <c r="G25" s="279">
        <f>'General information '!C21</f>
        <v>11</v>
      </c>
      <c r="H25" s="120">
        <f t="shared" si="1"/>
        <v>-4.3000000000000007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 ht="15.75" customHeight="1">
      <c r="A26" s="118">
        <v>17</v>
      </c>
      <c r="B26" s="279">
        <f>'General information '!B22</f>
        <v>16</v>
      </c>
      <c r="C26" s="279">
        <f>'General information '!C22</f>
        <v>12</v>
      </c>
      <c r="D26" s="120">
        <f t="shared" si="0"/>
        <v>-4.3000000000000007</v>
      </c>
      <c r="E26" s="464">
        <v>17</v>
      </c>
      <c r="F26" s="279">
        <f>'General information '!B22</f>
        <v>16</v>
      </c>
      <c r="G26" s="279">
        <f>'General information '!C22</f>
        <v>12</v>
      </c>
      <c r="H26" s="120">
        <f t="shared" si="1"/>
        <v>-4.3000000000000007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17</v>
      </c>
      <c r="C27" s="279">
        <f>'General information '!C23</f>
        <v>11</v>
      </c>
      <c r="D27" s="120">
        <f t="shared" si="0"/>
        <v>-4.3000000000000007</v>
      </c>
      <c r="E27" s="464">
        <v>18</v>
      </c>
      <c r="F27" s="279">
        <f>'General information '!B23</f>
        <v>17</v>
      </c>
      <c r="G27" s="279">
        <f>'General information '!C23</f>
        <v>11</v>
      </c>
      <c r="H27" s="120">
        <f t="shared" si="1"/>
        <v>-4.3000000000000007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17</v>
      </c>
      <c r="C28" s="279">
        <f>'General information '!C24</f>
        <v>14</v>
      </c>
      <c r="D28" s="120">
        <f t="shared" si="0"/>
        <v>-2.8000000000000007</v>
      </c>
      <c r="E28" s="464">
        <v>19</v>
      </c>
      <c r="F28" s="279">
        <f>'General information '!B24</f>
        <v>17</v>
      </c>
      <c r="G28" s="279">
        <f>'General information '!C24</f>
        <v>14</v>
      </c>
      <c r="H28" s="120">
        <f t="shared" si="1"/>
        <v>-2.8000000000000007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17</v>
      </c>
      <c r="C29" s="279">
        <f>'General information '!C25</f>
        <v>14</v>
      </c>
      <c r="D29" s="120">
        <f t="shared" si="0"/>
        <v>-2.8000000000000007</v>
      </c>
      <c r="E29" s="464">
        <v>20</v>
      </c>
      <c r="F29" s="279">
        <f>'General information '!B25</f>
        <v>17</v>
      </c>
      <c r="G29" s="279">
        <f>'General information '!C25</f>
        <v>14</v>
      </c>
      <c r="H29" s="120">
        <f t="shared" si="1"/>
        <v>-2.8000000000000007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16</v>
      </c>
      <c r="C30" s="279">
        <f>'General information '!C26</f>
        <v>12</v>
      </c>
      <c r="D30" s="120">
        <f t="shared" si="0"/>
        <v>-4.3000000000000007</v>
      </c>
      <c r="E30" s="464">
        <v>21</v>
      </c>
      <c r="F30" s="279">
        <f>'General information '!B26</f>
        <v>16</v>
      </c>
      <c r="G30" s="279">
        <f>'General information '!C26</f>
        <v>12</v>
      </c>
      <c r="H30" s="120">
        <f t="shared" si="1"/>
        <v>-4.3000000000000007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17</v>
      </c>
      <c r="C31" s="279">
        <f>'General information '!C27</f>
        <v>12</v>
      </c>
      <c r="D31" s="120">
        <f t="shared" si="0"/>
        <v>-3.8000000000000007</v>
      </c>
      <c r="E31" s="464">
        <v>22</v>
      </c>
      <c r="F31" s="279">
        <f>'General information '!B27</f>
        <v>17</v>
      </c>
      <c r="G31" s="279">
        <f>'General information '!C27</f>
        <v>12</v>
      </c>
      <c r="H31" s="120">
        <f t="shared" si="1"/>
        <v>-3.8000000000000007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16</v>
      </c>
      <c r="C32" s="279">
        <f>'General information '!C28</f>
        <v>14</v>
      </c>
      <c r="D32" s="120">
        <f t="shared" si="0"/>
        <v>-3.3000000000000007</v>
      </c>
      <c r="E32" s="464">
        <v>23</v>
      </c>
      <c r="F32" s="279">
        <f>'General information '!B28</f>
        <v>16</v>
      </c>
      <c r="G32" s="279">
        <f>'General information '!C28</f>
        <v>14</v>
      </c>
      <c r="H32" s="120">
        <f t="shared" si="1"/>
        <v>-3.3000000000000007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0</v>
      </c>
      <c r="C33" s="279">
        <f>'General information '!C29</f>
        <v>0</v>
      </c>
      <c r="D33" s="120">
        <f t="shared" si="0"/>
        <v>-18.3</v>
      </c>
      <c r="E33" s="464">
        <v>24</v>
      </c>
      <c r="F33" s="279">
        <f>'General information '!B29</f>
        <v>0</v>
      </c>
      <c r="G33" s="279">
        <f>'General information '!C29</f>
        <v>0</v>
      </c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0</v>
      </c>
      <c r="C34" s="279">
        <f>'General information '!C30</f>
        <v>0</v>
      </c>
      <c r="D34" s="120">
        <f t="shared" si="0"/>
        <v>-18.3</v>
      </c>
      <c r="E34" s="464">
        <v>25</v>
      </c>
      <c r="F34" s="279">
        <f>'General information '!B30</f>
        <v>0</v>
      </c>
      <c r="G34" s="279">
        <f>'General information '!C30</f>
        <v>0</v>
      </c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0</v>
      </c>
      <c r="C35" s="279">
        <f>'General information '!C31</f>
        <v>0</v>
      </c>
      <c r="D35" s="120">
        <f t="shared" si="0"/>
        <v>-18.3</v>
      </c>
      <c r="E35" s="464">
        <v>26</v>
      </c>
      <c r="F35" s="279">
        <f>'General information '!B31</f>
        <v>0</v>
      </c>
      <c r="G35" s="279">
        <f>'General information '!C31</f>
        <v>0</v>
      </c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464">
        <v>27</v>
      </c>
      <c r="F36" s="279">
        <f>'General information '!B32</f>
        <v>0</v>
      </c>
      <c r="G36" s="279">
        <f>'General information '!C32</f>
        <v>0</v>
      </c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464">
        <v>28</v>
      </c>
      <c r="F37" s="279">
        <f>'General information '!B33</f>
        <v>0</v>
      </c>
      <c r="G37" s="279">
        <f>'General information '!C33</f>
        <v>0</v>
      </c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464">
        <v>29</v>
      </c>
      <c r="F38" s="279">
        <f>'General information '!B34</f>
        <v>0</v>
      </c>
      <c r="G38" s="279">
        <f>'General information '!C34</f>
        <v>0</v>
      </c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-247.50000000000003</v>
      </c>
      <c r="C43" s="120">
        <f>SUMIF(D10:D40,"&gt;0")</f>
        <v>0.69999999999999929</v>
      </c>
      <c r="D43" s="131"/>
      <c r="E43" s="130"/>
      <c r="F43" s="120">
        <f>SUMIF(H10:H40,"&lt;0")</f>
        <v>-247.50000000000003</v>
      </c>
      <c r="G43" s="120">
        <f>SUMIF(H10:H40,"&gt;0")</f>
        <v>0.69999999999999929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8" t="s">
        <v>174</v>
      </c>
      <c r="O84" s="658" t="s">
        <v>175</v>
      </c>
      <c r="P84" s="135"/>
      <c r="T84" s="135"/>
      <c r="X84" s="135"/>
    </row>
    <row r="85" spans="1:24" ht="20.25" thickBot="1">
      <c r="D85" s="135"/>
      <c r="I85" s="660" t="s">
        <v>182</v>
      </c>
      <c r="J85" s="661"/>
      <c r="K85" s="661"/>
      <c r="L85" s="661"/>
      <c r="N85" s="659"/>
      <c r="O85" s="659"/>
      <c r="P85" s="135"/>
      <c r="R85" s="17"/>
      <c r="S85" s="17"/>
      <c r="T85" s="141"/>
      <c r="U85" s="142"/>
      <c r="X85" s="135"/>
    </row>
    <row r="86" spans="1:24" ht="18.75" thickBot="1">
      <c r="D86" s="135"/>
      <c r="I86" s="662" t="s">
        <v>183</v>
      </c>
      <c r="J86" s="662"/>
      <c r="K86" s="662"/>
      <c r="L86" s="662"/>
      <c r="N86" s="143">
        <f>B43+F43+J43+N43+R43+V43+B81+F81+J81+N81+R81+V81</f>
        <v>-4978.5000000000009</v>
      </c>
      <c r="O86" s="143">
        <f>C43+G43+K43+O43+S43+W43+C81+G81+K81+O81+S81+W81</f>
        <v>1.3999999999999986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8" sqref="D1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66" t="s">
        <v>216</v>
      </c>
      <c r="B2" s="666"/>
      <c r="C2" s="666"/>
      <c r="D2" s="666"/>
      <c r="E2" s="666"/>
      <c r="F2" s="666"/>
      <c r="G2" s="666"/>
      <c r="H2" s="666"/>
      <c r="I2" s="666"/>
    </row>
    <row r="3" spans="1:11">
      <c r="A3" s="197">
        <v>43862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log'!A34</f>
        <v>23</v>
      </c>
      <c r="G4" s="199">
        <v>29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336</v>
      </c>
      <c r="H5" s="254" t="s">
        <v>335</v>
      </c>
      <c r="I5" s="198" t="s">
        <v>233</v>
      </c>
      <c r="K5" s="454"/>
    </row>
    <row r="6" spans="1:11">
      <c r="A6" s="188" t="s">
        <v>217</v>
      </c>
      <c r="B6" s="369">
        <f>WATER!C37</f>
        <v>32</v>
      </c>
      <c r="C6" s="345">
        <f>WATER!E4</f>
        <v>1.66</v>
      </c>
      <c r="D6" s="188">
        <f>SUM(C6*B6)*D4</f>
        <v>80078.399999999994</v>
      </c>
      <c r="E6" s="466">
        <f>SUM(D6/D4)/F4</f>
        <v>2.3095652173913042</v>
      </c>
      <c r="F6" s="189">
        <f>SUM(E6*F4)</f>
        <v>53.12</v>
      </c>
      <c r="G6" s="190">
        <f>SUM(B6*C6)</f>
        <v>53.12</v>
      </c>
      <c r="H6" s="189">
        <v>0</v>
      </c>
      <c r="I6" s="360">
        <v>0</v>
      </c>
      <c r="J6" s="286"/>
    </row>
    <row r="7" spans="1:11">
      <c r="A7" s="188" t="s">
        <v>218</v>
      </c>
      <c r="B7" s="369">
        <f>WATER!H37</f>
        <v>2378</v>
      </c>
      <c r="C7" s="188">
        <v>7500</v>
      </c>
      <c r="D7" s="191">
        <f>SUM(C7)*D4</f>
        <v>11306250</v>
      </c>
      <c r="E7" s="189">
        <f>SUM(I7/G4)</f>
        <v>237.93103448275863</v>
      </c>
      <c r="F7" s="189">
        <v>7500</v>
      </c>
      <c r="G7" s="554">
        <v>7500</v>
      </c>
      <c r="H7" s="360">
        <v>4400</v>
      </c>
      <c r="I7" s="189">
        <v>6900</v>
      </c>
      <c r="J7" s="286"/>
      <c r="K7" s="286"/>
    </row>
    <row r="8" spans="1:11">
      <c r="A8" s="194" t="s">
        <v>219</v>
      </c>
      <c r="B8" s="370">
        <f>tanks!AT37</f>
        <v>28867</v>
      </c>
      <c r="C8" s="534">
        <f>SUM(tanks!AU37)</f>
        <v>0.52825</v>
      </c>
      <c r="D8" s="195">
        <f>SUM(B8*C8)*D4</f>
        <v>22987856.570625</v>
      </c>
      <c r="E8" s="196">
        <f>SUM(D8/D4/F4)</f>
        <v>662.99968478260871</v>
      </c>
      <c r="F8" s="196">
        <f>SUM(E8*F4)</f>
        <v>15248.992750000001</v>
      </c>
      <c r="G8" s="554">
        <f>E8*$G$4</f>
        <v>19226.990858695652</v>
      </c>
      <c r="H8" s="360">
        <v>36000</v>
      </c>
      <c r="I8" s="196">
        <v>30000</v>
      </c>
      <c r="J8" s="286"/>
      <c r="K8" s="286"/>
    </row>
    <row r="9" spans="1:11">
      <c r="A9" s="2" t="s">
        <v>220</v>
      </c>
      <c r="B9" s="371">
        <f>'B5'!AV36</f>
        <v>3900</v>
      </c>
      <c r="C9" s="368">
        <v>0.7</v>
      </c>
      <c r="D9" s="192">
        <f>SUM(B9*C9)*D4</f>
        <v>4115475</v>
      </c>
      <c r="E9" s="193">
        <f>SUM(C9*B9)/F4</f>
        <v>118.69565217391305</v>
      </c>
      <c r="F9" s="193">
        <f>SUM(E9*F4)</f>
        <v>2730</v>
      </c>
      <c r="G9" s="554">
        <f>E9*$G$4</f>
        <v>3442.1739130434785</v>
      </c>
      <c r="H9" s="360">
        <v>3400</v>
      </c>
      <c r="I9" s="193">
        <v>5000</v>
      </c>
      <c r="J9" s="286"/>
      <c r="K9" s="286"/>
    </row>
    <row r="10" spans="1:11">
      <c r="A10" s="185" t="s">
        <v>221</v>
      </c>
      <c r="B10" s="372"/>
      <c r="C10" s="185"/>
      <c r="D10" s="187">
        <f>SUM('EDl log'!AB31)</f>
        <v>21898342.448275864</v>
      </c>
      <c r="E10" s="186">
        <f>SUM(D10/D4/F4)</f>
        <v>631.57668031655817</v>
      </c>
      <c r="F10" s="186">
        <f>SUM(E10*F4)</f>
        <v>14526.263647280837</v>
      </c>
      <c r="G10" s="554">
        <f>E10*$G$4</f>
        <v>18315.723729180187</v>
      </c>
      <c r="H10" s="360">
        <v>24900</v>
      </c>
      <c r="I10" s="289">
        <v>24900</v>
      </c>
      <c r="J10" s="286"/>
      <c r="K10" s="286"/>
    </row>
    <row r="11" spans="1:11">
      <c r="I11" s="286">
        <f>SUM(I6:I10)</f>
        <v>66800</v>
      </c>
      <c r="J11" s="286"/>
      <c r="K11" s="286"/>
    </row>
    <row r="12" spans="1:11" ht="42.75" customHeight="1">
      <c r="E12" s="453">
        <f>SUM(E6:E11)</f>
        <v>1653.5126169732298</v>
      </c>
      <c r="F12" s="184">
        <f>SUM(F6:F10)</f>
        <v>40058.376397280837</v>
      </c>
      <c r="G12" s="183">
        <f>SUM(G6:G10)</f>
        <v>48538.008500919314</v>
      </c>
      <c r="H12" s="183">
        <f>SUM(H6:H10)</f>
        <v>68700</v>
      </c>
      <c r="I12" s="225">
        <f>SUM(I6:I10)</f>
        <v>66800</v>
      </c>
      <c r="J12" s="286"/>
    </row>
    <row r="13" spans="1:11" ht="30">
      <c r="A13" s="3"/>
      <c r="B13" s="179" t="s">
        <v>227</v>
      </c>
      <c r="C13" s="442" t="s">
        <v>386</v>
      </c>
      <c r="D13" s="442" t="s">
        <v>390</v>
      </c>
      <c r="E13" s="442" t="s">
        <v>387</v>
      </c>
      <c r="F13" s="442" t="s">
        <v>413</v>
      </c>
      <c r="G13" s="444"/>
      <c r="H13" s="17"/>
      <c r="I13" s="17"/>
      <c r="J13" s="17"/>
    </row>
    <row r="14" spans="1:11">
      <c r="A14" s="3" t="s">
        <v>303</v>
      </c>
      <c r="B14" s="459">
        <f>'Degree Days 2020'!AB14</f>
        <v>151</v>
      </c>
      <c r="C14" s="171">
        <f>'[9]Utility Cost '!C13</f>
        <v>0</v>
      </c>
      <c r="D14" s="171"/>
      <c r="E14" s="576">
        <f>B14-C14</f>
        <v>151</v>
      </c>
      <c r="F14" s="171"/>
      <c r="G14" s="444"/>
      <c r="H14" s="445">
        <f>SUM(G12-H12)</f>
        <v>-20161.991499080686</v>
      </c>
      <c r="I14" s="445">
        <f>SUM(G12-I12)</f>
        <v>-18261.991499080686</v>
      </c>
    </row>
    <row r="15" spans="1:11">
      <c r="A15" s="3" t="s">
        <v>304</v>
      </c>
      <c r="B15" s="179">
        <f>'Degree Days 2020'!AA14</f>
        <v>-18.3</v>
      </c>
      <c r="C15" s="171">
        <f>'[9]Utility Cost '!C14</f>
        <v>-155.6</v>
      </c>
      <c r="D15" s="171"/>
      <c r="E15" s="576">
        <f>B15-C15</f>
        <v>137.29999999999998</v>
      </c>
      <c r="F15" s="171"/>
      <c r="G15" s="444"/>
      <c r="H15" s="17"/>
      <c r="I15" s="17"/>
      <c r="J15" s="17"/>
    </row>
    <row r="16" spans="1:11">
      <c r="A16" s="3" t="s">
        <v>305</v>
      </c>
      <c r="B16" s="460">
        <f>'General information '!D38</f>
        <v>13.934782608695652</v>
      </c>
      <c r="C16" s="171">
        <f>'[9]Utility Cost '!C15</f>
        <v>14.785714285714286</v>
      </c>
      <c r="D16" s="457"/>
      <c r="E16" s="577">
        <f>B16-C16</f>
        <v>-0.85093167701863415</v>
      </c>
      <c r="F16" s="458"/>
      <c r="G16" s="444"/>
      <c r="H16" s="17"/>
      <c r="I16" s="17"/>
      <c r="J16" s="17"/>
    </row>
    <row r="17" spans="1:10">
      <c r="A17" s="285" t="s">
        <v>317</v>
      </c>
      <c r="B17" s="461">
        <f>'General information '!F37</f>
        <v>0.19466086956521739</v>
      </c>
      <c r="C17" s="553">
        <f>'[9]Utility Cost '!C16</f>
        <v>0.58866785714285708</v>
      </c>
      <c r="D17" s="509">
        <f>'[10]Other Fuel Calculation 2020'!$C$62</f>
        <v>0.35189999999999999</v>
      </c>
      <c r="E17" s="578">
        <f>B17-C17</f>
        <v>-0.39400698757763969</v>
      </c>
      <c r="F17" s="509">
        <f>B17-D17</f>
        <v>-0.1572391304347826</v>
      </c>
      <c r="G17" s="17"/>
      <c r="H17" s="17"/>
      <c r="I17" s="17"/>
      <c r="J17" s="17"/>
    </row>
    <row r="18" spans="1:10">
      <c r="A18" s="452" t="s">
        <v>388</v>
      </c>
      <c r="B18" s="463">
        <f>GEN!Z34</f>
        <v>86.420000000000073</v>
      </c>
      <c r="C18" s="171">
        <f>'[9]Utility Cost '!C17</f>
        <v>165</v>
      </c>
      <c r="D18" s="580">
        <f>'[11]Other Fuel Calculation 2020'!$C$60</f>
        <v>149.33333333333334</v>
      </c>
      <c r="E18" s="579">
        <f>B18-C18</f>
        <v>-78.579999999999927</v>
      </c>
      <c r="F18" s="575">
        <f>B18-D18</f>
        <v>-62.91333333333327</v>
      </c>
    </row>
    <row r="19" spans="1:10">
      <c r="A19" s="452" t="s">
        <v>414</v>
      </c>
      <c r="B19" s="462">
        <f>SUM(B18/F4)</f>
        <v>3.7573913043478293</v>
      </c>
      <c r="C19" s="456">
        <f>C18/G4</f>
        <v>5.6896551724137927</v>
      </c>
      <c r="D19" s="456"/>
      <c r="E19" s="576"/>
      <c r="F19" s="57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381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5"/>
    </sheetView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10" activePane="bottomLeft" state="frozen"/>
      <selection pane="bottomLeft" activeCell="H28" sqref="H28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6" customWidth="1"/>
    <col min="12" max="12" width="26.42578125" bestFit="1" customWidth="1"/>
    <col min="14" max="14" width="14.28515625" customWidth="1"/>
  </cols>
  <sheetData>
    <row r="1" spans="1:18" ht="39.75" customHeight="1" thickBot="1">
      <c r="A1" s="667" t="s">
        <v>51</v>
      </c>
      <c r="B1" s="679" t="s">
        <v>320</v>
      </c>
      <c r="C1" s="680"/>
      <c r="D1" s="682"/>
      <c r="E1" s="679" t="s">
        <v>321</v>
      </c>
      <c r="F1" s="680"/>
      <c r="G1" s="681"/>
      <c r="H1" s="676" t="s">
        <v>326</v>
      </c>
      <c r="I1" s="673" t="s">
        <v>327</v>
      </c>
      <c r="J1" s="670" t="s">
        <v>43</v>
      </c>
    </row>
    <row r="2" spans="1:18" ht="38.25" thickBot="1">
      <c r="A2" s="668"/>
      <c r="B2" s="264" t="s">
        <v>322</v>
      </c>
      <c r="C2" s="265" t="s">
        <v>323</v>
      </c>
      <c r="D2" s="239"/>
      <c r="E2" s="240">
        <v>3.5</v>
      </c>
      <c r="F2" s="266" t="s">
        <v>323</v>
      </c>
      <c r="G2" s="241"/>
      <c r="H2" s="677"/>
      <c r="I2" s="674"/>
      <c r="J2" s="671"/>
    </row>
    <row r="3" spans="1:18" ht="24" customHeight="1" thickBot="1">
      <c r="A3" s="669"/>
      <c r="B3" s="242" t="s">
        <v>330</v>
      </c>
      <c r="C3" s="243" t="s">
        <v>324</v>
      </c>
      <c r="D3" s="243" t="s">
        <v>331</v>
      </c>
      <c r="E3" s="244" t="s">
        <v>330</v>
      </c>
      <c r="F3" s="243" t="s">
        <v>324</v>
      </c>
      <c r="G3" s="244" t="s">
        <v>331</v>
      </c>
      <c r="H3" s="678"/>
      <c r="I3" s="675"/>
      <c r="J3" s="672"/>
    </row>
    <row r="4" spans="1:18" ht="19.5" thickBot="1">
      <c r="A4" s="249"/>
      <c r="B4" s="551"/>
      <c r="C4" s="551"/>
      <c r="D4" s="551"/>
      <c r="E4" s="551"/>
      <c r="F4" s="551"/>
      <c r="G4" s="551"/>
      <c r="H4" s="250">
        <v>0</v>
      </c>
      <c r="I4" s="250"/>
      <c r="J4" s="521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50" t="str">
        <f>ELEC!C2</f>
        <v>31-01-2020</v>
      </c>
      <c r="B5" s="552">
        <f>'[1]Swimming Pool quality check '!B36</f>
        <v>1.5</v>
      </c>
      <c r="C5" s="552">
        <f>'[1]Swimming Pool quality check '!C36</f>
        <v>7.8</v>
      </c>
      <c r="D5" s="552">
        <f>'[1]Swimming Pool quality check '!D36</f>
        <v>18</v>
      </c>
      <c r="E5" s="552">
        <f>'[1]Swimming Pool quality check '!E36</f>
        <v>1.5</v>
      </c>
      <c r="F5" s="552">
        <f>'[1]Swimming Pool quality check '!F36</f>
        <v>8</v>
      </c>
      <c r="G5" s="552">
        <f>'[1]Swimming Pool quality check '!G36</f>
        <v>17</v>
      </c>
      <c r="H5" s="552">
        <v>5896</v>
      </c>
      <c r="I5" s="552">
        <f>'[2]Swimming Pool quality check '!I36</f>
        <v>0</v>
      </c>
      <c r="J5" s="566">
        <f>'[2]Swimming Pool quality check '!J36</f>
        <v>0.33333333333333398</v>
      </c>
      <c r="K5" s="428">
        <v>0</v>
      </c>
      <c r="L5" s="564">
        <f>'[2]Swimming Pool quality check '!L36</f>
        <v>43830</v>
      </c>
      <c r="M5" s="552">
        <f>'[1]Swimming Pool quality check '!M36</f>
        <v>5898</v>
      </c>
      <c r="N5" s="552">
        <f>'[2]Swimming Pool quality check '!N36</f>
        <v>0</v>
      </c>
      <c r="O5" s="552">
        <f>'[2]Swimming Pool quality check '!O36</f>
        <v>5773</v>
      </c>
    </row>
    <row r="6" spans="1:18" ht="15.75" customHeight="1" thickBot="1">
      <c r="A6" s="245">
        <f>ELEC!C3</f>
        <v>43862</v>
      </c>
      <c r="B6" s="552">
        <v>1.5</v>
      </c>
      <c r="C6" s="552">
        <v>8</v>
      </c>
      <c r="D6" s="552">
        <v>19</v>
      </c>
      <c r="E6" s="552">
        <v>3</v>
      </c>
      <c r="F6" s="552">
        <v>8</v>
      </c>
      <c r="G6" s="552">
        <v>18</v>
      </c>
      <c r="H6" s="428">
        <v>5897</v>
      </c>
      <c r="I6" s="247">
        <f>M6-M5</f>
        <v>0</v>
      </c>
      <c r="J6" s="522">
        <v>0.29166666666666669</v>
      </c>
      <c r="L6" s="100">
        <f t="shared" ref="L6:L34" si="0">A6</f>
        <v>43862</v>
      </c>
      <c r="M6" s="3">
        <f>M5</f>
        <v>5898</v>
      </c>
      <c r="N6" s="3">
        <v>0</v>
      </c>
      <c r="O6" s="3">
        <f>SUM(M6:N6)</f>
        <v>5898</v>
      </c>
    </row>
    <row r="7" spans="1:18" ht="15.75" thickBot="1">
      <c r="A7" s="245">
        <f>ELEC!C4</f>
        <v>43863</v>
      </c>
      <c r="B7" s="552">
        <v>2</v>
      </c>
      <c r="C7" s="552">
        <v>8</v>
      </c>
      <c r="D7" s="552">
        <v>19</v>
      </c>
      <c r="E7" s="552">
        <v>2</v>
      </c>
      <c r="F7" s="552">
        <v>8</v>
      </c>
      <c r="G7" s="552">
        <v>118</v>
      </c>
      <c r="H7" s="428">
        <v>5898</v>
      </c>
      <c r="I7" s="247">
        <f>M7-M6</f>
        <v>0</v>
      </c>
      <c r="J7" s="523">
        <v>0.29166666666666669</v>
      </c>
      <c r="L7" s="100">
        <f t="shared" si="0"/>
        <v>43863</v>
      </c>
      <c r="M7" s="3">
        <f t="shared" ref="M7:M36" si="1">M6</f>
        <v>5898</v>
      </c>
      <c r="N7" s="3">
        <v>0</v>
      </c>
      <c r="O7" s="3">
        <f>SUM(M7:N7)</f>
        <v>5898</v>
      </c>
    </row>
    <row r="8" spans="1:18" ht="15.75" thickBot="1">
      <c r="A8" s="245">
        <f>ELEC!C5</f>
        <v>43864</v>
      </c>
      <c r="B8" s="552">
        <v>2</v>
      </c>
      <c r="C8" s="552">
        <v>8</v>
      </c>
      <c r="D8" s="552">
        <v>19</v>
      </c>
      <c r="E8" s="552">
        <v>2</v>
      </c>
      <c r="F8" s="552">
        <v>8</v>
      </c>
      <c r="G8" s="552">
        <v>18</v>
      </c>
      <c r="H8" s="428">
        <v>5901</v>
      </c>
      <c r="I8" s="247">
        <f>M8-M7</f>
        <v>3</v>
      </c>
      <c r="J8" s="523">
        <v>0.29166666666666669</v>
      </c>
      <c r="L8" s="100">
        <f t="shared" si="0"/>
        <v>43864</v>
      </c>
      <c r="M8" s="3">
        <v>5901</v>
      </c>
      <c r="N8" s="3">
        <v>0</v>
      </c>
      <c r="O8" s="3">
        <f>SUM(M8:N8)</f>
        <v>5901</v>
      </c>
    </row>
    <row r="9" spans="1:18" ht="15.75" thickBot="1">
      <c r="A9" s="245">
        <f>ELEC!C6</f>
        <v>43865</v>
      </c>
      <c r="B9" s="552">
        <v>2</v>
      </c>
      <c r="C9" s="552">
        <v>8</v>
      </c>
      <c r="D9" s="552">
        <v>19</v>
      </c>
      <c r="E9" s="552">
        <v>2</v>
      </c>
      <c r="F9" s="552">
        <v>8</v>
      </c>
      <c r="G9" s="552">
        <v>18</v>
      </c>
      <c r="H9" s="428">
        <f t="shared" ref="H9" si="2">O9</f>
        <v>5902</v>
      </c>
      <c r="I9" s="247">
        <f>M9-M8</f>
        <v>1</v>
      </c>
      <c r="J9" s="523">
        <v>0.29166666666666669</v>
      </c>
      <c r="L9" s="100">
        <f t="shared" si="0"/>
        <v>43865</v>
      </c>
      <c r="M9" s="3">
        <v>5902</v>
      </c>
      <c r="N9" s="3">
        <v>0</v>
      </c>
      <c r="O9" s="3">
        <f t="shared" ref="O9:O36" si="3">SUM(M9:N9)</f>
        <v>5902</v>
      </c>
    </row>
    <row r="10" spans="1:18" ht="15.75" thickBot="1">
      <c r="A10" s="245">
        <f>ELEC!C7</f>
        <v>43866</v>
      </c>
      <c r="B10" s="552">
        <v>2</v>
      </c>
      <c r="C10" s="552">
        <v>8</v>
      </c>
      <c r="D10" s="552">
        <v>19</v>
      </c>
      <c r="E10" s="552">
        <v>2</v>
      </c>
      <c r="F10" s="552">
        <v>8</v>
      </c>
      <c r="G10" s="552">
        <v>18</v>
      </c>
      <c r="H10" s="428">
        <v>5902</v>
      </c>
      <c r="I10" s="247">
        <f t="shared" ref="I10:I36" si="4">H10-H9</f>
        <v>0</v>
      </c>
      <c r="J10" s="523">
        <v>0.29166666666666669</v>
      </c>
      <c r="L10" s="100">
        <f t="shared" si="0"/>
        <v>43866</v>
      </c>
      <c r="M10" s="3">
        <f>H10</f>
        <v>5902</v>
      </c>
      <c r="N10" s="3">
        <v>0</v>
      </c>
      <c r="O10" s="3">
        <f t="shared" si="3"/>
        <v>5902</v>
      </c>
    </row>
    <row r="11" spans="1:18" ht="15.75" thickBot="1">
      <c r="A11" s="245">
        <f>ELEC!C8</f>
        <v>43867</v>
      </c>
      <c r="B11" s="552">
        <v>2</v>
      </c>
      <c r="C11" s="552">
        <v>8</v>
      </c>
      <c r="D11" s="552">
        <v>19</v>
      </c>
      <c r="E11" s="552">
        <v>2</v>
      </c>
      <c r="F11" s="552">
        <v>8</v>
      </c>
      <c r="G11" s="552">
        <v>18</v>
      </c>
      <c r="H11" s="428">
        <v>5902</v>
      </c>
      <c r="I11" s="247">
        <f t="shared" si="4"/>
        <v>0</v>
      </c>
      <c r="J11" s="523">
        <v>0.29166666666666669</v>
      </c>
      <c r="L11" s="100">
        <f t="shared" si="0"/>
        <v>43867</v>
      </c>
      <c r="M11" s="3">
        <f t="shared" ref="M11:M35" si="5">H11</f>
        <v>5902</v>
      </c>
      <c r="N11" s="3">
        <v>0</v>
      </c>
      <c r="O11" s="3">
        <f t="shared" si="3"/>
        <v>5902</v>
      </c>
    </row>
    <row r="12" spans="1:18" ht="16.5" thickBot="1">
      <c r="A12" s="245">
        <f>ELEC!C9</f>
        <v>43868</v>
      </c>
      <c r="B12" s="552">
        <v>1.5</v>
      </c>
      <c r="C12" s="552">
        <v>8</v>
      </c>
      <c r="D12" s="552">
        <v>17</v>
      </c>
      <c r="E12" s="552">
        <v>2</v>
      </c>
      <c r="F12" s="552">
        <v>8.1</v>
      </c>
      <c r="G12" s="552">
        <v>16</v>
      </c>
      <c r="H12" s="428">
        <v>5903</v>
      </c>
      <c r="I12" s="247">
        <f t="shared" si="4"/>
        <v>1</v>
      </c>
      <c r="J12" s="523">
        <v>0.29166666666666669</v>
      </c>
      <c r="L12" s="100">
        <f t="shared" si="0"/>
        <v>43868</v>
      </c>
      <c r="M12" s="3">
        <f t="shared" si="5"/>
        <v>5903</v>
      </c>
      <c r="N12" s="3">
        <v>0</v>
      </c>
      <c r="O12" s="3">
        <f t="shared" si="3"/>
        <v>5903</v>
      </c>
      <c r="P12" s="468"/>
      <c r="Q12" s="377"/>
      <c r="R12" s="377"/>
    </row>
    <row r="13" spans="1:18" ht="15.75" thickBot="1">
      <c r="A13" s="245">
        <f>ELEC!C10</f>
        <v>43869</v>
      </c>
      <c r="B13" s="552">
        <v>1.5</v>
      </c>
      <c r="C13" s="552">
        <v>8</v>
      </c>
      <c r="D13" s="552">
        <v>17</v>
      </c>
      <c r="E13" s="552">
        <v>2</v>
      </c>
      <c r="F13" s="552">
        <v>8</v>
      </c>
      <c r="G13" s="552">
        <v>16</v>
      </c>
      <c r="H13" s="428">
        <v>5904</v>
      </c>
      <c r="I13" s="247">
        <f>M13-M12</f>
        <v>1</v>
      </c>
      <c r="J13" s="523">
        <v>0.29166666666666669</v>
      </c>
      <c r="L13" s="100">
        <f t="shared" si="0"/>
        <v>43869</v>
      </c>
      <c r="M13" s="3">
        <f t="shared" si="5"/>
        <v>5904</v>
      </c>
      <c r="N13" s="3">
        <v>0</v>
      </c>
      <c r="O13" s="3">
        <f t="shared" si="3"/>
        <v>5904</v>
      </c>
    </row>
    <row r="14" spans="1:18" ht="15.75" thickBot="1">
      <c r="A14" s="245">
        <f>ELEC!C11</f>
        <v>43870</v>
      </c>
      <c r="B14" s="552">
        <v>1.5</v>
      </c>
      <c r="C14" s="552">
        <v>8</v>
      </c>
      <c r="D14" s="552">
        <v>17</v>
      </c>
      <c r="E14" s="552">
        <v>2</v>
      </c>
      <c r="F14" s="552">
        <v>8</v>
      </c>
      <c r="G14" s="552">
        <v>16</v>
      </c>
      <c r="H14" s="428">
        <v>5904</v>
      </c>
      <c r="I14" s="247">
        <f>M14-M13</f>
        <v>0</v>
      </c>
      <c r="J14" s="523">
        <v>0.29166666666666669</v>
      </c>
      <c r="L14" s="100">
        <f t="shared" si="0"/>
        <v>43870</v>
      </c>
      <c r="M14" s="3">
        <f t="shared" si="5"/>
        <v>5904</v>
      </c>
      <c r="N14" s="3">
        <v>0</v>
      </c>
      <c r="O14" s="3">
        <v>312</v>
      </c>
    </row>
    <row r="15" spans="1:18" ht="15.75" thickBot="1">
      <c r="A15" s="245">
        <f>ELEC!C12</f>
        <v>43871</v>
      </c>
      <c r="B15" s="552">
        <v>1.5</v>
      </c>
      <c r="C15" s="552">
        <v>8</v>
      </c>
      <c r="D15" s="552">
        <v>17</v>
      </c>
      <c r="E15" s="552">
        <v>1.5</v>
      </c>
      <c r="F15" s="552">
        <v>8</v>
      </c>
      <c r="G15" s="552">
        <v>16</v>
      </c>
      <c r="H15" s="428">
        <v>5905</v>
      </c>
      <c r="I15" s="247">
        <f>M15-M14</f>
        <v>1</v>
      </c>
      <c r="J15" s="523">
        <v>0.29166666666666669</v>
      </c>
      <c r="L15" s="100">
        <f t="shared" si="0"/>
        <v>43871</v>
      </c>
      <c r="M15" s="3">
        <f t="shared" si="5"/>
        <v>5905</v>
      </c>
      <c r="N15" s="3">
        <v>0</v>
      </c>
      <c r="O15" s="3">
        <f t="shared" si="3"/>
        <v>5905</v>
      </c>
    </row>
    <row r="16" spans="1:18" ht="15.75" thickBot="1">
      <c r="A16" s="245">
        <f>ELEC!C13</f>
        <v>43872</v>
      </c>
      <c r="B16" s="552">
        <v>2.5</v>
      </c>
      <c r="C16" s="552">
        <v>8</v>
      </c>
      <c r="D16" s="552">
        <v>17</v>
      </c>
      <c r="E16" s="552">
        <v>2</v>
      </c>
      <c r="F16" s="552">
        <v>8</v>
      </c>
      <c r="G16" s="552">
        <v>16</v>
      </c>
      <c r="H16" s="428">
        <v>5905</v>
      </c>
      <c r="I16" s="247">
        <f>M16-M15</f>
        <v>0</v>
      </c>
      <c r="J16" s="523">
        <v>0.29166666666666669</v>
      </c>
      <c r="L16" s="100">
        <f t="shared" si="0"/>
        <v>43872</v>
      </c>
      <c r="M16" s="3">
        <f t="shared" si="5"/>
        <v>5905</v>
      </c>
      <c r="N16" s="3">
        <v>0</v>
      </c>
      <c r="O16" s="3">
        <f t="shared" si="3"/>
        <v>5905</v>
      </c>
    </row>
    <row r="17" spans="1:17" ht="15.75" thickBot="1">
      <c r="A17" s="245">
        <f>ELEC!C14</f>
        <v>43873</v>
      </c>
      <c r="B17" s="552">
        <v>1.5</v>
      </c>
      <c r="C17" s="552">
        <v>7.8</v>
      </c>
      <c r="D17" s="552">
        <v>17</v>
      </c>
      <c r="E17" s="552">
        <v>2</v>
      </c>
      <c r="F17" s="552">
        <v>8</v>
      </c>
      <c r="G17" s="552">
        <v>16</v>
      </c>
      <c r="H17" s="428">
        <f t="shared" ref="H17:H36" si="6">H16</f>
        <v>5905</v>
      </c>
      <c r="I17" s="247">
        <f t="shared" si="4"/>
        <v>0</v>
      </c>
      <c r="J17" s="523">
        <v>0.29166666666666669</v>
      </c>
      <c r="L17" s="100">
        <f t="shared" si="0"/>
        <v>43873</v>
      </c>
      <c r="M17" s="3">
        <v>5905</v>
      </c>
      <c r="N17" s="3">
        <v>0</v>
      </c>
      <c r="O17" s="3">
        <f t="shared" si="3"/>
        <v>5905</v>
      </c>
    </row>
    <row r="18" spans="1:17" ht="15.75" thickBot="1">
      <c r="A18" s="245">
        <f>ELEC!C15</f>
        <v>43874</v>
      </c>
      <c r="B18" s="552">
        <v>2</v>
      </c>
      <c r="C18" s="552">
        <v>7.8</v>
      </c>
      <c r="D18" s="552">
        <v>17</v>
      </c>
      <c r="E18" s="552">
        <v>2</v>
      </c>
      <c r="F18" s="552">
        <v>8</v>
      </c>
      <c r="G18" s="552">
        <v>16</v>
      </c>
      <c r="H18" s="428">
        <v>5907</v>
      </c>
      <c r="I18" s="247">
        <f t="shared" si="4"/>
        <v>2</v>
      </c>
      <c r="J18" s="523">
        <v>0.29166666666666669</v>
      </c>
      <c r="L18" s="100">
        <f t="shared" si="0"/>
        <v>43874</v>
      </c>
      <c r="M18" s="3">
        <f t="shared" si="5"/>
        <v>5907</v>
      </c>
      <c r="N18" s="3">
        <v>0</v>
      </c>
      <c r="O18" s="3">
        <f t="shared" si="3"/>
        <v>5907</v>
      </c>
    </row>
    <row r="19" spans="1:17" ht="15.75" thickBot="1">
      <c r="A19" s="245">
        <f>ELEC!C16</f>
        <v>43875</v>
      </c>
      <c r="B19" s="552">
        <v>2.5</v>
      </c>
      <c r="C19" s="552">
        <v>7.8</v>
      </c>
      <c r="D19" s="552">
        <v>17</v>
      </c>
      <c r="E19" s="552">
        <v>2</v>
      </c>
      <c r="F19" s="552">
        <v>8</v>
      </c>
      <c r="G19" s="565">
        <v>16</v>
      </c>
      <c r="H19" s="428">
        <f t="shared" si="6"/>
        <v>5907</v>
      </c>
      <c r="I19" s="247">
        <f t="shared" si="4"/>
        <v>0</v>
      </c>
      <c r="J19" s="523">
        <v>0.29166666666666669</v>
      </c>
      <c r="L19" s="100">
        <f t="shared" si="0"/>
        <v>43875</v>
      </c>
      <c r="M19" s="3">
        <f t="shared" si="5"/>
        <v>5907</v>
      </c>
      <c r="N19" s="3">
        <v>0</v>
      </c>
      <c r="O19" s="3">
        <f t="shared" si="3"/>
        <v>5907</v>
      </c>
    </row>
    <row r="20" spans="1:17" ht="15.75" thickBot="1">
      <c r="A20" s="245">
        <f>ELEC!C17</f>
        <v>43876</v>
      </c>
      <c r="B20" s="552">
        <v>2</v>
      </c>
      <c r="C20" s="552">
        <v>7.8</v>
      </c>
      <c r="D20" s="552">
        <v>17</v>
      </c>
      <c r="E20" s="552">
        <v>2</v>
      </c>
      <c r="F20" s="552">
        <v>8</v>
      </c>
      <c r="G20" s="552">
        <v>16</v>
      </c>
      <c r="H20" s="428">
        <v>5908</v>
      </c>
      <c r="I20" s="247">
        <f t="shared" si="4"/>
        <v>1</v>
      </c>
      <c r="J20" s="523">
        <v>0.29166666666666669</v>
      </c>
      <c r="L20" s="100">
        <f t="shared" si="0"/>
        <v>43876</v>
      </c>
      <c r="M20" s="3">
        <f t="shared" si="5"/>
        <v>5908</v>
      </c>
      <c r="N20" s="3">
        <v>0</v>
      </c>
      <c r="O20" s="3">
        <f t="shared" si="3"/>
        <v>5908</v>
      </c>
    </row>
    <row r="21" spans="1:17" ht="15.75" thickBot="1">
      <c r="A21" s="245">
        <f>ELEC!C18</f>
        <v>43877</v>
      </c>
      <c r="B21" s="552">
        <v>4</v>
      </c>
      <c r="C21" s="552">
        <v>7.8</v>
      </c>
      <c r="D21" s="552">
        <v>17</v>
      </c>
      <c r="E21" s="552">
        <v>2</v>
      </c>
      <c r="F21" s="552">
        <v>8</v>
      </c>
      <c r="G21" s="552">
        <v>16</v>
      </c>
      <c r="H21" s="428">
        <v>5909</v>
      </c>
      <c r="I21" s="247">
        <f t="shared" si="4"/>
        <v>1</v>
      </c>
      <c r="J21" s="523">
        <v>0.29166666666666669</v>
      </c>
      <c r="L21" s="100">
        <f t="shared" si="0"/>
        <v>43877</v>
      </c>
      <c r="M21" s="3">
        <f t="shared" si="5"/>
        <v>5909</v>
      </c>
      <c r="N21" s="3">
        <v>0</v>
      </c>
      <c r="O21" s="3">
        <f t="shared" si="3"/>
        <v>5909</v>
      </c>
    </row>
    <row r="22" spans="1:17" ht="15.75" thickBot="1">
      <c r="A22" s="245">
        <f>ELEC!C19</f>
        <v>43878</v>
      </c>
      <c r="B22" s="552">
        <v>4</v>
      </c>
      <c r="C22" s="552">
        <v>7.8</v>
      </c>
      <c r="D22" s="552">
        <v>17</v>
      </c>
      <c r="E22" s="552">
        <v>2</v>
      </c>
      <c r="F22" s="552">
        <v>8</v>
      </c>
      <c r="G22" s="552">
        <v>16</v>
      </c>
      <c r="H22" s="428">
        <f t="shared" si="6"/>
        <v>5909</v>
      </c>
      <c r="I22" s="247">
        <f t="shared" si="4"/>
        <v>0</v>
      </c>
      <c r="J22" s="523">
        <v>0.29166666666666669</v>
      </c>
      <c r="L22" s="100">
        <f t="shared" si="0"/>
        <v>43878</v>
      </c>
      <c r="M22" s="3">
        <f t="shared" si="5"/>
        <v>5909</v>
      </c>
      <c r="N22" s="3">
        <v>0</v>
      </c>
      <c r="O22" s="3">
        <f t="shared" si="3"/>
        <v>5909</v>
      </c>
    </row>
    <row r="23" spans="1:17" ht="15.75" thickBot="1">
      <c r="A23" s="245">
        <f>ELEC!C20</f>
        <v>43879</v>
      </c>
      <c r="B23" s="552">
        <v>2</v>
      </c>
      <c r="C23" s="552">
        <v>7.8</v>
      </c>
      <c r="D23" s="552">
        <v>17</v>
      </c>
      <c r="E23" s="552">
        <v>2</v>
      </c>
      <c r="F23" s="552">
        <v>8</v>
      </c>
      <c r="G23" s="552">
        <v>16</v>
      </c>
      <c r="H23" s="428">
        <v>5910</v>
      </c>
      <c r="I23" s="247">
        <f t="shared" si="4"/>
        <v>1</v>
      </c>
      <c r="J23" s="523">
        <v>0.29166666666666669</v>
      </c>
      <c r="L23" s="100">
        <f t="shared" si="0"/>
        <v>43879</v>
      </c>
      <c r="M23" s="3">
        <f t="shared" si="5"/>
        <v>5910</v>
      </c>
      <c r="N23" s="3">
        <v>0</v>
      </c>
      <c r="O23" s="3">
        <f t="shared" si="3"/>
        <v>5910</v>
      </c>
    </row>
    <row r="24" spans="1:17" ht="15.75" thickBot="1">
      <c r="A24" s="245">
        <f>ELEC!C21</f>
        <v>43880</v>
      </c>
      <c r="B24" s="552">
        <v>2.5</v>
      </c>
      <c r="C24" s="552">
        <v>7.8</v>
      </c>
      <c r="D24" s="552">
        <v>17</v>
      </c>
      <c r="E24" s="552">
        <v>2</v>
      </c>
      <c r="F24" s="552">
        <v>8</v>
      </c>
      <c r="G24" s="552">
        <v>16</v>
      </c>
      <c r="H24" s="428">
        <v>5911</v>
      </c>
      <c r="I24" s="247">
        <f t="shared" si="4"/>
        <v>1</v>
      </c>
      <c r="J24" s="523">
        <v>0.29166666666666702</v>
      </c>
      <c r="L24" s="100">
        <f t="shared" si="0"/>
        <v>43880</v>
      </c>
      <c r="M24" s="3">
        <f t="shared" si="5"/>
        <v>5911</v>
      </c>
      <c r="N24" s="3">
        <v>0</v>
      </c>
      <c r="O24" s="3">
        <f t="shared" si="3"/>
        <v>5911</v>
      </c>
    </row>
    <row r="25" spans="1:17" ht="15.75" thickBot="1">
      <c r="A25" s="245">
        <f>ELEC!C22</f>
        <v>43881</v>
      </c>
      <c r="B25" s="552">
        <v>3.5</v>
      </c>
      <c r="C25" s="552">
        <v>7.8</v>
      </c>
      <c r="D25" s="552">
        <v>17</v>
      </c>
      <c r="E25" s="552">
        <v>2.5</v>
      </c>
      <c r="F25" s="552">
        <v>8</v>
      </c>
      <c r="G25" s="552">
        <v>16</v>
      </c>
      <c r="H25" s="428">
        <v>5911</v>
      </c>
      <c r="I25" s="247">
        <f t="shared" si="4"/>
        <v>0</v>
      </c>
      <c r="J25" s="523">
        <v>0.29166666666666702</v>
      </c>
      <c r="L25" s="100">
        <f t="shared" si="0"/>
        <v>43881</v>
      </c>
      <c r="M25" s="3">
        <f t="shared" si="5"/>
        <v>5911</v>
      </c>
      <c r="N25" s="3">
        <v>0</v>
      </c>
      <c r="O25" s="3">
        <f t="shared" si="3"/>
        <v>5911</v>
      </c>
    </row>
    <row r="26" spans="1:17" ht="15.75" thickBot="1">
      <c r="A26" s="245">
        <f>ELEC!C23</f>
        <v>43882</v>
      </c>
      <c r="B26" s="552">
        <v>3.5</v>
      </c>
      <c r="C26" s="552">
        <v>7.8</v>
      </c>
      <c r="D26" s="552">
        <v>16</v>
      </c>
      <c r="E26" s="552">
        <v>2.4</v>
      </c>
      <c r="F26" s="552">
        <v>8</v>
      </c>
      <c r="G26" s="552">
        <v>15</v>
      </c>
      <c r="H26" s="428">
        <v>5912</v>
      </c>
      <c r="I26" s="247">
        <f t="shared" si="4"/>
        <v>1</v>
      </c>
      <c r="J26" s="523">
        <v>0.29166666666666702</v>
      </c>
      <c r="L26" s="100">
        <f t="shared" si="0"/>
        <v>43882</v>
      </c>
      <c r="M26" s="3">
        <f t="shared" si="5"/>
        <v>5912</v>
      </c>
      <c r="N26" s="3">
        <v>0</v>
      </c>
      <c r="O26" s="3">
        <f t="shared" si="3"/>
        <v>5912</v>
      </c>
    </row>
    <row r="27" spans="1:17" ht="15.75" thickBot="1">
      <c r="A27" s="245">
        <f>ELEC!C24</f>
        <v>43883</v>
      </c>
      <c r="B27" s="552">
        <v>2.2999999999999998</v>
      </c>
      <c r="C27" s="552">
        <v>7.8</v>
      </c>
      <c r="D27" s="552">
        <v>16</v>
      </c>
      <c r="E27" s="552">
        <v>2.5</v>
      </c>
      <c r="F27" s="552">
        <v>8</v>
      </c>
      <c r="G27" s="552">
        <v>15</v>
      </c>
      <c r="H27" s="428">
        <v>5913</v>
      </c>
      <c r="I27" s="247">
        <f>H27-H26</f>
        <v>1</v>
      </c>
      <c r="J27" s="523">
        <v>0.29166666666666702</v>
      </c>
      <c r="L27" s="100">
        <f t="shared" si="0"/>
        <v>43883</v>
      </c>
      <c r="M27" s="3">
        <f t="shared" si="5"/>
        <v>5913</v>
      </c>
      <c r="N27" s="3">
        <v>0</v>
      </c>
      <c r="O27" s="3">
        <f t="shared" si="3"/>
        <v>5913</v>
      </c>
    </row>
    <row r="28" spans="1:17" ht="15.75" thickBot="1">
      <c r="A28" s="245">
        <f>ELEC!C25</f>
        <v>43884</v>
      </c>
      <c r="B28" s="552">
        <v>2</v>
      </c>
      <c r="C28" s="552">
        <v>7.8</v>
      </c>
      <c r="D28" s="552">
        <v>16</v>
      </c>
      <c r="E28" s="552">
        <v>3</v>
      </c>
      <c r="F28" s="552">
        <v>8</v>
      </c>
      <c r="G28" s="552">
        <v>17</v>
      </c>
      <c r="H28" s="428">
        <v>5913</v>
      </c>
      <c r="I28" s="247">
        <f t="shared" si="4"/>
        <v>0</v>
      </c>
      <c r="J28" s="524">
        <v>0.29166666666666702</v>
      </c>
      <c r="L28" s="100">
        <f t="shared" si="0"/>
        <v>43884</v>
      </c>
      <c r="M28" s="3">
        <f t="shared" si="5"/>
        <v>5913</v>
      </c>
      <c r="N28" s="3">
        <v>0</v>
      </c>
      <c r="O28" s="3">
        <f t="shared" si="3"/>
        <v>5913</v>
      </c>
    </row>
    <row r="29" spans="1:17" ht="15.75" thickBot="1">
      <c r="A29" s="245">
        <f>ELEC!C26</f>
        <v>43885</v>
      </c>
      <c r="B29" s="552"/>
      <c r="C29" s="552"/>
      <c r="D29" s="552"/>
      <c r="E29" s="552"/>
      <c r="F29" s="552"/>
      <c r="G29" s="552"/>
      <c r="H29" s="428">
        <f t="shared" si="6"/>
        <v>5913</v>
      </c>
      <c r="I29" s="247">
        <f t="shared" si="4"/>
        <v>0</v>
      </c>
      <c r="J29" s="523">
        <v>0.29166666666666702</v>
      </c>
      <c r="L29" s="100">
        <f t="shared" si="0"/>
        <v>43885</v>
      </c>
      <c r="M29" s="3">
        <f t="shared" si="5"/>
        <v>5913</v>
      </c>
      <c r="N29" s="3">
        <v>0</v>
      </c>
      <c r="O29" s="3">
        <f t="shared" si="3"/>
        <v>5913</v>
      </c>
    </row>
    <row r="30" spans="1:17" ht="15.75" thickBot="1">
      <c r="A30" s="245">
        <f>ELEC!C27</f>
        <v>43886</v>
      </c>
      <c r="B30" s="552"/>
      <c r="C30" s="552"/>
      <c r="D30" s="552"/>
      <c r="E30" s="552"/>
      <c r="F30" s="552"/>
      <c r="G30" s="552"/>
      <c r="H30" s="428">
        <f t="shared" si="6"/>
        <v>5913</v>
      </c>
      <c r="I30" s="247">
        <f t="shared" si="4"/>
        <v>0</v>
      </c>
      <c r="J30" s="523">
        <v>0.29166666666666702</v>
      </c>
      <c r="L30" s="100">
        <f t="shared" si="0"/>
        <v>43886</v>
      </c>
      <c r="M30" s="3">
        <f t="shared" si="5"/>
        <v>5913</v>
      </c>
      <c r="N30" s="3">
        <v>0</v>
      </c>
      <c r="O30" s="3">
        <f>SUM(M30:N30)</f>
        <v>5913</v>
      </c>
    </row>
    <row r="31" spans="1:17" ht="15.75" thickBot="1">
      <c r="A31" s="245">
        <f>ELEC!C28</f>
        <v>43887</v>
      </c>
      <c r="B31" s="552"/>
      <c r="C31" s="552"/>
      <c r="D31" s="552"/>
      <c r="E31" s="552"/>
      <c r="F31" s="552"/>
      <c r="G31" s="552"/>
      <c r="H31" s="428">
        <f t="shared" si="6"/>
        <v>5913</v>
      </c>
      <c r="I31" s="247">
        <f t="shared" si="4"/>
        <v>0</v>
      </c>
      <c r="J31" s="523">
        <v>0.29166666666666702</v>
      </c>
      <c r="L31" s="100">
        <f t="shared" si="0"/>
        <v>43887</v>
      </c>
      <c r="M31" s="3">
        <f t="shared" si="5"/>
        <v>5913</v>
      </c>
      <c r="N31" s="3">
        <v>0</v>
      </c>
      <c r="O31" s="3">
        <f t="shared" si="3"/>
        <v>5913</v>
      </c>
    </row>
    <row r="32" spans="1:17" ht="15.75" thickBot="1">
      <c r="A32" s="245">
        <f>ELEC!C29</f>
        <v>43888</v>
      </c>
      <c r="B32" s="552"/>
      <c r="C32" s="552"/>
      <c r="D32" s="552"/>
      <c r="E32" s="552"/>
      <c r="F32" s="552"/>
      <c r="G32" s="552"/>
      <c r="H32" s="428">
        <f t="shared" si="6"/>
        <v>5913</v>
      </c>
      <c r="I32" s="247">
        <f t="shared" si="4"/>
        <v>0</v>
      </c>
      <c r="J32" s="523">
        <v>0.29166666666666702</v>
      </c>
      <c r="L32" s="100">
        <f t="shared" si="0"/>
        <v>43888</v>
      </c>
      <c r="M32" s="3">
        <f t="shared" si="5"/>
        <v>5913</v>
      </c>
      <c r="N32" s="3">
        <v>0</v>
      </c>
      <c r="O32" s="3">
        <f t="shared" si="3"/>
        <v>5913</v>
      </c>
    </row>
    <row r="33" spans="1:15" ht="15.75" thickBot="1">
      <c r="A33" s="245">
        <f>ELEC!C30</f>
        <v>43889</v>
      </c>
      <c r="B33" s="552"/>
      <c r="C33" s="552"/>
      <c r="D33" s="552"/>
      <c r="E33" s="552"/>
      <c r="F33" s="552"/>
      <c r="G33" s="552"/>
      <c r="H33" s="428">
        <f t="shared" si="6"/>
        <v>5913</v>
      </c>
      <c r="I33" s="247">
        <f t="shared" si="4"/>
        <v>0</v>
      </c>
      <c r="J33" s="523">
        <v>0.29166666666666702</v>
      </c>
      <c r="L33" s="100">
        <f t="shared" si="0"/>
        <v>43889</v>
      </c>
      <c r="M33" s="3">
        <f t="shared" si="5"/>
        <v>5913</v>
      </c>
      <c r="N33" s="3">
        <v>0</v>
      </c>
      <c r="O33" s="3">
        <f t="shared" si="3"/>
        <v>5913</v>
      </c>
    </row>
    <row r="34" spans="1:15" ht="15.75" thickBot="1">
      <c r="A34" s="245">
        <f>ELEC!C31</f>
        <v>43890</v>
      </c>
      <c r="B34" s="552"/>
      <c r="C34" s="552"/>
      <c r="D34" s="552"/>
      <c r="E34" s="552"/>
      <c r="F34" s="552"/>
      <c r="G34" s="552"/>
      <c r="H34" s="428">
        <f t="shared" si="6"/>
        <v>5913</v>
      </c>
      <c r="I34" s="247">
        <f t="shared" si="4"/>
        <v>0</v>
      </c>
      <c r="J34" s="523">
        <v>0.29166666666666702</v>
      </c>
      <c r="L34" s="100">
        <f t="shared" si="0"/>
        <v>43890</v>
      </c>
      <c r="M34" s="3">
        <f t="shared" si="5"/>
        <v>5913</v>
      </c>
      <c r="N34" s="3">
        <v>0</v>
      </c>
      <c r="O34" s="3">
        <f t="shared" si="3"/>
        <v>5913</v>
      </c>
    </row>
    <row r="35" spans="1:15" ht="15.75" thickBot="1">
      <c r="A35" s="429"/>
      <c r="B35" s="552"/>
      <c r="C35" s="552"/>
      <c r="D35" s="552"/>
      <c r="E35" s="552"/>
      <c r="F35" s="552"/>
      <c r="G35" s="552"/>
      <c r="H35" s="428">
        <f t="shared" si="6"/>
        <v>5913</v>
      </c>
      <c r="I35" s="247">
        <f t="shared" si="4"/>
        <v>0</v>
      </c>
      <c r="J35" s="525">
        <v>0.29166666666666702</v>
      </c>
      <c r="L35" s="100"/>
      <c r="M35" s="3">
        <f t="shared" si="5"/>
        <v>5913</v>
      </c>
      <c r="N35" s="3">
        <v>0</v>
      </c>
      <c r="O35" s="3">
        <f t="shared" si="3"/>
        <v>5913</v>
      </c>
    </row>
    <row r="36" spans="1:15" ht="15.75" thickBot="1">
      <c r="A36" s="429"/>
      <c r="B36" s="552"/>
      <c r="C36" s="552"/>
      <c r="D36" s="552"/>
      <c r="E36" s="552"/>
      <c r="F36" s="552"/>
      <c r="G36" s="552"/>
      <c r="H36" s="428">
        <f t="shared" si="6"/>
        <v>5913</v>
      </c>
      <c r="I36" s="247">
        <f t="shared" si="4"/>
        <v>0</v>
      </c>
      <c r="J36" s="525">
        <v>0.33333333333333398</v>
      </c>
      <c r="L36" s="100"/>
      <c r="M36" s="3">
        <f t="shared" si="1"/>
        <v>5913</v>
      </c>
      <c r="N36" s="3">
        <v>0</v>
      </c>
      <c r="O36" s="3">
        <f t="shared" si="3"/>
        <v>5913</v>
      </c>
    </row>
    <row r="37" spans="1:15" ht="15.75" thickBot="1">
      <c r="A37" s="414"/>
      <c r="B37" s="527"/>
      <c r="C37" s="528"/>
      <c r="D37" s="528"/>
      <c r="E37" s="528"/>
      <c r="F37" s="528"/>
      <c r="G37" s="528"/>
      <c r="H37" s="529"/>
      <c r="I37" s="530"/>
      <c r="J37" s="531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6" sqref="A16"/>
    </sheetView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2020</vt:lpstr>
      <vt:lpstr>Utility Cost </vt:lpstr>
      <vt:lpstr>MDB</vt:lpstr>
      <vt:lpstr>Sheet3</vt:lpstr>
      <vt:lpstr>Swimming Pool quality check </vt:lpstr>
      <vt:lpstr>Sheet2</vt:lpstr>
      <vt:lpstr>Sheet6</vt:lpstr>
      <vt:lpstr>Sheet7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2019-11-26T05:48:35Z</cp:lastPrinted>
  <dcterms:created xsi:type="dcterms:W3CDTF">2015-01-02T09:20:21Z</dcterms:created>
  <dcterms:modified xsi:type="dcterms:W3CDTF">2020-02-24T09:58:11Z</dcterms:modified>
</cp:coreProperties>
</file>