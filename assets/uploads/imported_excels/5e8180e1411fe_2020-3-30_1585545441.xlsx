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23" i="3"/>
  <c r="AJ24"/>
  <c r="AJ25"/>
  <c r="AJ26"/>
  <c r="AJ27"/>
  <c r="AJ28"/>
  <c r="AJ29"/>
  <c r="AJ30"/>
  <c r="AJ31"/>
  <c r="AJ32"/>
  <c r="AJ33"/>
  <c r="AJ22"/>
  <c r="AJ21"/>
  <c r="AJ34"/>
  <c r="AJ35"/>
  <c r="AJ36"/>
  <c r="AJ37"/>
  <c r="M17" i="12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D53"/>
  <c r="F53" s="1"/>
  <c r="B53"/>
  <c r="G52"/>
  <c r="I52" s="1"/>
  <c r="D52"/>
  <c r="F52" s="1"/>
  <c r="B52"/>
  <c r="G51"/>
  <c r="I51" s="1"/>
  <c r="K51" s="1"/>
  <c r="B51"/>
  <c r="D51" s="1"/>
  <c r="F51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L52"/>
  <c r="K52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37" i="14" l="1"/>
  <c r="J39"/>
  <c r="S25" i="18"/>
  <c r="I26" i="23"/>
  <c r="S31" i="14"/>
  <c r="U5" i="10"/>
  <c r="S26" i="18"/>
  <c r="I27" i="23"/>
  <c r="S33" i="18"/>
  <c r="I34" i="23"/>
  <c r="I23" i="10"/>
  <c r="Q23" s="1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E36" i="23"/>
  <c r="J36" i="11"/>
  <c r="AU43" i="1" l="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J1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J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Incenerator</t>
        </r>
      </text>
    </comment>
    <comment ref="J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Incenerator</t>
        </r>
      </text>
    </comment>
    <comment ref="AJ3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paid</t>
        </r>
      </text>
    </comment>
  </commentList>
</comments>
</file>

<file path=xl/sharedStrings.xml><?xml version="1.0" encoding="utf-8"?>
<sst xmlns="http://schemas.openxmlformats.org/spreadsheetml/2006/main" count="575" uniqueCount="343">
  <si>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</si>
  <si>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</si>
  <si>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</si>
  <si>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</si>
  <si>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</si>
  <si>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</si>
  <si>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</si>
  <si>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</si>
  <si>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</si>
  <si>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</si>
  <si>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</si>
  <si>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</si>
  <si>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</si>
  <si>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</si>
  <si>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</si>
  <si>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</si>
  <si>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</si>
  <si>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</si>
  <si>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</si>
  <si>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</si>
  <si>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</si>
  <si>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</si>
  <si>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</si>
  <si>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</si>
  <si>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</si>
  <si>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</si>
  <si>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</si>
  <si>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</si>
  <si>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</si>
  <si>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</si>
  <si>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</si>
  <si>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</si>
  <si>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</si>
  <si>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</si>
  <si>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</si>
  <si>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</si>
  <si>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</si>
  <si>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</si>
  <si>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</si>
  <si>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</si>
  <si>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</si>
  <si>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</si>
  <si>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</si>
  <si>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</si>
  <si>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</si>
  <si>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</si>
  <si>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</si>
  <si>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</si>
  <si>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</si>
  <si>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</si>
  <si>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</si>
  <si>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</si>
  <si>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</si>
  <si>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</si>
  <si>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</si>
  <si>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</si>
  <si>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</si>
  <si>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</si>
  <si>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</si>
  <si>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</si>
  <si>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</si>
  <si>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</si>
  <si>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</si>
  <si>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</si>
  <si>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</si>
  <si>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</si>
  <si>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</si>
  <si>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</si>
  <si>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</si>
  <si>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</si>
  <si>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</si>
  <si>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</si>
  <si>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</si>
  <si>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</si>
  <si>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</si>
  <si>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</si>
  <si>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</si>
  <si>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</si>
  <si>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</si>
  <si>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</si>
  <si>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</si>
  <si>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</si>
  <si>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</si>
  <si>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</si>
  <si>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</si>
  <si>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</si>
  <si>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</si>
  <si>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</si>
  <si>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</si>
  <si>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</si>
  <si>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</si>
  <si>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</si>
  <si>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</si>
  <si>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</si>
  <si>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</si>
  <si>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</si>
  <si>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</si>
  <si>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</si>
  <si>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</si>
  <si>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</si>
  <si>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</si>
  <si>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</si>
  <si>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</si>
  <si>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</si>
  <si>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</si>
  <si>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</si>
  <si>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</si>
  <si>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</si>
  <si>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</si>
  <si>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</si>
  <si>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</si>
  <si>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</si>
  <si>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</si>
  <si>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</si>
  <si>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</si>
  <si>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</si>
  <si>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</si>
  <si>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</si>
  <si>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</si>
  <si>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</si>
  <si>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</si>
  <si>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</si>
  <si>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</si>
  <si>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</si>
  <si>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</si>
  <si>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</si>
  <si>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</si>
  <si>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</si>
  <si>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</si>
  <si>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</si>
  <si>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</si>
  <si>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</si>
  <si>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</si>
  <si>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</si>
  <si>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</si>
  <si>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</si>
  <si>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</si>
  <si>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</si>
  <si>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</si>
  <si>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</si>
  <si>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</si>
  <si>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</si>
  <si>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</si>
  <si>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</si>
  <si>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</si>
  <si>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</si>
  <si>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</si>
  <si>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</si>
  <si>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</si>
  <si>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</si>
  <si>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</si>
  <si>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</si>
  <si>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</si>
  <si>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</si>
  <si>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</si>
  <si>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</si>
  <si>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</si>
  <si>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</si>
  <si>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</si>
  <si>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</si>
  <si>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</si>
  <si>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</si>
  <si>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</si>
  <si>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</si>
  <si>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</si>
  <si>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</si>
  <si>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</si>
  <si>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</si>
  <si>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</si>
  <si>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</si>
  <si>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</si>
  <si>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</si>
  <si>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</si>
  <si>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</si>
  <si>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</si>
  <si>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</si>
  <si>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</si>
  <si>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</si>
  <si>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</si>
  <si>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</si>
  <si>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</si>
  <si>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</si>
  <si>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</si>
  <si>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</si>
  <si>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</si>
  <si>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</si>
  <si>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</si>
  <si>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</si>
  <si>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</si>
  <si>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</si>
  <si>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</si>
  <si>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</si>
  <si>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</si>
  <si>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</si>
  <si>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</si>
  <si>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</si>
  <si>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</si>
  <si>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</si>
  <si>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</si>
  <si>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</si>
  <si>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</si>
  <si>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</si>
  <si>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</si>
  <si>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</si>
  <si>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</si>
  <si>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</si>
  <si>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</si>
  <si>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</si>
  <si>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</si>
  <si>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</si>
  <si>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</si>
  <si>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</si>
  <si>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</si>
  <si>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</si>
  <si>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</si>
  <si>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</si>
  <si>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</si>
  <si>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</si>
  <si>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</si>
  <si>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</si>
  <si>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</si>
  <si>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</si>
  <si>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</si>
  <si>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</si>
  <si>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</si>
  <si>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</si>
  <si>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</si>
  <si>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</si>
  <si>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</si>
  <si>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</si>
  <si>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</si>
  <si>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</si>
  <si>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</si>
  <si>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</si>
  <si>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</si>
  <si>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</si>
  <si>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</si>
  <si>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</si>
  <si>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</si>
  <si>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</si>
  <si>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</si>
  <si>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</si>
  <si>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</si>
  <si>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</si>
  <si>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</si>
  <si>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</si>
  <si>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</si>
  <si>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</si>
  <si>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</si>
  <si>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</si>
  <si>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</si>
  <si>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</si>
  <si>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</si>
  <si>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</si>
  <si>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</si>
  <si>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</si>
  <si>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</si>
  <si>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</si>
  <si>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</si>
  <si>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</si>
  <si>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</si>
  <si>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</si>
  <si>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</si>
  <si>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</si>
  <si>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</si>
  <si>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</si>
  <si>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</si>
  <si>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</si>
  <si>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</si>
  <si>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</si>
  <si>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</si>
  <si>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</si>
  <si>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</si>
  <si>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</si>
  <si>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</si>
  <si>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</si>
  <si>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</si>
  <si>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</si>
  <si>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</si>
  <si>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</si>
  <si>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</si>
  <si>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</si>
  <si>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</si>
  <si>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</si>
  <si>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</si>
  <si>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</si>
  <si>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</si>
  <si>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</si>
  <si>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</si>
  <si>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</si>
  <si>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</si>
  <si>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</si>
  <si>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</si>
  <si>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</si>
  <si>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</si>
  <si>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</si>
  <si>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</si>
  <si>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</si>
  <si>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</si>
  <si>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</si>
  <si>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</si>
  <si>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</si>
  <si>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</si>
  <si>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</si>
  <si>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</si>
  <si>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</si>
  <si>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</si>
  <si>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</si>
  <si>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</si>
  <si>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</si>
  <si>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</si>
  <si>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</si>
  <si>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</si>
  <si>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</si>
  <si>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</si>
  <si>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</si>
  <si>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</si>
  <si>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</si>
  <si>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</si>
  <si>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</si>
  <si>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</si>
  <si>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</si>
  <si>
    <t>Zakayo</t>
  </si>
  <si>
    <t>T 132 CWQ</t>
  </si>
  <si>
    <t>Joseph</t>
  </si>
  <si>
    <t>T 882 DKQ</t>
  </si>
  <si>
    <t>T111CWQ</t>
  </si>
  <si>
    <t>Richard</t>
  </si>
  <si>
    <t>T880DKQ</t>
  </si>
  <si>
    <t>Baraka</t>
  </si>
  <si>
    <t>T840DDW</t>
  </si>
  <si>
    <t>Kelvin</t>
  </si>
  <si>
    <t>T986DTA</t>
  </si>
  <si>
    <t>Rajabu</t>
  </si>
  <si>
    <t>paid</t>
  </si>
  <si>
    <t>T106CWQ</t>
  </si>
  <si>
    <t>Dickson</t>
  </si>
  <si>
    <t>T 242 AXN</t>
  </si>
  <si>
    <t>ARUSHA          T 139 AXE</t>
  </si>
  <si>
    <t>T882DKQ</t>
  </si>
  <si>
    <t>Gurisha</t>
  </si>
  <si>
    <t>TKAW478P</t>
  </si>
  <si>
    <t>Destro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</si>
</sst>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8" xfId="1" applyFont="1" applyFill="1" applyBorder="1" applyAlignment="1">
      <alignment horizontal="center"/>
    </xf>
    <xf numFmtId="166" fontId="16" fillId="0" borderId="58" xfId="1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4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2421.29</c:v>
                </c:pt>
                <c:pt idx="3">
                  <c:v>2590.17</c:v>
                </c:pt>
                <c:pt idx="4">
                  <c:v>2694.18</c:v>
                </c:pt>
                <c:pt idx="5">
                  <c:v>2914.3</c:v>
                </c:pt>
                <c:pt idx="6">
                  <c:v>2683.84</c:v>
                </c:pt>
                <c:pt idx="7">
                  <c:v>2232.9499999999998</c:v>
                </c:pt>
                <c:pt idx="8">
                  <c:v>2128.3999999999996</c:v>
                </c:pt>
                <c:pt idx="9">
                  <c:v>1707.85</c:v>
                </c:pt>
                <c:pt idx="10">
                  <c:v>2737.5</c:v>
                </c:pt>
                <c:pt idx="11">
                  <c:v>2538.1400000000003</c:v>
                </c:pt>
                <c:pt idx="12">
                  <c:v>1306.6799999999998</c:v>
                </c:pt>
                <c:pt idx="13">
                  <c:v>1420.46</c:v>
                </c:pt>
                <c:pt idx="14">
                  <c:v>1366.8200000000002</c:v>
                </c:pt>
                <c:pt idx="15">
                  <c:v>1215.42</c:v>
                </c:pt>
                <c:pt idx="16">
                  <c:v>1192.8200000000002</c:v>
                </c:pt>
                <c:pt idx="17">
                  <c:v>1101.77</c:v>
                </c:pt>
                <c:pt idx="18">
                  <c:v>1196.43</c:v>
                </c:pt>
                <c:pt idx="19">
                  <c:v>1103.08</c:v>
                </c:pt>
                <c:pt idx="20">
                  <c:v>926.75</c:v>
                </c:pt>
                <c:pt idx="21">
                  <c:v>1128.43</c:v>
                </c:pt>
                <c:pt idx="22">
                  <c:v>966.5200000000001</c:v>
                </c:pt>
                <c:pt idx="23">
                  <c:v>1052.98</c:v>
                </c:pt>
                <c:pt idx="24">
                  <c:v>1062.08</c:v>
                </c:pt>
                <c:pt idx="25">
                  <c:v>958.21</c:v>
                </c:pt>
                <c:pt idx="26">
                  <c:v>811.26</c:v>
                </c:pt>
                <c:pt idx="27">
                  <c:v>838.53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5200640"/>
        <c:axId val="1252147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46</c:v>
                </c:pt>
                <c:pt idx="7">
                  <c:v>44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5216256"/>
        <c:axId val="125217792"/>
      </c:lineChart>
      <c:catAx>
        <c:axId val="12520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4720"/>
        <c:crosses val="autoZero"/>
        <c:auto val="1"/>
        <c:lblAlgn val="ctr"/>
        <c:lblOffset val="100"/>
      </c:catAx>
      <c:valAx>
        <c:axId val="1252147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00640"/>
        <c:crosses val="autoZero"/>
        <c:crossBetween val="between"/>
        <c:majorUnit val="200"/>
      </c:valAx>
      <c:catAx>
        <c:axId val="125216256"/>
        <c:scaling>
          <c:orientation val="minMax"/>
        </c:scaling>
        <c:delete val="1"/>
        <c:axPos val="b"/>
        <c:tickLblPos val="none"/>
        <c:crossAx val="125217792"/>
        <c:crosses val="autoZero"/>
        <c:auto val="1"/>
        <c:lblAlgn val="ctr"/>
        <c:lblOffset val="100"/>
      </c:catAx>
      <c:valAx>
        <c:axId val="1252177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6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2452864"/>
        <c:axId val="824544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2455936"/>
        <c:axId val="82461824"/>
      </c:lineChart>
      <c:catAx>
        <c:axId val="8245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54400"/>
        <c:crosses val="autoZero"/>
        <c:auto val="1"/>
        <c:lblAlgn val="ctr"/>
        <c:lblOffset val="100"/>
      </c:catAx>
      <c:valAx>
        <c:axId val="8245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52864"/>
        <c:crosses val="autoZero"/>
        <c:crossBetween val="between"/>
        <c:majorUnit val="200"/>
      </c:valAx>
      <c:catAx>
        <c:axId val="82455936"/>
        <c:scaling>
          <c:orientation val="minMax"/>
        </c:scaling>
        <c:delete val="1"/>
        <c:axPos val="b"/>
        <c:tickLblPos val="none"/>
        <c:crossAx val="82461824"/>
        <c:crosses val="autoZero"/>
        <c:auto val="1"/>
        <c:lblAlgn val="ctr"/>
        <c:lblOffset val="100"/>
      </c:catAx>
      <c:valAx>
        <c:axId val="82461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55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1470.88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1175.77</c:v>
                </c:pt>
                <c:pt idx="24">
                  <c:v>1142.53</c:v>
                </c:pt>
                <c:pt idx="25">
                  <c:v>1001.0900000000001</c:v>
                </c:pt>
                <c:pt idx="26">
                  <c:v>1197.0999999999999</c:v>
                </c:pt>
                <c:pt idx="27">
                  <c:v>1140.28</c:v>
                </c:pt>
                <c:pt idx="28">
                  <c:v>958.21</c:v>
                </c:pt>
                <c:pt idx="29">
                  <c:v>811.26</c:v>
                </c:pt>
                <c:pt idx="30">
                  <c:v>838.53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3064704"/>
        <c:axId val="83066240"/>
      </c:lineChart>
      <c:catAx>
        <c:axId val="8306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66240"/>
        <c:crosses val="autoZero"/>
        <c:auto val="1"/>
        <c:lblAlgn val="ctr"/>
        <c:lblOffset val="200"/>
        <c:tickLblSkip val="1"/>
      </c:catAx>
      <c:valAx>
        <c:axId val="830662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6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3086720"/>
        <c:axId val="83371136"/>
      </c:lineChart>
      <c:catAx>
        <c:axId val="8308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1136"/>
        <c:crosses val="autoZero"/>
        <c:auto val="1"/>
        <c:lblAlgn val="ctr"/>
        <c:lblOffset val="100"/>
      </c:catAx>
      <c:valAx>
        <c:axId val="83371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8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2523</c:v>
                </c:pt>
                <c:pt idx="25">
                  <c:v>2586</c:v>
                </c:pt>
                <c:pt idx="26">
                  <c:v>2334</c:v>
                </c:pt>
                <c:pt idx="27">
                  <c:v>2348</c:v>
                </c:pt>
                <c:pt idx="28">
                  <c:v>2205</c:v>
                </c:pt>
                <c:pt idx="29">
                  <c:v>1991</c:v>
                </c:pt>
                <c:pt idx="30">
                  <c:v>1988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3420288"/>
        <c:axId val="83422208"/>
      </c:lineChart>
      <c:catAx>
        <c:axId val="83420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22208"/>
        <c:crosses val="autoZero"/>
        <c:auto val="1"/>
        <c:lblAlgn val="ctr"/>
        <c:lblOffset val="100"/>
      </c:catAx>
      <c:valAx>
        <c:axId val="83422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202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67</c:v>
                </c:pt>
                <c:pt idx="23">
                  <c:v>73</c:v>
                </c:pt>
                <c:pt idx="24">
                  <c:v>60</c:v>
                </c:pt>
                <c:pt idx="25">
                  <c:v>50</c:v>
                </c:pt>
                <c:pt idx="26">
                  <c:v>96</c:v>
                </c:pt>
                <c:pt idx="27">
                  <c:v>32</c:v>
                </c:pt>
                <c:pt idx="28">
                  <c:v>38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869632"/>
        <c:axId val="82880000"/>
      </c:lineChart>
      <c:catAx>
        <c:axId val="82869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80000"/>
        <c:crosses val="autoZero"/>
        <c:auto val="1"/>
        <c:lblAlgn val="ctr"/>
        <c:lblOffset val="100"/>
      </c:catAx>
      <c:valAx>
        <c:axId val="82880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9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62.391999999969272</c:v>
                </c:pt>
                <c:pt idx="23">
                  <c:v>59.663999999989763</c:v>
                </c:pt>
                <c:pt idx="24">
                  <c:v>32.120000000012809</c:v>
                </c:pt>
                <c:pt idx="25">
                  <c:v>73.040000000025614</c:v>
                </c:pt>
                <c:pt idx="26">
                  <c:v>29.436000000010246</c:v>
                </c:pt>
                <c:pt idx="27">
                  <c:v>25.079999999987198</c:v>
                </c:pt>
                <c:pt idx="28">
                  <c:v>24.947999999992319</c:v>
                </c:pt>
                <c:pt idx="29">
                  <c:v>-312114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3961728"/>
        <c:axId val="83963264"/>
      </c:lineChart>
      <c:catAx>
        <c:axId val="8396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3264"/>
        <c:crosses val="autoZero"/>
        <c:auto val="1"/>
        <c:lblAlgn val="ctr"/>
        <c:lblOffset val="100"/>
      </c:catAx>
      <c:valAx>
        <c:axId val="83963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013440"/>
        <c:axId val="84014976"/>
      </c:lineChart>
      <c:catAx>
        <c:axId val="8401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4976"/>
        <c:crosses val="autoZero"/>
        <c:auto val="1"/>
        <c:lblAlgn val="ctr"/>
        <c:lblOffset val="100"/>
      </c:catAx>
      <c:valAx>
        <c:axId val="8401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2590.17</c:v>
                </c:pt>
                <c:pt idx="7">
                  <c:v>2694.18</c:v>
                </c:pt>
                <c:pt idx="8">
                  <c:v>2914.3</c:v>
                </c:pt>
                <c:pt idx="9">
                  <c:v>2683.84</c:v>
                </c:pt>
                <c:pt idx="10">
                  <c:v>2232.9499999999998</c:v>
                </c:pt>
                <c:pt idx="11">
                  <c:v>2128.3999999999996</c:v>
                </c:pt>
                <c:pt idx="12">
                  <c:v>1707.85</c:v>
                </c:pt>
                <c:pt idx="13">
                  <c:v>2737.5</c:v>
                </c:pt>
                <c:pt idx="14">
                  <c:v>2538.1400000000003</c:v>
                </c:pt>
                <c:pt idx="15">
                  <c:v>1306.6799999999998</c:v>
                </c:pt>
                <c:pt idx="16">
                  <c:v>1420.46</c:v>
                </c:pt>
                <c:pt idx="17">
                  <c:v>1366.8200000000002</c:v>
                </c:pt>
                <c:pt idx="18">
                  <c:v>1215.42</c:v>
                </c:pt>
                <c:pt idx="19">
                  <c:v>1192.8200000000002</c:v>
                </c:pt>
                <c:pt idx="20">
                  <c:v>1101.77</c:v>
                </c:pt>
                <c:pt idx="21">
                  <c:v>1196.43</c:v>
                </c:pt>
                <c:pt idx="22">
                  <c:v>1103.08</c:v>
                </c:pt>
                <c:pt idx="23">
                  <c:v>926.75</c:v>
                </c:pt>
                <c:pt idx="24">
                  <c:v>1128.43</c:v>
                </c:pt>
                <c:pt idx="25">
                  <c:v>966.5200000000001</c:v>
                </c:pt>
                <c:pt idx="26">
                  <c:v>1052.98</c:v>
                </c:pt>
                <c:pt idx="27">
                  <c:v>1062.08</c:v>
                </c:pt>
                <c:pt idx="28">
                  <c:v>958.21</c:v>
                </c:pt>
                <c:pt idx="29">
                  <c:v>811.26</c:v>
                </c:pt>
                <c:pt idx="30">
                  <c:v>838.53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4448768"/>
        <c:axId val="84450304"/>
      </c:lineChart>
      <c:catAx>
        <c:axId val="8444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0304"/>
        <c:crosses val="autoZero"/>
        <c:auto val="1"/>
        <c:lblAlgn val="ctr"/>
        <c:lblOffset val="100"/>
      </c:catAx>
      <c:valAx>
        <c:axId val="8445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4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543"/>
          <c:y val="7.471324705110635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4474880"/>
        <c:axId val="85201664"/>
      </c:lineChart>
      <c:catAx>
        <c:axId val="8447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01664"/>
        <c:crosses val="autoZero"/>
        <c:auto val="1"/>
        <c:lblAlgn val="ctr"/>
        <c:lblOffset val="200"/>
        <c:tickLblSkip val="1"/>
      </c:catAx>
      <c:valAx>
        <c:axId val="85201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5246720"/>
        <c:axId val="85248256"/>
      </c:lineChart>
      <c:catAx>
        <c:axId val="8524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48256"/>
        <c:crosses val="autoZero"/>
        <c:auto val="1"/>
        <c:lblAlgn val="ctr"/>
        <c:lblOffset val="100"/>
      </c:catAx>
      <c:valAx>
        <c:axId val="8524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4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5006592"/>
        <c:axId val="85045632"/>
      </c:lineChart>
      <c:catAx>
        <c:axId val="85006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45632"/>
        <c:crosses val="autoZero"/>
        <c:auto val="1"/>
        <c:lblAlgn val="ctr"/>
        <c:lblOffset val="100"/>
      </c:catAx>
      <c:valAx>
        <c:axId val="850456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06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5558016"/>
        <c:axId val="85559936"/>
      </c:lineChart>
      <c:catAx>
        <c:axId val="85558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9936"/>
        <c:crosses val="autoZero"/>
        <c:auto val="1"/>
        <c:lblAlgn val="ctr"/>
        <c:lblOffset val="100"/>
      </c:catAx>
      <c:valAx>
        <c:axId val="855599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8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5732352"/>
        <c:axId val="85738240"/>
      </c:lineChart>
      <c:catAx>
        <c:axId val="8573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38240"/>
        <c:crosses val="autoZero"/>
        <c:auto val="1"/>
        <c:lblAlgn val="ctr"/>
        <c:lblOffset val="100"/>
      </c:catAx>
      <c:valAx>
        <c:axId val="85738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3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771776"/>
        <c:axId val="85773312"/>
      </c:lineChart>
      <c:catAx>
        <c:axId val="8577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73312"/>
        <c:crosses val="autoZero"/>
        <c:auto val="1"/>
        <c:lblAlgn val="ctr"/>
        <c:lblOffset val="100"/>
      </c:catAx>
      <c:valAx>
        <c:axId val="85773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7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6071936"/>
        <c:axId val="86077824"/>
      </c:lineChart>
      <c:catAx>
        <c:axId val="8607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77824"/>
        <c:crosses val="autoZero"/>
        <c:auto val="1"/>
        <c:lblAlgn val="ctr"/>
        <c:lblOffset val="100"/>
      </c:catAx>
      <c:valAx>
        <c:axId val="8607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7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843"/>
          <c:y val="7.471324705110678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6770432"/>
        <c:axId val="867719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6777856"/>
        <c:axId val="86779392"/>
      </c:lineChart>
      <c:catAx>
        <c:axId val="86770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71968"/>
        <c:crosses val="autoZero"/>
        <c:lblAlgn val="ctr"/>
        <c:lblOffset val="100"/>
        <c:tickMarkSkip val="1"/>
      </c:catAx>
      <c:valAx>
        <c:axId val="867719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70432"/>
        <c:crosses val="autoZero"/>
        <c:crossBetween val="between"/>
      </c:valAx>
      <c:catAx>
        <c:axId val="86777856"/>
        <c:scaling>
          <c:orientation val="minMax"/>
        </c:scaling>
        <c:delete val="1"/>
        <c:axPos val="b"/>
        <c:numFmt formatCode="[$-409]d\-mmm\-yy;@" sourceLinked="1"/>
        <c:tickLblPos val="none"/>
        <c:crossAx val="86779392"/>
        <c:crosses val="autoZero"/>
        <c:lblAlgn val="ctr"/>
        <c:lblOffset val="100"/>
      </c:catAx>
      <c:valAx>
        <c:axId val="8677939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77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6808064"/>
        <c:axId val="86809600"/>
      </c:lineChart>
      <c:catAx>
        <c:axId val="868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09600"/>
        <c:crosses val="autoZero"/>
        <c:auto val="1"/>
        <c:lblAlgn val="ctr"/>
        <c:lblOffset val="100"/>
      </c:catAx>
      <c:valAx>
        <c:axId val="868096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0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83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8476672"/>
        <c:axId val="88494848"/>
      </c:lineChart>
      <c:catAx>
        <c:axId val="8847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94848"/>
        <c:crosses val="autoZero"/>
        <c:auto val="1"/>
        <c:lblAlgn val="ctr"/>
        <c:lblOffset val="100"/>
      </c:catAx>
      <c:valAx>
        <c:axId val="884948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7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943616"/>
        <c:axId val="889536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955136"/>
        <c:axId val="88965120"/>
      </c:lineChart>
      <c:catAx>
        <c:axId val="889436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53600"/>
        <c:crosses val="autoZero"/>
        <c:lblAlgn val="ctr"/>
        <c:lblOffset val="100"/>
        <c:tickMarkSkip val="1"/>
      </c:catAx>
      <c:valAx>
        <c:axId val="8895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43616"/>
        <c:crosses val="autoZero"/>
        <c:crossBetween val="between"/>
      </c:valAx>
      <c:catAx>
        <c:axId val="88955136"/>
        <c:scaling>
          <c:orientation val="minMax"/>
        </c:scaling>
        <c:delete val="1"/>
        <c:axPos val="b"/>
        <c:numFmt formatCode="General" sourceLinked="1"/>
        <c:tickLblPos val="none"/>
        <c:crossAx val="88965120"/>
        <c:crosses val="autoZero"/>
        <c:lblAlgn val="ctr"/>
        <c:lblOffset val="100"/>
      </c:catAx>
      <c:valAx>
        <c:axId val="889651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551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8997248"/>
        <c:axId val="88016000"/>
      </c:lineChart>
      <c:catAx>
        <c:axId val="8899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6000"/>
        <c:crosses val="autoZero"/>
        <c:auto val="1"/>
        <c:lblAlgn val="ctr"/>
        <c:lblOffset val="100"/>
      </c:catAx>
      <c:valAx>
        <c:axId val="8801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9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8061056"/>
        <c:axId val="88062592"/>
      </c:lineChart>
      <c:catAx>
        <c:axId val="8806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62592"/>
        <c:crosses val="autoZero"/>
        <c:auto val="1"/>
        <c:lblAlgn val="ctr"/>
        <c:lblOffset val="100"/>
      </c:catAx>
      <c:valAx>
        <c:axId val="8806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6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2945920"/>
        <c:axId val="829474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2957440"/>
        <c:axId val="82958976"/>
      </c:lineChart>
      <c:catAx>
        <c:axId val="829459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47456"/>
        <c:crosses val="autoZero"/>
        <c:lblAlgn val="ctr"/>
        <c:lblOffset val="100"/>
        <c:tickMarkSkip val="1"/>
      </c:catAx>
      <c:valAx>
        <c:axId val="82947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45920"/>
        <c:crosses val="autoZero"/>
        <c:crossBetween val="between"/>
      </c:valAx>
      <c:catAx>
        <c:axId val="82957440"/>
        <c:scaling>
          <c:orientation val="minMax"/>
        </c:scaling>
        <c:delete val="1"/>
        <c:axPos val="b"/>
        <c:numFmt formatCode="[$-409]d\-mmm\-yy;@" sourceLinked="1"/>
        <c:tickLblPos val="none"/>
        <c:crossAx val="82958976"/>
        <c:crosses val="autoZero"/>
        <c:lblAlgn val="ctr"/>
        <c:lblOffset val="100"/>
      </c:catAx>
      <c:valAx>
        <c:axId val="829589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57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9559424"/>
        <c:axId val="895609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9562496"/>
        <c:axId val="89572480"/>
      </c:lineChart>
      <c:catAx>
        <c:axId val="895594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60960"/>
        <c:crosses val="autoZero"/>
        <c:lblAlgn val="ctr"/>
        <c:lblOffset val="100"/>
        <c:tickMarkSkip val="1"/>
      </c:catAx>
      <c:valAx>
        <c:axId val="8956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9424"/>
        <c:crosses val="autoZero"/>
        <c:crossBetween val="between"/>
      </c:valAx>
      <c:catAx>
        <c:axId val="89562496"/>
        <c:scaling>
          <c:orientation val="minMax"/>
        </c:scaling>
        <c:delete val="1"/>
        <c:axPos val="b"/>
        <c:numFmt formatCode="General" sourceLinked="1"/>
        <c:tickLblPos val="none"/>
        <c:crossAx val="89572480"/>
        <c:crosses val="autoZero"/>
        <c:lblAlgn val="ctr"/>
        <c:lblOffset val="100"/>
      </c:catAx>
      <c:valAx>
        <c:axId val="895724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62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7389056"/>
        <c:axId val="1273990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7400576"/>
        <c:axId val="153035136"/>
      </c:lineChart>
      <c:catAx>
        <c:axId val="1273890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99040"/>
        <c:crosses val="autoZero"/>
        <c:lblAlgn val="ctr"/>
        <c:lblOffset val="100"/>
        <c:tickMarkSkip val="1"/>
      </c:catAx>
      <c:valAx>
        <c:axId val="127399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9056"/>
        <c:crosses val="autoZero"/>
        <c:crossBetween val="between"/>
      </c:valAx>
      <c:catAx>
        <c:axId val="127400576"/>
        <c:scaling>
          <c:orientation val="minMax"/>
        </c:scaling>
        <c:delete val="1"/>
        <c:axPos val="b"/>
        <c:numFmt formatCode="[$-409]d\-mmm\-yy;@" sourceLinked="1"/>
        <c:tickLblPos val="none"/>
        <c:crossAx val="153035136"/>
        <c:crosses val="autoZero"/>
        <c:lblAlgn val="ctr"/>
        <c:lblOffset val="100"/>
      </c:catAx>
      <c:valAx>
        <c:axId val="1530351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00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3089920"/>
        <c:axId val="1530914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2530432"/>
        <c:axId val="162531968"/>
      </c:lineChart>
      <c:catAx>
        <c:axId val="1530899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91456"/>
        <c:crosses val="autoZero"/>
        <c:lblAlgn val="ctr"/>
        <c:lblOffset val="100"/>
        <c:tickMarkSkip val="1"/>
      </c:catAx>
      <c:valAx>
        <c:axId val="15309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89920"/>
        <c:crosses val="autoZero"/>
        <c:crossBetween val="between"/>
      </c:valAx>
      <c:catAx>
        <c:axId val="162530432"/>
        <c:scaling>
          <c:orientation val="minMax"/>
        </c:scaling>
        <c:delete val="1"/>
        <c:axPos val="b"/>
        <c:numFmt formatCode="General" sourceLinked="1"/>
        <c:tickLblPos val="none"/>
        <c:crossAx val="162531968"/>
        <c:crosses val="autoZero"/>
        <c:lblAlgn val="ctr"/>
        <c:lblOffset val="100"/>
      </c:catAx>
      <c:valAx>
        <c:axId val="1625319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0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2523</c:v>
                </c:pt>
                <c:pt idx="25">
                  <c:v>2586</c:v>
                </c:pt>
                <c:pt idx="26">
                  <c:v>2334</c:v>
                </c:pt>
                <c:pt idx="27">
                  <c:v>2348</c:v>
                </c:pt>
                <c:pt idx="28">
                  <c:v>2205</c:v>
                </c:pt>
                <c:pt idx="29">
                  <c:v>1991</c:v>
                </c:pt>
                <c:pt idx="30">
                  <c:v>1988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2839552"/>
        <c:axId val="162854016"/>
      </c:lineChart>
      <c:catAx>
        <c:axId val="162839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4016"/>
        <c:crosses val="autoZero"/>
        <c:auto val="1"/>
        <c:lblAlgn val="ctr"/>
        <c:lblOffset val="100"/>
      </c:catAx>
      <c:valAx>
        <c:axId val="1628540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395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67</c:v>
                </c:pt>
                <c:pt idx="23">
                  <c:v>73</c:v>
                </c:pt>
                <c:pt idx="24">
                  <c:v>60</c:v>
                </c:pt>
                <c:pt idx="25">
                  <c:v>50</c:v>
                </c:pt>
                <c:pt idx="26">
                  <c:v>96</c:v>
                </c:pt>
                <c:pt idx="27">
                  <c:v>32</c:v>
                </c:pt>
                <c:pt idx="28">
                  <c:v>38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2747904"/>
        <c:axId val="162749824"/>
      </c:lineChart>
      <c:catAx>
        <c:axId val="162747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9824"/>
        <c:crosses val="autoZero"/>
        <c:auto val="1"/>
        <c:lblAlgn val="ctr"/>
        <c:lblOffset val="100"/>
      </c:catAx>
      <c:valAx>
        <c:axId val="162749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7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1470.88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1175.77</c:v>
                </c:pt>
                <c:pt idx="24">
                  <c:v>1142.53</c:v>
                </c:pt>
                <c:pt idx="25">
                  <c:v>1001.0900000000001</c:v>
                </c:pt>
                <c:pt idx="26">
                  <c:v>1197.0999999999999</c:v>
                </c:pt>
                <c:pt idx="27">
                  <c:v>1140.28</c:v>
                </c:pt>
                <c:pt idx="28">
                  <c:v>958.21</c:v>
                </c:pt>
                <c:pt idx="29">
                  <c:v>811.26</c:v>
                </c:pt>
                <c:pt idx="30">
                  <c:v>838.53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2988032"/>
        <c:axId val="162989568"/>
      </c:lineChart>
      <c:catAx>
        <c:axId val="16298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89568"/>
        <c:crosses val="autoZero"/>
        <c:auto val="1"/>
        <c:lblAlgn val="ctr"/>
        <c:lblOffset val="200"/>
        <c:tickLblSkip val="1"/>
      </c:catAx>
      <c:valAx>
        <c:axId val="1629895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8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3022336"/>
        <c:axId val="163023872"/>
      </c:lineChart>
      <c:catAx>
        <c:axId val="16302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23872"/>
        <c:crosses val="autoZero"/>
        <c:auto val="1"/>
        <c:lblAlgn val="ctr"/>
        <c:lblOffset val="100"/>
      </c:catAx>
      <c:valAx>
        <c:axId val="163023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2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63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62.391999999969272</c:v>
                </c:pt>
                <c:pt idx="23">
                  <c:v>59.663999999989763</c:v>
                </c:pt>
                <c:pt idx="24">
                  <c:v>32.120000000012809</c:v>
                </c:pt>
                <c:pt idx="25">
                  <c:v>73.040000000025614</c:v>
                </c:pt>
                <c:pt idx="26">
                  <c:v>29.436000000010246</c:v>
                </c:pt>
                <c:pt idx="27">
                  <c:v>25.079999999987198</c:v>
                </c:pt>
                <c:pt idx="28">
                  <c:v>24.947999999992319</c:v>
                </c:pt>
                <c:pt idx="29">
                  <c:v>-312114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3044352"/>
        <c:axId val="164049664"/>
      </c:lineChart>
      <c:catAx>
        <c:axId val="16304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9664"/>
        <c:crosses val="autoZero"/>
        <c:auto val="1"/>
        <c:lblAlgn val="ctr"/>
        <c:lblOffset val="100"/>
      </c:catAx>
      <c:valAx>
        <c:axId val="164049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2523</c:v>
                </c:pt>
                <c:pt idx="25">
                  <c:v>2586</c:v>
                </c:pt>
                <c:pt idx="26">
                  <c:v>2334</c:v>
                </c:pt>
                <c:pt idx="27">
                  <c:v>2348</c:v>
                </c:pt>
                <c:pt idx="28">
                  <c:v>2205</c:v>
                </c:pt>
                <c:pt idx="29">
                  <c:v>1991</c:v>
                </c:pt>
                <c:pt idx="30">
                  <c:v>1988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4500224"/>
        <c:axId val="164502144"/>
      </c:lineChart>
      <c:catAx>
        <c:axId val="16450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2144"/>
        <c:crosses val="autoZero"/>
        <c:auto val="1"/>
        <c:lblAlgn val="ctr"/>
        <c:lblOffset val="100"/>
      </c:catAx>
      <c:valAx>
        <c:axId val="164502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0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67</c:v>
                </c:pt>
                <c:pt idx="23">
                  <c:v>73</c:v>
                </c:pt>
                <c:pt idx="24">
                  <c:v>60</c:v>
                </c:pt>
                <c:pt idx="25">
                  <c:v>50</c:v>
                </c:pt>
                <c:pt idx="26">
                  <c:v>96</c:v>
                </c:pt>
                <c:pt idx="27">
                  <c:v>32</c:v>
                </c:pt>
                <c:pt idx="28">
                  <c:v>38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4535296"/>
        <c:axId val="164693120"/>
      </c:lineChart>
      <c:catAx>
        <c:axId val="16453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93120"/>
        <c:crosses val="autoZero"/>
        <c:auto val="1"/>
        <c:lblAlgn val="ctr"/>
        <c:lblOffset val="100"/>
      </c:catAx>
      <c:valAx>
        <c:axId val="1646931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5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1470.88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1175.77</c:v>
                </c:pt>
                <c:pt idx="24">
                  <c:v>1142.53</c:v>
                </c:pt>
                <c:pt idx="25">
                  <c:v>1001.0900000000001</c:v>
                </c:pt>
                <c:pt idx="26">
                  <c:v>1197.0999999999999</c:v>
                </c:pt>
                <c:pt idx="27">
                  <c:v>1140.28</c:v>
                </c:pt>
                <c:pt idx="28">
                  <c:v>958.21</c:v>
                </c:pt>
                <c:pt idx="29">
                  <c:v>811.26</c:v>
                </c:pt>
                <c:pt idx="30">
                  <c:v>838.53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4705792"/>
        <c:axId val="164707328"/>
      </c:lineChart>
      <c:catAx>
        <c:axId val="16470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07328"/>
        <c:crosses val="autoZero"/>
        <c:auto val="1"/>
        <c:lblAlgn val="ctr"/>
        <c:lblOffset val="200"/>
        <c:tickLblSkip val="1"/>
      </c:catAx>
      <c:valAx>
        <c:axId val="164707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0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740096"/>
        <c:axId val="164750080"/>
      </c:lineChart>
      <c:catAx>
        <c:axId val="16474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50080"/>
        <c:crosses val="autoZero"/>
        <c:auto val="1"/>
        <c:lblAlgn val="ctr"/>
        <c:lblOffset val="100"/>
      </c:catAx>
      <c:valAx>
        <c:axId val="1647500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4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63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62.391999999969272</c:v>
                </c:pt>
                <c:pt idx="23">
                  <c:v>59.663999999989763</c:v>
                </c:pt>
                <c:pt idx="24">
                  <c:v>32.120000000012809</c:v>
                </c:pt>
                <c:pt idx="25">
                  <c:v>73.040000000025614</c:v>
                </c:pt>
                <c:pt idx="26">
                  <c:v>29.436000000010246</c:v>
                </c:pt>
                <c:pt idx="27">
                  <c:v>25.079999999987198</c:v>
                </c:pt>
                <c:pt idx="28">
                  <c:v>24.947999999992319</c:v>
                </c:pt>
                <c:pt idx="29">
                  <c:v>-312114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5180160"/>
        <c:axId val="165181696"/>
      </c:lineChart>
      <c:catAx>
        <c:axId val="16518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81696"/>
        <c:crosses val="autoZero"/>
        <c:auto val="1"/>
        <c:lblAlgn val="ctr"/>
        <c:lblOffset val="100"/>
      </c:catAx>
      <c:valAx>
        <c:axId val="165181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6283520"/>
        <c:axId val="166306176"/>
      </c:lineChart>
      <c:catAx>
        <c:axId val="166283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06176"/>
        <c:crosses val="autoZero"/>
        <c:auto val="1"/>
        <c:lblAlgn val="ctr"/>
        <c:lblOffset val="100"/>
      </c:catAx>
      <c:valAx>
        <c:axId val="166306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835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5810944"/>
        <c:axId val="165812864"/>
      </c:lineChart>
      <c:catAx>
        <c:axId val="165810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2864"/>
        <c:crosses val="autoZero"/>
        <c:auto val="1"/>
        <c:lblAlgn val="ctr"/>
        <c:lblOffset val="100"/>
      </c:catAx>
      <c:valAx>
        <c:axId val="165812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0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5854208"/>
        <c:axId val="165856000"/>
      </c:lineChart>
      <c:catAx>
        <c:axId val="16585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6000"/>
        <c:crosses val="autoZero"/>
        <c:auto val="1"/>
        <c:lblAlgn val="ctr"/>
        <c:lblOffset val="200"/>
        <c:tickLblSkip val="1"/>
      </c:catAx>
      <c:valAx>
        <c:axId val="165856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6806272"/>
        <c:axId val="166807808"/>
      </c:lineChart>
      <c:catAx>
        <c:axId val="16680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07808"/>
        <c:crosses val="autoZero"/>
        <c:auto val="1"/>
        <c:lblAlgn val="ctr"/>
        <c:lblOffset val="100"/>
      </c:catAx>
      <c:valAx>
        <c:axId val="16680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0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81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6816000"/>
        <c:axId val="166604800"/>
      </c:lineChart>
      <c:catAx>
        <c:axId val="16681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04800"/>
        <c:crosses val="autoZero"/>
        <c:auto val="1"/>
        <c:lblAlgn val="ctr"/>
        <c:lblOffset val="100"/>
      </c:catAx>
      <c:valAx>
        <c:axId val="16660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6637568"/>
        <c:axId val="166639488"/>
      </c:lineChart>
      <c:catAx>
        <c:axId val="166637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39488"/>
        <c:crosses val="autoZero"/>
        <c:auto val="1"/>
        <c:lblAlgn val="ctr"/>
        <c:lblOffset val="100"/>
      </c:catAx>
      <c:valAx>
        <c:axId val="1666394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375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7147776"/>
        <c:axId val="167154048"/>
      </c:lineChart>
      <c:catAx>
        <c:axId val="167147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54048"/>
        <c:crosses val="autoZero"/>
        <c:auto val="1"/>
        <c:lblAlgn val="ctr"/>
        <c:lblOffset val="100"/>
      </c:catAx>
      <c:valAx>
        <c:axId val="167154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47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7518976"/>
        <c:axId val="167520512"/>
      </c:lineChart>
      <c:catAx>
        <c:axId val="16751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20512"/>
        <c:crosses val="autoZero"/>
        <c:auto val="1"/>
        <c:lblAlgn val="ctr"/>
        <c:lblOffset val="200"/>
        <c:tickLblSkip val="1"/>
      </c:catAx>
      <c:valAx>
        <c:axId val="167520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1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7553280"/>
        <c:axId val="167563264"/>
      </c:lineChart>
      <c:catAx>
        <c:axId val="16755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63264"/>
        <c:crosses val="autoZero"/>
        <c:auto val="1"/>
        <c:lblAlgn val="ctr"/>
        <c:lblOffset val="100"/>
      </c:catAx>
      <c:valAx>
        <c:axId val="167563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5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81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7333888"/>
        <c:axId val="167335424"/>
      </c:lineChart>
      <c:catAx>
        <c:axId val="16733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35424"/>
        <c:crosses val="autoZero"/>
        <c:auto val="1"/>
        <c:lblAlgn val="ctr"/>
        <c:lblOffset val="100"/>
      </c:catAx>
      <c:valAx>
        <c:axId val="16733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3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M13" sqref="M1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272</v>
      </c>
      <c r="B1" s="545" t="s">
        <v>273</v>
      </c>
      <c r="C1" s="545" t="s">
        <v>274</v>
      </c>
      <c r="D1" s="546" t="s">
        <v>275</v>
      </c>
      <c r="E1" s="547" t="s">
        <v>276</v>
      </c>
      <c r="F1" s="548" t="s">
        <v>277</v>
      </c>
      <c r="G1" s="548" t="s">
        <v>278</v>
      </c>
      <c r="H1" s="565" t="s">
        <v>279</v>
      </c>
      <c r="I1" s="548" t="s">
        <v>280</v>
      </c>
      <c r="J1" s="565" t="s">
        <v>281</v>
      </c>
      <c r="K1" s="547" t="s">
        <v>282</v>
      </c>
      <c r="L1" s="549" t="s">
        <v>283</v>
      </c>
    </row>
    <row r="2" spans="1:12">
      <c r="A2" s="551" t="s">
        <v>284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284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284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284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6200</v>
      </c>
      <c r="F5" s="555">
        <f>('UTILITY REPORT 1'!E6*'UTILITY REPORT 1'!D6)/'UTILITY REPORT 1'!F6</f>
        <v>0.39053064516129032</v>
      </c>
      <c r="G5" s="555">
        <f>IF('Utility summery'!M9&lt;0,"0",'Utility summery'!M9)</f>
        <v>105.60000000000001</v>
      </c>
      <c r="H5" s="566">
        <v>0</v>
      </c>
      <c r="I5" s="555">
        <f>IF('UTILITY REPORT 1'!G6&lt;0,"0",'UTILITY REPORT 1'!G6)</f>
        <v>163</v>
      </c>
      <c r="J5" s="566">
        <v>0</v>
      </c>
      <c r="K5" s="554">
        <f>'UTILITY REPORT 1'!C6</f>
        <v>77</v>
      </c>
      <c r="L5" s="556" t="e">
        <f>E5*F5+G5*H5+#REF!*#REF!+I5*J5</f>
        <v>#REF!</v>
      </c>
    </row>
    <row r="6" spans="1:12">
      <c r="A6" s="551" t="s">
        <v>284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6603</v>
      </c>
      <c r="F6" s="555">
        <f>('UTILITY REPORT 1'!E7*'UTILITY REPORT 1'!D7)/'UTILITY REPORT 1'!F7</f>
        <v>0.39227169468423445</v>
      </c>
      <c r="G6" s="555">
        <f>IF('Utility summery'!M10&lt;0,"0",'Utility summery'!M10)</f>
        <v>103.83999999996159</v>
      </c>
      <c r="H6" s="566">
        <v>0</v>
      </c>
      <c r="I6" s="555">
        <f>IF('UTILITY REPORT 1'!G7&lt;0,"0",'UTILITY REPORT 1'!G7)</f>
        <v>177</v>
      </c>
      <c r="J6" s="566">
        <v>0</v>
      </c>
      <c r="K6" s="554">
        <f>'UTILITY REPORT 1'!C7</f>
        <v>77</v>
      </c>
      <c r="L6" s="556" t="e">
        <f>E6*F6+G6*H6+#REF!*#REF!+I6*J6</f>
        <v>#REF!</v>
      </c>
    </row>
    <row r="7" spans="1:12">
      <c r="A7" s="551" t="s">
        <v>284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6820</v>
      </c>
      <c r="F7" s="555">
        <f>('UTILITY REPORT 1'!E8*'UTILITY REPORT 1'!D8)/'UTILITY REPORT 1'!F8</f>
        <v>0.39504105571847503</v>
      </c>
      <c r="G7" s="555">
        <f>IF('Utility summery'!M11&lt;0,"0",'Utility summery'!M11)</f>
        <v>87.340000000025611</v>
      </c>
      <c r="H7" s="566">
        <v>0</v>
      </c>
      <c r="I7" s="555">
        <f>IF('UTILITY REPORT 1'!G8&lt;0,"0",'UTILITY REPORT 1'!G8)</f>
        <v>191</v>
      </c>
      <c r="J7" s="566">
        <v>0</v>
      </c>
      <c r="K7" s="554">
        <f>'UTILITY REPORT 1'!C8</f>
        <v>77</v>
      </c>
      <c r="L7" s="556" t="e">
        <f>E7*F7+G7*H7+#REF!*#REF!+I7*J7</f>
        <v>#REF!</v>
      </c>
    </row>
    <row r="8" spans="1:12">
      <c r="A8" s="551" t="s">
        <v>284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7352</v>
      </c>
      <c r="F8" s="555">
        <f>('UTILITY REPORT 1'!E9*'UTILITY REPORT 1'!D9)/'UTILITY REPORT 1'!F9</f>
        <v>0.39639553862894455</v>
      </c>
      <c r="G8" s="555">
        <f>IF('Utility summery'!M12&lt;0,"0",'Utility summery'!M12)</f>
        <v>104.98400000000257</v>
      </c>
      <c r="H8" s="566">
        <v>0</v>
      </c>
      <c r="I8" s="555">
        <f>IF('UTILITY REPORT 1'!G9&lt;0,"0",'UTILITY REPORT 1'!G9)</f>
        <v>168</v>
      </c>
      <c r="J8" s="566">
        <v>0</v>
      </c>
      <c r="K8" s="554">
        <f>'UTILITY REPORT 1'!C9</f>
        <v>77</v>
      </c>
      <c r="L8" s="556" t="e">
        <f>E8*F8+G8*H8+#REF!*#REF!+I8*J8</f>
        <v>#REF!</v>
      </c>
    </row>
    <row r="9" spans="1:12">
      <c r="A9" s="551" t="s">
        <v>284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6190</v>
      </c>
      <c r="F9" s="555">
        <f>('UTILITY REPORT 1'!E10*'UTILITY REPORT 1'!D10)/'UTILITY REPORT 1'!F10</f>
        <v>0.43357673667205171</v>
      </c>
      <c r="G9" s="555">
        <f>IF('Utility summery'!M13&lt;0,"0",'Utility summery'!M13)</f>
        <v>123.7720000000205</v>
      </c>
      <c r="H9" s="566">
        <v>0</v>
      </c>
      <c r="I9" s="555">
        <f>IF('UTILITY REPORT 1'!G10&lt;0,"0",'UTILITY REPORT 1'!G10)</f>
        <v>131</v>
      </c>
      <c r="J9" s="566">
        <v>0</v>
      </c>
      <c r="K9" s="554">
        <f>'UTILITY REPORT 1'!C10</f>
        <v>46</v>
      </c>
      <c r="L9" s="556" t="e">
        <f>E9*F9+G9*H9+#REF!*#REF!+I9*J9</f>
        <v>#REF!</v>
      </c>
    </row>
    <row r="10" spans="1:12">
      <c r="A10" s="551" t="s">
        <v>284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4387</v>
      </c>
      <c r="F10" s="555">
        <f>('UTILITY REPORT 1'!E11*'UTILITY REPORT 1'!D11)/'UTILITY REPORT 1'!F11</f>
        <v>0.50899247777524503</v>
      </c>
      <c r="G10" s="555">
        <f>IF('Utility summery'!M14&lt;0,"0",'Utility summery'!M14)</f>
        <v>99.263999999989764</v>
      </c>
      <c r="H10" s="566">
        <v>0</v>
      </c>
      <c r="I10" s="555">
        <f>IF('UTILITY REPORT 1'!G11&lt;0,"0",'UTILITY REPORT 1'!G11)</f>
        <v>117</v>
      </c>
      <c r="J10" s="566">
        <v>0</v>
      </c>
      <c r="K10" s="554">
        <f>'UTILITY REPORT 1'!C11</f>
        <v>44</v>
      </c>
      <c r="L10" s="556" t="e">
        <f>E10*F10+G10*H10+#REF!*#REF!+I10*J10</f>
        <v>#REF!</v>
      </c>
    </row>
    <row r="11" spans="1:12">
      <c r="A11" s="551" t="s">
        <v>284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5593</v>
      </c>
      <c r="F11" s="555">
        <f>('UTILITY REPORT 1'!E12*'UTILITY REPORT 1'!D12)/'UTILITY REPORT 1'!F12</f>
        <v>0.38054711246200601</v>
      </c>
      <c r="G11" s="555">
        <f>IF('Utility summery'!M15&lt;0,"0",'Utility summery'!M15)</f>
        <v>104.54399999997696</v>
      </c>
      <c r="H11" s="566">
        <v>0</v>
      </c>
      <c r="I11" s="555">
        <f>IF('UTILITY REPORT 1'!G12&lt;0,"0",'UTILITY REPORT 1'!G12)</f>
        <v>129</v>
      </c>
      <c r="J11" s="566">
        <v>0</v>
      </c>
      <c r="K11" s="554">
        <f>'UTILITY REPORT 1'!C12</f>
        <v>0</v>
      </c>
      <c r="L11" s="556" t="e">
        <f>E11*F11+G11*H11+#REF!*#REF!+I11*J11</f>
        <v>#REF!</v>
      </c>
    </row>
    <row r="12" spans="1:12">
      <c r="A12" s="551" t="s">
        <v>284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4641</v>
      </c>
      <c r="F12" s="555">
        <f>('UTILITY REPORT 1'!E13*'UTILITY REPORT 1'!D13)/'UTILITY REPORT 1'!F13</f>
        <v>0.36799181210945914</v>
      </c>
      <c r="G12" s="555">
        <f>IF('Utility summery'!M16&lt;0,"0",'Utility summery'!M16)</f>
        <v>103.26800000000513</v>
      </c>
      <c r="H12" s="566">
        <v>0</v>
      </c>
      <c r="I12" s="555">
        <f>IF('UTILITY REPORT 1'!G13&lt;0,"0",'UTILITY REPORT 1'!G13)</f>
        <v>99</v>
      </c>
      <c r="J12" s="566">
        <v>0</v>
      </c>
      <c r="K12" s="554">
        <f>'UTILITY REPORT 1'!C13</f>
        <v>0</v>
      </c>
      <c r="L12" s="556" t="e">
        <f>E12*F12+G12*H12+#REF!*#REF!+I12*J12</f>
        <v>#REF!</v>
      </c>
    </row>
    <row r="13" spans="1:12">
      <c r="A13" s="551" t="s">
        <v>284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4209</v>
      </c>
      <c r="F13" s="555">
        <f>('UTILITY REPORT 1'!E14*'UTILITY REPORT 1'!D14)/'UTILITY REPORT 1'!F14</f>
        <v>0.65039201710620098</v>
      </c>
      <c r="G13" s="555">
        <f>IF('Utility summery'!M17&lt;0,"0",'Utility summery'!M17)</f>
        <v>84.611999999982075</v>
      </c>
      <c r="H13" s="566">
        <v>0</v>
      </c>
      <c r="I13" s="555">
        <f>IF('UTILITY REPORT 1'!G14&lt;0,"0",'UTILITY REPORT 1'!G14)</f>
        <v>77</v>
      </c>
      <c r="J13" s="566">
        <v>0</v>
      </c>
      <c r="K13" s="554">
        <f>'UTILITY REPORT 1'!C14</f>
        <v>4</v>
      </c>
      <c r="L13" s="556" t="e">
        <f>E13*F13+G13*H13+#REF!*#REF!+I13*J13</f>
        <v>#REF!</v>
      </c>
    </row>
    <row r="14" spans="1:12">
      <c r="A14" s="551" t="s">
        <v>284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3918</v>
      </c>
      <c r="F14" s="555">
        <f>('UTILITY REPORT 1'!E15*'UTILITY REPORT 1'!D15)/'UTILITY REPORT 1'!F15</f>
        <v>0.64781521184277702</v>
      </c>
      <c r="G14" s="555">
        <f>IF('Utility summery'!M18&lt;0,"0",'Utility summery'!M18)</f>
        <v>102.08000000005123</v>
      </c>
      <c r="H14" s="566">
        <v>0</v>
      </c>
      <c r="I14" s="555">
        <f>IF('UTILITY REPORT 1'!G15&lt;0,"0",'UTILITY REPORT 1'!G15)</f>
        <v>69</v>
      </c>
      <c r="J14" s="566">
        <v>0</v>
      </c>
      <c r="K14" s="554">
        <f>'UTILITY REPORT 1'!C15</f>
        <v>4</v>
      </c>
      <c r="L14" s="556" t="e">
        <f>E14*F14+G14*H14+#REF!*#REF!+I14*J14</f>
        <v>#REF!</v>
      </c>
    </row>
    <row r="15" spans="1:12">
      <c r="A15" s="551" t="s">
        <v>284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3497</v>
      </c>
      <c r="F15" s="555">
        <f>('UTILITY REPORT 1'!E16*'UTILITY REPORT 1'!D16)/'UTILITY REPORT 1'!F16</f>
        <v>0.37365742064626817</v>
      </c>
      <c r="G15" s="555">
        <f>IF('Utility summery'!M19&lt;0,"0",'Utility summery'!M19)</f>
        <v>89.319999999948791</v>
      </c>
      <c r="H15" s="566">
        <v>0</v>
      </c>
      <c r="I15" s="555">
        <f>IF('UTILITY REPORT 1'!G16&lt;0,"0",'UTILITY REPORT 1'!G16)</f>
        <v>72</v>
      </c>
      <c r="J15" s="566">
        <v>0</v>
      </c>
      <c r="K15" s="554">
        <f>'UTILITY REPORT 1'!C16</f>
        <v>4</v>
      </c>
      <c r="L15" s="556" t="e">
        <f>E15*F15+G15*H15+#REF!*#REF!+I15*J15</f>
        <v>#REF!</v>
      </c>
    </row>
    <row r="16" spans="1:12">
      <c r="A16" s="551" t="s">
        <v>284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3584</v>
      </c>
      <c r="F16" s="555">
        <f>('UTILITY REPORT 1'!E17*'UTILITY REPORT 1'!D17)/'UTILITY REPORT 1'!F17</f>
        <v>0.39633370535714285</v>
      </c>
      <c r="G16" s="555">
        <f>IF('Utility summery'!M20&lt;0,"0",'Utility summery'!M20)</f>
        <v>173.62400000002819</v>
      </c>
      <c r="H16" s="566">
        <v>0</v>
      </c>
      <c r="I16" s="555">
        <f>IF('UTILITY REPORT 1'!G17&lt;0,"0",'UTILITY REPORT 1'!G17)</f>
        <v>92</v>
      </c>
      <c r="J16" s="566">
        <v>0</v>
      </c>
      <c r="K16" s="554">
        <f>'UTILITY REPORT 1'!C17</f>
        <v>4</v>
      </c>
      <c r="L16" s="556" t="e">
        <f>E16*F16+G16*H16+#REF!*#REF!+I16*J16</f>
        <v>#REF!</v>
      </c>
    </row>
    <row r="17" spans="1:12">
      <c r="A17" s="551" t="s">
        <v>284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3345</v>
      </c>
      <c r="F17" s="555">
        <f>('UTILITY REPORT 1'!E18*'UTILITY REPORT 1'!D18)/'UTILITY REPORT 1'!F18</f>
        <v>0.40861584454409572</v>
      </c>
      <c r="G17" s="555">
        <f>IF('Utility summery'!M21&lt;0,"0",'Utility summery'!M21)</f>
        <v>84.7</v>
      </c>
      <c r="H17" s="566">
        <v>0</v>
      </c>
      <c r="I17" s="555">
        <f>IF('UTILITY REPORT 1'!G18&lt;0,"0",'UTILITY REPORT 1'!G18)</f>
        <v>90</v>
      </c>
      <c r="J17" s="566">
        <v>0</v>
      </c>
      <c r="K17" s="554">
        <f>'UTILITY REPORT 1'!C18</f>
        <v>5</v>
      </c>
      <c r="L17" s="556" t="e">
        <f>E17*F17+G17*H17+#REF!*#REF!+I17*J17</f>
        <v>#REF!</v>
      </c>
    </row>
    <row r="18" spans="1:12">
      <c r="A18" s="551" t="s">
        <v>284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3067</v>
      </c>
      <c r="F18" s="555">
        <f>('UTILITY REPORT 1'!E19*'UTILITY REPORT 1'!D19)/'UTILITY REPORT 1'!F19</f>
        <v>0.39628953374633197</v>
      </c>
      <c r="G18" s="555">
        <f>IF('Utility summery'!M22&lt;0,"0",'Utility summery'!M22)</f>
        <v>80.036000000010247</v>
      </c>
      <c r="H18" s="566">
        <v>0</v>
      </c>
      <c r="I18" s="555">
        <f>IF('UTILITY REPORT 1'!G19&lt;0,"0",'UTILITY REPORT 1'!G19)</f>
        <v>72</v>
      </c>
      <c r="J18" s="566">
        <v>0</v>
      </c>
      <c r="K18" s="554">
        <f>'UTILITY REPORT 1'!C19</f>
        <v>6</v>
      </c>
      <c r="L18" s="556" t="e">
        <f>E18*F18+G18*H18+#REF!*#REF!+I18*J18</f>
        <v>#REF!</v>
      </c>
    </row>
    <row r="19" spans="1:12">
      <c r="A19" s="551" t="s">
        <v>284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2970</v>
      </c>
      <c r="F19" s="555">
        <f>('UTILITY REPORT 1'!E20*'UTILITY REPORT 1'!D20)/'UTILITY REPORT 1'!F20</f>
        <v>0.40162289562289566</v>
      </c>
      <c r="G19" s="555">
        <f>IF('Utility summery'!M23&lt;0,"0",'Utility summery'!M23)</f>
        <v>79.68400000000257</v>
      </c>
      <c r="H19" s="566">
        <v>0</v>
      </c>
      <c r="I19" s="555">
        <f>IF('UTILITY REPORT 1'!G20&lt;0,"0",'UTILITY REPORT 1'!G20)</f>
        <v>57</v>
      </c>
      <c r="J19" s="566">
        <v>0</v>
      </c>
      <c r="K19" s="554">
        <f>'UTILITY REPORT 1'!C20</f>
        <v>5</v>
      </c>
      <c r="L19" s="556" t="e">
        <f>E19*F19+G19*H19+#REF!*#REF!+I19*J19</f>
        <v>#REF!</v>
      </c>
    </row>
    <row r="20" spans="1:12">
      <c r="A20" s="551" t="s">
        <v>284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2841</v>
      </c>
      <c r="F20" s="555">
        <f>('UTILITY REPORT 1'!E21*'UTILITY REPORT 1'!D21)/'UTILITY REPORT 1'!F21</f>
        <v>0.38781063005983807</v>
      </c>
      <c r="G20" s="555">
        <f>IF('Utility summery'!M24&lt;0,"0",'Utility summery'!M24)</f>
        <v>68.595999999984642</v>
      </c>
      <c r="H20" s="566">
        <v>0</v>
      </c>
      <c r="I20" s="555">
        <f>IF('UTILITY REPORT 1'!G21&lt;0,"0",'UTILITY REPORT 1'!G21)</f>
        <v>72</v>
      </c>
      <c r="J20" s="566">
        <v>0</v>
      </c>
      <c r="K20" s="554">
        <f>'UTILITY REPORT 1'!C21</f>
        <v>1</v>
      </c>
      <c r="L20" s="556" t="e">
        <f>E20*F20+G20*H20+#REF!*#REF!+I20*J20</f>
        <v>#REF!</v>
      </c>
    </row>
    <row r="21" spans="1:12">
      <c r="A21" s="551" t="s">
        <v>284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2962</v>
      </c>
      <c r="F21" s="555">
        <f>('UTILITY REPORT 1'!E22*'UTILITY REPORT 1'!D22)/'UTILITY REPORT 1'!F22</f>
        <v>0.40392640108035116</v>
      </c>
      <c r="G21" s="555">
        <f>IF('Utility summery'!M25&lt;0,"0",'Utility summery'!M25)</f>
        <v>81.268000000005131</v>
      </c>
      <c r="H21" s="566">
        <v>0</v>
      </c>
      <c r="I21" s="555">
        <f>IF('UTILITY REPORT 1'!G22&lt;0,"0",'UTILITY REPORT 1'!G22)</f>
        <v>65</v>
      </c>
      <c r="J21" s="566">
        <v>0</v>
      </c>
      <c r="K21" s="554">
        <f>'UTILITY REPORT 1'!C22</f>
        <v>0</v>
      </c>
      <c r="L21" s="556" t="e">
        <f>E21*F21+G21*H21+#REF!*#REF!+I21*J21</f>
        <v>#REF!</v>
      </c>
    </row>
    <row r="22" spans="1:12">
      <c r="A22" s="551" t="s">
        <v>284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2667</v>
      </c>
      <c r="F22" s="555">
        <f>('UTILITY REPORT 1'!E23*'UTILITY REPORT 1'!D23)/'UTILITY REPORT 1'!F23</f>
        <v>0.41360329958755154</v>
      </c>
      <c r="G22" s="555">
        <f>IF('Utility summery'!M26&lt;0,"0",'Utility summery'!M26)</f>
        <v>48.707999999966709</v>
      </c>
      <c r="H22" s="566">
        <v>0</v>
      </c>
      <c r="I22" s="555">
        <f>IF('UTILITY REPORT 1'!G23&lt;0,"0",'UTILITY REPORT 1'!G23)</f>
        <v>67</v>
      </c>
      <c r="J22" s="566">
        <v>0</v>
      </c>
      <c r="K22" s="554">
        <f>'UTILITY REPORT 1'!C23</f>
        <v>0</v>
      </c>
      <c r="L22" s="556" t="e">
        <f>E22*F22+G22*H22+#REF!*#REF!+I22*J22</f>
        <v>#REF!</v>
      </c>
    </row>
    <row r="23" spans="1:12">
      <c r="A23" s="551" t="s">
        <v>284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2379</v>
      </c>
      <c r="F23" s="555">
        <f>('UTILITY REPORT 1'!E24*'UTILITY REPORT 1'!D24)/'UTILITY REPORT 1'!F24</f>
        <v>0.38955443463640183</v>
      </c>
      <c r="G23" s="555">
        <f>IF('Utility summery'!M27&lt;0,"0",'Utility summery'!M27)</f>
        <v>47.344000000040985</v>
      </c>
      <c r="H23" s="566">
        <v>0</v>
      </c>
      <c r="I23" s="555">
        <f>IF('UTILITY REPORT 1'!G24&lt;0,"0",'UTILITY REPORT 1'!G24)</f>
        <v>73</v>
      </c>
      <c r="J23" s="566">
        <v>0</v>
      </c>
      <c r="K23" s="554">
        <f>'UTILITY REPORT 1'!C24</f>
        <v>3</v>
      </c>
      <c r="L23" s="556" t="e">
        <f>E23*F23+G23*H23+#REF!*#REF!+I23*J23</f>
        <v>#REF!</v>
      </c>
    </row>
    <row r="24" spans="1:12">
      <c r="A24" s="551" t="s">
        <v>284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2523</v>
      </c>
      <c r="F24" s="555">
        <f>('UTILITY REPORT 1'!E25*'UTILITY REPORT 1'!D25)/'UTILITY REPORT 1'!F25</f>
        <v>0.44725723345223944</v>
      </c>
      <c r="G24" s="555">
        <f>IF('Utility summery'!M28&lt;0,"0",'Utility summery'!M28)</f>
        <v>62.391999999969272</v>
      </c>
      <c r="H24" s="566">
        <v>0</v>
      </c>
      <c r="I24" s="555">
        <f>IF('UTILITY REPORT 1'!G25&lt;0,"0",'UTILITY REPORT 1'!G25)</f>
        <v>67</v>
      </c>
      <c r="J24" s="566">
        <v>0</v>
      </c>
      <c r="K24" s="554">
        <f>'UTILITY REPORT 1'!C25</f>
        <v>3</v>
      </c>
      <c r="L24" s="556" t="e">
        <f>E24*F24+G24*H24+#REF!*#REF!+I24*J24</f>
        <v>#REF!</v>
      </c>
    </row>
    <row r="25" spans="1:12">
      <c r="A25" s="551" t="s">
        <v>284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2586</v>
      </c>
      <c r="F25" s="555">
        <f>('UTILITY REPORT 1'!E26*'UTILITY REPORT 1'!D26)/'UTILITY REPORT 1'!F26</f>
        <v>0.37375096674400621</v>
      </c>
      <c r="G25" s="555">
        <f>IF('Utility summery'!M29&lt;0,"0",'Utility summery'!M29)</f>
        <v>59.663999999989763</v>
      </c>
      <c r="H25" s="566">
        <v>0</v>
      </c>
      <c r="I25" s="555">
        <f>IF('UTILITY REPORT 1'!G26&lt;0,"0",'UTILITY REPORT 1'!G26)</f>
        <v>73</v>
      </c>
      <c r="J25" s="566">
        <v>0</v>
      </c>
      <c r="K25" s="554">
        <f>'UTILITY REPORT 1'!C26</f>
        <v>2</v>
      </c>
      <c r="L25" s="556" t="e">
        <f>E25*F25+G25*H25+#REF!*#REF!+I25*J25</f>
        <v>#REF!</v>
      </c>
    </row>
    <row r="26" spans="1:12">
      <c r="A26" s="551" t="s">
        <v>284</v>
      </c>
      <c r="B26" s="552">
        <f>B25+1</f>
        <v>25</v>
      </c>
      <c r="C26" s="552">
        <v>3</v>
      </c>
      <c r="D26" s="553">
        <v>2020</v>
      </c>
      <c r="E26" s="554">
        <f>'UTILITY REPORT 1'!F27</f>
        <v>2334</v>
      </c>
      <c r="F26" s="555">
        <f>('UTILITY REPORT 1'!E27*'UTILITY REPORT 1'!D27)/'UTILITY REPORT 1'!F27</f>
        <v>0.4511482433590403</v>
      </c>
      <c r="G26" s="555">
        <f>IF('Utility summery'!M30&lt;0,"0",'Utility summery'!M30)</f>
        <v>32.120000000012809</v>
      </c>
      <c r="H26" s="566">
        <v>0</v>
      </c>
      <c r="I26" s="555">
        <f>IF('UTILITY REPORT 1'!G27&lt;0,"0",'UTILITY REPORT 1'!G27)</f>
        <v>60</v>
      </c>
      <c r="J26" s="566">
        <v>0</v>
      </c>
      <c r="K26" s="554">
        <f>'UTILITY REPORT 1'!C27</f>
        <v>2</v>
      </c>
      <c r="L26" s="556" t="e">
        <f>E26*F26+G26*H26+#REF!*#REF!+I26*J26</f>
        <v>#REF!</v>
      </c>
    </row>
    <row r="27" spans="1:12">
      <c r="A27" s="551" t="s">
        <v>284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2348</v>
      </c>
      <c r="F27" s="555">
        <f>('UTILITY REPORT 1'!E28*'UTILITY REPORT 1'!D28)/'UTILITY REPORT 1'!F28</f>
        <v>0.45233390119250422</v>
      </c>
      <c r="G27" s="555">
        <f>IF('Utility summery'!M31&lt;0,"0",'Utility summery'!M31)</f>
        <v>73.040000000025614</v>
      </c>
      <c r="H27" s="566">
        <v>0</v>
      </c>
      <c r="I27" s="555">
        <f>IF('UTILITY REPORT 1'!G28&lt;0,"0",'UTILITY REPORT 1'!G28)</f>
        <v>50</v>
      </c>
      <c r="J27" s="566">
        <v>0</v>
      </c>
      <c r="K27" s="554">
        <f>'UTILITY REPORT 1'!C28</f>
        <v>1</v>
      </c>
      <c r="L27" s="556" t="e">
        <f>E27*F27+G27*H27+#REF!*#REF!+I27*J27</f>
        <v>#REF!</v>
      </c>
    </row>
    <row r="28" spans="1:12">
      <c r="A28" s="551" t="s">
        <v>284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2205</v>
      </c>
      <c r="F28" s="555">
        <f>('UTILITY REPORT 1'!E29*'UTILITY REPORT 1'!D29)/'UTILITY REPORT 1'!F29</f>
        <v>0.43456235827664402</v>
      </c>
      <c r="G28" s="555">
        <f>IF('Utility summery'!M32&lt;0,"0",'Utility summery'!M32)</f>
        <v>29.436000000010246</v>
      </c>
      <c r="H28" s="566">
        <v>0</v>
      </c>
      <c r="I28" s="555">
        <f>IF('UTILITY REPORT 1'!G29&lt;0,"0",'UTILITY REPORT 1'!G29)</f>
        <v>96</v>
      </c>
      <c r="J28" s="566">
        <v>0</v>
      </c>
      <c r="K28" s="554">
        <f>'UTILITY REPORT 1'!C29</f>
        <v>1</v>
      </c>
      <c r="L28" s="556" t="e">
        <f>E28*F28+G28*H28+#REF!*#REF!+I28*J28</f>
        <v>#REF!</v>
      </c>
    </row>
    <row r="29" spans="1:12">
      <c r="A29" s="551" t="s">
        <v>284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1991</v>
      </c>
      <c r="F29" s="555">
        <f>('UTILITY REPORT 1'!E30*'UTILITY REPORT 1'!D30)/'UTILITY REPORT 1'!F30</f>
        <v>0.40746358613761929</v>
      </c>
      <c r="G29" s="555">
        <f>IF('Utility summery'!M33&lt;0,"0",'Utility summery'!M33)</f>
        <v>25.079999999987198</v>
      </c>
      <c r="H29" s="566">
        <v>0</v>
      </c>
      <c r="I29" s="555">
        <f>IF('UTILITY REPORT 1'!G30&lt;0,"0",'UTILITY REPORT 1'!G30)</f>
        <v>32</v>
      </c>
      <c r="J29" s="566">
        <v>0</v>
      </c>
      <c r="K29" s="554">
        <f>'UTILITY REPORT 1'!C30</f>
        <v>1</v>
      </c>
      <c r="L29" s="556" t="e">
        <f>E29*F29+G29*H29+#REF!*#REF!+I29*J29</f>
        <v>#REF!</v>
      </c>
    </row>
    <row r="30" spans="1:12">
      <c r="A30" s="551" t="s">
        <v>284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1988</v>
      </c>
      <c r="F30" s="555">
        <f>('UTILITY REPORT 1'!E31*'UTILITY REPORT 1'!D31)/'UTILITY REPORT 1'!F31</f>
        <v>0.42179577464788731</v>
      </c>
      <c r="G30" s="555">
        <f>IF('Utility summery'!M34&lt;0,"0",'Utility summery'!M34)</f>
        <v>24.947999999992319</v>
      </c>
      <c r="H30" s="566">
        <v>0</v>
      </c>
      <c r="I30" s="555">
        <f>IF('UTILITY REPORT 1'!G31&lt;0,"0",'UTILITY REPORT 1'!G31)</f>
        <v>38</v>
      </c>
      <c r="J30" s="566">
        <v>0</v>
      </c>
      <c r="K30" s="554">
        <f>'UTILITY REPORT 1'!C31</f>
        <v>0</v>
      </c>
      <c r="L30" s="556" t="e">
        <f>E30*F30+G30*H30+#REF!*#REF!+I30*J30</f>
        <v>#REF!</v>
      </c>
    </row>
    <row r="31" spans="1:12">
      <c r="A31" s="551" t="s">
        <v>284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 t="str">
        <f>IF('Utility summery'!M35&lt;0,"0",'Utility summery'!M35)</f>
        <v>0</v>
      </c>
      <c r="H31" s="566">
        <v>0</v>
      </c>
      <c r="I31" s="555" t="str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284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254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272</v>
      </c>
      <c r="B1" s="629" t="s">
        <v>273</v>
      </c>
      <c r="C1" s="629" t="s">
        <v>274</v>
      </c>
      <c r="D1" s="630" t="s">
        <v>275</v>
      </c>
      <c r="E1" s="631" t="s">
        <v>288</v>
      </c>
      <c r="F1" s="631" t="s">
        <v>287</v>
      </c>
      <c r="G1" s="632" t="s">
        <v>276</v>
      </c>
      <c r="H1" s="631" t="s">
        <v>285</v>
      </c>
      <c r="I1" s="631" t="s">
        <v>286</v>
      </c>
      <c r="J1" s="631" t="s">
        <v>289</v>
      </c>
      <c r="K1" s="632" t="s">
        <v>267</v>
      </c>
      <c r="L1" s="631" t="s">
        <v>290</v>
      </c>
      <c r="M1" s="632" t="s">
        <v>291</v>
      </c>
      <c r="N1" s="632" t="s">
        <v>292</v>
      </c>
      <c r="O1" s="632" t="s">
        <v>292</v>
      </c>
      <c r="P1" s="632" t="s">
        <v>306</v>
      </c>
      <c r="Q1" s="632" t="s">
        <v>293</v>
      </c>
      <c r="R1" s="632" t="s">
        <v>294</v>
      </c>
      <c r="S1" s="632" t="s">
        <v>295</v>
      </c>
      <c r="T1" s="632" t="s">
        <v>296</v>
      </c>
      <c r="U1" s="632" t="s">
        <v>297</v>
      </c>
      <c r="V1" s="632" t="s">
        <v>298</v>
      </c>
      <c r="W1" s="635" t="s">
        <v>307</v>
      </c>
      <c r="X1" s="636" t="s">
        <v>282</v>
      </c>
    </row>
    <row r="2" spans="1:24">
      <c r="A2" s="623" t="s">
        <v>284</v>
      </c>
      <c r="B2" s="624">
        <v>1</v>
      </c>
      <c r="C2" s="624">
        <v>3</v>
      </c>
      <c r="D2" s="625">
        <v>2020</v>
      </c>
      <c r="E2" s="626">
        <f>'UTILITY REPORT 1'!I3</f>
        <v>321.77</v>
      </c>
      <c r="F2" s="626">
        <f>'UTILITY REPORT 1'!E3</f>
        <v>2246.69</v>
      </c>
      <c r="G2" s="627">
        <f>'UTILITY REPORT 1'!F3</f>
        <v>5649</v>
      </c>
      <c r="H2" s="626">
        <f>IF('Kit report'!F4&lt;0,"0",'Kit report'!F4)</f>
        <v>552.00000000004366</v>
      </c>
      <c r="I2" s="626">
        <f>IF('Kit report'!X4&lt;0,"0",'Kit report'!X4)</f>
        <v>979.99999999992724</v>
      </c>
      <c r="J2" s="626">
        <f>IF('Utility summery'!H6&lt;0,"0",'Utility summery'!H6)</f>
        <v>100</v>
      </c>
      <c r="K2" s="627">
        <f>IF('UTILITY REPORT 1'!H3&lt;0,"0",'UTILITY REPORT 1'!H3)</f>
        <v>182</v>
      </c>
      <c r="L2" s="626">
        <f>'Water-Meter'!K6</f>
        <v>3</v>
      </c>
      <c r="M2" s="627">
        <f>'Water-Meter'!H6</f>
        <v>0</v>
      </c>
      <c r="N2" s="627">
        <f>'Water-Meter'!Q6</f>
        <v>11</v>
      </c>
      <c r="O2" s="626" t="e">
        <f>K2*E2+H2*I2+#REF!*#REF!+J2*L2</f>
        <v>#REF!</v>
      </c>
      <c r="P2" s="626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37">
        <f>Total!K2</f>
        <v>46</v>
      </c>
    </row>
    <row r="3" spans="1:24">
      <c r="A3" s="621" t="s">
        <v>284</v>
      </c>
      <c r="B3" s="618">
        <f>B2+1</f>
        <v>2</v>
      </c>
      <c r="C3" s="624">
        <v>3</v>
      </c>
      <c r="D3" s="625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26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37">
        <f>Total!K3</f>
        <v>17</v>
      </c>
    </row>
    <row r="4" spans="1:24">
      <c r="A4" s="621" t="s">
        <v>284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639.99999999996362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26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>
        <f>IF('Water-Meter'!AJ8&lt;0,"0",'Water-Meter'!AJ8)</f>
        <v>0</v>
      </c>
      <c r="W4" s="31">
        <f>'Water-Meter'!AN8</f>
        <v>221</v>
      </c>
      <c r="X4" s="637">
        <f>Total!K4</f>
        <v>12</v>
      </c>
    </row>
    <row r="5" spans="1:24">
      <c r="A5" s="621" t="s">
        <v>284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149.94</v>
      </c>
      <c r="F5" s="619">
        <f>'UTILITY REPORT 1'!E6</f>
        <v>2421.29</v>
      </c>
      <c r="G5" s="620">
        <f>'UTILITY REPORT 1'!F6</f>
        <v>6200</v>
      </c>
      <c r="H5" s="619">
        <f>IF('Kit report'!F7&lt;0,"0",'Kit report'!F7)</f>
        <v>552.00000000004366</v>
      </c>
      <c r="I5" s="619">
        <f>IF('Kit report'!X7&lt;0,"0",'Kit report'!X7)</f>
        <v>1660.0000000000364</v>
      </c>
      <c r="J5" s="619">
        <f>IF('Utility summery'!H9&lt;0,"0",'Utility summery'!H9)</f>
        <v>81</v>
      </c>
      <c r="K5" s="620">
        <f>IF('UTILITY REPORT 1'!H6&lt;0,"0",'UTILITY REPORT 1'!H6)</f>
        <v>153</v>
      </c>
      <c r="L5" s="619">
        <f>'Water-Meter'!K9</f>
        <v>4</v>
      </c>
      <c r="M5" s="620">
        <f>'Water-Meter'!H9</f>
        <v>0</v>
      </c>
      <c r="N5" s="620">
        <f>'Water-Meter'!Q9</f>
        <v>11</v>
      </c>
      <c r="O5" s="619" t="e">
        <f>K5*E5+H5*I5+#REF!*#REF!+J5*L5</f>
        <v>#REF!</v>
      </c>
      <c r="P5" s="626">
        <f>'Water-Meter'!E9</f>
        <v>163</v>
      </c>
      <c r="Q5" s="324">
        <f>IF('Water-Meter'!U9&lt;0,"0",'Water-Meter'!U9)</f>
        <v>58</v>
      </c>
      <c r="R5" s="324">
        <f>IF('Water-Meter'!X9&lt;0,"0",'Water-Meter'!X9)</f>
        <v>61</v>
      </c>
      <c r="S5" s="324">
        <f>IF('Water-Meter'!AA9&lt;0,"0",'Water-Meter'!AA9)</f>
        <v>47</v>
      </c>
      <c r="T5" s="324">
        <f>IF('Water-Meter'!AD9&lt;0,"0",'Water-Meter'!AD9)</f>
        <v>11</v>
      </c>
      <c r="U5" s="324">
        <f>IF('Water-Meter'!AG9&lt;0,"0",'Water-Meter'!AG9)</f>
        <v>26</v>
      </c>
      <c r="V5" s="324">
        <f>IF('Water-Meter'!AJ9&lt;0,"0",'Water-Meter'!AJ9)</f>
        <v>0</v>
      </c>
      <c r="W5" s="31">
        <f>'Water-Meter'!AN9</f>
        <v>203</v>
      </c>
      <c r="X5" s="637">
        <f>Total!K5</f>
        <v>77</v>
      </c>
    </row>
    <row r="6" spans="1:24">
      <c r="A6" s="621" t="s">
        <v>284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44.9</v>
      </c>
      <c r="F6" s="619">
        <f>'UTILITY REPORT 1'!E7</f>
        <v>2590.17</v>
      </c>
      <c r="G6" s="620">
        <f>'UTILITY REPORT 1'!F7</f>
        <v>6603</v>
      </c>
      <c r="H6" s="619">
        <f>IF('Kit report'!F8&lt;0,"0",'Kit report'!F8)</f>
        <v>563.99999999986903</v>
      </c>
      <c r="I6" s="619">
        <f>IF('Kit report'!X8&lt;0,"0",'Kit report'!X8)</f>
        <v>1039.9999999999636</v>
      </c>
      <c r="J6" s="619">
        <f>IF('Utility summery'!H10&lt;0,"0",'Utility summery'!H10)</f>
        <v>136</v>
      </c>
      <c r="K6" s="620">
        <f>IF('UTILITY REPORT 1'!H7&lt;0,"0",'UTILITY REPORT 1'!H7)</f>
        <v>159</v>
      </c>
      <c r="L6" s="619">
        <f>'Water-Meter'!K10</f>
        <v>3</v>
      </c>
      <c r="M6" s="620">
        <f>'Water-Meter'!H10</f>
        <v>0</v>
      </c>
      <c r="N6" s="620">
        <f>'Water-Meter'!Q10</f>
        <v>18</v>
      </c>
      <c r="O6" s="619" t="e">
        <f>K6*E6+H6*I6+#REF!*#REF!+J6*L6</f>
        <v>#REF!</v>
      </c>
      <c r="P6" s="626">
        <f>'Water-Meter'!E10</f>
        <v>177</v>
      </c>
      <c r="Q6" s="324">
        <f>IF('Water-Meter'!U10&lt;0,"0",'Water-Meter'!U10)</f>
        <v>63</v>
      </c>
      <c r="R6" s="324">
        <f>IF('Water-Meter'!X10&lt;0,"0",'Water-Meter'!X10)</f>
        <v>72</v>
      </c>
      <c r="S6" s="324">
        <f>IF('Water-Meter'!AA10&lt;0,"0",'Water-Meter'!AA10)</f>
        <v>61</v>
      </c>
      <c r="T6" s="324">
        <f>IF('Water-Meter'!AD10&lt;0,"0",'Water-Meter'!AD10)</f>
        <v>16</v>
      </c>
      <c r="U6" s="324">
        <f>IF('Water-Meter'!AG10&lt;0,"0",'Water-Meter'!AG10)</f>
        <v>23</v>
      </c>
      <c r="V6" s="324">
        <f>IF('Water-Meter'!AJ10&lt;0,"0",'Water-Meter'!AJ10)</f>
        <v>0</v>
      </c>
      <c r="W6" s="31">
        <f>'Water-Meter'!AN10</f>
        <v>235</v>
      </c>
      <c r="X6" s="637">
        <f>Total!K6</f>
        <v>77</v>
      </c>
    </row>
    <row r="7" spans="1:24">
      <c r="A7" s="621" t="s">
        <v>284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75.03</v>
      </c>
      <c r="F7" s="619">
        <f>'UTILITY REPORT 1'!E8</f>
        <v>2694.18</v>
      </c>
      <c r="G7" s="620">
        <f>'UTILITY REPORT 1'!F8</f>
        <v>6820</v>
      </c>
      <c r="H7" s="619">
        <f>IF('Kit report'!F9&lt;0,"0",'Kit report'!F9)</f>
        <v>576.00000000013097</v>
      </c>
      <c r="I7" s="619">
        <f>IF('Kit report'!X9&lt;0,"0",'Kit report'!X9)</f>
        <v>1160.0000000000364</v>
      </c>
      <c r="J7" s="619">
        <f>IF('Utility summery'!H11&lt;0,"0",'Utility summery'!H11)</f>
        <v>140</v>
      </c>
      <c r="K7" s="620">
        <f>IF('UTILITY REPORT 1'!H8&lt;0,"0",'UTILITY REPORT 1'!H8)</f>
        <v>125</v>
      </c>
      <c r="L7" s="619">
        <f>'Water-Meter'!K11</f>
        <v>4</v>
      </c>
      <c r="M7" s="620">
        <f>'Water-Meter'!H11</f>
        <v>0</v>
      </c>
      <c r="N7" s="620">
        <f>'Water-Meter'!Q11</f>
        <v>12</v>
      </c>
      <c r="O7" s="619" t="e">
        <f>K7*E7+H7*I7+#REF!*#REF!+J7*L7</f>
        <v>#REF!</v>
      </c>
      <c r="P7" s="626">
        <f>'Water-Meter'!E11</f>
        <v>191</v>
      </c>
      <c r="Q7" s="324">
        <f>IF('Water-Meter'!U11&lt;0,"0",'Water-Meter'!U11)</f>
        <v>56</v>
      </c>
      <c r="R7" s="324">
        <f>IF('Water-Meter'!X11&lt;0,"0",'Water-Meter'!X11)</f>
        <v>66</v>
      </c>
      <c r="S7" s="324">
        <f>IF('Water-Meter'!AA11&lt;0,"0",'Water-Meter'!AA11)</f>
        <v>62</v>
      </c>
      <c r="T7" s="324">
        <f>IF('Water-Meter'!AD11&lt;0,"0",'Water-Meter'!AD11)</f>
        <v>15</v>
      </c>
      <c r="U7" s="324">
        <f>IF('Water-Meter'!AG11&lt;0,"0",'Water-Meter'!AG11)</f>
        <v>25</v>
      </c>
      <c r="V7" s="324">
        <f>IF('Water-Meter'!AJ11&lt;0,"0",'Water-Meter'!AJ11)</f>
        <v>0</v>
      </c>
      <c r="W7" s="31">
        <f>'Water-Meter'!AN11</f>
        <v>224</v>
      </c>
      <c r="X7" s="637">
        <f>Total!K7</f>
        <v>77</v>
      </c>
    </row>
    <row r="8" spans="1:24">
      <c r="A8" s="621" t="s">
        <v>284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87.259999999999991</v>
      </c>
      <c r="F8" s="619">
        <f>'UTILITY REPORT 1'!E9</f>
        <v>2914.3</v>
      </c>
      <c r="G8" s="620">
        <f>'UTILITY REPORT 1'!F9</f>
        <v>7352</v>
      </c>
      <c r="H8" s="619">
        <f>IF('Kit report'!F10&lt;0,"0",'Kit report'!F10)</f>
        <v>707.99999999995634</v>
      </c>
      <c r="I8" s="619">
        <f>IF('Kit report'!X10&lt;0,"0",'Kit report'!X10)</f>
        <v>1160.0000000000364</v>
      </c>
      <c r="J8" s="619">
        <f>IF('Utility summery'!H12&lt;0,"0",'Utility summery'!H12)</f>
        <v>121</v>
      </c>
      <c r="K8" s="620">
        <f>IF('UTILITY REPORT 1'!H9&lt;0,"0",'UTILITY REPORT 1'!H9)</f>
        <v>155</v>
      </c>
      <c r="L8" s="619">
        <f>'Water-Meter'!K12</f>
        <v>3</v>
      </c>
      <c r="M8" s="620">
        <f>'Water-Meter'!H12</f>
        <v>0</v>
      </c>
      <c r="N8" s="620">
        <f>'Water-Meter'!Q12</f>
        <v>12</v>
      </c>
      <c r="O8" s="619" t="e">
        <f>K8*E8+H8*I8+#REF!*#REF!+J8*L8</f>
        <v>#REF!</v>
      </c>
      <c r="P8" s="626">
        <f>'Water-Meter'!E12</f>
        <v>168</v>
      </c>
      <c r="Q8" s="324">
        <f>IF('Water-Meter'!U12&lt;0,"0",'Water-Meter'!U12)</f>
        <v>57</v>
      </c>
      <c r="R8" s="324">
        <f>IF('Water-Meter'!X12&lt;0,"0",'Water-Meter'!X12)</f>
        <v>56</v>
      </c>
      <c r="S8" s="324">
        <f>IF('Water-Meter'!AA12&lt;0,"0",'Water-Meter'!AA12)</f>
        <v>29</v>
      </c>
      <c r="T8" s="324">
        <f>IF('Water-Meter'!AD12&lt;0,"0",'Water-Meter'!AD12)</f>
        <v>12</v>
      </c>
      <c r="U8" s="324">
        <f>IF('Water-Meter'!AG12&lt;0,"0",'Water-Meter'!AG12)</f>
        <v>23</v>
      </c>
      <c r="V8" s="324">
        <f>IF('Water-Meter'!AJ12&lt;0,"0",'Water-Meter'!AJ12)</f>
        <v>0</v>
      </c>
      <c r="W8" s="31">
        <f>'Water-Meter'!AN12</f>
        <v>177</v>
      </c>
      <c r="X8" s="637">
        <f>Total!K8</f>
        <v>77</v>
      </c>
    </row>
    <row r="9" spans="1:24">
      <c r="A9" s="621" t="s">
        <v>284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424.4</v>
      </c>
      <c r="F9" s="619">
        <f>'UTILITY REPORT 1'!E10</f>
        <v>2683.84</v>
      </c>
      <c r="G9" s="620">
        <f>'UTILITY REPORT 1'!F10</f>
        <v>6190</v>
      </c>
      <c r="H9" s="619">
        <f>IF('Kit report'!F11&lt;0,"0",'Kit report'!F11)</f>
        <v>563.99999999986903</v>
      </c>
      <c r="I9" s="619">
        <f>IF('Kit report'!X11&lt;0,"0",'Kit report'!X11)</f>
        <v>1260.0000000000364</v>
      </c>
      <c r="J9" s="619">
        <f>IF('Utility summery'!H13&lt;0,"0",'Utility summery'!H13)</f>
        <v>43</v>
      </c>
      <c r="K9" s="620">
        <f>IF('UTILITY REPORT 1'!H10&lt;0,"0",'UTILITY REPORT 1'!H10)</f>
        <v>183</v>
      </c>
      <c r="L9" s="619">
        <f>'Water-Meter'!K13</f>
        <v>3</v>
      </c>
      <c r="M9" s="620">
        <f>'Water-Meter'!H13</f>
        <v>0</v>
      </c>
      <c r="N9" s="620">
        <f>'Water-Meter'!Q13</f>
        <v>18</v>
      </c>
      <c r="O9" s="619" t="e">
        <f>K9*E9+H9*I9+#REF!*#REF!+J9*L9</f>
        <v>#REF!</v>
      </c>
      <c r="P9" s="626">
        <f>'Water-Meter'!E13</f>
        <v>131</v>
      </c>
      <c r="Q9" s="324">
        <f>IF('Water-Meter'!U13&lt;0,"0",'Water-Meter'!U13)</f>
        <v>58</v>
      </c>
      <c r="R9" s="324">
        <f>IF('Water-Meter'!X13&lt;0,"0",'Water-Meter'!X13)</f>
        <v>62</v>
      </c>
      <c r="S9" s="324">
        <f>IF('Water-Meter'!AA13&lt;0,"0",'Water-Meter'!AA13)</f>
        <v>18</v>
      </c>
      <c r="T9" s="324">
        <f>IF('Water-Meter'!AD13&lt;0,"0",'Water-Meter'!AD13)</f>
        <v>14</v>
      </c>
      <c r="U9" s="324">
        <f>IF('Water-Meter'!AG13&lt;0,"0",'Water-Meter'!AG13)</f>
        <v>24</v>
      </c>
      <c r="V9" s="324">
        <f>IF('Water-Meter'!AJ13&lt;0,"0",'Water-Meter'!AJ13)</f>
        <v>0</v>
      </c>
      <c r="W9" s="31">
        <f>'Water-Meter'!AN13</f>
        <v>176</v>
      </c>
      <c r="X9" s="637">
        <f>Total!K9</f>
        <v>46</v>
      </c>
    </row>
    <row r="10" spans="1:24">
      <c r="A10" s="621" t="s">
        <v>284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170.83999999999997</v>
      </c>
      <c r="F10" s="619">
        <f>'UTILITY REPORT 1'!E11</f>
        <v>2232.9499999999998</v>
      </c>
      <c r="G10" s="620">
        <f>'UTILITY REPORT 1'!F11</f>
        <v>4387</v>
      </c>
      <c r="H10" s="619">
        <f>IF('Kit report'!F12&lt;0,"0",'Kit report'!F12)</f>
        <v>528.00000000017462</v>
      </c>
      <c r="I10" s="619">
        <f>IF('Kit report'!X12&lt;0,"0",'Kit report'!X12)</f>
        <v>1100</v>
      </c>
      <c r="J10" s="619">
        <f>IF('Utility summery'!H14&lt;0,"0",'Utility summery'!H14)</f>
        <v>121</v>
      </c>
      <c r="K10" s="620">
        <f>IF('UTILITY REPORT 1'!H11&lt;0,"0",'UTILITY REPORT 1'!H11)</f>
        <v>183</v>
      </c>
      <c r="L10" s="619">
        <f>'Water-Meter'!K14</f>
        <v>3</v>
      </c>
      <c r="M10" s="620">
        <f>'Water-Meter'!H14</f>
        <v>0</v>
      </c>
      <c r="N10" s="620">
        <f>'Water-Meter'!Q14</f>
        <v>9</v>
      </c>
      <c r="O10" s="619" t="e">
        <f>K10*E10+H10*I10+#REF!*#REF!+J10*L10</f>
        <v>#REF!</v>
      </c>
      <c r="P10" s="626">
        <f>'Water-Meter'!E14</f>
        <v>117</v>
      </c>
      <c r="Q10" s="324">
        <f>IF('Water-Meter'!U14&lt;0,"0",'Water-Meter'!U14)</f>
        <v>55</v>
      </c>
      <c r="R10" s="324">
        <f>IF('Water-Meter'!X14&lt;0,"0",'Water-Meter'!X14)</f>
        <v>60</v>
      </c>
      <c r="S10" s="324">
        <f>IF('Water-Meter'!AA14&lt;0,"0",'Water-Meter'!AA14)</f>
        <v>52</v>
      </c>
      <c r="T10" s="324">
        <f>IF('Water-Meter'!AD14&lt;0,"0",'Water-Meter'!AD14)</f>
        <v>13</v>
      </c>
      <c r="U10" s="324">
        <f>IF('Water-Meter'!AG14&lt;0,"0",'Water-Meter'!AG14)</f>
        <v>26</v>
      </c>
      <c r="V10" s="324">
        <f>IF('Water-Meter'!AJ14&lt;0,"0",'Water-Meter'!AJ14)</f>
        <v>0</v>
      </c>
      <c r="W10" s="31">
        <f>'Water-Meter'!AN14</f>
        <v>206</v>
      </c>
      <c r="X10" s="637">
        <f>Total!K10</f>
        <v>44</v>
      </c>
    </row>
    <row r="11" spans="1:24">
      <c r="A11" s="621" t="s">
        <v>284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33.880000000000003</v>
      </c>
      <c r="F11" s="619">
        <f>'UTILITY REPORT 1'!E12</f>
        <v>2128.3999999999996</v>
      </c>
      <c r="G11" s="620">
        <f>'UTILITY REPORT 1'!F12</f>
        <v>5593</v>
      </c>
      <c r="H11" s="619">
        <f>IF('Kit report'!F13&lt;0,"0",'Kit report'!F13)</f>
        <v>551.99999999982538</v>
      </c>
      <c r="I11" s="619">
        <f>IF('Kit report'!X13&lt;0,"0",'Kit report'!X13)</f>
        <v>719.99999999989086</v>
      </c>
      <c r="J11" s="619">
        <f>IF('Utility summery'!H15&lt;0,"0",'Utility summery'!H15)</f>
        <v>126</v>
      </c>
      <c r="K11" s="620">
        <f>IF('UTILITY REPORT 1'!H12&lt;0,"0",'UTILITY REPORT 1'!H12)</f>
        <v>21</v>
      </c>
      <c r="L11" s="619">
        <f>'Water-Meter'!K15</f>
        <v>3</v>
      </c>
      <c r="M11" s="620">
        <f>'Water-Meter'!H15</f>
        <v>0</v>
      </c>
      <c r="N11" s="620">
        <f>'Water-Meter'!Q15</f>
        <v>10</v>
      </c>
      <c r="O11" s="619" t="e">
        <f>K11*E11+H11*I11+#REF!*#REF!+J11*L11</f>
        <v>#REF!</v>
      </c>
      <c r="P11" s="626">
        <f>'Water-Meter'!E15</f>
        <v>129</v>
      </c>
      <c r="Q11" s="324">
        <f>IF('Water-Meter'!U15&lt;0,"0",'Water-Meter'!U15)</f>
        <v>59</v>
      </c>
      <c r="R11" s="324">
        <f>IF('Water-Meter'!X15&lt;0,"0",'Water-Meter'!X15)</f>
        <v>63</v>
      </c>
      <c r="S11" s="324">
        <f>IF('Water-Meter'!AA15&lt;0,"0",'Water-Meter'!AA15)</f>
        <v>47</v>
      </c>
      <c r="T11" s="324">
        <f>IF('Water-Meter'!AD15&lt;0,"0",'Water-Meter'!AD15)</f>
        <v>14</v>
      </c>
      <c r="U11" s="324">
        <f>IF('Water-Meter'!AG15&lt;0,"0",'Water-Meter'!AG15)</f>
        <v>25</v>
      </c>
      <c r="V11" s="324">
        <f>IF('Water-Meter'!AJ15&lt;0,"0",'Water-Meter'!AJ15)</f>
        <v>0</v>
      </c>
      <c r="W11" s="31">
        <f>'Water-Meter'!AN15</f>
        <v>208</v>
      </c>
      <c r="X11" s="637">
        <f>Total!K11</f>
        <v>0</v>
      </c>
    </row>
    <row r="12" spans="1:24">
      <c r="A12" s="621" t="s">
        <v>284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204.76999999999998</v>
      </c>
      <c r="F12" s="619">
        <f>'UTILITY REPORT 1'!E13</f>
        <v>1707.85</v>
      </c>
      <c r="G12" s="620">
        <f>'UTILITY REPORT 1'!F13</f>
        <v>4641</v>
      </c>
      <c r="H12" s="619">
        <f>IF('Kit report'!F14&lt;0,"0",'Kit report'!F14)</f>
        <v>492.00000000004366</v>
      </c>
      <c r="I12" s="619">
        <f>IF('Kit report'!X14&lt;0,"0",'Kit report'!X14)</f>
        <v>660.00000000003638</v>
      </c>
      <c r="J12" s="619">
        <f>IF('Utility summery'!H16&lt;0,"0",'Utility summery'!H16)</f>
        <v>85</v>
      </c>
      <c r="K12" s="620">
        <f>IF('UTILITY REPORT 1'!H13&lt;0,"0",'UTILITY REPORT 1'!H13)</f>
        <v>87</v>
      </c>
      <c r="L12" s="619">
        <f>'Water-Meter'!K16</f>
        <v>3</v>
      </c>
      <c r="M12" s="620">
        <f>'Water-Meter'!H16</f>
        <v>0</v>
      </c>
      <c r="N12" s="620">
        <f>'Water-Meter'!Q16</f>
        <v>12</v>
      </c>
      <c r="O12" s="619" t="e">
        <f>K12*E12+H12*I12+#REF!*#REF!+J12*L12</f>
        <v>#REF!</v>
      </c>
      <c r="P12" s="626">
        <f>'Water-Meter'!E16</f>
        <v>99</v>
      </c>
      <c r="Q12" s="324">
        <f>IF('Water-Meter'!U16&lt;0,"0",'Water-Meter'!U16)</f>
        <v>65</v>
      </c>
      <c r="R12" s="324">
        <f>IF('Water-Meter'!X16&lt;0,"0",'Water-Meter'!X16)</f>
        <v>29</v>
      </c>
      <c r="S12" s="324">
        <f>IF('Water-Meter'!AA16&lt;0,"0",'Water-Meter'!AA16)</f>
        <v>54</v>
      </c>
      <c r="T12" s="324">
        <f>IF('Water-Meter'!AD16&lt;0,"0",'Water-Meter'!AD16)</f>
        <v>13</v>
      </c>
      <c r="U12" s="324">
        <f>IF('Water-Meter'!AG16&lt;0,"0",'Water-Meter'!AG16)</f>
        <v>24</v>
      </c>
      <c r="V12" s="324">
        <f>IF('Water-Meter'!AJ16&lt;0,"0",'Water-Meter'!AJ16)</f>
        <v>0</v>
      </c>
      <c r="W12" s="31">
        <f>'Water-Meter'!AN16</f>
        <v>185</v>
      </c>
      <c r="X12" s="637">
        <f>Total!K12</f>
        <v>0</v>
      </c>
    </row>
    <row r="13" spans="1:24">
      <c r="A13" s="621" t="s">
        <v>284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106.07</v>
      </c>
      <c r="F13" s="619">
        <f>'UTILITY REPORT 1'!E14</f>
        <v>2737.5</v>
      </c>
      <c r="G13" s="620">
        <f>'UTILITY REPORT 1'!F14</f>
        <v>4209</v>
      </c>
      <c r="H13" s="619">
        <f>IF('Kit report'!F15&lt;0,"0",'Kit report'!F15)</f>
        <v>516.00000000013097</v>
      </c>
      <c r="I13" s="619">
        <f>IF('Kit report'!X15&lt;0,"0",'Kit report'!X15)</f>
        <v>400</v>
      </c>
      <c r="J13" s="619">
        <f>IF('Utility summery'!H17&lt;0,"0",'Utility summery'!H17)</f>
        <v>82</v>
      </c>
      <c r="K13" s="620">
        <f>IF('UTILITY REPORT 1'!H14&lt;0,"0",'UTILITY REPORT 1'!H14)</f>
        <v>161</v>
      </c>
      <c r="L13" s="619">
        <f>'Water-Meter'!K17</f>
        <v>3</v>
      </c>
      <c r="M13" s="620">
        <f>'Water-Meter'!H17</f>
        <v>0</v>
      </c>
      <c r="N13" s="620">
        <f>'Water-Meter'!Q17</f>
        <v>4</v>
      </c>
      <c r="O13" s="619" t="e">
        <f>K13*E13+H13*I13+#REF!*#REF!+J13*L13</f>
        <v>#REF!</v>
      </c>
      <c r="P13" s="626">
        <f>'Water-Meter'!E17</f>
        <v>77</v>
      </c>
      <c r="Q13" s="324">
        <f>IF('Water-Meter'!U17&lt;0,"0",'Water-Meter'!U17)</f>
        <v>61</v>
      </c>
      <c r="R13" s="324">
        <f>IF('Water-Meter'!X17&lt;0,"0",'Water-Meter'!X17)</f>
        <v>27</v>
      </c>
      <c r="S13" s="324">
        <f>IF('Water-Meter'!AA17&lt;0,"0",'Water-Meter'!AA17)</f>
        <v>54</v>
      </c>
      <c r="T13" s="324">
        <f>IF('Water-Meter'!AD17&lt;0,"0",'Water-Meter'!AD17)</f>
        <v>14</v>
      </c>
      <c r="U13" s="324">
        <f>IF('Water-Meter'!AG17&lt;0,"0",'Water-Meter'!AG17)</f>
        <v>24</v>
      </c>
      <c r="V13" s="324">
        <f>IF('Water-Meter'!AJ17&lt;0,"0",'Water-Meter'!AJ17)</f>
        <v>24</v>
      </c>
      <c r="W13" s="31">
        <f>'Water-Meter'!AN17</f>
        <v>204</v>
      </c>
      <c r="X13" s="637">
        <f>Total!K13</f>
        <v>4</v>
      </c>
    </row>
    <row r="14" spans="1:24">
      <c r="A14" s="621" t="s">
        <v>284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233.75</v>
      </c>
      <c r="F14" s="619">
        <f>'UTILITY REPORT 1'!E15</f>
        <v>2538.1400000000003</v>
      </c>
      <c r="G14" s="620">
        <f>'UTILITY REPORT 1'!F15</f>
        <v>3918</v>
      </c>
      <c r="H14" s="619">
        <f>IF('Kit report'!F16&lt;0,"0",'Kit report'!F16)</f>
        <v>480</v>
      </c>
      <c r="I14" s="619">
        <f>IF('Kit report'!X16&lt;0,"0",'Kit report'!X16)</f>
        <v>400</v>
      </c>
      <c r="J14" s="619">
        <f>IF('Utility summery'!H18&lt;0,"0",'Utility summery'!H18)</f>
        <v>47</v>
      </c>
      <c r="K14" s="620">
        <f>IF('UTILITY REPORT 1'!H15&lt;0,"0",'UTILITY REPORT 1'!H15)</f>
        <v>148</v>
      </c>
      <c r="L14" s="619">
        <f>'Water-Meter'!K18</f>
        <v>3</v>
      </c>
      <c r="M14" s="620">
        <f>'Water-Meter'!H18</f>
        <v>0</v>
      </c>
      <c r="N14" s="620">
        <f>'Water-Meter'!Q18</f>
        <v>1</v>
      </c>
      <c r="O14" s="619" t="e">
        <f>K14*E14+H14*I14+#REF!*#REF!+J14*L14</f>
        <v>#REF!</v>
      </c>
      <c r="P14" s="626">
        <f>'Water-Meter'!E18</f>
        <v>69</v>
      </c>
      <c r="Q14" s="324">
        <f>IF('Water-Meter'!U18&lt;0,"0",'Water-Meter'!U18)</f>
        <v>63</v>
      </c>
      <c r="R14" s="324">
        <f>IF('Water-Meter'!X18&lt;0,"0",'Water-Meter'!X18)</f>
        <v>0</v>
      </c>
      <c r="S14" s="324">
        <f>IF('Water-Meter'!AA18&lt;0,"0",'Water-Meter'!AA18)</f>
        <v>58</v>
      </c>
      <c r="T14" s="324">
        <f>IF('Water-Meter'!AD18&lt;0,"0",'Water-Meter'!AD18)</f>
        <v>14</v>
      </c>
      <c r="U14" s="324">
        <f>IF('Water-Meter'!AG18&lt;0,"0",'Water-Meter'!AG18)</f>
        <v>23</v>
      </c>
      <c r="V14" s="324">
        <f>IF('Water-Meter'!AJ18&lt;0,"0",'Water-Meter'!AJ18)</f>
        <v>46</v>
      </c>
      <c r="W14" s="31">
        <f>'Water-Meter'!AN18</f>
        <v>204</v>
      </c>
      <c r="X14" s="637">
        <f>Total!K14</f>
        <v>4</v>
      </c>
    </row>
    <row r="15" spans="1:24">
      <c r="A15" s="621" t="s">
        <v>284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116.4</v>
      </c>
      <c r="F15" s="619">
        <f>'UTILITY REPORT 1'!E16</f>
        <v>1306.6799999999998</v>
      </c>
      <c r="G15" s="620">
        <f>'UTILITY REPORT 1'!F16</f>
        <v>3497</v>
      </c>
      <c r="H15" s="619">
        <f>IF('Kit report'!F17&lt;0,"0",'Kit report'!F17)</f>
        <v>347.99999999995634</v>
      </c>
      <c r="I15" s="619">
        <f>IF('Kit report'!X17&lt;0,"0",'Kit report'!X17)</f>
        <v>539.99999999996362</v>
      </c>
      <c r="J15" s="619">
        <f>IF('Utility summery'!H19&lt;0,"0",'Utility summery'!H19)</f>
        <v>62</v>
      </c>
      <c r="K15" s="620">
        <f>IF('UTILITY REPORT 1'!H16&lt;0,"0",'UTILITY REPORT 1'!H16)</f>
        <v>99</v>
      </c>
      <c r="L15" s="619">
        <f>'Water-Meter'!K19</f>
        <v>2</v>
      </c>
      <c r="M15" s="620">
        <f>'Water-Meter'!H19</f>
        <v>0</v>
      </c>
      <c r="N15" s="620">
        <f>'Water-Meter'!Q19</f>
        <v>7</v>
      </c>
      <c r="O15" s="619" t="e">
        <f>K15*E15+H15*I15+#REF!*#REF!+J15*L15</f>
        <v>#REF!</v>
      </c>
      <c r="P15" s="626">
        <f>'Water-Meter'!E19</f>
        <v>72</v>
      </c>
      <c r="Q15" s="324">
        <f>IF('Water-Meter'!U19&lt;0,"0",'Water-Meter'!U19)</f>
        <v>58</v>
      </c>
      <c r="R15" s="324">
        <f>IF('Water-Meter'!X19&lt;0,"0",'Water-Meter'!X19)</f>
        <v>0</v>
      </c>
      <c r="S15" s="324">
        <f>IF('Water-Meter'!AA19&lt;0,"0",'Water-Meter'!AA19)</f>
        <v>55</v>
      </c>
      <c r="T15" s="324">
        <f>IF('Water-Meter'!AD19&lt;0,"0",'Water-Meter'!AD19)</f>
        <v>14</v>
      </c>
      <c r="U15" s="324">
        <f>IF('Water-Meter'!AG19&lt;0,"0",'Water-Meter'!AG19)</f>
        <v>27</v>
      </c>
      <c r="V15" s="324">
        <f>IF('Water-Meter'!AJ19&lt;0,"0",'Water-Meter'!AJ19)</f>
        <v>44</v>
      </c>
      <c r="W15" s="31">
        <f>'Water-Meter'!AN19</f>
        <v>198</v>
      </c>
      <c r="X15" s="637">
        <f>Total!K15</f>
        <v>4</v>
      </c>
    </row>
    <row r="16" spans="1:24">
      <c r="A16" s="621" t="s">
        <v>284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287.96000000000004</v>
      </c>
      <c r="F16" s="619">
        <f>'UTILITY REPORT 1'!E17</f>
        <v>1420.46</v>
      </c>
      <c r="G16" s="620">
        <f>'UTILITY REPORT 1'!F17</f>
        <v>3584</v>
      </c>
      <c r="H16" s="619">
        <f>IF('Kit report'!F18&lt;0,"0",'Kit report'!F18)</f>
        <v>275.99999999991269</v>
      </c>
      <c r="I16" s="619">
        <f>IF('Kit report'!X18&lt;0,"0",'Kit report'!X18)</f>
        <v>440.00000000014552</v>
      </c>
      <c r="J16" s="619">
        <f>IF('Utility summery'!H20&lt;0,"0",'Utility summery'!H20)</f>
        <v>62</v>
      </c>
      <c r="K16" s="620">
        <f>IF('UTILITY REPORT 1'!H17&lt;0,"0",'UTILITY REPORT 1'!H17)</f>
        <v>47</v>
      </c>
      <c r="L16" s="619">
        <f>'Water-Meter'!K20</f>
        <v>2</v>
      </c>
      <c r="M16" s="620">
        <f>'Water-Meter'!H20</f>
        <v>0</v>
      </c>
      <c r="N16" s="620">
        <f>'Water-Meter'!Q20</f>
        <v>9</v>
      </c>
      <c r="O16" s="619" t="e">
        <f>K16*E16+H16*I16+#REF!*#REF!+J16*L16</f>
        <v>#REF!</v>
      </c>
      <c r="P16" s="626">
        <f>'Water-Meter'!E20</f>
        <v>92</v>
      </c>
      <c r="Q16" s="324">
        <f>IF('Water-Meter'!U20&lt;0,"0",'Water-Meter'!U20)</f>
        <v>54</v>
      </c>
      <c r="R16" s="324">
        <f>IF('Water-Meter'!X20&lt;0,"0",'Water-Meter'!X20)</f>
        <v>0</v>
      </c>
      <c r="S16" s="324">
        <f>IF('Water-Meter'!AA20&lt;0,"0",'Water-Meter'!AA20)</f>
        <v>54</v>
      </c>
      <c r="T16" s="324">
        <f>IF('Water-Meter'!AD20&lt;0,"0",'Water-Meter'!AD20)</f>
        <v>14</v>
      </c>
      <c r="U16" s="324">
        <f>IF('Water-Meter'!AG20&lt;0,"0",'Water-Meter'!AG20)</f>
        <v>23</v>
      </c>
      <c r="V16" s="324">
        <f>IF('Water-Meter'!AJ20&lt;0,"0",'Water-Meter'!AJ20)</f>
        <v>35</v>
      </c>
      <c r="W16" s="31">
        <f>'Water-Meter'!AN20</f>
        <v>180</v>
      </c>
      <c r="X16" s="637">
        <f>Total!K16</f>
        <v>4</v>
      </c>
    </row>
    <row r="17" spans="1:24">
      <c r="A17" s="621" t="s">
        <v>284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79.289999999999992</v>
      </c>
      <c r="F17" s="619">
        <f>'UTILITY REPORT 1'!E18</f>
        <v>1366.8200000000002</v>
      </c>
      <c r="G17" s="620">
        <f>'UTILITY REPORT 1'!F18</f>
        <v>3345</v>
      </c>
      <c r="H17" s="619">
        <f>IF('Kit report'!F19&lt;0,"0",'Kit report'!F19)</f>
        <v>252.00000000004366</v>
      </c>
      <c r="I17" s="619">
        <f>IF('Kit report'!X19&lt;0,"0",'Kit report'!X19)</f>
        <v>559.99999999985448</v>
      </c>
      <c r="J17" s="619">
        <f>IF('Utility summery'!H21&lt;0,"0",'Utility summery'!H21)</f>
        <v>66</v>
      </c>
      <c r="K17" s="620">
        <f>IF('UTILITY REPORT 1'!H18&lt;0,"0",'UTILITY REPORT 1'!H18)</f>
        <v>58</v>
      </c>
      <c r="L17" s="619">
        <f>'Water-Meter'!K21</f>
        <v>2</v>
      </c>
      <c r="M17" s="620">
        <f>'Water-Meter'!H21</f>
        <v>0</v>
      </c>
      <c r="N17" s="620">
        <f>'Water-Meter'!Q21</f>
        <v>7</v>
      </c>
      <c r="O17" s="619" t="e">
        <f>K17*E17+H17*I17+#REF!*#REF!+J17*L17</f>
        <v>#REF!</v>
      </c>
      <c r="P17" s="626">
        <f>'Water-Meter'!E21</f>
        <v>90</v>
      </c>
      <c r="Q17" s="324">
        <f>IF('Water-Meter'!U21&lt;0,"0",'Water-Meter'!U21)</f>
        <v>65</v>
      </c>
      <c r="R17" s="324">
        <f>IF('Water-Meter'!X21&lt;0,"0",'Water-Meter'!X21)</f>
        <v>0</v>
      </c>
      <c r="S17" s="324">
        <f>IF('Water-Meter'!AA21&lt;0,"0",'Water-Meter'!AA21)</f>
        <v>5</v>
      </c>
      <c r="T17" s="324">
        <f>IF('Water-Meter'!AD21&lt;0,"0",'Water-Meter'!AD21)</f>
        <v>2</v>
      </c>
      <c r="U17" s="324">
        <f>IF('Water-Meter'!AG21&lt;0,"0",'Water-Meter'!AG21)</f>
        <v>23</v>
      </c>
      <c r="V17" s="324">
        <f>IF('Water-Meter'!AJ21&lt;0,"0",'Water-Meter'!AJ21)</f>
        <v>13</v>
      </c>
      <c r="W17" s="31">
        <f>'Water-Meter'!AN21</f>
        <v>108</v>
      </c>
      <c r="X17" s="637">
        <f>Total!K17</f>
        <v>5</v>
      </c>
    </row>
    <row r="18" spans="1:24">
      <c r="A18" s="621" t="s">
        <v>284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50.42</v>
      </c>
      <c r="F18" s="619">
        <f>'UTILITY REPORT 1'!E19</f>
        <v>1215.42</v>
      </c>
      <c r="G18" s="620">
        <f>'UTILITY REPORT 1'!F19</f>
        <v>3067</v>
      </c>
      <c r="H18" s="619">
        <f>IF('Kit report'!F20&lt;0,"0",'Kit report'!F20)</f>
        <v>227.99999999995634</v>
      </c>
      <c r="I18" s="619">
        <f>IF('Kit report'!X20&lt;0,"0",'Kit report'!X20)</f>
        <v>380.00000000010914</v>
      </c>
      <c r="J18" s="619">
        <f>IF('Utility summery'!H22&lt;0,"0",'Utility summery'!H22)</f>
        <v>48</v>
      </c>
      <c r="K18" s="620">
        <f>IF('UTILITY REPORT 1'!H19&lt;0,"0",'UTILITY REPORT 1'!H19)</f>
        <v>50</v>
      </c>
      <c r="L18" s="619">
        <f>'Water-Meter'!K22</f>
        <v>2</v>
      </c>
      <c r="M18" s="620">
        <f>'Water-Meter'!H22</f>
        <v>0</v>
      </c>
      <c r="N18" s="620">
        <f>'Water-Meter'!Q22</f>
        <v>4</v>
      </c>
      <c r="O18" s="619" t="e">
        <f>K18*E18+H18*I18+#REF!*#REF!+J18*L18</f>
        <v>#REF!</v>
      </c>
      <c r="P18" s="626">
        <f>'Water-Meter'!E22</f>
        <v>72</v>
      </c>
      <c r="Q18" s="324">
        <f>IF('Water-Meter'!U22&lt;0,"0",'Water-Meter'!U22)</f>
        <v>49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27</v>
      </c>
      <c r="V18" s="324">
        <f>IF('Water-Meter'!AJ22&lt;0,"0",'Water-Meter'!AJ22)</f>
        <v>0</v>
      </c>
      <c r="W18" s="31">
        <f>'Water-Meter'!AN22</f>
        <v>76</v>
      </c>
      <c r="X18" s="637">
        <f>Total!K18</f>
        <v>6</v>
      </c>
    </row>
    <row r="19" spans="1:24">
      <c r="A19" s="621" t="s">
        <v>284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156</v>
      </c>
      <c r="F19" s="619">
        <f>'UTILITY REPORT 1'!E20</f>
        <v>1192.8200000000002</v>
      </c>
      <c r="G19" s="620">
        <f>'UTILITY REPORT 1'!F20</f>
        <v>2970</v>
      </c>
      <c r="H19" s="619">
        <f>IF('Kit report'!F21&lt;0,"0",'Kit report'!F21)</f>
        <v>240</v>
      </c>
      <c r="I19" s="619">
        <f>IF('Kit report'!X21&lt;0,"0",'Kit report'!X21)</f>
        <v>260.00000000003638</v>
      </c>
      <c r="J19" s="619">
        <f>IF('Utility summery'!H23&lt;0,"0",'Utility summery'!H23)</f>
        <v>48</v>
      </c>
      <c r="K19" s="620">
        <f>IF('UTILITY REPORT 1'!H20&lt;0,"0",'UTILITY REPORT 1'!H20)</f>
        <v>52</v>
      </c>
      <c r="L19" s="619">
        <f>'Water-Meter'!K23</f>
        <v>3</v>
      </c>
      <c r="M19" s="620">
        <f>'Water-Meter'!H23</f>
        <v>0</v>
      </c>
      <c r="N19" s="620">
        <f>'Water-Meter'!Q23</f>
        <v>2</v>
      </c>
      <c r="O19" s="619" t="e">
        <f>K19*E19+H19*I19+#REF!*#REF!+J19*L19</f>
        <v>#REF!</v>
      </c>
      <c r="P19" s="626">
        <f>'Water-Meter'!E23</f>
        <v>57</v>
      </c>
      <c r="Q19" s="324">
        <f>IF('Water-Meter'!U23&lt;0,"0",'Water-Meter'!U23)</f>
        <v>48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25</v>
      </c>
      <c r="V19" s="324">
        <f>IF('Water-Meter'!AJ23&lt;0,"0",'Water-Meter'!AJ23)</f>
        <v>0</v>
      </c>
      <c r="W19" s="31">
        <f>'Water-Meter'!AN23</f>
        <v>73</v>
      </c>
      <c r="X19" s="637">
        <f>Total!K19</f>
        <v>5</v>
      </c>
    </row>
    <row r="20" spans="1:24">
      <c r="A20" s="621" t="s">
        <v>284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97.01</v>
      </c>
      <c r="F20" s="619">
        <f>'UTILITY REPORT 1'!E21</f>
        <v>1101.77</v>
      </c>
      <c r="G20" s="620">
        <f>'UTILITY REPORT 1'!F21</f>
        <v>2841</v>
      </c>
      <c r="H20" s="619">
        <f>IF('Kit report'!F22&lt;0,"0",'Kit report'!F22)</f>
        <v>227.99999999995634</v>
      </c>
      <c r="I20" s="619">
        <f>IF('Kit report'!X22&lt;0,"0",'Kit report'!X22)</f>
        <v>279.99999999992724</v>
      </c>
      <c r="J20" s="619">
        <f>IF('Utility summery'!H24&lt;0,"0",'Utility summery'!H24)</f>
        <v>50</v>
      </c>
      <c r="K20" s="620">
        <f>IF('UTILITY REPORT 1'!H21&lt;0,"0",'UTILITY REPORT 1'!H21)</f>
        <v>53</v>
      </c>
      <c r="L20" s="619">
        <f>'Water-Meter'!K24</f>
        <v>1</v>
      </c>
      <c r="M20" s="620">
        <f>'Water-Meter'!H24</f>
        <v>0</v>
      </c>
      <c r="N20" s="620">
        <f>'Water-Meter'!Q24</f>
        <v>3</v>
      </c>
      <c r="O20" s="619" t="e">
        <f>K20*E20+H20*I20+#REF!*#REF!+J20*L20</f>
        <v>#REF!</v>
      </c>
      <c r="P20" s="626">
        <f>'Water-Meter'!E24</f>
        <v>72</v>
      </c>
      <c r="Q20" s="324">
        <f>IF('Water-Meter'!U24&lt;0,"0",'Water-Meter'!U24)</f>
        <v>48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24</v>
      </c>
      <c r="V20" s="324">
        <f>IF('Water-Meter'!AJ24&lt;0,"0",'Water-Meter'!AJ24)</f>
        <v>26</v>
      </c>
      <c r="W20" s="31">
        <f>'Water-Meter'!AN24</f>
        <v>98</v>
      </c>
      <c r="X20" s="637">
        <f>Total!K20</f>
        <v>1</v>
      </c>
    </row>
    <row r="21" spans="1:24">
      <c r="A21" s="621" t="s">
        <v>284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1196.43</v>
      </c>
      <c r="G21" s="620">
        <f>'UTILITY REPORT 1'!F22</f>
        <v>2962</v>
      </c>
      <c r="H21" s="619">
        <f>IF('Kit report'!F23&lt;0,"0",'Kit report'!F23)</f>
        <v>252.00000000004366</v>
      </c>
      <c r="I21" s="619">
        <f>IF('Kit report'!X23&lt;0,"0",'Kit report'!X23)</f>
        <v>320.00000000007276</v>
      </c>
      <c r="J21" s="619">
        <f>IF('Utility summery'!H25&lt;0,"0",'Utility summery'!H25)</f>
        <v>53</v>
      </c>
      <c r="K21" s="620">
        <f>IF('UTILITY REPORT 1'!H22&lt;0,"0",'UTILITY REPORT 1'!H22)</f>
        <v>177</v>
      </c>
      <c r="L21" s="619">
        <f>'Water-Meter'!K25</f>
        <v>2</v>
      </c>
      <c r="M21" s="620">
        <f>'Water-Meter'!H25</f>
        <v>0</v>
      </c>
      <c r="N21" s="620">
        <f>'Water-Meter'!Q25</f>
        <v>3</v>
      </c>
      <c r="O21" s="619" t="e">
        <f>K21*E21+H21*I21+#REF!*#REF!+J21*L21</f>
        <v>#REF!</v>
      </c>
      <c r="P21" s="626">
        <f>'Water-Meter'!E25</f>
        <v>65</v>
      </c>
      <c r="Q21" s="324">
        <f>IF('Water-Meter'!U25&lt;0,"0",'Water-Meter'!U25)</f>
        <v>49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25</v>
      </c>
      <c r="V21" s="324">
        <f>IF('Water-Meter'!AJ25&lt;0,"0",'Water-Meter'!AJ25)</f>
        <v>49</v>
      </c>
      <c r="W21" s="31">
        <f>'Water-Meter'!AN25</f>
        <v>123</v>
      </c>
      <c r="X21" s="637">
        <f>Total!K21</f>
        <v>0</v>
      </c>
    </row>
    <row r="22" spans="1:24">
      <c r="A22" s="621" t="s">
        <v>284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147.13999999999999</v>
      </c>
      <c r="F22" s="619">
        <f>'UTILITY REPORT 1'!E23</f>
        <v>1103.08</v>
      </c>
      <c r="G22" s="620">
        <f>'UTILITY REPORT 1'!F23</f>
        <v>2667</v>
      </c>
      <c r="H22" s="619">
        <f>IF('Kit report'!F24&lt;0,"0",'Kit report'!F24)</f>
        <v>240</v>
      </c>
      <c r="I22" s="619">
        <f>IF('Kit report'!X24&lt;0,"0",'Kit report'!X24)</f>
        <v>239.99999999996362</v>
      </c>
      <c r="J22" s="619">
        <f>IF('Utility summery'!H26&lt;0,"0",'Utility summery'!H26)</f>
        <v>51</v>
      </c>
      <c r="K22" s="620">
        <f>IF('UTILITY REPORT 1'!H23&lt;0,"0",'UTILITY REPORT 1'!H23)</f>
        <v>111</v>
      </c>
      <c r="L22" s="619">
        <f>'Water-Meter'!K26</f>
        <v>1</v>
      </c>
      <c r="M22" s="620">
        <f>'Water-Meter'!H26</f>
        <v>0</v>
      </c>
      <c r="N22" s="620">
        <f>'Water-Meter'!Q26</f>
        <v>2</v>
      </c>
      <c r="O22" s="619" t="e">
        <f>K22*E22+H22*I22+#REF!*#REF!+J22*L22</f>
        <v>#REF!</v>
      </c>
      <c r="P22" s="626">
        <f>'Water-Meter'!E26</f>
        <v>67</v>
      </c>
      <c r="Q22" s="324">
        <f>IF('Water-Meter'!U26&lt;0,"0",'Water-Meter'!U26)</f>
        <v>49</v>
      </c>
      <c r="R22" s="324">
        <f>IF('Water-Meter'!X26&lt;0,"0",'Water-Meter'!X26)</f>
        <v>63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24</v>
      </c>
      <c r="V22" s="324">
        <f>IF('Water-Meter'!AJ26&lt;0,"0",'Water-Meter'!AJ26)</f>
        <v>45</v>
      </c>
      <c r="W22" s="31">
        <f>'Water-Meter'!AN26</f>
        <v>181</v>
      </c>
      <c r="X22" s="637">
        <f>Total!K22</f>
        <v>0</v>
      </c>
    </row>
    <row r="23" spans="1:24">
      <c r="A23" s="621" t="s">
        <v>284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926.75</v>
      </c>
      <c r="G23" s="620">
        <f>'UTILITY REPORT 1'!F24</f>
        <v>2379</v>
      </c>
      <c r="H23" s="619">
        <f>IF('Kit report'!F25&lt;0,"0",'Kit report'!F25)</f>
        <v>167.99999999995634</v>
      </c>
      <c r="I23" s="619">
        <f>IF('Kit report'!X25&lt;0,"0",'Kit report'!X25)</f>
        <v>79.99999999992724</v>
      </c>
      <c r="J23" s="619">
        <f>IF('Utility summery'!H27&lt;0,"0",'Utility summery'!H27)</f>
        <v>43</v>
      </c>
      <c r="K23" s="620">
        <f>IF('UTILITY REPORT 1'!H24&lt;0,"0",'UTILITY REPORT 1'!H24)</f>
        <v>105</v>
      </c>
      <c r="L23" s="619">
        <f>'Water-Meter'!K27</f>
        <v>1</v>
      </c>
      <c r="M23" s="620">
        <f>'Water-Meter'!H27</f>
        <v>0</v>
      </c>
      <c r="N23" s="620">
        <f>'Water-Meter'!Q27</f>
        <v>1</v>
      </c>
      <c r="O23" s="619" t="e">
        <f>K23*E23+H23*I23+#REF!*#REF!+J23*L23</f>
        <v>#REF!</v>
      </c>
      <c r="P23" s="626">
        <f>'Water-Meter'!E27</f>
        <v>73</v>
      </c>
      <c r="Q23" s="324">
        <f>IF('Water-Meter'!U27&lt;0,"0",'Water-Meter'!U27)</f>
        <v>43</v>
      </c>
      <c r="R23" s="324">
        <f>IF('Water-Meter'!X27&lt;0,"0",'Water-Meter'!X27)</f>
        <v>61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23</v>
      </c>
      <c r="V23" s="324">
        <f>IF('Water-Meter'!AJ27&lt;0,"0",'Water-Meter'!AJ27)</f>
        <v>45</v>
      </c>
      <c r="W23" s="31">
        <f>'Water-Meter'!AN27</f>
        <v>172</v>
      </c>
      <c r="X23" s="637">
        <f>Total!K23</f>
        <v>3</v>
      </c>
    </row>
    <row r="24" spans="1:24">
      <c r="A24" s="621" t="s">
        <v>284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1128.43</v>
      </c>
      <c r="G24" s="620">
        <f>'UTILITY REPORT 1'!F25</f>
        <v>2523</v>
      </c>
      <c r="H24" s="619">
        <f>IF('Kit report'!F26&lt;0,"0",'Kit report'!F26)</f>
        <v>216.00000000013097</v>
      </c>
      <c r="I24" s="619">
        <f>IF('Kit report'!X26&lt;0,"0",'Kit report'!X26)</f>
        <v>160.00000000003638</v>
      </c>
      <c r="J24" s="619">
        <f>IF('Utility summery'!H28&lt;0,"0",'Utility summery'!H28)</f>
        <v>40</v>
      </c>
      <c r="K24" s="620">
        <f>IF('UTILITY REPORT 1'!H25&lt;0,"0",'UTILITY REPORT 1'!H25)</f>
        <v>37</v>
      </c>
      <c r="L24" s="619">
        <f>'Water-Meter'!K28</f>
        <v>2</v>
      </c>
      <c r="M24" s="620">
        <f>'Water-Meter'!H28</f>
        <v>0</v>
      </c>
      <c r="N24" s="620">
        <f>'Water-Meter'!Q28</f>
        <v>1</v>
      </c>
      <c r="O24" s="619" t="e">
        <f>K24*E24+H24*I24+#REF!*#REF!+J24*L24</f>
        <v>#REF!</v>
      </c>
      <c r="P24" s="626">
        <f>'Water-Meter'!E28</f>
        <v>67</v>
      </c>
      <c r="Q24" s="324">
        <f>IF('Water-Meter'!U28&lt;0,"0",'Water-Meter'!U28)</f>
        <v>50</v>
      </c>
      <c r="R24" s="324">
        <f>IF('Water-Meter'!X28&lt;0,"0",'Water-Meter'!X28)</f>
        <v>61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23</v>
      </c>
      <c r="V24" s="324">
        <f>IF('Water-Meter'!AJ28&lt;0,"0",'Water-Meter'!AJ28)</f>
        <v>45</v>
      </c>
      <c r="W24" s="31">
        <f>'Water-Meter'!AN28</f>
        <v>179</v>
      </c>
      <c r="X24" s="637">
        <f>Total!K24</f>
        <v>3</v>
      </c>
    </row>
    <row r="25" spans="1:24">
      <c r="A25" s="621" t="s">
        <v>284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249.02</v>
      </c>
      <c r="F25" s="619">
        <f>'UTILITY REPORT 1'!E26</f>
        <v>966.5200000000001</v>
      </c>
      <c r="G25" s="620">
        <f>'UTILITY REPORT 1'!F26</f>
        <v>2586</v>
      </c>
      <c r="H25" s="619">
        <f>IF('Kit report'!F27&lt;0,"0",'Kit report'!F27)</f>
        <v>192.00000000004366</v>
      </c>
      <c r="I25" s="619">
        <f>IF('Kit report'!X27&lt;0,"0",'Kit report'!X27)</f>
        <v>160.00000000003638</v>
      </c>
      <c r="J25" s="619">
        <f>IF('Utility summery'!H29&lt;0,"0",'Utility summery'!H29)</f>
        <v>40</v>
      </c>
      <c r="K25" s="620">
        <f>IF('UTILITY REPORT 1'!H26&lt;0,"0",'UTILITY REPORT 1'!H26)</f>
        <v>53</v>
      </c>
      <c r="L25" s="619">
        <f>'Water-Meter'!K29</f>
        <v>1</v>
      </c>
      <c r="M25" s="620">
        <f>'Water-Meter'!H29</f>
        <v>0</v>
      </c>
      <c r="N25" s="620">
        <f>'Water-Meter'!Q29</f>
        <v>2</v>
      </c>
      <c r="O25" s="619" t="e">
        <f>K25*E25+H25*I25+#REF!*#REF!+J25*L25</f>
        <v>#REF!</v>
      </c>
      <c r="P25" s="626">
        <f>'Water-Meter'!E29</f>
        <v>73</v>
      </c>
      <c r="Q25" s="324">
        <f>IF('Water-Meter'!U29&lt;0,"0",'Water-Meter'!U29)</f>
        <v>55</v>
      </c>
      <c r="R25" s="324">
        <f>IF('Water-Meter'!X29&lt;0,"0",'Water-Meter'!X29)</f>
        <v>65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23</v>
      </c>
      <c r="V25" s="324">
        <f>IF('Water-Meter'!AJ29&lt;0,"0",'Water-Meter'!AJ29)</f>
        <v>22</v>
      </c>
      <c r="W25" s="31">
        <f>'Water-Meter'!AN29</f>
        <v>165</v>
      </c>
      <c r="X25" s="637">
        <f>Total!K25</f>
        <v>2</v>
      </c>
    </row>
    <row r="26" spans="1:24">
      <c r="A26" s="621" t="s">
        <v>284</v>
      </c>
      <c r="B26" s="618">
        <f>B25+1</f>
        <v>25</v>
      </c>
      <c r="C26" s="624">
        <v>3</v>
      </c>
      <c r="D26" s="625">
        <v>2020</v>
      </c>
      <c r="E26" s="619">
        <f>'UTILITY REPORT 1'!I27</f>
        <v>14.1</v>
      </c>
      <c r="F26" s="619">
        <f>'UTILITY REPORT 1'!E27</f>
        <v>1052.98</v>
      </c>
      <c r="G26" s="620">
        <f>'UTILITY REPORT 1'!F27</f>
        <v>2334</v>
      </c>
      <c r="H26" s="619">
        <f>IF('Kit report'!F28&lt;0,"0",'Kit report'!F28)</f>
        <v>191.99999999982538</v>
      </c>
      <c r="I26" s="619">
        <f>IF('Kit report'!X28&lt;0,"0",'Kit report'!X28)</f>
        <v>79.99999999992724</v>
      </c>
      <c r="J26" s="619">
        <f>IF('Utility summery'!H30&lt;0,"0",'Utility summery'!H30)</f>
        <v>36</v>
      </c>
      <c r="K26" s="620">
        <f>IF('UTILITY REPORT 1'!H27&lt;0,"0",'UTILITY REPORT 1'!H27)</f>
        <v>61</v>
      </c>
      <c r="L26" s="619">
        <f>'Water-Meter'!K30</f>
        <v>1</v>
      </c>
      <c r="M26" s="620">
        <f>'Water-Meter'!H30</f>
        <v>0</v>
      </c>
      <c r="N26" s="620">
        <f>'Water-Meter'!Q30</f>
        <v>2</v>
      </c>
      <c r="O26" s="619" t="e">
        <f>K26*E26+H26*I26+#REF!*#REF!+J26*L26</f>
        <v>#REF!</v>
      </c>
      <c r="P26" s="626">
        <f>'Water-Meter'!E30</f>
        <v>60</v>
      </c>
      <c r="Q26" s="324">
        <f>IF('Water-Meter'!U30&lt;0,"0",'Water-Meter'!U30)</f>
        <v>52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26</v>
      </c>
      <c r="V26" s="324">
        <f>IF('Water-Meter'!AJ30&lt;0,"0",'Water-Meter'!AJ30)</f>
        <v>0</v>
      </c>
      <c r="W26" s="31">
        <f>'Water-Meter'!AN30</f>
        <v>78</v>
      </c>
      <c r="X26" s="637">
        <f>Total!K26</f>
        <v>2</v>
      </c>
    </row>
    <row r="27" spans="1:24">
      <c r="A27" s="621" t="s">
        <v>284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34.57</v>
      </c>
      <c r="F27" s="619">
        <f>'UTILITY REPORT 1'!E28</f>
        <v>1062.08</v>
      </c>
      <c r="G27" s="620">
        <f>'UTILITY REPORT 1'!F28</f>
        <v>2348</v>
      </c>
      <c r="H27" s="619">
        <f>IF('Kit report'!F29&lt;0,"0",'Kit report'!F29)</f>
        <v>168.00000000017462</v>
      </c>
      <c r="I27" s="619">
        <f>IF('Kit report'!X29&lt;0,"0",'Kit report'!X29)</f>
        <v>160.00000000003638</v>
      </c>
      <c r="J27" s="619">
        <f>IF('Utility summery'!H31&lt;0,"0",'Utility summery'!H31)</f>
        <v>38</v>
      </c>
      <c r="K27" s="620">
        <f>IF('UTILITY REPORT 1'!H28&lt;0,"0",'UTILITY REPORT 1'!H28)</f>
        <v>46</v>
      </c>
      <c r="L27" s="619">
        <f>'Water-Meter'!K31</f>
        <v>1</v>
      </c>
      <c r="M27" s="620">
        <f>'Water-Meter'!H31</f>
        <v>0</v>
      </c>
      <c r="N27" s="620">
        <f>'Water-Meter'!Q31</f>
        <v>2</v>
      </c>
      <c r="O27" s="619" t="e">
        <f>K27*E27+H27*I27+#REF!*#REF!+J27*L27</f>
        <v>#REF!</v>
      </c>
      <c r="P27" s="626">
        <f>'Water-Meter'!E31</f>
        <v>50</v>
      </c>
      <c r="Q27" s="324">
        <f>IF('Water-Meter'!U31&lt;0,"0",'Water-Meter'!U31)</f>
        <v>61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25</v>
      </c>
      <c r="V27" s="324">
        <f>IF('Water-Meter'!AJ31&lt;0,"0",'Water-Meter'!AJ31)</f>
        <v>0</v>
      </c>
      <c r="W27" s="31">
        <f>'Water-Meter'!AN31</f>
        <v>86</v>
      </c>
      <c r="X27" s="637">
        <f>Total!K27</f>
        <v>1</v>
      </c>
    </row>
    <row r="28" spans="1:24">
      <c r="A28" s="621" t="s">
        <v>284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144.12</v>
      </c>
      <c r="F28" s="619">
        <f>'UTILITY REPORT 1'!E29</f>
        <v>958.21</v>
      </c>
      <c r="G28" s="620">
        <f>'UTILITY REPORT 1'!F29</f>
        <v>2205</v>
      </c>
      <c r="H28" s="619">
        <f>IF('Kit report'!F30&lt;0,"0",'Kit report'!F30)</f>
        <v>180</v>
      </c>
      <c r="I28" s="619">
        <f>IF('Kit report'!X30&lt;0,"0",'Kit report'!X30)</f>
        <v>200</v>
      </c>
      <c r="J28" s="619">
        <f>IF('Utility summery'!H32&lt;0,"0",'Utility summery'!H32)</f>
        <v>35</v>
      </c>
      <c r="K28" s="620">
        <f>IF('UTILITY REPORT 1'!H29&lt;0,"0",'UTILITY REPORT 1'!H29)</f>
        <v>52</v>
      </c>
      <c r="L28" s="619">
        <f>'Water-Meter'!K32</f>
        <v>1</v>
      </c>
      <c r="M28" s="620">
        <f>'Water-Meter'!H32</f>
        <v>0</v>
      </c>
      <c r="N28" s="620">
        <f>'Water-Meter'!Q32</f>
        <v>3</v>
      </c>
      <c r="O28" s="619" t="e">
        <f>K28*E28+H28*I28+#REF!*#REF!+J28*L28</f>
        <v>#REF!</v>
      </c>
      <c r="P28" s="626">
        <f>'Water-Meter'!E32</f>
        <v>96</v>
      </c>
      <c r="Q28" s="324">
        <f>IF('Water-Meter'!U32&lt;0,"0",'Water-Meter'!U32)</f>
        <v>65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24</v>
      </c>
      <c r="V28" s="324">
        <f>IF('Water-Meter'!AJ32&lt;0,"0",'Water-Meter'!AJ32)</f>
        <v>0</v>
      </c>
      <c r="W28" s="31">
        <f>'Water-Meter'!AN32</f>
        <v>89</v>
      </c>
      <c r="X28" s="637">
        <f>Total!K28</f>
        <v>1</v>
      </c>
    </row>
    <row r="29" spans="1:24">
      <c r="A29" s="621" t="s">
        <v>284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78.2</v>
      </c>
      <c r="F29" s="619">
        <f>'UTILITY REPORT 1'!E30</f>
        <v>811.26</v>
      </c>
      <c r="G29" s="620">
        <f>'UTILITY REPORT 1'!F30</f>
        <v>1991</v>
      </c>
      <c r="H29" s="619">
        <f>IF('Kit report'!F31&lt;0,"0",'Kit report'!F31)</f>
        <v>143.99999999986903</v>
      </c>
      <c r="I29" s="619">
        <f>IF('Kit report'!X31&lt;0,"0",'Kit report'!X31)</f>
        <v>160.00000000003638</v>
      </c>
      <c r="J29" s="619">
        <f>IF('Utility summery'!H33&lt;0,"0",'Utility summery'!H33)</f>
        <v>24</v>
      </c>
      <c r="K29" s="620">
        <f>IF('UTILITY REPORT 1'!H30&lt;0,"0",'UTILITY REPORT 1'!H30)</f>
        <v>135</v>
      </c>
      <c r="L29" s="619">
        <f>'Water-Meter'!K33</f>
        <v>1</v>
      </c>
      <c r="M29" s="620">
        <f>'Water-Meter'!H33</f>
        <v>0</v>
      </c>
      <c r="N29" s="620">
        <f>'Water-Meter'!Q33</f>
        <v>1</v>
      </c>
      <c r="O29" s="619" t="e">
        <f>K29*E29+H29*I29+#REF!*#REF!+J29*L29</f>
        <v>#REF!</v>
      </c>
      <c r="P29" s="626">
        <f>'Water-Meter'!E33</f>
        <v>32</v>
      </c>
      <c r="Q29" s="324">
        <f>IF('Water-Meter'!U33&lt;0,"0",'Water-Meter'!U33)</f>
        <v>64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23</v>
      </c>
      <c r="V29" s="324">
        <f>IF('Water-Meter'!AJ33&lt;0,"0",'Water-Meter'!AJ33)</f>
        <v>0</v>
      </c>
      <c r="W29" s="31">
        <f>'Water-Meter'!AN33</f>
        <v>87</v>
      </c>
      <c r="X29" s="637">
        <f>Total!K29</f>
        <v>1</v>
      </c>
    </row>
    <row r="30" spans="1:24">
      <c r="A30" s="621" t="s">
        <v>284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838.53</v>
      </c>
      <c r="G30" s="620">
        <f>'UTILITY REPORT 1'!F31</f>
        <v>1988</v>
      </c>
      <c r="H30" s="619">
        <f>IF('Kit report'!F32&lt;0,"0",'Kit report'!F32)</f>
        <v>167.99999999995634</v>
      </c>
      <c r="I30" s="619">
        <f>IF('Kit report'!X32&lt;0,"0",'Kit report'!X32)</f>
        <v>119.99999999989086</v>
      </c>
      <c r="J30" s="619">
        <f>IF('Utility summery'!H34&lt;0,"0",'Utility summery'!H34)</f>
        <v>25</v>
      </c>
      <c r="K30" s="620">
        <f>IF('UTILITY REPORT 1'!H31&lt;0,"0",'UTILITY REPORT 1'!H31)</f>
        <v>34</v>
      </c>
      <c r="L30" s="619">
        <f>'Water-Meter'!K34</f>
        <v>1</v>
      </c>
      <c r="M30" s="620">
        <f>'Water-Meter'!H34</f>
        <v>0</v>
      </c>
      <c r="N30" s="620">
        <f>'Water-Meter'!Q34</f>
        <v>1</v>
      </c>
      <c r="O30" s="619" t="e">
        <f>K30*E30+H30*I30+#REF!*#REF!+J30*L30</f>
        <v>#REF!</v>
      </c>
      <c r="P30" s="626">
        <f>'Water-Meter'!E34</f>
        <v>38</v>
      </c>
      <c r="Q30" s="324">
        <f>IF('Water-Meter'!U34&lt;0,"0",'Water-Meter'!U34)</f>
        <v>63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24</v>
      </c>
      <c r="V30" s="324" t="str">
        <f>IF('Water-Meter'!AJ34&lt;0,"0",'Water-Meter'!AJ34)</f>
        <v>0</v>
      </c>
      <c r="W30" s="31">
        <f>'Water-Meter'!AN34</f>
        <v>87</v>
      </c>
      <c r="X30" s="637">
        <f>Total!K30</f>
        <v>0</v>
      </c>
    </row>
    <row r="31" spans="1:24">
      <c r="A31" s="621" t="s">
        <v>284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 t="str">
        <f>IF('Kit report'!F33&lt;0,"0",'Kit report'!F33)</f>
        <v>0</v>
      </c>
      <c r="I31" s="619" t="str">
        <f>IF('Kit report'!X33&lt;0,"0",'Kit report'!X33)</f>
        <v>0</v>
      </c>
      <c r="J31" s="619" t="str">
        <f>IF('Utility summery'!H35&lt;0,"0",'Utility summery'!H35)</f>
        <v>0</v>
      </c>
      <c r="K31" s="620" t="str">
        <f>IF('UTILITY REPORT 1'!H32&lt;0,"0",'UTILITY REPORT 1'!H32)</f>
        <v>0</v>
      </c>
      <c r="L31" s="619" t="str">
        <f>'Water-Meter'!K35</f>
        <v>0</v>
      </c>
      <c r="M31" s="620" t="str">
        <f>'Water-Meter'!H35</f>
        <v>0</v>
      </c>
      <c r="N31" s="620" t="str">
        <f>'Water-Meter'!Q35</f>
        <v>0</v>
      </c>
      <c r="O31" s="619" t="e">
        <f>K31*E31+H31*I31+#REF!*#REF!+J31*L31</f>
        <v>#REF!</v>
      </c>
      <c r="P31" s="626" t="str">
        <f>'Water-Meter'!E35</f>
        <v>0</v>
      </c>
      <c r="Q31" s="324" t="str">
        <f>IF('Water-Meter'!U35&lt;0,"0",'Water-Meter'!U35)</f>
        <v>0</v>
      </c>
      <c r="R31" s="324" t="str">
        <f>IF('Water-Meter'!X35&lt;0,"0",'Water-Meter'!X35)</f>
        <v>0</v>
      </c>
      <c r="S31" s="324" t="str">
        <f>IF('Water-Meter'!AA35&lt;0,"0",'Water-Meter'!AA35)</f>
        <v>0</v>
      </c>
      <c r="T31" s="324" t="str">
        <f>IF('Water-Meter'!AD35&lt;0,"0",'Water-Meter'!AD35)</f>
        <v>0</v>
      </c>
      <c r="U31" s="324" t="str">
        <f>IF('Water-Meter'!AG35&lt;0,"0",'Water-Meter'!AG35)</f>
        <v>0</v>
      </c>
      <c r="V31" s="324" t="str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284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0" t="s">
        <v>305</v>
      </c>
      <c r="B1" s="760"/>
      <c r="C1" s="760"/>
      <c r="D1" s="760"/>
      <c r="E1" s="760"/>
      <c r="F1" s="760"/>
      <c r="G1" s="760"/>
      <c r="H1" s="760"/>
    </row>
    <row r="2" spans="1:9" ht="48" customHeight="1" thickBot="1">
      <c r="A2" s="323" t="s">
        <v>0</v>
      </c>
      <c r="B2" s="141" t="s">
        <v>1</v>
      </c>
      <c r="C2" s="540" t="s">
        <v>269</v>
      </c>
      <c r="D2" s="374" t="s">
        <v>270</v>
      </c>
      <c r="E2" s="538" t="s">
        <v>268</v>
      </c>
      <c r="F2" s="374" t="s">
        <v>265</v>
      </c>
      <c r="G2" s="374" t="s">
        <v>266</v>
      </c>
      <c r="H2" s="540" t="s">
        <v>267</v>
      </c>
      <c r="I2" s="374" t="s">
        <v>271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77</v>
      </c>
      <c r="D6" s="543">
        <v>1</v>
      </c>
      <c r="E6" s="542">
        <f>Gen!T14</f>
        <v>2421.29</v>
      </c>
      <c r="F6" s="542">
        <f>Gen!U14</f>
        <v>6200</v>
      </c>
      <c r="G6" s="542">
        <f>'Water-Meter'!E9</f>
        <v>163</v>
      </c>
      <c r="H6" s="542">
        <f>'Utility report '!AC9</f>
        <v>153</v>
      </c>
      <c r="I6" s="542">
        <f>Gen!AK14</f>
        <v>149.94</v>
      </c>
    </row>
    <row r="7" spans="1:9" ht="13.5">
      <c r="A7" s="539">
        <v>43866</v>
      </c>
      <c r="B7" s="541">
        <f>Gen!C15</f>
        <v>1</v>
      </c>
      <c r="C7" s="542">
        <f>'Summery Report'!E9</f>
        <v>77</v>
      </c>
      <c r="D7" s="543">
        <v>1</v>
      </c>
      <c r="E7" s="542">
        <f>Gen!T15</f>
        <v>2590.17</v>
      </c>
      <c r="F7" s="542">
        <f>Gen!U15</f>
        <v>6603</v>
      </c>
      <c r="G7" s="542">
        <f>'Water-Meter'!E10</f>
        <v>177</v>
      </c>
      <c r="H7" s="542">
        <f>'Utility report '!AC10</f>
        <v>159</v>
      </c>
      <c r="I7" s="542">
        <f>Gen!AK15</f>
        <v>44.9</v>
      </c>
    </row>
    <row r="8" spans="1:9" ht="13.5">
      <c r="A8" s="539">
        <v>43867</v>
      </c>
      <c r="B8" s="541">
        <f>Gen!C16</f>
        <v>1</v>
      </c>
      <c r="C8" s="542">
        <f>'Summery Report'!E10</f>
        <v>77</v>
      </c>
      <c r="D8" s="543">
        <v>1</v>
      </c>
      <c r="E8" s="542">
        <f>Gen!T16</f>
        <v>2694.18</v>
      </c>
      <c r="F8" s="542">
        <f>Gen!U16</f>
        <v>6820</v>
      </c>
      <c r="G8" s="542">
        <f>'Water-Meter'!E11</f>
        <v>191</v>
      </c>
      <c r="H8" s="542">
        <f>'Utility report '!AC11</f>
        <v>125</v>
      </c>
      <c r="I8" s="542">
        <f>Gen!AK16</f>
        <v>75.03</v>
      </c>
    </row>
    <row r="9" spans="1:9" ht="13.5">
      <c r="A9" s="539">
        <v>43868</v>
      </c>
      <c r="B9" s="541">
        <f>Gen!C17</f>
        <v>1</v>
      </c>
      <c r="C9" s="542">
        <f>'Summery Report'!E11</f>
        <v>77</v>
      </c>
      <c r="D9" s="543">
        <v>1</v>
      </c>
      <c r="E9" s="542">
        <f>Gen!T17</f>
        <v>2914.3</v>
      </c>
      <c r="F9" s="542">
        <f>Gen!U17</f>
        <v>7352</v>
      </c>
      <c r="G9" s="542">
        <f>'Water-Meter'!E12</f>
        <v>168</v>
      </c>
      <c r="H9" s="542">
        <f>'Utility report '!AC12</f>
        <v>155</v>
      </c>
      <c r="I9" s="542">
        <f>Gen!AK17</f>
        <v>87.259999999999991</v>
      </c>
    </row>
    <row r="10" spans="1:9" ht="13.5">
      <c r="A10" s="539">
        <v>43869</v>
      </c>
      <c r="B10" s="541">
        <f>Gen!C18</f>
        <v>0.59740000000000004</v>
      </c>
      <c r="C10" s="542">
        <f>'Summery Report'!E12</f>
        <v>46</v>
      </c>
      <c r="D10" s="543">
        <v>1</v>
      </c>
      <c r="E10" s="542">
        <f>Gen!T18</f>
        <v>2683.84</v>
      </c>
      <c r="F10" s="542">
        <f>Gen!U18</f>
        <v>6190</v>
      </c>
      <c r="G10" s="542">
        <f>'Water-Meter'!E13</f>
        <v>131</v>
      </c>
      <c r="H10" s="542">
        <f>'Utility report '!AC13</f>
        <v>183</v>
      </c>
      <c r="I10" s="542">
        <f>Gen!AK18</f>
        <v>424.4</v>
      </c>
    </row>
    <row r="11" spans="1:9" ht="13.5">
      <c r="A11" s="539">
        <v>43870</v>
      </c>
      <c r="B11" s="541">
        <f>Gen!C19</f>
        <v>0.57140000000000002</v>
      </c>
      <c r="C11" s="542">
        <f>'Summery Report'!E13</f>
        <v>44</v>
      </c>
      <c r="D11" s="543">
        <v>1</v>
      </c>
      <c r="E11" s="542">
        <f>Gen!T19</f>
        <v>2232.9499999999998</v>
      </c>
      <c r="F11" s="542">
        <f>Gen!U19</f>
        <v>4387</v>
      </c>
      <c r="G11" s="542">
        <f>'Water-Meter'!E14</f>
        <v>117</v>
      </c>
      <c r="H11" s="542">
        <f>'Utility report '!AC14</f>
        <v>183</v>
      </c>
      <c r="I11" s="542">
        <f>Gen!AK19</f>
        <v>170.83999999999997</v>
      </c>
    </row>
    <row r="12" spans="1:9" ht="13.5">
      <c r="A12" s="539">
        <v>43871</v>
      </c>
      <c r="B12" s="541">
        <f>Gen!C20</f>
        <v>0.58440000000000003</v>
      </c>
      <c r="C12" s="542">
        <f>'Summery Report'!E14</f>
        <v>0</v>
      </c>
      <c r="D12" s="543">
        <v>1</v>
      </c>
      <c r="E12" s="542">
        <f>Gen!T20</f>
        <v>2128.3999999999996</v>
      </c>
      <c r="F12" s="542">
        <f>Gen!U20</f>
        <v>5593</v>
      </c>
      <c r="G12" s="542">
        <f>'Water-Meter'!E15</f>
        <v>129</v>
      </c>
      <c r="H12" s="542">
        <f>'Utility report '!AC15</f>
        <v>21</v>
      </c>
      <c r="I12" s="542">
        <f>Gen!AK20</f>
        <v>33.880000000000003</v>
      </c>
    </row>
    <row r="13" spans="1:9" ht="13.5">
      <c r="A13" s="539">
        <v>43872</v>
      </c>
      <c r="B13" s="541">
        <f>Gen!C21</f>
        <v>3.9E-2</v>
      </c>
      <c r="C13" s="542">
        <f>'Summery Report'!E15</f>
        <v>0</v>
      </c>
      <c r="D13" s="543">
        <v>1</v>
      </c>
      <c r="E13" s="542">
        <f>Gen!T21</f>
        <v>1707.85</v>
      </c>
      <c r="F13" s="542">
        <f>Gen!U21</f>
        <v>4641</v>
      </c>
      <c r="G13" s="542">
        <f>'Water-Meter'!E16</f>
        <v>99</v>
      </c>
      <c r="H13" s="542">
        <f>'Utility report '!AC16</f>
        <v>87</v>
      </c>
      <c r="I13" s="542">
        <f>Gen!AK21</f>
        <v>204.76999999999998</v>
      </c>
    </row>
    <row r="14" spans="1:9" ht="13.5">
      <c r="A14" s="539">
        <v>43873</v>
      </c>
      <c r="B14" s="541">
        <f>Gen!C22</f>
        <v>3.9E-2</v>
      </c>
      <c r="C14" s="542">
        <f>'Summery Report'!E16</f>
        <v>4</v>
      </c>
      <c r="D14" s="543">
        <v>1</v>
      </c>
      <c r="E14" s="542">
        <f>Gen!T22</f>
        <v>2737.5</v>
      </c>
      <c r="F14" s="542">
        <f>Gen!U22</f>
        <v>4209</v>
      </c>
      <c r="G14" s="542">
        <f>'Water-Meter'!E17</f>
        <v>77</v>
      </c>
      <c r="H14" s="542">
        <f>'Utility report '!AC17</f>
        <v>161</v>
      </c>
      <c r="I14" s="542">
        <f>Gen!AK22</f>
        <v>106.07</v>
      </c>
    </row>
    <row r="15" spans="1:9" ht="13.5">
      <c r="A15" s="539">
        <v>43874</v>
      </c>
      <c r="B15" s="541">
        <f>Gen!C23</f>
        <v>3.9E-2</v>
      </c>
      <c r="C15" s="542">
        <f>'Summery Report'!E17</f>
        <v>4</v>
      </c>
      <c r="D15" s="543">
        <v>1</v>
      </c>
      <c r="E15" s="542">
        <f>Gen!T23</f>
        <v>2538.1400000000003</v>
      </c>
      <c r="F15" s="542">
        <f>Gen!U23</f>
        <v>3918</v>
      </c>
      <c r="G15" s="542">
        <f>'Water-Meter'!E18</f>
        <v>69</v>
      </c>
      <c r="H15" s="542">
        <f>'Utility report '!AC18</f>
        <v>148</v>
      </c>
      <c r="I15" s="542">
        <f>Gen!AK23</f>
        <v>233.75</v>
      </c>
    </row>
    <row r="16" spans="1:9" ht="13.5">
      <c r="A16" s="539">
        <v>43875</v>
      </c>
      <c r="B16" s="541">
        <f>Gen!C24</f>
        <v>2.86E-2</v>
      </c>
      <c r="C16" s="542">
        <f>'Summery Report'!E18</f>
        <v>4</v>
      </c>
      <c r="D16" s="543">
        <v>1</v>
      </c>
      <c r="E16" s="542">
        <f>Gen!T24</f>
        <v>1306.6799999999998</v>
      </c>
      <c r="F16" s="542">
        <f>Gen!U24</f>
        <v>3497</v>
      </c>
      <c r="G16" s="542">
        <f>'Water-Meter'!E19</f>
        <v>72</v>
      </c>
      <c r="H16" s="542">
        <f>'Utility report '!AC19</f>
        <v>99</v>
      </c>
      <c r="I16" s="542">
        <f>Gen!AK24</f>
        <v>116.4</v>
      </c>
    </row>
    <row r="17" spans="1:9" ht="13.5">
      <c r="A17" s="539">
        <v>43876</v>
      </c>
      <c r="B17" s="541">
        <f>Gen!C25</f>
        <v>6.4899999999999999E-2</v>
      </c>
      <c r="C17" s="542">
        <f>'Summery Report'!E19</f>
        <v>4</v>
      </c>
      <c r="D17" s="543">
        <v>1</v>
      </c>
      <c r="E17" s="542">
        <f>Gen!T25</f>
        <v>1420.46</v>
      </c>
      <c r="F17" s="542">
        <f>Gen!U25</f>
        <v>3584</v>
      </c>
      <c r="G17" s="542">
        <f>'Water-Meter'!E20</f>
        <v>92</v>
      </c>
      <c r="H17" s="542">
        <f>'Utility report '!AC20</f>
        <v>47</v>
      </c>
      <c r="I17" s="542">
        <f>Gen!AK25</f>
        <v>287.96000000000004</v>
      </c>
    </row>
    <row r="18" spans="1:9" ht="13.5">
      <c r="A18" s="539">
        <v>43877</v>
      </c>
      <c r="B18" s="541">
        <f>Gen!C26</f>
        <v>5.1900000000000002E-2</v>
      </c>
      <c r="C18" s="542">
        <f>'Summery Report'!E20</f>
        <v>5</v>
      </c>
      <c r="D18" s="543">
        <v>1</v>
      </c>
      <c r="E18" s="542">
        <f>Gen!T26</f>
        <v>1366.8200000000002</v>
      </c>
      <c r="F18" s="542">
        <f>Gen!U26</f>
        <v>3345</v>
      </c>
      <c r="G18" s="542">
        <f>'Water-Meter'!E21</f>
        <v>90</v>
      </c>
      <c r="H18" s="542">
        <f>'Utility report '!AC21</f>
        <v>58</v>
      </c>
      <c r="I18" s="542">
        <f>Gen!AK26</f>
        <v>79.289999999999992</v>
      </c>
    </row>
    <row r="19" spans="1:9" ht="13.5">
      <c r="A19" s="539">
        <v>43878</v>
      </c>
      <c r="B19" s="541">
        <f>Gen!C27</f>
        <v>2.5999999999999999E-2</v>
      </c>
      <c r="C19" s="542">
        <f>'Summery Report'!E21</f>
        <v>6</v>
      </c>
      <c r="D19" s="543">
        <v>1</v>
      </c>
      <c r="E19" s="542">
        <f>Gen!T27</f>
        <v>1215.42</v>
      </c>
      <c r="F19" s="542">
        <f>Gen!U27</f>
        <v>3067</v>
      </c>
      <c r="G19" s="542">
        <f>'Water-Meter'!E22</f>
        <v>72</v>
      </c>
      <c r="H19" s="542">
        <f>'Utility report '!AC22</f>
        <v>50</v>
      </c>
      <c r="I19" s="542">
        <f>Gen!AK27</f>
        <v>50.42</v>
      </c>
    </row>
    <row r="20" spans="1:9" ht="13.5">
      <c r="A20" s="539">
        <v>43879</v>
      </c>
      <c r="B20" s="541">
        <f>Gen!C28</f>
        <v>5.1900000000000002E-2</v>
      </c>
      <c r="C20" s="542">
        <f>'Summery Report'!E22</f>
        <v>5</v>
      </c>
      <c r="D20" s="543">
        <v>1</v>
      </c>
      <c r="E20" s="542">
        <f>Gen!T28</f>
        <v>1192.8200000000002</v>
      </c>
      <c r="F20" s="542">
        <f>Gen!U28</f>
        <v>2970</v>
      </c>
      <c r="G20" s="542">
        <f>'Water-Meter'!E23</f>
        <v>57</v>
      </c>
      <c r="H20" s="542">
        <f>'Utility report '!AC23</f>
        <v>52</v>
      </c>
      <c r="I20" s="542">
        <f>Gen!AK28</f>
        <v>156</v>
      </c>
    </row>
    <row r="21" spans="1:9" ht="13.5">
      <c r="A21" s="539">
        <v>43880</v>
      </c>
      <c r="B21" s="541">
        <f>Gen!C29</f>
        <v>0.02</v>
      </c>
      <c r="C21" s="542">
        <f>'Summery Report'!E23</f>
        <v>1</v>
      </c>
      <c r="D21" s="543">
        <v>1</v>
      </c>
      <c r="E21" s="542">
        <f>Gen!T29</f>
        <v>1101.77</v>
      </c>
      <c r="F21" s="542">
        <f>Gen!U29</f>
        <v>2841</v>
      </c>
      <c r="G21" s="542">
        <f>'Water-Meter'!E24</f>
        <v>72</v>
      </c>
      <c r="H21" s="542">
        <f>'Utility report '!AC24</f>
        <v>53</v>
      </c>
      <c r="I21" s="542">
        <f>Gen!AK29</f>
        <v>97.01</v>
      </c>
    </row>
    <row r="22" spans="1:9" ht="13.5">
      <c r="A22" s="539">
        <v>43881</v>
      </c>
      <c r="B22" s="541">
        <f>Gen!C30</f>
        <v>0.02</v>
      </c>
      <c r="C22" s="542">
        <f>'Summery Report'!E24</f>
        <v>0</v>
      </c>
      <c r="D22" s="543">
        <v>1</v>
      </c>
      <c r="E22" s="542">
        <f>Gen!T30</f>
        <v>1196.43</v>
      </c>
      <c r="F22" s="542">
        <f>Gen!U30</f>
        <v>2962</v>
      </c>
      <c r="G22" s="542">
        <f>'Water-Meter'!E25</f>
        <v>65</v>
      </c>
      <c r="H22" s="542">
        <f>'Utility report '!AC25</f>
        <v>177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1103.08</v>
      </c>
      <c r="F23" s="542">
        <f>Gen!U31</f>
        <v>2667</v>
      </c>
      <c r="G23" s="542">
        <f>'Water-Meter'!E26</f>
        <v>67</v>
      </c>
      <c r="H23" s="542">
        <f>'Utility report '!AC26</f>
        <v>111</v>
      </c>
      <c r="I23" s="542">
        <f>Gen!AK31</f>
        <v>147.13999999999999</v>
      </c>
    </row>
    <row r="24" spans="1:9" ht="13.5">
      <c r="A24" s="539">
        <v>43883</v>
      </c>
      <c r="B24" s="541">
        <f>Gen!C32</f>
        <v>0</v>
      </c>
      <c r="C24" s="542">
        <f>'Summery Report'!E26</f>
        <v>3</v>
      </c>
      <c r="D24" s="543">
        <v>1</v>
      </c>
      <c r="E24" s="542">
        <f>Gen!T32</f>
        <v>926.75</v>
      </c>
      <c r="F24" s="542">
        <f>Gen!U32</f>
        <v>2379</v>
      </c>
      <c r="G24" s="542">
        <f>'Water-Meter'!E27</f>
        <v>73</v>
      </c>
      <c r="H24" s="542">
        <f>'Utility report '!AC27</f>
        <v>105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3</v>
      </c>
      <c r="D25" s="543">
        <v>1</v>
      </c>
      <c r="E25" s="542">
        <f>Gen!T33</f>
        <v>1128.43</v>
      </c>
      <c r="F25" s="542">
        <f>Gen!U33</f>
        <v>2523</v>
      </c>
      <c r="G25" s="542">
        <f>'Water-Meter'!E28</f>
        <v>67</v>
      </c>
      <c r="H25" s="542">
        <f>'Utility report '!AC28</f>
        <v>37</v>
      </c>
      <c r="I25" s="542">
        <f>Gen!AK33</f>
        <v>0</v>
      </c>
    </row>
    <row r="26" spans="1:9" ht="13.5">
      <c r="A26" s="539">
        <v>43885</v>
      </c>
      <c r="B26" s="541">
        <f>Gen!C34</f>
        <v>0.02</v>
      </c>
      <c r="C26" s="542">
        <f>'Summery Report'!E28</f>
        <v>2</v>
      </c>
      <c r="D26" s="543">
        <v>1</v>
      </c>
      <c r="E26" s="542">
        <f>Gen!T34</f>
        <v>966.5200000000001</v>
      </c>
      <c r="F26" s="542">
        <f>Gen!U34</f>
        <v>2586</v>
      </c>
      <c r="G26" s="542">
        <f>'Water-Meter'!E29</f>
        <v>73</v>
      </c>
      <c r="H26" s="542">
        <f>'Utility report '!AC29</f>
        <v>53</v>
      </c>
      <c r="I26" s="542">
        <f>Gen!AK34</f>
        <v>249.02</v>
      </c>
    </row>
    <row r="27" spans="1:9" ht="13.5">
      <c r="A27" s="539">
        <v>43886</v>
      </c>
      <c r="B27" s="541">
        <f>Gen!C35</f>
        <v>0.02</v>
      </c>
      <c r="C27" s="542">
        <f>'Summery Report'!E29</f>
        <v>2</v>
      </c>
      <c r="D27" s="543">
        <v>1</v>
      </c>
      <c r="E27" s="542">
        <f>Gen!T35</f>
        <v>1052.98</v>
      </c>
      <c r="F27" s="542">
        <f>Gen!U35</f>
        <v>2334</v>
      </c>
      <c r="G27" s="542">
        <f>'Water-Meter'!E30</f>
        <v>60</v>
      </c>
      <c r="H27" s="542">
        <f>'Utility report '!AC30</f>
        <v>61</v>
      </c>
      <c r="I27" s="542">
        <f>Gen!AK35</f>
        <v>14.1</v>
      </c>
    </row>
    <row r="28" spans="1:9" ht="13.5">
      <c r="A28" s="539">
        <v>43887</v>
      </c>
      <c r="B28" s="541">
        <f>Gen!C36</f>
        <v>0.02</v>
      </c>
      <c r="C28" s="542">
        <f>'Summery Report'!E30</f>
        <v>1</v>
      </c>
      <c r="D28" s="543">
        <v>1</v>
      </c>
      <c r="E28" s="542">
        <f>Gen!T36</f>
        <v>1062.08</v>
      </c>
      <c r="F28" s="542">
        <f>Gen!U36</f>
        <v>2348</v>
      </c>
      <c r="G28" s="542">
        <f>'Water-Meter'!E31</f>
        <v>50</v>
      </c>
      <c r="H28" s="542">
        <f>'Utility report '!AC31</f>
        <v>46</v>
      </c>
      <c r="I28" s="542">
        <f>Gen!AK36</f>
        <v>34.57</v>
      </c>
    </row>
    <row r="29" spans="1:9" ht="13.5">
      <c r="A29" s="539">
        <v>43888</v>
      </c>
      <c r="B29" s="541">
        <f>Gen!C37</f>
        <v>0</v>
      </c>
      <c r="C29" s="542">
        <f>'Summery Report'!E31</f>
        <v>1</v>
      </c>
      <c r="D29" s="543">
        <v>1</v>
      </c>
      <c r="E29" s="542">
        <f>Gen!T37</f>
        <v>958.21</v>
      </c>
      <c r="F29" s="542">
        <f>Gen!U37</f>
        <v>2205</v>
      </c>
      <c r="G29" s="542">
        <f>'Water-Meter'!E32</f>
        <v>96</v>
      </c>
      <c r="H29" s="542">
        <f>'Utility report '!AC32</f>
        <v>52</v>
      </c>
      <c r="I29" s="542">
        <f>Gen!AK37</f>
        <v>144.12</v>
      </c>
    </row>
    <row r="30" spans="1:9" ht="13.5">
      <c r="A30" s="539">
        <v>43889</v>
      </c>
      <c r="B30" s="541">
        <f>Gen!C38</f>
        <v>0</v>
      </c>
      <c r="C30" s="542">
        <f>'Summery Report'!E32</f>
        <v>1</v>
      </c>
      <c r="D30" s="543">
        <v>1</v>
      </c>
      <c r="E30" s="542">
        <f>Gen!T38</f>
        <v>811.26</v>
      </c>
      <c r="F30" s="542">
        <f>Gen!U38</f>
        <v>1991</v>
      </c>
      <c r="G30" s="542">
        <f>'Water-Meter'!E33</f>
        <v>32</v>
      </c>
      <c r="H30" s="542">
        <f>'Utility report '!AC33</f>
        <v>135</v>
      </c>
      <c r="I30" s="542">
        <f>Gen!AK38</f>
        <v>78.2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838.53</v>
      </c>
      <c r="F31" s="542">
        <f>Gen!U39</f>
        <v>1988</v>
      </c>
      <c r="G31" s="542">
        <f>'Water-Meter'!E34</f>
        <v>38</v>
      </c>
      <c r="H31" s="542">
        <f>'Utility report '!AC34</f>
        <v>34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 t="str">
        <f>'Water-Meter'!E35</f>
        <v>0</v>
      </c>
      <c r="H32" s="542">
        <f>'Utility report '!AC35</f>
        <v>-30055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249</v>
      </c>
      <c r="D4" s="761" t="s">
        <v>136</v>
      </c>
      <c r="E4" s="761"/>
      <c r="F4" s="761"/>
      <c r="G4" s="762" t="s">
        <v>20</v>
      </c>
      <c r="H4" s="762"/>
      <c r="I4" s="762"/>
      <c r="J4" s="763" t="s">
        <v>55</v>
      </c>
      <c r="K4" s="763"/>
      <c r="L4" s="763"/>
      <c r="M4" s="763"/>
      <c r="N4" s="764" t="s">
        <v>144</v>
      </c>
      <c r="O4" s="764"/>
      <c r="P4" s="764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57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77</v>
      </c>
      <c r="C9" s="6">
        <f>Gen!U14</f>
        <v>6200</v>
      </c>
      <c r="D9" s="179">
        <f>Gen!T14</f>
        <v>2421.29</v>
      </c>
      <c r="E9" s="179">
        <f>Gen!AK14</f>
        <v>149.94</v>
      </c>
      <c r="F9" s="179">
        <f>Gen!AS14</f>
        <v>2571.23</v>
      </c>
      <c r="G9" s="182">
        <f>'Utility report '!AC9</f>
        <v>153</v>
      </c>
      <c r="H9" s="182">
        <f>'Utility report '!AE9</f>
        <v>81</v>
      </c>
      <c r="I9" s="386">
        <f>'Water-Meter'!E9</f>
        <v>163</v>
      </c>
      <c r="J9" s="184">
        <f>'Lpg (2)'!B13</f>
        <v>55</v>
      </c>
      <c r="K9" s="184">
        <f>'Lpg (2)'!C13</f>
        <v>85</v>
      </c>
      <c r="L9" s="184">
        <f>'Lpg (2)'!D13</f>
        <v>85</v>
      </c>
      <c r="M9" s="607">
        <f>'Lpg (2)'!G13</f>
        <v>105.60000000000001</v>
      </c>
      <c r="N9" s="177">
        <f t="shared" si="2"/>
        <v>3389.8059999999996</v>
      </c>
      <c r="O9" s="177">
        <f t="shared" si="2"/>
        <v>209.916</v>
      </c>
      <c r="P9" s="176" t="e">
        <f>'[1]Lpg (2)'!#REF!</f>
        <v>#REF!</v>
      </c>
      <c r="Q9" s="177" t="e">
        <f>'[1]Summery Report'!#REF!</f>
        <v>#REF!</v>
      </c>
      <c r="R9" s="177">
        <f t="shared" si="0"/>
        <v>44.023454545454541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77</v>
      </c>
      <c r="C10" s="6">
        <f>Gen!U15</f>
        <v>6603</v>
      </c>
      <c r="D10" s="179">
        <f>Gen!T15</f>
        <v>2590.17</v>
      </c>
      <c r="E10" s="179">
        <f>Gen!AK15</f>
        <v>44.9</v>
      </c>
      <c r="F10" s="179">
        <f>Gen!AS15</f>
        <v>2635.07</v>
      </c>
      <c r="G10" s="182">
        <f>'Utility report '!AC10</f>
        <v>159</v>
      </c>
      <c r="H10" s="182">
        <f>'Utility report '!AE10</f>
        <v>136</v>
      </c>
      <c r="I10" s="386">
        <f>'Water-Meter'!E10</f>
        <v>177</v>
      </c>
      <c r="J10" s="184">
        <f>'Lpg (2)'!B14</f>
        <v>52</v>
      </c>
      <c r="K10" s="184">
        <f>'Lpg (2)'!C14</f>
        <v>85</v>
      </c>
      <c r="L10" s="184">
        <f>'Lpg (2)'!D14</f>
        <v>85</v>
      </c>
      <c r="M10" s="607">
        <f>'Lpg (2)'!G14</f>
        <v>103.83999999996159</v>
      </c>
      <c r="N10" s="177">
        <f t="shared" si="2"/>
        <v>3626.2379999999998</v>
      </c>
      <c r="O10" s="177">
        <f t="shared" si="2"/>
        <v>62.859999999999992</v>
      </c>
      <c r="P10" s="176" t="e">
        <f>'[1]Lpg (2)'!#REF!</f>
        <v>#REF!</v>
      </c>
      <c r="Q10" s="177" t="e">
        <f>'[1]Summery Report'!#REF!</f>
        <v>#REF!</v>
      </c>
      <c r="R10" s="177">
        <f t="shared" si="0"/>
        <v>47.094000000000001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77</v>
      </c>
      <c r="C11" s="6">
        <f>Gen!U16</f>
        <v>6820</v>
      </c>
      <c r="D11" s="179">
        <f>Gen!T16</f>
        <v>2694.18</v>
      </c>
      <c r="E11" s="179">
        <f>Gen!AK16</f>
        <v>75.03</v>
      </c>
      <c r="F11" s="179">
        <f>Gen!AS16</f>
        <v>2769.21</v>
      </c>
      <c r="G11" s="182">
        <f>'Utility report '!AC11</f>
        <v>125</v>
      </c>
      <c r="H11" s="182">
        <f>'Utility report '!AE11</f>
        <v>140</v>
      </c>
      <c r="I11" s="386">
        <f>'Water-Meter'!E11</f>
        <v>191</v>
      </c>
      <c r="J11" s="184">
        <f>'Lpg (2)'!B15</f>
        <v>49</v>
      </c>
      <c r="K11" s="184">
        <f>'Lpg (2)'!C15</f>
        <v>85</v>
      </c>
      <c r="L11" s="184">
        <f>'Lpg (2)'!D15</f>
        <v>85</v>
      </c>
      <c r="M11" s="607">
        <f>'Lpg (2)'!G15</f>
        <v>87.340000000025611</v>
      </c>
      <c r="N11" s="177">
        <f t="shared" si="2"/>
        <v>3771.8519999999994</v>
      </c>
      <c r="O11" s="177">
        <f t="shared" si="2"/>
        <v>105.042</v>
      </c>
      <c r="P11" s="176" t="e">
        <f>'[1]Lpg (2)'!#REF!</f>
        <v>#REF!</v>
      </c>
      <c r="Q11" s="177" t="e">
        <f>'[1]Summery Report'!#REF!</f>
        <v>#REF!</v>
      </c>
      <c r="R11" s="177">
        <f t="shared" si="0"/>
        <v>48.9850909090909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77</v>
      </c>
      <c r="C12" s="6">
        <f>Gen!U17</f>
        <v>7352</v>
      </c>
      <c r="D12" s="179">
        <f>Gen!T17</f>
        <v>2914.3</v>
      </c>
      <c r="E12" s="179">
        <f>Gen!AK17</f>
        <v>87.259999999999991</v>
      </c>
      <c r="F12" s="179">
        <f>Gen!AS17</f>
        <v>3001.5600000000004</v>
      </c>
      <c r="G12" s="182">
        <f>'Utility report '!AC12</f>
        <v>155</v>
      </c>
      <c r="H12" s="182">
        <f>'Utility report '!AE12</f>
        <v>121</v>
      </c>
      <c r="I12" s="386">
        <f>'Water-Meter'!E12</f>
        <v>168</v>
      </c>
      <c r="J12" s="184">
        <f>'Lpg (2)'!B16</f>
        <v>46</v>
      </c>
      <c r="K12" s="184">
        <f>'Lpg (2)'!C16</f>
        <v>85</v>
      </c>
      <c r="L12" s="184">
        <f>'Lpg (2)'!D16</f>
        <v>85</v>
      </c>
      <c r="M12" s="607">
        <f>'Lpg (2)'!G16</f>
        <v>104.98400000000257</v>
      </c>
      <c r="N12" s="177">
        <f t="shared" si="2"/>
        <v>4080.02</v>
      </c>
      <c r="O12" s="177">
        <f t="shared" si="2"/>
        <v>122.16399999999997</v>
      </c>
      <c r="P12" s="176" t="e">
        <f>'[1]Lpg (2)'!#REF!</f>
        <v>#REF!</v>
      </c>
      <c r="Q12" s="177" t="e">
        <f>'[1]Summery Report'!#REF!</f>
        <v>#REF!</v>
      </c>
      <c r="R12" s="177">
        <f t="shared" si="0"/>
        <v>52.987272727272725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46</v>
      </c>
      <c r="C13" s="6">
        <f>Gen!U18</f>
        <v>6190</v>
      </c>
      <c r="D13" s="179">
        <f>Gen!T18</f>
        <v>2683.84</v>
      </c>
      <c r="E13" s="179">
        <f>Gen!AK18</f>
        <v>424.4</v>
      </c>
      <c r="F13" s="179">
        <f>Gen!AS18</f>
        <v>3108.2400000000002</v>
      </c>
      <c r="G13" s="182">
        <f>'Utility report '!AC13</f>
        <v>183</v>
      </c>
      <c r="H13" s="182">
        <f>'Utility report '!AE13</f>
        <v>43</v>
      </c>
      <c r="I13" s="386">
        <f>'Water-Meter'!E13</f>
        <v>131</v>
      </c>
      <c r="J13" s="184">
        <f>'Lpg (2)'!B17</f>
        <v>43</v>
      </c>
      <c r="K13" s="184">
        <f>'Lpg (2)'!C17</f>
        <v>85</v>
      </c>
      <c r="L13" s="184">
        <f>'Lpg (2)'!D17</f>
        <v>85</v>
      </c>
      <c r="M13" s="607">
        <f>'Lpg (2)'!G17</f>
        <v>123.7720000000205</v>
      </c>
      <c r="N13" s="177">
        <f t="shared" si="2"/>
        <v>3757.3759999999997</v>
      </c>
      <c r="O13" s="177">
        <f t="shared" si="2"/>
        <v>594.16</v>
      </c>
      <c r="P13" s="176" t="e">
        <f>'[1]Lpg (2)'!#REF!</f>
        <v>#REF!</v>
      </c>
      <c r="Q13" s="177" t="e">
        <f>'[1]Summery Report'!#REF!</f>
        <v>#REF!</v>
      </c>
      <c r="R13" s="177">
        <f t="shared" si="0"/>
        <v>81.682086956521729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44</v>
      </c>
      <c r="C14" s="6">
        <f>Gen!U19</f>
        <v>4387</v>
      </c>
      <c r="D14" s="179">
        <f>Gen!T19</f>
        <v>2232.9499999999998</v>
      </c>
      <c r="E14" s="179">
        <f>Gen!AK19</f>
        <v>170.83999999999997</v>
      </c>
      <c r="F14" s="179">
        <f>Gen!AS19</f>
        <v>2403.79</v>
      </c>
      <c r="G14" s="182">
        <f>'Utility report '!AC14</f>
        <v>183</v>
      </c>
      <c r="H14" s="182">
        <f>'Utility report '!AE14</f>
        <v>121</v>
      </c>
      <c r="I14" s="386">
        <f>'Water-Meter'!E14</f>
        <v>117</v>
      </c>
      <c r="J14" s="184">
        <f>'Lpg (2)'!B18</f>
        <v>40</v>
      </c>
      <c r="K14" s="184">
        <f>'Lpg (2)'!C18</f>
        <v>85</v>
      </c>
      <c r="L14" s="184">
        <f>'Lpg (2)'!D18</f>
        <v>85</v>
      </c>
      <c r="M14" s="607">
        <f>'Lpg (2)'!G18</f>
        <v>99.263999999989764</v>
      </c>
      <c r="N14" s="177">
        <f t="shared" si="2"/>
        <v>3126.1299999999997</v>
      </c>
      <c r="O14" s="177">
        <f t="shared" si="2"/>
        <v>239.17599999999996</v>
      </c>
      <c r="P14" s="176" t="e">
        <f>'[1]Lpg (2)'!#REF!</f>
        <v>#REF!</v>
      </c>
      <c r="Q14" s="177" t="e">
        <f>'[1]Summery Report'!#REF!</f>
        <v>#REF!</v>
      </c>
      <c r="R14" s="177">
        <f t="shared" si="0"/>
        <v>71.04840909090909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5593</v>
      </c>
      <c r="D15" s="179">
        <f>Gen!T20</f>
        <v>2128.3999999999996</v>
      </c>
      <c r="E15" s="179">
        <f>Gen!AK20</f>
        <v>33.880000000000003</v>
      </c>
      <c r="F15" s="179">
        <f>Gen!AS20</f>
        <v>2162.2799999999997</v>
      </c>
      <c r="G15" s="182">
        <f>'Utility report '!AC15</f>
        <v>21</v>
      </c>
      <c r="H15" s="182">
        <f>'Utility report '!AE15</f>
        <v>126</v>
      </c>
      <c r="I15" s="386">
        <f>'Water-Meter'!E15</f>
        <v>129</v>
      </c>
      <c r="J15" s="184">
        <f>'Lpg (2)'!B19</f>
        <v>40</v>
      </c>
      <c r="K15" s="184">
        <f>'Lpg (2)'!C19</f>
        <v>85</v>
      </c>
      <c r="L15" s="184">
        <f>'Lpg (2)'!D19</f>
        <v>82</v>
      </c>
      <c r="M15" s="607">
        <f>'Lpg (2)'!G19</f>
        <v>104.54399999997696</v>
      </c>
      <c r="N15" s="177">
        <f t="shared" si="2"/>
        <v>2979.7599999999993</v>
      </c>
      <c r="O15" s="177">
        <f t="shared" si="2"/>
        <v>47.432000000000002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4641</v>
      </c>
      <c r="D16" s="179">
        <f>Gen!T21</f>
        <v>1707.85</v>
      </c>
      <c r="E16" s="179">
        <f>Gen!AK21</f>
        <v>204.76999999999998</v>
      </c>
      <c r="F16" s="179">
        <f>Gen!AS21</f>
        <v>1912.62</v>
      </c>
      <c r="G16" s="182">
        <f>'Utility report '!AC16</f>
        <v>87</v>
      </c>
      <c r="H16" s="182">
        <f>'Utility report '!AE16</f>
        <v>85</v>
      </c>
      <c r="I16" s="386">
        <f>'Water-Meter'!E16</f>
        <v>99</v>
      </c>
      <c r="J16" s="184">
        <f>'Lpg (2)'!B20</f>
        <v>40</v>
      </c>
      <c r="K16" s="184">
        <f>'Lpg (2)'!C20</f>
        <v>85</v>
      </c>
      <c r="L16" s="184">
        <f>'Lpg (2)'!D20</f>
        <v>80</v>
      </c>
      <c r="M16" s="607">
        <f>'Lpg (2)'!G20</f>
        <v>103.26800000000513</v>
      </c>
      <c r="N16" s="177">
        <f t="shared" si="2"/>
        <v>2390.9899999999998</v>
      </c>
      <c r="O16" s="177">
        <f t="shared" si="2"/>
        <v>286.67799999999994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4</v>
      </c>
      <c r="C17" s="6">
        <f>Gen!U22</f>
        <v>4209</v>
      </c>
      <c r="D17" s="179">
        <f>Gen!T22</f>
        <v>2737.5</v>
      </c>
      <c r="E17" s="179">
        <f>Gen!AK22</f>
        <v>106.07</v>
      </c>
      <c r="F17" s="179">
        <f>Gen!AS22</f>
        <v>2843.57</v>
      </c>
      <c r="G17" s="182">
        <f>'Utility report '!AC17</f>
        <v>161</v>
      </c>
      <c r="H17" s="182">
        <f>'Utility report '!AE17</f>
        <v>82</v>
      </c>
      <c r="I17" s="386">
        <f>'Water-Meter'!E17</f>
        <v>77</v>
      </c>
      <c r="J17" s="184">
        <f>'Lpg (2)'!B21</f>
        <v>40</v>
      </c>
      <c r="K17" s="184">
        <f>'Lpg (2)'!C21</f>
        <v>85</v>
      </c>
      <c r="L17" s="184">
        <f>'Lpg (2)'!D21</f>
        <v>78</v>
      </c>
      <c r="M17" s="607">
        <f>'Lpg (2)'!G21</f>
        <v>84.611999999982075</v>
      </c>
      <c r="N17" s="177">
        <f t="shared" si="2"/>
        <v>3832.4999999999995</v>
      </c>
      <c r="O17" s="177">
        <f t="shared" si="2"/>
        <v>148.49799999999999</v>
      </c>
      <c r="P17" s="176" t="e">
        <f>'[1]Lpg (2)'!#REF!</f>
        <v>#REF!</v>
      </c>
      <c r="Q17" s="177" t="e">
        <f>'[1]Summery Report'!#REF!</f>
        <v>#REF!</v>
      </c>
      <c r="R17" s="177">
        <f t="shared" si="0"/>
        <v>958.12499999999989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4</v>
      </c>
      <c r="C18" s="6">
        <f>Gen!U23</f>
        <v>3918</v>
      </c>
      <c r="D18" s="179">
        <f>Gen!T23</f>
        <v>2538.1400000000003</v>
      </c>
      <c r="E18" s="179">
        <f>Gen!AK23</f>
        <v>233.75</v>
      </c>
      <c r="F18" s="179">
        <f>Gen!AS23</f>
        <v>2771.8900000000003</v>
      </c>
      <c r="G18" s="182">
        <f>'Utility report '!AC18</f>
        <v>148</v>
      </c>
      <c r="H18" s="182">
        <f>'Utility report '!AE18</f>
        <v>47</v>
      </c>
      <c r="I18" s="386">
        <f>'Water-Meter'!E18</f>
        <v>69</v>
      </c>
      <c r="J18" s="184">
        <f>'Lpg (2)'!B22</f>
        <v>40</v>
      </c>
      <c r="K18" s="184">
        <f>'Lpg (2)'!C22</f>
        <v>85</v>
      </c>
      <c r="L18" s="184">
        <f>'Lpg (2)'!D22</f>
        <v>75</v>
      </c>
      <c r="M18" s="607">
        <f>'Lpg (2)'!G22</f>
        <v>102.08000000005123</v>
      </c>
      <c r="N18" s="177">
        <f t="shared" si="2"/>
        <v>3553.3960000000002</v>
      </c>
      <c r="O18" s="177">
        <f t="shared" si="2"/>
        <v>327.25</v>
      </c>
      <c r="P18" s="176" t="e">
        <f>'[1]Lpg (2)'!#REF!</f>
        <v>#REF!</v>
      </c>
      <c r="Q18" s="177" t="e">
        <f>'[1]Summery Report'!#REF!</f>
        <v>#REF!</v>
      </c>
      <c r="R18" s="177">
        <f t="shared" si="0"/>
        <v>888.34900000000005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4</v>
      </c>
      <c r="C19" s="6">
        <f>Gen!U24</f>
        <v>3497</v>
      </c>
      <c r="D19" s="179">
        <f>Gen!T24</f>
        <v>1306.6799999999998</v>
      </c>
      <c r="E19" s="179">
        <f>Gen!AK24</f>
        <v>116.4</v>
      </c>
      <c r="F19" s="179">
        <f>Gen!AS24</f>
        <v>1423.08</v>
      </c>
      <c r="G19" s="182">
        <f>'Utility report '!AC19</f>
        <v>99</v>
      </c>
      <c r="H19" s="182">
        <f>'Utility report '!AE19</f>
        <v>62</v>
      </c>
      <c r="I19" s="386">
        <f>'Water-Meter'!E19</f>
        <v>72</v>
      </c>
      <c r="J19" s="184">
        <f>'Lpg (2)'!B23</f>
        <v>37</v>
      </c>
      <c r="K19" s="184">
        <f>'Lpg (2)'!C23</f>
        <v>85</v>
      </c>
      <c r="L19" s="184">
        <f>'Lpg (2)'!D23</f>
        <v>75</v>
      </c>
      <c r="M19" s="607">
        <f>'Lpg (2)'!G23</f>
        <v>89.319999999948791</v>
      </c>
      <c r="N19" s="177">
        <f t="shared" si="2"/>
        <v>1829.3519999999996</v>
      </c>
      <c r="O19" s="177">
        <f t="shared" si="2"/>
        <v>162.96</v>
      </c>
      <c r="P19" s="176" t="e">
        <f>'[1]Lpg (2)'!#REF!</f>
        <v>#REF!</v>
      </c>
      <c r="Q19" s="177" t="e">
        <f>'[1]Summery Report'!#REF!</f>
        <v>#REF!</v>
      </c>
      <c r="R19" s="177">
        <f t="shared" si="0"/>
        <v>457.33799999999991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4</v>
      </c>
      <c r="C20" s="6">
        <f>Gen!U25</f>
        <v>3584</v>
      </c>
      <c r="D20" s="179">
        <f>Gen!T25</f>
        <v>1420.46</v>
      </c>
      <c r="E20" s="179">
        <f>Gen!AK25</f>
        <v>287.96000000000004</v>
      </c>
      <c r="F20" s="179">
        <f>Gen!AS25</f>
        <v>1708.42</v>
      </c>
      <c r="G20" s="182">
        <f>'Utility report '!AC20</f>
        <v>47</v>
      </c>
      <c r="H20" s="182">
        <f>'Utility report '!AE20</f>
        <v>62</v>
      </c>
      <c r="I20" s="386">
        <f>'Water-Meter'!E20</f>
        <v>92</v>
      </c>
      <c r="J20" s="184">
        <f>'Lpg (2)'!B24</f>
        <v>35</v>
      </c>
      <c r="K20" s="184">
        <f>'Lpg (2)'!C24</f>
        <v>85</v>
      </c>
      <c r="L20" s="184">
        <f>'Lpg (2)'!D24</f>
        <v>85</v>
      </c>
      <c r="M20" s="607">
        <f>'Lpg (2)'!G24</f>
        <v>173.62400000002819</v>
      </c>
      <c r="N20" s="177">
        <f t="shared" si="2"/>
        <v>1988.644</v>
      </c>
      <c r="O20" s="177">
        <f t="shared" si="2"/>
        <v>403.14400000000001</v>
      </c>
      <c r="P20" s="176" t="e">
        <f>'[1]Lpg (2)'!#REF!</f>
        <v>#REF!</v>
      </c>
      <c r="Q20" s="177" t="e">
        <f>'[1]Summery Report'!#REF!</f>
        <v>#REF!</v>
      </c>
      <c r="R20" s="177">
        <f t="shared" si="0"/>
        <v>497.161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5</v>
      </c>
      <c r="C21" s="6">
        <f>Gen!U26</f>
        <v>3345</v>
      </c>
      <c r="D21" s="179">
        <f>Gen!T26</f>
        <v>1366.8200000000002</v>
      </c>
      <c r="E21" s="179">
        <f>Gen!AK26</f>
        <v>79.289999999999992</v>
      </c>
      <c r="F21" s="179">
        <f>Gen!AS26</f>
        <v>1446.1100000000001</v>
      </c>
      <c r="G21" s="182">
        <f>'Utility report '!AC21</f>
        <v>58</v>
      </c>
      <c r="H21" s="182">
        <f>'Utility report '!AE21</f>
        <v>66</v>
      </c>
      <c r="I21" s="386">
        <f>'Water-Meter'!E21</f>
        <v>90</v>
      </c>
      <c r="J21" s="184">
        <f>'Lpg (2)'!B25</f>
        <v>32</v>
      </c>
      <c r="K21" s="184">
        <f>'Lpg (2)'!C25</f>
        <v>85</v>
      </c>
      <c r="L21" s="184">
        <f>'Lpg (2)'!D25</f>
        <v>85</v>
      </c>
      <c r="M21" s="607">
        <f>'Lpg (2)'!G25</f>
        <v>84.7</v>
      </c>
      <c r="N21" s="177">
        <f t="shared" si="2"/>
        <v>1913.548</v>
      </c>
      <c r="O21" s="177">
        <f t="shared" si="2"/>
        <v>111.00599999999999</v>
      </c>
      <c r="P21" s="176" t="e">
        <f>'[1]Lpg (2)'!#REF!</f>
        <v>#REF!</v>
      </c>
      <c r="Q21" s="177" t="e">
        <f>'[1]Summery Report'!#REF!</f>
        <v>#REF!</v>
      </c>
      <c r="R21" s="177">
        <f t="shared" si="0"/>
        <v>382.70960000000002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6</v>
      </c>
      <c r="C22" s="6">
        <f>Gen!U27</f>
        <v>3067</v>
      </c>
      <c r="D22" s="179">
        <f>Gen!T27</f>
        <v>1215.42</v>
      </c>
      <c r="E22" s="179">
        <f>Gen!AK27</f>
        <v>50.42</v>
      </c>
      <c r="F22" s="179">
        <f>Gen!AS27</f>
        <v>1265.8400000000001</v>
      </c>
      <c r="G22" s="182">
        <f>'Utility report '!AC22</f>
        <v>50</v>
      </c>
      <c r="H22" s="182">
        <f>'Utility report '!AE22</f>
        <v>48</v>
      </c>
      <c r="I22" s="386">
        <f>'Water-Meter'!E22</f>
        <v>72</v>
      </c>
      <c r="J22" s="184">
        <f>'Lpg (2)'!B26</f>
        <v>31</v>
      </c>
      <c r="K22" s="184">
        <f>'Lpg (2)'!C26</f>
        <v>85</v>
      </c>
      <c r="L22" s="184">
        <f>'Lpg (2)'!D26</f>
        <v>66</v>
      </c>
      <c r="M22" s="607">
        <f>'Lpg (2)'!G26</f>
        <v>80.036000000010247</v>
      </c>
      <c r="N22" s="177">
        <f t="shared" si="2"/>
        <v>1701.588</v>
      </c>
      <c r="O22" s="177">
        <f t="shared" si="2"/>
        <v>70.587999999999994</v>
      </c>
      <c r="P22" s="176" t="e">
        <f>'[1]Lpg (2)'!#REF!</f>
        <v>#REF!</v>
      </c>
      <c r="Q22" s="177" t="e">
        <f>'[1]Summery Report'!#REF!</f>
        <v>#REF!</v>
      </c>
      <c r="R22" s="177">
        <f t="shared" si="0"/>
        <v>283.59800000000001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5</v>
      </c>
      <c r="C23" s="6">
        <f>Gen!U28</f>
        <v>2970</v>
      </c>
      <c r="D23" s="179">
        <f>Gen!T28</f>
        <v>1192.8200000000002</v>
      </c>
      <c r="E23" s="179">
        <f>Gen!AK28</f>
        <v>156</v>
      </c>
      <c r="F23" s="179">
        <f>Gen!AS28</f>
        <v>1348.8200000000002</v>
      </c>
      <c r="G23" s="182">
        <f>'Utility report '!AC23</f>
        <v>52</v>
      </c>
      <c r="H23" s="182">
        <f>'Utility report '!AE23</f>
        <v>48</v>
      </c>
      <c r="I23" s="386">
        <f>'Water-Meter'!E23</f>
        <v>57</v>
      </c>
      <c r="J23" s="184">
        <f>'Lpg (2)'!B27</f>
        <v>30</v>
      </c>
      <c r="K23" s="184">
        <f>'Lpg (2)'!C27</f>
        <v>85</v>
      </c>
      <c r="L23" s="184">
        <f>'Lpg (2)'!D27</f>
        <v>66</v>
      </c>
      <c r="M23" s="607">
        <f>'Lpg (2)'!G27</f>
        <v>79.68400000000257</v>
      </c>
      <c r="N23" s="177">
        <f t="shared" si="2"/>
        <v>1669.9480000000001</v>
      </c>
      <c r="O23" s="177">
        <f t="shared" si="2"/>
        <v>218.39999999999998</v>
      </c>
      <c r="P23" s="176" t="e">
        <f>'[1]Lpg (2)'!#REF!</f>
        <v>#REF!</v>
      </c>
      <c r="Q23" s="177" t="e">
        <f>'[1]Summery Report'!#REF!</f>
        <v>#REF!</v>
      </c>
      <c r="R23" s="177">
        <f t="shared" si="0"/>
        <v>333.9896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1</v>
      </c>
      <c r="C24" s="6">
        <f>Gen!U29</f>
        <v>2841</v>
      </c>
      <c r="D24" s="179">
        <f>Gen!T29</f>
        <v>1101.77</v>
      </c>
      <c r="E24" s="179">
        <f>Gen!AK29</f>
        <v>97.01</v>
      </c>
      <c r="F24" s="179">
        <f>Gen!AS29</f>
        <v>1198.78</v>
      </c>
      <c r="G24" s="182">
        <f>'Utility report '!AC24</f>
        <v>53</v>
      </c>
      <c r="H24" s="182">
        <f>'Utility report '!AE24</f>
        <v>50</v>
      </c>
      <c r="I24" s="386">
        <f>'Water-Meter'!E24</f>
        <v>72</v>
      </c>
      <c r="J24" s="184">
        <f>'Lpg (2)'!B28</f>
        <v>28</v>
      </c>
      <c r="K24" s="184">
        <f>'Lpg (2)'!C28</f>
        <v>85</v>
      </c>
      <c r="L24" s="184">
        <f>'Lpg (2)'!D28</f>
        <v>66</v>
      </c>
      <c r="M24" s="607">
        <f>'Lpg (2)'!G28</f>
        <v>68.595999999984642</v>
      </c>
      <c r="N24" s="177">
        <f t="shared" si="2"/>
        <v>1542.4779999999998</v>
      </c>
      <c r="O24" s="177">
        <f t="shared" si="2"/>
        <v>135.81399999999999</v>
      </c>
      <c r="P24" s="176" t="e">
        <f>'[1]Lpg (2)'!#REF!</f>
        <v>#REF!</v>
      </c>
      <c r="Q24" s="177" t="e">
        <f>'[1]Summery Report'!#REF!</f>
        <v>#REF!</v>
      </c>
      <c r="R24" s="177">
        <f t="shared" si="0"/>
        <v>1542.4779999999998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2962</v>
      </c>
      <c r="D25" s="179">
        <f>Gen!T30</f>
        <v>1196.43</v>
      </c>
      <c r="E25" s="179">
        <f>Gen!AK30</f>
        <v>0</v>
      </c>
      <c r="F25" s="179">
        <f>Gen!AS30</f>
        <v>1196.43</v>
      </c>
      <c r="G25" s="182">
        <f>'Utility report '!AC25</f>
        <v>177</v>
      </c>
      <c r="H25" s="182">
        <f>'Utility report '!AE25</f>
        <v>53</v>
      </c>
      <c r="I25" s="386">
        <f>'Water-Meter'!E25</f>
        <v>65</v>
      </c>
      <c r="J25" s="184">
        <f>'Lpg (2)'!B29</f>
        <v>26</v>
      </c>
      <c r="K25" s="184">
        <f>'Lpg (2)'!C29</f>
        <v>85</v>
      </c>
      <c r="L25" s="184">
        <f>'Lpg (2)'!D29</f>
        <v>66</v>
      </c>
      <c r="M25" s="607">
        <f>'Lpg (2)'!G29</f>
        <v>81.268000000005131</v>
      </c>
      <c r="N25" s="177">
        <f t="shared" si="2"/>
        <v>1675.002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2667</v>
      </c>
      <c r="D26" s="179">
        <f>Gen!T31</f>
        <v>1103.08</v>
      </c>
      <c r="E26" s="179">
        <f>Gen!AK31</f>
        <v>147.13999999999999</v>
      </c>
      <c r="F26" s="179">
        <f>Gen!AS31</f>
        <v>1250.2199999999998</v>
      </c>
      <c r="G26" s="182">
        <f>'Utility report '!AC26</f>
        <v>111</v>
      </c>
      <c r="H26" s="182">
        <f>'Utility report '!AE26</f>
        <v>51</v>
      </c>
      <c r="I26" s="386">
        <f>'Water-Meter'!E26</f>
        <v>67</v>
      </c>
      <c r="J26" s="184">
        <f>'Lpg (2)'!B30</f>
        <v>25</v>
      </c>
      <c r="K26" s="184">
        <f>'Lpg (2)'!C30</f>
        <v>85</v>
      </c>
      <c r="L26" s="184">
        <f>'Lpg (2)'!D30</f>
        <v>66</v>
      </c>
      <c r="M26" s="607">
        <f>'Lpg (2)'!G30</f>
        <v>48.707999999966709</v>
      </c>
      <c r="N26" s="177">
        <f t="shared" si="2"/>
        <v>1544.3119999999999</v>
      </c>
      <c r="O26" s="177">
        <f t="shared" si="2"/>
        <v>205.99599999999998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3</v>
      </c>
      <c r="C27" s="6">
        <f>Gen!U32</f>
        <v>2379</v>
      </c>
      <c r="D27" s="179">
        <f>Gen!T32</f>
        <v>926.75</v>
      </c>
      <c r="E27" s="179">
        <f>Gen!AK32</f>
        <v>0</v>
      </c>
      <c r="F27" s="179">
        <f>Gen!AS32</f>
        <v>926.75</v>
      </c>
      <c r="G27" s="182">
        <f>'Utility report '!AC27</f>
        <v>105</v>
      </c>
      <c r="H27" s="182">
        <f>'Utility report '!AE27</f>
        <v>43</v>
      </c>
      <c r="I27" s="386">
        <f>'Water-Meter'!E27</f>
        <v>73</v>
      </c>
      <c r="J27" s="184">
        <f>'Lpg (2)'!B31</f>
        <v>24</v>
      </c>
      <c r="K27" s="184">
        <f>'Lpg (2)'!C31</f>
        <v>85</v>
      </c>
      <c r="L27" s="184">
        <f>'Lpg (2)'!D31</f>
        <v>66</v>
      </c>
      <c r="M27" s="607">
        <f>'Lpg (2)'!G31</f>
        <v>47.344000000040985</v>
      </c>
      <c r="N27" s="177">
        <f t="shared" si="2"/>
        <v>1297.4499999999998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>
        <f t="shared" si="0"/>
        <v>432.48333333333329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3</v>
      </c>
      <c r="C28" s="6">
        <f>Gen!U33</f>
        <v>2523</v>
      </c>
      <c r="D28" s="179">
        <f>Gen!T33</f>
        <v>1128.43</v>
      </c>
      <c r="E28" s="179">
        <f>Gen!AK33</f>
        <v>0</v>
      </c>
      <c r="F28" s="179">
        <f>Gen!AS33</f>
        <v>1128.43</v>
      </c>
      <c r="G28" s="182">
        <f>'Utility report '!AC28</f>
        <v>37</v>
      </c>
      <c r="H28" s="182">
        <f>'Utility report '!AE28</f>
        <v>40</v>
      </c>
      <c r="I28" s="386">
        <f>'Water-Meter'!E28</f>
        <v>67</v>
      </c>
      <c r="J28" s="184">
        <f>'Lpg (2)'!B32</f>
        <v>23</v>
      </c>
      <c r="K28" s="184">
        <f>'Lpg (2)'!C32</f>
        <v>85</v>
      </c>
      <c r="L28" s="184">
        <f>'Lpg (2)'!D32</f>
        <v>66</v>
      </c>
      <c r="M28" s="607">
        <f>'Lpg (2)'!G32</f>
        <v>62.391999999969272</v>
      </c>
      <c r="N28" s="177">
        <f t="shared" si="2"/>
        <v>1579.8019999999999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>
        <f t="shared" si="0"/>
        <v>526.6006666666666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2</v>
      </c>
      <c r="C29" s="6">
        <f>Gen!U34</f>
        <v>2586</v>
      </c>
      <c r="D29" s="179">
        <f>Gen!T34</f>
        <v>966.5200000000001</v>
      </c>
      <c r="E29" s="179">
        <f>Gen!AK34</f>
        <v>249.02</v>
      </c>
      <c r="F29" s="179">
        <f>Gen!AS34</f>
        <v>1215.5400000000002</v>
      </c>
      <c r="G29" s="182">
        <f>'Utility report '!AC29</f>
        <v>53</v>
      </c>
      <c r="H29" s="182">
        <f>'Utility report '!AE29</f>
        <v>40</v>
      </c>
      <c r="I29" s="386">
        <f>'Water-Meter'!E29</f>
        <v>73</v>
      </c>
      <c r="J29" s="184">
        <f>'Lpg (2)'!B33</f>
        <v>21</v>
      </c>
      <c r="K29" s="184">
        <f>'Lpg (2)'!C33</f>
        <v>85</v>
      </c>
      <c r="L29" s="184">
        <f>'Lpg (2)'!D33</f>
        <v>66</v>
      </c>
      <c r="M29" s="607">
        <f>'Lpg (2)'!G33</f>
        <v>59.663999999989763</v>
      </c>
      <c r="N29" s="177">
        <f t="shared" si="2"/>
        <v>1353.1280000000002</v>
      </c>
      <c r="O29" s="177">
        <f t="shared" si="2"/>
        <v>348.62799999999999</v>
      </c>
      <c r="P29" s="176" t="e">
        <f>'[1]Lpg (2)'!#REF!</f>
        <v>#REF!</v>
      </c>
      <c r="Q29" s="177" t="e">
        <f>'[1]Summery Report'!#REF!</f>
        <v>#REF!</v>
      </c>
      <c r="R29" s="177">
        <f t="shared" si="0"/>
        <v>676.56400000000008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2</v>
      </c>
      <c r="C30" s="6">
        <f>Gen!U35</f>
        <v>2334</v>
      </c>
      <c r="D30" s="179">
        <f>Gen!T35</f>
        <v>1052.98</v>
      </c>
      <c r="E30" s="179">
        <f>Gen!AK35</f>
        <v>14.1</v>
      </c>
      <c r="F30" s="179">
        <f>Gen!AS35</f>
        <v>1067.08</v>
      </c>
      <c r="G30" s="182">
        <f>'Utility report '!AC30</f>
        <v>61</v>
      </c>
      <c r="H30" s="182">
        <f>'Utility report '!AE30</f>
        <v>36</v>
      </c>
      <c r="I30" s="386">
        <f>'Water-Meter'!E30</f>
        <v>60</v>
      </c>
      <c r="J30" s="184">
        <f>'Lpg (2)'!B34</f>
        <v>20</v>
      </c>
      <c r="K30" s="184">
        <f>'Lpg (2)'!C34</f>
        <v>85</v>
      </c>
      <c r="L30" s="184">
        <f>'Lpg (2)'!D34</f>
        <v>66</v>
      </c>
      <c r="M30" s="607">
        <f>'Lpg (2)'!G34</f>
        <v>32.120000000012809</v>
      </c>
      <c r="N30" s="177">
        <f t="shared" si="2"/>
        <v>1474.172</v>
      </c>
      <c r="O30" s="177">
        <f t="shared" si="2"/>
        <v>19.739999999999998</v>
      </c>
      <c r="P30" s="176" t="e">
        <f>'[1]Lpg (2)'!#REF!</f>
        <v>#REF!</v>
      </c>
      <c r="Q30" s="177" t="e">
        <f>'[1]Summery Report'!#REF!</f>
        <v>#REF!</v>
      </c>
      <c r="R30" s="177">
        <f t="shared" si="0"/>
        <v>737.08600000000001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1</v>
      </c>
      <c r="C31" s="6">
        <f>Gen!U36</f>
        <v>2348</v>
      </c>
      <c r="D31" s="179">
        <f>Gen!T36</f>
        <v>1062.08</v>
      </c>
      <c r="E31" s="179">
        <f>Gen!AK36</f>
        <v>34.57</v>
      </c>
      <c r="F31" s="179">
        <f>Gen!AS36</f>
        <v>1096.6499999999999</v>
      </c>
      <c r="G31" s="182">
        <f>'Utility report '!AC31</f>
        <v>46</v>
      </c>
      <c r="H31" s="182">
        <f>'Utility report '!AE31</f>
        <v>38</v>
      </c>
      <c r="I31" s="386">
        <f>'Water-Meter'!E31</f>
        <v>50</v>
      </c>
      <c r="J31" s="184">
        <f>'Lpg (2)'!B35</f>
        <v>19</v>
      </c>
      <c r="K31" s="184">
        <f>'Lpg (2)'!C35</f>
        <v>85</v>
      </c>
      <c r="L31" s="184">
        <f>'Lpg (2)'!D35</f>
        <v>66</v>
      </c>
      <c r="M31" s="607">
        <f>'Lpg (2)'!G35</f>
        <v>73.040000000025614</v>
      </c>
      <c r="N31" s="177">
        <f t="shared" si="2"/>
        <v>1486.9119999999998</v>
      </c>
      <c r="O31" s="177">
        <f t="shared" si="2"/>
        <v>48.397999999999996</v>
      </c>
      <c r="P31" s="176" t="e">
        <f>'[1]Lpg (2)'!#REF!</f>
        <v>#REF!</v>
      </c>
      <c r="Q31" s="177" t="e">
        <f>'[1]Summery Report'!#REF!</f>
        <v>#REF!</v>
      </c>
      <c r="R31" s="177">
        <f t="shared" si="0"/>
        <v>1486.9119999999998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1</v>
      </c>
      <c r="C32" s="6">
        <f>Gen!U37</f>
        <v>2205</v>
      </c>
      <c r="D32" s="179">
        <f>Gen!T37</f>
        <v>958.21</v>
      </c>
      <c r="E32" s="179">
        <f>Gen!AK37</f>
        <v>144.12</v>
      </c>
      <c r="F32" s="179">
        <f>Gen!AS37</f>
        <v>1102.33</v>
      </c>
      <c r="G32" s="182">
        <f>'Utility report '!AC32</f>
        <v>52</v>
      </c>
      <c r="H32" s="182">
        <f>'Utility report '!AE32</f>
        <v>35</v>
      </c>
      <c r="I32" s="386">
        <f>'Water-Meter'!E32</f>
        <v>96</v>
      </c>
      <c r="J32" s="184">
        <f>'Lpg (2)'!B36</f>
        <v>18</v>
      </c>
      <c r="K32" s="184">
        <f>'Lpg (2)'!C36</f>
        <v>85</v>
      </c>
      <c r="L32" s="184">
        <f>'Lpg (2)'!D36</f>
        <v>66</v>
      </c>
      <c r="M32" s="607">
        <f>'Lpg (2)'!G36</f>
        <v>29.436000000010246</v>
      </c>
      <c r="N32" s="177">
        <f t="shared" si="2"/>
        <v>1341.4939999999999</v>
      </c>
      <c r="O32" s="177">
        <f t="shared" si="2"/>
        <v>201.768</v>
      </c>
      <c r="P32" s="176" t="e">
        <f>'[1]Lpg (2)'!#REF!</f>
        <v>#REF!</v>
      </c>
      <c r="Q32" s="177" t="e">
        <f>'[1]Summery Report'!#REF!</f>
        <v>#REF!</v>
      </c>
      <c r="R32" s="177">
        <f t="shared" si="0"/>
        <v>1341.4939999999999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1</v>
      </c>
      <c r="C33" s="6">
        <f>Gen!U38</f>
        <v>1991</v>
      </c>
      <c r="D33" s="179">
        <f>Gen!T38</f>
        <v>811.26</v>
      </c>
      <c r="E33" s="179">
        <f>Gen!AK38</f>
        <v>78.2</v>
      </c>
      <c r="F33" s="179">
        <f>Gen!AS38</f>
        <v>889.46</v>
      </c>
      <c r="G33" s="182">
        <f>'Utility report '!AC33</f>
        <v>135</v>
      </c>
      <c r="H33" s="182">
        <f>'Utility report '!AE33</f>
        <v>24</v>
      </c>
      <c r="I33" s="386">
        <f>'Water-Meter'!E33</f>
        <v>32</v>
      </c>
      <c r="J33" s="184">
        <f>'Lpg (2)'!B37</f>
        <v>16</v>
      </c>
      <c r="K33" s="184">
        <f>'Lpg (2)'!C37</f>
        <v>85</v>
      </c>
      <c r="L33" s="184">
        <f>'Lpg (2)'!D37</f>
        <v>66</v>
      </c>
      <c r="M33" s="607">
        <f>'Lpg (2)'!G37</f>
        <v>25.079999999987198</v>
      </c>
      <c r="N33" s="177">
        <f t="shared" si="2"/>
        <v>1135.7639999999999</v>
      </c>
      <c r="O33" s="177">
        <f t="shared" si="2"/>
        <v>109.48</v>
      </c>
      <c r="P33" s="176" t="e">
        <f>'[1]Lpg (2)'!#REF!</f>
        <v>#REF!</v>
      </c>
      <c r="Q33" s="177" t="e">
        <f>'[1]Summery Report'!#REF!</f>
        <v>#REF!</v>
      </c>
      <c r="R33" s="177">
        <f t="shared" si="0"/>
        <v>1135.7639999999999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1988</v>
      </c>
      <c r="D34" s="179">
        <f>Gen!T39</f>
        <v>838.53</v>
      </c>
      <c r="E34" s="179">
        <f>Gen!AK39</f>
        <v>0</v>
      </c>
      <c r="F34" s="179">
        <f>Gen!AS39</f>
        <v>838.53</v>
      </c>
      <c r="G34" s="182">
        <f>'Utility report '!AC34</f>
        <v>34</v>
      </c>
      <c r="H34" s="182">
        <f>'Utility report '!AE34</f>
        <v>25</v>
      </c>
      <c r="I34" s="386">
        <f>'Water-Meter'!E34</f>
        <v>38</v>
      </c>
      <c r="J34" s="184">
        <f>'Lpg (2)'!B38</f>
        <v>15</v>
      </c>
      <c r="K34" s="184">
        <f>'Lpg (2)'!C38</f>
        <v>85</v>
      </c>
      <c r="L34" s="184">
        <f>'Lpg (2)'!D38</f>
        <v>66</v>
      </c>
      <c r="M34" s="607">
        <f>'Lpg (2)'!G38</f>
        <v>24.947999999992319</v>
      </c>
      <c r="N34" s="177">
        <f t="shared" si="2"/>
        <v>1173.9419999999998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-30055</v>
      </c>
      <c r="H35" s="182">
        <f>'Utility report '!AE35</f>
        <v>-199411</v>
      </c>
      <c r="I35" s="386" t="str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-312114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473</v>
      </c>
      <c r="C39" s="616">
        <f>SUM(C7:C35)</f>
        <v>109379</v>
      </c>
      <c r="D39" s="616">
        <f>SUM(D7:D35)</f>
        <v>46503.619999999995</v>
      </c>
      <c r="E39" s="616">
        <f t="shared" ref="E39:S39" si="3">SUM(E7:E35)</f>
        <v>3321.51</v>
      </c>
      <c r="F39" s="616">
        <f t="shared" si="3"/>
        <v>49825.130000000005</v>
      </c>
      <c r="G39" s="616">
        <f t="shared" si="3"/>
        <v>-27175</v>
      </c>
      <c r="H39" s="616">
        <f t="shared" si="3"/>
        <v>-197524</v>
      </c>
      <c r="I39" s="616">
        <f t="shared" si="3"/>
        <v>2725</v>
      </c>
      <c r="J39" s="616">
        <f t="shared" si="3"/>
        <v>961</v>
      </c>
      <c r="K39" s="616">
        <f t="shared" si="3"/>
        <v>2295</v>
      </c>
      <c r="L39" s="616">
        <f t="shared" si="3"/>
        <v>2013</v>
      </c>
      <c r="M39" s="616">
        <f t="shared" si="3"/>
        <v>-309759.86800000002</v>
      </c>
      <c r="N39" s="616">
        <f t="shared" si="3"/>
        <v>65105.067999999999</v>
      </c>
      <c r="O39" s="616">
        <f t="shared" si="3"/>
        <v>4650.1139999999996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6"/>
    </row>
    <row r="43" spans="1:20">
      <c r="I43" s="74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19" zoomScale="85" zoomScalePageLayoutView="85" workbookViewId="0">
      <selection activeCell="AD35" sqref="AD3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.140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3" t="s">
        <v>316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5"/>
    </row>
    <row r="2" spans="1:37" ht="61.5" customHeight="1" thickBot="1">
      <c r="A2" s="150" t="s">
        <v>99</v>
      </c>
      <c r="B2" s="776" t="s">
        <v>100</v>
      </c>
      <c r="C2" s="777"/>
      <c r="D2" s="778"/>
      <c r="E2" s="151"/>
      <c r="F2" s="151"/>
      <c r="G2" s="151"/>
      <c r="H2" s="148" t="s">
        <v>125</v>
      </c>
      <c r="I2" s="372" t="s">
        <v>101</v>
      </c>
      <c r="J2" s="781" t="s">
        <v>123</v>
      </c>
      <c r="K2" s="558"/>
      <c r="L2" s="783" t="s">
        <v>124</v>
      </c>
      <c r="M2" s="557" t="s">
        <v>102</v>
      </c>
      <c r="N2" s="781" t="s">
        <v>103</v>
      </c>
      <c r="O2" s="765" t="s">
        <v>104</v>
      </c>
      <c r="P2" s="766"/>
      <c r="Q2" s="766"/>
      <c r="R2" s="766"/>
      <c r="S2" s="766"/>
      <c r="T2" s="766"/>
      <c r="U2" s="766"/>
      <c r="V2" s="766"/>
      <c r="W2" s="766"/>
      <c r="X2" s="766"/>
      <c r="Y2" s="766"/>
      <c r="Z2" s="766"/>
      <c r="AA2" s="373" t="s">
        <v>105</v>
      </c>
      <c r="AB2" s="776" t="s">
        <v>165</v>
      </c>
      <c r="AC2" s="778"/>
      <c r="AD2" s="147">
        <v>0</v>
      </c>
      <c r="AE2" s="535" t="s">
        <v>19</v>
      </c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9">
        <f>SUM(D3/B3)</f>
        <v>1.3262195121951219</v>
      </c>
      <c r="G3" s="780"/>
      <c r="H3" s="131">
        <f>Gen!D11</f>
        <v>32302.73</v>
      </c>
      <c r="I3" s="141"/>
      <c r="J3" s="781"/>
      <c r="K3" s="558" t="s">
        <v>166</v>
      </c>
      <c r="L3" s="783"/>
      <c r="M3" s="374" t="s">
        <v>112</v>
      </c>
      <c r="N3" s="781"/>
      <c r="O3" s="765" t="s">
        <v>113</v>
      </c>
      <c r="P3" s="766"/>
      <c r="Q3" s="766"/>
      <c r="R3" s="766"/>
      <c r="S3" s="767" t="s">
        <v>114</v>
      </c>
      <c r="T3" s="768"/>
      <c r="U3" s="768"/>
      <c r="V3" s="769"/>
      <c r="W3" s="770" t="s">
        <v>115</v>
      </c>
      <c r="X3" s="771"/>
      <c r="Y3" s="771"/>
      <c r="Z3" s="772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81"/>
      <c r="K4" s="558"/>
      <c r="L4" s="783"/>
      <c r="M4" s="143"/>
      <c r="N4" s="782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310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46">
        <v>15720</v>
      </c>
      <c r="U5" s="232"/>
      <c r="V5" s="232"/>
      <c r="W5" s="232"/>
      <c r="X5" s="644">
        <v>23794</v>
      </c>
      <c r="Y5" s="232"/>
      <c r="Z5" s="232"/>
      <c r="AA5" s="232"/>
      <c r="AB5" s="645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46">
        <v>15742</v>
      </c>
      <c r="U6" s="574">
        <f>T6-T5</f>
        <v>22</v>
      </c>
      <c r="V6" s="576" t="s">
        <v>247</v>
      </c>
      <c r="W6" s="232"/>
      <c r="X6" s="644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45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46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4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45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46">
        <v>15790</v>
      </c>
      <c r="U8" s="574">
        <f t="shared" si="6"/>
        <v>24</v>
      </c>
      <c r="V8" s="576">
        <f t="shared" si="7"/>
        <v>0</v>
      </c>
      <c r="W8" s="513"/>
      <c r="X8" s="644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45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1341.1764705882354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77</v>
      </c>
      <c r="C9" s="158">
        <f>Gen!C14</f>
        <v>1</v>
      </c>
      <c r="D9" s="570">
        <f>'Summery Report'!E8</f>
        <v>77</v>
      </c>
      <c r="E9" s="571">
        <f t="shared" si="13"/>
        <v>1.3262195121951219</v>
      </c>
      <c r="F9" s="572">
        <f t="shared" si="14"/>
        <v>41.70340315172632</v>
      </c>
      <c r="G9" s="572">
        <f t="shared" si="0"/>
        <v>44.285914238200817</v>
      </c>
      <c r="H9" s="571">
        <f>Gen!D14</f>
        <v>43191.070000000007</v>
      </c>
      <c r="I9" s="573">
        <f>Gen!F14</f>
        <v>0</v>
      </c>
      <c r="J9" s="142">
        <f>Gen!T14</f>
        <v>2421.29</v>
      </c>
      <c r="K9" s="142">
        <f>Gen!AK14</f>
        <v>149.94</v>
      </c>
      <c r="L9" s="142">
        <f t="shared" si="1"/>
        <v>2571.23</v>
      </c>
      <c r="M9" s="606">
        <f>'Water-Meter'!K49</f>
        <v>303.55710583556748</v>
      </c>
      <c r="N9" s="221">
        <f>'Water-Meter'!E9</f>
        <v>163</v>
      </c>
      <c r="O9" s="232"/>
      <c r="P9" s="513">
        <v>19015</v>
      </c>
      <c r="Q9" s="574">
        <f t="shared" si="2"/>
        <v>0</v>
      </c>
      <c r="R9" s="575">
        <f t="shared" si="5"/>
        <v>0</v>
      </c>
      <c r="S9" s="513">
        <v>6.2</v>
      </c>
      <c r="T9" s="646">
        <v>15815</v>
      </c>
      <c r="U9" s="574">
        <f t="shared" si="6"/>
        <v>25</v>
      </c>
      <c r="V9" s="576">
        <f t="shared" si="7"/>
        <v>155</v>
      </c>
      <c r="W9" s="513"/>
      <c r="X9" s="644">
        <v>23843</v>
      </c>
      <c r="Y9" s="574">
        <f t="shared" si="8"/>
        <v>0</v>
      </c>
      <c r="Z9" s="576">
        <f t="shared" si="9"/>
        <v>0</v>
      </c>
      <c r="AA9" s="576">
        <f t="shared" si="10"/>
        <v>0</v>
      </c>
      <c r="AB9" s="645">
        <v>27663</v>
      </c>
      <c r="AC9" s="138">
        <f t="shared" si="11"/>
        <v>153</v>
      </c>
      <c r="AD9" s="513">
        <v>197789</v>
      </c>
      <c r="AE9" s="239">
        <f t="shared" si="15"/>
        <v>81</v>
      </c>
      <c r="AF9" s="350">
        <f>'Lpg (2)'!B13*2000/85</f>
        <v>1294.1176470588234</v>
      </c>
      <c r="AG9" s="351">
        <f>'Lpg (2)'!C13*1000/85</f>
        <v>1000</v>
      </c>
      <c r="AH9" s="352">
        <f>'Lpg (2)'!D13*1000/85</f>
        <v>1000</v>
      </c>
      <c r="AI9" s="579">
        <f t="shared" si="12"/>
        <v>4682352.9411764704</v>
      </c>
      <c r="AJ9" s="578">
        <f t="shared" si="4"/>
        <v>94117.647058824077</v>
      </c>
      <c r="AK9" s="144"/>
    </row>
    <row r="10" spans="1:37" ht="19.5" thickBot="1">
      <c r="A10" s="95">
        <f>Gen!B15</f>
        <v>43895</v>
      </c>
      <c r="B10" s="569">
        <f>'Summery Report'!E9</f>
        <v>77</v>
      </c>
      <c r="C10" s="158">
        <f>Gen!C15</f>
        <v>1</v>
      </c>
      <c r="D10" s="570">
        <f>'Summery Report'!E9</f>
        <v>77</v>
      </c>
      <c r="E10" s="571">
        <f t="shared" si="13"/>
        <v>1.3262195121951219</v>
      </c>
      <c r="F10" s="572">
        <f t="shared" si="14"/>
        <v>44.61212979094077</v>
      </c>
      <c r="G10" s="572">
        <f t="shared" si="0"/>
        <v>45.385470779220782</v>
      </c>
      <c r="H10" s="571">
        <f>Gen!D15</f>
        <v>40619.840000000004</v>
      </c>
      <c r="I10" s="573">
        <f>Gen!F15</f>
        <v>0</v>
      </c>
      <c r="J10" s="142">
        <f>Gen!T15</f>
        <v>2590.17</v>
      </c>
      <c r="K10" s="142">
        <f>Gen!AK15</f>
        <v>44.9</v>
      </c>
      <c r="L10" s="142">
        <f t="shared" si="1"/>
        <v>2635.07</v>
      </c>
      <c r="M10" s="606">
        <f>'Water-Meter'!K50</f>
        <v>302.47753453725716</v>
      </c>
      <c r="N10" s="221">
        <f>'Water-Meter'!E10</f>
        <v>177</v>
      </c>
      <c r="O10" s="232"/>
      <c r="P10" s="513">
        <v>19015</v>
      </c>
      <c r="Q10" s="574">
        <f t="shared" si="2"/>
        <v>0</v>
      </c>
      <c r="R10" s="575">
        <f t="shared" si="5"/>
        <v>0</v>
      </c>
      <c r="S10" s="513">
        <v>5.8</v>
      </c>
      <c r="T10" s="646">
        <v>15839</v>
      </c>
      <c r="U10" s="574">
        <f t="shared" si="6"/>
        <v>24</v>
      </c>
      <c r="V10" s="576">
        <f t="shared" ref="V10:V16" si="16">SUM(U10*S10)</f>
        <v>139.19999999999999</v>
      </c>
      <c r="W10" s="513">
        <v>2.1</v>
      </c>
      <c r="X10" s="644">
        <v>23851</v>
      </c>
      <c r="Y10" s="574">
        <f t="shared" si="8"/>
        <v>8</v>
      </c>
      <c r="Z10" s="576">
        <f t="shared" si="9"/>
        <v>16.8</v>
      </c>
      <c r="AA10" s="576">
        <f t="shared" si="10"/>
        <v>401318.40000000002</v>
      </c>
      <c r="AB10" s="645">
        <v>27822</v>
      </c>
      <c r="AC10" s="138">
        <f t="shared" si="11"/>
        <v>159</v>
      </c>
      <c r="AD10" s="513">
        <v>197925</v>
      </c>
      <c r="AE10" s="239">
        <f t="shared" si="15"/>
        <v>136</v>
      </c>
      <c r="AF10" s="350">
        <f>'Lpg (2)'!B14*2000/85</f>
        <v>1223.5294117647059</v>
      </c>
      <c r="AG10" s="351">
        <f>'Lpg (2)'!C14*1000/85</f>
        <v>1000</v>
      </c>
      <c r="AH10" s="352">
        <f>'Lpg (2)'!D14*1000/85</f>
        <v>1000</v>
      </c>
      <c r="AI10" s="579">
        <f t="shared" si="12"/>
        <v>4588235.2941176463</v>
      </c>
      <c r="AJ10" s="578">
        <f t="shared" si="4"/>
        <v>94117.647058824077</v>
      </c>
      <c r="AK10" s="144"/>
    </row>
    <row r="11" spans="1:37" ht="19.5" thickBot="1">
      <c r="A11" s="95">
        <f>Gen!B16</f>
        <v>43896</v>
      </c>
      <c r="B11" s="569">
        <f>'Summery Report'!E10</f>
        <v>77</v>
      </c>
      <c r="C11" s="158">
        <f>Gen!C16</f>
        <v>1</v>
      </c>
      <c r="D11" s="570">
        <f>'Summery Report'!E10</f>
        <v>77</v>
      </c>
      <c r="E11" s="571">
        <f t="shared" si="13"/>
        <v>1.3262195121951219</v>
      </c>
      <c r="F11" s="572">
        <f t="shared" si="14"/>
        <v>46.403559550205891</v>
      </c>
      <c r="G11" s="572">
        <f t="shared" si="0"/>
        <v>47.695848511244847</v>
      </c>
      <c r="H11" s="571">
        <f>Gen!D16</f>
        <v>37984.770000000004</v>
      </c>
      <c r="I11" s="573">
        <f>Gen!F16</f>
        <v>0</v>
      </c>
      <c r="J11" s="142">
        <f>Gen!T16</f>
        <v>2694.18</v>
      </c>
      <c r="K11" s="142">
        <f>Gen!AK16</f>
        <v>75.03</v>
      </c>
      <c r="L11" s="142">
        <f t="shared" si="1"/>
        <v>2769.21</v>
      </c>
      <c r="M11" s="606">
        <f>'Water-Meter'!K51</f>
        <v>297.33120685703318</v>
      </c>
      <c r="N11" s="221">
        <f>'Water-Meter'!E11</f>
        <v>191</v>
      </c>
      <c r="O11" s="232"/>
      <c r="P11" s="513">
        <v>19015</v>
      </c>
      <c r="Q11" s="574">
        <f t="shared" si="2"/>
        <v>0</v>
      </c>
      <c r="R11" s="575">
        <f t="shared" si="5"/>
        <v>0</v>
      </c>
      <c r="S11" s="513">
        <v>6.5</v>
      </c>
      <c r="T11" s="646">
        <v>15855</v>
      </c>
      <c r="U11" s="574">
        <f t="shared" si="6"/>
        <v>16</v>
      </c>
      <c r="V11" s="576">
        <f t="shared" si="16"/>
        <v>104</v>
      </c>
      <c r="W11" s="513">
        <v>2.1</v>
      </c>
      <c r="X11" s="644">
        <v>23865</v>
      </c>
      <c r="Y11" s="574">
        <f t="shared" si="8"/>
        <v>14</v>
      </c>
      <c r="Z11" s="576">
        <f t="shared" si="9"/>
        <v>29.400000000000002</v>
      </c>
      <c r="AA11" s="576">
        <f t="shared" si="10"/>
        <v>703012.8</v>
      </c>
      <c r="AB11" s="645">
        <v>27947</v>
      </c>
      <c r="AC11" s="138">
        <f t="shared" si="11"/>
        <v>125</v>
      </c>
      <c r="AD11" s="513">
        <v>198065</v>
      </c>
      <c r="AE11" s="239">
        <f t="shared" si="15"/>
        <v>140</v>
      </c>
      <c r="AF11" s="350">
        <f>'Lpg (2)'!B15*2000/85</f>
        <v>1152.9411764705883</v>
      </c>
      <c r="AG11" s="351">
        <f>'Lpg (2)'!C15*1000/85</f>
        <v>1000</v>
      </c>
      <c r="AH11" s="352">
        <f>'Lpg (2)'!D15*1000/85</f>
        <v>1000</v>
      </c>
      <c r="AI11" s="579">
        <f t="shared" si="12"/>
        <v>4447058.8235294111</v>
      </c>
      <c r="AJ11" s="578">
        <f t="shared" si="4"/>
        <v>141176.47058823518</v>
      </c>
      <c r="AK11" s="144"/>
    </row>
    <row r="12" spans="1:37" ht="19.5" thickBot="1">
      <c r="A12" s="95">
        <f>Gen!B17</f>
        <v>43897</v>
      </c>
      <c r="B12" s="569">
        <f>'Summery Report'!E11</f>
        <v>77</v>
      </c>
      <c r="C12" s="158">
        <f>Gen!C17</f>
        <v>1</v>
      </c>
      <c r="D12" s="570">
        <f>'Summery Report'!E11</f>
        <v>77</v>
      </c>
      <c r="E12" s="571">
        <f t="shared" si="13"/>
        <v>1.3262195121951219</v>
      </c>
      <c r="F12" s="572">
        <f t="shared" si="14"/>
        <v>50.194824992081088</v>
      </c>
      <c r="G12" s="572">
        <f t="shared" si="0"/>
        <v>51.697758948368708</v>
      </c>
      <c r="H12" s="571">
        <f>Gen!D17</f>
        <v>50215.560000000005</v>
      </c>
      <c r="I12" s="573">
        <f>Gen!F17</f>
        <v>0</v>
      </c>
      <c r="J12" s="142">
        <f>Gen!T17</f>
        <v>2914.3</v>
      </c>
      <c r="K12" s="142">
        <f>Gen!AK17</f>
        <v>87.259999999999991</v>
      </c>
      <c r="L12" s="142">
        <f t="shared" si="1"/>
        <v>3001.5600000000004</v>
      </c>
      <c r="M12" s="606">
        <f>'Water-Meter'!K52</f>
        <v>297.96989200928761</v>
      </c>
      <c r="N12" s="221">
        <f>'Water-Meter'!E12</f>
        <v>168</v>
      </c>
      <c r="O12" s="232"/>
      <c r="P12" s="513">
        <v>19015</v>
      </c>
      <c r="Q12" s="574">
        <f t="shared" si="2"/>
        <v>0</v>
      </c>
      <c r="R12" s="575">
        <f t="shared" si="5"/>
        <v>0</v>
      </c>
      <c r="S12" s="513">
        <v>6.5</v>
      </c>
      <c r="T12" s="646">
        <v>15873</v>
      </c>
      <c r="U12" s="574">
        <f t="shared" si="6"/>
        <v>18</v>
      </c>
      <c r="V12" s="576">
        <f t="shared" si="16"/>
        <v>117</v>
      </c>
      <c r="W12" s="513">
        <v>2.1</v>
      </c>
      <c r="X12" s="644">
        <v>23888</v>
      </c>
      <c r="Y12" s="574">
        <f t="shared" si="8"/>
        <v>23</v>
      </c>
      <c r="Z12" s="576">
        <f t="shared" si="9"/>
        <v>48.300000000000004</v>
      </c>
      <c r="AA12" s="576">
        <f t="shared" si="10"/>
        <v>1156108.8</v>
      </c>
      <c r="AB12" s="645">
        <v>28102</v>
      </c>
      <c r="AC12" s="138">
        <f t="shared" si="11"/>
        <v>155</v>
      </c>
      <c r="AD12" s="513">
        <v>198186</v>
      </c>
      <c r="AE12" s="239">
        <f t="shared" si="15"/>
        <v>121</v>
      </c>
      <c r="AF12" s="350">
        <f>'Lpg (2)'!B16*2000/85</f>
        <v>1082.3529411764705</v>
      </c>
      <c r="AG12" s="351">
        <f>'Lpg (2)'!C16*1000/85</f>
        <v>1000</v>
      </c>
      <c r="AH12" s="352">
        <f>'Lpg (2)'!D16*1000/85</f>
        <v>1000</v>
      </c>
      <c r="AI12" s="579">
        <f t="shared" si="12"/>
        <v>4305882.3529411759</v>
      </c>
      <c r="AJ12" s="578">
        <f t="shared" si="4"/>
        <v>141176.47058823518</v>
      </c>
      <c r="AK12" s="144"/>
    </row>
    <row r="13" spans="1:37" ht="19.5" thickBot="1">
      <c r="A13" s="95">
        <f>Gen!B18</f>
        <v>43898</v>
      </c>
      <c r="B13" s="569">
        <f>'Summery Report'!E12</f>
        <v>46</v>
      </c>
      <c r="C13" s="158">
        <f>Gen!C18</f>
        <v>0.59740000000000004</v>
      </c>
      <c r="D13" s="570">
        <f>'Summery Report'!E12</f>
        <v>46</v>
      </c>
      <c r="E13" s="571">
        <f t="shared" si="13"/>
        <v>1.3262195121951219</v>
      </c>
      <c r="F13" s="572">
        <f t="shared" si="14"/>
        <v>77.377412513255564</v>
      </c>
      <c r="G13" s="572">
        <f t="shared" si="0"/>
        <v>89.613229056203622</v>
      </c>
      <c r="H13" s="571">
        <f>Gen!D18</f>
        <v>47214.000000000007</v>
      </c>
      <c r="I13" s="573">
        <f>Gen!F18</f>
        <v>15000</v>
      </c>
      <c r="J13" s="142">
        <f>Gen!T18</f>
        <v>2683.84</v>
      </c>
      <c r="K13" s="142">
        <f>Gen!AK18</f>
        <v>424.4</v>
      </c>
      <c r="L13" s="142">
        <f t="shared" si="1"/>
        <v>3108.2400000000002</v>
      </c>
      <c r="M13" s="606">
        <f>'Water-Meter'!K53</f>
        <v>271.22083679136711</v>
      </c>
      <c r="N13" s="221">
        <f>'Water-Meter'!E13</f>
        <v>131</v>
      </c>
      <c r="O13" s="232"/>
      <c r="P13" s="513">
        <v>19015</v>
      </c>
      <c r="Q13" s="574">
        <f t="shared" si="2"/>
        <v>0</v>
      </c>
      <c r="R13" s="575">
        <f t="shared" si="5"/>
        <v>0</v>
      </c>
      <c r="S13" s="513">
        <v>6.5</v>
      </c>
      <c r="T13" s="646">
        <v>15896</v>
      </c>
      <c r="U13" s="574">
        <f t="shared" si="6"/>
        <v>23</v>
      </c>
      <c r="V13" s="576">
        <f t="shared" si="16"/>
        <v>149.5</v>
      </c>
      <c r="W13" s="513">
        <v>2.1</v>
      </c>
      <c r="X13" s="644">
        <v>23912</v>
      </c>
      <c r="Y13" s="574">
        <f t="shared" si="8"/>
        <v>24</v>
      </c>
      <c r="Z13" s="576">
        <f t="shared" si="9"/>
        <v>50.400000000000006</v>
      </c>
      <c r="AA13" s="576">
        <f t="shared" si="10"/>
        <v>1206525.6000000001</v>
      </c>
      <c r="AB13" s="645">
        <v>28285</v>
      </c>
      <c r="AC13" s="138">
        <f t="shared" si="11"/>
        <v>183</v>
      </c>
      <c r="AD13" s="513">
        <v>198229</v>
      </c>
      <c r="AE13" s="239">
        <f t="shared" si="15"/>
        <v>43</v>
      </c>
      <c r="AF13" s="350">
        <f>'Lpg (2)'!B17*2000/85</f>
        <v>1011.7647058823529</v>
      </c>
      <c r="AG13" s="351">
        <f>'Lpg (2)'!C17*1000/85</f>
        <v>1000</v>
      </c>
      <c r="AH13" s="352">
        <f>'Lpg (2)'!D17*1000/85</f>
        <v>1000</v>
      </c>
      <c r="AI13" s="579">
        <f t="shared" si="12"/>
        <v>4164705.8823529412</v>
      </c>
      <c r="AJ13" s="578">
        <f t="shared" si="4"/>
        <v>141176.47058823472</v>
      </c>
      <c r="AK13" s="145"/>
    </row>
    <row r="14" spans="1:37" ht="19.5" thickBot="1">
      <c r="A14" s="95">
        <f>Gen!B19</f>
        <v>43899</v>
      </c>
      <c r="B14" s="569">
        <f>'Summery Report'!E13</f>
        <v>44</v>
      </c>
      <c r="C14" s="158">
        <f>Gen!C19</f>
        <v>0.57140000000000002</v>
      </c>
      <c r="D14" s="570">
        <f>'Summery Report'!E13</f>
        <v>44</v>
      </c>
      <c r="E14" s="571">
        <f t="shared" si="13"/>
        <v>1.3262195121951219</v>
      </c>
      <c r="F14" s="572">
        <f t="shared" si="14"/>
        <v>67.304133176274931</v>
      </c>
      <c r="G14" s="572">
        <f t="shared" si="0"/>
        <v>72.453481845898011</v>
      </c>
      <c r="H14" s="571">
        <f>Gen!D19</f>
        <v>44105.760000000009</v>
      </c>
      <c r="I14" s="573">
        <f>Gen!F19</f>
        <v>0</v>
      </c>
      <c r="J14" s="142">
        <f>Gen!T19</f>
        <v>2232.9499999999998</v>
      </c>
      <c r="K14" s="142">
        <f>Gen!AK19</f>
        <v>170.83999999999997</v>
      </c>
      <c r="L14" s="142">
        <f t="shared" si="1"/>
        <v>2403.79</v>
      </c>
      <c r="M14" s="606">
        <f>'Water-Meter'!K54</f>
        <v>303.21517673355197</v>
      </c>
      <c r="N14" s="221">
        <f>'Water-Meter'!E14</f>
        <v>117</v>
      </c>
      <c r="O14" s="232"/>
      <c r="P14" s="513">
        <v>19015</v>
      </c>
      <c r="Q14" s="574">
        <f t="shared" si="2"/>
        <v>0</v>
      </c>
      <c r="R14" s="575">
        <f t="shared" si="5"/>
        <v>0</v>
      </c>
      <c r="S14" s="513">
        <v>6.5</v>
      </c>
      <c r="T14" s="646">
        <v>15920</v>
      </c>
      <c r="U14" s="574">
        <f t="shared" si="6"/>
        <v>24</v>
      </c>
      <c r="V14" s="576">
        <f t="shared" si="16"/>
        <v>156</v>
      </c>
      <c r="W14" s="513">
        <v>2.1</v>
      </c>
      <c r="X14" s="644">
        <v>23936</v>
      </c>
      <c r="Y14" s="574">
        <f t="shared" si="8"/>
        <v>24</v>
      </c>
      <c r="Z14" s="576">
        <f t="shared" si="9"/>
        <v>50.400000000000006</v>
      </c>
      <c r="AA14" s="576">
        <f t="shared" si="10"/>
        <v>1207180.8</v>
      </c>
      <c r="AB14" s="645">
        <v>28468</v>
      </c>
      <c r="AC14" s="138">
        <f t="shared" si="11"/>
        <v>183</v>
      </c>
      <c r="AD14" s="513">
        <v>198350</v>
      </c>
      <c r="AE14" s="239">
        <f t="shared" si="15"/>
        <v>121</v>
      </c>
      <c r="AF14" s="350">
        <f>'Lpg (2)'!B18*2000/85</f>
        <v>941.17647058823525</v>
      </c>
      <c r="AG14" s="351">
        <f>'Lpg (2)'!C18*1000/85</f>
        <v>1000</v>
      </c>
      <c r="AH14" s="352">
        <f>'Lpg (2)'!D18*1000/85</f>
        <v>1000</v>
      </c>
      <c r="AI14" s="579">
        <f t="shared" si="12"/>
        <v>4023529.4117647056</v>
      </c>
      <c r="AJ14" s="578">
        <f t="shared" si="4"/>
        <v>141176.47058823565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0.58440000000000003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41701.970000000008</v>
      </c>
      <c r="I15" s="573">
        <f>Gen!F20</f>
        <v>0</v>
      </c>
      <c r="J15" s="142">
        <f>Gen!T20</f>
        <v>2128.3999999999996</v>
      </c>
      <c r="K15" s="142">
        <f>Gen!AK20</f>
        <v>33.880000000000003</v>
      </c>
      <c r="L15" s="142">
        <f t="shared" si="1"/>
        <v>2162.2799999999997</v>
      </c>
      <c r="M15" s="606">
        <f>'Water-Meter'!K55</f>
        <v>360.03186924861581</v>
      </c>
      <c r="N15" s="221">
        <f>'Water-Meter'!E15</f>
        <v>129</v>
      </c>
      <c r="O15" s="232"/>
      <c r="P15" s="513">
        <v>19015</v>
      </c>
      <c r="Q15" s="574">
        <f t="shared" si="2"/>
        <v>0</v>
      </c>
      <c r="R15" s="575">
        <f t="shared" si="5"/>
        <v>0</v>
      </c>
      <c r="S15" s="513"/>
      <c r="T15" s="646">
        <v>15923</v>
      </c>
      <c r="U15" s="574">
        <f t="shared" si="6"/>
        <v>3</v>
      </c>
      <c r="V15" s="576">
        <f t="shared" si="16"/>
        <v>0</v>
      </c>
      <c r="W15" s="513">
        <v>2.1</v>
      </c>
      <c r="X15" s="644">
        <v>23939</v>
      </c>
      <c r="Y15" s="574">
        <f t="shared" si="8"/>
        <v>3</v>
      </c>
      <c r="Z15" s="576">
        <f t="shared" si="9"/>
        <v>6.3000000000000007</v>
      </c>
      <c r="AA15" s="576">
        <f t="shared" si="10"/>
        <v>151055.1</v>
      </c>
      <c r="AB15" s="645">
        <v>28489</v>
      </c>
      <c r="AC15" s="138">
        <f t="shared" si="11"/>
        <v>21</v>
      </c>
      <c r="AD15" s="513">
        <v>198476</v>
      </c>
      <c r="AE15" s="239">
        <f>AD15-AD14</f>
        <v>126</v>
      </c>
      <c r="AF15" s="350">
        <f>'Lpg (2)'!B19*2000/85</f>
        <v>941.17647058823525</v>
      </c>
      <c r="AG15" s="351">
        <f>'Lpg (2)'!C19*1000/85</f>
        <v>1000</v>
      </c>
      <c r="AH15" s="352">
        <f>'Lpg (2)'!D19*1000/85</f>
        <v>964.70588235294122</v>
      </c>
      <c r="AI15" s="579">
        <f t="shared" ref="AI15:AI35" si="17">SUM(AF15*2000)+(AG15*1000)+(AH15*1000)</f>
        <v>3847058.8235294116</v>
      </c>
      <c r="AJ15" s="578">
        <f t="shared" si="4"/>
        <v>176470.58823529398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3.9E-2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39539.69000000001</v>
      </c>
      <c r="I16" s="573">
        <f>Gen!F21</f>
        <v>0</v>
      </c>
      <c r="J16" s="142">
        <f>Gen!T21</f>
        <v>1707.85</v>
      </c>
      <c r="K16" s="142">
        <f>Gen!AK21</f>
        <v>204.76999999999998</v>
      </c>
      <c r="L16" s="142">
        <f t="shared" si="1"/>
        <v>1912.62</v>
      </c>
      <c r="M16" s="606">
        <f>'Water-Meter'!K56</f>
        <v>414.92090840717731</v>
      </c>
      <c r="N16" s="221">
        <f>'Water-Meter'!E16</f>
        <v>99</v>
      </c>
      <c r="O16" s="232"/>
      <c r="P16" s="513">
        <v>19015</v>
      </c>
      <c r="Q16" s="574">
        <f t="shared" si="2"/>
        <v>0</v>
      </c>
      <c r="R16" s="575">
        <f t="shared" si="5"/>
        <v>0</v>
      </c>
      <c r="S16" s="513">
        <v>4.5999999999999996</v>
      </c>
      <c r="T16" s="646">
        <v>15936</v>
      </c>
      <c r="U16" s="574">
        <f t="shared" si="6"/>
        <v>13</v>
      </c>
      <c r="V16" s="576">
        <f t="shared" si="16"/>
        <v>59.8</v>
      </c>
      <c r="W16" s="513">
        <v>2.1</v>
      </c>
      <c r="X16" s="644">
        <v>23952</v>
      </c>
      <c r="Y16" s="574">
        <f t="shared" si="8"/>
        <v>13</v>
      </c>
      <c r="Z16" s="576">
        <f t="shared" si="9"/>
        <v>27.3</v>
      </c>
      <c r="AA16" s="576">
        <f t="shared" si="10"/>
        <v>655227.30000000005</v>
      </c>
      <c r="AB16" s="645">
        <v>28576</v>
      </c>
      <c r="AC16" s="138">
        <f t="shared" si="11"/>
        <v>87</v>
      </c>
      <c r="AD16" s="513">
        <v>198561</v>
      </c>
      <c r="AE16" s="239">
        <f t="shared" si="15"/>
        <v>85</v>
      </c>
      <c r="AF16" s="350">
        <f>'Lpg (2)'!B20*2000/85</f>
        <v>941.17647058823525</v>
      </c>
      <c r="AG16" s="351">
        <f>'Lpg (2)'!C20*1000/85</f>
        <v>1000</v>
      </c>
      <c r="AH16" s="352">
        <f>'Lpg (2)'!D20*1000/85</f>
        <v>941.17647058823525</v>
      </c>
      <c r="AI16" s="579">
        <f t="shared" si="17"/>
        <v>3823529.4117647056</v>
      </c>
      <c r="AJ16" s="578">
        <f t="shared" si="4"/>
        <v>23529.411764706019</v>
      </c>
      <c r="AK16" s="144"/>
    </row>
    <row r="17" spans="1:37" ht="19.5" thickBot="1">
      <c r="A17" s="95">
        <f>Gen!B22</f>
        <v>43902</v>
      </c>
      <c r="B17" s="569">
        <f>'Summery Report'!E16</f>
        <v>4</v>
      </c>
      <c r="C17" s="158">
        <f>Gen!C22</f>
        <v>3.9E-2</v>
      </c>
      <c r="D17" s="570">
        <f>'Summery Report'!E16</f>
        <v>4</v>
      </c>
      <c r="E17" s="571">
        <f t="shared" si="13"/>
        <v>1.3262195121951219</v>
      </c>
      <c r="F17" s="572">
        <f t="shared" si="14"/>
        <v>907.63147865853659</v>
      </c>
      <c r="G17" s="572">
        <f t="shared" si="0"/>
        <v>942.79950457317079</v>
      </c>
      <c r="H17" s="571">
        <f>Gen!D22</f>
        <v>37627.070000000007</v>
      </c>
      <c r="I17" s="573">
        <f>Gen!F22</f>
        <v>0</v>
      </c>
      <c r="J17" s="142">
        <f>Gen!T22</f>
        <v>2737.5</v>
      </c>
      <c r="K17" s="142">
        <f>Gen!AK22</f>
        <v>106.07</v>
      </c>
      <c r="L17" s="142">
        <f t="shared" si="1"/>
        <v>2843.57</v>
      </c>
      <c r="M17" s="606">
        <f>'Water-Meter'!K57</f>
        <v>437.58276665493759</v>
      </c>
      <c r="N17" s="221">
        <f>'Water-Meter'!E17</f>
        <v>77</v>
      </c>
      <c r="O17" s="232"/>
      <c r="P17" s="513">
        <v>19015</v>
      </c>
      <c r="Q17" s="574">
        <f>SUM(P18-P16)</f>
        <v>0</v>
      </c>
      <c r="R17" s="575">
        <f t="shared" si="5"/>
        <v>0</v>
      </c>
      <c r="S17" s="513">
        <v>4.4000000000000004</v>
      </c>
      <c r="T17" s="646">
        <v>15961</v>
      </c>
      <c r="U17" s="574">
        <f t="shared" si="6"/>
        <v>25</v>
      </c>
      <c r="V17" s="576">
        <f t="shared" ref="V17:V36" si="18">SUM(U17*S17)</f>
        <v>110.00000000000001</v>
      </c>
      <c r="W17" s="513">
        <v>2.1</v>
      </c>
      <c r="X17" s="644">
        <v>23977</v>
      </c>
      <c r="Y17" s="574">
        <f t="shared" si="8"/>
        <v>25</v>
      </c>
      <c r="Z17" s="576">
        <f t="shared" si="9"/>
        <v>52.5</v>
      </c>
      <c r="AA17" s="576">
        <f t="shared" si="10"/>
        <v>1260157.5</v>
      </c>
      <c r="AB17" s="645">
        <v>28737</v>
      </c>
      <c r="AC17" s="138">
        <f t="shared" si="11"/>
        <v>161</v>
      </c>
      <c r="AD17" s="513">
        <v>198643</v>
      </c>
      <c r="AE17" s="239">
        <f t="shared" si="15"/>
        <v>82</v>
      </c>
      <c r="AF17" s="350">
        <f>'Lpg (2)'!B21*2000/85</f>
        <v>941.17647058823525</v>
      </c>
      <c r="AG17" s="351">
        <f>'Lpg (2)'!C21*1000/85</f>
        <v>1000</v>
      </c>
      <c r="AH17" s="352">
        <f>'Lpg (2)'!D21*1000/85</f>
        <v>917.64705882352939</v>
      </c>
      <c r="AI17" s="579">
        <f t="shared" si="17"/>
        <v>3800000</v>
      </c>
      <c r="AJ17" s="578">
        <f t="shared" si="4"/>
        <v>23529.411764705554</v>
      </c>
      <c r="AK17" s="144"/>
    </row>
    <row r="18" spans="1:37" ht="19.5" thickBot="1">
      <c r="A18" s="95">
        <f>Gen!B23</f>
        <v>43903</v>
      </c>
      <c r="B18" s="569">
        <f>'Summery Report'!E17</f>
        <v>4</v>
      </c>
      <c r="C18" s="158">
        <f>Gen!C23</f>
        <v>3.9E-2</v>
      </c>
      <c r="D18" s="570">
        <f>'Summery Report'!E17</f>
        <v>4</v>
      </c>
      <c r="E18" s="571">
        <f t="shared" si="13"/>
        <v>1.3262195121951219</v>
      </c>
      <c r="F18" s="572">
        <f t="shared" si="14"/>
        <v>841.53269817073181</v>
      </c>
      <c r="G18" s="572">
        <f t="shared" si="0"/>
        <v>919.03365091463422</v>
      </c>
      <c r="H18" s="571">
        <f>Gen!D23</f>
        <v>34783.500000000007</v>
      </c>
      <c r="I18" s="573">
        <f>Gen!F23</f>
        <v>0</v>
      </c>
      <c r="J18" s="142">
        <f>Gen!T23</f>
        <v>2538.1400000000003</v>
      </c>
      <c r="K18" s="142">
        <f>Gen!AK23</f>
        <v>233.75</v>
      </c>
      <c r="L18" s="142">
        <f t="shared" si="1"/>
        <v>2771.8900000000003</v>
      </c>
      <c r="M18" s="606">
        <f>'Water-Meter'!K58</f>
        <v>443.32587928001738</v>
      </c>
      <c r="N18" s="221">
        <f>'Water-Meter'!E18</f>
        <v>69</v>
      </c>
      <c r="O18" s="232"/>
      <c r="P18" s="513">
        <v>19015</v>
      </c>
      <c r="Q18" s="574"/>
      <c r="R18" s="575">
        <f t="shared" si="5"/>
        <v>0</v>
      </c>
      <c r="S18" s="513">
        <v>4.4000000000000004</v>
      </c>
      <c r="T18" s="646">
        <v>15985</v>
      </c>
      <c r="U18" s="574">
        <f t="shared" si="6"/>
        <v>24</v>
      </c>
      <c r="V18" s="576">
        <f t="shared" si="18"/>
        <v>105.60000000000001</v>
      </c>
      <c r="W18" s="513">
        <v>2.1</v>
      </c>
      <c r="X18" s="644">
        <v>24001</v>
      </c>
      <c r="Y18" s="574">
        <f t="shared" si="8"/>
        <v>24</v>
      </c>
      <c r="Z18" s="576">
        <f t="shared" si="9"/>
        <v>50.400000000000006</v>
      </c>
      <c r="AA18" s="576">
        <f t="shared" si="10"/>
        <v>1210456.8</v>
      </c>
      <c r="AB18" s="645">
        <v>28885</v>
      </c>
      <c r="AC18" s="138">
        <f t="shared" si="11"/>
        <v>148</v>
      </c>
      <c r="AD18" s="513">
        <v>198690</v>
      </c>
      <c r="AE18" s="239">
        <f t="shared" si="15"/>
        <v>47</v>
      </c>
      <c r="AF18" s="350">
        <f>'Lpg (2)'!B22*2000/85</f>
        <v>941.17647058823525</v>
      </c>
      <c r="AG18" s="351">
        <f>'Lpg (2)'!C22*1000/85</f>
        <v>1000</v>
      </c>
      <c r="AH18" s="352">
        <f>'Lpg (2)'!D22*1000/85</f>
        <v>882.35294117647061</v>
      </c>
      <c r="AI18" s="579">
        <f t="shared" si="17"/>
        <v>3764705.8823529407</v>
      </c>
      <c r="AJ18" s="578">
        <f t="shared" si="4"/>
        <v>35294.117647059262</v>
      </c>
      <c r="AK18" s="144"/>
    </row>
    <row r="19" spans="1:37" ht="19.5" thickBot="1">
      <c r="A19" s="95">
        <f>Gen!B24</f>
        <v>43904</v>
      </c>
      <c r="B19" s="569">
        <f>'Summery Report'!E18</f>
        <v>4</v>
      </c>
      <c r="C19" s="158">
        <f>Gen!C24</f>
        <v>2.86E-2</v>
      </c>
      <c r="D19" s="570">
        <f>'Summery Report'!E18</f>
        <v>4</v>
      </c>
      <c r="E19" s="571">
        <f t="shared" si="13"/>
        <v>1.3262195121951219</v>
      </c>
      <c r="F19" s="572">
        <f t="shared" si="14"/>
        <v>433.23612804878042</v>
      </c>
      <c r="G19" s="572">
        <f t="shared" si="0"/>
        <v>471.82911585365849</v>
      </c>
      <c r="H19" s="571">
        <f>Gen!D24</f>
        <v>32011.610000000008</v>
      </c>
      <c r="I19" s="573">
        <f>Gen!F24</f>
        <v>0</v>
      </c>
      <c r="J19" s="142">
        <f>Gen!T24</f>
        <v>1306.6799999999998</v>
      </c>
      <c r="K19" s="142">
        <f>Gen!AK24</f>
        <v>116.4</v>
      </c>
      <c r="L19" s="142">
        <f t="shared" si="1"/>
        <v>1423.08</v>
      </c>
      <c r="M19" s="606">
        <f>'Water-Meter'!K59</f>
        <v>497.30897203425775</v>
      </c>
      <c r="N19" s="221">
        <f>'Water-Meter'!E19</f>
        <v>72</v>
      </c>
      <c r="O19" s="232">
        <v>2.2999999999999998</v>
      </c>
      <c r="P19" s="513">
        <v>19017</v>
      </c>
      <c r="Q19" s="574"/>
      <c r="R19" s="575">
        <f t="shared" si="5"/>
        <v>0</v>
      </c>
      <c r="S19" s="513">
        <v>7.1</v>
      </c>
      <c r="T19" s="646">
        <v>15997</v>
      </c>
      <c r="U19" s="574">
        <f t="shared" si="6"/>
        <v>12</v>
      </c>
      <c r="V19" s="576">
        <f t="shared" si="18"/>
        <v>85.199999999999989</v>
      </c>
      <c r="W19" s="513">
        <v>2.1</v>
      </c>
      <c r="X19" s="644">
        <v>24003</v>
      </c>
      <c r="Y19" s="574">
        <f t="shared" si="8"/>
        <v>2</v>
      </c>
      <c r="Z19" s="576">
        <f t="shared" si="9"/>
        <v>4.2</v>
      </c>
      <c r="AA19" s="576">
        <f t="shared" si="10"/>
        <v>100972.2</v>
      </c>
      <c r="AB19" s="645">
        <v>28984</v>
      </c>
      <c r="AC19" s="138">
        <f t="shared" si="11"/>
        <v>99</v>
      </c>
      <c r="AD19" s="513">
        <v>198752</v>
      </c>
      <c r="AE19" s="239">
        <f t="shared" si="15"/>
        <v>62</v>
      </c>
      <c r="AF19" s="350">
        <f>'Lpg (2)'!B23*2000/85</f>
        <v>870.58823529411768</v>
      </c>
      <c r="AG19" s="351">
        <f>'Lpg (2)'!C23*1000/85</f>
        <v>1000</v>
      </c>
      <c r="AH19" s="352">
        <f>'Lpg (2)'!D23*1000/85</f>
        <v>882.35294117647061</v>
      </c>
      <c r="AI19" s="579">
        <f t="shared" si="17"/>
        <v>3623529.4117647056</v>
      </c>
      <c r="AJ19" s="578">
        <f t="shared" si="4"/>
        <v>141176.47058823518</v>
      </c>
      <c r="AK19" s="144"/>
    </row>
    <row r="20" spans="1:37" ht="19.5" thickBot="1">
      <c r="A20" s="95">
        <f>Gen!B25</f>
        <v>43905</v>
      </c>
      <c r="B20" s="569">
        <f>'Summery Report'!E19</f>
        <v>4</v>
      </c>
      <c r="C20" s="158">
        <f>Gen!C25</f>
        <v>6.4899999999999999E-2</v>
      </c>
      <c r="D20" s="570">
        <f>'Summery Report'!E19</f>
        <v>4</v>
      </c>
      <c r="E20" s="571">
        <f t="shared" si="13"/>
        <v>1.3262195121951219</v>
      </c>
      <c r="F20" s="572">
        <f t="shared" si="14"/>
        <v>470.96044207317073</v>
      </c>
      <c r="G20" s="572">
        <f t="shared" si="0"/>
        <v>566.43498475609761</v>
      </c>
      <c r="H20" s="571">
        <f>Gen!D25</f>
        <v>30588.530000000006</v>
      </c>
      <c r="I20" s="573">
        <f>Gen!F25</f>
        <v>0</v>
      </c>
      <c r="J20" s="142">
        <f>Gen!T25</f>
        <v>1420.46</v>
      </c>
      <c r="K20" s="142">
        <f>Gen!AK25</f>
        <v>287.96000000000004</v>
      </c>
      <c r="L20" s="142">
        <f t="shared" si="1"/>
        <v>1708.42</v>
      </c>
      <c r="M20" s="606">
        <f>'Water-Meter'!K60</f>
        <v>520.08695502730939</v>
      </c>
      <c r="N20" s="221">
        <f>'Water-Meter'!E20</f>
        <v>92</v>
      </c>
      <c r="O20" s="232"/>
      <c r="P20" s="513">
        <v>19017</v>
      </c>
      <c r="Q20" s="574">
        <f t="shared" si="2"/>
        <v>0</v>
      </c>
      <c r="R20" s="575">
        <f t="shared" si="5"/>
        <v>0</v>
      </c>
      <c r="S20" s="513"/>
      <c r="T20" s="646">
        <v>15999</v>
      </c>
      <c r="U20" s="574">
        <f t="shared" si="6"/>
        <v>2</v>
      </c>
      <c r="V20" s="576">
        <f t="shared" si="18"/>
        <v>0</v>
      </c>
      <c r="W20" s="513"/>
      <c r="X20" s="644">
        <v>24017</v>
      </c>
      <c r="Y20" s="574">
        <f t="shared" si="8"/>
        <v>14</v>
      </c>
      <c r="Z20" s="576">
        <f t="shared" si="9"/>
        <v>0</v>
      </c>
      <c r="AA20" s="576">
        <f t="shared" si="10"/>
        <v>0</v>
      </c>
      <c r="AB20" s="645">
        <v>29031</v>
      </c>
      <c r="AC20" s="138">
        <f t="shared" si="11"/>
        <v>47</v>
      </c>
      <c r="AD20" s="513">
        <v>198814</v>
      </c>
      <c r="AE20" s="239">
        <f t="shared" si="15"/>
        <v>62</v>
      </c>
      <c r="AF20" s="350">
        <f>'Lpg (2)'!B24*2000/85</f>
        <v>823.52941176470586</v>
      </c>
      <c r="AG20" s="351">
        <f>'Lpg (2)'!C24*1000/85</f>
        <v>1000</v>
      </c>
      <c r="AH20" s="352">
        <f>'Lpg (2)'!D24*1000/85</f>
        <v>1000</v>
      </c>
      <c r="AI20" s="579">
        <f t="shared" si="17"/>
        <v>3647058.823529412</v>
      </c>
      <c r="AJ20" s="578">
        <f t="shared" si="4"/>
        <v>-23529.411764706485</v>
      </c>
      <c r="AK20" s="144"/>
    </row>
    <row r="21" spans="1:37" ht="19.5" thickBot="1">
      <c r="A21" s="95">
        <f>Gen!B26</f>
        <v>43906</v>
      </c>
      <c r="B21" s="569">
        <f>'Summery Report'!E20</f>
        <v>5</v>
      </c>
      <c r="C21" s="158">
        <f>Gen!C26</f>
        <v>5.1900000000000002E-2</v>
      </c>
      <c r="D21" s="570">
        <f>'Summery Report'!E20</f>
        <v>5</v>
      </c>
      <c r="E21" s="571">
        <f t="shared" si="13"/>
        <v>1.3262195121951219</v>
      </c>
      <c r="F21" s="572">
        <f t="shared" si="14"/>
        <v>362.54067073170734</v>
      </c>
      <c r="G21" s="572">
        <f t="shared" si="0"/>
        <v>383.57185975609758</v>
      </c>
      <c r="H21" s="571">
        <f>Gen!D26</f>
        <v>28880.110000000008</v>
      </c>
      <c r="I21" s="573">
        <f>Gen!F26</f>
        <v>0</v>
      </c>
      <c r="J21" s="142">
        <f>Gen!T26</f>
        <v>1366.8200000000002</v>
      </c>
      <c r="K21" s="142">
        <f>Gen!AK26</f>
        <v>79.289999999999992</v>
      </c>
      <c r="L21" s="142">
        <f t="shared" si="1"/>
        <v>1446.1100000000001</v>
      </c>
      <c r="M21" s="606">
        <f>'Water-Meter'!K61</f>
        <v>545.2010778133108</v>
      </c>
      <c r="N21" s="221">
        <f>'Water-Meter'!E21</f>
        <v>90</v>
      </c>
      <c r="O21" s="232"/>
      <c r="P21" s="513">
        <v>19017</v>
      </c>
      <c r="Q21" s="574">
        <f t="shared" si="2"/>
        <v>0</v>
      </c>
      <c r="R21" s="575">
        <f t="shared" si="5"/>
        <v>0</v>
      </c>
      <c r="S21" s="513"/>
      <c r="T21" s="646">
        <v>15999</v>
      </c>
      <c r="U21" s="574">
        <f>T22-T20</f>
        <v>0</v>
      </c>
      <c r="V21" s="576">
        <f t="shared" si="18"/>
        <v>0</v>
      </c>
      <c r="W21" s="513"/>
      <c r="X21" s="644">
        <v>24041</v>
      </c>
      <c r="Y21" s="574">
        <f t="shared" si="8"/>
        <v>24</v>
      </c>
      <c r="Z21" s="576">
        <f t="shared" si="9"/>
        <v>0</v>
      </c>
      <c r="AA21" s="576">
        <f t="shared" si="10"/>
        <v>0</v>
      </c>
      <c r="AB21" s="645">
        <v>29089</v>
      </c>
      <c r="AC21" s="138">
        <f t="shared" si="11"/>
        <v>58</v>
      </c>
      <c r="AD21" s="513">
        <v>198880</v>
      </c>
      <c r="AE21" s="239">
        <f t="shared" si="15"/>
        <v>66</v>
      </c>
      <c r="AF21" s="350">
        <f>'Lpg (2)'!B25*2000/85</f>
        <v>752.94117647058829</v>
      </c>
      <c r="AG21" s="351">
        <f>'Lpg (2)'!C25*1000/85</f>
        <v>1000</v>
      </c>
      <c r="AH21" s="352">
        <f>'Lpg (2)'!D25*1000/85</f>
        <v>1000</v>
      </c>
      <c r="AI21" s="579">
        <f t="shared" si="17"/>
        <v>3505882.3529411769</v>
      </c>
      <c r="AJ21" s="578">
        <f t="shared" si="4"/>
        <v>141176.47058823518</v>
      </c>
      <c r="AK21" s="144"/>
    </row>
    <row r="22" spans="1:37" ht="19.5" thickBot="1">
      <c r="A22" s="95">
        <f>Gen!B27</f>
        <v>43907</v>
      </c>
      <c r="B22" s="569">
        <f>'Summery Report'!E21</f>
        <v>6</v>
      </c>
      <c r="C22" s="158">
        <f>Gen!C27</f>
        <v>2.5999999999999999E-2</v>
      </c>
      <c r="D22" s="570">
        <f>'Summery Report'!E21</f>
        <v>6</v>
      </c>
      <c r="E22" s="571">
        <f t="shared" si="13"/>
        <v>1.3262195121951219</v>
      </c>
      <c r="F22" s="572">
        <f t="shared" si="14"/>
        <v>268.65228658536586</v>
      </c>
      <c r="G22" s="572">
        <f t="shared" si="0"/>
        <v>279.79695121951221</v>
      </c>
      <c r="H22" s="571">
        <f>Gen!D27</f>
        <v>45434.000000000007</v>
      </c>
      <c r="I22" s="573">
        <f>Gen!F27</f>
        <v>18000</v>
      </c>
      <c r="J22" s="142">
        <f>Gen!T27</f>
        <v>1215.42</v>
      </c>
      <c r="K22" s="142">
        <f>Gen!AK27</f>
        <v>50.42</v>
      </c>
      <c r="L22" s="142">
        <f t="shared" si="1"/>
        <v>1265.8400000000001</v>
      </c>
      <c r="M22" s="606">
        <f>'Water-Meter'!K62</f>
        <v>519.74689952644621</v>
      </c>
      <c r="N22" s="221">
        <f>'Water-Meter'!E22</f>
        <v>72</v>
      </c>
      <c r="O22" s="232"/>
      <c r="P22" s="513">
        <v>19017</v>
      </c>
      <c r="Q22" s="574">
        <f t="shared" si="2"/>
        <v>0</v>
      </c>
      <c r="R22" s="575">
        <f t="shared" si="5"/>
        <v>0</v>
      </c>
      <c r="S22" s="513"/>
      <c r="T22" s="646">
        <v>15999</v>
      </c>
      <c r="U22" s="574" t="e">
        <f>#REF!-T22</f>
        <v>#REF!</v>
      </c>
      <c r="V22" s="576" t="e">
        <f t="shared" si="18"/>
        <v>#REF!</v>
      </c>
      <c r="W22" s="513">
        <v>2.5</v>
      </c>
      <c r="X22" s="644">
        <v>24065</v>
      </c>
      <c r="Y22" s="574">
        <f t="shared" si="8"/>
        <v>24</v>
      </c>
      <c r="Z22" s="576">
        <f t="shared" si="9"/>
        <v>60</v>
      </c>
      <c r="AA22" s="576">
        <f t="shared" si="10"/>
        <v>1446720</v>
      </c>
      <c r="AB22" s="645">
        <v>29139</v>
      </c>
      <c r="AC22" s="138">
        <f t="shared" si="11"/>
        <v>50</v>
      </c>
      <c r="AD22" s="513">
        <v>198928</v>
      </c>
      <c r="AE22" s="239">
        <f t="shared" si="15"/>
        <v>48</v>
      </c>
      <c r="AF22" s="350">
        <f>'Lpg (2)'!B26*2000/85</f>
        <v>729.41176470588232</v>
      </c>
      <c r="AG22" s="351">
        <f>'Lpg (2)'!C26*1000/85</f>
        <v>1000</v>
      </c>
      <c r="AH22" s="352">
        <f>'Lpg (2)'!D26*1000/85</f>
        <v>776.47058823529414</v>
      </c>
      <c r="AI22" s="579">
        <f t="shared" si="17"/>
        <v>3235294.1176470588</v>
      </c>
      <c r="AJ22" s="578">
        <f t="shared" si="4"/>
        <v>270588.23529411806</v>
      </c>
      <c r="AK22" s="144"/>
    </row>
    <row r="23" spans="1:37" ht="19.5" thickBot="1">
      <c r="A23" s="95">
        <f>Gen!B28</f>
        <v>43908</v>
      </c>
      <c r="B23" s="569">
        <f>'Summery Report'!E22</f>
        <v>5</v>
      </c>
      <c r="C23" s="158">
        <f>Gen!C28</f>
        <v>5.1900000000000002E-2</v>
      </c>
      <c r="D23" s="570">
        <f>'Summery Report'!E22</f>
        <v>5</v>
      </c>
      <c r="E23" s="571">
        <f t="shared" si="13"/>
        <v>1.3262195121951219</v>
      </c>
      <c r="F23" s="572">
        <f t="shared" si="14"/>
        <v>316.38823170731712</v>
      </c>
      <c r="G23" s="572">
        <f t="shared" si="0"/>
        <v>357.76628048780492</v>
      </c>
      <c r="H23" s="571">
        <f>Gen!D28</f>
        <v>44168.160000000003</v>
      </c>
      <c r="I23" s="573">
        <f>Gen!F28</f>
        <v>0</v>
      </c>
      <c r="J23" s="142">
        <f>Gen!T28</f>
        <v>1192.8200000000002</v>
      </c>
      <c r="K23" s="142">
        <f>Gen!AK28</f>
        <v>156</v>
      </c>
      <c r="L23" s="142">
        <f t="shared" si="1"/>
        <v>1348.8200000000002</v>
      </c>
      <c r="M23" s="606">
        <f>'Water-Meter'!K63</f>
        <v>501.3235898494919</v>
      </c>
      <c r="N23" s="221">
        <f>'Water-Meter'!E23</f>
        <v>57</v>
      </c>
      <c r="O23" s="232"/>
      <c r="P23" s="513">
        <v>19017</v>
      </c>
      <c r="Q23" s="574">
        <f t="shared" si="2"/>
        <v>0</v>
      </c>
      <c r="R23" s="575">
        <f t="shared" si="5"/>
        <v>0</v>
      </c>
      <c r="S23" s="513"/>
      <c r="T23" s="646">
        <v>15999</v>
      </c>
      <c r="U23" s="574" t="e">
        <f>T23-#REF!</f>
        <v>#REF!</v>
      </c>
      <c r="V23" s="576" t="e">
        <f t="shared" si="18"/>
        <v>#REF!</v>
      </c>
      <c r="W23" s="513">
        <v>2.4</v>
      </c>
      <c r="X23" s="644">
        <v>24089</v>
      </c>
      <c r="Y23" s="574">
        <f t="shared" si="8"/>
        <v>24</v>
      </c>
      <c r="Z23" s="576">
        <f t="shared" si="9"/>
        <v>57.599999999999994</v>
      </c>
      <c r="AA23" s="576">
        <f t="shared" si="10"/>
        <v>1389023.9999999998</v>
      </c>
      <c r="AB23" s="645">
        <v>29191</v>
      </c>
      <c r="AC23" s="138">
        <f t="shared" si="11"/>
        <v>52</v>
      </c>
      <c r="AD23" s="513">
        <v>198976</v>
      </c>
      <c r="AE23" s="239">
        <f t="shared" si="15"/>
        <v>48</v>
      </c>
      <c r="AF23" s="350">
        <f>'Lpg (2)'!B27*2000/85</f>
        <v>705.88235294117646</v>
      </c>
      <c r="AG23" s="351">
        <f>'Lpg (2)'!C27*1000/85</f>
        <v>1000</v>
      </c>
      <c r="AH23" s="352">
        <f>'Lpg (2)'!D27*1000/85</f>
        <v>776.47058823529414</v>
      </c>
      <c r="AI23" s="579">
        <f t="shared" si="17"/>
        <v>3188235.2941176468</v>
      </c>
      <c r="AJ23" s="578">
        <f t="shared" si="4"/>
        <v>47058.823529412039</v>
      </c>
      <c r="AK23" s="144"/>
    </row>
    <row r="24" spans="1:37" ht="19.5" thickBot="1">
      <c r="A24" s="95">
        <f>Gen!B29</f>
        <v>43909</v>
      </c>
      <c r="B24" s="569">
        <f>'Summery Report'!E23</f>
        <v>1</v>
      </c>
      <c r="C24" s="158">
        <f>Gen!C29</f>
        <v>0.02</v>
      </c>
      <c r="D24" s="570">
        <f>'Summery Report'!E23</f>
        <v>1</v>
      </c>
      <c r="E24" s="571">
        <f t="shared" si="13"/>
        <v>1.3262195121951219</v>
      </c>
      <c r="F24" s="572">
        <f t="shared" si="14"/>
        <v>1461.1888719512194</v>
      </c>
      <c r="G24" s="572">
        <f t="shared" si="0"/>
        <v>1589.8454268292683</v>
      </c>
      <c r="H24" s="571">
        <f>Gen!D29</f>
        <v>42819.340000000004</v>
      </c>
      <c r="I24" s="573">
        <f>Gen!F29</f>
        <v>0</v>
      </c>
      <c r="J24" s="142">
        <f>Gen!T29</f>
        <v>1101.77</v>
      </c>
      <c r="K24" s="142">
        <f>Gen!AK29</f>
        <v>97.01</v>
      </c>
      <c r="L24" s="142">
        <f t="shared" si="1"/>
        <v>1198.78</v>
      </c>
      <c r="M24" s="606">
        <f>'Water-Meter'!K64</f>
        <v>475.13554816112276</v>
      </c>
      <c r="N24" s="221">
        <f>'Water-Meter'!E24</f>
        <v>72</v>
      </c>
      <c r="O24" s="232">
        <v>2.4</v>
      </c>
      <c r="P24" s="513">
        <v>19020</v>
      </c>
      <c r="Q24" s="574">
        <f t="shared" si="2"/>
        <v>3</v>
      </c>
      <c r="R24" s="575">
        <f t="shared" si="5"/>
        <v>7.1999999999999993</v>
      </c>
      <c r="S24" s="513"/>
      <c r="T24" s="646">
        <v>15999</v>
      </c>
      <c r="U24" s="574">
        <f t="shared" si="6"/>
        <v>0</v>
      </c>
      <c r="V24" s="576">
        <f t="shared" si="18"/>
        <v>0</v>
      </c>
      <c r="W24" s="513">
        <v>2.2999999999999998</v>
      </c>
      <c r="X24" s="644">
        <v>24112</v>
      </c>
      <c r="Y24" s="574">
        <f t="shared" si="8"/>
        <v>23</v>
      </c>
      <c r="Z24" s="576">
        <f t="shared" si="9"/>
        <v>52.9</v>
      </c>
      <c r="AA24" s="576">
        <f t="shared" si="10"/>
        <v>1275683.5</v>
      </c>
      <c r="AB24" s="645">
        <v>29244</v>
      </c>
      <c r="AC24" s="138">
        <f t="shared" si="11"/>
        <v>53</v>
      </c>
      <c r="AD24" s="513">
        <v>199026</v>
      </c>
      <c r="AE24" s="239">
        <f t="shared" si="15"/>
        <v>50</v>
      </c>
      <c r="AF24" s="350">
        <f>'Lpg (2)'!B28*2000/85</f>
        <v>658.82352941176475</v>
      </c>
      <c r="AG24" s="351">
        <f>'Lpg (2)'!C28*1000/85</f>
        <v>1000</v>
      </c>
      <c r="AH24" s="352">
        <f>'Lpg (2)'!D28*1000/85</f>
        <v>776.47058823529414</v>
      </c>
      <c r="AI24" s="579">
        <f t="shared" si="17"/>
        <v>3094117.6470588236</v>
      </c>
      <c r="AJ24" s="578">
        <f t="shared" si="4"/>
        <v>94117.647058823146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0.02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41620.560000000005</v>
      </c>
      <c r="I25" s="573">
        <f>Gen!F30</f>
        <v>0</v>
      </c>
      <c r="J25" s="142">
        <f>Gen!T30</f>
        <v>1196.43</v>
      </c>
      <c r="K25" s="142">
        <f>Gen!AK30</f>
        <v>0</v>
      </c>
      <c r="L25" s="142">
        <f t="shared" si="1"/>
        <v>1196.43</v>
      </c>
      <c r="M25" s="606">
        <f>'Water-Meter'!K65</f>
        <v>454.64299375024666</v>
      </c>
      <c r="N25" s="221">
        <f>'Water-Meter'!E25</f>
        <v>65</v>
      </c>
      <c r="O25" s="232"/>
      <c r="P25" s="513">
        <v>19020</v>
      </c>
      <c r="Q25" s="574">
        <f t="shared" si="2"/>
        <v>0</v>
      </c>
      <c r="R25" s="575">
        <f t="shared" si="5"/>
        <v>0</v>
      </c>
      <c r="S25" s="513">
        <v>7.8</v>
      </c>
      <c r="T25" s="646">
        <v>16020</v>
      </c>
      <c r="U25" s="574">
        <f t="shared" si="6"/>
        <v>21</v>
      </c>
      <c r="V25" s="576">
        <f t="shared" si="18"/>
        <v>163.79999999999998</v>
      </c>
      <c r="W25" s="513">
        <v>2.2000000000000002</v>
      </c>
      <c r="X25" s="644">
        <v>24115</v>
      </c>
      <c r="Y25" s="574">
        <f t="shared" si="8"/>
        <v>3</v>
      </c>
      <c r="Z25" s="576">
        <f t="shared" si="9"/>
        <v>6.6000000000000005</v>
      </c>
      <c r="AA25" s="576">
        <f t="shared" si="10"/>
        <v>159159</v>
      </c>
      <c r="AB25" s="645">
        <v>29421</v>
      </c>
      <c r="AC25" s="138">
        <f t="shared" si="11"/>
        <v>177</v>
      </c>
      <c r="AD25" s="513">
        <v>199079</v>
      </c>
      <c r="AE25" s="239">
        <f t="shared" si="15"/>
        <v>53</v>
      </c>
      <c r="AF25" s="350">
        <f>'Lpg (2)'!B29*2000/85</f>
        <v>611.76470588235293</v>
      </c>
      <c r="AG25" s="351">
        <f>'Lpg (2)'!C29*1000/85</f>
        <v>1000</v>
      </c>
      <c r="AH25" s="352">
        <f>'Lpg (2)'!D29*1000/85</f>
        <v>776.47058823529414</v>
      </c>
      <c r="AI25" s="579">
        <f t="shared" si="17"/>
        <v>2999999.9999999995</v>
      </c>
      <c r="AJ25" s="578">
        <f t="shared" si="4"/>
        <v>94117.647058824077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40424.130000000005</v>
      </c>
      <c r="I26" s="573">
        <f>Gen!F31</f>
        <v>0</v>
      </c>
      <c r="J26" s="142">
        <f>Gen!T31</f>
        <v>1103.08</v>
      </c>
      <c r="K26" s="142">
        <f>Gen!AK31</f>
        <v>147.13999999999999</v>
      </c>
      <c r="L26" s="142">
        <f t="shared" si="1"/>
        <v>1250.2199999999998</v>
      </c>
      <c r="M26" s="606">
        <f>'Water-Meter'!K66</f>
        <v>468.35051273399517</v>
      </c>
      <c r="N26" s="221">
        <f>'Water-Meter'!E26</f>
        <v>67</v>
      </c>
      <c r="O26" s="232"/>
      <c r="P26" s="513">
        <v>19020</v>
      </c>
      <c r="Q26" s="574">
        <f t="shared" si="2"/>
        <v>0</v>
      </c>
      <c r="R26" s="575">
        <f t="shared" si="5"/>
        <v>0</v>
      </c>
      <c r="S26" s="513">
        <v>8.1</v>
      </c>
      <c r="T26" s="646">
        <v>16034</v>
      </c>
      <c r="U26" s="574">
        <f t="shared" si="6"/>
        <v>14</v>
      </c>
      <c r="V26" s="576">
        <f t="shared" si="18"/>
        <v>113.39999999999999</v>
      </c>
      <c r="W26" s="513"/>
      <c r="X26" s="644">
        <v>24115</v>
      </c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>
        <v>29532</v>
      </c>
      <c r="AC26" s="138">
        <f t="shared" si="11"/>
        <v>111</v>
      </c>
      <c r="AD26" s="513">
        <v>199130</v>
      </c>
      <c r="AE26" s="239">
        <f t="shared" si="15"/>
        <v>51</v>
      </c>
      <c r="AF26" s="350">
        <f>'Lpg (2)'!B30*2000/85</f>
        <v>588.23529411764707</v>
      </c>
      <c r="AG26" s="351">
        <f>'Lpg (2)'!C30*1000/85</f>
        <v>1000</v>
      </c>
      <c r="AH26" s="352">
        <f>'Lpg (2)'!D30*1000/85</f>
        <v>776.47058823529414</v>
      </c>
      <c r="AI26" s="579">
        <f t="shared" si="17"/>
        <v>2952941.1764705884</v>
      </c>
      <c r="AJ26" s="578">
        <f t="shared" si="4"/>
        <v>47058.823529411107</v>
      </c>
      <c r="AK26" s="144"/>
    </row>
    <row r="27" spans="1:37" ht="19.5" thickBot="1">
      <c r="A27" s="95">
        <f>Gen!B32</f>
        <v>43912</v>
      </c>
      <c r="B27" s="569">
        <f>'Summery Report'!E26</f>
        <v>3</v>
      </c>
      <c r="C27" s="158">
        <f>Gen!C32</f>
        <v>0</v>
      </c>
      <c r="D27" s="570">
        <f>'Summery Report'!E26</f>
        <v>3</v>
      </c>
      <c r="E27" s="571">
        <f t="shared" si="13"/>
        <v>1.3262195121951219</v>
      </c>
      <c r="F27" s="572">
        <f t="shared" si="14"/>
        <v>409.69131097560972</v>
      </c>
      <c r="G27" s="572">
        <f t="shared" si="0"/>
        <v>409.69131097560972</v>
      </c>
      <c r="H27" s="571">
        <f>Gen!D32</f>
        <v>39173.910000000003</v>
      </c>
      <c r="I27" s="573">
        <f>Gen!F32</f>
        <v>12000</v>
      </c>
      <c r="J27" s="142">
        <f>Gen!T32</f>
        <v>926.75</v>
      </c>
      <c r="K27" s="142">
        <f>Gen!AK32</f>
        <v>0</v>
      </c>
      <c r="L27" s="142">
        <f t="shared" si="1"/>
        <v>926.75</v>
      </c>
      <c r="M27" s="606">
        <f>'Water-Meter'!K67</f>
        <v>480.50333226419173</v>
      </c>
      <c r="N27" s="221">
        <f>'Water-Meter'!E27</f>
        <v>73</v>
      </c>
      <c r="O27" s="232"/>
      <c r="P27" s="513">
        <v>19020</v>
      </c>
      <c r="Q27" s="574">
        <f t="shared" si="2"/>
        <v>0</v>
      </c>
      <c r="R27" s="575">
        <f t="shared" si="5"/>
        <v>0</v>
      </c>
      <c r="S27" s="513">
        <v>7.1</v>
      </c>
      <c r="T27" s="646">
        <v>16047</v>
      </c>
      <c r="U27" s="574">
        <f t="shared" si="6"/>
        <v>13</v>
      </c>
      <c r="V27" s="576">
        <f t="shared" si="18"/>
        <v>92.3</v>
      </c>
      <c r="W27" s="513"/>
      <c r="X27" s="644">
        <v>24115</v>
      </c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>
        <v>29637</v>
      </c>
      <c r="AC27" s="138">
        <f t="shared" si="11"/>
        <v>105</v>
      </c>
      <c r="AD27" s="513">
        <v>199173</v>
      </c>
      <c r="AE27" s="239">
        <f t="shared" si="15"/>
        <v>43</v>
      </c>
      <c r="AF27" s="350">
        <f>'Lpg (2)'!B31*2000/85</f>
        <v>564.70588235294122</v>
      </c>
      <c r="AG27" s="351">
        <f>'Lpg (2)'!C31*1000/85</f>
        <v>1000</v>
      </c>
      <c r="AH27" s="352">
        <f>'Lpg (2)'!D31*1000/85</f>
        <v>776.47058823529414</v>
      </c>
      <c r="AI27" s="579">
        <f t="shared" si="17"/>
        <v>2905882.3529411764</v>
      </c>
      <c r="AJ27" s="578">
        <f t="shared" si="4"/>
        <v>47058.823529412039</v>
      </c>
      <c r="AK27" s="144"/>
    </row>
    <row r="28" spans="1:37" ht="19.5" thickBot="1">
      <c r="A28" s="95">
        <f>Gen!B33</f>
        <v>43913</v>
      </c>
      <c r="B28" s="569">
        <f>'Summery Report'!E27</f>
        <v>3</v>
      </c>
      <c r="C28" s="158">
        <f>Gen!C33</f>
        <v>0</v>
      </c>
      <c r="D28" s="570">
        <f>'Summery Report'!E27</f>
        <v>3</v>
      </c>
      <c r="E28" s="571">
        <f t="shared" si="13"/>
        <v>1.3262195121951219</v>
      </c>
      <c r="F28" s="572">
        <f t="shared" si="14"/>
        <v>498.84862804878048</v>
      </c>
      <c r="G28" s="572">
        <f t="shared" si="0"/>
        <v>498.84862804878048</v>
      </c>
      <c r="H28" s="571">
        <f>Gen!D33</f>
        <v>50247.16</v>
      </c>
      <c r="I28" s="573">
        <f>Gen!F33</f>
        <v>0</v>
      </c>
      <c r="J28" s="142">
        <f>Gen!T33</f>
        <v>1128.43</v>
      </c>
      <c r="K28" s="142">
        <f>Gen!AK33</f>
        <v>0</v>
      </c>
      <c r="L28" s="142">
        <f t="shared" si="1"/>
        <v>1128.43</v>
      </c>
      <c r="M28" s="606">
        <f>'Water-Meter'!K68</f>
        <v>573.87543813033267</v>
      </c>
      <c r="N28" s="221">
        <f>'Water-Meter'!E28</f>
        <v>67</v>
      </c>
      <c r="O28" s="232">
        <v>2.5</v>
      </c>
      <c r="P28" s="513">
        <v>19022</v>
      </c>
      <c r="Q28" s="574">
        <f t="shared" si="2"/>
        <v>2</v>
      </c>
      <c r="R28" s="575">
        <f t="shared" si="5"/>
        <v>5</v>
      </c>
      <c r="S28" s="513"/>
      <c r="T28" s="646">
        <v>16047</v>
      </c>
      <c r="U28" s="574">
        <f t="shared" si="6"/>
        <v>0</v>
      </c>
      <c r="V28" s="576">
        <f t="shared" si="18"/>
        <v>0</v>
      </c>
      <c r="W28" s="513">
        <v>2.7</v>
      </c>
      <c r="X28" s="644">
        <v>24128</v>
      </c>
      <c r="Y28" s="574">
        <f t="shared" si="8"/>
        <v>13</v>
      </c>
      <c r="Z28" s="576">
        <f t="shared" si="9"/>
        <v>35.1</v>
      </c>
      <c r="AA28" s="576">
        <f t="shared" si="10"/>
        <v>848577.6</v>
      </c>
      <c r="AB28" s="645">
        <v>29674</v>
      </c>
      <c r="AC28" s="138">
        <f t="shared" ref="AC28:AC37" si="19">SUM(AB28-AB27)</f>
        <v>37</v>
      </c>
      <c r="AD28" s="513">
        <v>199213</v>
      </c>
      <c r="AE28" s="239">
        <f t="shared" si="15"/>
        <v>40</v>
      </c>
      <c r="AF28" s="350">
        <f>'Lpg (2)'!B32*2000/85</f>
        <v>541.17647058823525</v>
      </c>
      <c r="AG28" s="351">
        <f>'Lpg (2)'!C32*1000/85</f>
        <v>1000</v>
      </c>
      <c r="AH28" s="352">
        <f>'Lpg (2)'!D32*1000/85</f>
        <v>776.47058823529414</v>
      </c>
      <c r="AI28" s="579">
        <f t="shared" si="17"/>
        <v>2858823.5294117648</v>
      </c>
      <c r="AJ28" s="578">
        <f t="shared" si="4"/>
        <v>47058.823529411573</v>
      </c>
      <c r="AK28" s="144"/>
    </row>
    <row r="29" spans="1:37" ht="19.5" thickBot="1">
      <c r="A29" s="95">
        <f>Gen!B34</f>
        <v>43914</v>
      </c>
      <c r="B29" s="569">
        <f>'Summery Report'!E28</f>
        <v>2</v>
      </c>
      <c r="C29" s="158">
        <f>Gen!C34</f>
        <v>0.02</v>
      </c>
      <c r="D29" s="570">
        <f>'Summery Report'!E28</f>
        <v>2</v>
      </c>
      <c r="E29" s="571">
        <f t="shared" si="13"/>
        <v>1.3262195121951219</v>
      </c>
      <c r="F29" s="572">
        <f t="shared" si="14"/>
        <v>640.90884146341466</v>
      </c>
      <c r="G29" s="572">
        <f t="shared" si="0"/>
        <v>806.03643292682932</v>
      </c>
      <c r="H29" s="571">
        <f>Gen!D34</f>
        <v>49118.73</v>
      </c>
      <c r="I29" s="573">
        <f>Gen!F34</f>
        <v>0</v>
      </c>
      <c r="J29" s="142">
        <f>Gen!T34</f>
        <v>966.5200000000001</v>
      </c>
      <c r="K29" s="142">
        <f>Gen!AK34</f>
        <v>249.02</v>
      </c>
      <c r="L29" s="142">
        <f t="shared" si="1"/>
        <v>1215.5400000000002</v>
      </c>
      <c r="M29" s="606">
        <f>'Water-Meter'!K69</f>
        <v>595.01155506736973</v>
      </c>
      <c r="N29" s="221">
        <f>'Water-Meter'!E29</f>
        <v>73</v>
      </c>
      <c r="O29" s="232"/>
      <c r="P29" s="513">
        <v>19022</v>
      </c>
      <c r="Q29" s="574">
        <f t="shared" si="2"/>
        <v>0</v>
      </c>
      <c r="R29" s="575">
        <f t="shared" si="5"/>
        <v>0</v>
      </c>
      <c r="S29" s="513"/>
      <c r="T29" s="646">
        <v>16047</v>
      </c>
      <c r="U29" s="574">
        <f t="shared" si="6"/>
        <v>0</v>
      </c>
      <c r="V29" s="576">
        <f t="shared" si="18"/>
        <v>0</v>
      </c>
      <c r="W29" s="513">
        <v>2.4</v>
      </c>
      <c r="X29" s="644">
        <v>24151</v>
      </c>
      <c r="Y29" s="574">
        <f t="shared" si="8"/>
        <v>23</v>
      </c>
      <c r="Z29" s="576">
        <f t="shared" si="9"/>
        <v>55.199999999999996</v>
      </c>
      <c r="AA29" s="576">
        <f t="shared" si="10"/>
        <v>1335840</v>
      </c>
      <c r="AB29" s="645">
        <v>29727</v>
      </c>
      <c r="AC29" s="138">
        <f t="shared" si="19"/>
        <v>53</v>
      </c>
      <c r="AD29" s="513">
        <v>199253</v>
      </c>
      <c r="AE29" s="239">
        <f t="shared" si="15"/>
        <v>40</v>
      </c>
      <c r="AF29" s="350">
        <f>'Lpg (2)'!B33*2000/85</f>
        <v>494.11764705882354</v>
      </c>
      <c r="AG29" s="351">
        <f>'Lpg (2)'!C33*1000/85</f>
        <v>1000</v>
      </c>
      <c r="AH29" s="352">
        <f>'Lpg (2)'!D33*1000/85</f>
        <v>776.47058823529414</v>
      </c>
      <c r="AI29" s="579">
        <f t="shared" si="17"/>
        <v>2764705.8823529412</v>
      </c>
      <c r="AJ29" s="578">
        <f t="shared" si="4"/>
        <v>94117.647058823612</v>
      </c>
      <c r="AK29" s="144"/>
    </row>
    <row r="30" spans="1:37" ht="19.5" thickBot="1">
      <c r="A30" s="95">
        <f>Gen!B35</f>
        <v>43915</v>
      </c>
      <c r="B30" s="569">
        <f>'Summery Report'!E29</f>
        <v>2</v>
      </c>
      <c r="C30" s="158">
        <f>Gen!C35</f>
        <v>0.02</v>
      </c>
      <c r="D30" s="570">
        <f>'Summery Report'!E29</f>
        <v>2</v>
      </c>
      <c r="E30" s="571">
        <f t="shared" si="13"/>
        <v>1.3262195121951219</v>
      </c>
      <c r="F30" s="572">
        <f t="shared" si="14"/>
        <v>698.24131097560974</v>
      </c>
      <c r="G30" s="572">
        <f t="shared" si="0"/>
        <v>707.59115853658534</v>
      </c>
      <c r="H30" s="571">
        <f>Gen!D35</f>
        <v>47903.19</v>
      </c>
      <c r="I30" s="573">
        <f>Gen!F35</f>
        <v>0</v>
      </c>
      <c r="J30" s="142">
        <f>Gen!T35</f>
        <v>1052.98</v>
      </c>
      <c r="K30" s="142">
        <f>Gen!AK35</f>
        <v>14.1</v>
      </c>
      <c r="L30" s="142">
        <f t="shared" si="1"/>
        <v>1067.08</v>
      </c>
      <c r="M30" s="606">
        <f>'Water-Meter'!K70</f>
        <v>563.38967585368732</v>
      </c>
      <c r="N30" s="221">
        <f>'Water-Meter'!E30</f>
        <v>60</v>
      </c>
      <c r="O30" s="232"/>
      <c r="P30" s="513">
        <v>19022</v>
      </c>
      <c r="Q30" s="574">
        <f t="shared" si="2"/>
        <v>0</v>
      </c>
      <c r="R30" s="575">
        <f t="shared" si="5"/>
        <v>0</v>
      </c>
      <c r="S30" s="513"/>
      <c r="T30" s="646">
        <v>16047</v>
      </c>
      <c r="U30" s="574">
        <f t="shared" si="6"/>
        <v>0</v>
      </c>
      <c r="V30" s="576">
        <f t="shared" si="18"/>
        <v>0</v>
      </c>
      <c r="W30" s="513">
        <v>2.4</v>
      </c>
      <c r="X30" s="644">
        <v>24176</v>
      </c>
      <c r="Y30" s="574">
        <f t="shared" si="8"/>
        <v>25</v>
      </c>
      <c r="Z30" s="576">
        <f t="shared" si="9"/>
        <v>60</v>
      </c>
      <c r="AA30" s="576">
        <f t="shared" si="10"/>
        <v>1452000</v>
      </c>
      <c r="AB30" s="645">
        <v>29788</v>
      </c>
      <c r="AC30" s="138">
        <f t="shared" si="19"/>
        <v>61</v>
      </c>
      <c r="AD30" s="513">
        <v>199289</v>
      </c>
      <c r="AE30" s="239">
        <f t="shared" si="15"/>
        <v>36</v>
      </c>
      <c r="AF30" s="350">
        <f>'Lpg (2)'!B34*2000/85</f>
        <v>470.58823529411762</v>
      </c>
      <c r="AG30" s="351">
        <f>'Lpg (2)'!C34*1000/85</f>
        <v>1000</v>
      </c>
      <c r="AH30" s="352">
        <f>'Lpg (2)'!D34*1000/85</f>
        <v>776.47058823529414</v>
      </c>
      <c r="AI30" s="579">
        <f t="shared" si="17"/>
        <v>2717647.0588235292</v>
      </c>
      <c r="AJ30" s="578">
        <f t="shared" si="4"/>
        <v>47058.823529412039</v>
      </c>
      <c r="AK30" s="144"/>
    </row>
    <row r="31" spans="1:37" ht="19.5" thickBot="1">
      <c r="A31" s="95">
        <f>Gen!B36</f>
        <v>43916</v>
      </c>
      <c r="B31" s="569">
        <f>'Summery Report'!E30</f>
        <v>1</v>
      </c>
      <c r="C31" s="158">
        <f>Gen!C36</f>
        <v>0.02</v>
      </c>
      <c r="D31" s="570">
        <f>'Summery Report'!E30</f>
        <v>1</v>
      </c>
      <c r="E31" s="571">
        <f t="shared" si="13"/>
        <v>1.3262195121951219</v>
      </c>
      <c r="F31" s="572">
        <f t="shared" si="14"/>
        <v>1408.5512195121951</v>
      </c>
      <c r="G31" s="572">
        <f t="shared" si="0"/>
        <v>1454.3986280487802</v>
      </c>
      <c r="H31" s="571">
        <f>Gen!D36</f>
        <v>46836.11</v>
      </c>
      <c r="I31" s="573">
        <f>Gen!F36</f>
        <v>0</v>
      </c>
      <c r="J31" s="142">
        <f>Gen!T36</f>
        <v>1062.08</v>
      </c>
      <c r="K31" s="142">
        <f>Gen!AK36</f>
        <v>34.57</v>
      </c>
      <c r="L31" s="142">
        <f t="shared" si="1"/>
        <v>1096.6499999999999</v>
      </c>
      <c r="M31" s="606">
        <f>'Water-Meter'!K71</f>
        <v>567.20168629755153</v>
      </c>
      <c r="N31" s="221">
        <f>'Water-Meter'!E31</f>
        <v>50</v>
      </c>
      <c r="O31" s="232"/>
      <c r="P31" s="513">
        <v>19022</v>
      </c>
      <c r="Q31" s="574">
        <f t="shared" si="2"/>
        <v>0</v>
      </c>
      <c r="R31" s="575">
        <f t="shared" si="5"/>
        <v>0</v>
      </c>
      <c r="S31" s="513"/>
      <c r="T31" s="646">
        <v>16047</v>
      </c>
      <c r="U31" s="574">
        <f t="shared" si="6"/>
        <v>0</v>
      </c>
      <c r="V31" s="576">
        <f t="shared" si="18"/>
        <v>0</v>
      </c>
      <c r="W31" s="513">
        <v>2.2999999999999998</v>
      </c>
      <c r="X31" s="647">
        <v>24200</v>
      </c>
      <c r="Y31" s="574">
        <f t="shared" si="8"/>
        <v>24</v>
      </c>
      <c r="Z31" s="576">
        <f t="shared" si="9"/>
        <v>55.199999999999996</v>
      </c>
      <c r="AA31" s="576">
        <f t="shared" si="10"/>
        <v>1335840</v>
      </c>
      <c r="AB31" s="645">
        <v>29834</v>
      </c>
      <c r="AC31" s="138">
        <f t="shared" si="19"/>
        <v>46</v>
      </c>
      <c r="AD31" s="513">
        <v>199327</v>
      </c>
      <c r="AE31" s="239">
        <f t="shared" si="15"/>
        <v>38</v>
      </c>
      <c r="AF31" s="350">
        <f>'Lpg (2)'!B35*2000/85</f>
        <v>447.05882352941177</v>
      </c>
      <c r="AG31" s="351">
        <f>'Lpg (2)'!C35*1000/85</f>
        <v>1000</v>
      </c>
      <c r="AH31" s="352">
        <f>'Lpg (2)'!D35*1000/85</f>
        <v>776.47058823529414</v>
      </c>
      <c r="AI31" s="579">
        <f t="shared" si="17"/>
        <v>2670588.2352941176</v>
      </c>
      <c r="AJ31" s="578">
        <f t="shared" si="4"/>
        <v>47058.823529411573</v>
      </c>
      <c r="AK31" s="144"/>
    </row>
    <row r="32" spans="1:37" ht="19.5" thickBot="1">
      <c r="A32" s="95">
        <f>Gen!B37</f>
        <v>43917</v>
      </c>
      <c r="B32" s="569">
        <f>'Summery Report'!E31</f>
        <v>1</v>
      </c>
      <c r="C32" s="158">
        <f>Gen!C37</f>
        <v>0</v>
      </c>
      <c r="D32" s="570">
        <f>'Summery Report'!E31</f>
        <v>1</v>
      </c>
      <c r="E32" s="571">
        <f t="shared" si="13"/>
        <v>1.3262195121951219</v>
      </c>
      <c r="F32" s="572">
        <f t="shared" si="14"/>
        <v>1270.7967987804877</v>
      </c>
      <c r="G32" s="572">
        <f t="shared" si="0"/>
        <v>1461.9315548780487</v>
      </c>
      <c r="H32" s="571">
        <f>Gen!D37</f>
        <v>45739.46</v>
      </c>
      <c r="I32" s="573">
        <f>Gen!F37</f>
        <v>0</v>
      </c>
      <c r="J32" s="142">
        <f>Gen!T37</f>
        <v>958.21</v>
      </c>
      <c r="K32" s="142">
        <f>Gen!AK37</f>
        <v>144.12</v>
      </c>
      <c r="L32" s="142">
        <f t="shared" si="1"/>
        <v>1102.33</v>
      </c>
      <c r="M32" s="606">
        <f>'Water-Meter'!K72</f>
        <v>479.82591192496812</v>
      </c>
      <c r="N32" s="221">
        <f>'Water-Meter'!E32</f>
        <v>96</v>
      </c>
      <c r="O32" s="232"/>
      <c r="P32" s="513">
        <v>19025</v>
      </c>
      <c r="Q32" s="574">
        <f t="shared" si="2"/>
        <v>3</v>
      </c>
      <c r="R32" s="575">
        <f t="shared" si="5"/>
        <v>0</v>
      </c>
      <c r="S32" s="513">
        <v>7.1</v>
      </c>
      <c r="T32" s="646">
        <v>16064</v>
      </c>
      <c r="U32" s="574">
        <f t="shared" si="6"/>
        <v>17</v>
      </c>
      <c r="V32" s="576">
        <f t="shared" si="18"/>
        <v>120.69999999999999</v>
      </c>
      <c r="W32" s="513"/>
      <c r="X32" s="644">
        <v>24200</v>
      </c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>
        <v>29886</v>
      </c>
      <c r="AC32" s="138">
        <f t="shared" si="19"/>
        <v>52</v>
      </c>
      <c r="AD32" s="513">
        <v>199362</v>
      </c>
      <c r="AE32" s="239">
        <f t="shared" si="15"/>
        <v>35</v>
      </c>
      <c r="AF32" s="350">
        <f>'Lpg (2)'!B36*2000/85</f>
        <v>423.52941176470586</v>
      </c>
      <c r="AG32" s="351">
        <f>'Lpg (2)'!C36*1000/85</f>
        <v>1000</v>
      </c>
      <c r="AH32" s="352">
        <f>'Lpg (2)'!D36*1000/85</f>
        <v>776.47058823529414</v>
      </c>
      <c r="AI32" s="579">
        <f t="shared" si="17"/>
        <v>2623529.4117647056</v>
      </c>
      <c r="AJ32" s="578">
        <f t="shared" si="4"/>
        <v>47058.823529412039</v>
      </c>
      <c r="AK32" s="144"/>
    </row>
    <row r="33" spans="1:37" ht="19.5" thickBot="1">
      <c r="A33" s="95">
        <f>Gen!B38</f>
        <v>43918</v>
      </c>
      <c r="B33" s="569">
        <f>'Summery Report'!E32</f>
        <v>1</v>
      </c>
      <c r="C33" s="158">
        <f>Gen!C38</f>
        <v>0</v>
      </c>
      <c r="D33" s="570">
        <f>'Summery Report'!E32</f>
        <v>1</v>
      </c>
      <c r="E33" s="571">
        <f t="shared" si="13"/>
        <v>1.3262195121951219</v>
      </c>
      <c r="F33" s="572">
        <f t="shared" si="14"/>
        <v>1075.9088414634145</v>
      </c>
      <c r="G33" s="572">
        <f t="shared" si="0"/>
        <v>1179.6192073170732</v>
      </c>
      <c r="H33" s="571">
        <f>Gen!D38</f>
        <v>44637.13</v>
      </c>
      <c r="I33" s="573">
        <f>Gen!F38</f>
        <v>0</v>
      </c>
      <c r="J33" s="142">
        <f>Gen!T38</f>
        <v>811.26</v>
      </c>
      <c r="K33" s="142">
        <f>Gen!AK38</f>
        <v>78.2</v>
      </c>
      <c r="L33" s="142">
        <f t="shared" si="1"/>
        <v>889.46</v>
      </c>
      <c r="M33" s="606">
        <f>'Water-Meter'!K73</f>
        <v>511.05585887738653</v>
      </c>
      <c r="N33" s="221">
        <f>'Water-Meter'!E33</f>
        <v>32</v>
      </c>
      <c r="O33" s="232"/>
      <c r="P33" s="513">
        <v>19025</v>
      </c>
      <c r="Q33" s="574">
        <f t="shared" si="2"/>
        <v>0</v>
      </c>
      <c r="R33" s="575">
        <f t="shared" si="5"/>
        <v>0</v>
      </c>
      <c r="S33" s="513">
        <v>7.2</v>
      </c>
      <c r="T33" s="646">
        <v>16069</v>
      </c>
      <c r="U33" s="574">
        <f t="shared" si="6"/>
        <v>5</v>
      </c>
      <c r="V33" s="576">
        <f t="shared" si="18"/>
        <v>36</v>
      </c>
      <c r="W33" s="513"/>
      <c r="X33" s="644">
        <v>24200</v>
      </c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>
        <v>30021</v>
      </c>
      <c r="AC33" s="138">
        <f t="shared" si="19"/>
        <v>135</v>
      </c>
      <c r="AD33" s="513">
        <v>199386</v>
      </c>
      <c r="AE33" s="239">
        <f t="shared" si="15"/>
        <v>24</v>
      </c>
      <c r="AF33" s="350">
        <f>'Lpg (2)'!B37*2000/85</f>
        <v>376.47058823529414</v>
      </c>
      <c r="AG33" s="351">
        <f>'Lpg (2)'!C37*1000/85</f>
        <v>1000</v>
      </c>
      <c r="AH33" s="352">
        <f>'Lpg (2)'!D37*1000/85</f>
        <v>776.47058823529414</v>
      </c>
      <c r="AI33" s="579">
        <f t="shared" si="17"/>
        <v>2529411.7647058824</v>
      </c>
      <c r="AJ33" s="578">
        <f t="shared" si="4"/>
        <v>94117.647058823146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43747.67</v>
      </c>
      <c r="I34" s="573">
        <f>Gen!F39</f>
        <v>0</v>
      </c>
      <c r="J34" s="142">
        <f>Gen!T39</f>
        <v>838.53</v>
      </c>
      <c r="K34" s="142">
        <f>Gen!AK39</f>
        <v>0</v>
      </c>
      <c r="L34" s="142">
        <f t="shared" si="1"/>
        <v>838.53</v>
      </c>
      <c r="M34" s="606">
        <f>'Water-Meter'!K74</f>
        <v>511.05585887738653</v>
      </c>
      <c r="N34" s="221">
        <f>'Water-Meter'!E34</f>
        <v>38</v>
      </c>
      <c r="O34" s="232"/>
      <c r="P34" s="513">
        <v>19025</v>
      </c>
      <c r="Q34" s="574">
        <f t="shared" si="2"/>
        <v>0</v>
      </c>
      <c r="R34" s="575">
        <f t="shared" si="5"/>
        <v>0</v>
      </c>
      <c r="S34" s="513"/>
      <c r="T34" s="646">
        <v>16069</v>
      </c>
      <c r="U34" s="574">
        <f t="shared" si="6"/>
        <v>0</v>
      </c>
      <c r="V34" s="576">
        <f t="shared" si="18"/>
        <v>0</v>
      </c>
      <c r="W34" s="513">
        <v>2.4</v>
      </c>
      <c r="X34" s="644">
        <v>24216</v>
      </c>
      <c r="Y34" s="574">
        <f t="shared" si="8"/>
        <v>16</v>
      </c>
      <c r="Z34" s="576">
        <f t="shared" si="9"/>
        <v>38.4</v>
      </c>
      <c r="AA34" s="576">
        <f t="shared" si="10"/>
        <v>0</v>
      </c>
      <c r="AB34" s="645">
        <v>30055</v>
      </c>
      <c r="AC34" s="138">
        <f t="shared" si="19"/>
        <v>34</v>
      </c>
      <c r="AD34" s="513">
        <v>199411</v>
      </c>
      <c r="AE34" s="239">
        <f t="shared" si="15"/>
        <v>25</v>
      </c>
      <c r="AF34" s="350">
        <f>'Lpg (2)'!B38*2000/85</f>
        <v>352.94117647058823</v>
      </c>
      <c r="AG34" s="351">
        <f>'Lpg (2)'!C38*1000/85</f>
        <v>1000</v>
      </c>
      <c r="AH34" s="352">
        <f>'Lpg (2)'!D38*1000/85</f>
        <v>776.47058823529414</v>
      </c>
      <c r="AI34" s="579">
        <f t="shared" si="17"/>
        <v>2482352.9411764704</v>
      </c>
      <c r="AJ34" s="578">
        <f t="shared" si="4"/>
        <v>47058.823529412039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42909.14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 t="str">
        <f>'Water-Meter'!E35</f>
        <v>0</v>
      </c>
      <c r="O35" s="232"/>
      <c r="P35" s="513"/>
      <c r="Q35" s="574">
        <f t="shared" si="2"/>
        <v>-19025</v>
      </c>
      <c r="R35" s="575">
        <f t="shared" si="5"/>
        <v>0</v>
      </c>
      <c r="S35" s="513"/>
      <c r="T35" s="646"/>
      <c r="U35" s="574">
        <f t="shared" si="6"/>
        <v>-16069</v>
      </c>
      <c r="V35" s="576">
        <f t="shared" si="18"/>
        <v>0</v>
      </c>
      <c r="W35" s="513"/>
      <c r="X35" s="644"/>
      <c r="Y35" s="574">
        <f t="shared" si="8"/>
        <v>-24216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-30055</v>
      </c>
      <c r="AD35" s="513"/>
      <c r="AE35" s="239">
        <f t="shared" si="15"/>
        <v>-199411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2482352.9411764704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42909.14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48750.31</v>
      </c>
      <c r="K37" s="165"/>
      <c r="L37" s="142">
        <f t="shared" si="1"/>
        <v>48750.31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7" zoomScale="86" zoomScaleNormal="86" workbookViewId="0">
      <selection activeCell="W35" sqref="W3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4" t="s">
        <v>151</v>
      </c>
      <c r="C1" s="785"/>
      <c r="D1" s="785"/>
      <c r="E1" s="785"/>
      <c r="F1" s="786"/>
      <c r="G1" s="189"/>
      <c r="H1" s="784" t="s">
        <v>152</v>
      </c>
      <c r="I1" s="785"/>
      <c r="J1" s="785"/>
      <c r="K1" s="785"/>
      <c r="L1" s="786"/>
      <c r="M1" s="784" t="s">
        <v>171</v>
      </c>
      <c r="N1" s="785"/>
      <c r="O1" s="785"/>
      <c r="P1" s="785"/>
      <c r="Q1" s="786"/>
      <c r="R1" s="189"/>
      <c r="T1" s="784" t="s">
        <v>167</v>
      </c>
      <c r="U1" s="785"/>
      <c r="V1" s="785"/>
      <c r="W1" s="785"/>
      <c r="X1" s="786"/>
      <c r="Y1" s="784" t="s">
        <v>170</v>
      </c>
      <c r="Z1" s="785"/>
      <c r="AA1" s="785"/>
      <c r="AB1" s="785"/>
      <c r="AC1" s="786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7" t="s">
        <v>157</v>
      </c>
      <c r="C3" s="788"/>
      <c r="D3" s="205"/>
      <c r="E3" s="520">
        <v>8546.1</v>
      </c>
      <c r="F3" s="206" t="s">
        <v>158</v>
      </c>
      <c r="G3" s="197"/>
      <c r="H3" s="787" t="s">
        <v>157</v>
      </c>
      <c r="I3" s="788"/>
      <c r="J3" s="323"/>
      <c r="K3" s="449">
        <f>'[1]Water-Meter'!G5</f>
        <v>36423</v>
      </c>
      <c r="L3" s="323"/>
      <c r="M3" s="787" t="s">
        <v>157</v>
      </c>
      <c r="N3" s="788"/>
      <c r="O3" s="205"/>
      <c r="P3" s="214">
        <f>'[1]Water-Meter'!J5</f>
        <v>7351</v>
      </c>
      <c r="Q3" s="204"/>
      <c r="R3" s="323"/>
      <c r="S3" s="454"/>
      <c r="T3" s="787" t="s">
        <v>157</v>
      </c>
      <c r="U3" s="788"/>
      <c r="V3" s="205"/>
      <c r="W3" s="196">
        <v>7717.6</v>
      </c>
      <c r="X3" s="203">
        <f t="shared" ref="X3:X35" si="0">(W3-V3)*200</f>
        <v>1543520</v>
      </c>
      <c r="Y3" s="787" t="s">
        <v>157</v>
      </c>
      <c r="Z3" s="788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7730.4</v>
      </c>
      <c r="X6" s="203">
        <f t="shared" si="0"/>
        <v>639.99999999996362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>
        <v>8563.7000000000007</v>
      </c>
      <c r="F7" s="203">
        <f t="shared" si="2"/>
        <v>552.00000000004366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8.3890577507605424E-2</v>
      </c>
      <c r="T7" s="242">
        <f t="shared" si="12"/>
        <v>43894</v>
      </c>
      <c r="U7" s="195"/>
      <c r="V7" s="195">
        <f t="shared" si="8"/>
        <v>7730.4</v>
      </c>
      <c r="W7" s="196">
        <v>7738.7</v>
      </c>
      <c r="X7" s="203">
        <f t="shared" si="0"/>
        <v>1660.0000000000364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1</v>
      </c>
      <c r="B8" s="95">
        <f>Gen!B15</f>
        <v>43895</v>
      </c>
      <c r="C8" s="195"/>
      <c r="D8" s="195">
        <f t="shared" si="1"/>
        <v>8563.7000000000007</v>
      </c>
      <c r="E8" s="520">
        <v>8568.4</v>
      </c>
      <c r="F8" s="203">
        <f t="shared" si="2"/>
        <v>563.99999999986903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9.0631528201810863E-2</v>
      </c>
      <c r="T8" s="242">
        <f t="shared" si="12"/>
        <v>43895</v>
      </c>
      <c r="U8" s="195"/>
      <c r="V8" s="195">
        <f t="shared" si="8"/>
        <v>7738.7</v>
      </c>
      <c r="W8" s="196">
        <v>7743.9</v>
      </c>
      <c r="X8" s="203">
        <f t="shared" si="0"/>
        <v>1039.9999999999636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1</v>
      </c>
      <c r="B9" s="95">
        <f>Gen!B16</f>
        <v>43896</v>
      </c>
      <c r="C9" s="195"/>
      <c r="D9" s="195">
        <f t="shared" si="1"/>
        <v>8568.4</v>
      </c>
      <c r="E9" s="520">
        <v>8573.2000000000007</v>
      </c>
      <c r="F9" s="203">
        <f t="shared" si="2"/>
        <v>576.00000000013097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9.6256684492000491E-2</v>
      </c>
      <c r="T9" s="242">
        <f t="shared" si="12"/>
        <v>43896</v>
      </c>
      <c r="U9" s="195"/>
      <c r="V9" s="195">
        <f t="shared" si="8"/>
        <v>7743.9</v>
      </c>
      <c r="W9" s="196">
        <v>7749.7</v>
      </c>
      <c r="X9" s="203">
        <f t="shared" si="0"/>
        <v>1160.0000000000364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1</v>
      </c>
      <c r="B10" s="95">
        <f>Gen!B17</f>
        <v>43897</v>
      </c>
      <c r="C10" s="195"/>
      <c r="D10" s="195">
        <f t="shared" si="1"/>
        <v>8573.2000000000007</v>
      </c>
      <c r="E10" s="520">
        <v>8579.1</v>
      </c>
      <c r="F10" s="203">
        <f t="shared" si="2"/>
        <v>707.99999999995634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0.11600852039979623</v>
      </c>
      <c r="T10" s="242">
        <f t="shared" si="12"/>
        <v>43897</v>
      </c>
      <c r="U10" s="195"/>
      <c r="V10" s="195">
        <f t="shared" si="8"/>
        <v>7749.7</v>
      </c>
      <c r="W10" s="196">
        <v>7755.5</v>
      </c>
      <c r="X10" s="203">
        <f t="shared" si="0"/>
        <v>1160.0000000000364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0.59740000000000004</v>
      </c>
      <c r="B11" s="95">
        <f>Gen!B18</f>
        <v>43898</v>
      </c>
      <c r="C11" s="195"/>
      <c r="D11" s="195">
        <f t="shared" si="1"/>
        <v>8579.1</v>
      </c>
      <c r="E11" s="520">
        <v>8583.7999999999993</v>
      </c>
      <c r="F11" s="203">
        <f t="shared" si="2"/>
        <v>563.99999999986903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0.1011477761836207</v>
      </c>
      <c r="T11" s="242">
        <f t="shared" si="12"/>
        <v>43898</v>
      </c>
      <c r="U11" s="195"/>
      <c r="V11" s="195">
        <f t="shared" si="8"/>
        <v>7755.5</v>
      </c>
      <c r="W11" s="196">
        <v>7761.8</v>
      </c>
      <c r="X11" s="203">
        <f t="shared" si="0"/>
        <v>1260.0000000000364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0.57140000000000002</v>
      </c>
      <c r="B12" s="95">
        <f>Gen!B19</f>
        <v>43899</v>
      </c>
      <c r="C12" s="195"/>
      <c r="D12" s="195">
        <f t="shared" si="1"/>
        <v>8583.7999999999993</v>
      </c>
      <c r="E12" s="520">
        <v>8588.2000000000007</v>
      </c>
      <c r="F12" s="203">
        <f t="shared" si="2"/>
        <v>528.00000000017462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9.544468546640901E-2</v>
      </c>
      <c r="T12" s="242">
        <f t="shared" si="12"/>
        <v>43899</v>
      </c>
      <c r="U12" s="195"/>
      <c r="V12" s="195">
        <f t="shared" si="8"/>
        <v>7761.8</v>
      </c>
      <c r="W12" s="196">
        <v>7767.3</v>
      </c>
      <c r="X12" s="203">
        <f t="shared" si="0"/>
        <v>1100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0.58440000000000003</v>
      </c>
      <c r="B13" s="95">
        <f>Gen!B20</f>
        <v>43900</v>
      </c>
      <c r="C13" s="195"/>
      <c r="D13" s="195">
        <f t="shared" si="1"/>
        <v>8588.2000000000007</v>
      </c>
      <c r="E13" s="520">
        <v>8592.7999999999993</v>
      </c>
      <c r="F13" s="203">
        <f t="shared" si="2"/>
        <v>551.99999999982538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8.8560885608828077E-2</v>
      </c>
      <c r="T13" s="242">
        <f t="shared" si="12"/>
        <v>43900</v>
      </c>
      <c r="U13" s="195"/>
      <c r="V13" s="195">
        <f t="shared" si="8"/>
        <v>7767.3</v>
      </c>
      <c r="W13" s="196">
        <v>7770.9</v>
      </c>
      <c r="X13" s="203">
        <f t="shared" si="0"/>
        <v>719.99999999989086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3.9E-2</v>
      </c>
      <c r="B14" s="95">
        <f>Gen!B21</f>
        <v>43901</v>
      </c>
      <c r="C14" s="195"/>
      <c r="D14" s="195">
        <f t="shared" si="1"/>
        <v>8592.7999999999993</v>
      </c>
      <c r="E14" s="520">
        <v>8596.9</v>
      </c>
      <c r="F14" s="203">
        <f t="shared" si="2"/>
        <v>492.00000000004366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8.1147946561115569E-2</v>
      </c>
      <c r="T14" s="242">
        <f t="shared" si="12"/>
        <v>43901</v>
      </c>
      <c r="U14" s="195"/>
      <c r="V14" s="195">
        <f t="shared" si="8"/>
        <v>7770.9</v>
      </c>
      <c r="W14" s="196">
        <v>7774.2</v>
      </c>
      <c r="X14" s="203">
        <f t="shared" si="0"/>
        <v>660.00000000003638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3.9E-2</v>
      </c>
      <c r="B15" s="95">
        <f>Gen!B22</f>
        <v>43902</v>
      </c>
      <c r="C15" s="195"/>
      <c r="D15" s="195">
        <f t="shared" si="1"/>
        <v>8596.9</v>
      </c>
      <c r="E15" s="520">
        <v>8601.2000000000007</v>
      </c>
      <c r="F15" s="203">
        <f t="shared" si="2"/>
        <v>516.00000000013097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8.6475615887402546E-2</v>
      </c>
      <c r="T15" s="242">
        <f t="shared" si="12"/>
        <v>43902</v>
      </c>
      <c r="U15" s="195"/>
      <c r="V15" s="195">
        <f t="shared" si="8"/>
        <v>7774.2</v>
      </c>
      <c r="W15" s="196">
        <v>7776.2</v>
      </c>
      <c r="X15" s="203">
        <f t="shared" si="0"/>
        <v>400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3.9E-2</v>
      </c>
      <c r="B16" s="95">
        <f>Gen!B23</f>
        <v>43903</v>
      </c>
      <c r="C16" s="195"/>
      <c r="D16" s="195">
        <f t="shared" si="1"/>
        <v>8601.2000000000007</v>
      </c>
      <c r="E16" s="520">
        <v>8605.2000000000007</v>
      </c>
      <c r="F16" s="203">
        <f>SUM(E16-D16)*120</f>
        <v>480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8.1869350162033089E-2</v>
      </c>
      <c r="T16" s="242">
        <f t="shared" si="12"/>
        <v>43903</v>
      </c>
      <c r="U16" s="195"/>
      <c r="V16" s="195">
        <f t="shared" si="8"/>
        <v>7776.2</v>
      </c>
      <c r="W16" s="196">
        <v>7778.2</v>
      </c>
      <c r="X16" s="203">
        <f t="shared" si="0"/>
        <v>400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2.86E-2</v>
      </c>
      <c r="B17" s="95">
        <f>Gen!B24</f>
        <v>43904</v>
      </c>
      <c r="C17" s="195"/>
      <c r="D17" s="195">
        <f t="shared" si="1"/>
        <v>8605.2000000000007</v>
      </c>
      <c r="E17" s="520">
        <v>8608.1</v>
      </c>
      <c r="F17" s="203">
        <f>SUM(E17-D17)*120</f>
        <v>347.99999999995634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6.0839160839153208E-2</v>
      </c>
      <c r="T17" s="242">
        <f t="shared" si="12"/>
        <v>43904</v>
      </c>
      <c r="U17" s="195"/>
      <c r="V17" s="195">
        <f t="shared" si="8"/>
        <v>7778.2</v>
      </c>
      <c r="W17" s="196">
        <v>7780.9</v>
      </c>
      <c r="X17" s="203">
        <f t="shared" si="0"/>
        <v>539.99999999996362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6.4899999999999999E-2</v>
      </c>
      <c r="B18" s="95">
        <f>Gen!B25</f>
        <v>43905</v>
      </c>
      <c r="C18" s="195"/>
      <c r="D18" s="195">
        <f t="shared" si="1"/>
        <v>8608.1</v>
      </c>
      <c r="E18" s="520">
        <v>8610.4</v>
      </c>
      <c r="F18" s="203">
        <f t="shared" ref="F18:F22" si="15">SUM(E18-D18)*120</f>
        <v>275.99999999991269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4.4552058111366054E-2</v>
      </c>
      <c r="T18" s="242">
        <f t="shared" si="12"/>
        <v>43905</v>
      </c>
      <c r="U18" s="195"/>
      <c r="V18" s="195">
        <f t="shared" si="8"/>
        <v>7780.9</v>
      </c>
      <c r="W18" s="196">
        <v>7783.1</v>
      </c>
      <c r="X18" s="203">
        <f t="shared" si="0"/>
        <v>440.00000000014552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5.1900000000000002E-2</v>
      </c>
      <c r="B19" s="95">
        <f>Gen!B26</f>
        <v>43906</v>
      </c>
      <c r="C19" s="198"/>
      <c r="D19" s="195">
        <f t="shared" si="1"/>
        <v>8610.4</v>
      </c>
      <c r="E19" s="520">
        <v>8612.5</v>
      </c>
      <c r="F19" s="203">
        <f t="shared" si="15"/>
        <v>252.00000000004366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3.9069767441867236E-2</v>
      </c>
      <c r="T19" s="242">
        <f t="shared" si="12"/>
        <v>43906</v>
      </c>
      <c r="U19" s="198"/>
      <c r="V19" s="195">
        <f t="shared" si="8"/>
        <v>7783.1</v>
      </c>
      <c r="W19" s="196">
        <v>7785.9</v>
      </c>
      <c r="X19" s="203">
        <f t="shared" si="0"/>
        <v>559.99999999985448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2.5999999999999999E-2</v>
      </c>
      <c r="B20" s="95">
        <f>Gen!B27</f>
        <v>43907</v>
      </c>
      <c r="C20" s="198"/>
      <c r="D20" s="195">
        <f t="shared" si="1"/>
        <v>8612.5</v>
      </c>
      <c r="E20" s="520">
        <v>8614.4</v>
      </c>
      <c r="F20" s="203">
        <f t="shared" si="15"/>
        <v>227.99999999995634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3.2971800433833166E-2</v>
      </c>
      <c r="T20" s="242">
        <f t="shared" si="12"/>
        <v>43907</v>
      </c>
      <c r="U20" s="198"/>
      <c r="V20" s="195">
        <f t="shared" si="8"/>
        <v>7785.9</v>
      </c>
      <c r="W20" s="196">
        <v>7787.8</v>
      </c>
      <c r="X20" s="203">
        <f t="shared" si="0"/>
        <v>380.00000000010914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5.1900000000000002E-2</v>
      </c>
      <c r="B21" s="95">
        <f>Gen!B28</f>
        <v>43908</v>
      </c>
      <c r="C21" s="198"/>
      <c r="D21" s="195">
        <f t="shared" si="1"/>
        <v>8614.4</v>
      </c>
      <c r="E21" s="520">
        <v>8616.4</v>
      </c>
      <c r="F21" s="203">
        <f t="shared" si="15"/>
        <v>240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4.5653414494959105E-2</v>
      </c>
      <c r="T21" s="242">
        <f t="shared" si="12"/>
        <v>43908</v>
      </c>
      <c r="U21" s="198"/>
      <c r="V21" s="195">
        <f t="shared" si="8"/>
        <v>7787.8</v>
      </c>
      <c r="W21" s="196">
        <v>7789.1</v>
      </c>
      <c r="X21" s="203">
        <f t="shared" si="0"/>
        <v>260.00000000003638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0.02</v>
      </c>
      <c r="B22" s="95">
        <f>Gen!B29</f>
        <v>43909</v>
      </c>
      <c r="C22" s="195"/>
      <c r="D22" s="195">
        <f t="shared" si="1"/>
        <v>8616.4</v>
      </c>
      <c r="E22" s="520">
        <v>8618.2999999999993</v>
      </c>
      <c r="F22" s="203">
        <f t="shared" si="15"/>
        <v>227.99999999995634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4.8603709230431967E-2</v>
      </c>
      <c r="T22" s="242">
        <f t="shared" si="12"/>
        <v>43909</v>
      </c>
      <c r="U22" s="195"/>
      <c r="V22" s="195">
        <f t="shared" si="8"/>
        <v>7789.1</v>
      </c>
      <c r="W22" s="196">
        <v>7790.5</v>
      </c>
      <c r="X22" s="203">
        <f t="shared" si="0"/>
        <v>279.99999999992724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0.02</v>
      </c>
      <c r="B23" s="95">
        <f>Gen!B30</f>
        <v>43910</v>
      </c>
      <c r="C23" s="198"/>
      <c r="D23" s="195">
        <f t="shared" si="1"/>
        <v>8618.2999999999993</v>
      </c>
      <c r="E23" s="520">
        <v>8620.4</v>
      </c>
      <c r="F23" s="203">
        <f t="shared" ref="F23:F34" si="17">SUM(E23-D23)*120</f>
        <v>252.00000000004366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4.4117647058831172E-2</v>
      </c>
      <c r="T23" s="242">
        <f t="shared" si="12"/>
        <v>43910</v>
      </c>
      <c r="U23" s="198"/>
      <c r="V23" s="195">
        <f t="shared" si="8"/>
        <v>7790.5</v>
      </c>
      <c r="W23" s="196">
        <v>7792.1</v>
      </c>
      <c r="X23" s="203">
        <f t="shared" si="0"/>
        <v>320.00000000007276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8620.4</v>
      </c>
      <c r="E24" s="520">
        <v>8622.4</v>
      </c>
      <c r="F24" s="203">
        <f t="shared" si="17"/>
        <v>240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4.0397239521966E-2</v>
      </c>
      <c r="T24" s="242">
        <v>5835.7</v>
      </c>
      <c r="U24" s="198"/>
      <c r="V24" s="195">
        <f t="shared" si="8"/>
        <v>7792.1</v>
      </c>
      <c r="W24" s="196">
        <v>7793.3</v>
      </c>
      <c r="X24" s="203">
        <f t="shared" si="0"/>
        <v>239.99999999996362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8622.4</v>
      </c>
      <c r="E25" s="520">
        <v>8623.7999999999993</v>
      </c>
      <c r="F25" s="203">
        <f t="shared" si="17"/>
        <v>167.99999999995634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3.1111111111103026E-2</v>
      </c>
      <c r="T25" s="242">
        <f t="shared" si="12"/>
        <v>43912</v>
      </c>
      <c r="U25" s="198"/>
      <c r="V25" s="195">
        <f t="shared" si="8"/>
        <v>7793.3</v>
      </c>
      <c r="W25" s="196">
        <v>7793.7</v>
      </c>
      <c r="X25" s="203">
        <f t="shared" si="0"/>
        <v>79.99999999992724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8623.7999999999993</v>
      </c>
      <c r="E26" s="520">
        <v>8625.6</v>
      </c>
      <c r="F26" s="203">
        <f t="shared" si="17"/>
        <v>216.00000000013097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4.021597467885514E-2</v>
      </c>
      <c r="T26" s="242">
        <f t="shared" si="12"/>
        <v>43913</v>
      </c>
      <c r="U26" s="198"/>
      <c r="V26" s="195">
        <f t="shared" si="8"/>
        <v>7793.7</v>
      </c>
      <c r="W26" s="196">
        <v>7794.5</v>
      </c>
      <c r="X26" s="203">
        <f t="shared" si="0"/>
        <v>160.00000000003638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0.02</v>
      </c>
      <c r="B27" s="95">
        <f>Gen!B34</f>
        <v>43914</v>
      </c>
      <c r="C27" s="198"/>
      <c r="D27" s="195">
        <f t="shared" si="18"/>
        <v>8625.6</v>
      </c>
      <c r="E27" s="520">
        <v>8627.2000000000007</v>
      </c>
      <c r="F27" s="203">
        <f t="shared" si="17"/>
        <v>192.00000000004366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3.6253776435053557E-2</v>
      </c>
      <c r="T27" s="242">
        <f t="shared" si="12"/>
        <v>43914</v>
      </c>
      <c r="U27" s="198"/>
      <c r="V27" s="195">
        <f t="shared" si="8"/>
        <v>7794.5</v>
      </c>
      <c r="W27" s="196">
        <v>7795.3</v>
      </c>
      <c r="X27" s="203">
        <f t="shared" si="0"/>
        <v>160.00000000003638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0.02</v>
      </c>
      <c r="B28" s="95">
        <f>Gen!B35</f>
        <v>43915</v>
      </c>
      <c r="C28" s="198"/>
      <c r="D28" s="195">
        <f t="shared" si="18"/>
        <v>8627.2000000000007</v>
      </c>
      <c r="E28" s="520">
        <v>8628.7999999999993</v>
      </c>
      <c r="F28" s="203">
        <f t="shared" si="17"/>
        <v>191.99999999982538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3.6774564259686914E-2</v>
      </c>
      <c r="T28" s="242">
        <f t="shared" si="12"/>
        <v>43915</v>
      </c>
      <c r="U28" s="198"/>
      <c r="V28" s="195">
        <f t="shared" si="8"/>
        <v>7795.3</v>
      </c>
      <c r="W28" s="196">
        <v>7795.7</v>
      </c>
      <c r="X28" s="203">
        <f t="shared" si="0"/>
        <v>79.99999999992724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0.02</v>
      </c>
      <c r="B29" s="95">
        <f>Gen!B36</f>
        <v>43916</v>
      </c>
      <c r="C29" s="198"/>
      <c r="D29" s="195">
        <f t="shared" si="18"/>
        <v>8628.7999999999993</v>
      </c>
      <c r="E29" s="520">
        <v>8630.2000000000007</v>
      </c>
      <c r="F29" s="203">
        <f t="shared" si="17"/>
        <v>168.00000000017462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2.9655781112122616E-2</v>
      </c>
      <c r="T29" s="242">
        <f t="shared" si="12"/>
        <v>43916</v>
      </c>
      <c r="U29" s="198"/>
      <c r="V29" s="195">
        <f t="shared" si="8"/>
        <v>7795.7</v>
      </c>
      <c r="W29" s="196">
        <v>7796.5</v>
      </c>
      <c r="X29" s="203">
        <f t="shared" si="0"/>
        <v>160.00000000003638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8630.2000000000007</v>
      </c>
      <c r="E30" s="520">
        <v>8631.7000000000007</v>
      </c>
      <c r="F30" s="203">
        <f t="shared" si="17"/>
        <v>180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2.9464724177443117E-2</v>
      </c>
      <c r="T30" s="242">
        <f t="shared" si="12"/>
        <v>43917</v>
      </c>
      <c r="U30" s="198"/>
      <c r="V30" s="195">
        <f t="shared" si="8"/>
        <v>7796.5</v>
      </c>
      <c r="W30" s="196">
        <v>7797.5</v>
      </c>
      <c r="X30" s="203">
        <f t="shared" si="0"/>
        <v>200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8631.7000000000007</v>
      </c>
      <c r="E31" s="520">
        <v>8632.9</v>
      </c>
      <c r="F31" s="203">
        <f t="shared" si="17"/>
        <v>143.99999999986903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7797.5</v>
      </c>
      <c r="W31" s="196">
        <v>7798.3</v>
      </c>
      <c r="X31" s="203">
        <f t="shared" si="0"/>
        <v>160.00000000003638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8632.9</v>
      </c>
      <c r="E32" s="520">
        <v>8634.2999999999993</v>
      </c>
      <c r="F32" s="203">
        <f t="shared" si="17"/>
        <v>167.99999999995634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7798.3</v>
      </c>
      <c r="W32" s="196">
        <v>7798.9</v>
      </c>
      <c r="X32" s="203">
        <f t="shared" si="0"/>
        <v>119.99999999989086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8634.2999999999993</v>
      </c>
      <c r="E33" s="520"/>
      <c r="F33" s="203">
        <f t="shared" si="17"/>
        <v>-1036115.9999999999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7798.9</v>
      </c>
      <c r="W33" s="196"/>
      <c r="X33" s="203">
        <f t="shared" si="0"/>
        <v>-1559780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2559.9999999998545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6" sqref="E3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9" t="s">
        <v>315</v>
      </c>
      <c r="B2" s="790"/>
      <c r="C2" s="790"/>
      <c r="D2" s="790"/>
      <c r="E2" s="79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42</v>
      </c>
      <c r="C8" s="89">
        <f>Gen!C14</f>
        <v>1</v>
      </c>
      <c r="D8" s="587">
        <f>E8</f>
        <v>77</v>
      </c>
      <c r="E8" s="76">
        <v>77</v>
      </c>
      <c r="F8" s="72">
        <f>Gen!U12</f>
        <v>5543</v>
      </c>
      <c r="G8" s="87">
        <f>Gen!T12</f>
        <v>2125.4799999999996</v>
      </c>
      <c r="H8" s="87">
        <f>Gen!AK14</f>
        <v>149.94</v>
      </c>
      <c r="I8" s="87">
        <f t="shared" si="1"/>
        <v>2275.4199999999996</v>
      </c>
      <c r="J8" s="602">
        <f>Gen!D14</f>
        <v>43191.070000000007</v>
      </c>
      <c r="K8" s="385">
        <f>'Water-Meter'!E9</f>
        <v>163</v>
      </c>
      <c r="L8" s="603">
        <f>'Lpg (2)'!G13</f>
        <v>105.60000000000001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42</v>
      </c>
      <c r="C9" s="89">
        <f>Gen!C15</f>
        <v>1</v>
      </c>
      <c r="D9" s="587">
        <f t="shared" si="0"/>
        <v>77</v>
      </c>
      <c r="E9" s="76">
        <v>77</v>
      </c>
      <c r="F9" s="72">
        <f>Gen!U13</f>
        <v>4636</v>
      </c>
      <c r="G9" s="87">
        <f>Gen!T13</f>
        <v>2081.2800000000002</v>
      </c>
      <c r="H9" s="87">
        <f>Gen!AK15</f>
        <v>44.9</v>
      </c>
      <c r="I9" s="87">
        <f t="shared" si="1"/>
        <v>2126.1800000000003</v>
      </c>
      <c r="J9" s="602">
        <f>Gen!D15</f>
        <v>40619.840000000004</v>
      </c>
      <c r="K9" s="385">
        <f>'Water-Meter'!E10</f>
        <v>177</v>
      </c>
      <c r="L9" s="603">
        <f>'Lpg (2)'!G14</f>
        <v>103.83999999996159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51</v>
      </c>
      <c r="C10" s="89">
        <f>Gen!C16</f>
        <v>1</v>
      </c>
      <c r="D10" s="587">
        <f t="shared" si="0"/>
        <v>77</v>
      </c>
      <c r="E10" s="76">
        <v>77</v>
      </c>
      <c r="F10" s="72">
        <f>Gen!U14</f>
        <v>6200</v>
      </c>
      <c r="G10" s="87">
        <f>Gen!T14</f>
        <v>2421.29</v>
      </c>
      <c r="H10" s="87">
        <f>Gen!AK16</f>
        <v>75.03</v>
      </c>
      <c r="I10" s="87">
        <f t="shared" si="1"/>
        <v>2496.3200000000002</v>
      </c>
      <c r="J10" s="602">
        <f>Gen!D16</f>
        <v>37984.770000000004</v>
      </c>
      <c r="K10" s="385">
        <f>'Water-Meter'!E11</f>
        <v>191</v>
      </c>
      <c r="L10" s="603">
        <f>'Lpg (2)'!G15</f>
        <v>87.340000000025611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43</v>
      </c>
      <c r="C11" s="89">
        <f>Gen!C17</f>
        <v>1</v>
      </c>
      <c r="D11" s="587">
        <f t="shared" si="0"/>
        <v>77</v>
      </c>
      <c r="E11" s="76">
        <v>77</v>
      </c>
      <c r="F11" s="72">
        <f>Gen!U15</f>
        <v>6603</v>
      </c>
      <c r="G11" s="87">
        <f>Gen!T15</f>
        <v>2590.17</v>
      </c>
      <c r="H11" s="87">
        <f>Gen!AK17</f>
        <v>87.259999999999991</v>
      </c>
      <c r="I11" s="87">
        <f t="shared" si="1"/>
        <v>2677.4300000000003</v>
      </c>
      <c r="J11" s="602">
        <f>Gen!D17</f>
        <v>50215.560000000005</v>
      </c>
      <c r="K11" s="385">
        <f>'Water-Meter'!E12</f>
        <v>168</v>
      </c>
      <c r="L11" s="603">
        <f>'Lpg (2)'!G16</f>
        <v>104.98400000000257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45</v>
      </c>
      <c r="C12" s="89">
        <f>Gen!C18</f>
        <v>0.59740000000000004</v>
      </c>
      <c r="D12" s="587">
        <f t="shared" si="0"/>
        <v>46</v>
      </c>
      <c r="E12" s="76">
        <v>46</v>
      </c>
      <c r="F12" s="72">
        <f>Gen!U16</f>
        <v>6820</v>
      </c>
      <c r="G12" s="87">
        <f>Gen!T16</f>
        <v>2694.18</v>
      </c>
      <c r="H12" s="87">
        <f>Gen!AK18</f>
        <v>424.4</v>
      </c>
      <c r="I12" s="87">
        <f t="shared" si="1"/>
        <v>3118.58</v>
      </c>
      <c r="J12" s="602">
        <f>Gen!D18</f>
        <v>47214.000000000007</v>
      </c>
      <c r="K12" s="385">
        <f>'Water-Meter'!E13</f>
        <v>131</v>
      </c>
      <c r="L12" s="603">
        <f>'Lpg (2)'!G17</f>
        <v>123.7720000000205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44</v>
      </c>
      <c r="C13" s="89">
        <f>Gen!C19</f>
        <v>0.57140000000000002</v>
      </c>
      <c r="D13" s="587">
        <f t="shared" si="0"/>
        <v>44</v>
      </c>
      <c r="E13" s="76">
        <v>44</v>
      </c>
      <c r="F13" s="72">
        <f>Gen!U17</f>
        <v>7352</v>
      </c>
      <c r="G13" s="87">
        <f>Gen!T17</f>
        <v>2914.3</v>
      </c>
      <c r="H13" s="87">
        <f>Gen!AK19</f>
        <v>170.83999999999997</v>
      </c>
      <c r="I13" s="87">
        <f t="shared" si="1"/>
        <v>3085.1400000000003</v>
      </c>
      <c r="J13" s="602">
        <f>Gen!D19</f>
        <v>44105.760000000009</v>
      </c>
      <c r="K13" s="385">
        <f>'Water-Meter'!E14</f>
        <v>117</v>
      </c>
      <c r="L13" s="603">
        <f>'Lpg (2)'!G18</f>
        <v>99.263999999989764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42</v>
      </c>
      <c r="C14" s="89">
        <f>Gen!C20</f>
        <v>0.58440000000000003</v>
      </c>
      <c r="D14" s="587">
        <f t="shared" si="0"/>
        <v>0</v>
      </c>
      <c r="E14" s="76"/>
      <c r="F14" s="72">
        <f>Gen!U18</f>
        <v>6190</v>
      </c>
      <c r="G14" s="87">
        <f>Gen!T18</f>
        <v>2683.84</v>
      </c>
      <c r="H14" s="87">
        <f>Gen!AK20</f>
        <v>33.880000000000003</v>
      </c>
      <c r="I14" s="87">
        <f t="shared" si="1"/>
        <v>2717.7200000000003</v>
      </c>
      <c r="J14" s="602">
        <f>Gen!D20</f>
        <v>41701.970000000008</v>
      </c>
      <c r="K14" s="385">
        <f>'Water-Meter'!E15</f>
        <v>129</v>
      </c>
      <c r="L14" s="603">
        <f>'Lpg (2)'!G19</f>
        <v>104.54399999997696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31</v>
      </c>
      <c r="C15" s="89">
        <f>Gen!C21</f>
        <v>3.9E-2</v>
      </c>
      <c r="D15" s="587">
        <f t="shared" si="0"/>
        <v>0</v>
      </c>
      <c r="E15" s="76"/>
      <c r="F15" s="72">
        <f>Gen!U19</f>
        <v>4387</v>
      </c>
      <c r="G15" s="87">
        <f>Gen!T19</f>
        <v>2232.9499999999998</v>
      </c>
      <c r="H15" s="87">
        <f>Gen!AK21</f>
        <v>204.76999999999998</v>
      </c>
      <c r="I15" s="87">
        <f t="shared" si="1"/>
        <v>2437.7199999999998</v>
      </c>
      <c r="J15" s="602">
        <f>Gen!D21</f>
        <v>39539.69000000001</v>
      </c>
      <c r="K15" s="385">
        <f>'Water-Meter'!E16</f>
        <v>99</v>
      </c>
      <c r="L15" s="603">
        <f>'Lpg (2)'!G20</f>
        <v>103.26800000000513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25</v>
      </c>
      <c r="C16" s="89">
        <f>Gen!C22</f>
        <v>3.9E-2</v>
      </c>
      <c r="D16" s="587">
        <f t="shared" si="0"/>
        <v>4</v>
      </c>
      <c r="E16" s="76">
        <v>4</v>
      </c>
      <c r="F16" s="72">
        <f>Gen!U20</f>
        <v>5593</v>
      </c>
      <c r="G16" s="87">
        <f>Gen!T20</f>
        <v>2128.3999999999996</v>
      </c>
      <c r="H16" s="87">
        <f>Gen!AK22</f>
        <v>106.07</v>
      </c>
      <c r="I16" s="87">
        <f t="shared" si="1"/>
        <v>2234.4699999999998</v>
      </c>
      <c r="J16" s="602">
        <f>Gen!D22</f>
        <v>37627.070000000007</v>
      </c>
      <c r="K16" s="385">
        <f>'Water-Meter'!E17</f>
        <v>77</v>
      </c>
      <c r="L16" s="603">
        <f>'Lpg (2)'!G21</f>
        <v>84.611999999982075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25</v>
      </c>
      <c r="C17" s="89">
        <f>Gen!C23</f>
        <v>3.9E-2</v>
      </c>
      <c r="D17" s="587">
        <f t="shared" si="0"/>
        <v>4</v>
      </c>
      <c r="E17" s="76">
        <v>4</v>
      </c>
      <c r="F17" s="72">
        <f>Gen!U21</f>
        <v>4641</v>
      </c>
      <c r="G17" s="87">
        <f>Gen!T21</f>
        <v>1707.85</v>
      </c>
      <c r="H17" s="87">
        <f>Gen!AK23</f>
        <v>233.75</v>
      </c>
      <c r="I17" s="87">
        <f t="shared" si="1"/>
        <v>1941.6</v>
      </c>
      <c r="J17" s="602">
        <f>Gen!D23</f>
        <v>34783.500000000007</v>
      </c>
      <c r="K17" s="385">
        <f>'Water-Meter'!E18</f>
        <v>69</v>
      </c>
      <c r="L17" s="603">
        <f>'Lpg (2)'!G22</f>
        <v>102.08000000005123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23</v>
      </c>
      <c r="C18" s="89">
        <f>Gen!C24</f>
        <v>2.86E-2</v>
      </c>
      <c r="D18" s="587">
        <f t="shared" si="0"/>
        <v>4</v>
      </c>
      <c r="E18" s="76">
        <v>4</v>
      </c>
      <c r="F18" s="72">
        <f>Gen!U22</f>
        <v>4209</v>
      </c>
      <c r="G18" s="87">
        <f>Gen!T22</f>
        <v>2737.5</v>
      </c>
      <c r="H18" s="87">
        <f>Gen!AK24</f>
        <v>116.4</v>
      </c>
      <c r="I18" s="87">
        <f t="shared" si="1"/>
        <v>2853.9</v>
      </c>
      <c r="J18" s="602">
        <f>Gen!D24</f>
        <v>32011.610000000008</v>
      </c>
      <c r="K18" s="385">
        <f>'Water-Meter'!E19</f>
        <v>72</v>
      </c>
      <c r="L18" s="603">
        <f>'Lpg (2)'!G23</f>
        <v>89.319999999948791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25</v>
      </c>
      <c r="C19" s="89">
        <f>Gen!C25</f>
        <v>6.4899999999999999E-2</v>
      </c>
      <c r="D19" s="587">
        <f t="shared" si="0"/>
        <v>4</v>
      </c>
      <c r="E19" s="76">
        <v>4</v>
      </c>
      <c r="F19" s="72">
        <f>Gen!U23</f>
        <v>3918</v>
      </c>
      <c r="G19" s="87">
        <f>Gen!T23</f>
        <v>2538.1400000000003</v>
      </c>
      <c r="H19" s="87">
        <f>Gen!AK25</f>
        <v>287.96000000000004</v>
      </c>
      <c r="I19" s="87">
        <f t="shared" si="1"/>
        <v>2826.1000000000004</v>
      </c>
      <c r="J19" s="602">
        <f>Gen!D25</f>
        <v>30588.530000000006</v>
      </c>
      <c r="K19" s="385">
        <f>'Water-Meter'!E20</f>
        <v>92</v>
      </c>
      <c r="L19" s="603">
        <f>'Lpg (2)'!G24</f>
        <v>173.62400000002819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25</v>
      </c>
      <c r="C20" s="89">
        <f>Gen!C26</f>
        <v>5.1900000000000002E-2</v>
      </c>
      <c r="D20" s="587">
        <f t="shared" si="0"/>
        <v>5</v>
      </c>
      <c r="E20" s="76">
        <v>5</v>
      </c>
      <c r="F20" s="72">
        <f>Gen!U24</f>
        <v>3497</v>
      </c>
      <c r="G20" s="87">
        <f>Gen!T24</f>
        <v>1306.6799999999998</v>
      </c>
      <c r="H20" s="87">
        <f>Gen!AK26</f>
        <v>79.289999999999992</v>
      </c>
      <c r="I20" s="87">
        <f t="shared" si="1"/>
        <v>1385.9699999999998</v>
      </c>
      <c r="J20" s="602">
        <f>Gen!D26</f>
        <v>28880.110000000008</v>
      </c>
      <c r="K20" s="385">
        <f>'Water-Meter'!E21</f>
        <v>90</v>
      </c>
      <c r="L20" s="603">
        <f>'Lpg (2)'!G25</f>
        <v>84.7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25</v>
      </c>
      <c r="C21" s="89">
        <f>Gen!C27</f>
        <v>2.5999999999999999E-2</v>
      </c>
      <c r="D21" s="587">
        <f t="shared" si="0"/>
        <v>6</v>
      </c>
      <c r="E21" s="76">
        <v>6</v>
      </c>
      <c r="F21" s="72">
        <f>Gen!U25</f>
        <v>3584</v>
      </c>
      <c r="G21" s="87">
        <f>Gen!T25</f>
        <v>1420.46</v>
      </c>
      <c r="H21" s="87">
        <f>Gen!AK27</f>
        <v>50.42</v>
      </c>
      <c r="I21" s="87">
        <f t="shared" si="1"/>
        <v>1470.88</v>
      </c>
      <c r="J21" s="602">
        <f>Gen!D27</f>
        <v>45434.000000000007</v>
      </c>
      <c r="K21" s="385">
        <f>'Water-Meter'!E22</f>
        <v>72</v>
      </c>
      <c r="L21" s="603">
        <f>'Lpg (2)'!G26</f>
        <v>80.036000000010247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25</v>
      </c>
      <c r="C22" s="89">
        <f>Gen!C28</f>
        <v>5.1900000000000002E-2</v>
      </c>
      <c r="D22" s="587">
        <f t="shared" si="0"/>
        <v>5</v>
      </c>
      <c r="E22" s="76">
        <v>5</v>
      </c>
      <c r="F22" s="72">
        <f>Gen!U26</f>
        <v>3345</v>
      </c>
      <c r="G22" s="87">
        <f>Gen!T26</f>
        <v>1366.8200000000002</v>
      </c>
      <c r="H22" s="87">
        <f>Gen!AK28</f>
        <v>156</v>
      </c>
      <c r="I22" s="87">
        <f t="shared" si="1"/>
        <v>1522.8200000000002</v>
      </c>
      <c r="J22" s="602">
        <f>Gen!D28</f>
        <v>44168.160000000003</v>
      </c>
      <c r="K22" s="385">
        <f>'Water-Meter'!E23</f>
        <v>57</v>
      </c>
      <c r="L22" s="603">
        <f>'Lpg (2)'!G27</f>
        <v>79.68400000000257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25</v>
      </c>
      <c r="C23" s="89">
        <f>Gen!C29</f>
        <v>0.02</v>
      </c>
      <c r="D23" s="587">
        <f t="shared" si="0"/>
        <v>1</v>
      </c>
      <c r="E23" s="76">
        <v>1</v>
      </c>
      <c r="F23" s="72">
        <f>Gen!U27</f>
        <v>3067</v>
      </c>
      <c r="G23" s="87">
        <f>Gen!T27</f>
        <v>1215.42</v>
      </c>
      <c r="H23" s="87">
        <f>Gen!AK29</f>
        <v>97.01</v>
      </c>
      <c r="I23" s="87">
        <f t="shared" si="1"/>
        <v>1312.43</v>
      </c>
      <c r="J23" s="602">
        <f>Gen!D29</f>
        <v>42819.340000000004</v>
      </c>
      <c r="K23" s="385">
        <f>'Water-Meter'!E24</f>
        <v>72</v>
      </c>
      <c r="L23" s="603">
        <f>'Lpg (2)'!G28</f>
        <v>68.595999999984642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24</v>
      </c>
      <c r="C24" s="89">
        <f>Gen!C30</f>
        <v>0.02</v>
      </c>
      <c r="D24" s="587">
        <f t="shared" si="0"/>
        <v>0</v>
      </c>
      <c r="E24" s="76">
        <v>0</v>
      </c>
      <c r="F24" s="72">
        <f>Gen!U28</f>
        <v>2970</v>
      </c>
      <c r="G24" s="87">
        <f>Gen!T28</f>
        <v>1192.8200000000002</v>
      </c>
      <c r="H24" s="87">
        <f>Gen!AK30</f>
        <v>0</v>
      </c>
      <c r="I24" s="87">
        <f t="shared" si="1"/>
        <v>1192.8200000000002</v>
      </c>
      <c r="J24" s="602">
        <f>Gen!D30</f>
        <v>41620.560000000005</v>
      </c>
      <c r="K24" s="385">
        <f>'Water-Meter'!E25</f>
        <v>65</v>
      </c>
      <c r="L24" s="603">
        <f>'Lpg (2)'!G29</f>
        <v>81.268000000005131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24</v>
      </c>
      <c r="C25" s="89">
        <f>Gen!C31</f>
        <v>0</v>
      </c>
      <c r="D25" s="587">
        <f t="shared" si="0"/>
        <v>0</v>
      </c>
      <c r="E25" s="76">
        <v>0</v>
      </c>
      <c r="F25" s="72">
        <f>Gen!U29</f>
        <v>2841</v>
      </c>
      <c r="G25" s="87">
        <f>Gen!T29</f>
        <v>1101.77</v>
      </c>
      <c r="H25" s="87">
        <f>Gen!AK31</f>
        <v>147.13999999999999</v>
      </c>
      <c r="I25" s="87">
        <f t="shared" si="1"/>
        <v>1248.9099999999999</v>
      </c>
      <c r="J25" s="602">
        <f>Gen!D31</f>
        <v>40424.130000000005</v>
      </c>
      <c r="K25" s="385">
        <f>'Water-Meter'!E26</f>
        <v>67</v>
      </c>
      <c r="L25" s="603">
        <f>'Lpg (2)'!G30</f>
        <v>48.707999999966709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25</v>
      </c>
      <c r="C26" s="89">
        <f>Gen!C32</f>
        <v>0</v>
      </c>
      <c r="D26" s="587">
        <f t="shared" si="0"/>
        <v>3</v>
      </c>
      <c r="E26" s="76">
        <v>3</v>
      </c>
      <c r="F26" s="72">
        <f>Gen!U30</f>
        <v>2962</v>
      </c>
      <c r="G26" s="87">
        <f>Gen!T30</f>
        <v>1196.43</v>
      </c>
      <c r="H26" s="87">
        <f>Gen!AK32</f>
        <v>0</v>
      </c>
      <c r="I26" s="87">
        <f t="shared" si="1"/>
        <v>1196.43</v>
      </c>
      <c r="J26" s="602">
        <f>Gen!D32</f>
        <v>39173.910000000003</v>
      </c>
      <c r="K26" s="385">
        <f>'Water-Meter'!E27</f>
        <v>73</v>
      </c>
      <c r="L26" s="603">
        <f>'Lpg (2)'!G31</f>
        <v>47.344000000040985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26</v>
      </c>
      <c r="C27" s="89">
        <f>Gen!C33</f>
        <v>0</v>
      </c>
      <c r="D27" s="587">
        <f t="shared" si="0"/>
        <v>3</v>
      </c>
      <c r="E27" s="76">
        <v>3</v>
      </c>
      <c r="F27" s="72">
        <f>Gen!U31</f>
        <v>2667</v>
      </c>
      <c r="G27" s="87">
        <f>Gen!T31</f>
        <v>1103.08</v>
      </c>
      <c r="H27" s="87">
        <f>Gen!AK33</f>
        <v>0</v>
      </c>
      <c r="I27" s="87">
        <f t="shared" si="1"/>
        <v>1103.08</v>
      </c>
      <c r="J27" s="602">
        <f>Gen!D33</f>
        <v>50247.16</v>
      </c>
      <c r="K27" s="385">
        <f>'Water-Meter'!E28</f>
        <v>67</v>
      </c>
      <c r="L27" s="603">
        <f>'Lpg (2)'!G32</f>
        <v>62.391999999969272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27</v>
      </c>
      <c r="C28" s="89">
        <f>Gen!C34</f>
        <v>0.02</v>
      </c>
      <c r="D28" s="587">
        <f t="shared" si="0"/>
        <v>2</v>
      </c>
      <c r="E28" s="76">
        <v>2</v>
      </c>
      <c r="F28" s="72">
        <f>Gen!U32</f>
        <v>2379</v>
      </c>
      <c r="G28" s="87">
        <f>Gen!T32</f>
        <v>926.75</v>
      </c>
      <c r="H28" s="87">
        <f>Gen!AK34</f>
        <v>249.02</v>
      </c>
      <c r="I28" s="87">
        <f t="shared" si="1"/>
        <v>1175.77</v>
      </c>
      <c r="J28" s="602">
        <f>Gen!D34</f>
        <v>49118.73</v>
      </c>
      <c r="K28" s="385">
        <f>'Water-Meter'!E29</f>
        <v>73</v>
      </c>
      <c r="L28" s="603">
        <f>'Lpg (2)'!G33</f>
        <v>59.663999999989763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30</v>
      </c>
      <c r="C29" s="89">
        <f>Gen!C35</f>
        <v>0.02</v>
      </c>
      <c r="D29" s="587">
        <f t="shared" si="0"/>
        <v>2</v>
      </c>
      <c r="E29" s="76">
        <v>2</v>
      </c>
      <c r="F29" s="72">
        <f>Gen!U33</f>
        <v>2523</v>
      </c>
      <c r="G29" s="87">
        <f>Gen!T33</f>
        <v>1128.43</v>
      </c>
      <c r="H29" s="87">
        <f>Gen!AK35</f>
        <v>14.1</v>
      </c>
      <c r="I29" s="87">
        <f t="shared" si="1"/>
        <v>1142.53</v>
      </c>
      <c r="J29" s="602">
        <f>Gen!D35</f>
        <v>47903.19</v>
      </c>
      <c r="K29" s="385">
        <f>'Water-Meter'!E30</f>
        <v>60</v>
      </c>
      <c r="L29" s="603">
        <f>'Lpg (2)'!G34</f>
        <v>32.120000000012809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25</v>
      </c>
      <c r="C30" s="89">
        <f>Gen!C36</f>
        <v>0.02</v>
      </c>
      <c r="D30" s="587">
        <f t="shared" si="0"/>
        <v>1</v>
      </c>
      <c r="E30" s="76">
        <v>1</v>
      </c>
      <c r="F30" s="72">
        <f>Gen!U34</f>
        <v>2586</v>
      </c>
      <c r="G30" s="87">
        <f>Gen!T34</f>
        <v>966.5200000000001</v>
      </c>
      <c r="H30" s="87">
        <f>Gen!AK36</f>
        <v>34.57</v>
      </c>
      <c r="I30" s="87">
        <f t="shared" si="1"/>
        <v>1001.0900000000001</v>
      </c>
      <c r="J30" s="602">
        <f>Gen!D36</f>
        <v>46836.11</v>
      </c>
      <c r="K30" s="385">
        <f>'Water-Meter'!E31</f>
        <v>50</v>
      </c>
      <c r="L30" s="603">
        <f>'Lpg (2)'!G35</f>
        <v>73.040000000025614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23</v>
      </c>
      <c r="C31" s="89">
        <f>Gen!C37</f>
        <v>0</v>
      </c>
      <c r="D31" s="587">
        <f t="shared" si="0"/>
        <v>1</v>
      </c>
      <c r="E31" s="76">
        <v>1</v>
      </c>
      <c r="F31" s="72">
        <f>Gen!U35</f>
        <v>2334</v>
      </c>
      <c r="G31" s="87">
        <f>Gen!T35</f>
        <v>1052.98</v>
      </c>
      <c r="H31" s="87">
        <f>Gen!AK37</f>
        <v>144.12</v>
      </c>
      <c r="I31" s="87">
        <f t="shared" si="1"/>
        <v>1197.0999999999999</v>
      </c>
      <c r="J31" s="602">
        <f>Gen!D37</f>
        <v>45739.46</v>
      </c>
      <c r="K31" s="385">
        <f>'Water-Meter'!E32</f>
        <v>96</v>
      </c>
      <c r="L31" s="603">
        <f>'Lpg (2)'!G36</f>
        <v>29.436000000010246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24</v>
      </c>
      <c r="C32" s="89">
        <f>Gen!C38</f>
        <v>0</v>
      </c>
      <c r="D32" s="587">
        <f t="shared" si="0"/>
        <v>1</v>
      </c>
      <c r="E32" s="76">
        <v>1</v>
      </c>
      <c r="F32" s="72">
        <f>Gen!U36</f>
        <v>2348</v>
      </c>
      <c r="G32" s="87">
        <f>Gen!T36</f>
        <v>1062.08</v>
      </c>
      <c r="H32" s="87">
        <f>Gen!AK38</f>
        <v>78.2</v>
      </c>
      <c r="I32" s="87">
        <f t="shared" si="1"/>
        <v>1140.28</v>
      </c>
      <c r="J32" s="602">
        <f>Gen!D38</f>
        <v>44637.13</v>
      </c>
      <c r="K32" s="385">
        <f>'Water-Meter'!E33</f>
        <v>32</v>
      </c>
      <c r="L32" s="603">
        <f>'Lpg (2)'!G37</f>
        <v>25.079999999987198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24</v>
      </c>
      <c r="C33" s="89">
        <f>Gen!C39</f>
        <v>0</v>
      </c>
      <c r="D33" s="587">
        <f t="shared" si="0"/>
        <v>0</v>
      </c>
      <c r="E33" s="76"/>
      <c r="F33" s="72">
        <f>Gen!U37</f>
        <v>2205</v>
      </c>
      <c r="G33" s="87">
        <f>Gen!T37</f>
        <v>958.21</v>
      </c>
      <c r="H33" s="87">
        <f>Gen!AK39</f>
        <v>0</v>
      </c>
      <c r="I33" s="87">
        <f t="shared" si="1"/>
        <v>958.21</v>
      </c>
      <c r="J33" s="602">
        <f>Gen!D39</f>
        <v>43747.67</v>
      </c>
      <c r="K33" s="385">
        <f>'Water-Meter'!E34</f>
        <v>38</v>
      </c>
      <c r="L33" s="603">
        <f>'Lpg (2)'!G38</f>
        <v>24.947999999992319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-149838</v>
      </c>
      <c r="C34" s="89">
        <f>Gen!C40</f>
        <v>0</v>
      </c>
      <c r="D34" s="587">
        <f t="shared" si="0"/>
        <v>0</v>
      </c>
      <c r="E34" s="76"/>
      <c r="F34" s="72">
        <f>Gen!U38</f>
        <v>1991</v>
      </c>
      <c r="G34" s="87">
        <f>Gen!T38</f>
        <v>811.26</v>
      </c>
      <c r="H34" s="87">
        <f>Gen!AK40</f>
        <v>0</v>
      </c>
      <c r="I34" s="87">
        <f t="shared" si="1"/>
        <v>811.26</v>
      </c>
      <c r="J34" s="602">
        <f>Gen!D40</f>
        <v>42909.14</v>
      </c>
      <c r="K34" s="385" t="str">
        <f>'Water-Meter'!E35</f>
        <v>0</v>
      </c>
      <c r="L34" s="603">
        <f>'Lpg (2)'!G39</f>
        <v>-312114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1988</v>
      </c>
      <c r="G35" s="87">
        <f>Gen!T39</f>
        <v>838.53</v>
      </c>
      <c r="H35" s="87">
        <f>Gen!AK41</f>
        <v>0</v>
      </c>
      <c r="I35" s="87">
        <f t="shared" si="1"/>
        <v>838.53</v>
      </c>
      <c r="J35" s="602">
        <f>Gen!D41</f>
        <v>42909.14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42909.14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selection activeCell="AB37" sqref="AB3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2">
        <v>43891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20"/>
    </row>
    <row r="2" spans="1:29" ht="12" customHeight="1" thickBot="1">
      <c r="A2" s="793"/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4" t="s">
        <v>299</v>
      </c>
      <c r="L3" s="795"/>
      <c r="M3" s="796"/>
      <c r="N3" s="794" t="s">
        <v>300</v>
      </c>
      <c r="O3" s="795"/>
      <c r="P3" s="796"/>
      <c r="Q3" s="794" t="s">
        <v>301</v>
      </c>
      <c r="R3" s="795"/>
      <c r="S3" s="796"/>
      <c r="T3" s="794" t="s">
        <v>302</v>
      </c>
      <c r="U3" s="795"/>
      <c r="V3" s="796"/>
      <c r="W3" s="794" t="s">
        <v>303</v>
      </c>
      <c r="X3" s="795"/>
      <c r="Y3" s="796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243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4"/>
      <c r="L5" s="399">
        <v>34167</v>
      </c>
      <c r="M5" s="634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>
        <v>20269.89</v>
      </c>
      <c r="D9" s="399">
        <v>22921.21</v>
      </c>
      <c r="E9" s="399"/>
      <c r="F9" s="399"/>
      <c r="G9" s="399">
        <v>149.94</v>
      </c>
      <c r="H9" s="399"/>
      <c r="I9" s="399">
        <v>30392.1</v>
      </c>
      <c r="J9" s="399">
        <v>20077.900000000001</v>
      </c>
      <c r="K9" s="398">
        <f t="shared" si="0"/>
        <v>34192</v>
      </c>
      <c r="L9" s="399">
        <v>34204</v>
      </c>
      <c r="M9" s="398">
        <f t="shared" si="1"/>
        <v>12</v>
      </c>
      <c r="N9" s="400">
        <f t="shared" si="2"/>
        <v>29009</v>
      </c>
      <c r="O9" s="399">
        <v>29015</v>
      </c>
      <c r="P9" s="398">
        <f t="shared" si="3"/>
        <v>6</v>
      </c>
      <c r="Q9" s="398">
        <f t="shared" si="4"/>
        <v>34480</v>
      </c>
      <c r="R9" s="399">
        <v>34486</v>
      </c>
      <c r="S9" s="398">
        <f t="shared" si="5"/>
        <v>6</v>
      </c>
      <c r="T9" s="398">
        <f t="shared" si="6"/>
        <v>31852</v>
      </c>
      <c r="U9" s="399">
        <v>31863</v>
      </c>
      <c r="V9" s="398">
        <f t="shared" si="7"/>
        <v>11</v>
      </c>
      <c r="W9" s="400">
        <f t="shared" si="8"/>
        <v>19515</v>
      </c>
      <c r="X9" s="399">
        <v>19522</v>
      </c>
      <c r="Y9" s="398">
        <f t="shared" si="9"/>
        <v>7</v>
      </c>
      <c r="Z9" s="401">
        <f t="shared" si="10"/>
        <v>42</v>
      </c>
      <c r="AA9" s="128">
        <v>467</v>
      </c>
      <c r="AB9" s="128">
        <v>216</v>
      </c>
      <c r="AC9" s="348">
        <f>Gen!T14</f>
        <v>2421.29</v>
      </c>
    </row>
    <row r="10" spans="1:29" ht="20.100000000000001" customHeight="1">
      <c r="A10" s="343">
        <f>Gen!B15</f>
        <v>43895</v>
      </c>
      <c r="B10" s="441">
        <f>Gen!C15</f>
        <v>1</v>
      </c>
      <c r="C10" s="399">
        <v>17698.740000000002</v>
      </c>
      <c r="D10" s="399">
        <v>22921.21</v>
      </c>
      <c r="E10" s="399"/>
      <c r="F10" s="399"/>
      <c r="G10" s="399">
        <v>44.9</v>
      </c>
      <c r="H10" s="399"/>
      <c r="I10" s="399">
        <v>30402.799999999999</v>
      </c>
      <c r="J10" s="399">
        <v>20085.900000000001</v>
      </c>
      <c r="K10" s="398">
        <f t="shared" si="0"/>
        <v>34204</v>
      </c>
      <c r="L10" s="399">
        <v>34217</v>
      </c>
      <c r="M10" s="398">
        <f t="shared" si="1"/>
        <v>13</v>
      </c>
      <c r="N10" s="400">
        <f t="shared" si="2"/>
        <v>29015</v>
      </c>
      <c r="O10" s="399">
        <v>29020</v>
      </c>
      <c r="P10" s="398">
        <f t="shared" si="3"/>
        <v>5</v>
      </c>
      <c r="Q10" s="398">
        <f t="shared" si="4"/>
        <v>34486</v>
      </c>
      <c r="R10" s="399">
        <v>34497</v>
      </c>
      <c r="S10" s="398">
        <f t="shared" si="5"/>
        <v>11</v>
      </c>
      <c r="T10" s="398">
        <f t="shared" si="6"/>
        <v>31863</v>
      </c>
      <c r="U10" s="399">
        <v>31870</v>
      </c>
      <c r="V10" s="398">
        <f t="shared" si="7"/>
        <v>7</v>
      </c>
      <c r="W10" s="400">
        <f t="shared" si="8"/>
        <v>19522</v>
      </c>
      <c r="X10" s="399">
        <v>19528</v>
      </c>
      <c r="Y10" s="398">
        <f t="shared" si="9"/>
        <v>6</v>
      </c>
      <c r="Z10" s="401">
        <f t="shared" si="10"/>
        <v>42</v>
      </c>
      <c r="AA10" s="128">
        <v>520</v>
      </c>
      <c r="AB10" s="128">
        <v>230</v>
      </c>
      <c r="AC10" s="348">
        <f>Gen!T15</f>
        <v>2590.17</v>
      </c>
    </row>
    <row r="11" spans="1:29" ht="20.100000000000001" customHeight="1">
      <c r="A11" s="343">
        <f>Gen!B16</f>
        <v>43896</v>
      </c>
      <c r="B11" s="441">
        <f>Gen!C16</f>
        <v>1</v>
      </c>
      <c r="C11" s="399">
        <v>15063.56</v>
      </c>
      <c r="D11" s="399">
        <v>22921.21</v>
      </c>
      <c r="E11" s="399"/>
      <c r="F11" s="399"/>
      <c r="G11" s="399">
        <v>75.03</v>
      </c>
      <c r="H11" s="399"/>
      <c r="I11" s="399">
        <v>30413.599999999999</v>
      </c>
      <c r="J11" s="399">
        <v>20093.7</v>
      </c>
      <c r="K11" s="398">
        <f t="shared" si="0"/>
        <v>34217</v>
      </c>
      <c r="L11" s="399">
        <v>34229</v>
      </c>
      <c r="M11" s="398">
        <f t="shared" si="1"/>
        <v>12</v>
      </c>
      <c r="N11" s="400">
        <f t="shared" si="2"/>
        <v>29020</v>
      </c>
      <c r="O11" s="399">
        <v>29028</v>
      </c>
      <c r="P11" s="398">
        <f t="shared" si="3"/>
        <v>8</v>
      </c>
      <c r="Q11" s="398">
        <f t="shared" si="4"/>
        <v>34497</v>
      </c>
      <c r="R11" s="399">
        <v>34509</v>
      </c>
      <c r="S11" s="398">
        <f t="shared" si="5"/>
        <v>12</v>
      </c>
      <c r="T11" s="398">
        <f t="shared" si="6"/>
        <v>31870</v>
      </c>
      <c r="U11" s="399">
        <v>31877</v>
      </c>
      <c r="V11" s="398">
        <f t="shared" si="7"/>
        <v>7</v>
      </c>
      <c r="W11" s="400">
        <f t="shared" si="8"/>
        <v>19528</v>
      </c>
      <c r="X11" s="399">
        <v>19540</v>
      </c>
      <c r="Y11" s="398">
        <f t="shared" si="9"/>
        <v>12</v>
      </c>
      <c r="Z11" s="401">
        <f t="shared" si="10"/>
        <v>51</v>
      </c>
      <c r="AA11" s="128">
        <v>531</v>
      </c>
      <c r="AB11" s="128">
        <v>240</v>
      </c>
      <c r="AC11" s="348">
        <f>Gen!T16</f>
        <v>2694.18</v>
      </c>
    </row>
    <row r="12" spans="1:29" ht="20.100000000000001" customHeight="1">
      <c r="A12" s="343">
        <f>Gen!B17</f>
        <v>43897</v>
      </c>
      <c r="B12" s="441">
        <f>Gen!C17</f>
        <v>1</v>
      </c>
      <c r="C12" s="399">
        <v>27294.35</v>
      </c>
      <c r="D12" s="399">
        <v>22921.21</v>
      </c>
      <c r="E12" s="399"/>
      <c r="F12" s="399">
        <v>15000</v>
      </c>
      <c r="G12" s="399">
        <v>87.26</v>
      </c>
      <c r="H12" s="399"/>
      <c r="I12" s="399">
        <v>30425.599999999999</v>
      </c>
      <c r="J12" s="399">
        <v>20102.400000000001</v>
      </c>
      <c r="K12" s="398">
        <f t="shared" si="0"/>
        <v>34229</v>
      </c>
      <c r="L12" s="399">
        <v>34239</v>
      </c>
      <c r="M12" s="398">
        <f t="shared" si="1"/>
        <v>10</v>
      </c>
      <c r="N12" s="400">
        <f t="shared" si="2"/>
        <v>29028</v>
      </c>
      <c r="O12" s="399">
        <v>29035</v>
      </c>
      <c r="P12" s="398">
        <f t="shared" si="3"/>
        <v>7</v>
      </c>
      <c r="Q12" s="398">
        <f t="shared" si="4"/>
        <v>34509</v>
      </c>
      <c r="R12" s="399">
        <v>34517</v>
      </c>
      <c r="S12" s="398">
        <f t="shared" si="5"/>
        <v>8</v>
      </c>
      <c r="T12" s="398">
        <f t="shared" si="6"/>
        <v>31877</v>
      </c>
      <c r="U12" s="399">
        <v>31887</v>
      </c>
      <c r="V12" s="398">
        <f t="shared" si="7"/>
        <v>10</v>
      </c>
      <c r="W12" s="400">
        <f t="shared" si="8"/>
        <v>19540</v>
      </c>
      <c r="X12" s="399">
        <v>19548</v>
      </c>
      <c r="Y12" s="398">
        <f t="shared" si="9"/>
        <v>8</v>
      </c>
      <c r="Z12" s="401">
        <f t="shared" si="10"/>
        <v>43</v>
      </c>
      <c r="AA12" s="128">
        <v>536</v>
      </c>
      <c r="AB12" s="128">
        <v>198</v>
      </c>
      <c r="AC12" s="348">
        <f>Gen!T17</f>
        <v>2914.3</v>
      </c>
    </row>
    <row r="13" spans="1:29" ht="20.100000000000001" customHeight="1">
      <c r="A13" s="343">
        <f>Gen!B18</f>
        <v>43898</v>
      </c>
      <c r="B13" s="441">
        <f>Gen!C18</f>
        <v>0.59740000000000004</v>
      </c>
      <c r="C13" s="399">
        <v>24292.79</v>
      </c>
      <c r="D13" s="399">
        <v>22921.21</v>
      </c>
      <c r="E13" s="399"/>
      <c r="F13" s="399"/>
      <c r="G13" s="399">
        <v>424.4</v>
      </c>
      <c r="H13" s="399"/>
      <c r="I13" s="399">
        <v>30436.5</v>
      </c>
      <c r="J13" s="399">
        <v>20109.5</v>
      </c>
      <c r="K13" s="398">
        <f t="shared" si="0"/>
        <v>34239</v>
      </c>
      <c r="L13" s="399">
        <v>34247</v>
      </c>
      <c r="M13" s="398">
        <f t="shared" si="1"/>
        <v>8</v>
      </c>
      <c r="N13" s="400">
        <f t="shared" si="2"/>
        <v>29035</v>
      </c>
      <c r="O13" s="399">
        <v>29044</v>
      </c>
      <c r="P13" s="398">
        <f t="shared" si="3"/>
        <v>9</v>
      </c>
      <c r="Q13" s="398">
        <f t="shared" si="4"/>
        <v>34517</v>
      </c>
      <c r="R13" s="399">
        <v>34527</v>
      </c>
      <c r="S13" s="398">
        <f t="shared" si="5"/>
        <v>10</v>
      </c>
      <c r="T13" s="398">
        <f t="shared" si="6"/>
        <v>31887</v>
      </c>
      <c r="U13" s="399">
        <v>31893</v>
      </c>
      <c r="V13" s="398">
        <f t="shared" si="7"/>
        <v>6</v>
      </c>
      <c r="W13" s="400">
        <f t="shared" si="8"/>
        <v>19548</v>
      </c>
      <c r="X13" s="399">
        <v>19560</v>
      </c>
      <c r="Y13" s="398">
        <f t="shared" si="9"/>
        <v>12</v>
      </c>
      <c r="Z13" s="401">
        <f t="shared" si="10"/>
        <v>45</v>
      </c>
      <c r="AA13" s="128">
        <v>462</v>
      </c>
      <c r="AB13" s="128">
        <v>230</v>
      </c>
      <c r="AC13" s="348">
        <f>Gen!T18</f>
        <v>2683.84</v>
      </c>
    </row>
    <row r="14" spans="1:29" ht="20.100000000000001" customHeight="1">
      <c r="A14" s="343">
        <f>Gen!B19</f>
        <v>43899</v>
      </c>
      <c r="B14" s="441">
        <f>Gen!C19</f>
        <v>0.57140000000000002</v>
      </c>
      <c r="C14" s="399">
        <v>21184.55</v>
      </c>
      <c r="D14" s="399">
        <v>22921.21</v>
      </c>
      <c r="E14" s="399"/>
      <c r="F14" s="399"/>
      <c r="G14" s="399">
        <v>170.84</v>
      </c>
      <c r="H14" s="399"/>
      <c r="I14" s="399">
        <v>30445.8</v>
      </c>
      <c r="J14" s="399">
        <v>20116.099999999999</v>
      </c>
      <c r="K14" s="398">
        <f t="shared" si="0"/>
        <v>34247</v>
      </c>
      <c r="L14" s="399">
        <v>34255</v>
      </c>
      <c r="M14" s="398">
        <f t="shared" si="1"/>
        <v>8</v>
      </c>
      <c r="N14" s="400">
        <f t="shared" si="2"/>
        <v>29044</v>
      </c>
      <c r="O14" s="399">
        <v>29054</v>
      </c>
      <c r="P14" s="398">
        <f t="shared" si="3"/>
        <v>10</v>
      </c>
      <c r="Q14" s="398">
        <f t="shared" si="4"/>
        <v>34527</v>
      </c>
      <c r="R14" s="399">
        <v>34536</v>
      </c>
      <c r="S14" s="398">
        <f t="shared" si="5"/>
        <v>9</v>
      </c>
      <c r="T14" s="398">
        <f t="shared" si="6"/>
        <v>31893</v>
      </c>
      <c r="U14" s="399">
        <v>31902</v>
      </c>
      <c r="V14" s="398">
        <f t="shared" si="7"/>
        <v>9</v>
      </c>
      <c r="W14" s="400">
        <f t="shared" si="8"/>
        <v>19560</v>
      </c>
      <c r="X14" s="399">
        <v>19568</v>
      </c>
      <c r="Y14" s="398">
        <f t="shared" si="9"/>
        <v>8</v>
      </c>
      <c r="Z14" s="401">
        <f t="shared" si="10"/>
        <v>44</v>
      </c>
      <c r="AA14" s="128">
        <v>466</v>
      </c>
      <c r="AB14" s="128">
        <v>204</v>
      </c>
      <c r="AC14" s="348">
        <f>Gen!T19</f>
        <v>2232.9499999999998</v>
      </c>
    </row>
    <row r="15" spans="1:29" ht="20.100000000000001" customHeight="1">
      <c r="A15" s="343">
        <f>Gen!B20</f>
        <v>43900</v>
      </c>
      <c r="B15" s="441">
        <f>Gen!C20</f>
        <v>0.58440000000000003</v>
      </c>
      <c r="C15" s="399">
        <v>19022.27</v>
      </c>
      <c r="D15" s="399">
        <v>22921.21</v>
      </c>
      <c r="E15" s="399"/>
      <c r="F15" s="399"/>
      <c r="G15" s="399">
        <v>33.880000000000003</v>
      </c>
      <c r="H15" s="399"/>
      <c r="I15" s="399">
        <v>30455.1</v>
      </c>
      <c r="J15" s="399">
        <v>20122.5</v>
      </c>
      <c r="K15" s="398">
        <f t="shared" si="0"/>
        <v>34255</v>
      </c>
      <c r="L15" s="399">
        <v>34267</v>
      </c>
      <c r="M15" s="398">
        <f t="shared" si="1"/>
        <v>12</v>
      </c>
      <c r="N15" s="400">
        <f t="shared" si="2"/>
        <v>29054</v>
      </c>
      <c r="O15" s="399">
        <v>29060</v>
      </c>
      <c r="P15" s="398">
        <f t="shared" si="3"/>
        <v>6</v>
      </c>
      <c r="Q15" s="398">
        <f t="shared" si="4"/>
        <v>34536</v>
      </c>
      <c r="R15" s="399">
        <v>34542</v>
      </c>
      <c r="S15" s="398">
        <f t="shared" si="5"/>
        <v>6</v>
      </c>
      <c r="T15" s="398">
        <f t="shared" si="6"/>
        <v>31902</v>
      </c>
      <c r="U15" s="399">
        <v>31909</v>
      </c>
      <c r="V15" s="398">
        <f t="shared" si="7"/>
        <v>7</v>
      </c>
      <c r="W15" s="400">
        <f t="shared" si="8"/>
        <v>19568</v>
      </c>
      <c r="X15" s="399">
        <v>19579</v>
      </c>
      <c r="Y15" s="398">
        <f t="shared" si="9"/>
        <v>11</v>
      </c>
      <c r="Z15" s="401">
        <f t="shared" si="10"/>
        <v>42</v>
      </c>
      <c r="AA15" s="128">
        <v>412</v>
      </c>
      <c r="AB15" s="128">
        <v>198</v>
      </c>
      <c r="AC15" s="348">
        <f>Gen!T20</f>
        <v>2128.3999999999996</v>
      </c>
    </row>
    <row r="16" spans="1:29" ht="20.100000000000001" customHeight="1">
      <c r="A16" s="343">
        <f>Gen!B21</f>
        <v>43901</v>
      </c>
      <c r="B16" s="441">
        <f>Gen!C21</f>
        <v>3.9E-2</v>
      </c>
      <c r="C16" s="399">
        <v>16618.48</v>
      </c>
      <c r="D16" s="399">
        <v>22921.21</v>
      </c>
      <c r="E16" s="399"/>
      <c r="F16" s="399"/>
      <c r="G16" s="399">
        <v>204.77</v>
      </c>
      <c r="H16" s="399"/>
      <c r="I16" s="399">
        <v>30462.2</v>
      </c>
      <c r="J16" s="399">
        <v>20127.900000000001</v>
      </c>
      <c r="K16" s="398">
        <f t="shared" si="0"/>
        <v>34267</v>
      </c>
      <c r="L16" s="399">
        <v>34275</v>
      </c>
      <c r="M16" s="398">
        <f t="shared" si="1"/>
        <v>8</v>
      </c>
      <c r="N16" s="400">
        <f t="shared" si="2"/>
        <v>29060</v>
      </c>
      <c r="O16" s="399">
        <v>29066</v>
      </c>
      <c r="P16" s="398">
        <f t="shared" si="3"/>
        <v>6</v>
      </c>
      <c r="Q16" s="398">
        <f t="shared" si="4"/>
        <v>34542</v>
      </c>
      <c r="R16" s="399">
        <v>34550</v>
      </c>
      <c r="S16" s="398">
        <f t="shared" si="5"/>
        <v>8</v>
      </c>
      <c r="T16" s="398">
        <f t="shared" si="6"/>
        <v>31909</v>
      </c>
      <c r="U16" s="399">
        <v>31911</v>
      </c>
      <c r="V16" s="398">
        <f t="shared" si="7"/>
        <v>2</v>
      </c>
      <c r="W16" s="400">
        <f t="shared" si="8"/>
        <v>19579</v>
      </c>
      <c r="X16" s="399">
        <v>19586</v>
      </c>
      <c r="Y16" s="398">
        <f t="shared" si="9"/>
        <v>7</v>
      </c>
      <c r="Z16" s="401">
        <f t="shared" si="10"/>
        <v>31</v>
      </c>
      <c r="AA16" s="128">
        <v>396</v>
      </c>
      <c r="AB16" s="128">
        <v>187</v>
      </c>
      <c r="AC16" s="348">
        <f>Gen!T21</f>
        <v>1707.85</v>
      </c>
    </row>
    <row r="17" spans="1:29" ht="20.100000000000001" customHeight="1">
      <c r="A17" s="343">
        <f>Gen!B22</f>
        <v>43902</v>
      </c>
      <c r="B17" s="441">
        <f>Gen!C22</f>
        <v>3.9E-2</v>
      </c>
      <c r="C17" s="399">
        <v>14705.86</v>
      </c>
      <c r="D17" s="399">
        <v>22921.21</v>
      </c>
      <c r="E17" s="682"/>
      <c r="F17" s="399"/>
      <c r="G17" s="399">
        <v>106.07</v>
      </c>
      <c r="H17" s="399"/>
      <c r="I17" s="399">
        <v>30468.799999999999</v>
      </c>
      <c r="J17" s="399">
        <v>20132.900000000001</v>
      </c>
      <c r="K17" s="398">
        <f t="shared" si="0"/>
        <v>34275</v>
      </c>
      <c r="L17" s="399">
        <v>34275</v>
      </c>
      <c r="M17" s="398">
        <f t="shared" si="1"/>
        <v>0</v>
      </c>
      <c r="N17" s="400">
        <f t="shared" si="2"/>
        <v>29066</v>
      </c>
      <c r="O17" s="399">
        <v>29073</v>
      </c>
      <c r="P17" s="398">
        <f t="shared" si="3"/>
        <v>7</v>
      </c>
      <c r="Q17" s="398">
        <f t="shared" si="4"/>
        <v>34550</v>
      </c>
      <c r="R17" s="399">
        <v>34555</v>
      </c>
      <c r="S17" s="398">
        <f t="shared" si="5"/>
        <v>5</v>
      </c>
      <c r="T17" s="398">
        <f t="shared" si="6"/>
        <v>31911</v>
      </c>
      <c r="U17" s="399">
        <v>31917</v>
      </c>
      <c r="V17" s="398">
        <f t="shared" si="7"/>
        <v>6</v>
      </c>
      <c r="W17" s="400">
        <f t="shared" si="8"/>
        <v>19586</v>
      </c>
      <c r="X17" s="399">
        <v>19593</v>
      </c>
      <c r="Y17" s="398">
        <f t="shared" si="9"/>
        <v>7</v>
      </c>
      <c r="Z17" s="401">
        <f t="shared" si="10"/>
        <v>25</v>
      </c>
      <c r="AA17" s="128">
        <v>350</v>
      </c>
      <c r="AB17" s="128">
        <v>165</v>
      </c>
      <c r="AC17" s="348">
        <f>Gen!T22</f>
        <v>2737.5</v>
      </c>
    </row>
    <row r="18" spans="1:29" ht="20.100000000000001" customHeight="1">
      <c r="A18" s="343">
        <f>Gen!B23</f>
        <v>43903</v>
      </c>
      <c r="B18" s="441">
        <f>Gen!C23</f>
        <v>3.9E-2</v>
      </c>
      <c r="C18" s="399">
        <v>11862.29</v>
      </c>
      <c r="D18" s="399">
        <v>22921.21</v>
      </c>
      <c r="E18" s="399"/>
      <c r="F18" s="399"/>
      <c r="G18" s="399">
        <v>233.75</v>
      </c>
      <c r="H18" s="399"/>
      <c r="I18" s="399">
        <v>30474.9</v>
      </c>
      <c r="J18" s="399">
        <v>20137.7</v>
      </c>
      <c r="K18" s="398">
        <f t="shared" si="0"/>
        <v>34275</v>
      </c>
      <c r="L18" s="399">
        <v>34275</v>
      </c>
      <c r="M18" s="398">
        <f t="shared" si="1"/>
        <v>0</v>
      </c>
      <c r="N18" s="400">
        <f t="shared" si="2"/>
        <v>29073</v>
      </c>
      <c r="O18" s="399">
        <v>29078</v>
      </c>
      <c r="P18" s="398">
        <f t="shared" si="3"/>
        <v>5</v>
      </c>
      <c r="Q18" s="398">
        <f t="shared" si="4"/>
        <v>34555</v>
      </c>
      <c r="R18" s="399">
        <v>34563</v>
      </c>
      <c r="S18" s="398">
        <f t="shared" si="5"/>
        <v>8</v>
      </c>
      <c r="T18" s="398">
        <f t="shared" si="6"/>
        <v>31917</v>
      </c>
      <c r="U18" s="399">
        <v>31924</v>
      </c>
      <c r="V18" s="398">
        <f t="shared" si="7"/>
        <v>7</v>
      </c>
      <c r="W18" s="400">
        <f t="shared" si="8"/>
        <v>19593</v>
      </c>
      <c r="X18" s="399">
        <v>19598</v>
      </c>
      <c r="Y18" s="398">
        <f t="shared" si="9"/>
        <v>5</v>
      </c>
      <c r="Z18" s="401">
        <f t="shared" si="10"/>
        <v>25</v>
      </c>
      <c r="AA18" s="128">
        <v>320</v>
      </c>
      <c r="AB18" s="128">
        <v>151</v>
      </c>
      <c r="AC18" s="348">
        <f>Gen!T23</f>
        <v>2538.1400000000003</v>
      </c>
    </row>
    <row r="19" spans="1:29" ht="20.100000000000001" customHeight="1">
      <c r="A19" s="343">
        <f>Gen!B24</f>
        <v>43904</v>
      </c>
      <c r="B19" s="441">
        <f>Gen!C24</f>
        <v>2.86E-2</v>
      </c>
      <c r="C19" s="399">
        <v>9090.4</v>
      </c>
      <c r="D19" s="399">
        <v>22921.21</v>
      </c>
      <c r="E19" s="399"/>
      <c r="F19" s="399"/>
      <c r="G19" s="399">
        <v>116.4</v>
      </c>
      <c r="H19" s="399"/>
      <c r="I19" s="399">
        <v>30480.400000000001</v>
      </c>
      <c r="J19" s="399">
        <v>20142.099999999999</v>
      </c>
      <c r="K19" s="398">
        <f t="shared" si="0"/>
        <v>34275</v>
      </c>
      <c r="L19" s="399">
        <v>34275</v>
      </c>
      <c r="M19" s="398">
        <f t="shared" si="1"/>
        <v>0</v>
      </c>
      <c r="N19" s="400">
        <f t="shared" si="2"/>
        <v>29078</v>
      </c>
      <c r="O19" s="399">
        <v>29084</v>
      </c>
      <c r="P19" s="398">
        <f t="shared" si="3"/>
        <v>6</v>
      </c>
      <c r="Q19" s="398">
        <f t="shared" si="4"/>
        <v>34563</v>
      </c>
      <c r="R19" s="399">
        <v>34571</v>
      </c>
      <c r="S19" s="398">
        <f t="shared" si="5"/>
        <v>8</v>
      </c>
      <c r="T19" s="398">
        <f t="shared" si="6"/>
        <v>31924</v>
      </c>
      <c r="U19" s="399">
        <v>31924</v>
      </c>
      <c r="V19" s="398">
        <f t="shared" si="7"/>
        <v>0</v>
      </c>
      <c r="W19" s="400">
        <f t="shared" si="8"/>
        <v>19598</v>
      </c>
      <c r="X19" s="399">
        <v>19607</v>
      </c>
      <c r="Y19" s="398">
        <f t="shared" si="9"/>
        <v>9</v>
      </c>
      <c r="Z19" s="401">
        <f t="shared" si="10"/>
        <v>23</v>
      </c>
      <c r="AA19" s="128">
        <v>291</v>
      </c>
      <c r="AB19" s="128">
        <v>136</v>
      </c>
      <c r="AC19" s="348">
        <f>Gen!T24</f>
        <v>1306.6799999999998</v>
      </c>
    </row>
    <row r="20" spans="1:29" ht="20.100000000000001" customHeight="1">
      <c r="A20" s="343">
        <f>Gen!B25</f>
        <v>43905</v>
      </c>
      <c r="B20" s="441">
        <f>Gen!C25</f>
        <v>6.4899999999999999E-2</v>
      </c>
      <c r="C20" s="399">
        <v>7667.32</v>
      </c>
      <c r="D20" s="399">
        <v>22921.21</v>
      </c>
      <c r="E20" s="399"/>
      <c r="F20" s="399"/>
      <c r="G20" s="399">
        <v>287.95999999999998</v>
      </c>
      <c r="H20" s="399"/>
      <c r="I20" s="399">
        <v>30485.9</v>
      </c>
      <c r="J20" s="399">
        <v>20146.5</v>
      </c>
      <c r="K20" s="398">
        <f t="shared" si="0"/>
        <v>34275</v>
      </c>
      <c r="L20" s="399">
        <v>34275</v>
      </c>
      <c r="M20" s="398">
        <f t="shared" si="1"/>
        <v>0</v>
      </c>
      <c r="N20" s="400">
        <f t="shared" si="2"/>
        <v>29084</v>
      </c>
      <c r="O20" s="399">
        <v>29089</v>
      </c>
      <c r="P20" s="398">
        <f t="shared" si="3"/>
        <v>5</v>
      </c>
      <c r="Q20" s="398">
        <f t="shared" si="4"/>
        <v>34571</v>
      </c>
      <c r="R20" s="399">
        <v>34578</v>
      </c>
      <c r="S20" s="398">
        <f t="shared" si="5"/>
        <v>7</v>
      </c>
      <c r="T20" s="398">
        <f t="shared" si="6"/>
        <v>31924</v>
      </c>
      <c r="U20" s="399">
        <v>31932</v>
      </c>
      <c r="V20" s="398">
        <f t="shared" si="7"/>
        <v>8</v>
      </c>
      <c r="W20" s="400">
        <f t="shared" si="8"/>
        <v>19607</v>
      </c>
      <c r="X20" s="399">
        <v>19612</v>
      </c>
      <c r="Y20" s="398">
        <f t="shared" si="9"/>
        <v>5</v>
      </c>
      <c r="Z20" s="401">
        <f t="shared" si="10"/>
        <v>25</v>
      </c>
      <c r="AA20" s="128">
        <v>264</v>
      </c>
      <c r="AB20" s="128">
        <v>137</v>
      </c>
      <c r="AC20" s="348">
        <f>Gen!T25</f>
        <v>1420.46</v>
      </c>
    </row>
    <row r="21" spans="1:29" ht="20.100000000000001" customHeight="1">
      <c r="A21" s="343">
        <f>Gen!B26</f>
        <v>43906</v>
      </c>
      <c r="B21" s="441">
        <f>Gen!C26</f>
        <v>5.1900000000000002E-2</v>
      </c>
      <c r="C21" s="399">
        <v>6221.21</v>
      </c>
      <c r="D21" s="399">
        <v>22921.21</v>
      </c>
      <c r="E21" s="399"/>
      <c r="F21" s="399"/>
      <c r="G21" s="399">
        <v>79.290000000000006</v>
      </c>
      <c r="H21" s="399"/>
      <c r="I21" s="399">
        <v>30491.200000000001</v>
      </c>
      <c r="J21" s="399">
        <v>20150.7</v>
      </c>
      <c r="K21" s="398">
        <f t="shared" si="0"/>
        <v>34275</v>
      </c>
      <c r="L21" s="399">
        <v>34275</v>
      </c>
      <c r="M21" s="398">
        <f t="shared" si="1"/>
        <v>0</v>
      </c>
      <c r="N21" s="400">
        <f t="shared" si="2"/>
        <v>29089</v>
      </c>
      <c r="O21" s="399">
        <v>29095</v>
      </c>
      <c r="P21" s="398">
        <f t="shared" si="3"/>
        <v>6</v>
      </c>
      <c r="Q21" s="398">
        <f t="shared" si="4"/>
        <v>34578</v>
      </c>
      <c r="R21" s="399">
        <v>34584</v>
      </c>
      <c r="S21" s="398">
        <f t="shared" si="5"/>
        <v>6</v>
      </c>
      <c r="T21" s="398">
        <f t="shared" si="6"/>
        <v>31932</v>
      </c>
      <c r="U21" s="399">
        <v>31937</v>
      </c>
      <c r="V21" s="398">
        <f t="shared" si="7"/>
        <v>5</v>
      </c>
      <c r="W21" s="400">
        <f t="shared" si="8"/>
        <v>19612</v>
      </c>
      <c r="X21" s="399">
        <v>19620</v>
      </c>
      <c r="Y21" s="398">
        <f t="shared" si="9"/>
        <v>8</v>
      </c>
      <c r="Z21" s="401">
        <f t="shared" si="10"/>
        <v>25</v>
      </c>
      <c r="AA21" s="128">
        <v>216</v>
      </c>
      <c r="AB21" s="128">
        <v>124</v>
      </c>
      <c r="AC21" s="348">
        <f>Gen!T26</f>
        <v>1366.8200000000002</v>
      </c>
    </row>
    <row r="22" spans="1:29" ht="18.75" customHeight="1">
      <c r="A22" s="343">
        <f>Gen!B27</f>
        <v>43907</v>
      </c>
      <c r="B22" s="441">
        <f>Gen!C27</f>
        <v>2.5999999999999999E-2</v>
      </c>
      <c r="C22" s="399">
        <v>22513.21</v>
      </c>
      <c r="D22" s="399">
        <v>22921.21</v>
      </c>
      <c r="E22" s="399"/>
      <c r="F22" s="399"/>
      <c r="G22" s="399">
        <v>50.42</v>
      </c>
      <c r="H22" s="399"/>
      <c r="I22" s="399">
        <v>30495.9</v>
      </c>
      <c r="J22" s="399">
        <v>20154.5</v>
      </c>
      <c r="K22" s="398">
        <f t="shared" si="0"/>
        <v>34275</v>
      </c>
      <c r="L22" s="399">
        <v>34275</v>
      </c>
      <c r="M22" s="398">
        <f t="shared" si="1"/>
        <v>0</v>
      </c>
      <c r="N22" s="400">
        <f t="shared" si="2"/>
        <v>29095</v>
      </c>
      <c r="O22" s="399">
        <v>29101</v>
      </c>
      <c r="P22" s="398">
        <f t="shared" si="3"/>
        <v>6</v>
      </c>
      <c r="Q22" s="398">
        <f t="shared" si="4"/>
        <v>34584</v>
      </c>
      <c r="R22" s="399">
        <v>34591</v>
      </c>
      <c r="S22" s="398">
        <f t="shared" si="5"/>
        <v>7</v>
      </c>
      <c r="T22" s="398">
        <f t="shared" si="6"/>
        <v>31937</v>
      </c>
      <c r="U22" s="399">
        <v>31944</v>
      </c>
      <c r="V22" s="398">
        <f t="shared" si="7"/>
        <v>7</v>
      </c>
      <c r="W22" s="400">
        <f t="shared" si="8"/>
        <v>19620</v>
      </c>
      <c r="X22" s="399">
        <v>19625</v>
      </c>
      <c r="Y22" s="398">
        <f t="shared" si="9"/>
        <v>5</v>
      </c>
      <c r="Z22" s="401">
        <f t="shared" si="10"/>
        <v>25</v>
      </c>
      <c r="AA22" s="128">
        <v>268</v>
      </c>
      <c r="AB22" s="128">
        <v>120</v>
      </c>
      <c r="AC22" s="348">
        <f>Gen!T27</f>
        <v>1215.42</v>
      </c>
    </row>
    <row r="23" spans="1:29" ht="20.100000000000001" customHeight="1">
      <c r="A23" s="343">
        <f>Gen!B28</f>
        <v>43908</v>
      </c>
      <c r="B23" s="441">
        <f>Gen!C28</f>
        <v>5.1900000000000002E-2</v>
      </c>
      <c r="C23" s="399">
        <v>21246.95</v>
      </c>
      <c r="D23" s="399">
        <v>22921.21</v>
      </c>
      <c r="E23" s="682"/>
      <c r="F23" s="399"/>
      <c r="G23" s="399">
        <v>156</v>
      </c>
      <c r="H23" s="399"/>
      <c r="I23" s="399">
        <v>30500.400000000001</v>
      </c>
      <c r="J23" s="399">
        <v>20158.3</v>
      </c>
      <c r="K23" s="398">
        <f t="shared" si="0"/>
        <v>34275</v>
      </c>
      <c r="L23" s="399">
        <v>34275</v>
      </c>
      <c r="M23" s="398">
        <f t="shared" si="1"/>
        <v>0</v>
      </c>
      <c r="N23" s="400">
        <f t="shared" si="2"/>
        <v>29101</v>
      </c>
      <c r="O23" s="399">
        <v>29108</v>
      </c>
      <c r="P23" s="398">
        <f t="shared" si="3"/>
        <v>7</v>
      </c>
      <c r="Q23" s="398">
        <f t="shared" si="4"/>
        <v>34591</v>
      </c>
      <c r="R23" s="399">
        <v>34597</v>
      </c>
      <c r="S23" s="398">
        <f t="shared" si="5"/>
        <v>6</v>
      </c>
      <c r="T23" s="398">
        <f t="shared" si="6"/>
        <v>31944</v>
      </c>
      <c r="U23" s="399">
        <v>31949</v>
      </c>
      <c r="V23" s="398">
        <f t="shared" si="7"/>
        <v>5</v>
      </c>
      <c r="W23" s="400">
        <f t="shared" si="8"/>
        <v>19625</v>
      </c>
      <c r="X23" s="399">
        <v>19632</v>
      </c>
      <c r="Y23" s="398">
        <f t="shared" si="9"/>
        <v>7</v>
      </c>
      <c r="Z23" s="401">
        <f t="shared" si="10"/>
        <v>25</v>
      </c>
      <c r="AA23" s="128">
        <v>258</v>
      </c>
      <c r="AB23" s="128">
        <v>120</v>
      </c>
      <c r="AC23" s="348">
        <f>Gen!T28</f>
        <v>1192.8200000000002</v>
      </c>
    </row>
    <row r="24" spans="1:29" ht="20.100000000000001" customHeight="1">
      <c r="A24" s="343">
        <f>Gen!B29</f>
        <v>43909</v>
      </c>
      <c r="B24" s="441">
        <f>Gen!C29</f>
        <v>0.02</v>
      </c>
      <c r="C24" s="399">
        <v>19898.13</v>
      </c>
      <c r="D24" s="399">
        <v>22921.21</v>
      </c>
      <c r="E24" s="399"/>
      <c r="F24" s="399"/>
      <c r="G24" s="399">
        <v>97.01</v>
      </c>
      <c r="H24" s="399"/>
      <c r="I24" s="399">
        <v>30504.799999999999</v>
      </c>
      <c r="J24" s="399">
        <v>20161.8</v>
      </c>
      <c r="K24" s="398">
        <f t="shared" si="0"/>
        <v>34275</v>
      </c>
      <c r="L24" s="399">
        <v>34275</v>
      </c>
      <c r="M24" s="398">
        <f t="shared" si="1"/>
        <v>0</v>
      </c>
      <c r="N24" s="400">
        <f t="shared" si="2"/>
        <v>29108</v>
      </c>
      <c r="O24" s="399">
        <v>29114</v>
      </c>
      <c r="P24" s="398">
        <f t="shared" si="3"/>
        <v>6</v>
      </c>
      <c r="Q24" s="398">
        <f t="shared" si="4"/>
        <v>34597</v>
      </c>
      <c r="R24" s="399">
        <v>34603</v>
      </c>
      <c r="S24" s="398">
        <f t="shared" si="5"/>
        <v>6</v>
      </c>
      <c r="T24" s="398">
        <f t="shared" si="6"/>
        <v>31949</v>
      </c>
      <c r="U24" s="399">
        <v>31953</v>
      </c>
      <c r="V24" s="398">
        <f t="shared" si="7"/>
        <v>4</v>
      </c>
      <c r="W24" s="400">
        <f t="shared" si="8"/>
        <v>19632</v>
      </c>
      <c r="X24" s="399">
        <v>19641</v>
      </c>
      <c r="Y24" s="398">
        <f t="shared" si="9"/>
        <v>9</v>
      </c>
      <c r="Z24" s="401">
        <f t="shared" si="10"/>
        <v>25</v>
      </c>
      <c r="AA24" s="128">
        <v>255</v>
      </c>
      <c r="AB24" s="128">
        <v>120</v>
      </c>
      <c r="AC24" s="348">
        <f>Gen!T29</f>
        <v>1101.77</v>
      </c>
    </row>
    <row r="25" spans="1:29" ht="18.75" customHeight="1">
      <c r="A25" s="343">
        <f>Gen!B30</f>
        <v>43910</v>
      </c>
      <c r="B25" s="441">
        <f>Gen!C30</f>
        <v>0.02</v>
      </c>
      <c r="C25" s="399">
        <v>18699.349999999999</v>
      </c>
      <c r="D25" s="399">
        <v>22921.21</v>
      </c>
      <c r="E25" s="399"/>
      <c r="F25" s="399"/>
      <c r="G25" s="399"/>
      <c r="H25" s="399"/>
      <c r="I25" s="399">
        <v>30509.5</v>
      </c>
      <c r="J25" s="399">
        <v>20165.5</v>
      </c>
      <c r="K25" s="398">
        <f t="shared" si="0"/>
        <v>34275</v>
      </c>
      <c r="L25" s="399">
        <v>34275</v>
      </c>
      <c r="M25" s="398">
        <f t="shared" si="1"/>
        <v>0</v>
      </c>
      <c r="N25" s="400">
        <f t="shared" si="2"/>
        <v>29114</v>
      </c>
      <c r="O25" s="399">
        <v>29120</v>
      </c>
      <c r="P25" s="398">
        <f t="shared" si="3"/>
        <v>6</v>
      </c>
      <c r="Q25" s="398">
        <f t="shared" si="4"/>
        <v>34603</v>
      </c>
      <c r="R25" s="399">
        <v>34610</v>
      </c>
      <c r="S25" s="398">
        <f t="shared" si="5"/>
        <v>7</v>
      </c>
      <c r="T25" s="398">
        <f t="shared" si="6"/>
        <v>31953</v>
      </c>
      <c r="U25" s="399">
        <v>31957</v>
      </c>
      <c r="V25" s="398">
        <f t="shared" si="7"/>
        <v>4</v>
      </c>
      <c r="W25" s="400">
        <f t="shared" si="8"/>
        <v>19641</v>
      </c>
      <c r="X25" s="399">
        <v>19648</v>
      </c>
      <c r="Y25" s="398">
        <f t="shared" si="9"/>
        <v>7</v>
      </c>
      <c r="Z25" s="401">
        <f t="shared" si="10"/>
        <v>24</v>
      </c>
      <c r="AA25" s="128">
        <v>268</v>
      </c>
      <c r="AB25" s="128">
        <v>125</v>
      </c>
      <c r="AC25" s="348">
        <f>Gen!T30</f>
        <v>1196.43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>
        <v>17502.919999999998</v>
      </c>
      <c r="D26" s="399">
        <v>22921.21</v>
      </c>
      <c r="E26" s="399"/>
      <c r="F26" s="399"/>
      <c r="G26" s="399">
        <v>147.13999999999999</v>
      </c>
      <c r="H26" s="399"/>
      <c r="I26" s="399">
        <v>30513.7</v>
      </c>
      <c r="J26" s="399">
        <v>20168.599999999999</v>
      </c>
      <c r="K26" s="398">
        <f t="shared" si="0"/>
        <v>34275</v>
      </c>
      <c r="L26" s="399">
        <v>34275</v>
      </c>
      <c r="M26" s="398">
        <f t="shared" si="1"/>
        <v>0</v>
      </c>
      <c r="N26" s="400">
        <f t="shared" si="2"/>
        <v>29120</v>
      </c>
      <c r="O26" s="399">
        <v>29127</v>
      </c>
      <c r="P26" s="398">
        <f t="shared" si="3"/>
        <v>7</v>
      </c>
      <c r="Q26" s="398">
        <f t="shared" si="4"/>
        <v>34610</v>
      </c>
      <c r="R26" s="399">
        <v>34615</v>
      </c>
      <c r="S26" s="398">
        <f t="shared" si="5"/>
        <v>5</v>
      </c>
      <c r="T26" s="398">
        <f t="shared" si="6"/>
        <v>31957</v>
      </c>
      <c r="U26" s="399">
        <v>31959</v>
      </c>
      <c r="V26" s="398">
        <f t="shared" si="7"/>
        <v>2</v>
      </c>
      <c r="W26" s="400">
        <f t="shared" si="8"/>
        <v>19648</v>
      </c>
      <c r="X26" s="399">
        <v>19658</v>
      </c>
      <c r="Y26" s="398">
        <f t="shared" si="9"/>
        <v>10</v>
      </c>
      <c r="Z26" s="401">
        <f t="shared" si="10"/>
        <v>24</v>
      </c>
      <c r="AA26" s="128">
        <v>272</v>
      </c>
      <c r="AB26" s="128">
        <v>125</v>
      </c>
      <c r="AC26" s="348">
        <f>Gen!T31</f>
        <v>1103.08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>
        <v>16252.7</v>
      </c>
      <c r="D27" s="399">
        <v>22921.21</v>
      </c>
      <c r="E27" s="399"/>
      <c r="F27" s="399"/>
      <c r="G27" s="399"/>
      <c r="H27" s="399"/>
      <c r="I27" s="399">
        <v>30517.5</v>
      </c>
      <c r="J27" s="399">
        <v>20171.3</v>
      </c>
      <c r="K27" s="398">
        <f t="shared" si="0"/>
        <v>34275</v>
      </c>
      <c r="L27" s="399">
        <v>34275</v>
      </c>
      <c r="M27" s="398">
        <f t="shared" si="1"/>
        <v>0</v>
      </c>
      <c r="N27" s="400">
        <f t="shared" si="2"/>
        <v>29127</v>
      </c>
      <c r="O27" s="399">
        <v>29129</v>
      </c>
      <c r="P27" s="398">
        <f t="shared" si="3"/>
        <v>2</v>
      </c>
      <c r="Q27" s="398">
        <f t="shared" si="4"/>
        <v>34615</v>
      </c>
      <c r="R27" s="399">
        <v>34619</v>
      </c>
      <c r="S27" s="398">
        <f t="shared" si="5"/>
        <v>4</v>
      </c>
      <c r="T27" s="398">
        <f t="shared" si="6"/>
        <v>31959</v>
      </c>
      <c r="U27" s="399">
        <v>31966</v>
      </c>
      <c r="V27" s="398">
        <f t="shared" si="7"/>
        <v>7</v>
      </c>
      <c r="W27" s="400">
        <f t="shared" si="8"/>
        <v>19658</v>
      </c>
      <c r="X27" s="399">
        <v>19670</v>
      </c>
      <c r="Y27" s="398">
        <f t="shared" si="9"/>
        <v>12</v>
      </c>
      <c r="Z27" s="401">
        <f t="shared" si="10"/>
        <v>25</v>
      </c>
      <c r="AA27" s="128">
        <v>262</v>
      </c>
      <c r="AB27" s="128">
        <v>120</v>
      </c>
      <c r="AC27" s="348">
        <f>Gen!T32</f>
        <v>926.75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>
        <v>26473.51</v>
      </c>
      <c r="D28" s="399">
        <v>23373.65</v>
      </c>
      <c r="E28" s="399"/>
      <c r="F28" s="399"/>
      <c r="G28" s="399"/>
      <c r="H28" s="399"/>
      <c r="I28" s="399">
        <v>30521.5</v>
      </c>
      <c r="J28" s="399">
        <v>20174.3</v>
      </c>
      <c r="K28" s="398">
        <f t="shared" si="0"/>
        <v>34275</v>
      </c>
      <c r="L28" s="399">
        <v>34275</v>
      </c>
      <c r="M28" s="398">
        <f t="shared" si="1"/>
        <v>0</v>
      </c>
      <c r="N28" s="400">
        <f t="shared" si="2"/>
        <v>29129</v>
      </c>
      <c r="O28" s="399">
        <v>29135</v>
      </c>
      <c r="P28" s="398">
        <f t="shared" si="3"/>
        <v>6</v>
      </c>
      <c r="Q28" s="398">
        <f t="shared" si="4"/>
        <v>34619</v>
      </c>
      <c r="R28" s="399">
        <v>34627</v>
      </c>
      <c r="S28" s="398">
        <f t="shared" si="5"/>
        <v>8</v>
      </c>
      <c r="T28" s="398">
        <f t="shared" si="6"/>
        <v>31966</v>
      </c>
      <c r="U28" s="399">
        <v>31967</v>
      </c>
      <c r="V28" s="398">
        <f t="shared" si="7"/>
        <v>1</v>
      </c>
      <c r="W28" s="400">
        <f t="shared" si="8"/>
        <v>19670</v>
      </c>
      <c r="X28" s="399">
        <v>19681</v>
      </c>
      <c r="Y28" s="398">
        <f t="shared" si="9"/>
        <v>11</v>
      </c>
      <c r="Z28" s="401">
        <f t="shared" si="10"/>
        <v>26</v>
      </c>
      <c r="AA28" s="128">
        <v>268</v>
      </c>
      <c r="AB28" s="128">
        <v>110</v>
      </c>
      <c r="AC28" s="348">
        <f>Gen!T33</f>
        <v>1128.43</v>
      </c>
    </row>
    <row r="29" spans="1:29" ht="20.100000000000001" customHeight="1">
      <c r="A29" s="343">
        <f>Gen!B34</f>
        <v>43914</v>
      </c>
      <c r="B29" s="441">
        <f>Gen!C34</f>
        <v>0.02</v>
      </c>
      <c r="C29" s="399">
        <v>26473.51</v>
      </c>
      <c r="D29" s="399">
        <v>22245.22</v>
      </c>
      <c r="E29" s="399"/>
      <c r="F29" s="399"/>
      <c r="G29" s="399">
        <v>249.02</v>
      </c>
      <c r="H29" s="399"/>
      <c r="I29" s="399">
        <v>30525.9</v>
      </c>
      <c r="J29" s="399">
        <v>20177.099999999999</v>
      </c>
      <c r="K29" s="398">
        <f t="shared" si="0"/>
        <v>34275</v>
      </c>
      <c r="L29" s="399">
        <v>34275</v>
      </c>
      <c r="M29" s="398">
        <f t="shared" si="1"/>
        <v>0</v>
      </c>
      <c r="N29" s="400">
        <f t="shared" si="2"/>
        <v>29135</v>
      </c>
      <c r="O29" s="399">
        <v>29138</v>
      </c>
      <c r="P29" s="398">
        <f t="shared" si="3"/>
        <v>3</v>
      </c>
      <c r="Q29" s="398">
        <f t="shared" si="4"/>
        <v>34627</v>
      </c>
      <c r="R29" s="399">
        <v>34632</v>
      </c>
      <c r="S29" s="398">
        <f t="shared" si="5"/>
        <v>5</v>
      </c>
      <c r="T29" s="398">
        <f t="shared" si="6"/>
        <v>31967</v>
      </c>
      <c r="U29" s="399">
        <v>31973</v>
      </c>
      <c r="V29" s="398">
        <f t="shared" si="7"/>
        <v>6</v>
      </c>
      <c r="W29" s="400">
        <f t="shared" si="8"/>
        <v>19681</v>
      </c>
      <c r="X29" s="399">
        <v>19694</v>
      </c>
      <c r="Y29" s="398">
        <f t="shared" si="9"/>
        <v>13</v>
      </c>
      <c r="Z29" s="401">
        <f t="shared" si="10"/>
        <v>27</v>
      </c>
      <c r="AA29" s="128">
        <v>272</v>
      </c>
      <c r="AB29" s="128">
        <v>120</v>
      </c>
      <c r="AC29" s="348">
        <f>Gen!T34</f>
        <v>966.5200000000001</v>
      </c>
    </row>
    <row r="30" spans="1:29" ht="20.100000000000001" customHeight="1">
      <c r="A30" s="343">
        <f>Gen!B35</f>
        <v>43915</v>
      </c>
      <c r="B30" s="441">
        <f>Gen!C35</f>
        <v>0.02</v>
      </c>
      <c r="C30" s="399">
        <v>25906.99</v>
      </c>
      <c r="D30" s="399">
        <v>21996.2</v>
      </c>
      <c r="E30" s="399"/>
      <c r="F30" s="399"/>
      <c r="G30" s="399">
        <v>14.1</v>
      </c>
      <c r="H30" s="399"/>
      <c r="I30" s="399">
        <v>30529.4</v>
      </c>
      <c r="J30" s="399">
        <v>20180.099999999999</v>
      </c>
      <c r="K30" s="398">
        <f t="shared" si="0"/>
        <v>34275</v>
      </c>
      <c r="L30" s="399">
        <v>34275</v>
      </c>
      <c r="M30" s="398">
        <f t="shared" si="1"/>
        <v>0</v>
      </c>
      <c r="N30" s="400">
        <f t="shared" si="2"/>
        <v>29138</v>
      </c>
      <c r="O30" s="399">
        <v>29154</v>
      </c>
      <c r="P30" s="398">
        <f t="shared" si="3"/>
        <v>16</v>
      </c>
      <c r="Q30" s="398">
        <f t="shared" si="4"/>
        <v>34632</v>
      </c>
      <c r="R30" s="399">
        <v>34632</v>
      </c>
      <c r="S30" s="398">
        <f t="shared" si="5"/>
        <v>0</v>
      </c>
      <c r="T30" s="398">
        <f t="shared" si="6"/>
        <v>31973</v>
      </c>
      <c r="U30" s="399">
        <v>31980</v>
      </c>
      <c r="V30" s="398">
        <f t="shared" si="7"/>
        <v>7</v>
      </c>
      <c r="W30" s="400">
        <f t="shared" si="8"/>
        <v>19694</v>
      </c>
      <c r="X30" s="399">
        <v>19701</v>
      </c>
      <c r="Y30" s="398">
        <f t="shared" si="9"/>
        <v>7</v>
      </c>
      <c r="Z30" s="401">
        <f t="shared" si="10"/>
        <v>30</v>
      </c>
      <c r="AA30" s="128">
        <v>268</v>
      </c>
      <c r="AB30" s="128">
        <v>125</v>
      </c>
      <c r="AC30" s="348">
        <f>Gen!T35</f>
        <v>1052.98</v>
      </c>
    </row>
    <row r="31" spans="1:29" ht="20.100000000000001" customHeight="1">
      <c r="A31" s="343">
        <f>Gen!B36</f>
        <v>43916</v>
      </c>
      <c r="B31" s="441">
        <f>Gen!C36</f>
        <v>0.02</v>
      </c>
      <c r="C31" s="399">
        <v>24839.91</v>
      </c>
      <c r="D31" s="399">
        <v>21996.2</v>
      </c>
      <c r="E31" s="399"/>
      <c r="F31" s="399"/>
      <c r="G31" s="399">
        <v>34.57</v>
      </c>
      <c r="H31" s="399"/>
      <c r="I31" s="399">
        <v>30533.1</v>
      </c>
      <c r="J31" s="399">
        <v>20183.900000000001</v>
      </c>
      <c r="K31" s="398">
        <f t="shared" si="0"/>
        <v>34275</v>
      </c>
      <c r="L31" s="399">
        <v>34275</v>
      </c>
      <c r="M31" s="398">
        <f t="shared" si="1"/>
        <v>0</v>
      </c>
      <c r="N31" s="400">
        <f t="shared" si="2"/>
        <v>29154</v>
      </c>
      <c r="O31" s="399">
        <v>29154</v>
      </c>
      <c r="P31" s="398">
        <f t="shared" si="3"/>
        <v>0</v>
      </c>
      <c r="Q31" s="398">
        <f t="shared" si="4"/>
        <v>34632</v>
      </c>
      <c r="R31" s="399">
        <v>34641</v>
      </c>
      <c r="S31" s="398">
        <f t="shared" si="5"/>
        <v>9</v>
      </c>
      <c r="T31" s="398">
        <f t="shared" si="6"/>
        <v>31980</v>
      </c>
      <c r="U31" s="399">
        <v>31987</v>
      </c>
      <c r="V31" s="398">
        <f t="shared" si="7"/>
        <v>7</v>
      </c>
      <c r="W31" s="400">
        <f t="shared" si="8"/>
        <v>19701</v>
      </c>
      <c r="X31" s="399">
        <v>19710</v>
      </c>
      <c r="Y31" s="398">
        <f t="shared" si="9"/>
        <v>9</v>
      </c>
      <c r="Z31" s="401">
        <f t="shared" si="10"/>
        <v>25</v>
      </c>
      <c r="AA31" s="128">
        <v>260</v>
      </c>
      <c r="AB31" s="128">
        <v>120</v>
      </c>
      <c r="AC31" s="348">
        <f>Gen!T36</f>
        <v>1062.08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>
        <v>23743.26</v>
      </c>
      <c r="D32" s="399">
        <v>21996.2</v>
      </c>
      <c r="E32" s="399"/>
      <c r="F32" s="399"/>
      <c r="G32" s="399">
        <v>144.12</v>
      </c>
      <c r="H32" s="399"/>
      <c r="I32" s="399">
        <v>30536.6</v>
      </c>
      <c r="J32" s="399">
        <v>20185.900000000001</v>
      </c>
      <c r="K32" s="398">
        <f t="shared" si="0"/>
        <v>34275</v>
      </c>
      <c r="L32" s="399">
        <v>34275</v>
      </c>
      <c r="M32" s="398">
        <f t="shared" si="1"/>
        <v>0</v>
      </c>
      <c r="N32" s="400">
        <f t="shared" si="2"/>
        <v>29154</v>
      </c>
      <c r="O32" s="399">
        <v>29161</v>
      </c>
      <c r="P32" s="398">
        <f t="shared" si="3"/>
        <v>7</v>
      </c>
      <c r="Q32" s="398">
        <f t="shared" si="4"/>
        <v>34641</v>
      </c>
      <c r="R32" s="399">
        <v>34649</v>
      </c>
      <c r="S32" s="398">
        <f t="shared" si="5"/>
        <v>8</v>
      </c>
      <c r="T32" s="398">
        <f t="shared" si="6"/>
        <v>31987</v>
      </c>
      <c r="U32" s="399">
        <v>31994</v>
      </c>
      <c r="V32" s="398">
        <f t="shared" si="7"/>
        <v>7</v>
      </c>
      <c r="W32" s="400">
        <f t="shared" si="8"/>
        <v>19710</v>
      </c>
      <c r="X32" s="399">
        <v>19711</v>
      </c>
      <c r="Y32" s="398">
        <f t="shared" si="9"/>
        <v>1</v>
      </c>
      <c r="Z32" s="401">
        <f t="shared" si="10"/>
        <v>23</v>
      </c>
      <c r="AA32" s="128">
        <v>241</v>
      </c>
      <c r="AB32" s="128">
        <v>130</v>
      </c>
      <c r="AC32" s="348">
        <f>Gen!T37</f>
        <v>958.21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>
        <v>22640.93</v>
      </c>
      <c r="D33" s="399">
        <v>21996.2</v>
      </c>
      <c r="E33" s="399"/>
      <c r="F33" s="399"/>
      <c r="G33" s="399">
        <v>78.260000000000005</v>
      </c>
      <c r="H33" s="399"/>
      <c r="I33" s="399">
        <v>30539.3</v>
      </c>
      <c r="J33" s="399">
        <v>20188.3</v>
      </c>
      <c r="K33" s="398">
        <f t="shared" si="0"/>
        <v>34275</v>
      </c>
      <c r="L33" s="399">
        <v>34275</v>
      </c>
      <c r="M33" s="398">
        <f t="shared" si="1"/>
        <v>0</v>
      </c>
      <c r="N33" s="400">
        <f t="shared" si="2"/>
        <v>29161</v>
      </c>
      <c r="O33" s="399">
        <v>29168</v>
      </c>
      <c r="P33" s="398">
        <f t="shared" si="3"/>
        <v>7</v>
      </c>
      <c r="Q33" s="398">
        <f t="shared" si="4"/>
        <v>34649</v>
      </c>
      <c r="R33" s="399">
        <v>34660</v>
      </c>
      <c r="S33" s="398">
        <f t="shared" si="5"/>
        <v>11</v>
      </c>
      <c r="T33" s="398">
        <f t="shared" si="6"/>
        <v>31994</v>
      </c>
      <c r="U33" s="399">
        <v>31994</v>
      </c>
      <c r="V33" s="398">
        <f t="shared" si="7"/>
        <v>0</v>
      </c>
      <c r="W33" s="400">
        <f t="shared" si="8"/>
        <v>19711</v>
      </c>
      <c r="X33" s="399">
        <v>19717</v>
      </c>
      <c r="Y33" s="398">
        <f t="shared" si="9"/>
        <v>6</v>
      </c>
      <c r="Z33" s="401">
        <f t="shared" si="10"/>
        <v>24</v>
      </c>
      <c r="AA33" s="128">
        <v>240</v>
      </c>
      <c r="AB33" s="128">
        <v>90</v>
      </c>
      <c r="AC33" s="348">
        <f>Gen!T38</f>
        <v>811.26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>
        <v>21751.47</v>
      </c>
      <c r="D34" s="399">
        <v>21996.2</v>
      </c>
      <c r="E34" s="399"/>
      <c r="F34" s="399"/>
      <c r="G34" s="399"/>
      <c r="H34" s="399"/>
      <c r="I34" s="399">
        <v>30542.9</v>
      </c>
      <c r="J34" s="399">
        <v>20190.8</v>
      </c>
      <c r="K34" s="398">
        <f t="shared" si="0"/>
        <v>34275</v>
      </c>
      <c r="L34" s="399">
        <v>34275</v>
      </c>
      <c r="M34" s="398">
        <f t="shared" si="1"/>
        <v>0</v>
      </c>
      <c r="N34" s="400">
        <f t="shared" si="2"/>
        <v>29168</v>
      </c>
      <c r="O34" s="399">
        <v>29174</v>
      </c>
      <c r="P34" s="398">
        <f t="shared" si="3"/>
        <v>6</v>
      </c>
      <c r="Q34" s="398">
        <f t="shared" si="4"/>
        <v>34660</v>
      </c>
      <c r="R34" s="399">
        <v>34660</v>
      </c>
      <c r="S34" s="398">
        <f t="shared" si="5"/>
        <v>0</v>
      </c>
      <c r="T34" s="398">
        <f t="shared" si="6"/>
        <v>31994</v>
      </c>
      <c r="U34" s="399">
        <v>32002</v>
      </c>
      <c r="V34" s="398">
        <f t="shared" si="7"/>
        <v>8</v>
      </c>
      <c r="W34" s="400">
        <f t="shared" si="8"/>
        <v>19717</v>
      </c>
      <c r="X34" s="399">
        <v>19727</v>
      </c>
      <c r="Y34" s="398">
        <f t="shared" si="9"/>
        <v>10</v>
      </c>
      <c r="Z34" s="401">
        <f t="shared" si="10"/>
        <v>24</v>
      </c>
      <c r="AA34" s="128">
        <v>235</v>
      </c>
      <c r="AB34" s="128">
        <v>95</v>
      </c>
      <c r="AC34" s="348">
        <f>Gen!T39</f>
        <v>838.53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>
        <v>20912.939999999999</v>
      </c>
      <c r="D35" s="399">
        <v>21996.2</v>
      </c>
      <c r="E35" s="399"/>
      <c r="F35" s="399"/>
      <c r="G35" s="399"/>
      <c r="H35" s="399"/>
      <c r="I35" s="399"/>
      <c r="J35" s="399"/>
      <c r="K35" s="398">
        <f t="shared" si="0"/>
        <v>34275</v>
      </c>
      <c r="L35" s="399"/>
      <c r="M35" s="398">
        <f t="shared" si="1"/>
        <v>-34275</v>
      </c>
      <c r="N35" s="400">
        <f t="shared" si="2"/>
        <v>29174</v>
      </c>
      <c r="O35" s="399"/>
      <c r="P35" s="398">
        <f t="shared" si="3"/>
        <v>-29174</v>
      </c>
      <c r="Q35" s="398">
        <f t="shared" si="4"/>
        <v>34660</v>
      </c>
      <c r="R35" s="399"/>
      <c r="S35" s="398">
        <f t="shared" si="5"/>
        <v>-34660</v>
      </c>
      <c r="T35" s="398">
        <f t="shared" si="6"/>
        <v>32002</v>
      </c>
      <c r="U35" s="399"/>
      <c r="V35" s="398">
        <f t="shared" si="7"/>
        <v>-32002</v>
      </c>
      <c r="W35" s="400">
        <f t="shared" si="8"/>
        <v>19727</v>
      </c>
      <c r="X35" s="399"/>
      <c r="Y35" s="398">
        <f t="shared" si="9"/>
        <v>-19727</v>
      </c>
      <c r="Z35" s="401">
        <f t="shared" si="10"/>
        <v>-149838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25" zoomScale="110" zoomScaleNormal="110" workbookViewId="0">
      <pane xSplit="2" topLeftCell="C1" activePane="topRight" state="frozen"/>
      <selection pane="topRight" activeCell="R42" sqref="R42"/>
    </sheetView>
  </sheetViews>
  <sheetFormatPr defaultColWidth="9.140625"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10.140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3"/>
      <c r="C1" s="803"/>
    </row>
    <row r="2" spans="2:47" ht="26.25">
      <c r="B2" s="803"/>
      <c r="C2" s="803"/>
      <c r="E2" s="804" t="s">
        <v>314</v>
      </c>
      <c r="F2" s="804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</row>
    <row r="3" spans="2:47">
      <c r="B3" s="803"/>
      <c r="C3" s="803"/>
      <c r="L3" s="246"/>
      <c r="R3" s="246"/>
    </row>
    <row r="4" spans="2:47">
      <c r="B4" s="803"/>
      <c r="C4" s="803"/>
      <c r="L4" s="246"/>
      <c r="R4" s="246"/>
    </row>
    <row r="5" spans="2:47" ht="12" thickBot="1">
      <c r="B5" s="803"/>
      <c r="C5" s="803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3"/>
      <c r="C6" s="803"/>
      <c r="D6" s="251"/>
      <c r="G6" s="812" t="s">
        <v>58</v>
      </c>
      <c r="H6" s="813"/>
      <c r="I6" s="813"/>
      <c r="J6" s="813"/>
      <c r="K6" s="813"/>
      <c r="L6" s="813"/>
      <c r="M6" s="814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6" t="s">
        <v>203</v>
      </c>
      <c r="H7" s="807"/>
      <c r="I7" s="807"/>
      <c r="J7" s="807"/>
      <c r="K7" s="807"/>
      <c r="L7" s="807"/>
      <c r="M7" s="808"/>
      <c r="N7" s="809" t="s">
        <v>40</v>
      </c>
      <c r="O7" s="810"/>
      <c r="P7" s="810"/>
      <c r="Q7" s="810"/>
      <c r="R7" s="810"/>
      <c r="S7" s="811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308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1" t="s">
        <v>338</v>
      </c>
      <c r="AC8" s="481" t="s">
        <v>337</v>
      </c>
      <c r="AD8" s="483" t="s">
        <v>34</v>
      </c>
      <c r="AE8" s="481" t="s">
        <v>31</v>
      </c>
      <c r="AF8" s="481" t="s">
        <v>211</v>
      </c>
      <c r="AG8" s="481" t="s">
        <v>212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691"/>
      <c r="C9" s="259"/>
      <c r="D9" s="277">
        <v>32302.73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43891</v>
      </c>
      <c r="C11" s="303">
        <v>0.57140000000000002</v>
      </c>
      <c r="D11" s="291">
        <f>SUM(D9+E11)</f>
        <v>32302.73</v>
      </c>
      <c r="E11" s="298"/>
      <c r="F11" s="276"/>
      <c r="G11" s="696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695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697" t="s">
        <v>309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695">
        <v>43893</v>
      </c>
      <c r="C13" s="303">
        <v>0.1429</v>
      </c>
      <c r="D13" s="291">
        <f t="shared" si="6"/>
        <v>45327.450000000004</v>
      </c>
      <c r="E13" s="298"/>
      <c r="F13" s="276"/>
      <c r="G13" s="698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81">
        <v>55.1</v>
      </c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695">
        <v>43894</v>
      </c>
      <c r="C14" s="303">
        <v>1</v>
      </c>
      <c r="D14" s="291">
        <f t="shared" si="6"/>
        <v>43191.070000000007</v>
      </c>
      <c r="E14" s="298"/>
      <c r="F14" s="276"/>
      <c r="G14" s="698"/>
      <c r="H14" s="278">
        <v>514.17999999999995</v>
      </c>
      <c r="I14" s="277">
        <v>420.49</v>
      </c>
      <c r="J14" s="299"/>
      <c r="K14" s="277">
        <v>442.4</v>
      </c>
      <c r="L14" s="277">
        <v>634.29999999999995</v>
      </c>
      <c r="M14" s="389">
        <v>409.92</v>
      </c>
      <c r="N14" s="388">
        <v>1760</v>
      </c>
      <c r="O14" s="279">
        <v>808</v>
      </c>
      <c r="P14" s="279"/>
      <c r="Q14" s="279">
        <v>808</v>
      </c>
      <c r="R14" s="279">
        <v>1597</v>
      </c>
      <c r="S14" s="279">
        <v>1227</v>
      </c>
      <c r="T14" s="292">
        <f t="shared" si="0"/>
        <v>2421.29</v>
      </c>
      <c r="U14" s="293">
        <f t="shared" si="1"/>
        <v>6200</v>
      </c>
      <c r="V14" s="293">
        <f t="shared" si="4"/>
        <v>0.39053064516129032</v>
      </c>
      <c r="W14" s="282"/>
      <c r="X14" s="294">
        <v>39.5</v>
      </c>
      <c r="Z14" s="681"/>
      <c r="AA14" s="277">
        <v>32.44</v>
      </c>
      <c r="AB14" s="361"/>
      <c r="AC14" s="294"/>
      <c r="AD14" s="294"/>
      <c r="AE14" s="294"/>
      <c r="AF14" s="294"/>
      <c r="AG14" s="294"/>
      <c r="AH14" s="294"/>
      <c r="AI14" s="294"/>
      <c r="AJ14" s="519">
        <v>78</v>
      </c>
      <c r="AK14" s="359">
        <f t="shared" si="3"/>
        <v>149.94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2571.23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695">
        <v>43895</v>
      </c>
      <c r="C15" s="303">
        <v>1</v>
      </c>
      <c r="D15" s="291">
        <f t="shared" si="6"/>
        <v>40619.840000000004</v>
      </c>
      <c r="E15" s="298"/>
      <c r="F15" s="276"/>
      <c r="G15" s="698"/>
      <c r="H15" s="278">
        <v>830.7</v>
      </c>
      <c r="I15" s="277">
        <v>412.59</v>
      </c>
      <c r="J15" s="299"/>
      <c r="K15" s="277">
        <v>479.01</v>
      </c>
      <c r="L15" s="277">
        <v>592.47</v>
      </c>
      <c r="M15" s="389">
        <v>275.39999999999998</v>
      </c>
      <c r="N15" s="388">
        <v>2135</v>
      </c>
      <c r="O15" s="279">
        <v>911</v>
      </c>
      <c r="P15" s="279"/>
      <c r="Q15" s="279">
        <v>1507</v>
      </c>
      <c r="R15" s="279">
        <v>1235</v>
      </c>
      <c r="S15" s="279">
        <v>815</v>
      </c>
      <c r="T15" s="292">
        <f t="shared" si="0"/>
        <v>2590.17</v>
      </c>
      <c r="U15" s="293">
        <f t="shared" si="1"/>
        <v>6603</v>
      </c>
      <c r="V15" s="293">
        <f t="shared" si="4"/>
        <v>0.39227169468423445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>
        <v>13.9</v>
      </c>
      <c r="AH15" s="294"/>
      <c r="AI15" s="294">
        <v>31</v>
      </c>
      <c r="AJ15" s="519"/>
      <c r="AK15" s="359">
        <f t="shared" si="3"/>
        <v>44.9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2635.07</v>
      </c>
      <c r="AT15" s="296">
        <f t="shared" si="7"/>
        <v>0</v>
      </c>
      <c r="AU15" s="371">
        <f t="shared" si="5"/>
        <v>40619.840000000004</v>
      </c>
    </row>
    <row r="16" spans="2:47" ht="13.5" customHeight="1">
      <c r="B16" s="695">
        <v>43896</v>
      </c>
      <c r="C16" s="303">
        <v>1</v>
      </c>
      <c r="D16" s="291">
        <f t="shared" si="6"/>
        <v>37984.770000000004</v>
      </c>
      <c r="E16" s="298"/>
      <c r="F16" s="276"/>
      <c r="G16" s="698"/>
      <c r="H16" s="278">
        <v>677.3</v>
      </c>
      <c r="I16" s="277">
        <v>349.12</v>
      </c>
      <c r="J16" s="299"/>
      <c r="K16" s="277">
        <v>437.6</v>
      </c>
      <c r="L16" s="277">
        <v>599.85</v>
      </c>
      <c r="M16" s="389">
        <v>630.30999999999995</v>
      </c>
      <c r="N16" s="388">
        <v>1577</v>
      </c>
      <c r="O16" s="279">
        <v>1138</v>
      </c>
      <c r="P16" s="279"/>
      <c r="Q16" s="279">
        <v>1506</v>
      </c>
      <c r="R16" s="279">
        <v>1128</v>
      </c>
      <c r="S16" s="279">
        <v>1471</v>
      </c>
      <c r="T16" s="292">
        <f t="shared" si="0"/>
        <v>2694.18</v>
      </c>
      <c r="U16" s="293">
        <f t="shared" si="1"/>
        <v>6820</v>
      </c>
      <c r="V16" s="293">
        <f t="shared" si="4"/>
        <v>0.39504105571847503</v>
      </c>
      <c r="W16" s="282"/>
      <c r="X16" s="294"/>
      <c r="Y16" s="267"/>
      <c r="Z16" s="294"/>
      <c r="AA16" s="277">
        <v>75.03</v>
      </c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75.03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2769.21</v>
      </c>
      <c r="AT16" s="296">
        <f t="shared" si="7"/>
        <v>0</v>
      </c>
      <c r="AU16" s="371">
        <f t="shared" si="5"/>
        <v>37984.770000000004</v>
      </c>
    </row>
    <row r="17" spans="2:47" ht="13.5" customHeight="1">
      <c r="B17" s="695">
        <v>43897</v>
      </c>
      <c r="C17" s="303">
        <v>1</v>
      </c>
      <c r="D17" s="291">
        <f t="shared" si="6"/>
        <v>50215.560000000005</v>
      </c>
      <c r="E17" s="298">
        <v>15000</v>
      </c>
      <c r="F17" s="276"/>
      <c r="G17" s="698"/>
      <c r="H17" s="278">
        <v>570.91999999999996</v>
      </c>
      <c r="I17" s="277">
        <v>548.69000000000005</v>
      </c>
      <c r="J17" s="299"/>
      <c r="K17" s="277">
        <v>594.22</v>
      </c>
      <c r="L17" s="277">
        <v>599.88</v>
      </c>
      <c r="M17" s="389">
        <v>600.59</v>
      </c>
      <c r="N17" s="388">
        <v>1659</v>
      </c>
      <c r="O17" s="279">
        <v>1378</v>
      </c>
      <c r="P17" s="279"/>
      <c r="Q17" s="279">
        <v>1390</v>
      </c>
      <c r="R17" s="279">
        <v>1568</v>
      </c>
      <c r="S17" s="279">
        <v>1357</v>
      </c>
      <c r="T17" s="292">
        <f t="shared" si="0"/>
        <v>2914.3</v>
      </c>
      <c r="U17" s="293">
        <f t="shared" si="1"/>
        <v>7352</v>
      </c>
      <c r="V17" s="293">
        <f t="shared" si="4"/>
        <v>0.39639553862894455</v>
      </c>
      <c r="W17" s="282"/>
      <c r="X17" s="294"/>
      <c r="Y17" s="267">
        <v>60.54</v>
      </c>
      <c r="Z17" s="294"/>
      <c r="AA17" s="277">
        <v>26.72</v>
      </c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87.259999999999991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3001.5600000000004</v>
      </c>
      <c r="AT17" s="296">
        <f t="shared" si="7"/>
        <v>0</v>
      </c>
      <c r="AU17" s="371">
        <f t="shared" si="5"/>
        <v>50215.560000000005</v>
      </c>
    </row>
    <row r="18" spans="2:47" ht="13.5" customHeight="1">
      <c r="B18" s="695">
        <v>43898</v>
      </c>
      <c r="C18" s="303">
        <v>0.59740000000000004</v>
      </c>
      <c r="D18" s="291">
        <f t="shared" si="6"/>
        <v>47214.000000000007</v>
      </c>
      <c r="E18" s="298"/>
      <c r="F18" s="276">
        <v>15000</v>
      </c>
      <c r="G18" s="699" t="s">
        <v>309</v>
      </c>
      <c r="H18" s="278">
        <v>446.59</v>
      </c>
      <c r="I18" s="277">
        <v>632.15</v>
      </c>
      <c r="J18" s="299"/>
      <c r="K18" s="277">
        <v>562.65</v>
      </c>
      <c r="L18" s="277">
        <v>397.61</v>
      </c>
      <c r="M18" s="389">
        <v>644.84</v>
      </c>
      <c r="N18" s="388">
        <v>1144</v>
      </c>
      <c r="O18" s="279">
        <v>1307</v>
      </c>
      <c r="P18" s="279"/>
      <c r="Q18" s="279">
        <v>1246</v>
      </c>
      <c r="R18" s="279">
        <v>866</v>
      </c>
      <c r="S18" s="279">
        <v>1627</v>
      </c>
      <c r="T18" s="292">
        <f t="shared" si="0"/>
        <v>2683.84</v>
      </c>
      <c r="U18" s="293">
        <f t="shared" si="1"/>
        <v>6190</v>
      </c>
      <c r="V18" s="293">
        <f t="shared" si="4"/>
        <v>0.43357673667205171</v>
      </c>
      <c r="W18" s="282"/>
      <c r="X18" s="294">
        <v>36.770000000000003</v>
      </c>
      <c r="Y18" s="267"/>
      <c r="Z18" s="277"/>
      <c r="AA18" s="277"/>
      <c r="AB18" s="361"/>
      <c r="AC18" s="294"/>
      <c r="AD18" s="294"/>
      <c r="AE18" s="294"/>
      <c r="AF18" s="294">
        <v>218.53</v>
      </c>
      <c r="AG18" s="294">
        <v>84.1</v>
      </c>
      <c r="AH18" s="294"/>
      <c r="AI18" s="294">
        <v>85</v>
      </c>
      <c r="AJ18" s="519"/>
      <c r="AK18" s="359">
        <f t="shared" si="3"/>
        <v>424.4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3108.2400000000002</v>
      </c>
      <c r="AT18" s="296">
        <f t="shared" si="7"/>
        <v>0</v>
      </c>
      <c r="AU18" s="371">
        <f t="shared" si="5"/>
        <v>47214.000000000007</v>
      </c>
    </row>
    <row r="19" spans="2:47" ht="13.5" customHeight="1">
      <c r="B19" s="695">
        <v>43899</v>
      </c>
      <c r="C19" s="303">
        <v>0.57140000000000002</v>
      </c>
      <c r="D19" s="291">
        <f t="shared" si="6"/>
        <v>44105.760000000009</v>
      </c>
      <c r="E19" s="298"/>
      <c r="F19" s="276"/>
      <c r="G19" s="698"/>
      <c r="H19" s="278">
        <v>410.12</v>
      </c>
      <c r="I19" s="277">
        <v>405.11</v>
      </c>
      <c r="J19" s="299"/>
      <c r="K19" s="277">
        <v>432.14</v>
      </c>
      <c r="L19" s="277">
        <v>545.85</v>
      </c>
      <c r="M19" s="389">
        <v>439.73</v>
      </c>
      <c r="N19" s="388">
        <v>1107</v>
      </c>
      <c r="O19" s="279">
        <v>190</v>
      </c>
      <c r="P19" s="279"/>
      <c r="Q19" s="279">
        <v>1076</v>
      </c>
      <c r="R19" s="279">
        <v>1021</v>
      </c>
      <c r="S19" s="279">
        <v>993</v>
      </c>
      <c r="T19" s="292">
        <f t="shared" si="0"/>
        <v>2232.9499999999998</v>
      </c>
      <c r="U19" s="293">
        <f t="shared" si="1"/>
        <v>4387</v>
      </c>
      <c r="V19" s="293">
        <f t="shared" si="4"/>
        <v>0.50899247777524503</v>
      </c>
      <c r="W19" s="282"/>
      <c r="X19" s="294">
        <v>67.709999999999994</v>
      </c>
      <c r="Y19" s="267"/>
      <c r="Z19" s="294"/>
      <c r="AA19" s="277">
        <v>41.83</v>
      </c>
      <c r="AB19" s="361"/>
      <c r="AC19" s="294"/>
      <c r="AD19" s="294"/>
      <c r="AE19" s="294">
        <v>61.3</v>
      </c>
      <c r="AF19" s="294"/>
      <c r="AG19" s="294"/>
      <c r="AH19" s="294"/>
      <c r="AI19" s="294"/>
      <c r="AJ19" s="519"/>
      <c r="AK19" s="359">
        <f t="shared" si="3"/>
        <v>170.83999999999997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2403.79</v>
      </c>
      <c r="AT19" s="296">
        <f t="shared" si="7"/>
        <v>0</v>
      </c>
      <c r="AU19" s="371">
        <f t="shared" si="5"/>
        <v>44105.760000000009</v>
      </c>
    </row>
    <row r="20" spans="2:47" ht="14.25">
      <c r="B20" s="695">
        <v>43900</v>
      </c>
      <c r="C20" s="303">
        <v>0.58440000000000003</v>
      </c>
      <c r="D20" s="291">
        <f t="shared" si="6"/>
        <v>41701.970000000008</v>
      </c>
      <c r="E20" s="298"/>
      <c r="F20" s="276"/>
      <c r="G20" s="698"/>
      <c r="H20" s="278">
        <v>569.67999999999995</v>
      </c>
      <c r="I20" s="294">
        <v>335.05</v>
      </c>
      <c r="J20" s="299"/>
      <c r="K20" s="277">
        <v>337.34</v>
      </c>
      <c r="L20" s="277">
        <v>348.81</v>
      </c>
      <c r="M20" s="758">
        <v>537.52</v>
      </c>
      <c r="N20" s="388">
        <v>1448</v>
      </c>
      <c r="O20" s="279">
        <v>843</v>
      </c>
      <c r="P20" s="279"/>
      <c r="Q20" s="279">
        <v>855</v>
      </c>
      <c r="R20" s="279">
        <v>1067</v>
      </c>
      <c r="S20" s="391">
        <v>1380</v>
      </c>
      <c r="T20" s="292">
        <f t="shared" si="0"/>
        <v>2128.3999999999996</v>
      </c>
      <c r="U20" s="293">
        <f t="shared" si="1"/>
        <v>5593</v>
      </c>
      <c r="V20" s="293">
        <f t="shared" si="4"/>
        <v>0.38054711246200601</v>
      </c>
      <c r="W20" s="282"/>
      <c r="X20" s="294">
        <v>11.76</v>
      </c>
      <c r="Y20" s="267"/>
      <c r="Z20" s="294"/>
      <c r="AA20" s="277">
        <v>22.12</v>
      </c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33.880000000000003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2162.2799999999997</v>
      </c>
      <c r="AT20" s="296">
        <f t="shared" si="7"/>
        <v>0</v>
      </c>
      <c r="AU20" s="371">
        <f t="shared" si="5"/>
        <v>41701.970000000008</v>
      </c>
    </row>
    <row r="21" spans="2:47" ht="14.25">
      <c r="B21" s="695">
        <v>43901</v>
      </c>
      <c r="C21" s="303">
        <v>3.9E-2</v>
      </c>
      <c r="D21" s="291">
        <f t="shared" si="6"/>
        <v>39539.69000000001</v>
      </c>
      <c r="E21" s="298"/>
      <c r="F21" s="276"/>
      <c r="G21" s="698"/>
      <c r="H21" s="278">
        <v>576.78</v>
      </c>
      <c r="I21" s="294">
        <v>292.68</v>
      </c>
      <c r="J21" s="299"/>
      <c r="K21" s="277">
        <v>443.8</v>
      </c>
      <c r="L21" s="277"/>
      <c r="M21" s="277">
        <v>394.59</v>
      </c>
      <c r="N21" s="388">
        <v>1249</v>
      </c>
      <c r="O21" s="388">
        <v>714</v>
      </c>
      <c r="P21" s="279"/>
      <c r="Q21" s="279">
        <v>1355</v>
      </c>
      <c r="R21" s="279"/>
      <c r="S21" s="279">
        <v>1323</v>
      </c>
      <c r="T21" s="292">
        <f t="shared" si="0"/>
        <v>1707.85</v>
      </c>
      <c r="U21" s="293">
        <f t="shared" si="1"/>
        <v>4641</v>
      </c>
      <c r="V21" s="293">
        <f t="shared" si="4"/>
        <v>0.36799181210945914</v>
      </c>
      <c r="W21" s="282"/>
      <c r="X21" s="294"/>
      <c r="Y21" s="267">
        <v>41.65</v>
      </c>
      <c r="Z21" s="294"/>
      <c r="AA21" s="277">
        <v>33.119999999999997</v>
      </c>
      <c r="AB21" s="361"/>
      <c r="AC21" s="294"/>
      <c r="AD21" s="294"/>
      <c r="AE21" s="294"/>
      <c r="AF21" s="294"/>
      <c r="AG21" s="294"/>
      <c r="AH21" s="294"/>
      <c r="AI21" s="294">
        <v>130</v>
      </c>
      <c r="AJ21" s="519"/>
      <c r="AK21" s="359">
        <f t="shared" si="3"/>
        <v>204.76999999999998</v>
      </c>
      <c r="AL21" s="286"/>
      <c r="AM21" s="287"/>
      <c r="AN21" s="295"/>
      <c r="AO21" s="301"/>
      <c r="AP21" s="301"/>
      <c r="AQ21" s="301"/>
      <c r="AR21" s="302"/>
      <c r="AS21" s="288">
        <f>SUM(AK21+T21)</f>
        <v>1912.62</v>
      </c>
      <c r="AT21" s="296">
        <f t="shared" si="7"/>
        <v>0</v>
      </c>
      <c r="AU21" s="371">
        <f t="shared" si="5"/>
        <v>39539.69000000001</v>
      </c>
    </row>
    <row r="22" spans="2:47" ht="14.25">
      <c r="B22" s="695">
        <v>43902</v>
      </c>
      <c r="C22" s="303">
        <v>3.9E-2</v>
      </c>
      <c r="D22" s="291">
        <f t="shared" si="6"/>
        <v>37627.070000000007</v>
      </c>
      <c r="E22" s="298"/>
      <c r="F22" s="276"/>
      <c r="G22" s="698"/>
      <c r="H22" s="278"/>
      <c r="I22" s="277">
        <v>437.79</v>
      </c>
      <c r="J22" s="299">
        <v>1000</v>
      </c>
      <c r="K22" s="277">
        <v>286.83</v>
      </c>
      <c r="L22" s="277">
        <v>610.9</v>
      </c>
      <c r="M22" s="758">
        <v>401.98</v>
      </c>
      <c r="N22" s="388"/>
      <c r="O22" s="388">
        <v>1267</v>
      </c>
      <c r="P22" s="279"/>
      <c r="Q22" s="279">
        <v>662</v>
      </c>
      <c r="R22" s="279">
        <v>1191</v>
      </c>
      <c r="S22" s="279">
        <v>1089</v>
      </c>
      <c r="T22" s="292">
        <f t="shared" si="0"/>
        <v>2737.5</v>
      </c>
      <c r="U22" s="293">
        <f t="shared" si="1"/>
        <v>4209</v>
      </c>
      <c r="V22" s="293">
        <f t="shared" si="4"/>
        <v>0.65039201710620098</v>
      </c>
      <c r="W22" s="282"/>
      <c r="X22" s="294"/>
      <c r="Y22" s="267"/>
      <c r="Z22" s="294"/>
      <c r="AA22" s="277">
        <v>106.07</v>
      </c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106.07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2843.57</v>
      </c>
      <c r="AT22" s="296">
        <f t="shared" si="7"/>
        <v>0</v>
      </c>
      <c r="AU22" s="371">
        <f t="shared" si="5"/>
        <v>37627.070000000007</v>
      </c>
    </row>
    <row r="23" spans="2:47" ht="14.25">
      <c r="B23" s="695">
        <v>43903</v>
      </c>
      <c r="C23" s="303">
        <v>3.9E-2</v>
      </c>
      <c r="D23" s="291">
        <f t="shared" si="6"/>
        <v>34783.500000000007</v>
      </c>
      <c r="E23" s="298"/>
      <c r="F23" s="276"/>
      <c r="G23" s="698"/>
      <c r="H23" s="278"/>
      <c r="I23" s="294">
        <v>273.2</v>
      </c>
      <c r="J23" s="299">
        <v>1000.25</v>
      </c>
      <c r="K23" s="277">
        <v>367.94</v>
      </c>
      <c r="L23" s="277">
        <v>581.70000000000005</v>
      </c>
      <c r="M23" s="758">
        <v>315.05</v>
      </c>
      <c r="N23" s="388"/>
      <c r="O23" s="279">
        <v>569</v>
      </c>
      <c r="P23" s="279"/>
      <c r="Q23" s="279">
        <v>1327</v>
      </c>
      <c r="R23" s="279">
        <v>1159</v>
      </c>
      <c r="S23" s="279">
        <v>863</v>
      </c>
      <c r="T23" s="292">
        <f t="shared" si="0"/>
        <v>2538.1400000000003</v>
      </c>
      <c r="U23" s="293">
        <f t="shared" si="1"/>
        <v>3918</v>
      </c>
      <c r="V23" s="293">
        <f t="shared" si="4"/>
        <v>0.64781521184277702</v>
      </c>
      <c r="W23" s="282"/>
      <c r="X23" s="294">
        <v>74.41</v>
      </c>
      <c r="Y23" s="267">
        <v>35.020000000000003</v>
      </c>
      <c r="Z23" s="294"/>
      <c r="AA23" s="277">
        <v>53.52</v>
      </c>
      <c r="AB23" s="361"/>
      <c r="AC23" s="294">
        <v>70.8</v>
      </c>
      <c r="AD23" s="294"/>
      <c r="AE23" s="294"/>
      <c r="AF23" s="294"/>
      <c r="AG23" s="294"/>
      <c r="AH23" s="294"/>
      <c r="AI23" s="294"/>
      <c r="AJ23" s="519"/>
      <c r="AK23" s="359">
        <f t="shared" si="3"/>
        <v>233.75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2771.8900000000003</v>
      </c>
      <c r="AT23" s="296">
        <f t="shared" si="7"/>
        <v>0</v>
      </c>
      <c r="AU23" s="371">
        <f t="shared" si="5"/>
        <v>34783.500000000007</v>
      </c>
    </row>
    <row r="24" spans="2:47" ht="14.25">
      <c r="B24" s="695">
        <v>43904</v>
      </c>
      <c r="C24" s="303">
        <v>2.86E-2</v>
      </c>
      <c r="D24" s="291">
        <f t="shared" si="6"/>
        <v>32011.610000000008</v>
      </c>
      <c r="E24" s="276"/>
      <c r="F24" s="276"/>
      <c r="G24" s="698"/>
      <c r="H24" s="278"/>
      <c r="I24" s="294">
        <v>286.52</v>
      </c>
      <c r="J24" s="299"/>
      <c r="K24" s="277">
        <v>553.03</v>
      </c>
      <c r="L24" s="277"/>
      <c r="M24" s="758">
        <v>467.13</v>
      </c>
      <c r="N24" s="388"/>
      <c r="O24" s="388">
        <v>1034</v>
      </c>
      <c r="P24" s="279"/>
      <c r="Q24" s="279">
        <v>1332</v>
      </c>
      <c r="R24" s="279"/>
      <c r="S24" s="279">
        <v>1131</v>
      </c>
      <c r="T24" s="292">
        <f t="shared" si="0"/>
        <v>1306.6799999999998</v>
      </c>
      <c r="U24" s="293">
        <f t="shared" si="1"/>
        <v>3497</v>
      </c>
      <c r="V24" s="293">
        <f t="shared" si="4"/>
        <v>0.37365742064626817</v>
      </c>
      <c r="W24" s="282"/>
      <c r="X24" s="294"/>
      <c r="Y24" s="267"/>
      <c r="Z24" s="294"/>
      <c r="AA24" s="277">
        <v>8.4</v>
      </c>
      <c r="AB24" s="361"/>
      <c r="AC24" s="294"/>
      <c r="AD24" s="294"/>
      <c r="AE24" s="294"/>
      <c r="AF24" s="294"/>
      <c r="AG24" s="294"/>
      <c r="AH24" s="294"/>
      <c r="AI24" s="294">
        <v>108</v>
      </c>
      <c r="AJ24" s="519"/>
      <c r="AK24" s="359">
        <f t="shared" si="3"/>
        <v>116.4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1423.08</v>
      </c>
      <c r="AT24" s="296">
        <f t="shared" si="7"/>
        <v>0</v>
      </c>
      <c r="AU24" s="371">
        <f t="shared" si="5"/>
        <v>32011.610000000008</v>
      </c>
    </row>
    <row r="25" spans="2:47" ht="14.25">
      <c r="B25" s="695">
        <v>43905</v>
      </c>
      <c r="C25" s="303">
        <v>6.4899999999999999E-2</v>
      </c>
      <c r="D25" s="291">
        <f t="shared" si="6"/>
        <v>30588.530000000006</v>
      </c>
      <c r="E25" s="298"/>
      <c r="F25" s="276"/>
      <c r="G25" s="560"/>
      <c r="H25" s="278"/>
      <c r="I25" s="294">
        <v>266.48</v>
      </c>
      <c r="J25" s="299"/>
      <c r="K25" s="277">
        <v>462.65</v>
      </c>
      <c r="L25" s="277">
        <v>524.85</v>
      </c>
      <c r="M25" s="758">
        <v>166.48</v>
      </c>
      <c r="N25" s="388"/>
      <c r="O25" s="279">
        <v>637</v>
      </c>
      <c r="P25" s="279"/>
      <c r="Q25" s="279">
        <v>1241</v>
      </c>
      <c r="R25" s="279">
        <v>1228</v>
      </c>
      <c r="S25" s="279">
        <v>478</v>
      </c>
      <c r="T25" s="292">
        <f t="shared" si="0"/>
        <v>1420.46</v>
      </c>
      <c r="U25" s="293">
        <f t="shared" si="1"/>
        <v>3584</v>
      </c>
      <c r="V25" s="293">
        <f t="shared" si="4"/>
        <v>0.39633370535714285</v>
      </c>
      <c r="W25" s="282"/>
      <c r="X25" s="294"/>
      <c r="Y25" s="267">
        <v>31.16</v>
      </c>
      <c r="Z25" s="294"/>
      <c r="AA25" s="277">
        <v>41.02</v>
      </c>
      <c r="AB25" s="361"/>
      <c r="AC25" s="294"/>
      <c r="AD25" s="294"/>
      <c r="AE25" s="294">
        <v>178.78</v>
      </c>
      <c r="AF25" s="294"/>
      <c r="AG25" s="294"/>
      <c r="AH25" s="294"/>
      <c r="AI25" s="294">
        <v>37</v>
      </c>
      <c r="AJ25" s="519"/>
      <c r="AK25" s="359">
        <f t="shared" si="3"/>
        <v>287.96000000000004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1708.42</v>
      </c>
      <c r="AT25" s="296">
        <f t="shared" si="7"/>
        <v>0</v>
      </c>
      <c r="AU25" s="371">
        <f t="shared" si="5"/>
        <v>30588.530000000006</v>
      </c>
    </row>
    <row r="26" spans="2:47" ht="14.25">
      <c r="B26" s="695">
        <v>43906</v>
      </c>
      <c r="C26" s="303">
        <v>5.1900000000000002E-2</v>
      </c>
      <c r="D26" s="291">
        <f t="shared" si="6"/>
        <v>28880.110000000008</v>
      </c>
      <c r="E26" s="298"/>
      <c r="F26" s="276"/>
      <c r="G26" s="560"/>
      <c r="H26" s="759"/>
      <c r="I26" s="294">
        <v>427.68</v>
      </c>
      <c r="J26" s="299"/>
      <c r="K26" s="277">
        <v>349.6</v>
      </c>
      <c r="L26" s="277">
        <v>281.12</v>
      </c>
      <c r="M26" s="758">
        <v>308.42</v>
      </c>
      <c r="N26" s="388"/>
      <c r="O26" s="279">
        <v>1027</v>
      </c>
      <c r="P26" s="279"/>
      <c r="Q26" s="279">
        <v>892</v>
      </c>
      <c r="R26" s="279">
        <v>649</v>
      </c>
      <c r="S26" s="279">
        <v>777</v>
      </c>
      <c r="T26" s="292">
        <f t="shared" si="0"/>
        <v>1366.8200000000002</v>
      </c>
      <c r="U26" s="293">
        <f t="shared" si="1"/>
        <v>3345</v>
      </c>
      <c r="V26" s="293">
        <f t="shared" si="4"/>
        <v>0.40861584454409572</v>
      </c>
      <c r="W26" s="282"/>
      <c r="X26" s="294">
        <v>48.54</v>
      </c>
      <c r="Y26" s="267"/>
      <c r="Z26" s="294"/>
      <c r="AA26" s="294">
        <v>30.75</v>
      </c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79.289999999999992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1446.1100000000001</v>
      </c>
      <c r="AT26" s="296">
        <f t="shared" si="7"/>
        <v>0</v>
      </c>
      <c r="AU26" s="371">
        <f t="shared" si="5"/>
        <v>28880.110000000008</v>
      </c>
    </row>
    <row r="27" spans="2:47" ht="14.25">
      <c r="B27" s="695">
        <v>43907</v>
      </c>
      <c r="C27" s="303">
        <v>2.5999999999999999E-2</v>
      </c>
      <c r="D27" s="291">
        <f t="shared" si="6"/>
        <v>45434.000000000007</v>
      </c>
      <c r="E27" s="298">
        <v>18000</v>
      </c>
      <c r="F27" s="276">
        <v>18000</v>
      </c>
      <c r="G27" s="697" t="s">
        <v>309</v>
      </c>
      <c r="H27" s="278"/>
      <c r="I27" s="294">
        <v>316.83</v>
      </c>
      <c r="J27" s="299"/>
      <c r="K27" s="277">
        <v>356.25</v>
      </c>
      <c r="L27" s="277">
        <v>230.72</v>
      </c>
      <c r="M27" s="758">
        <v>311.62</v>
      </c>
      <c r="N27" s="388"/>
      <c r="O27" s="279">
        <v>876</v>
      </c>
      <c r="P27" s="279"/>
      <c r="Q27" s="279">
        <v>925</v>
      </c>
      <c r="R27" s="279">
        <v>604</v>
      </c>
      <c r="S27" s="279">
        <v>662</v>
      </c>
      <c r="T27" s="292">
        <f t="shared" si="0"/>
        <v>1215.42</v>
      </c>
      <c r="U27" s="293">
        <f t="shared" si="1"/>
        <v>3067</v>
      </c>
      <c r="V27" s="293">
        <f t="shared" si="4"/>
        <v>0.39628953374633197</v>
      </c>
      <c r="W27" s="282"/>
      <c r="X27" s="294"/>
      <c r="Y27" s="267">
        <v>20.5</v>
      </c>
      <c r="Z27" s="294"/>
      <c r="AA27" s="277">
        <v>29.92</v>
      </c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50.42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1265.8400000000001</v>
      </c>
      <c r="AT27" s="296">
        <f t="shared" si="7"/>
        <v>0</v>
      </c>
      <c r="AU27" s="371">
        <f t="shared" si="5"/>
        <v>45434.000000000007</v>
      </c>
    </row>
    <row r="28" spans="2:47" ht="14.25">
      <c r="B28" s="695">
        <v>43908</v>
      </c>
      <c r="C28" s="303">
        <v>5.1900000000000002E-2</v>
      </c>
      <c r="D28" s="291">
        <f t="shared" si="6"/>
        <v>44168.160000000003</v>
      </c>
      <c r="E28" s="298"/>
      <c r="F28" s="276"/>
      <c r="G28" s="698"/>
      <c r="H28" s="278"/>
      <c r="I28" s="294">
        <v>340</v>
      </c>
      <c r="J28" s="278"/>
      <c r="K28" s="277">
        <v>324.97000000000003</v>
      </c>
      <c r="L28" s="277">
        <v>265.99</v>
      </c>
      <c r="M28" s="758">
        <v>261.86</v>
      </c>
      <c r="N28" s="388"/>
      <c r="O28" s="279">
        <v>842</v>
      </c>
      <c r="P28" s="279"/>
      <c r="Q28" s="279">
        <v>833</v>
      </c>
      <c r="R28" s="279">
        <v>649</v>
      </c>
      <c r="S28" s="279">
        <v>646</v>
      </c>
      <c r="T28" s="292">
        <f t="shared" si="0"/>
        <v>1192.8200000000002</v>
      </c>
      <c r="U28" s="293">
        <f t="shared" si="1"/>
        <v>2970</v>
      </c>
      <c r="V28" s="293">
        <f t="shared" si="4"/>
        <v>0.40162289562289566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>
        <v>156</v>
      </c>
      <c r="AJ28" s="519"/>
      <c r="AK28" s="359">
        <f>SUM(W28:AJ28)</f>
        <v>156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1348.8200000000002</v>
      </c>
      <c r="AT28" s="296">
        <f t="shared" si="7"/>
        <v>0</v>
      </c>
      <c r="AU28" s="371">
        <f t="shared" si="5"/>
        <v>44168.160000000003</v>
      </c>
    </row>
    <row r="29" spans="2:47" ht="14.25">
      <c r="B29" s="695">
        <v>43909</v>
      </c>
      <c r="C29" s="303">
        <v>0.02</v>
      </c>
      <c r="D29" s="291">
        <f t="shared" si="6"/>
        <v>42819.340000000004</v>
      </c>
      <c r="E29" s="298"/>
      <c r="F29" s="276"/>
      <c r="G29" s="698"/>
      <c r="H29" s="278"/>
      <c r="I29" s="294">
        <v>245.5</v>
      </c>
      <c r="J29" s="278"/>
      <c r="K29" s="277">
        <v>342.69</v>
      </c>
      <c r="L29" s="277">
        <v>260.12</v>
      </c>
      <c r="M29" s="758">
        <v>253.46</v>
      </c>
      <c r="N29" s="388"/>
      <c r="O29" s="279">
        <v>782</v>
      </c>
      <c r="P29" s="279"/>
      <c r="Q29" s="279">
        <v>816</v>
      </c>
      <c r="R29" s="279">
        <v>498</v>
      </c>
      <c r="S29" s="279">
        <v>745</v>
      </c>
      <c r="T29" s="292">
        <f t="shared" si="0"/>
        <v>1101.77</v>
      </c>
      <c r="U29" s="293">
        <f t="shared" si="1"/>
        <v>2841</v>
      </c>
      <c r="V29" s="293">
        <f t="shared" si="4"/>
        <v>0.38781063005983807</v>
      </c>
      <c r="W29" s="282"/>
      <c r="X29" s="294">
        <v>42.63</v>
      </c>
      <c r="Y29" s="267"/>
      <c r="Z29" s="294">
        <v>54.38</v>
      </c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97.01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1198.78</v>
      </c>
      <c r="AT29" s="296">
        <f t="shared" si="7"/>
        <v>0</v>
      </c>
      <c r="AU29" s="371">
        <f t="shared" si="5"/>
        <v>42819.340000000004</v>
      </c>
    </row>
    <row r="30" spans="2:47" ht="14.25">
      <c r="B30" s="695">
        <v>43910</v>
      </c>
      <c r="C30" s="303">
        <v>0.02</v>
      </c>
      <c r="D30" s="291">
        <f t="shared" si="6"/>
        <v>41620.560000000005</v>
      </c>
      <c r="E30" s="298"/>
      <c r="F30" s="276"/>
      <c r="G30" s="698"/>
      <c r="H30" s="278"/>
      <c r="I30" s="294">
        <v>330.91</v>
      </c>
      <c r="J30" s="278"/>
      <c r="K30" s="277">
        <v>351.75</v>
      </c>
      <c r="L30" s="277">
        <v>208.44</v>
      </c>
      <c r="M30" s="758">
        <v>305.33</v>
      </c>
      <c r="N30" s="388"/>
      <c r="O30" s="279">
        <v>825</v>
      </c>
      <c r="P30" s="279"/>
      <c r="Q30" s="279">
        <v>908</v>
      </c>
      <c r="R30" s="279">
        <v>498</v>
      </c>
      <c r="S30" s="279">
        <v>731</v>
      </c>
      <c r="T30" s="292">
        <f t="shared" si="0"/>
        <v>1196.43</v>
      </c>
      <c r="U30" s="293">
        <f t="shared" si="1"/>
        <v>2962</v>
      </c>
      <c r="V30" s="293">
        <f t="shared" si="4"/>
        <v>0.40392640108035116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1196.43</v>
      </c>
      <c r="AT30" s="296">
        <f t="shared" si="7"/>
        <v>0</v>
      </c>
      <c r="AU30" s="371">
        <f t="shared" si="5"/>
        <v>41620.560000000005</v>
      </c>
    </row>
    <row r="31" spans="2:47" ht="14.25">
      <c r="B31" s="695">
        <v>43911</v>
      </c>
      <c r="C31" s="303"/>
      <c r="D31" s="291">
        <f t="shared" si="6"/>
        <v>40424.130000000005</v>
      </c>
      <c r="E31" s="298"/>
      <c r="F31" s="276"/>
      <c r="G31" s="698"/>
      <c r="H31" s="278"/>
      <c r="I31" s="294">
        <v>345.09</v>
      </c>
      <c r="J31" s="278"/>
      <c r="K31" s="277">
        <v>263.81</v>
      </c>
      <c r="L31" s="277">
        <v>78.73</v>
      </c>
      <c r="M31" s="758">
        <v>415.45</v>
      </c>
      <c r="N31" s="388"/>
      <c r="O31" s="279">
        <v>817</v>
      </c>
      <c r="P31" s="279"/>
      <c r="Q31" s="279">
        <v>649</v>
      </c>
      <c r="R31" s="279">
        <v>259</v>
      </c>
      <c r="S31" s="279">
        <v>942</v>
      </c>
      <c r="T31" s="292">
        <f t="shared" si="0"/>
        <v>1103.08</v>
      </c>
      <c r="U31" s="293">
        <f t="shared" si="1"/>
        <v>2667</v>
      </c>
      <c r="V31" s="293">
        <f t="shared" si="4"/>
        <v>0.41360329958755154</v>
      </c>
      <c r="W31" s="282"/>
      <c r="X31" s="294">
        <v>30.81</v>
      </c>
      <c r="Y31" s="267">
        <v>23.87</v>
      </c>
      <c r="Z31" s="294"/>
      <c r="AA31" s="277">
        <v>72.459999999999994</v>
      </c>
      <c r="AB31" s="361"/>
      <c r="AC31" s="294"/>
      <c r="AD31" s="294"/>
      <c r="AE31" s="294"/>
      <c r="AF31" s="294"/>
      <c r="AG31" s="294"/>
      <c r="AH31" s="294"/>
      <c r="AI31" s="294"/>
      <c r="AJ31" s="519">
        <v>20</v>
      </c>
      <c r="AK31" s="359">
        <f t="shared" si="3"/>
        <v>147.13999999999999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1250.2199999999998</v>
      </c>
      <c r="AT31" s="296">
        <f t="shared" si="7"/>
        <v>0</v>
      </c>
      <c r="AU31" s="371">
        <f t="shared" si="5"/>
        <v>40424.130000000005</v>
      </c>
    </row>
    <row r="32" spans="2:47" ht="14.25">
      <c r="B32" s="695">
        <v>43912</v>
      </c>
      <c r="C32" s="303"/>
      <c r="D32" s="291">
        <f t="shared" si="6"/>
        <v>39173.910000000003</v>
      </c>
      <c r="E32" s="298"/>
      <c r="F32" s="276">
        <v>12000</v>
      </c>
      <c r="G32" s="697" t="s">
        <v>309</v>
      </c>
      <c r="H32" s="278"/>
      <c r="I32" s="294">
        <v>169.2</v>
      </c>
      <c r="J32" s="278"/>
      <c r="K32" s="277">
        <v>140.18</v>
      </c>
      <c r="L32" s="277">
        <v>270.2</v>
      </c>
      <c r="M32" s="758">
        <v>347.17</v>
      </c>
      <c r="N32" s="388"/>
      <c r="O32" s="279">
        <v>196</v>
      </c>
      <c r="P32" s="279"/>
      <c r="Q32" s="279">
        <v>381</v>
      </c>
      <c r="R32" s="279">
        <v>693</v>
      </c>
      <c r="S32" s="279">
        <v>1109</v>
      </c>
      <c r="T32" s="292">
        <f t="shared" si="0"/>
        <v>926.75</v>
      </c>
      <c r="U32" s="293">
        <f t="shared" si="1"/>
        <v>2379</v>
      </c>
      <c r="V32" s="293">
        <f t="shared" si="4"/>
        <v>0.38955443463640183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926.75</v>
      </c>
      <c r="AT32" s="296">
        <f t="shared" si="7"/>
        <v>0</v>
      </c>
      <c r="AU32" s="371">
        <f t="shared" si="5"/>
        <v>39173.910000000003</v>
      </c>
    </row>
    <row r="33" spans="2:48" ht="14.25">
      <c r="B33" s="695">
        <v>43913</v>
      </c>
      <c r="C33" s="303"/>
      <c r="D33" s="291">
        <f t="shared" si="6"/>
        <v>50247.16</v>
      </c>
      <c r="E33" s="298">
        <v>12000</v>
      </c>
      <c r="F33" s="276"/>
      <c r="G33" s="698"/>
      <c r="H33" s="278"/>
      <c r="I33" s="294">
        <v>290.86</v>
      </c>
      <c r="J33" s="278"/>
      <c r="K33" s="277">
        <v>350.59</v>
      </c>
      <c r="L33" s="277">
        <v>96.1</v>
      </c>
      <c r="M33" s="758">
        <v>390.88</v>
      </c>
      <c r="N33" s="388"/>
      <c r="O33" s="279">
        <v>629</v>
      </c>
      <c r="P33" s="279"/>
      <c r="Q33" s="279">
        <v>792</v>
      </c>
      <c r="R33" s="279">
        <v>156</v>
      </c>
      <c r="S33" s="279">
        <v>946</v>
      </c>
      <c r="T33" s="292">
        <f t="shared" si="0"/>
        <v>1128.43</v>
      </c>
      <c r="U33" s="293">
        <f t="shared" si="1"/>
        <v>2523</v>
      </c>
      <c r="V33" s="293">
        <f t="shared" si="4"/>
        <v>0.44725723345223944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1128.43</v>
      </c>
      <c r="AT33" s="296">
        <f t="shared" si="7"/>
        <v>0</v>
      </c>
      <c r="AU33" s="371">
        <f t="shared" si="5"/>
        <v>50247.16</v>
      </c>
      <c r="AV33" s="245">
        <f t="shared" ref="AV33:AV41" si="8">SUM(AV32)</f>
        <v>0</v>
      </c>
    </row>
    <row r="34" spans="2:48" ht="14.25">
      <c r="B34" s="695">
        <v>43914</v>
      </c>
      <c r="C34" s="303">
        <v>0.02</v>
      </c>
      <c r="D34" s="291">
        <f t="shared" si="6"/>
        <v>49118.73</v>
      </c>
      <c r="E34" s="276"/>
      <c r="F34" s="276"/>
      <c r="G34" s="698"/>
      <c r="H34" s="278"/>
      <c r="I34" s="294">
        <v>85.45</v>
      </c>
      <c r="J34" s="278"/>
      <c r="K34" s="277">
        <v>249.54</v>
      </c>
      <c r="L34" s="277">
        <v>229.68</v>
      </c>
      <c r="M34" s="758">
        <v>401.85</v>
      </c>
      <c r="N34" s="388"/>
      <c r="O34" s="279">
        <v>323</v>
      </c>
      <c r="P34" s="279"/>
      <c r="Q34" s="279">
        <v>673</v>
      </c>
      <c r="R34" s="279">
        <v>655</v>
      </c>
      <c r="S34" s="279">
        <v>935</v>
      </c>
      <c r="T34" s="292">
        <f t="shared" si="0"/>
        <v>966.5200000000001</v>
      </c>
      <c r="U34" s="293">
        <f t="shared" si="1"/>
        <v>2586</v>
      </c>
      <c r="V34" s="293">
        <f t="shared" si="4"/>
        <v>0.37375096674400621</v>
      </c>
      <c r="W34" s="282"/>
      <c r="X34" s="294">
        <v>36.229999999999997</v>
      </c>
      <c r="Y34" s="267"/>
      <c r="Z34" s="294">
        <v>27.69</v>
      </c>
      <c r="AA34" s="277">
        <v>43.1</v>
      </c>
      <c r="AB34" s="361"/>
      <c r="AC34" s="294"/>
      <c r="AD34" s="294"/>
      <c r="AE34" s="294"/>
      <c r="AF34" s="294"/>
      <c r="AG34" s="294"/>
      <c r="AH34" s="294"/>
      <c r="AI34" s="294">
        <v>142</v>
      </c>
      <c r="AJ34" s="519"/>
      <c r="AK34" s="359">
        <f t="shared" si="3"/>
        <v>249.02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1215.5400000000002</v>
      </c>
      <c r="AT34" s="296">
        <f t="shared" si="7"/>
        <v>0</v>
      </c>
      <c r="AU34" s="371">
        <f t="shared" si="5"/>
        <v>49118.73</v>
      </c>
      <c r="AV34" s="245">
        <f t="shared" si="8"/>
        <v>0</v>
      </c>
    </row>
    <row r="35" spans="2:48" ht="14.25">
      <c r="B35" s="695">
        <v>43915</v>
      </c>
      <c r="C35" s="303">
        <v>0.02</v>
      </c>
      <c r="D35" s="291">
        <f t="shared" si="6"/>
        <v>47903.19</v>
      </c>
      <c r="E35" s="298"/>
      <c r="F35" s="276"/>
      <c r="G35" s="694"/>
      <c r="H35" s="278"/>
      <c r="I35" s="294">
        <v>666.23</v>
      </c>
      <c r="J35" s="278"/>
      <c r="K35" s="277"/>
      <c r="L35" s="277">
        <v>296.45</v>
      </c>
      <c r="M35" s="758">
        <v>90.3</v>
      </c>
      <c r="N35" s="388"/>
      <c r="O35" s="279">
        <v>1433</v>
      </c>
      <c r="P35" s="279"/>
      <c r="Q35" s="279"/>
      <c r="R35" s="279">
        <v>765</v>
      </c>
      <c r="S35" s="279">
        <v>136</v>
      </c>
      <c r="T35" s="292">
        <f t="shared" si="0"/>
        <v>1052.98</v>
      </c>
      <c r="U35" s="293">
        <f t="shared" si="1"/>
        <v>2334</v>
      </c>
      <c r="V35" s="293">
        <f t="shared" si="4"/>
        <v>0.4511482433590403</v>
      </c>
      <c r="W35" s="282"/>
      <c r="X35" s="294"/>
      <c r="Y35" s="267"/>
      <c r="Z35" s="294"/>
      <c r="AA35" s="277">
        <v>14.1</v>
      </c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14.1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1067.08</v>
      </c>
      <c r="AT35" s="296">
        <f t="shared" si="7"/>
        <v>0</v>
      </c>
      <c r="AU35" s="371">
        <f t="shared" si="5"/>
        <v>47903.19</v>
      </c>
      <c r="AV35" s="245">
        <f t="shared" si="8"/>
        <v>0</v>
      </c>
    </row>
    <row r="36" spans="2:48" ht="14.25">
      <c r="B36" s="695">
        <v>43916</v>
      </c>
      <c r="C36" s="303">
        <v>0.02</v>
      </c>
      <c r="D36" s="291">
        <f t="shared" si="6"/>
        <v>46836.11</v>
      </c>
      <c r="E36" s="298"/>
      <c r="F36" s="276"/>
      <c r="G36" s="694"/>
      <c r="H36" s="278"/>
      <c r="I36" s="294"/>
      <c r="J36" s="278"/>
      <c r="K36" s="277">
        <v>377.4</v>
      </c>
      <c r="L36" s="277">
        <v>329.29</v>
      </c>
      <c r="M36" s="758">
        <v>355.39</v>
      </c>
      <c r="N36" s="388"/>
      <c r="O36" s="279"/>
      <c r="P36" s="279"/>
      <c r="Q36" s="279">
        <v>866</v>
      </c>
      <c r="R36" s="279">
        <v>696</v>
      </c>
      <c r="S36" s="279">
        <v>786</v>
      </c>
      <c r="T36" s="292">
        <f t="shared" si="0"/>
        <v>1062.08</v>
      </c>
      <c r="U36" s="293">
        <f t="shared" si="1"/>
        <v>2348</v>
      </c>
      <c r="V36" s="293">
        <f t="shared" si="4"/>
        <v>0.45233390119250422</v>
      </c>
      <c r="W36" s="282"/>
      <c r="X36" s="294">
        <v>34.57</v>
      </c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34.57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1096.6499999999999</v>
      </c>
      <c r="AT36" s="296">
        <f t="shared" si="7"/>
        <v>0</v>
      </c>
      <c r="AU36" s="371">
        <f t="shared" si="5"/>
        <v>46836.11</v>
      </c>
      <c r="AV36" s="245">
        <f t="shared" si="8"/>
        <v>0</v>
      </c>
    </row>
    <row r="37" spans="2:48" ht="14.25">
      <c r="B37" s="695">
        <v>43917</v>
      </c>
      <c r="C37" s="303"/>
      <c r="D37" s="291">
        <f t="shared" si="6"/>
        <v>45739.46</v>
      </c>
      <c r="E37" s="298"/>
      <c r="F37" s="276"/>
      <c r="G37" s="694"/>
      <c r="H37" s="278"/>
      <c r="I37" s="294">
        <v>302.02999999999997</v>
      </c>
      <c r="J37" s="278"/>
      <c r="K37" s="277">
        <v>320.66000000000003</v>
      </c>
      <c r="L37" s="277">
        <v>335.52</v>
      </c>
      <c r="M37" s="758"/>
      <c r="N37" s="388"/>
      <c r="O37" s="279">
        <v>717</v>
      </c>
      <c r="P37" s="279"/>
      <c r="Q37" s="279">
        <v>719</v>
      </c>
      <c r="R37" s="279">
        <v>769</v>
      </c>
      <c r="S37" s="279"/>
      <c r="T37" s="292">
        <f t="shared" si="0"/>
        <v>958.21</v>
      </c>
      <c r="U37" s="293">
        <f t="shared" si="1"/>
        <v>2205</v>
      </c>
      <c r="V37" s="293">
        <f t="shared" si="4"/>
        <v>0.43456235827664402</v>
      </c>
      <c r="W37" s="282"/>
      <c r="X37" s="294"/>
      <c r="Y37" s="267">
        <v>58.18</v>
      </c>
      <c r="Z37" s="294"/>
      <c r="AA37" s="277">
        <v>85.94</v>
      </c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144.12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1102.33</v>
      </c>
      <c r="AT37" s="296">
        <f t="shared" si="7"/>
        <v>0</v>
      </c>
      <c r="AU37" s="371">
        <f t="shared" si="5"/>
        <v>45739.46</v>
      </c>
      <c r="AV37" s="245">
        <f t="shared" si="8"/>
        <v>0</v>
      </c>
    </row>
    <row r="38" spans="2:48" ht="14.25">
      <c r="B38" s="695">
        <v>43918</v>
      </c>
      <c r="C38" s="303"/>
      <c r="D38" s="291">
        <f t="shared" si="6"/>
        <v>44637.13</v>
      </c>
      <c r="E38" s="298"/>
      <c r="F38" s="276"/>
      <c r="G38" s="694"/>
      <c r="H38" s="278"/>
      <c r="I38" s="294">
        <v>232.51</v>
      </c>
      <c r="J38" s="278"/>
      <c r="K38" s="277">
        <v>299.91000000000003</v>
      </c>
      <c r="L38" s="277"/>
      <c r="M38" s="758">
        <v>278.83999999999997</v>
      </c>
      <c r="N38" s="388"/>
      <c r="O38" s="279">
        <v>578</v>
      </c>
      <c r="P38" s="279"/>
      <c r="Q38" s="279">
        <v>845</v>
      </c>
      <c r="R38" s="279"/>
      <c r="S38" s="279">
        <v>568</v>
      </c>
      <c r="T38" s="292">
        <f t="shared" si="0"/>
        <v>811.26</v>
      </c>
      <c r="U38" s="293">
        <f t="shared" si="1"/>
        <v>1991</v>
      </c>
      <c r="V38" s="293">
        <f t="shared" si="4"/>
        <v>0.40746358613761929</v>
      </c>
      <c r="W38" s="282"/>
      <c r="X38" s="294"/>
      <c r="Y38" s="267"/>
      <c r="Z38" s="294"/>
      <c r="AA38" s="277">
        <v>7.2</v>
      </c>
      <c r="AB38" s="361"/>
      <c r="AC38" s="294"/>
      <c r="AD38" s="294"/>
      <c r="AE38" s="294"/>
      <c r="AF38" s="294"/>
      <c r="AG38" s="294"/>
      <c r="AH38" s="595"/>
      <c r="AI38" s="294">
        <v>71</v>
      </c>
      <c r="AJ38" s="519"/>
      <c r="AK38" s="359">
        <f t="shared" si="3"/>
        <v>78.2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889.46</v>
      </c>
      <c r="AT38" s="296">
        <f t="shared" si="7"/>
        <v>0</v>
      </c>
      <c r="AU38" s="371">
        <f t="shared" si="5"/>
        <v>44637.13</v>
      </c>
      <c r="AV38" s="245">
        <f t="shared" si="8"/>
        <v>0</v>
      </c>
    </row>
    <row r="39" spans="2:48" ht="14.25">
      <c r="B39" s="695">
        <v>43919</v>
      </c>
      <c r="C39" s="303"/>
      <c r="D39" s="291">
        <f t="shared" si="6"/>
        <v>43747.67</v>
      </c>
      <c r="E39" s="298"/>
      <c r="F39" s="276"/>
      <c r="G39" s="694"/>
      <c r="H39" s="278"/>
      <c r="I39" s="294">
        <v>184.59</v>
      </c>
      <c r="J39" s="304"/>
      <c r="K39" s="277"/>
      <c r="L39" s="277">
        <v>294.29000000000002</v>
      </c>
      <c r="M39" s="758">
        <v>359.65</v>
      </c>
      <c r="N39" s="388"/>
      <c r="O39" s="279">
        <v>563</v>
      </c>
      <c r="P39" s="305"/>
      <c r="Q39" s="279"/>
      <c r="R39" s="279">
        <v>660</v>
      </c>
      <c r="S39" s="279">
        <v>765</v>
      </c>
      <c r="T39" s="292">
        <f t="shared" si="0"/>
        <v>838.53</v>
      </c>
      <c r="U39" s="293">
        <f t="shared" si="1"/>
        <v>1988</v>
      </c>
      <c r="V39" s="293">
        <f t="shared" si="4"/>
        <v>0.42179577464788731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838.53</v>
      </c>
      <c r="AT39" s="296">
        <f t="shared" si="7"/>
        <v>0</v>
      </c>
      <c r="AU39" s="371">
        <f t="shared" si="5"/>
        <v>43747.67</v>
      </c>
      <c r="AV39" s="245">
        <f t="shared" si="8"/>
        <v>0</v>
      </c>
    </row>
    <row r="40" spans="2:48" ht="14.25">
      <c r="B40" s="695">
        <v>43920</v>
      </c>
      <c r="C40" s="303"/>
      <c r="D40" s="291">
        <f t="shared" si="6"/>
        <v>42909.14</v>
      </c>
      <c r="E40" s="298"/>
      <c r="F40" s="276"/>
      <c r="G40" s="694"/>
      <c r="H40" s="278"/>
      <c r="I40" s="294"/>
      <c r="J40" s="278"/>
      <c r="K40" s="277"/>
      <c r="L40" s="277"/>
      <c r="M40" s="758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42909.14</v>
      </c>
      <c r="AV40" s="245">
        <f t="shared" si="8"/>
        <v>0</v>
      </c>
    </row>
    <row r="41" spans="2:48" ht="14.25">
      <c r="B41" s="695">
        <v>43921</v>
      </c>
      <c r="C41" s="303"/>
      <c r="D41" s="291">
        <f t="shared" si="6"/>
        <v>42909.14</v>
      </c>
      <c r="E41" s="298"/>
      <c r="F41" s="276"/>
      <c r="G41" s="694"/>
      <c r="H41" s="278"/>
      <c r="I41" s="294"/>
      <c r="J41" s="277"/>
      <c r="K41" s="277"/>
      <c r="L41" s="277"/>
      <c r="M41" s="758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42909.14</v>
      </c>
      <c r="AV41" s="245">
        <f t="shared" si="8"/>
        <v>0</v>
      </c>
    </row>
    <row r="42" spans="2:48" ht="14.25">
      <c r="B42" s="695">
        <v>43922</v>
      </c>
      <c r="C42" s="684"/>
      <c r="D42" s="291">
        <f t="shared" si="6"/>
        <v>42909.14</v>
      </c>
      <c r="E42" s="275"/>
      <c r="F42" s="276"/>
      <c r="G42" s="694"/>
      <c r="H42" s="278"/>
      <c r="I42" s="277"/>
      <c r="J42" s="277"/>
      <c r="K42" s="277"/>
      <c r="L42" s="277"/>
      <c r="M42" s="758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42909.14</v>
      </c>
    </row>
    <row r="43" spans="2:48" ht="14.25">
      <c r="B43" s="700" t="s">
        <v>25</v>
      </c>
      <c r="C43" s="633">
        <f>AVERAGE(C11:C42)</f>
        <v>0.30993913043478244</v>
      </c>
      <c r="D43" s="308">
        <f t="shared" si="6"/>
        <v>42909.14</v>
      </c>
      <c r="E43" s="275"/>
      <c r="F43" s="275"/>
      <c r="G43" s="694"/>
      <c r="H43" s="683"/>
      <c r="I43" s="277"/>
      <c r="J43" s="277"/>
      <c r="K43" s="277"/>
      <c r="L43" s="277"/>
      <c r="M43" s="758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42909.14</v>
      </c>
    </row>
    <row r="44" spans="2:48" ht="15" thickBot="1">
      <c r="B44" s="701"/>
      <c r="C44" s="702"/>
      <c r="D44" s="403"/>
      <c r="E44" s="404"/>
      <c r="F44" s="404"/>
      <c r="G44" s="703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63000</v>
      </c>
      <c r="F45" s="412">
        <f>SUM(F11:F42)</f>
        <v>63000</v>
      </c>
      <c r="G45" s="414">
        <f t="shared" ref="G45" si="9">SUM(G11:G44)</f>
        <v>0</v>
      </c>
      <c r="H45" s="690">
        <f>SUM(H11:H44)</f>
        <v>5930.6200000000008</v>
      </c>
      <c r="I45" s="536">
        <f t="shared" ref="I45:P45" si="10">SUM(I11:I44)</f>
        <v>9579.7400000000016</v>
      </c>
      <c r="J45" s="536">
        <f t="shared" si="10"/>
        <v>2000.25</v>
      </c>
      <c r="K45" s="536">
        <f t="shared" si="10"/>
        <v>10480.779999999999</v>
      </c>
      <c r="L45" s="536">
        <f>SUM(L11:L44)</f>
        <v>10080.200000000004</v>
      </c>
      <c r="M45" s="536">
        <f t="shared" si="10"/>
        <v>10678.719999999998</v>
      </c>
      <c r="N45" s="536">
        <f t="shared" si="10"/>
        <v>15347</v>
      </c>
      <c r="O45" s="537">
        <f t="shared" si="10"/>
        <v>23059</v>
      </c>
      <c r="P45" s="412">
        <f t="shared" si="10"/>
        <v>0</v>
      </c>
      <c r="Q45" s="413">
        <f>SUM(Q11:Q43)</f>
        <v>26678</v>
      </c>
      <c r="R45" s="412">
        <f>SUM(R11:R44)</f>
        <v>23082</v>
      </c>
      <c r="S45" s="414">
        <f>SUM(S11:S44)</f>
        <v>26862</v>
      </c>
      <c r="T45" s="649">
        <f t="shared" si="0"/>
        <v>48750.31</v>
      </c>
      <c r="U45" s="402">
        <f>SUM(N45:S45)</f>
        <v>115028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422.93</v>
      </c>
      <c r="Y45" s="315">
        <f t="shared" si="11"/>
        <v>370.61</v>
      </c>
      <c r="Z45" s="315">
        <f t="shared" si="11"/>
        <v>82.070000000000007</v>
      </c>
      <c r="AA45" s="315">
        <f t="shared" si="11"/>
        <v>784.07999999999993</v>
      </c>
      <c r="AB45" s="315">
        <f t="shared" si="11"/>
        <v>0</v>
      </c>
      <c r="AC45" s="315">
        <f t="shared" si="11"/>
        <v>70.8</v>
      </c>
      <c r="AD45" s="315">
        <f>SUM(AD10:AD44)</f>
        <v>0</v>
      </c>
      <c r="AE45" s="315">
        <f>SUM(AE10:AE44)</f>
        <v>482.26</v>
      </c>
      <c r="AF45" s="315">
        <f t="shared" si="11"/>
        <v>218.53</v>
      </c>
      <c r="AG45" s="315">
        <f t="shared" si="11"/>
        <v>98</v>
      </c>
      <c r="AH45" s="315">
        <f t="shared" si="11"/>
        <v>0</v>
      </c>
      <c r="AI45" s="596">
        <f>SUM(AI9:AI43)</f>
        <v>760</v>
      </c>
      <c r="AJ45" s="596">
        <f>SUM(AJ9:AJ39)</f>
        <v>354</v>
      </c>
      <c r="AK45" s="315">
        <f t="shared" si="11"/>
        <v>3643.28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52393.590000000011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T45*2315</f>
        <v>112856967.64999999</v>
      </c>
      <c r="V47" s="422" t="s">
        <v>245</v>
      </c>
      <c r="AS47" s="748">
        <f>AS45*2143</f>
        <v>112279463.37000002</v>
      </c>
      <c r="AT47" s="747" t="s">
        <v>245</v>
      </c>
      <c r="AU47" s="245"/>
    </row>
    <row r="48" spans="2:48" ht="14.25" thickBot="1">
      <c r="B48" s="430" t="s">
        <v>248</v>
      </c>
      <c r="C48" s="320"/>
      <c r="U48" s="421">
        <f>U47/2289</f>
        <v>49304.048776758405</v>
      </c>
      <c r="V48" s="422" t="s">
        <v>246</v>
      </c>
      <c r="X48" s="256"/>
      <c r="Y48" s="256"/>
      <c r="Z48" s="256"/>
      <c r="AA48" s="256"/>
      <c r="AB48" s="256"/>
      <c r="AS48" s="421">
        <f>AS47/2289</f>
        <v>49051.753328964624</v>
      </c>
      <c r="AT48" s="749" t="s">
        <v>246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7" t="s">
        <v>242</v>
      </c>
      <c r="D50" s="798"/>
      <c r="E50" s="798"/>
      <c r="F50" s="798"/>
      <c r="G50" s="799"/>
      <c r="H50" s="719"/>
      <c r="I50" s="800" t="s">
        <v>214</v>
      </c>
      <c r="J50" s="801"/>
      <c r="K50" s="801"/>
      <c r="L50" s="801"/>
      <c r="M50" s="802"/>
      <c r="N50" s="731"/>
      <c r="O50" s="818" t="s">
        <v>312</v>
      </c>
      <c r="P50" s="819"/>
      <c r="Q50" s="819"/>
      <c r="R50" s="819"/>
      <c r="S50" s="820"/>
      <c r="T50" s="815" t="s">
        <v>227</v>
      </c>
      <c r="U50" s="816"/>
      <c r="V50" s="816"/>
      <c r="W50" s="816"/>
      <c r="X50" s="816"/>
      <c r="Y50" s="817"/>
    </row>
    <row r="51" spans="3:47" ht="25.5" customHeight="1" thickBot="1">
      <c r="C51" s="710" t="s">
        <v>99</v>
      </c>
      <c r="D51" s="563" t="s">
        <v>198</v>
      </c>
      <c r="E51" s="711" t="s">
        <v>199</v>
      </c>
      <c r="F51" s="711" t="s">
        <v>213</v>
      </c>
      <c r="G51" s="712" t="s">
        <v>311</v>
      </c>
      <c r="H51" s="720"/>
      <c r="I51" s="717" t="s">
        <v>99</v>
      </c>
      <c r="J51" s="563" t="s">
        <v>198</v>
      </c>
      <c r="K51" s="706" t="s">
        <v>199</v>
      </c>
      <c r="L51" s="718" t="s">
        <v>213</v>
      </c>
      <c r="M51" s="712" t="s">
        <v>311</v>
      </c>
      <c r="N51" s="732"/>
      <c r="O51" s="705" t="s">
        <v>99</v>
      </c>
      <c r="P51" s="563" t="s">
        <v>198</v>
      </c>
      <c r="Q51" s="706" t="s">
        <v>199</v>
      </c>
      <c r="R51" s="463" t="s">
        <v>213</v>
      </c>
      <c r="S51" s="464" t="s">
        <v>216</v>
      </c>
      <c r="T51" s="465" t="s">
        <v>0</v>
      </c>
      <c r="U51" s="466" t="s">
        <v>198</v>
      </c>
      <c r="V51" s="466" t="s">
        <v>228</v>
      </c>
      <c r="W51" s="466" t="s">
        <v>213</v>
      </c>
      <c r="X51" s="466" t="s">
        <v>229</v>
      </c>
      <c r="Y51" s="467" t="s">
        <v>230</v>
      </c>
    </row>
    <row r="52" spans="3:47" ht="11.25" customHeight="1" thickBot="1">
      <c r="C52" s="707">
        <v>43895</v>
      </c>
      <c r="D52" s="708" t="s">
        <v>323</v>
      </c>
      <c r="E52" s="709">
        <v>31</v>
      </c>
      <c r="F52" s="708" t="s">
        <v>322</v>
      </c>
      <c r="G52" s="713" t="s">
        <v>320</v>
      </c>
      <c r="H52" s="721"/>
      <c r="I52" s="740"/>
      <c r="J52" s="562"/>
      <c r="K52" s="562"/>
      <c r="L52" s="562"/>
      <c r="M52" s="713"/>
      <c r="N52" s="721"/>
      <c r="O52" s="468">
        <v>43892</v>
      </c>
      <c r="P52" s="722" t="s">
        <v>317</v>
      </c>
      <c r="Q52" s="750">
        <v>70</v>
      </c>
      <c r="R52" s="726" t="s">
        <v>321</v>
      </c>
      <c r="S52" s="734" t="s">
        <v>320</v>
      </c>
      <c r="T52" s="468">
        <v>43891</v>
      </c>
      <c r="U52" s="468" t="s">
        <v>341</v>
      </c>
      <c r="V52" s="519">
        <v>35</v>
      </c>
      <c r="W52" s="518" t="s">
        <v>342</v>
      </c>
      <c r="X52" s="468" t="s">
        <v>320</v>
      </c>
      <c r="Y52" s="468" t="s">
        <v>334</v>
      </c>
    </row>
    <row r="53" spans="3:47" ht="11.25" customHeight="1" thickBot="1">
      <c r="C53" s="457">
        <v>43898</v>
      </c>
      <c r="D53" s="396" t="s">
        <v>325</v>
      </c>
      <c r="E53" s="514">
        <v>85</v>
      </c>
      <c r="F53" s="396" t="s">
        <v>324</v>
      </c>
      <c r="G53" s="713" t="s">
        <v>320</v>
      </c>
      <c r="H53" s="686"/>
      <c r="I53" s="741"/>
      <c r="J53" s="349"/>
      <c r="K53" s="349"/>
      <c r="L53" s="349"/>
      <c r="M53" s="713"/>
      <c r="N53" s="686"/>
      <c r="O53" s="457">
        <v>43892</v>
      </c>
      <c r="P53" s="349" t="s">
        <v>318</v>
      </c>
      <c r="Q53" s="560">
        <v>151</v>
      </c>
      <c r="R53" s="727" t="s">
        <v>319</v>
      </c>
      <c r="S53" s="734" t="s">
        <v>320</v>
      </c>
      <c r="T53" s="468">
        <v>43911</v>
      </c>
      <c r="U53" s="468" t="s">
        <v>332</v>
      </c>
      <c r="V53" s="519">
        <v>20</v>
      </c>
      <c r="W53" s="518" t="s">
        <v>333</v>
      </c>
      <c r="X53" s="468" t="s">
        <v>320</v>
      </c>
      <c r="Y53" s="468" t="s">
        <v>334</v>
      </c>
    </row>
    <row r="54" spans="3:47" ht="11.25" customHeight="1" thickBot="1">
      <c r="C54" s="457">
        <v>43901</v>
      </c>
      <c r="D54" s="396" t="s">
        <v>326</v>
      </c>
      <c r="E54" s="514">
        <v>130</v>
      </c>
      <c r="F54" s="396" t="s">
        <v>327</v>
      </c>
      <c r="G54" s="713" t="s">
        <v>320</v>
      </c>
      <c r="H54" s="686"/>
      <c r="I54" s="741"/>
      <c r="J54" s="349"/>
      <c r="K54" s="349"/>
      <c r="L54" s="349"/>
      <c r="M54" s="714"/>
      <c r="N54" s="686"/>
      <c r="O54" s="457">
        <v>43894</v>
      </c>
      <c r="P54" s="349" t="s">
        <v>318</v>
      </c>
      <c r="Q54" s="560">
        <v>78</v>
      </c>
      <c r="R54" s="727" t="s">
        <v>319</v>
      </c>
      <c r="S54" s="734" t="s">
        <v>320</v>
      </c>
      <c r="T54" s="457"/>
      <c r="U54" s="396"/>
      <c r="V54" s="519"/>
      <c r="W54" s="518"/>
      <c r="X54" s="396"/>
      <c r="Y54" s="468"/>
    </row>
    <row r="55" spans="3:47" ht="11.25" customHeight="1" thickBot="1">
      <c r="C55" s="457">
        <v>43904</v>
      </c>
      <c r="D55" s="396" t="s">
        <v>328</v>
      </c>
      <c r="E55" s="514">
        <v>108</v>
      </c>
      <c r="F55" s="396" t="s">
        <v>329</v>
      </c>
      <c r="G55" s="713" t="s">
        <v>320</v>
      </c>
      <c r="H55" s="686"/>
      <c r="I55" s="723"/>
      <c r="J55" s="349"/>
      <c r="K55" s="349"/>
      <c r="L55" s="349"/>
      <c r="M55" s="714"/>
      <c r="N55" s="686"/>
      <c r="O55" s="733"/>
      <c r="P55" s="349"/>
      <c r="Q55" s="560"/>
      <c r="R55" s="727"/>
      <c r="S55" s="734"/>
      <c r="T55" s="457"/>
      <c r="U55" s="396"/>
      <c r="V55" s="519"/>
      <c r="W55" s="561"/>
      <c r="X55" s="396"/>
      <c r="Y55" s="468"/>
    </row>
    <row r="56" spans="3:47" ht="11.25" customHeight="1">
      <c r="C56" s="457">
        <v>43905</v>
      </c>
      <c r="D56" s="396" t="s">
        <v>326</v>
      </c>
      <c r="E56" s="514">
        <v>37</v>
      </c>
      <c r="F56" s="396" t="s">
        <v>327</v>
      </c>
      <c r="G56" s="713" t="s">
        <v>320</v>
      </c>
      <c r="H56" s="686"/>
      <c r="I56" s="723"/>
      <c r="J56" s="349"/>
      <c r="K56" s="349"/>
      <c r="L56" s="349"/>
      <c r="M56" s="714"/>
      <c r="N56" s="686"/>
      <c r="O56" s="733"/>
      <c r="P56" s="349"/>
      <c r="Q56" s="560"/>
      <c r="R56" s="727"/>
      <c r="S56" s="734"/>
      <c r="T56" s="457"/>
      <c r="U56" s="396"/>
      <c r="V56" s="519"/>
      <c r="W56" s="561"/>
      <c r="X56" s="396"/>
      <c r="Y56" s="468"/>
    </row>
    <row r="57" spans="3:47" ht="11.25" customHeight="1">
      <c r="C57" s="457">
        <v>43908</v>
      </c>
      <c r="D57" s="396" t="s">
        <v>330</v>
      </c>
      <c r="E57" s="514">
        <v>156</v>
      </c>
      <c r="F57" s="396" t="s">
        <v>331</v>
      </c>
      <c r="G57" s="713" t="s">
        <v>320</v>
      </c>
      <c r="H57" s="686"/>
      <c r="I57" s="723"/>
      <c r="J57" s="349"/>
      <c r="K57" s="349"/>
      <c r="L57" s="349"/>
      <c r="M57" s="714"/>
      <c r="N57" s="686"/>
      <c r="O57" s="733"/>
      <c r="P57" s="349"/>
      <c r="Q57" s="560"/>
      <c r="R57" s="727"/>
      <c r="S57" s="734"/>
      <c r="T57" s="457"/>
      <c r="U57" s="396"/>
      <c r="V57" s="519"/>
      <c r="W57" s="561"/>
      <c r="X57" s="396"/>
      <c r="Y57" s="458"/>
    </row>
    <row r="58" spans="3:47" ht="11.25" customHeight="1">
      <c r="C58" s="457">
        <v>43914</v>
      </c>
      <c r="D58" s="396" t="s">
        <v>335</v>
      </c>
      <c r="E58" s="514">
        <v>142</v>
      </c>
      <c r="F58" s="396" t="s">
        <v>336</v>
      </c>
      <c r="G58" s="713" t="s">
        <v>320</v>
      </c>
      <c r="H58" s="686"/>
      <c r="I58" s="723"/>
      <c r="J58" s="349"/>
      <c r="K58" s="349"/>
      <c r="L58" s="349"/>
      <c r="M58" s="714"/>
      <c r="N58" s="686"/>
      <c r="O58" s="733"/>
      <c r="P58" s="349"/>
      <c r="Q58" s="560"/>
      <c r="R58" s="727"/>
      <c r="S58" s="734"/>
      <c r="T58" s="457"/>
      <c r="U58" s="396"/>
      <c r="V58" s="519"/>
      <c r="W58" s="561"/>
      <c r="X58" s="396"/>
      <c r="Y58" s="458"/>
    </row>
    <row r="59" spans="3:47" ht="11.25" customHeight="1">
      <c r="C59" s="457">
        <v>43918</v>
      </c>
      <c r="D59" s="396" t="s">
        <v>339</v>
      </c>
      <c r="E59" s="514">
        <v>71</v>
      </c>
      <c r="F59" s="396" t="s">
        <v>340</v>
      </c>
      <c r="G59" s="713" t="s">
        <v>320</v>
      </c>
      <c r="H59" s="686"/>
      <c r="I59" s="723"/>
      <c r="J59" s="349"/>
      <c r="K59" s="349"/>
      <c r="L59" s="349"/>
      <c r="M59" s="714"/>
      <c r="N59" s="686"/>
      <c r="O59" s="733"/>
      <c r="P59" s="349"/>
      <c r="Q59" s="560"/>
      <c r="R59" s="727"/>
      <c r="S59" s="734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4"/>
      <c r="H60" s="686"/>
      <c r="I60" s="723"/>
      <c r="J60" s="349"/>
      <c r="K60" s="349"/>
      <c r="L60" s="349"/>
      <c r="M60" s="714"/>
      <c r="N60" s="686"/>
      <c r="O60" s="733"/>
      <c r="P60" s="349"/>
      <c r="Q60" s="560"/>
      <c r="R60" s="727"/>
      <c r="S60" s="734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4"/>
      <c r="H61" s="686"/>
      <c r="I61" s="723"/>
      <c r="J61" s="349"/>
      <c r="K61" s="349"/>
      <c r="L61" s="349"/>
      <c r="M61" s="714"/>
      <c r="N61" s="686"/>
      <c r="O61" s="733"/>
      <c r="P61" s="349"/>
      <c r="Q61" s="560"/>
      <c r="R61" s="727"/>
      <c r="S61" s="735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4"/>
      <c r="H62" s="686"/>
      <c r="I62" s="723"/>
      <c r="J62" s="349"/>
      <c r="K62" s="349"/>
      <c r="L62" s="349"/>
      <c r="M62" s="714"/>
      <c r="N62" s="686"/>
      <c r="O62" s="733"/>
      <c r="P62" s="349"/>
      <c r="Q62" s="560"/>
      <c r="R62" s="727"/>
      <c r="S62" s="735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4"/>
      <c r="H63" s="686"/>
      <c r="I63" s="723"/>
      <c r="J63" s="349"/>
      <c r="K63" s="349"/>
      <c r="L63" s="349"/>
      <c r="M63" s="714"/>
      <c r="N63" s="686"/>
      <c r="O63" s="733"/>
      <c r="P63" s="349"/>
      <c r="Q63" s="560"/>
      <c r="R63" s="727"/>
      <c r="S63" s="735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4"/>
      <c r="H64" s="686"/>
      <c r="I64" s="723"/>
      <c r="J64" s="349"/>
      <c r="K64" s="349"/>
      <c r="L64" s="349"/>
      <c r="M64" s="714"/>
      <c r="N64" s="686"/>
      <c r="O64" s="733"/>
      <c r="P64" s="349"/>
      <c r="Q64" s="560"/>
      <c r="R64" s="727"/>
      <c r="S64" s="735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4"/>
      <c r="H65" s="686"/>
      <c r="I65" s="723"/>
      <c r="J65" s="349"/>
      <c r="K65" s="349"/>
      <c r="L65" s="349"/>
      <c r="M65" s="714"/>
      <c r="N65" s="686"/>
      <c r="O65" s="733"/>
      <c r="P65" s="349"/>
      <c r="Q65" s="560"/>
      <c r="R65" s="727"/>
      <c r="S65" s="735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4"/>
      <c r="H66" s="686"/>
      <c r="I66" s="723"/>
      <c r="J66" s="349"/>
      <c r="K66" s="349"/>
      <c r="L66" s="349"/>
      <c r="M66" s="714"/>
      <c r="N66" s="686"/>
      <c r="O66" s="733"/>
      <c r="P66" s="349"/>
      <c r="Q66" s="349"/>
      <c r="R66" s="728"/>
      <c r="S66" s="735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4"/>
      <c r="H67" s="686"/>
      <c r="I67" s="723"/>
      <c r="J67" s="349"/>
      <c r="K67" s="349"/>
      <c r="L67" s="349"/>
      <c r="M67" s="714"/>
      <c r="N67" s="686"/>
      <c r="O67" s="733"/>
      <c r="P67" s="349"/>
      <c r="Q67" s="349"/>
      <c r="R67" s="728"/>
      <c r="S67" s="735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4"/>
      <c r="H68" s="686"/>
      <c r="I68" s="723"/>
      <c r="J68" s="349"/>
      <c r="K68" s="349"/>
      <c r="L68" s="349"/>
      <c r="M68" s="714"/>
      <c r="N68" s="686"/>
      <c r="O68" s="733"/>
      <c r="P68" s="349"/>
      <c r="Q68" s="349"/>
      <c r="R68" s="727"/>
      <c r="S68" s="735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4"/>
      <c r="H69" s="686"/>
      <c r="I69" s="723"/>
      <c r="J69" s="349"/>
      <c r="K69" s="349"/>
      <c r="L69" s="349"/>
      <c r="M69" s="714"/>
      <c r="N69" s="686"/>
      <c r="O69" s="733"/>
      <c r="P69" s="349"/>
      <c r="Q69" s="349"/>
      <c r="R69" s="727"/>
      <c r="S69" s="735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4"/>
      <c r="H70" s="686"/>
      <c r="I70" s="723"/>
      <c r="J70" s="349"/>
      <c r="K70" s="349"/>
      <c r="L70" s="349"/>
      <c r="M70" s="714"/>
      <c r="N70" s="686"/>
      <c r="O70" s="733"/>
      <c r="P70" s="349"/>
      <c r="Q70" s="349"/>
      <c r="R70" s="727"/>
      <c r="S70" s="735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4"/>
      <c r="H71" s="686"/>
      <c r="I71" s="723"/>
      <c r="J71" s="349"/>
      <c r="K71" s="349"/>
      <c r="L71" s="349"/>
      <c r="M71" s="714"/>
      <c r="N71" s="686"/>
      <c r="O71" s="733"/>
      <c r="P71" s="349"/>
      <c r="Q71" s="349"/>
      <c r="R71" s="727"/>
      <c r="S71" s="735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4"/>
      <c r="H72" s="686"/>
      <c r="I72" s="724"/>
      <c r="J72" s="353"/>
      <c r="K72" s="353"/>
      <c r="L72" s="353"/>
      <c r="M72" s="714"/>
      <c r="N72" s="686"/>
      <c r="O72" s="733"/>
      <c r="P72" s="349"/>
      <c r="Q72" s="349"/>
      <c r="R72" s="729"/>
      <c r="S72" s="735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4"/>
      <c r="H73" s="686"/>
      <c r="I73" s="723"/>
      <c r="J73" s="349"/>
      <c r="K73" s="349"/>
      <c r="L73" s="349"/>
      <c r="M73" s="714"/>
      <c r="N73" s="686"/>
      <c r="O73" s="733"/>
      <c r="P73" s="349"/>
      <c r="Q73" s="349"/>
      <c r="R73" s="727"/>
      <c r="S73" s="735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4"/>
      <c r="H74" s="686"/>
      <c r="I74" s="723"/>
      <c r="J74" s="349"/>
      <c r="K74" s="349"/>
      <c r="L74" s="349"/>
      <c r="M74" s="714"/>
      <c r="N74" s="686"/>
      <c r="O74" s="733"/>
      <c r="P74" s="349"/>
      <c r="Q74" s="349"/>
      <c r="R74" s="727"/>
      <c r="S74" s="735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4"/>
      <c r="H75" s="686"/>
      <c r="I75" s="723"/>
      <c r="J75" s="349"/>
      <c r="K75" s="349"/>
      <c r="L75" s="349"/>
      <c r="M75" s="714"/>
      <c r="N75" s="686"/>
      <c r="O75" s="733"/>
      <c r="P75" s="349"/>
      <c r="Q75" s="349"/>
      <c r="R75" s="727"/>
      <c r="S75" s="735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4"/>
      <c r="H76" s="686"/>
      <c r="I76" s="723"/>
      <c r="J76" s="349"/>
      <c r="K76" s="349"/>
      <c r="L76" s="349"/>
      <c r="M76" s="714"/>
      <c r="N76" s="686"/>
      <c r="O76" s="733"/>
      <c r="P76" s="349"/>
      <c r="Q76" s="349"/>
      <c r="R76" s="727"/>
      <c r="S76" s="735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4"/>
      <c r="H77" s="686"/>
      <c r="I77" s="723"/>
      <c r="J77" s="560"/>
      <c r="K77" s="560"/>
      <c r="L77" s="349"/>
      <c r="M77" s="714"/>
      <c r="N77" s="686"/>
      <c r="O77" s="733"/>
      <c r="P77" s="349"/>
      <c r="Q77" s="349"/>
      <c r="R77" s="727"/>
      <c r="S77" s="735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4"/>
      <c r="H78" s="686"/>
      <c r="I78" s="723"/>
      <c r="J78" s="349"/>
      <c r="K78" s="349"/>
      <c r="L78" s="349"/>
      <c r="M78" s="714"/>
      <c r="N78" s="686"/>
      <c r="O78" s="733"/>
      <c r="P78" s="349"/>
      <c r="Q78" s="349"/>
      <c r="R78" s="727"/>
      <c r="S78" s="735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4"/>
      <c r="H79" s="686"/>
      <c r="I79" s="723"/>
      <c r="J79" s="349"/>
      <c r="K79" s="349"/>
      <c r="L79" s="349"/>
      <c r="M79" s="714"/>
      <c r="N79" s="686"/>
      <c r="O79" s="733"/>
      <c r="P79" s="349"/>
      <c r="Q79" s="349"/>
      <c r="R79" s="727"/>
      <c r="S79" s="735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4"/>
      <c r="H80" s="686"/>
      <c r="I80" s="723"/>
      <c r="J80" s="349"/>
      <c r="K80" s="349"/>
      <c r="L80" s="349"/>
      <c r="M80" s="714"/>
      <c r="N80" s="686"/>
      <c r="O80" s="733"/>
      <c r="P80" s="349"/>
      <c r="Q80" s="349"/>
      <c r="R80" s="727"/>
      <c r="S80" s="735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4"/>
      <c r="H81" s="686"/>
      <c r="I81" s="723"/>
      <c r="J81" s="349"/>
      <c r="K81" s="349"/>
      <c r="L81" s="349"/>
      <c r="M81" s="714"/>
      <c r="N81" s="686"/>
      <c r="O81" s="733"/>
      <c r="P81" s="349"/>
      <c r="Q81" s="349"/>
      <c r="R81" s="727"/>
      <c r="S81" s="735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4"/>
      <c r="H82" s="686"/>
      <c r="I82" s="723"/>
      <c r="J82" s="349"/>
      <c r="K82" s="349"/>
      <c r="L82" s="349"/>
      <c r="M82" s="714"/>
      <c r="N82" s="686"/>
      <c r="O82" s="733"/>
      <c r="P82" s="349"/>
      <c r="Q82" s="349"/>
      <c r="R82" s="727"/>
      <c r="S82" s="735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4"/>
      <c r="H83" s="686"/>
      <c r="I83" s="723"/>
      <c r="J83" s="349"/>
      <c r="K83" s="349"/>
      <c r="L83" s="349"/>
      <c r="M83" s="714"/>
      <c r="N83" s="686"/>
      <c r="O83" s="733"/>
      <c r="P83" s="349"/>
      <c r="Q83" s="349"/>
      <c r="R83" s="727"/>
      <c r="S83" s="735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4"/>
      <c r="H84" s="686"/>
      <c r="I84" s="723"/>
      <c r="J84" s="349"/>
      <c r="K84" s="349"/>
      <c r="L84" s="349"/>
      <c r="M84" s="714"/>
      <c r="N84" s="686"/>
      <c r="O84" s="733"/>
      <c r="P84" s="349"/>
      <c r="Q84" s="349"/>
      <c r="R84" s="727"/>
      <c r="S84" s="735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4"/>
      <c r="H85" s="686"/>
      <c r="I85" s="723"/>
      <c r="J85" s="349"/>
      <c r="K85" s="349"/>
      <c r="L85" s="349"/>
      <c r="M85" s="714"/>
      <c r="N85" s="686"/>
      <c r="O85" s="733"/>
      <c r="P85" s="349"/>
      <c r="Q85" s="349"/>
      <c r="R85" s="727"/>
      <c r="S85" s="735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4"/>
      <c r="H86" s="686"/>
      <c r="I86" s="723"/>
      <c r="J86" s="349"/>
      <c r="K86" s="349"/>
      <c r="L86" s="349"/>
      <c r="M86" s="714"/>
      <c r="N86" s="686"/>
      <c r="O86" s="733"/>
      <c r="P86" s="349"/>
      <c r="Q86" s="349"/>
      <c r="R86" s="727"/>
      <c r="S86" s="735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4"/>
      <c r="H87" s="686"/>
      <c r="I87" s="723"/>
      <c r="J87" s="349"/>
      <c r="K87" s="349"/>
      <c r="L87" s="349"/>
      <c r="M87" s="714"/>
      <c r="N87" s="686"/>
      <c r="O87" s="733"/>
      <c r="P87" s="349"/>
      <c r="Q87" s="349"/>
      <c r="R87" s="727"/>
      <c r="S87" s="735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4"/>
      <c r="H88" s="686"/>
      <c r="I88" s="723"/>
      <c r="J88" s="349"/>
      <c r="K88" s="349"/>
      <c r="L88" s="349"/>
      <c r="M88" s="714"/>
      <c r="N88" s="686"/>
      <c r="O88" s="733"/>
      <c r="P88" s="349"/>
      <c r="Q88" s="349"/>
      <c r="R88" s="727"/>
      <c r="S88" s="735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4"/>
      <c r="H89" s="686"/>
      <c r="I89" s="723"/>
      <c r="J89" s="349"/>
      <c r="K89" s="349"/>
      <c r="L89" s="349"/>
      <c r="M89" s="714"/>
      <c r="N89" s="686"/>
      <c r="O89" s="733"/>
      <c r="P89" s="349"/>
      <c r="Q89" s="349"/>
      <c r="R89" s="727"/>
      <c r="S89" s="735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4"/>
      <c r="H90" s="686"/>
      <c r="I90" s="723"/>
      <c r="J90" s="349"/>
      <c r="K90" s="349"/>
      <c r="L90" s="349"/>
      <c r="M90" s="714"/>
      <c r="N90" s="686"/>
      <c r="O90" s="733"/>
      <c r="P90" s="349"/>
      <c r="Q90" s="349"/>
      <c r="R90" s="727"/>
      <c r="S90" s="735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4"/>
      <c r="H91" s="686"/>
      <c r="I91" s="723"/>
      <c r="J91" s="349"/>
      <c r="K91" s="349"/>
      <c r="L91" s="349"/>
      <c r="M91" s="714"/>
      <c r="N91" s="686"/>
      <c r="O91" s="733"/>
      <c r="P91" s="349"/>
      <c r="Q91" s="349"/>
      <c r="R91" s="727"/>
      <c r="S91" s="735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4"/>
      <c r="H92" s="686"/>
      <c r="I92" s="723"/>
      <c r="J92" s="349"/>
      <c r="K92" s="349"/>
      <c r="L92" s="349"/>
      <c r="M92" s="714"/>
      <c r="N92" s="686"/>
      <c r="O92" s="733"/>
      <c r="P92" s="349"/>
      <c r="Q92" s="349"/>
      <c r="R92" s="727"/>
      <c r="S92" s="735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4"/>
      <c r="H93" s="686"/>
      <c r="I93" s="723"/>
      <c r="J93" s="349"/>
      <c r="K93" s="349"/>
      <c r="L93" s="349"/>
      <c r="M93" s="714"/>
      <c r="N93" s="686"/>
      <c r="O93" s="733"/>
      <c r="P93" s="349"/>
      <c r="Q93" s="349"/>
      <c r="R93" s="727"/>
      <c r="S93" s="735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4"/>
      <c r="H94" s="686"/>
      <c r="I94" s="723"/>
      <c r="J94" s="349"/>
      <c r="K94" s="349"/>
      <c r="L94" s="349"/>
      <c r="M94" s="714"/>
      <c r="N94" s="686"/>
      <c r="O94" s="733"/>
      <c r="P94" s="349"/>
      <c r="Q94" s="349"/>
      <c r="R94" s="727"/>
      <c r="S94" s="735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4"/>
      <c r="H95" s="686"/>
      <c r="I95" s="723"/>
      <c r="J95" s="349"/>
      <c r="K95" s="349"/>
      <c r="L95" s="349"/>
      <c r="M95" s="714"/>
      <c r="N95" s="686"/>
      <c r="O95" s="733"/>
      <c r="P95" s="349"/>
      <c r="Q95" s="349"/>
      <c r="R95" s="727"/>
      <c r="S95" s="735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4"/>
      <c r="H96" s="686"/>
      <c r="I96" s="723"/>
      <c r="J96" s="349"/>
      <c r="K96" s="349"/>
      <c r="L96" s="349"/>
      <c r="M96" s="714"/>
      <c r="N96" s="686"/>
      <c r="O96" s="733"/>
      <c r="P96" s="349"/>
      <c r="Q96" s="349"/>
      <c r="R96" s="727"/>
      <c r="S96" s="735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5"/>
      <c r="H97" s="704"/>
      <c r="I97" s="725"/>
      <c r="J97" s="716"/>
      <c r="K97" s="716"/>
      <c r="L97" s="716"/>
      <c r="M97" s="715"/>
      <c r="N97" s="704"/>
      <c r="O97" s="736"/>
      <c r="P97" s="716"/>
      <c r="Q97" s="716"/>
      <c r="R97" s="730"/>
      <c r="S97" s="737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40" sqref="F4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42" t="s">
        <v>71</v>
      </c>
      <c r="D3" s="743"/>
      <c r="E3" s="743"/>
      <c r="F3" s="744"/>
      <c r="G3" s="745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6"/>
    </row>
    <row r="7" spans="1:15" ht="18" customHeight="1">
      <c r="A7" s="825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6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57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55</v>
      </c>
      <c r="C13" s="354">
        <v>85</v>
      </c>
      <c r="D13" s="354">
        <v>85</v>
      </c>
      <c r="E13" s="354">
        <v>85</v>
      </c>
      <c r="F13" s="354">
        <v>70486.44</v>
      </c>
      <c r="G13" s="354">
        <f t="shared" si="0"/>
        <v>105.60000000000001</v>
      </c>
      <c r="H13" s="114">
        <f>Gen!C14</f>
        <v>1</v>
      </c>
      <c r="I13" s="6">
        <f t="shared" si="2"/>
        <v>70486.44</v>
      </c>
      <c r="J13" s="119">
        <f t="shared" si="1"/>
        <v>1.4981604972530886E-3</v>
      </c>
      <c r="M13" s="188"/>
      <c r="N13" s="188"/>
    </row>
    <row r="14" spans="1:15" ht="18.75">
      <c r="A14" s="97">
        <f>Gen!B15</f>
        <v>43895</v>
      </c>
      <c r="B14" s="354">
        <v>52</v>
      </c>
      <c r="C14" s="354">
        <v>85</v>
      </c>
      <c r="D14" s="354">
        <v>85</v>
      </c>
      <c r="E14" s="354">
        <v>85</v>
      </c>
      <c r="F14" s="354">
        <v>70510.039999999994</v>
      </c>
      <c r="G14" s="354">
        <f t="shared" si="0"/>
        <v>103.83999999996159</v>
      </c>
      <c r="H14" s="114">
        <f>Gen!C15</f>
        <v>1</v>
      </c>
      <c r="I14" s="6">
        <f t="shared" si="2"/>
        <v>70510.039999999994</v>
      </c>
      <c r="J14" s="119">
        <f t="shared" si="1"/>
        <v>1.4726980725009034E-3</v>
      </c>
      <c r="M14" s="188"/>
      <c r="N14" s="188"/>
    </row>
    <row r="15" spans="1:15" ht="18.75">
      <c r="A15" s="97">
        <f>Gen!B16</f>
        <v>43896</v>
      </c>
      <c r="B15" s="354">
        <v>49</v>
      </c>
      <c r="C15" s="354">
        <v>85</v>
      </c>
      <c r="D15" s="354">
        <v>85</v>
      </c>
      <c r="E15" s="354"/>
      <c r="F15" s="354">
        <v>70529.89</v>
      </c>
      <c r="G15" s="354">
        <f t="shared" si="0"/>
        <v>87.340000000025611</v>
      </c>
      <c r="H15" s="114">
        <f>Gen!C16</f>
        <v>1</v>
      </c>
      <c r="I15" s="6">
        <f t="shared" si="2"/>
        <v>70529.89</v>
      </c>
      <c r="J15" s="119">
        <f t="shared" si="1"/>
        <v>1.238340227101242E-3</v>
      </c>
      <c r="M15" s="188"/>
      <c r="N15" s="188"/>
    </row>
    <row r="16" spans="1:15" ht="18.75">
      <c r="A16" s="97">
        <f>Gen!B17</f>
        <v>43897</v>
      </c>
      <c r="B16" s="354">
        <v>46</v>
      </c>
      <c r="C16" s="354">
        <v>85</v>
      </c>
      <c r="D16" s="354">
        <v>85</v>
      </c>
      <c r="E16" s="354"/>
      <c r="F16" s="354">
        <v>70553.75</v>
      </c>
      <c r="G16" s="354">
        <f t="shared" si="0"/>
        <v>104.98400000000257</v>
      </c>
      <c r="H16" s="114">
        <f>Gen!C17</f>
        <v>1</v>
      </c>
      <c r="I16" s="6">
        <f t="shared" si="2"/>
        <v>70553.75</v>
      </c>
      <c r="J16" s="119">
        <f t="shared" si="1"/>
        <v>1.4880002834718575E-3</v>
      </c>
      <c r="M16" s="188"/>
      <c r="N16" s="188"/>
    </row>
    <row r="17" spans="1:14" ht="18.75">
      <c r="A17" s="97">
        <f>Gen!B18</f>
        <v>43898</v>
      </c>
      <c r="B17" s="354">
        <v>43</v>
      </c>
      <c r="C17" s="354">
        <v>85</v>
      </c>
      <c r="D17" s="354">
        <v>85</v>
      </c>
      <c r="E17" s="354"/>
      <c r="F17" s="354">
        <v>70581.88</v>
      </c>
      <c r="G17" s="354">
        <f t="shared" si="0"/>
        <v>123.7720000000205</v>
      </c>
      <c r="H17" s="114">
        <f>Gen!C18</f>
        <v>0.59740000000000004</v>
      </c>
      <c r="I17" s="6">
        <f t="shared" si="2"/>
        <v>118148.4432541011</v>
      </c>
      <c r="J17" s="119">
        <f t="shared" si="1"/>
        <v>1.0475973833512545E-3</v>
      </c>
      <c r="M17" s="188"/>
      <c r="N17" s="188"/>
    </row>
    <row r="18" spans="1:14" ht="18.75">
      <c r="A18" s="97">
        <f>Gen!B19</f>
        <v>43899</v>
      </c>
      <c r="B18" s="354">
        <v>40</v>
      </c>
      <c r="C18" s="354">
        <v>85</v>
      </c>
      <c r="D18" s="354">
        <v>85</v>
      </c>
      <c r="E18" s="354"/>
      <c r="F18" s="354">
        <v>70604.44</v>
      </c>
      <c r="G18" s="354">
        <f t="shared" si="0"/>
        <v>99.263999999989764</v>
      </c>
      <c r="H18" s="114">
        <f>Gen!C19</f>
        <v>0.57140000000000002</v>
      </c>
      <c r="I18" s="6">
        <f t="shared" si="2"/>
        <v>123563.94819740987</v>
      </c>
      <c r="J18" s="119">
        <f t="shared" si="1"/>
        <v>8.0334111565779926E-4</v>
      </c>
      <c r="M18" s="188"/>
      <c r="N18" s="188"/>
    </row>
    <row r="19" spans="1:14" ht="18.75">
      <c r="A19" s="97">
        <f>Gen!B20</f>
        <v>43900</v>
      </c>
      <c r="B19" s="354">
        <v>40</v>
      </c>
      <c r="C19" s="354">
        <v>85</v>
      </c>
      <c r="D19" s="354">
        <v>82</v>
      </c>
      <c r="E19" s="354"/>
      <c r="F19" s="354">
        <v>70628.2</v>
      </c>
      <c r="G19" s="354">
        <f t="shared" si="0"/>
        <v>104.54399999997696</v>
      </c>
      <c r="H19" s="114">
        <f>Gen!C20</f>
        <v>0.58440000000000003</v>
      </c>
      <c r="I19" s="6">
        <f t="shared" si="2"/>
        <v>120855.92060232717</v>
      </c>
      <c r="J19" s="119">
        <f t="shared" si="1"/>
        <v>8.6503002483408241E-4</v>
      </c>
      <c r="M19" s="188"/>
      <c r="N19" s="188"/>
    </row>
    <row r="20" spans="1:14" ht="18.75">
      <c r="A20" s="97">
        <f>Gen!B21</f>
        <v>43901</v>
      </c>
      <c r="B20" s="354">
        <v>40</v>
      </c>
      <c r="C20" s="354">
        <v>85</v>
      </c>
      <c r="D20" s="354">
        <v>80</v>
      </c>
      <c r="E20" s="354"/>
      <c r="F20" s="354">
        <v>70651.67</v>
      </c>
      <c r="G20" s="354">
        <f t="shared" si="0"/>
        <v>103.26800000000513</v>
      </c>
      <c r="H20" s="114">
        <f>Gen!C21</f>
        <v>3.9E-2</v>
      </c>
      <c r="I20" s="6">
        <f t="shared" si="2"/>
        <v>1811581.282051282</v>
      </c>
      <c r="J20" s="119">
        <f t="shared" si="1"/>
        <v>5.7004342572513859E-5</v>
      </c>
    </row>
    <row r="21" spans="1:14" ht="18.75">
      <c r="A21" s="97">
        <f>Gen!B22</f>
        <v>43902</v>
      </c>
      <c r="B21" s="354">
        <v>40</v>
      </c>
      <c r="C21" s="354">
        <v>85</v>
      </c>
      <c r="D21" s="354">
        <v>78</v>
      </c>
      <c r="E21" s="354"/>
      <c r="F21" s="354">
        <v>70670.899999999994</v>
      </c>
      <c r="G21" s="354">
        <f t="shared" si="0"/>
        <v>84.611999999982075</v>
      </c>
      <c r="H21" s="114">
        <f>Gen!C22</f>
        <v>3.9E-2</v>
      </c>
      <c r="I21" s="6">
        <f t="shared" si="2"/>
        <v>1812074.3589743588</v>
      </c>
      <c r="J21" s="119">
        <f t="shared" si="1"/>
        <v>4.6693448081166384E-5</v>
      </c>
    </row>
    <row r="22" spans="1:14" ht="18.75">
      <c r="A22" s="97">
        <f>Gen!B23</f>
        <v>43903</v>
      </c>
      <c r="B22" s="354">
        <v>40</v>
      </c>
      <c r="C22" s="354">
        <v>85</v>
      </c>
      <c r="D22" s="354">
        <v>75</v>
      </c>
      <c r="E22" s="354">
        <v>75</v>
      </c>
      <c r="F22" s="354">
        <v>70694.100000000006</v>
      </c>
      <c r="G22" s="354">
        <f t="shared" si="0"/>
        <v>102.08000000005123</v>
      </c>
      <c r="H22" s="114">
        <f>Gen!C23</f>
        <v>3.9E-2</v>
      </c>
      <c r="I22" s="6">
        <f t="shared" si="2"/>
        <v>1812669.230769231</v>
      </c>
      <c r="J22" s="119">
        <f t="shared" si="1"/>
        <v>5.6314741965765144E-5</v>
      </c>
    </row>
    <row r="23" spans="1:14" ht="18.75">
      <c r="A23" s="97">
        <f>Gen!B24</f>
        <v>43904</v>
      </c>
      <c r="B23" s="354">
        <v>37</v>
      </c>
      <c r="C23" s="354">
        <v>85</v>
      </c>
      <c r="D23" s="354">
        <v>75</v>
      </c>
      <c r="E23" s="354">
        <v>75</v>
      </c>
      <c r="F23" s="354">
        <v>70714.399999999994</v>
      </c>
      <c r="G23" s="354">
        <f t="shared" si="0"/>
        <v>89.319999999948791</v>
      </c>
      <c r="H23" s="114">
        <f>Gen!C24</f>
        <v>2.86E-2</v>
      </c>
      <c r="I23" s="6">
        <f t="shared" si="2"/>
        <v>2472531.4685314684</v>
      </c>
      <c r="J23" s="119">
        <f t="shared" si="1"/>
        <v>3.6124919394048959E-5</v>
      </c>
    </row>
    <row r="24" spans="1:14" ht="18.75">
      <c r="A24" s="97">
        <f>Gen!B25</f>
        <v>43905</v>
      </c>
      <c r="B24" s="354">
        <v>35</v>
      </c>
      <c r="C24" s="354">
        <v>85</v>
      </c>
      <c r="D24" s="354">
        <v>85</v>
      </c>
      <c r="E24" s="354"/>
      <c r="F24" s="354">
        <v>70753.86</v>
      </c>
      <c r="G24" s="354">
        <f t="shared" si="0"/>
        <v>173.62400000002819</v>
      </c>
      <c r="H24" s="114">
        <f>Gen!C25</f>
        <v>6.4899999999999999E-2</v>
      </c>
      <c r="I24" s="6">
        <f t="shared" si="2"/>
        <v>1090198.1510015409</v>
      </c>
      <c r="J24" s="119">
        <f t="shared" si="1"/>
        <v>1.5925912169317445E-4</v>
      </c>
    </row>
    <row r="25" spans="1:14" ht="18.75">
      <c r="A25" s="97">
        <f>Gen!B26</f>
        <v>43906</v>
      </c>
      <c r="B25" s="354">
        <v>32</v>
      </c>
      <c r="C25" s="354">
        <v>85</v>
      </c>
      <c r="D25" s="354">
        <v>85</v>
      </c>
      <c r="E25" s="354"/>
      <c r="F25" s="354">
        <v>70773.11</v>
      </c>
      <c r="G25" s="354">
        <f t="shared" si="0"/>
        <v>84.7</v>
      </c>
      <c r="H25" s="114">
        <f>Gen!C26</f>
        <v>5.1900000000000002E-2</v>
      </c>
      <c r="I25" s="6">
        <f t="shared" si="2"/>
        <v>1363643.7379576107</v>
      </c>
      <c r="J25" s="119">
        <f t="shared" si="1"/>
        <v>6.211299743645574E-5</v>
      </c>
    </row>
    <row r="26" spans="1:14" ht="18.75">
      <c r="A26" s="97">
        <f>Gen!B27</f>
        <v>43907</v>
      </c>
      <c r="B26" s="354">
        <v>31</v>
      </c>
      <c r="C26" s="354">
        <v>85</v>
      </c>
      <c r="D26" s="354">
        <v>66</v>
      </c>
      <c r="E26" s="354"/>
      <c r="F26" s="354">
        <v>70791.3</v>
      </c>
      <c r="G26" s="354">
        <f t="shared" si="0"/>
        <v>80.036000000010247</v>
      </c>
      <c r="H26" s="114">
        <f>Gen!C27</f>
        <v>2.5999999999999999E-2</v>
      </c>
      <c r="I26" s="6">
        <f t="shared" si="2"/>
        <v>2722742.307692308</v>
      </c>
      <c r="J26" s="119">
        <f t="shared" si="1"/>
        <v>2.9395363554564843E-5</v>
      </c>
    </row>
    <row r="27" spans="1:14" ht="18.75">
      <c r="A27" s="97">
        <f>Gen!B28</f>
        <v>43908</v>
      </c>
      <c r="B27" s="354">
        <v>30</v>
      </c>
      <c r="C27" s="354">
        <v>85</v>
      </c>
      <c r="D27" s="354">
        <v>66</v>
      </c>
      <c r="E27" s="354"/>
      <c r="F27" s="354">
        <v>70809.41</v>
      </c>
      <c r="G27" s="354">
        <f t="shared" si="0"/>
        <v>79.68400000000257</v>
      </c>
      <c r="H27" s="114">
        <f>Gen!C28</f>
        <v>5.1900000000000002E-2</v>
      </c>
      <c r="I27" s="6">
        <f t="shared" si="2"/>
        <v>1364343.1599229288</v>
      </c>
      <c r="J27" s="119">
        <f t="shared" si="1"/>
        <v>5.8404661188394778E-5</v>
      </c>
    </row>
    <row r="28" spans="1:14" ht="18.75">
      <c r="A28" s="97">
        <f>Gen!B29</f>
        <v>43909</v>
      </c>
      <c r="B28" s="354">
        <v>28</v>
      </c>
      <c r="C28" s="354">
        <v>85</v>
      </c>
      <c r="D28" s="354">
        <v>66</v>
      </c>
      <c r="E28" s="354"/>
      <c r="F28" s="354">
        <v>70825</v>
      </c>
      <c r="G28" s="354">
        <f t="shared" si="0"/>
        <v>68.595999999984642</v>
      </c>
      <c r="H28" s="114">
        <f>Gen!C29</f>
        <v>0.02</v>
      </c>
      <c r="I28" s="6">
        <f t="shared" si="2"/>
        <v>3541250</v>
      </c>
      <c r="J28" s="119">
        <f t="shared" si="1"/>
        <v>1.9370561242494779E-5</v>
      </c>
    </row>
    <row r="29" spans="1:14" ht="18.75">
      <c r="A29" s="97">
        <f>Gen!B30</f>
        <v>43910</v>
      </c>
      <c r="B29" s="354">
        <v>26</v>
      </c>
      <c r="C29" s="354">
        <v>85</v>
      </c>
      <c r="D29" s="354">
        <v>66</v>
      </c>
      <c r="E29" s="354"/>
      <c r="F29" s="354">
        <v>70843.47</v>
      </c>
      <c r="G29" s="354">
        <f t="shared" si="0"/>
        <v>81.268000000005131</v>
      </c>
      <c r="H29" s="114">
        <f>Gen!C30</f>
        <v>0.02</v>
      </c>
      <c r="I29" s="6">
        <f t="shared" ref="I29:I41" si="3">SUM(F29/H29)</f>
        <v>3542173.5</v>
      </c>
      <c r="J29" s="119">
        <f t="shared" si="1"/>
        <v>2.2942975548771151E-5</v>
      </c>
    </row>
    <row r="30" spans="1:14" ht="18.75">
      <c r="A30" s="97">
        <f>Gen!B31</f>
        <v>43911</v>
      </c>
      <c r="B30" s="354">
        <v>25</v>
      </c>
      <c r="C30" s="354">
        <v>85</v>
      </c>
      <c r="D30" s="354">
        <v>66</v>
      </c>
      <c r="E30" s="354"/>
      <c r="F30" s="354">
        <v>70854.539999999994</v>
      </c>
      <c r="G30" s="354">
        <f t="shared" si="0"/>
        <v>48.707999999966709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>
        <v>24</v>
      </c>
      <c r="C31" s="354">
        <v>85</v>
      </c>
      <c r="D31" s="354">
        <v>66</v>
      </c>
      <c r="E31" s="354"/>
      <c r="F31" s="354">
        <v>70865.3</v>
      </c>
      <c r="G31" s="354">
        <f t="shared" si="0"/>
        <v>47.344000000040985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>
        <v>23</v>
      </c>
      <c r="C32" s="354">
        <v>85</v>
      </c>
      <c r="D32" s="354">
        <v>66</v>
      </c>
      <c r="E32" s="354"/>
      <c r="F32" s="354">
        <v>70879.48</v>
      </c>
      <c r="G32" s="354">
        <f t="shared" si="0"/>
        <v>62.391999999969272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>
        <v>21</v>
      </c>
      <c r="C33" s="354">
        <v>85</v>
      </c>
      <c r="D33" s="354">
        <v>66</v>
      </c>
      <c r="E33" s="354"/>
      <c r="F33" s="354">
        <v>70893.039999999994</v>
      </c>
      <c r="G33" s="354">
        <f t="shared" si="0"/>
        <v>59.663999999989763</v>
      </c>
      <c r="H33" s="114">
        <f>Gen!C34</f>
        <v>0.02</v>
      </c>
      <c r="I33" s="6">
        <f t="shared" si="3"/>
        <v>3544651.9999999995</v>
      </c>
      <c r="J33" s="119">
        <f t="shared" si="1"/>
        <v>1.683211779322477E-5</v>
      </c>
    </row>
    <row r="34" spans="1:10" ht="18.75">
      <c r="A34" s="97">
        <f>Gen!B35</f>
        <v>43915</v>
      </c>
      <c r="B34" s="354">
        <v>20</v>
      </c>
      <c r="C34" s="354">
        <v>85</v>
      </c>
      <c r="D34" s="354">
        <v>66</v>
      </c>
      <c r="E34" s="354"/>
      <c r="F34" s="354">
        <v>70900.34</v>
      </c>
      <c r="G34" s="354">
        <f t="shared" si="0"/>
        <v>32.120000000012809</v>
      </c>
      <c r="H34" s="114">
        <f>Gen!C35</f>
        <v>0.02</v>
      </c>
      <c r="I34" s="6">
        <f t="shared" si="3"/>
        <v>3545016.9999999995</v>
      </c>
      <c r="J34" s="119">
        <f t="shared" si="1"/>
        <v>9.060605351120408E-6</v>
      </c>
    </row>
    <row r="35" spans="1:10" ht="18.75">
      <c r="A35" s="97">
        <f>Gen!B36</f>
        <v>43916</v>
      </c>
      <c r="B35" s="354">
        <v>19</v>
      </c>
      <c r="C35" s="354">
        <v>85</v>
      </c>
      <c r="D35" s="354">
        <v>66</v>
      </c>
      <c r="E35" s="354"/>
      <c r="F35" s="354">
        <v>70916.94</v>
      </c>
      <c r="G35" s="354">
        <f t="shared" si="0"/>
        <v>73.040000000025614</v>
      </c>
      <c r="H35" s="114">
        <f>Gen!C36</f>
        <v>0.02</v>
      </c>
      <c r="I35" s="6">
        <f t="shared" si="3"/>
        <v>3545847</v>
      </c>
      <c r="J35" s="119">
        <f t="shared" si="1"/>
        <v>2.0598745518355872E-5</v>
      </c>
    </row>
    <row r="36" spans="1:10" ht="18.75">
      <c r="A36" s="97">
        <f>Gen!B37</f>
        <v>43917</v>
      </c>
      <c r="B36" s="354">
        <v>18</v>
      </c>
      <c r="C36" s="354">
        <v>85</v>
      </c>
      <c r="D36" s="354">
        <v>66</v>
      </c>
      <c r="E36" s="354"/>
      <c r="F36" s="354">
        <v>70923.63</v>
      </c>
      <c r="G36" s="354">
        <f t="shared" si="0"/>
        <v>29.436000000010246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>
        <v>16</v>
      </c>
      <c r="C37" s="354">
        <v>85</v>
      </c>
      <c r="D37" s="354">
        <v>66</v>
      </c>
      <c r="E37" s="354"/>
      <c r="F37" s="354">
        <v>70929.33</v>
      </c>
      <c r="G37" s="354">
        <f t="shared" si="0"/>
        <v>25.079999999987198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>
        <v>15</v>
      </c>
      <c r="C38" s="354">
        <v>85</v>
      </c>
      <c r="D38" s="354">
        <v>66</v>
      </c>
      <c r="E38" s="354"/>
      <c r="F38" s="354">
        <v>70935</v>
      </c>
      <c r="G38" s="354">
        <f t="shared" si="0"/>
        <v>24.947999999992319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-312114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21" t="s">
        <v>6</v>
      </c>
      <c r="D42" s="821"/>
      <c r="E42" s="2">
        <f t="shared" ref="E42:F42" si="4">SUM(E10:E40)</f>
        <v>320</v>
      </c>
      <c r="F42" s="2">
        <f t="shared" si="4"/>
        <v>2050819.6300000004</v>
      </c>
      <c r="G42" s="104">
        <f>SUM(G10:G40)</f>
        <v>-309636.8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22" zoomScale="94" zoomScaleNormal="94" workbookViewId="0">
      <pane xSplit="1" topLeftCell="S1" activePane="topRight" state="frozen"/>
      <selection pane="topRight" activeCell="AL35" sqref="AL3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6" t="s">
        <v>313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47"/>
      <c r="AJ1" s="847"/>
      <c r="AK1" s="847"/>
      <c r="AL1" s="847"/>
      <c r="AM1" s="847"/>
      <c r="AN1" s="847"/>
    </row>
    <row r="2" spans="1:40" ht="13.5" customHeight="1" thickTop="1">
      <c r="A2" s="30"/>
      <c r="B2" s="30"/>
      <c r="C2" s="845" t="s">
        <v>53</v>
      </c>
      <c r="D2" s="845"/>
      <c r="E2" s="845"/>
      <c r="F2" s="845" t="s">
        <v>17</v>
      </c>
      <c r="G2" s="845"/>
      <c r="H2" s="845"/>
      <c r="I2" s="845" t="s">
        <v>132</v>
      </c>
      <c r="J2" s="845"/>
      <c r="K2" s="845"/>
      <c r="L2" s="845" t="s">
        <v>135</v>
      </c>
      <c r="M2" s="845"/>
      <c r="N2" s="845"/>
      <c r="O2" s="845" t="s">
        <v>133</v>
      </c>
      <c r="P2" s="845"/>
      <c r="Q2" s="845"/>
      <c r="R2" s="334"/>
      <c r="S2" s="854" t="s">
        <v>183</v>
      </c>
      <c r="T2" s="855"/>
      <c r="U2" s="856"/>
      <c r="V2" s="854" t="s">
        <v>184</v>
      </c>
      <c r="W2" s="855"/>
      <c r="X2" s="856"/>
      <c r="Y2" s="854" t="s">
        <v>185</v>
      </c>
      <c r="Z2" s="855"/>
      <c r="AA2" s="856"/>
      <c r="AB2" s="854" t="s">
        <v>186</v>
      </c>
      <c r="AC2" s="855"/>
      <c r="AD2" s="856"/>
      <c r="AE2" s="848" t="s">
        <v>240</v>
      </c>
      <c r="AF2" s="849"/>
      <c r="AG2" s="860"/>
      <c r="AH2" s="848" t="s">
        <v>244</v>
      </c>
      <c r="AI2" s="849"/>
      <c r="AJ2" s="860"/>
      <c r="AK2" s="848" t="s">
        <v>241</v>
      </c>
      <c r="AL2" s="849"/>
      <c r="AM2" s="849"/>
      <c r="AN2" s="852" t="s">
        <v>191</v>
      </c>
    </row>
    <row r="3" spans="1:40" ht="21.75" customHeight="1" thickBot="1">
      <c r="A3" s="843" t="s">
        <v>7</v>
      </c>
      <c r="B3" s="30"/>
      <c r="C3" s="845" t="s">
        <v>134</v>
      </c>
      <c r="D3" s="845" t="s">
        <v>15</v>
      </c>
      <c r="E3" s="845" t="s">
        <v>16</v>
      </c>
      <c r="F3" s="845" t="s">
        <v>134</v>
      </c>
      <c r="G3" s="845" t="s">
        <v>15</v>
      </c>
      <c r="H3" s="845" t="s">
        <v>16</v>
      </c>
      <c r="I3" s="845" t="s">
        <v>134</v>
      </c>
      <c r="J3" s="845" t="s">
        <v>15</v>
      </c>
      <c r="K3" s="845" t="s">
        <v>16</v>
      </c>
      <c r="L3" s="845" t="s">
        <v>134</v>
      </c>
      <c r="M3" s="845" t="s">
        <v>15</v>
      </c>
      <c r="N3" s="845" t="s">
        <v>16</v>
      </c>
      <c r="O3" s="845" t="s">
        <v>134</v>
      </c>
      <c r="P3" s="845" t="s">
        <v>15</v>
      </c>
      <c r="Q3" s="845" t="s">
        <v>16</v>
      </c>
      <c r="R3" s="862" t="s">
        <v>187</v>
      </c>
      <c r="S3" s="857"/>
      <c r="T3" s="858"/>
      <c r="U3" s="859"/>
      <c r="V3" s="857"/>
      <c r="W3" s="858"/>
      <c r="X3" s="859"/>
      <c r="Y3" s="857"/>
      <c r="Z3" s="858"/>
      <c r="AA3" s="859"/>
      <c r="AB3" s="857"/>
      <c r="AC3" s="858"/>
      <c r="AD3" s="859"/>
      <c r="AE3" s="850"/>
      <c r="AF3" s="851"/>
      <c r="AG3" s="861"/>
      <c r="AH3" s="850"/>
      <c r="AI3" s="851"/>
      <c r="AJ3" s="861"/>
      <c r="AK3" s="850"/>
      <c r="AL3" s="851"/>
      <c r="AM3" s="851"/>
      <c r="AN3" s="853"/>
    </row>
    <row r="4" spans="1:40" ht="15.75" thickTop="1">
      <c r="A4" s="844"/>
      <c r="B4" s="326"/>
      <c r="C4" s="845"/>
      <c r="D4" s="845"/>
      <c r="E4" s="845"/>
      <c r="F4" s="845"/>
      <c r="G4" s="845"/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62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8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8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38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38">
        <v>12982</v>
      </c>
      <c r="AD5" s="342"/>
      <c r="AE5" s="327" t="str">
        <f t="shared" ref="AE5:AE37" si="13">AF4</f>
        <v>FINAL</v>
      </c>
      <c r="AF5" s="739">
        <v>16558</v>
      </c>
      <c r="AG5" s="342"/>
      <c r="AH5" s="327" t="str">
        <f t="shared" ref="AH5:AH37" si="14">AI4</f>
        <v>FINAL</v>
      </c>
      <c r="AI5" s="739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7823</v>
      </c>
      <c r="J6" s="1">
        <v>7826</v>
      </c>
      <c r="K6" s="638">
        <f t="shared" si="5"/>
        <v>3</v>
      </c>
      <c r="L6" s="98">
        <f t="shared" si="6"/>
        <v>11787</v>
      </c>
      <c r="M6" s="1">
        <v>11850</v>
      </c>
      <c r="N6" s="638">
        <f t="shared" si="7"/>
        <v>63</v>
      </c>
      <c r="O6" s="98">
        <f t="shared" si="8"/>
        <v>19909</v>
      </c>
      <c r="P6" s="515">
        <v>19920</v>
      </c>
      <c r="Q6" s="638">
        <f t="shared" si="9"/>
        <v>11</v>
      </c>
      <c r="R6" s="332"/>
      <c r="S6" s="327">
        <f t="shared" ref="S6:S24" si="16">T5</f>
        <v>49970</v>
      </c>
      <c r="T6" s="516">
        <v>50028</v>
      </c>
      <c r="U6" s="639">
        <f t="shared" ref="U6:U37" si="17">IF((T6-T5)&lt;0,"0",(T6-T5))</f>
        <v>58</v>
      </c>
      <c r="V6" s="327">
        <f t="shared" si="10"/>
        <v>70354</v>
      </c>
      <c r="W6" s="516">
        <v>70396</v>
      </c>
      <c r="X6" s="639">
        <f t="shared" ref="X6:X37" si="18">IF((W6-W5)&lt;0,"0",(W6-W5))</f>
        <v>42</v>
      </c>
      <c r="Y6" s="327">
        <f t="shared" si="11"/>
        <v>79563</v>
      </c>
      <c r="Z6" s="516">
        <v>79631</v>
      </c>
      <c r="AA6" s="639">
        <f t="shared" ref="AA6:AA37" si="19">IF((Z6-Z5)&lt;0,"0",(Z6-Z5))</f>
        <v>68</v>
      </c>
      <c r="AB6" s="327">
        <f t="shared" si="12"/>
        <v>12982</v>
      </c>
      <c r="AC6" s="642">
        <v>12996</v>
      </c>
      <c r="AD6" s="639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39">
        <f t="shared" ref="AG6:AG37" si="21">IF((AF6-AF5)&lt;0,"0",(AF6-AF5))</f>
        <v>24</v>
      </c>
      <c r="AH6" s="327">
        <f t="shared" si="14"/>
        <v>24349</v>
      </c>
      <c r="AI6" s="739">
        <v>24349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7826</v>
      </c>
      <c r="J7" s="1">
        <v>7829</v>
      </c>
      <c r="K7" s="638">
        <f t="shared" si="5"/>
        <v>3</v>
      </c>
      <c r="L7" s="98">
        <f t="shared" si="6"/>
        <v>11850</v>
      </c>
      <c r="M7" s="1">
        <v>11850</v>
      </c>
      <c r="N7" s="638">
        <f t="shared" si="7"/>
        <v>0</v>
      </c>
      <c r="O7" s="98">
        <f t="shared" si="8"/>
        <v>19920</v>
      </c>
      <c r="P7" s="515">
        <v>19929</v>
      </c>
      <c r="Q7" s="638">
        <f t="shared" si="9"/>
        <v>9</v>
      </c>
      <c r="R7" s="332"/>
      <c r="S7" s="327">
        <f t="shared" si="16"/>
        <v>50028</v>
      </c>
      <c r="T7" s="516">
        <v>50087</v>
      </c>
      <c r="U7" s="639">
        <f t="shared" si="17"/>
        <v>59</v>
      </c>
      <c r="V7" s="327">
        <f t="shared" si="10"/>
        <v>70396</v>
      </c>
      <c r="W7" s="516">
        <v>70448</v>
      </c>
      <c r="X7" s="639">
        <f t="shared" si="18"/>
        <v>52</v>
      </c>
      <c r="Y7" s="327">
        <f t="shared" si="11"/>
        <v>79631</v>
      </c>
      <c r="Z7" s="516">
        <v>79677</v>
      </c>
      <c r="AA7" s="639">
        <f t="shared" si="19"/>
        <v>46</v>
      </c>
      <c r="AB7" s="327">
        <f t="shared" si="12"/>
        <v>12996</v>
      </c>
      <c r="AC7" s="642">
        <v>13004</v>
      </c>
      <c r="AD7" s="639">
        <f t="shared" si="20"/>
        <v>8</v>
      </c>
      <c r="AE7" s="327">
        <f t="shared" si="13"/>
        <v>16582</v>
      </c>
      <c r="AF7" s="517">
        <v>16608</v>
      </c>
      <c r="AG7" s="639">
        <f t="shared" si="21"/>
        <v>26</v>
      </c>
      <c r="AH7" s="327">
        <f t="shared" si="14"/>
        <v>24349</v>
      </c>
      <c r="AI7" s="739">
        <v>24349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7829</v>
      </c>
      <c r="J8" s="1">
        <v>7831</v>
      </c>
      <c r="K8" s="638">
        <f t="shared" si="5"/>
        <v>2</v>
      </c>
      <c r="L8" s="98">
        <f t="shared" si="6"/>
        <v>11850</v>
      </c>
      <c r="M8" s="1">
        <v>11854</v>
      </c>
      <c r="N8" s="638">
        <f t="shared" si="7"/>
        <v>4</v>
      </c>
      <c r="O8" s="98">
        <f t="shared" si="8"/>
        <v>19929</v>
      </c>
      <c r="P8" s="515">
        <v>19939</v>
      </c>
      <c r="Q8" s="638">
        <f t="shared" si="9"/>
        <v>10</v>
      </c>
      <c r="R8" s="332"/>
      <c r="S8" s="327">
        <f t="shared" si="16"/>
        <v>50087</v>
      </c>
      <c r="T8" s="516">
        <v>50144</v>
      </c>
      <c r="U8" s="639">
        <f t="shared" si="17"/>
        <v>57</v>
      </c>
      <c r="V8" s="327">
        <f t="shared" si="10"/>
        <v>70448</v>
      </c>
      <c r="W8" s="516">
        <v>70514</v>
      </c>
      <c r="X8" s="639">
        <f t="shared" si="18"/>
        <v>66</v>
      </c>
      <c r="Y8" s="327">
        <f t="shared" si="11"/>
        <v>79677</v>
      </c>
      <c r="Z8" s="516">
        <v>79736</v>
      </c>
      <c r="AA8" s="639">
        <f t="shared" si="19"/>
        <v>59</v>
      </c>
      <c r="AB8" s="327">
        <f t="shared" si="12"/>
        <v>13004</v>
      </c>
      <c r="AC8" s="642">
        <v>13018</v>
      </c>
      <c r="AD8" s="639">
        <f t="shared" si="20"/>
        <v>14</v>
      </c>
      <c r="AE8" s="327">
        <f t="shared" si="13"/>
        <v>16608</v>
      </c>
      <c r="AF8" s="517">
        <v>16633</v>
      </c>
      <c r="AG8" s="639">
        <f t="shared" si="21"/>
        <v>25</v>
      </c>
      <c r="AH8" s="327">
        <f t="shared" si="14"/>
        <v>24349</v>
      </c>
      <c r="AI8" s="739">
        <v>24349</v>
      </c>
      <c r="AJ8" s="639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>
        <v>230263</v>
      </c>
      <c r="E9" s="59">
        <f t="shared" si="1"/>
        <v>163</v>
      </c>
      <c r="F9" s="98">
        <f t="shared" si="2"/>
        <v>38000</v>
      </c>
      <c r="G9" s="521">
        <v>38000</v>
      </c>
      <c r="H9" s="638">
        <f t="shared" si="3"/>
        <v>0</v>
      </c>
      <c r="I9" s="98">
        <f t="shared" si="4"/>
        <v>7831</v>
      </c>
      <c r="J9" s="1">
        <v>7835</v>
      </c>
      <c r="K9" s="638">
        <f t="shared" si="5"/>
        <v>4</v>
      </c>
      <c r="L9" s="98">
        <f t="shared" si="6"/>
        <v>11854</v>
      </c>
      <c r="M9" s="1">
        <v>11854</v>
      </c>
      <c r="N9" s="638">
        <f t="shared" si="7"/>
        <v>0</v>
      </c>
      <c r="O9" s="98">
        <f t="shared" si="8"/>
        <v>19939</v>
      </c>
      <c r="P9" s="515">
        <v>19950</v>
      </c>
      <c r="Q9" s="638">
        <f t="shared" si="9"/>
        <v>11</v>
      </c>
      <c r="R9" s="332"/>
      <c r="S9" s="327">
        <f t="shared" si="16"/>
        <v>50144</v>
      </c>
      <c r="T9" s="516">
        <v>50202</v>
      </c>
      <c r="U9" s="639">
        <f t="shared" si="17"/>
        <v>58</v>
      </c>
      <c r="V9" s="327">
        <f t="shared" si="10"/>
        <v>70514</v>
      </c>
      <c r="W9" s="516">
        <v>70575</v>
      </c>
      <c r="X9" s="639">
        <f t="shared" si="18"/>
        <v>61</v>
      </c>
      <c r="Y9" s="327">
        <f t="shared" si="11"/>
        <v>79736</v>
      </c>
      <c r="Z9" s="516">
        <v>79783</v>
      </c>
      <c r="AA9" s="639">
        <f t="shared" si="19"/>
        <v>47</v>
      </c>
      <c r="AB9" s="327">
        <f t="shared" si="12"/>
        <v>13018</v>
      </c>
      <c r="AC9" s="642">
        <v>13029</v>
      </c>
      <c r="AD9" s="639">
        <f t="shared" si="20"/>
        <v>11</v>
      </c>
      <c r="AE9" s="327">
        <f t="shared" si="13"/>
        <v>16633</v>
      </c>
      <c r="AF9" s="517">
        <v>16659</v>
      </c>
      <c r="AG9" s="639">
        <f t="shared" si="21"/>
        <v>26</v>
      </c>
      <c r="AH9" s="327">
        <f t="shared" ref="AH9" si="25">AI9</f>
        <v>24349</v>
      </c>
      <c r="AI9" s="517">
        <v>24349</v>
      </c>
      <c r="AJ9" s="639">
        <f t="shared" si="23"/>
        <v>0</v>
      </c>
      <c r="AK9" s="420">
        <f t="shared" si="15"/>
        <v>15154</v>
      </c>
      <c r="AL9" s="516">
        <v>15154</v>
      </c>
      <c r="AM9" s="639">
        <f t="shared" si="22"/>
        <v>0</v>
      </c>
      <c r="AN9" s="523">
        <f t="shared" si="24"/>
        <v>203</v>
      </c>
    </row>
    <row r="10" spans="1:40" ht="23.1" customHeight="1">
      <c r="A10" s="58">
        <f>Gen!B15</f>
        <v>43895</v>
      </c>
      <c r="B10" s="4"/>
      <c r="C10" s="98">
        <f t="shared" si="0"/>
        <v>230263</v>
      </c>
      <c r="D10" s="1">
        <v>230440</v>
      </c>
      <c r="E10" s="59">
        <f t="shared" si="1"/>
        <v>177</v>
      </c>
      <c r="F10" s="98">
        <f t="shared" si="2"/>
        <v>38000</v>
      </c>
      <c r="G10" s="521">
        <v>38000</v>
      </c>
      <c r="H10" s="638">
        <f t="shared" si="3"/>
        <v>0</v>
      </c>
      <c r="I10" s="98">
        <f t="shared" si="4"/>
        <v>7835</v>
      </c>
      <c r="J10" s="1">
        <v>7838</v>
      </c>
      <c r="K10" s="638">
        <f t="shared" si="5"/>
        <v>3</v>
      </c>
      <c r="L10" s="98">
        <f t="shared" si="6"/>
        <v>11854</v>
      </c>
      <c r="M10" s="1">
        <v>11866</v>
      </c>
      <c r="N10" s="638">
        <f t="shared" si="7"/>
        <v>12</v>
      </c>
      <c r="O10" s="98">
        <f t="shared" si="8"/>
        <v>19950</v>
      </c>
      <c r="P10" s="515">
        <v>19968</v>
      </c>
      <c r="Q10" s="638">
        <f t="shared" si="9"/>
        <v>18</v>
      </c>
      <c r="R10" s="332"/>
      <c r="S10" s="327">
        <f t="shared" si="16"/>
        <v>50202</v>
      </c>
      <c r="T10" s="516">
        <v>50265</v>
      </c>
      <c r="U10" s="639">
        <f t="shared" si="17"/>
        <v>63</v>
      </c>
      <c r="V10" s="327">
        <f t="shared" si="10"/>
        <v>70575</v>
      </c>
      <c r="W10" s="516">
        <v>70647</v>
      </c>
      <c r="X10" s="639">
        <f t="shared" si="18"/>
        <v>72</v>
      </c>
      <c r="Y10" s="327">
        <f t="shared" si="11"/>
        <v>79783</v>
      </c>
      <c r="Z10" s="516">
        <v>79844</v>
      </c>
      <c r="AA10" s="639">
        <f t="shared" si="19"/>
        <v>61</v>
      </c>
      <c r="AB10" s="327">
        <f t="shared" si="12"/>
        <v>13029</v>
      </c>
      <c r="AC10" s="643">
        <v>13045</v>
      </c>
      <c r="AD10" s="639">
        <f t="shared" si="20"/>
        <v>16</v>
      </c>
      <c r="AE10" s="327">
        <f t="shared" si="13"/>
        <v>16659</v>
      </c>
      <c r="AF10" s="517">
        <v>16682</v>
      </c>
      <c r="AG10" s="639">
        <f t="shared" si="21"/>
        <v>23</v>
      </c>
      <c r="AH10" s="327">
        <f t="shared" si="14"/>
        <v>24349</v>
      </c>
      <c r="AI10" s="517">
        <v>24349</v>
      </c>
      <c r="AJ10" s="639">
        <f t="shared" si="23"/>
        <v>0</v>
      </c>
      <c r="AK10" s="420">
        <f t="shared" si="15"/>
        <v>15154</v>
      </c>
      <c r="AL10" s="516">
        <v>15154</v>
      </c>
      <c r="AM10" s="639">
        <f t="shared" si="22"/>
        <v>0</v>
      </c>
      <c r="AN10" s="523">
        <f t="shared" si="24"/>
        <v>235</v>
      </c>
    </row>
    <row r="11" spans="1:40" ht="23.1" customHeight="1">
      <c r="A11" s="58">
        <f>Gen!B16</f>
        <v>43896</v>
      </c>
      <c r="B11" s="4"/>
      <c r="C11" s="98">
        <f t="shared" si="0"/>
        <v>230440</v>
      </c>
      <c r="D11" s="1">
        <v>230631</v>
      </c>
      <c r="E11" s="59">
        <f t="shared" si="1"/>
        <v>191</v>
      </c>
      <c r="F11" s="98">
        <f t="shared" si="2"/>
        <v>38000</v>
      </c>
      <c r="G11" s="521">
        <v>38000</v>
      </c>
      <c r="H11" s="638">
        <f t="shared" si="3"/>
        <v>0</v>
      </c>
      <c r="I11" s="98">
        <f t="shared" si="4"/>
        <v>7838</v>
      </c>
      <c r="J11" s="1">
        <v>7842</v>
      </c>
      <c r="K11" s="638">
        <f t="shared" si="5"/>
        <v>4</v>
      </c>
      <c r="L11" s="98">
        <f t="shared" si="6"/>
        <v>11866</v>
      </c>
      <c r="M11" s="1">
        <v>11878</v>
      </c>
      <c r="N11" s="638">
        <f t="shared" si="7"/>
        <v>12</v>
      </c>
      <c r="O11" s="98">
        <f t="shared" si="8"/>
        <v>19968</v>
      </c>
      <c r="P11" s="515">
        <v>19980</v>
      </c>
      <c r="Q11" s="638">
        <f t="shared" si="9"/>
        <v>12</v>
      </c>
      <c r="R11" s="332"/>
      <c r="S11" s="327">
        <f t="shared" si="16"/>
        <v>50265</v>
      </c>
      <c r="T11" s="516">
        <v>50321</v>
      </c>
      <c r="U11" s="639">
        <f t="shared" si="17"/>
        <v>56</v>
      </c>
      <c r="V11" s="327">
        <f t="shared" si="10"/>
        <v>70647</v>
      </c>
      <c r="W11" s="516">
        <v>70713</v>
      </c>
      <c r="X11" s="639">
        <f t="shared" si="18"/>
        <v>66</v>
      </c>
      <c r="Y11" s="327">
        <f t="shared" si="11"/>
        <v>79844</v>
      </c>
      <c r="Z11" s="516">
        <v>79906</v>
      </c>
      <c r="AA11" s="639">
        <f t="shared" si="19"/>
        <v>62</v>
      </c>
      <c r="AB11" s="327">
        <f t="shared" si="12"/>
        <v>13045</v>
      </c>
      <c r="AC11" s="643">
        <v>13060</v>
      </c>
      <c r="AD11" s="639">
        <f t="shared" si="20"/>
        <v>15</v>
      </c>
      <c r="AE11" s="327">
        <f t="shared" si="13"/>
        <v>16682</v>
      </c>
      <c r="AF11" s="517">
        <v>16707</v>
      </c>
      <c r="AG11" s="639">
        <f t="shared" si="21"/>
        <v>25</v>
      </c>
      <c r="AH11" s="327">
        <f t="shared" si="14"/>
        <v>24349</v>
      </c>
      <c r="AI11" s="517">
        <v>24349</v>
      </c>
      <c r="AJ11" s="639">
        <f t="shared" si="23"/>
        <v>0</v>
      </c>
      <c r="AK11" s="420">
        <f t="shared" si="15"/>
        <v>15154</v>
      </c>
      <c r="AL11" s="516">
        <v>15154</v>
      </c>
      <c r="AM11" s="639">
        <f t="shared" si="22"/>
        <v>0</v>
      </c>
      <c r="AN11" s="523">
        <f t="shared" si="24"/>
        <v>224</v>
      </c>
    </row>
    <row r="12" spans="1:40" ht="23.1" customHeight="1">
      <c r="A12" s="58">
        <f>Gen!B17</f>
        <v>43897</v>
      </c>
      <c r="B12" s="4"/>
      <c r="C12" s="98">
        <f t="shared" si="0"/>
        <v>230631</v>
      </c>
      <c r="D12" s="1">
        <v>230799</v>
      </c>
      <c r="E12" s="59">
        <f t="shared" si="1"/>
        <v>168</v>
      </c>
      <c r="F12" s="98">
        <f t="shared" si="2"/>
        <v>38000</v>
      </c>
      <c r="G12" s="521">
        <v>38000</v>
      </c>
      <c r="H12" s="638">
        <f t="shared" si="3"/>
        <v>0</v>
      </c>
      <c r="I12" s="98">
        <f t="shared" si="4"/>
        <v>7842</v>
      </c>
      <c r="J12" s="1">
        <v>7845</v>
      </c>
      <c r="K12" s="638">
        <f t="shared" si="5"/>
        <v>3</v>
      </c>
      <c r="L12" s="98">
        <f t="shared" si="6"/>
        <v>11878</v>
      </c>
      <c r="M12" s="1">
        <v>11893</v>
      </c>
      <c r="N12" s="638">
        <f t="shared" si="7"/>
        <v>15</v>
      </c>
      <c r="O12" s="98">
        <f t="shared" si="8"/>
        <v>19980</v>
      </c>
      <c r="P12" s="515">
        <v>19992</v>
      </c>
      <c r="Q12" s="638">
        <f t="shared" si="9"/>
        <v>12</v>
      </c>
      <c r="R12" s="332"/>
      <c r="S12" s="327">
        <f t="shared" si="16"/>
        <v>50321</v>
      </c>
      <c r="T12" s="516">
        <v>50378</v>
      </c>
      <c r="U12" s="639">
        <f t="shared" si="17"/>
        <v>57</v>
      </c>
      <c r="V12" s="327">
        <f t="shared" si="10"/>
        <v>70713</v>
      </c>
      <c r="W12" s="516">
        <v>70769</v>
      </c>
      <c r="X12" s="639">
        <f t="shared" si="18"/>
        <v>56</v>
      </c>
      <c r="Y12" s="327">
        <f t="shared" si="11"/>
        <v>79906</v>
      </c>
      <c r="Z12" s="516">
        <v>79935</v>
      </c>
      <c r="AA12" s="639">
        <f t="shared" si="19"/>
        <v>29</v>
      </c>
      <c r="AB12" s="327">
        <f t="shared" si="12"/>
        <v>13060</v>
      </c>
      <c r="AC12" s="643">
        <v>13072</v>
      </c>
      <c r="AD12" s="639">
        <f t="shared" si="20"/>
        <v>12</v>
      </c>
      <c r="AE12" s="327">
        <f t="shared" si="13"/>
        <v>16707</v>
      </c>
      <c r="AF12" s="517">
        <v>16730</v>
      </c>
      <c r="AG12" s="639">
        <f t="shared" si="21"/>
        <v>23</v>
      </c>
      <c r="AH12" s="327">
        <f t="shared" si="14"/>
        <v>24349</v>
      </c>
      <c r="AI12" s="517">
        <v>24349</v>
      </c>
      <c r="AJ12" s="639">
        <f t="shared" si="23"/>
        <v>0</v>
      </c>
      <c r="AK12" s="420">
        <f t="shared" si="15"/>
        <v>15154</v>
      </c>
      <c r="AL12" s="516">
        <v>15154</v>
      </c>
      <c r="AM12" s="639">
        <f t="shared" si="22"/>
        <v>0</v>
      </c>
      <c r="AN12" s="523">
        <f t="shared" si="24"/>
        <v>177</v>
      </c>
    </row>
    <row r="13" spans="1:40" ht="23.1" customHeight="1">
      <c r="A13" s="58">
        <f>Gen!B18</f>
        <v>43898</v>
      </c>
      <c r="B13" s="4"/>
      <c r="C13" s="98">
        <f t="shared" si="0"/>
        <v>230799</v>
      </c>
      <c r="D13" s="1">
        <v>230930</v>
      </c>
      <c r="E13" s="59">
        <f t="shared" si="1"/>
        <v>131</v>
      </c>
      <c r="F13" s="98">
        <f t="shared" si="2"/>
        <v>38000</v>
      </c>
      <c r="G13" s="521">
        <v>38000</v>
      </c>
      <c r="H13" s="638">
        <f t="shared" si="3"/>
        <v>0</v>
      </c>
      <c r="I13" s="98">
        <f t="shared" si="4"/>
        <v>7845</v>
      </c>
      <c r="J13" s="1">
        <v>7848</v>
      </c>
      <c r="K13" s="638">
        <f t="shared" si="5"/>
        <v>3</v>
      </c>
      <c r="L13" s="98">
        <f t="shared" si="6"/>
        <v>11893</v>
      </c>
      <c r="M13" s="1">
        <v>11896</v>
      </c>
      <c r="N13" s="638">
        <f t="shared" si="7"/>
        <v>3</v>
      </c>
      <c r="O13" s="98">
        <f t="shared" si="8"/>
        <v>19992</v>
      </c>
      <c r="P13" s="515">
        <v>20010</v>
      </c>
      <c r="Q13" s="638">
        <f t="shared" si="9"/>
        <v>18</v>
      </c>
      <c r="R13" s="332"/>
      <c r="S13" s="327">
        <f t="shared" si="16"/>
        <v>50378</v>
      </c>
      <c r="T13" s="516">
        <v>50436</v>
      </c>
      <c r="U13" s="639">
        <f t="shared" si="17"/>
        <v>58</v>
      </c>
      <c r="V13" s="327">
        <f t="shared" si="10"/>
        <v>70769</v>
      </c>
      <c r="W13" s="516">
        <v>70831</v>
      </c>
      <c r="X13" s="639">
        <f t="shared" si="18"/>
        <v>62</v>
      </c>
      <c r="Y13" s="327">
        <f t="shared" si="11"/>
        <v>79935</v>
      </c>
      <c r="Z13" s="516">
        <v>79953</v>
      </c>
      <c r="AA13" s="639">
        <f t="shared" si="19"/>
        <v>18</v>
      </c>
      <c r="AB13" s="327">
        <f t="shared" si="12"/>
        <v>13072</v>
      </c>
      <c r="AC13" s="643">
        <v>13086</v>
      </c>
      <c r="AD13" s="639">
        <f t="shared" si="20"/>
        <v>14</v>
      </c>
      <c r="AE13" s="327">
        <f>AF12</f>
        <v>16730</v>
      </c>
      <c r="AF13" s="517">
        <v>16754</v>
      </c>
      <c r="AG13" s="639">
        <f t="shared" si="21"/>
        <v>24</v>
      </c>
      <c r="AH13" s="327">
        <f t="shared" si="14"/>
        <v>24349</v>
      </c>
      <c r="AI13" s="517">
        <v>24349</v>
      </c>
      <c r="AJ13" s="639">
        <f t="shared" si="23"/>
        <v>0</v>
      </c>
      <c r="AK13" s="420">
        <f t="shared" si="15"/>
        <v>15154</v>
      </c>
      <c r="AL13" s="516">
        <v>15154</v>
      </c>
      <c r="AM13" s="639">
        <f t="shared" si="22"/>
        <v>0</v>
      </c>
      <c r="AN13" s="523">
        <f t="shared" si="24"/>
        <v>176</v>
      </c>
    </row>
    <row r="14" spans="1:40" ht="23.1" customHeight="1">
      <c r="A14" s="58">
        <f>Gen!B19</f>
        <v>43899</v>
      </c>
      <c r="B14" s="4"/>
      <c r="C14" s="98">
        <f t="shared" si="0"/>
        <v>230930</v>
      </c>
      <c r="D14" s="1">
        <v>231047</v>
      </c>
      <c r="E14" s="59">
        <f t="shared" si="1"/>
        <v>117</v>
      </c>
      <c r="F14" s="98">
        <f t="shared" si="2"/>
        <v>38000</v>
      </c>
      <c r="G14" s="521">
        <v>38000</v>
      </c>
      <c r="H14" s="638">
        <f t="shared" si="3"/>
        <v>0</v>
      </c>
      <c r="I14" s="98">
        <f t="shared" si="4"/>
        <v>7848</v>
      </c>
      <c r="J14" s="1">
        <v>7851</v>
      </c>
      <c r="K14" s="638">
        <f t="shared" si="5"/>
        <v>3</v>
      </c>
      <c r="L14" s="98">
        <f t="shared" si="6"/>
        <v>11896</v>
      </c>
      <c r="M14" s="1">
        <v>11904</v>
      </c>
      <c r="N14" s="638">
        <f t="shared" si="7"/>
        <v>8</v>
      </c>
      <c r="O14" s="98">
        <f t="shared" si="8"/>
        <v>20010</v>
      </c>
      <c r="P14" s="515">
        <v>20019</v>
      </c>
      <c r="Q14" s="638">
        <f t="shared" si="9"/>
        <v>9</v>
      </c>
      <c r="R14" s="332"/>
      <c r="S14" s="327">
        <f t="shared" si="16"/>
        <v>50436</v>
      </c>
      <c r="T14" s="516">
        <v>50491</v>
      </c>
      <c r="U14" s="639">
        <f t="shared" si="17"/>
        <v>55</v>
      </c>
      <c r="V14" s="327">
        <f t="shared" si="10"/>
        <v>70831</v>
      </c>
      <c r="W14" s="516">
        <v>70891</v>
      </c>
      <c r="X14" s="639">
        <f t="shared" si="18"/>
        <v>60</v>
      </c>
      <c r="Y14" s="327">
        <f t="shared" si="11"/>
        <v>79953</v>
      </c>
      <c r="Z14" s="516">
        <v>80005</v>
      </c>
      <c r="AA14" s="639">
        <f t="shared" si="19"/>
        <v>52</v>
      </c>
      <c r="AB14" s="327">
        <f t="shared" si="12"/>
        <v>13086</v>
      </c>
      <c r="AC14" s="643">
        <v>13099</v>
      </c>
      <c r="AD14" s="639">
        <f t="shared" si="20"/>
        <v>13</v>
      </c>
      <c r="AE14" s="327">
        <f t="shared" si="13"/>
        <v>16754</v>
      </c>
      <c r="AF14" s="517">
        <v>16780</v>
      </c>
      <c r="AG14" s="639">
        <f t="shared" si="21"/>
        <v>26</v>
      </c>
      <c r="AH14" s="327">
        <f t="shared" si="14"/>
        <v>24349</v>
      </c>
      <c r="AI14" s="517">
        <v>24349</v>
      </c>
      <c r="AJ14" s="639">
        <f t="shared" si="23"/>
        <v>0</v>
      </c>
      <c r="AK14" s="420">
        <f t="shared" si="15"/>
        <v>15154</v>
      </c>
      <c r="AL14" s="516">
        <v>15154</v>
      </c>
      <c r="AM14" s="639">
        <f t="shared" si="22"/>
        <v>0</v>
      </c>
      <c r="AN14" s="523">
        <f t="shared" si="24"/>
        <v>206</v>
      </c>
    </row>
    <row r="15" spans="1:40" ht="23.1" customHeight="1">
      <c r="A15" s="58">
        <f>Gen!B20</f>
        <v>43900</v>
      </c>
      <c r="B15" s="4"/>
      <c r="C15" s="98">
        <f t="shared" si="0"/>
        <v>231047</v>
      </c>
      <c r="D15" s="1">
        <v>231176</v>
      </c>
      <c r="E15" s="59">
        <f t="shared" si="1"/>
        <v>129</v>
      </c>
      <c r="F15" s="98">
        <f t="shared" si="2"/>
        <v>38000</v>
      </c>
      <c r="G15" s="521">
        <v>38000</v>
      </c>
      <c r="H15" s="638">
        <f t="shared" si="3"/>
        <v>0</v>
      </c>
      <c r="I15" s="98">
        <f t="shared" si="4"/>
        <v>7851</v>
      </c>
      <c r="J15" s="1">
        <v>7854</v>
      </c>
      <c r="K15" s="638">
        <f t="shared" si="5"/>
        <v>3</v>
      </c>
      <c r="L15" s="98">
        <f t="shared" si="6"/>
        <v>11904</v>
      </c>
      <c r="M15" s="1">
        <v>11926</v>
      </c>
      <c r="N15" s="638">
        <f t="shared" si="7"/>
        <v>22</v>
      </c>
      <c r="O15" s="98">
        <f t="shared" si="8"/>
        <v>20019</v>
      </c>
      <c r="P15" s="515">
        <v>20029</v>
      </c>
      <c r="Q15" s="638">
        <f t="shared" si="9"/>
        <v>10</v>
      </c>
      <c r="R15" s="332"/>
      <c r="S15" s="327">
        <f t="shared" si="16"/>
        <v>50491</v>
      </c>
      <c r="T15" s="516">
        <v>50550</v>
      </c>
      <c r="U15" s="639">
        <f t="shared" si="17"/>
        <v>59</v>
      </c>
      <c r="V15" s="327">
        <f t="shared" si="10"/>
        <v>70891</v>
      </c>
      <c r="W15" s="516">
        <v>70954</v>
      </c>
      <c r="X15" s="639">
        <f t="shared" si="18"/>
        <v>63</v>
      </c>
      <c r="Y15" s="327">
        <f t="shared" si="11"/>
        <v>80005</v>
      </c>
      <c r="Z15" s="516">
        <v>80052</v>
      </c>
      <c r="AA15" s="639">
        <f t="shared" si="19"/>
        <v>47</v>
      </c>
      <c r="AB15" s="327">
        <f t="shared" si="12"/>
        <v>13099</v>
      </c>
      <c r="AC15" s="643">
        <v>13113</v>
      </c>
      <c r="AD15" s="639">
        <f t="shared" si="20"/>
        <v>14</v>
      </c>
      <c r="AE15" s="327">
        <f t="shared" si="13"/>
        <v>16780</v>
      </c>
      <c r="AF15" s="517">
        <v>16805</v>
      </c>
      <c r="AG15" s="639">
        <f t="shared" si="21"/>
        <v>25</v>
      </c>
      <c r="AH15" s="327">
        <f t="shared" si="14"/>
        <v>24349</v>
      </c>
      <c r="AI15" s="517">
        <v>24349</v>
      </c>
      <c r="AJ15" s="639">
        <f t="shared" si="23"/>
        <v>0</v>
      </c>
      <c r="AK15" s="420">
        <f t="shared" si="15"/>
        <v>15154</v>
      </c>
      <c r="AL15" s="516">
        <v>15154</v>
      </c>
      <c r="AM15" s="639">
        <f t="shared" si="22"/>
        <v>0</v>
      </c>
      <c r="AN15" s="523">
        <f t="shared" si="24"/>
        <v>208</v>
      </c>
    </row>
    <row r="16" spans="1:40" ht="23.1" customHeight="1">
      <c r="A16" s="58">
        <f>Gen!B21</f>
        <v>43901</v>
      </c>
      <c r="B16" s="4"/>
      <c r="C16" s="98">
        <f t="shared" si="0"/>
        <v>231176</v>
      </c>
      <c r="D16" s="1">
        <v>231275</v>
      </c>
      <c r="E16" s="59">
        <f t="shared" si="1"/>
        <v>99</v>
      </c>
      <c r="F16" s="98">
        <f t="shared" si="2"/>
        <v>38000</v>
      </c>
      <c r="G16" s="521">
        <v>38000</v>
      </c>
      <c r="H16" s="638">
        <f t="shared" si="3"/>
        <v>0</v>
      </c>
      <c r="I16" s="98">
        <f t="shared" si="4"/>
        <v>7854</v>
      </c>
      <c r="J16" s="1">
        <v>7857</v>
      </c>
      <c r="K16" s="638">
        <f t="shared" si="5"/>
        <v>3</v>
      </c>
      <c r="L16" s="98"/>
      <c r="M16" s="1">
        <v>11928</v>
      </c>
      <c r="N16" s="638">
        <f t="shared" si="7"/>
        <v>2</v>
      </c>
      <c r="O16" s="98">
        <f t="shared" si="8"/>
        <v>20029</v>
      </c>
      <c r="P16" s="515">
        <v>20041</v>
      </c>
      <c r="Q16" s="638">
        <f t="shared" si="9"/>
        <v>12</v>
      </c>
      <c r="R16" s="332"/>
      <c r="S16" s="327">
        <f t="shared" si="16"/>
        <v>50550</v>
      </c>
      <c r="T16" s="516">
        <v>50615</v>
      </c>
      <c r="U16" s="639">
        <f t="shared" si="17"/>
        <v>65</v>
      </c>
      <c r="V16" s="327">
        <f t="shared" si="10"/>
        <v>70954</v>
      </c>
      <c r="W16" s="516">
        <v>70983</v>
      </c>
      <c r="X16" s="639">
        <f t="shared" si="18"/>
        <v>29</v>
      </c>
      <c r="Y16" s="327">
        <f t="shared" si="11"/>
        <v>80052</v>
      </c>
      <c r="Z16" s="516">
        <v>80106</v>
      </c>
      <c r="AA16" s="639">
        <f t="shared" si="19"/>
        <v>54</v>
      </c>
      <c r="AB16" s="327">
        <f t="shared" si="12"/>
        <v>13113</v>
      </c>
      <c r="AC16" s="643">
        <v>13126</v>
      </c>
      <c r="AD16" s="639">
        <f t="shared" si="20"/>
        <v>13</v>
      </c>
      <c r="AE16" s="327">
        <f t="shared" si="13"/>
        <v>16805</v>
      </c>
      <c r="AF16" s="517">
        <v>16829</v>
      </c>
      <c r="AG16" s="639">
        <f t="shared" si="21"/>
        <v>24</v>
      </c>
      <c r="AH16" s="327">
        <f t="shared" si="14"/>
        <v>24349</v>
      </c>
      <c r="AI16" s="517">
        <v>24349</v>
      </c>
      <c r="AJ16" s="639">
        <f t="shared" si="23"/>
        <v>0</v>
      </c>
      <c r="AK16" s="420">
        <f t="shared" si="15"/>
        <v>15154</v>
      </c>
      <c r="AL16" s="516">
        <v>15154</v>
      </c>
      <c r="AM16" s="639">
        <f t="shared" si="22"/>
        <v>0</v>
      </c>
      <c r="AN16" s="523">
        <f t="shared" si="24"/>
        <v>185</v>
      </c>
    </row>
    <row r="17" spans="1:40" ht="23.1" customHeight="1">
      <c r="A17" s="58">
        <f>Gen!B22</f>
        <v>43902</v>
      </c>
      <c r="B17" s="4"/>
      <c r="C17" s="98">
        <f t="shared" si="0"/>
        <v>231275</v>
      </c>
      <c r="D17" s="1">
        <v>231352</v>
      </c>
      <c r="E17" s="638">
        <f>IF((D17-D16)&lt;0,"0",(D17-D16))</f>
        <v>77</v>
      </c>
      <c r="F17" s="98">
        <f t="shared" si="2"/>
        <v>38000</v>
      </c>
      <c r="G17" s="521">
        <v>38000</v>
      </c>
      <c r="H17" s="638">
        <f t="shared" si="3"/>
        <v>0</v>
      </c>
      <c r="I17" s="98">
        <f t="shared" si="4"/>
        <v>7857</v>
      </c>
      <c r="J17" s="1">
        <v>7860</v>
      </c>
      <c r="K17" s="638">
        <f t="shared" si="5"/>
        <v>3</v>
      </c>
      <c r="L17" s="98"/>
      <c r="M17" s="1">
        <v>11928</v>
      </c>
      <c r="N17" s="638">
        <f t="shared" si="7"/>
        <v>0</v>
      </c>
      <c r="O17" s="98">
        <f t="shared" si="8"/>
        <v>20041</v>
      </c>
      <c r="P17" s="515">
        <v>20045</v>
      </c>
      <c r="Q17" s="638">
        <f t="shared" si="9"/>
        <v>4</v>
      </c>
      <c r="R17" s="332"/>
      <c r="S17" s="327">
        <f t="shared" si="16"/>
        <v>50615</v>
      </c>
      <c r="T17" s="516">
        <v>50676</v>
      </c>
      <c r="U17" s="639">
        <f>IF((T17-T16)&lt;0,"0",(T17-T16))</f>
        <v>61</v>
      </c>
      <c r="V17" s="327">
        <f t="shared" si="10"/>
        <v>70983</v>
      </c>
      <c r="W17" s="516">
        <v>71010</v>
      </c>
      <c r="X17" s="639">
        <f>IF((W17-W16)&lt;0,"0",(W17-W16))</f>
        <v>27</v>
      </c>
      <c r="Y17" s="327">
        <f t="shared" si="11"/>
        <v>80106</v>
      </c>
      <c r="Z17" s="516">
        <v>80160</v>
      </c>
      <c r="AA17" s="639">
        <f>IF((Z17-Z16)&lt;0,"0",(Z17-Z16))</f>
        <v>54</v>
      </c>
      <c r="AB17" s="327">
        <f t="shared" si="12"/>
        <v>13126</v>
      </c>
      <c r="AC17" s="643">
        <v>13140</v>
      </c>
      <c r="AD17" s="639">
        <f>IF((AC17-AC16)&lt;0,"0",(AC17-AC16))</f>
        <v>14</v>
      </c>
      <c r="AE17" s="327">
        <f t="shared" si="13"/>
        <v>16829</v>
      </c>
      <c r="AF17" s="517">
        <v>16853</v>
      </c>
      <c r="AG17" s="639">
        <f>IF((AF17-AF16)&lt;0,"0",(AF17-AF16))</f>
        <v>24</v>
      </c>
      <c r="AH17" s="327">
        <f t="shared" si="14"/>
        <v>24349</v>
      </c>
      <c r="AI17" s="517">
        <v>24349</v>
      </c>
      <c r="AJ17" s="639">
        <f t="shared" si="23"/>
        <v>24</v>
      </c>
      <c r="AK17" s="420">
        <f t="shared" si="15"/>
        <v>15154</v>
      </c>
      <c r="AL17" s="516">
        <v>15154</v>
      </c>
      <c r="AM17" s="639">
        <f>IF((AL17-AL16)&lt;0,"0",(AL17-AL16))</f>
        <v>0</v>
      </c>
      <c r="AN17" s="523">
        <f t="shared" si="24"/>
        <v>204</v>
      </c>
    </row>
    <row r="18" spans="1:40" ht="23.1" customHeight="1">
      <c r="A18" s="58">
        <f>Gen!B23</f>
        <v>43903</v>
      </c>
      <c r="B18" s="4"/>
      <c r="C18" s="98">
        <f t="shared" si="0"/>
        <v>231352</v>
      </c>
      <c r="D18" s="1">
        <v>231421</v>
      </c>
      <c r="E18" s="638">
        <f t="shared" ref="E18:E37" si="26">IF((D18-D17)&lt;0,"0",(D18-D17))</f>
        <v>69</v>
      </c>
      <c r="F18" s="98">
        <f t="shared" si="2"/>
        <v>38000</v>
      </c>
      <c r="G18" s="521">
        <v>38000</v>
      </c>
      <c r="H18" s="638">
        <f t="shared" si="3"/>
        <v>0</v>
      </c>
      <c r="I18" s="98"/>
      <c r="J18" s="1">
        <v>7863</v>
      </c>
      <c r="K18" s="638">
        <f t="shared" si="5"/>
        <v>3</v>
      </c>
      <c r="L18" s="98">
        <f t="shared" si="6"/>
        <v>11928</v>
      </c>
      <c r="M18" s="1">
        <v>11928</v>
      </c>
      <c r="N18" s="638">
        <f t="shared" si="7"/>
        <v>0</v>
      </c>
      <c r="O18" s="98">
        <f t="shared" si="8"/>
        <v>20045</v>
      </c>
      <c r="P18" s="515">
        <v>20046</v>
      </c>
      <c r="Q18" s="638">
        <f t="shared" si="9"/>
        <v>1</v>
      </c>
      <c r="R18" s="332"/>
      <c r="S18" s="327">
        <f t="shared" si="16"/>
        <v>50676</v>
      </c>
      <c r="T18" s="516">
        <v>50739</v>
      </c>
      <c r="U18" s="639">
        <f t="shared" si="17"/>
        <v>63</v>
      </c>
      <c r="V18" s="327">
        <f t="shared" si="10"/>
        <v>71010</v>
      </c>
      <c r="W18" s="516">
        <v>71010</v>
      </c>
      <c r="X18" s="639">
        <f t="shared" si="18"/>
        <v>0</v>
      </c>
      <c r="Y18" s="327">
        <f t="shared" si="11"/>
        <v>80160</v>
      </c>
      <c r="Z18" s="516">
        <v>80218</v>
      </c>
      <c r="AA18" s="639">
        <f t="shared" si="19"/>
        <v>58</v>
      </c>
      <c r="AB18" s="327">
        <f t="shared" si="12"/>
        <v>13140</v>
      </c>
      <c r="AC18" s="643">
        <v>13154</v>
      </c>
      <c r="AD18" s="639">
        <f t="shared" si="20"/>
        <v>14</v>
      </c>
      <c r="AE18" s="327">
        <f t="shared" si="13"/>
        <v>16853</v>
      </c>
      <c r="AF18" s="517">
        <v>16876</v>
      </c>
      <c r="AG18" s="639">
        <f t="shared" si="21"/>
        <v>23</v>
      </c>
      <c r="AH18" s="327">
        <f t="shared" si="14"/>
        <v>24349</v>
      </c>
      <c r="AI18" s="517">
        <v>24373</v>
      </c>
      <c r="AJ18" s="639">
        <f t="shared" si="23"/>
        <v>46</v>
      </c>
      <c r="AK18" s="420">
        <f t="shared" si="15"/>
        <v>15154</v>
      </c>
      <c r="AL18" s="516">
        <v>15154</v>
      </c>
      <c r="AM18" s="639">
        <f t="shared" ref="AM18:AM26" si="27">IF((AL18-AL17)&lt;0,"0",(AL18-AL17))</f>
        <v>0</v>
      </c>
      <c r="AN18" s="523">
        <f t="shared" si="24"/>
        <v>204</v>
      </c>
    </row>
    <row r="19" spans="1:40" ht="23.1" customHeight="1">
      <c r="A19" s="58">
        <f>Gen!B24</f>
        <v>43904</v>
      </c>
      <c r="B19" s="4"/>
      <c r="C19" s="98">
        <f t="shared" si="0"/>
        <v>231421</v>
      </c>
      <c r="D19" s="1">
        <v>231493</v>
      </c>
      <c r="E19" s="638">
        <f t="shared" si="26"/>
        <v>72</v>
      </c>
      <c r="F19" s="98">
        <f t="shared" si="2"/>
        <v>38000</v>
      </c>
      <c r="G19" s="521">
        <v>38000</v>
      </c>
      <c r="H19" s="638">
        <f t="shared" si="3"/>
        <v>0</v>
      </c>
      <c r="I19" s="98">
        <f t="shared" si="4"/>
        <v>7863</v>
      </c>
      <c r="J19" s="1">
        <v>7865</v>
      </c>
      <c r="K19" s="638">
        <f t="shared" si="5"/>
        <v>2</v>
      </c>
      <c r="L19" s="98">
        <f t="shared" si="6"/>
        <v>11928</v>
      </c>
      <c r="M19" s="1">
        <v>11932</v>
      </c>
      <c r="N19" s="638">
        <f t="shared" si="7"/>
        <v>4</v>
      </c>
      <c r="O19" s="98">
        <f t="shared" si="8"/>
        <v>20046</v>
      </c>
      <c r="P19" s="515">
        <v>20053</v>
      </c>
      <c r="Q19" s="638">
        <f t="shared" si="9"/>
        <v>7</v>
      </c>
      <c r="R19" s="332"/>
      <c r="S19" s="327">
        <f t="shared" si="16"/>
        <v>50739</v>
      </c>
      <c r="T19" s="516">
        <v>50797</v>
      </c>
      <c r="U19" s="639">
        <f t="shared" si="17"/>
        <v>58</v>
      </c>
      <c r="V19" s="327">
        <f t="shared" si="10"/>
        <v>71010</v>
      </c>
      <c r="W19" s="516">
        <v>71010</v>
      </c>
      <c r="X19" s="639">
        <f t="shared" si="18"/>
        <v>0</v>
      </c>
      <c r="Y19" s="327">
        <f t="shared" si="11"/>
        <v>80218</v>
      </c>
      <c r="Z19" s="516">
        <v>80273</v>
      </c>
      <c r="AA19" s="639">
        <f t="shared" si="19"/>
        <v>55</v>
      </c>
      <c r="AB19" s="327">
        <f t="shared" si="12"/>
        <v>13154</v>
      </c>
      <c r="AC19" s="643">
        <v>13168</v>
      </c>
      <c r="AD19" s="639">
        <f t="shared" si="20"/>
        <v>14</v>
      </c>
      <c r="AE19" s="327">
        <f t="shared" si="13"/>
        <v>16876</v>
      </c>
      <c r="AF19" s="517">
        <v>16903</v>
      </c>
      <c r="AG19" s="639">
        <f t="shared" si="21"/>
        <v>27</v>
      </c>
      <c r="AH19" s="327">
        <f t="shared" si="14"/>
        <v>24373</v>
      </c>
      <c r="AI19" s="517">
        <v>24395</v>
      </c>
      <c r="AJ19" s="639">
        <f t="shared" si="23"/>
        <v>44</v>
      </c>
      <c r="AK19" s="420">
        <f t="shared" si="15"/>
        <v>15154</v>
      </c>
      <c r="AL19" s="516">
        <v>15154</v>
      </c>
      <c r="AM19" s="639">
        <f t="shared" si="27"/>
        <v>0</v>
      </c>
      <c r="AN19" s="523">
        <f t="shared" si="24"/>
        <v>198</v>
      </c>
    </row>
    <row r="20" spans="1:40" ht="23.1" customHeight="1">
      <c r="A20" s="58">
        <f>Gen!B25</f>
        <v>43905</v>
      </c>
      <c r="B20" s="4"/>
      <c r="C20" s="98">
        <f t="shared" si="0"/>
        <v>231493</v>
      </c>
      <c r="D20" s="1">
        <v>231585</v>
      </c>
      <c r="E20" s="638">
        <f t="shared" si="26"/>
        <v>92</v>
      </c>
      <c r="F20" s="98">
        <f t="shared" si="2"/>
        <v>38000</v>
      </c>
      <c r="G20" s="521">
        <v>38000</v>
      </c>
      <c r="H20" s="638">
        <f t="shared" si="3"/>
        <v>0</v>
      </c>
      <c r="I20" s="98">
        <f t="shared" si="4"/>
        <v>7865</v>
      </c>
      <c r="J20" s="1">
        <v>7867</v>
      </c>
      <c r="K20" s="638">
        <f t="shared" si="5"/>
        <v>2</v>
      </c>
      <c r="L20" s="98">
        <f t="shared" si="6"/>
        <v>11932</v>
      </c>
      <c r="M20" s="1">
        <v>11932</v>
      </c>
      <c r="N20" s="638">
        <f t="shared" si="7"/>
        <v>0</v>
      </c>
      <c r="O20" s="98">
        <f t="shared" si="8"/>
        <v>20053</v>
      </c>
      <c r="P20" s="515">
        <v>20062</v>
      </c>
      <c r="Q20" s="638">
        <f t="shared" si="9"/>
        <v>9</v>
      </c>
      <c r="R20" s="332"/>
      <c r="S20" s="327">
        <f t="shared" si="16"/>
        <v>50797</v>
      </c>
      <c r="T20" s="516">
        <v>50851</v>
      </c>
      <c r="U20" s="639">
        <f t="shared" si="17"/>
        <v>54</v>
      </c>
      <c r="V20" s="327">
        <f t="shared" si="10"/>
        <v>71010</v>
      </c>
      <c r="W20" s="516">
        <v>71010</v>
      </c>
      <c r="X20" s="639">
        <f t="shared" si="18"/>
        <v>0</v>
      </c>
      <c r="Y20" s="327">
        <f t="shared" si="11"/>
        <v>80273</v>
      </c>
      <c r="Z20" s="516">
        <v>80327</v>
      </c>
      <c r="AA20" s="639">
        <f t="shared" si="19"/>
        <v>54</v>
      </c>
      <c r="AB20" s="327">
        <f t="shared" si="12"/>
        <v>13168</v>
      </c>
      <c r="AC20" s="643">
        <v>13182</v>
      </c>
      <c r="AD20" s="639">
        <f t="shared" si="20"/>
        <v>14</v>
      </c>
      <c r="AE20" s="327">
        <f t="shared" si="13"/>
        <v>16903</v>
      </c>
      <c r="AF20" s="517">
        <v>16926</v>
      </c>
      <c r="AG20" s="639">
        <f t="shared" si="21"/>
        <v>23</v>
      </c>
      <c r="AH20" s="327">
        <f t="shared" si="14"/>
        <v>24395</v>
      </c>
      <c r="AI20" s="517">
        <v>24417</v>
      </c>
      <c r="AJ20" s="639">
        <f t="shared" si="23"/>
        <v>35</v>
      </c>
      <c r="AK20" s="420">
        <f t="shared" si="15"/>
        <v>15154</v>
      </c>
      <c r="AL20" s="516">
        <v>15154</v>
      </c>
      <c r="AM20" s="639">
        <f t="shared" si="27"/>
        <v>0</v>
      </c>
      <c r="AN20" s="523">
        <f t="shared" si="24"/>
        <v>180</v>
      </c>
    </row>
    <row r="21" spans="1:40" ht="23.1" customHeight="1">
      <c r="A21" s="58">
        <f>Gen!B26</f>
        <v>43906</v>
      </c>
      <c r="B21" s="4"/>
      <c r="C21" s="98">
        <f t="shared" si="0"/>
        <v>231585</v>
      </c>
      <c r="D21" s="1">
        <v>231675</v>
      </c>
      <c r="E21" s="638">
        <f t="shared" si="26"/>
        <v>90</v>
      </c>
      <c r="F21" s="98">
        <f t="shared" si="2"/>
        <v>38000</v>
      </c>
      <c r="G21" s="521">
        <v>38000</v>
      </c>
      <c r="H21" s="638">
        <f t="shared" si="3"/>
        <v>0</v>
      </c>
      <c r="I21" s="98">
        <f t="shared" si="4"/>
        <v>7867</v>
      </c>
      <c r="J21" s="1">
        <v>7869</v>
      </c>
      <c r="K21" s="638">
        <f t="shared" si="5"/>
        <v>2</v>
      </c>
      <c r="L21" s="98">
        <f t="shared" si="6"/>
        <v>11932</v>
      </c>
      <c r="M21" s="1">
        <v>11939</v>
      </c>
      <c r="N21" s="638">
        <f t="shared" si="7"/>
        <v>7</v>
      </c>
      <c r="O21" s="98">
        <f t="shared" si="8"/>
        <v>20062</v>
      </c>
      <c r="P21" s="515">
        <v>20069</v>
      </c>
      <c r="Q21" s="638">
        <f t="shared" si="9"/>
        <v>7</v>
      </c>
      <c r="R21" s="332"/>
      <c r="S21" s="327">
        <f t="shared" si="16"/>
        <v>50851</v>
      </c>
      <c r="T21" s="516">
        <v>50916</v>
      </c>
      <c r="U21" s="639">
        <f t="shared" si="17"/>
        <v>65</v>
      </c>
      <c r="V21" s="327">
        <f t="shared" ref="V21:V37" si="28">W20</f>
        <v>71010</v>
      </c>
      <c r="W21" s="516">
        <v>71010</v>
      </c>
      <c r="X21" s="639">
        <f t="shared" si="18"/>
        <v>0</v>
      </c>
      <c r="Y21" s="327">
        <f t="shared" si="11"/>
        <v>80327</v>
      </c>
      <c r="Z21" s="516">
        <v>80332</v>
      </c>
      <c r="AA21" s="639">
        <f t="shared" si="19"/>
        <v>5</v>
      </c>
      <c r="AB21" s="327">
        <f t="shared" si="12"/>
        <v>13182</v>
      </c>
      <c r="AC21" s="643">
        <v>13184</v>
      </c>
      <c r="AD21" s="639">
        <f t="shared" si="20"/>
        <v>2</v>
      </c>
      <c r="AE21" s="327">
        <f t="shared" si="13"/>
        <v>16926</v>
      </c>
      <c r="AF21" s="517">
        <v>16949</v>
      </c>
      <c r="AG21" s="639">
        <f t="shared" si="21"/>
        <v>23</v>
      </c>
      <c r="AH21" s="327">
        <f t="shared" si="14"/>
        <v>24417</v>
      </c>
      <c r="AI21" s="517">
        <v>24430</v>
      </c>
      <c r="AJ21" s="639">
        <f t="shared" si="23"/>
        <v>13</v>
      </c>
      <c r="AK21" s="420">
        <f t="shared" si="15"/>
        <v>15154</v>
      </c>
      <c r="AL21" s="516">
        <v>15154</v>
      </c>
      <c r="AM21" s="639">
        <f t="shared" si="27"/>
        <v>0</v>
      </c>
      <c r="AN21" s="523">
        <f t="shared" si="24"/>
        <v>108</v>
      </c>
    </row>
    <row r="22" spans="1:40" ht="23.1" customHeight="1">
      <c r="A22" s="58">
        <f>Gen!B27</f>
        <v>43907</v>
      </c>
      <c r="B22" s="4"/>
      <c r="C22" s="98">
        <f t="shared" si="0"/>
        <v>231675</v>
      </c>
      <c r="D22" s="1">
        <v>231747</v>
      </c>
      <c r="E22" s="638">
        <f t="shared" si="26"/>
        <v>72</v>
      </c>
      <c r="F22" s="98">
        <f t="shared" si="2"/>
        <v>38000</v>
      </c>
      <c r="G22" s="521">
        <v>38000</v>
      </c>
      <c r="H22" s="638">
        <f t="shared" si="3"/>
        <v>0</v>
      </c>
      <c r="I22" s="98">
        <f t="shared" si="4"/>
        <v>7869</v>
      </c>
      <c r="J22" s="1">
        <v>7871</v>
      </c>
      <c r="K22" s="638">
        <f t="shared" si="5"/>
        <v>2</v>
      </c>
      <c r="L22" s="98">
        <f t="shared" si="6"/>
        <v>11939</v>
      </c>
      <c r="M22" s="1">
        <v>11939</v>
      </c>
      <c r="N22" s="638">
        <f t="shared" si="7"/>
        <v>0</v>
      </c>
      <c r="O22" s="98">
        <f t="shared" si="8"/>
        <v>20069</v>
      </c>
      <c r="P22" s="515">
        <v>20073</v>
      </c>
      <c r="Q22" s="638">
        <f t="shared" si="9"/>
        <v>4</v>
      </c>
      <c r="R22" s="332"/>
      <c r="S22" s="327">
        <f t="shared" si="16"/>
        <v>50916</v>
      </c>
      <c r="T22" s="516">
        <v>50965</v>
      </c>
      <c r="U22" s="639">
        <f t="shared" si="17"/>
        <v>49</v>
      </c>
      <c r="V22" s="327">
        <f t="shared" si="28"/>
        <v>71010</v>
      </c>
      <c r="W22" s="516">
        <v>71010</v>
      </c>
      <c r="X22" s="639">
        <f t="shared" si="18"/>
        <v>0</v>
      </c>
      <c r="Y22" s="327">
        <f t="shared" si="11"/>
        <v>80332</v>
      </c>
      <c r="Z22" s="516">
        <v>80332</v>
      </c>
      <c r="AA22" s="639">
        <f t="shared" si="19"/>
        <v>0</v>
      </c>
      <c r="AB22" s="327">
        <f t="shared" si="12"/>
        <v>13184</v>
      </c>
      <c r="AC22" s="643">
        <v>13184</v>
      </c>
      <c r="AD22" s="639">
        <f t="shared" si="20"/>
        <v>0</v>
      </c>
      <c r="AE22" s="327">
        <f t="shared" si="13"/>
        <v>16949</v>
      </c>
      <c r="AF22" s="517">
        <v>16976</v>
      </c>
      <c r="AG22" s="639">
        <f t="shared" si="21"/>
        <v>27</v>
      </c>
      <c r="AH22" s="327">
        <f t="shared" si="14"/>
        <v>24430</v>
      </c>
      <c r="AI22" s="517">
        <v>24430</v>
      </c>
      <c r="AJ22" s="639">
        <f t="shared" si="23"/>
        <v>0</v>
      </c>
      <c r="AK22" s="420">
        <f t="shared" si="15"/>
        <v>15154</v>
      </c>
      <c r="AL22" s="516">
        <v>15154</v>
      </c>
      <c r="AM22" s="639">
        <f t="shared" si="27"/>
        <v>0</v>
      </c>
      <c r="AN22" s="523">
        <f t="shared" si="24"/>
        <v>76</v>
      </c>
    </row>
    <row r="23" spans="1:40" ht="23.1" customHeight="1">
      <c r="A23" s="58">
        <f>Gen!B28</f>
        <v>43908</v>
      </c>
      <c r="B23" s="4"/>
      <c r="C23" s="98">
        <f t="shared" si="0"/>
        <v>231747</v>
      </c>
      <c r="D23" s="1">
        <v>231804</v>
      </c>
      <c r="E23" s="638">
        <f t="shared" si="26"/>
        <v>57</v>
      </c>
      <c r="F23" s="98">
        <f t="shared" si="2"/>
        <v>38000</v>
      </c>
      <c r="G23" s="521">
        <v>38000</v>
      </c>
      <c r="H23" s="638">
        <f t="shared" si="3"/>
        <v>0</v>
      </c>
      <c r="I23" s="98">
        <f t="shared" si="4"/>
        <v>7871</v>
      </c>
      <c r="J23" s="1">
        <v>7874</v>
      </c>
      <c r="K23" s="638">
        <f t="shared" si="5"/>
        <v>3</v>
      </c>
      <c r="L23" s="98">
        <f t="shared" si="6"/>
        <v>11939</v>
      </c>
      <c r="M23" s="1">
        <v>11939</v>
      </c>
      <c r="N23" s="638">
        <f t="shared" si="7"/>
        <v>0</v>
      </c>
      <c r="O23" s="98">
        <f t="shared" si="8"/>
        <v>20073</v>
      </c>
      <c r="P23" s="515">
        <v>20075</v>
      </c>
      <c r="Q23" s="638">
        <f t="shared" si="9"/>
        <v>2</v>
      </c>
      <c r="R23" s="332"/>
      <c r="S23" s="327">
        <f t="shared" si="16"/>
        <v>50965</v>
      </c>
      <c r="T23" s="516">
        <v>51013</v>
      </c>
      <c r="U23" s="639">
        <f t="shared" si="17"/>
        <v>48</v>
      </c>
      <c r="V23" s="327">
        <f t="shared" si="28"/>
        <v>71010</v>
      </c>
      <c r="W23" s="516">
        <v>71010</v>
      </c>
      <c r="X23" s="639">
        <f t="shared" si="18"/>
        <v>0</v>
      </c>
      <c r="Y23" s="327">
        <f t="shared" si="11"/>
        <v>80332</v>
      </c>
      <c r="Z23" s="516">
        <v>80332</v>
      </c>
      <c r="AA23" s="639">
        <f t="shared" si="19"/>
        <v>0</v>
      </c>
      <c r="AB23" s="327">
        <f t="shared" si="12"/>
        <v>13184</v>
      </c>
      <c r="AC23" s="643">
        <v>13184</v>
      </c>
      <c r="AD23" s="639">
        <f t="shared" si="20"/>
        <v>0</v>
      </c>
      <c r="AE23" s="327">
        <f t="shared" si="13"/>
        <v>16976</v>
      </c>
      <c r="AF23" s="517">
        <v>17001</v>
      </c>
      <c r="AG23" s="639">
        <f t="shared" si="21"/>
        <v>25</v>
      </c>
      <c r="AH23" s="327">
        <f t="shared" si="14"/>
        <v>24430</v>
      </c>
      <c r="AI23" s="517">
        <v>24430</v>
      </c>
      <c r="AJ23" s="639">
        <f t="shared" si="23"/>
        <v>0</v>
      </c>
      <c r="AK23" s="420">
        <f t="shared" si="15"/>
        <v>15154</v>
      </c>
      <c r="AL23" s="516">
        <v>15154</v>
      </c>
      <c r="AM23" s="639">
        <f t="shared" si="27"/>
        <v>0</v>
      </c>
      <c r="AN23" s="523">
        <f t="shared" si="24"/>
        <v>73</v>
      </c>
    </row>
    <row r="24" spans="1:40" ht="23.1" customHeight="1">
      <c r="A24" s="58">
        <f>Gen!B29</f>
        <v>43909</v>
      </c>
      <c r="B24" s="4"/>
      <c r="C24" s="98">
        <f t="shared" si="0"/>
        <v>231804</v>
      </c>
      <c r="D24" s="1">
        <v>231876</v>
      </c>
      <c r="E24" s="638">
        <f t="shared" si="26"/>
        <v>72</v>
      </c>
      <c r="F24" s="98">
        <f t="shared" si="2"/>
        <v>38000</v>
      </c>
      <c r="G24" s="521">
        <v>38000</v>
      </c>
      <c r="H24" s="638">
        <f t="shared" si="3"/>
        <v>0</v>
      </c>
      <c r="I24" s="98">
        <f t="shared" si="4"/>
        <v>7874</v>
      </c>
      <c r="J24" s="1">
        <v>7875</v>
      </c>
      <c r="K24" s="638">
        <f t="shared" si="5"/>
        <v>1</v>
      </c>
      <c r="L24" s="98">
        <f t="shared" si="6"/>
        <v>11939</v>
      </c>
      <c r="M24" s="1">
        <v>11953</v>
      </c>
      <c r="N24" s="638">
        <f t="shared" si="7"/>
        <v>14</v>
      </c>
      <c r="O24" s="98">
        <f t="shared" si="8"/>
        <v>20075</v>
      </c>
      <c r="P24" s="515">
        <v>20078</v>
      </c>
      <c r="Q24" s="638">
        <f t="shared" si="9"/>
        <v>3</v>
      </c>
      <c r="R24" s="332"/>
      <c r="S24" s="327">
        <f t="shared" si="16"/>
        <v>51013</v>
      </c>
      <c r="T24" s="516">
        <v>51061</v>
      </c>
      <c r="U24" s="639">
        <f t="shared" si="17"/>
        <v>48</v>
      </c>
      <c r="V24" s="327">
        <f t="shared" si="28"/>
        <v>71010</v>
      </c>
      <c r="W24" s="516">
        <v>71010</v>
      </c>
      <c r="X24" s="639">
        <f t="shared" si="18"/>
        <v>0</v>
      </c>
      <c r="Y24" s="327">
        <f t="shared" si="11"/>
        <v>80332</v>
      </c>
      <c r="Z24" s="516">
        <v>80332</v>
      </c>
      <c r="AA24" s="639">
        <f t="shared" si="19"/>
        <v>0</v>
      </c>
      <c r="AB24" s="327">
        <f t="shared" si="12"/>
        <v>13184</v>
      </c>
      <c r="AC24" s="643">
        <v>13184</v>
      </c>
      <c r="AD24" s="639">
        <f t="shared" si="20"/>
        <v>0</v>
      </c>
      <c r="AE24" s="327">
        <f t="shared" si="13"/>
        <v>17001</v>
      </c>
      <c r="AF24" s="517">
        <v>17025</v>
      </c>
      <c r="AG24" s="639">
        <f t="shared" si="21"/>
        <v>24</v>
      </c>
      <c r="AH24" s="327">
        <f t="shared" si="14"/>
        <v>24430</v>
      </c>
      <c r="AI24" s="517">
        <v>24430</v>
      </c>
      <c r="AJ24" s="639">
        <f t="shared" si="23"/>
        <v>26</v>
      </c>
      <c r="AK24" s="420">
        <f t="shared" si="15"/>
        <v>15154</v>
      </c>
      <c r="AL24" s="516">
        <v>15154</v>
      </c>
      <c r="AM24" s="639">
        <f t="shared" si="27"/>
        <v>0</v>
      </c>
      <c r="AN24" s="523">
        <f t="shared" si="24"/>
        <v>98</v>
      </c>
    </row>
    <row r="25" spans="1:40" ht="23.1" customHeight="1">
      <c r="A25" s="58">
        <f>Gen!B30</f>
        <v>43910</v>
      </c>
      <c r="B25" s="4"/>
      <c r="C25" s="98">
        <f>D24</f>
        <v>231876</v>
      </c>
      <c r="D25" s="1">
        <v>231941</v>
      </c>
      <c r="E25" s="638">
        <f t="shared" si="26"/>
        <v>65</v>
      </c>
      <c r="F25" s="98">
        <f t="shared" si="2"/>
        <v>38000</v>
      </c>
      <c r="G25" s="521">
        <v>38000</v>
      </c>
      <c r="H25" s="638">
        <f t="shared" si="3"/>
        <v>0</v>
      </c>
      <c r="I25" s="98">
        <f t="shared" ref="I25:I37" si="29">J24</f>
        <v>7875</v>
      </c>
      <c r="J25" s="1">
        <v>7877</v>
      </c>
      <c r="K25" s="638">
        <f t="shared" ref="K25:K37" si="30">IF((J25-J24)&lt;0,"0",(J25-J24))</f>
        <v>2</v>
      </c>
      <c r="L25" s="98">
        <f t="shared" ref="L25:L37" si="31">M24</f>
        <v>11953</v>
      </c>
      <c r="M25" s="1">
        <v>11953</v>
      </c>
      <c r="N25" s="638">
        <f t="shared" ref="N25:N37" si="32">IF((M25-M24)&lt;0,"0",(M25-M24))</f>
        <v>0</v>
      </c>
      <c r="O25" s="98">
        <f t="shared" ref="O25:O37" si="33">P24</f>
        <v>20078</v>
      </c>
      <c r="P25" s="515">
        <v>20081</v>
      </c>
      <c r="Q25" s="638">
        <f t="shared" ref="Q25:Q37" si="34">IF((P25-P24)&lt;0,"0",(P25-P24))</f>
        <v>3</v>
      </c>
      <c r="R25" s="332"/>
      <c r="S25" s="327">
        <f t="shared" ref="S25:S37" si="35">T24</f>
        <v>51061</v>
      </c>
      <c r="T25" s="516">
        <v>51110</v>
      </c>
      <c r="U25" s="639">
        <f t="shared" si="17"/>
        <v>49</v>
      </c>
      <c r="V25" s="327">
        <f t="shared" si="28"/>
        <v>71010</v>
      </c>
      <c r="W25" s="516">
        <v>71010</v>
      </c>
      <c r="X25" s="639">
        <f t="shared" si="18"/>
        <v>0</v>
      </c>
      <c r="Y25" s="327">
        <f t="shared" si="11"/>
        <v>80332</v>
      </c>
      <c r="Z25" s="516">
        <v>80332</v>
      </c>
      <c r="AA25" s="639">
        <f t="shared" si="19"/>
        <v>0</v>
      </c>
      <c r="AB25" s="327">
        <f t="shared" si="12"/>
        <v>13184</v>
      </c>
      <c r="AC25" s="643">
        <v>13184</v>
      </c>
      <c r="AD25" s="639">
        <f t="shared" si="20"/>
        <v>0</v>
      </c>
      <c r="AE25" s="327">
        <f t="shared" si="13"/>
        <v>17025</v>
      </c>
      <c r="AF25" s="517">
        <v>17050</v>
      </c>
      <c r="AG25" s="639">
        <f t="shared" si="21"/>
        <v>25</v>
      </c>
      <c r="AH25" s="327">
        <f t="shared" si="14"/>
        <v>24430</v>
      </c>
      <c r="AI25" s="517">
        <v>24456</v>
      </c>
      <c r="AJ25" s="639">
        <f t="shared" si="23"/>
        <v>49</v>
      </c>
      <c r="AK25" s="420">
        <f t="shared" si="15"/>
        <v>15154</v>
      </c>
      <c r="AL25" s="516">
        <v>15154</v>
      </c>
      <c r="AM25" s="639">
        <f t="shared" si="27"/>
        <v>0</v>
      </c>
      <c r="AN25" s="523">
        <f t="shared" si="24"/>
        <v>123</v>
      </c>
    </row>
    <row r="26" spans="1:40" ht="23.1" customHeight="1">
      <c r="A26" s="58">
        <f>Gen!B31</f>
        <v>43911</v>
      </c>
      <c r="B26" s="4"/>
      <c r="C26" s="98">
        <f>D25</f>
        <v>231941</v>
      </c>
      <c r="D26" s="1">
        <v>232008</v>
      </c>
      <c r="E26" s="638">
        <f t="shared" si="26"/>
        <v>67</v>
      </c>
      <c r="F26" s="98">
        <f t="shared" si="2"/>
        <v>38000</v>
      </c>
      <c r="G26" s="521">
        <v>38000</v>
      </c>
      <c r="H26" s="638">
        <f t="shared" ref="H26:H37" si="36">IF((G26-G25)&lt;0,"0",(G26-G25))</f>
        <v>0</v>
      </c>
      <c r="I26" s="98">
        <f t="shared" si="29"/>
        <v>7877</v>
      </c>
      <c r="J26" s="1">
        <v>7878</v>
      </c>
      <c r="K26" s="638">
        <f t="shared" si="30"/>
        <v>1</v>
      </c>
      <c r="L26" s="98">
        <f t="shared" si="31"/>
        <v>11953</v>
      </c>
      <c r="M26" s="1">
        <v>11966</v>
      </c>
      <c r="N26" s="638">
        <f t="shared" si="32"/>
        <v>13</v>
      </c>
      <c r="O26" s="98">
        <f t="shared" si="33"/>
        <v>20081</v>
      </c>
      <c r="P26" s="515">
        <v>20083</v>
      </c>
      <c r="Q26" s="638">
        <f t="shared" si="34"/>
        <v>2</v>
      </c>
      <c r="R26" s="332"/>
      <c r="S26" s="327">
        <f t="shared" si="35"/>
        <v>51110</v>
      </c>
      <c r="T26" s="516">
        <v>51159</v>
      </c>
      <c r="U26" s="639">
        <f t="shared" si="17"/>
        <v>49</v>
      </c>
      <c r="V26" s="327">
        <f t="shared" si="28"/>
        <v>71010</v>
      </c>
      <c r="W26" s="516">
        <v>71073</v>
      </c>
      <c r="X26" s="639">
        <f t="shared" si="18"/>
        <v>63</v>
      </c>
      <c r="Y26" s="327">
        <f t="shared" si="11"/>
        <v>80332</v>
      </c>
      <c r="Z26" s="516">
        <v>80332</v>
      </c>
      <c r="AA26" s="639">
        <f t="shared" si="19"/>
        <v>0</v>
      </c>
      <c r="AB26" s="327">
        <f t="shared" si="12"/>
        <v>13184</v>
      </c>
      <c r="AC26" s="643">
        <v>13184</v>
      </c>
      <c r="AD26" s="639">
        <f t="shared" si="20"/>
        <v>0</v>
      </c>
      <c r="AE26" s="327">
        <f t="shared" si="13"/>
        <v>17050</v>
      </c>
      <c r="AF26" s="517">
        <v>17074</v>
      </c>
      <c r="AG26" s="639">
        <f t="shared" si="21"/>
        <v>24</v>
      </c>
      <c r="AH26" s="327">
        <f t="shared" si="14"/>
        <v>24456</v>
      </c>
      <c r="AI26" s="517">
        <v>24479</v>
      </c>
      <c r="AJ26" s="639">
        <f t="shared" si="23"/>
        <v>45</v>
      </c>
      <c r="AK26" s="420">
        <f t="shared" si="15"/>
        <v>15154</v>
      </c>
      <c r="AL26" s="516">
        <v>15154</v>
      </c>
      <c r="AM26" s="639">
        <f t="shared" si="27"/>
        <v>0</v>
      </c>
      <c r="AN26" s="523">
        <f t="shared" si="24"/>
        <v>181</v>
      </c>
    </row>
    <row r="27" spans="1:40" ht="23.1" customHeight="1">
      <c r="A27" s="58">
        <f>Gen!B32</f>
        <v>43912</v>
      </c>
      <c r="B27" s="4"/>
      <c r="C27" s="98">
        <f>D26</f>
        <v>232008</v>
      </c>
      <c r="D27" s="1">
        <v>232081</v>
      </c>
      <c r="E27" s="638">
        <f t="shared" si="26"/>
        <v>73</v>
      </c>
      <c r="F27" s="98">
        <f t="shared" si="2"/>
        <v>38000</v>
      </c>
      <c r="G27" s="521">
        <v>38000</v>
      </c>
      <c r="H27" s="638">
        <f t="shared" si="36"/>
        <v>0</v>
      </c>
      <c r="I27" s="98">
        <f t="shared" si="29"/>
        <v>7878</v>
      </c>
      <c r="J27" s="1">
        <v>7879</v>
      </c>
      <c r="K27" s="638">
        <f t="shared" si="30"/>
        <v>1</v>
      </c>
      <c r="L27" s="98">
        <f t="shared" si="31"/>
        <v>11966</v>
      </c>
      <c r="M27" s="1">
        <v>11978</v>
      </c>
      <c r="N27" s="638">
        <f t="shared" si="32"/>
        <v>12</v>
      </c>
      <c r="O27" s="98">
        <f t="shared" si="33"/>
        <v>20083</v>
      </c>
      <c r="P27" s="515">
        <v>20084</v>
      </c>
      <c r="Q27" s="638">
        <f t="shared" si="34"/>
        <v>1</v>
      </c>
      <c r="R27" s="332"/>
      <c r="S27" s="327">
        <f t="shared" si="35"/>
        <v>51159</v>
      </c>
      <c r="T27" s="516">
        <v>51202</v>
      </c>
      <c r="U27" s="639">
        <f t="shared" si="17"/>
        <v>43</v>
      </c>
      <c r="V27" s="327">
        <f t="shared" si="28"/>
        <v>71073</v>
      </c>
      <c r="W27" s="516">
        <v>71134</v>
      </c>
      <c r="X27" s="639">
        <f t="shared" si="18"/>
        <v>61</v>
      </c>
      <c r="Y27" s="327">
        <f t="shared" si="11"/>
        <v>80332</v>
      </c>
      <c r="Z27" s="516">
        <v>80332</v>
      </c>
      <c r="AA27" s="639">
        <f t="shared" si="19"/>
        <v>0</v>
      </c>
      <c r="AB27" s="327">
        <f t="shared" si="12"/>
        <v>13184</v>
      </c>
      <c r="AC27" s="328">
        <v>13184</v>
      </c>
      <c r="AD27" s="639">
        <f t="shared" si="20"/>
        <v>0</v>
      </c>
      <c r="AE27" s="327">
        <f t="shared" si="13"/>
        <v>17074</v>
      </c>
      <c r="AF27" s="517">
        <v>17097</v>
      </c>
      <c r="AG27" s="639">
        <f t="shared" si="21"/>
        <v>23</v>
      </c>
      <c r="AH27" s="327">
        <f t="shared" si="14"/>
        <v>24479</v>
      </c>
      <c r="AI27" s="517">
        <v>24501</v>
      </c>
      <c r="AJ27" s="639">
        <f t="shared" si="23"/>
        <v>45</v>
      </c>
      <c r="AK27" s="420">
        <f t="shared" si="15"/>
        <v>15154</v>
      </c>
      <c r="AL27" s="516">
        <v>15154</v>
      </c>
      <c r="AM27" s="639">
        <f t="shared" si="22"/>
        <v>0</v>
      </c>
      <c r="AN27" s="523">
        <f t="shared" si="24"/>
        <v>172</v>
      </c>
    </row>
    <row r="28" spans="1:40" ht="23.1" customHeight="1">
      <c r="A28" s="58">
        <f>Gen!B33</f>
        <v>43913</v>
      </c>
      <c r="B28" s="4"/>
      <c r="C28" s="98">
        <f t="shared" ref="C28:C37" si="37">D27</f>
        <v>232081</v>
      </c>
      <c r="D28" s="1">
        <v>232148</v>
      </c>
      <c r="E28" s="638">
        <f t="shared" si="26"/>
        <v>67</v>
      </c>
      <c r="F28" s="98">
        <f t="shared" si="2"/>
        <v>38000</v>
      </c>
      <c r="G28" s="521">
        <v>38000</v>
      </c>
      <c r="H28" s="638">
        <f t="shared" si="36"/>
        <v>0</v>
      </c>
      <c r="I28" s="98">
        <f t="shared" si="29"/>
        <v>7879</v>
      </c>
      <c r="J28" s="1">
        <v>7881</v>
      </c>
      <c r="K28" s="638">
        <f t="shared" si="30"/>
        <v>2</v>
      </c>
      <c r="L28" s="98">
        <f t="shared" si="31"/>
        <v>11978</v>
      </c>
      <c r="M28" s="1">
        <v>11978</v>
      </c>
      <c r="N28" s="638">
        <f t="shared" si="32"/>
        <v>0</v>
      </c>
      <c r="O28" s="98">
        <f t="shared" si="33"/>
        <v>20084</v>
      </c>
      <c r="P28" s="515">
        <v>20085</v>
      </c>
      <c r="Q28" s="638">
        <f t="shared" si="34"/>
        <v>1</v>
      </c>
      <c r="R28" s="332"/>
      <c r="S28" s="327">
        <f t="shared" si="35"/>
        <v>51202</v>
      </c>
      <c r="T28" s="516">
        <v>51252</v>
      </c>
      <c r="U28" s="639">
        <f t="shared" si="17"/>
        <v>50</v>
      </c>
      <c r="V28" s="327">
        <f t="shared" si="28"/>
        <v>71134</v>
      </c>
      <c r="W28" s="516">
        <v>71195</v>
      </c>
      <c r="X28" s="639">
        <f t="shared" si="18"/>
        <v>61</v>
      </c>
      <c r="Y28" s="327">
        <f t="shared" si="11"/>
        <v>80332</v>
      </c>
      <c r="Z28" s="516">
        <v>80332</v>
      </c>
      <c r="AA28" s="639">
        <f t="shared" si="19"/>
        <v>0</v>
      </c>
      <c r="AB28" s="327">
        <f t="shared" si="12"/>
        <v>13184</v>
      </c>
      <c r="AC28" s="328">
        <v>13184</v>
      </c>
      <c r="AD28" s="639">
        <f t="shared" si="20"/>
        <v>0</v>
      </c>
      <c r="AE28" s="327">
        <f t="shared" si="13"/>
        <v>17097</v>
      </c>
      <c r="AF28" s="517">
        <v>17120</v>
      </c>
      <c r="AG28" s="639">
        <f t="shared" si="21"/>
        <v>23</v>
      </c>
      <c r="AH28" s="327">
        <f t="shared" si="14"/>
        <v>24501</v>
      </c>
      <c r="AI28" s="517">
        <v>24524</v>
      </c>
      <c r="AJ28" s="639">
        <f t="shared" si="23"/>
        <v>45</v>
      </c>
      <c r="AK28" s="420">
        <f t="shared" si="15"/>
        <v>15154</v>
      </c>
      <c r="AL28" s="516">
        <v>15154</v>
      </c>
      <c r="AM28" s="639">
        <f t="shared" si="22"/>
        <v>0</v>
      </c>
      <c r="AN28" s="523">
        <f t="shared" si="24"/>
        <v>179</v>
      </c>
    </row>
    <row r="29" spans="1:40" ht="23.1" customHeight="1">
      <c r="A29" s="58">
        <f>Gen!B34</f>
        <v>43914</v>
      </c>
      <c r="B29" s="4"/>
      <c r="C29" s="98">
        <f t="shared" si="37"/>
        <v>232148</v>
      </c>
      <c r="D29" s="1">
        <v>232221</v>
      </c>
      <c r="E29" s="638">
        <f t="shared" si="26"/>
        <v>73</v>
      </c>
      <c r="F29" s="98">
        <f t="shared" si="2"/>
        <v>38000</v>
      </c>
      <c r="G29" s="521">
        <v>38000</v>
      </c>
      <c r="H29" s="638">
        <f t="shared" si="36"/>
        <v>0</v>
      </c>
      <c r="I29" s="98">
        <f t="shared" si="29"/>
        <v>7881</v>
      </c>
      <c r="J29" s="1">
        <v>7882</v>
      </c>
      <c r="K29" s="638">
        <f t="shared" si="30"/>
        <v>1</v>
      </c>
      <c r="L29" s="98">
        <f t="shared" si="31"/>
        <v>11978</v>
      </c>
      <c r="M29" s="1">
        <v>11978</v>
      </c>
      <c r="N29" s="638">
        <f t="shared" si="32"/>
        <v>0</v>
      </c>
      <c r="O29" s="98">
        <f t="shared" si="33"/>
        <v>20085</v>
      </c>
      <c r="P29" s="515">
        <v>20087</v>
      </c>
      <c r="Q29" s="638">
        <f t="shared" si="34"/>
        <v>2</v>
      </c>
      <c r="R29" s="332"/>
      <c r="S29" s="327">
        <f t="shared" si="35"/>
        <v>51252</v>
      </c>
      <c r="T29" s="516">
        <v>51307</v>
      </c>
      <c r="U29" s="639">
        <f t="shared" si="17"/>
        <v>55</v>
      </c>
      <c r="V29" s="327">
        <f t="shared" si="28"/>
        <v>71195</v>
      </c>
      <c r="W29" s="516">
        <v>71260</v>
      </c>
      <c r="X29" s="639">
        <f t="shared" si="18"/>
        <v>65</v>
      </c>
      <c r="Y29" s="327">
        <f t="shared" si="11"/>
        <v>80332</v>
      </c>
      <c r="Z29" s="516">
        <v>80332</v>
      </c>
      <c r="AA29" s="639">
        <f t="shared" si="19"/>
        <v>0</v>
      </c>
      <c r="AB29" s="327">
        <f t="shared" si="12"/>
        <v>13184</v>
      </c>
      <c r="AC29" s="328">
        <v>13184</v>
      </c>
      <c r="AD29" s="639">
        <f t="shared" si="20"/>
        <v>0</v>
      </c>
      <c r="AE29" s="327">
        <f t="shared" si="13"/>
        <v>17120</v>
      </c>
      <c r="AF29" s="517">
        <v>17143</v>
      </c>
      <c r="AG29" s="639">
        <f t="shared" si="21"/>
        <v>23</v>
      </c>
      <c r="AH29" s="327">
        <f t="shared" si="14"/>
        <v>24524</v>
      </c>
      <c r="AI29" s="517">
        <v>24546</v>
      </c>
      <c r="AJ29" s="639">
        <f t="shared" si="23"/>
        <v>22</v>
      </c>
      <c r="AK29" s="420">
        <f t="shared" si="15"/>
        <v>15154</v>
      </c>
      <c r="AL29" s="516">
        <v>15154</v>
      </c>
      <c r="AM29" s="639">
        <f t="shared" si="22"/>
        <v>0</v>
      </c>
      <c r="AN29" s="523">
        <f t="shared" si="24"/>
        <v>165</v>
      </c>
    </row>
    <row r="30" spans="1:40" ht="23.1" customHeight="1">
      <c r="A30" s="58">
        <f>Gen!B35</f>
        <v>43915</v>
      </c>
      <c r="B30" s="4"/>
      <c r="C30" s="98">
        <f t="shared" si="37"/>
        <v>232221</v>
      </c>
      <c r="D30" s="1">
        <v>232281</v>
      </c>
      <c r="E30" s="638">
        <f t="shared" si="26"/>
        <v>60</v>
      </c>
      <c r="F30" s="98">
        <f t="shared" si="2"/>
        <v>38000</v>
      </c>
      <c r="G30" s="521">
        <v>38000</v>
      </c>
      <c r="H30" s="638">
        <f t="shared" si="36"/>
        <v>0</v>
      </c>
      <c r="I30" s="98">
        <f t="shared" si="29"/>
        <v>7882</v>
      </c>
      <c r="J30" s="1">
        <v>7883</v>
      </c>
      <c r="K30" s="638">
        <f t="shared" si="30"/>
        <v>1</v>
      </c>
      <c r="L30" s="98">
        <f t="shared" si="31"/>
        <v>11978</v>
      </c>
      <c r="M30" s="1">
        <v>11978</v>
      </c>
      <c r="N30" s="638">
        <f t="shared" si="32"/>
        <v>0</v>
      </c>
      <c r="O30" s="98">
        <f t="shared" si="33"/>
        <v>20087</v>
      </c>
      <c r="P30" s="515">
        <v>20089</v>
      </c>
      <c r="Q30" s="638">
        <f t="shared" si="34"/>
        <v>2</v>
      </c>
      <c r="R30" s="332"/>
      <c r="S30" s="327">
        <f t="shared" si="35"/>
        <v>51307</v>
      </c>
      <c r="T30" s="516">
        <v>51359</v>
      </c>
      <c r="U30" s="639">
        <f t="shared" si="17"/>
        <v>52</v>
      </c>
      <c r="V30" s="327">
        <f t="shared" si="28"/>
        <v>71260</v>
      </c>
      <c r="W30" s="516">
        <v>71260</v>
      </c>
      <c r="X30" s="639">
        <f t="shared" si="18"/>
        <v>0</v>
      </c>
      <c r="Y30" s="327">
        <f t="shared" si="11"/>
        <v>80332</v>
      </c>
      <c r="Z30" s="516">
        <v>80332</v>
      </c>
      <c r="AA30" s="639">
        <f t="shared" si="19"/>
        <v>0</v>
      </c>
      <c r="AB30" s="327">
        <f t="shared" si="12"/>
        <v>13184</v>
      </c>
      <c r="AC30" s="328">
        <v>13184</v>
      </c>
      <c r="AD30" s="639">
        <f t="shared" si="20"/>
        <v>0</v>
      </c>
      <c r="AE30" s="327">
        <f t="shared" si="13"/>
        <v>17143</v>
      </c>
      <c r="AF30" s="517">
        <v>17169</v>
      </c>
      <c r="AG30" s="639">
        <f t="shared" si="21"/>
        <v>26</v>
      </c>
      <c r="AH30" s="327">
        <f t="shared" si="14"/>
        <v>24546</v>
      </c>
      <c r="AI30" s="517">
        <v>24546</v>
      </c>
      <c r="AJ30" s="639">
        <f t="shared" si="23"/>
        <v>0</v>
      </c>
      <c r="AK30" s="420">
        <f t="shared" si="15"/>
        <v>15154</v>
      </c>
      <c r="AL30" s="516">
        <v>15154</v>
      </c>
      <c r="AM30" s="639">
        <f t="shared" si="22"/>
        <v>0</v>
      </c>
      <c r="AN30" s="523">
        <f t="shared" si="24"/>
        <v>78</v>
      </c>
    </row>
    <row r="31" spans="1:40" ht="23.1" customHeight="1">
      <c r="A31" s="58">
        <f>Gen!B36</f>
        <v>43916</v>
      </c>
      <c r="B31" s="4"/>
      <c r="C31" s="98">
        <f t="shared" si="37"/>
        <v>232281</v>
      </c>
      <c r="D31" s="1">
        <v>232331</v>
      </c>
      <c r="E31" s="638">
        <f t="shared" si="26"/>
        <v>50</v>
      </c>
      <c r="F31" s="98">
        <f t="shared" si="2"/>
        <v>38000</v>
      </c>
      <c r="G31" s="521">
        <v>38000</v>
      </c>
      <c r="H31" s="638">
        <f t="shared" si="36"/>
        <v>0</v>
      </c>
      <c r="I31" s="98">
        <f t="shared" si="29"/>
        <v>7883</v>
      </c>
      <c r="J31" s="1">
        <v>7884</v>
      </c>
      <c r="K31" s="638">
        <f t="shared" si="30"/>
        <v>1</v>
      </c>
      <c r="L31" s="98">
        <f t="shared" si="31"/>
        <v>11978</v>
      </c>
      <c r="M31" s="1">
        <v>11978</v>
      </c>
      <c r="N31" s="638">
        <f t="shared" si="32"/>
        <v>0</v>
      </c>
      <c r="O31" s="98">
        <f t="shared" si="33"/>
        <v>20089</v>
      </c>
      <c r="P31" s="515">
        <v>20091</v>
      </c>
      <c r="Q31" s="638">
        <f t="shared" si="34"/>
        <v>2</v>
      </c>
      <c r="R31" s="332"/>
      <c r="S31" s="327">
        <f t="shared" si="35"/>
        <v>51359</v>
      </c>
      <c r="T31" s="516">
        <v>51420</v>
      </c>
      <c r="U31" s="639">
        <f t="shared" si="17"/>
        <v>61</v>
      </c>
      <c r="V31" s="327">
        <f t="shared" si="28"/>
        <v>71260</v>
      </c>
      <c r="W31" s="516">
        <v>71260</v>
      </c>
      <c r="X31" s="639">
        <f t="shared" si="18"/>
        <v>0</v>
      </c>
      <c r="Y31" s="327">
        <f t="shared" si="11"/>
        <v>80332</v>
      </c>
      <c r="Z31" s="516">
        <v>80332</v>
      </c>
      <c r="AA31" s="639">
        <f t="shared" si="19"/>
        <v>0</v>
      </c>
      <c r="AB31" s="327">
        <f t="shared" si="12"/>
        <v>13184</v>
      </c>
      <c r="AC31" s="328">
        <v>13184</v>
      </c>
      <c r="AD31" s="639">
        <f t="shared" si="20"/>
        <v>0</v>
      </c>
      <c r="AE31" s="327">
        <f t="shared" si="13"/>
        <v>17169</v>
      </c>
      <c r="AF31" s="517">
        <v>17194</v>
      </c>
      <c r="AG31" s="639">
        <f t="shared" si="21"/>
        <v>25</v>
      </c>
      <c r="AH31" s="327">
        <f t="shared" si="14"/>
        <v>24546</v>
      </c>
      <c r="AI31" s="517">
        <v>24546</v>
      </c>
      <c r="AJ31" s="639">
        <f t="shared" si="23"/>
        <v>0</v>
      </c>
      <c r="AK31" s="420">
        <f t="shared" si="15"/>
        <v>15154</v>
      </c>
      <c r="AL31" s="516">
        <v>15154</v>
      </c>
      <c r="AM31" s="639">
        <f t="shared" si="22"/>
        <v>0</v>
      </c>
      <c r="AN31" s="523">
        <f t="shared" si="24"/>
        <v>86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232331</v>
      </c>
      <c r="D32" s="1">
        <v>232427</v>
      </c>
      <c r="E32" s="638">
        <f t="shared" si="26"/>
        <v>96</v>
      </c>
      <c r="F32" s="98">
        <f t="shared" si="2"/>
        <v>38000</v>
      </c>
      <c r="G32" s="521">
        <v>38000</v>
      </c>
      <c r="H32" s="638">
        <f t="shared" si="36"/>
        <v>0</v>
      </c>
      <c r="I32" s="98">
        <f t="shared" si="29"/>
        <v>7884</v>
      </c>
      <c r="J32" s="1">
        <v>7885</v>
      </c>
      <c r="K32" s="638">
        <f t="shared" si="30"/>
        <v>1</v>
      </c>
      <c r="L32" s="98">
        <f t="shared" si="31"/>
        <v>11978</v>
      </c>
      <c r="M32" s="1">
        <v>11978</v>
      </c>
      <c r="N32" s="638">
        <f t="shared" si="32"/>
        <v>0</v>
      </c>
      <c r="O32" s="98">
        <f t="shared" si="33"/>
        <v>20091</v>
      </c>
      <c r="P32" s="515">
        <v>20094</v>
      </c>
      <c r="Q32" s="638">
        <f t="shared" si="34"/>
        <v>3</v>
      </c>
      <c r="R32" s="332"/>
      <c r="S32" s="327">
        <f t="shared" si="35"/>
        <v>51420</v>
      </c>
      <c r="T32" s="516">
        <v>51485</v>
      </c>
      <c r="U32" s="639">
        <f t="shared" si="17"/>
        <v>65</v>
      </c>
      <c r="V32" s="327">
        <f t="shared" si="28"/>
        <v>71260</v>
      </c>
      <c r="W32" s="516">
        <v>71260</v>
      </c>
      <c r="X32" s="639">
        <f t="shared" si="18"/>
        <v>0</v>
      </c>
      <c r="Y32" s="327">
        <f t="shared" si="11"/>
        <v>80332</v>
      </c>
      <c r="Z32" s="516">
        <v>80332</v>
      </c>
      <c r="AA32" s="639">
        <f t="shared" si="19"/>
        <v>0</v>
      </c>
      <c r="AB32" s="327">
        <f t="shared" si="12"/>
        <v>13184</v>
      </c>
      <c r="AC32" s="328">
        <v>13184</v>
      </c>
      <c r="AD32" s="639">
        <f t="shared" si="20"/>
        <v>0</v>
      </c>
      <c r="AE32" s="327">
        <f t="shared" si="13"/>
        <v>17194</v>
      </c>
      <c r="AF32" s="517">
        <v>17218</v>
      </c>
      <c r="AG32" s="639">
        <f t="shared" si="21"/>
        <v>24</v>
      </c>
      <c r="AH32" s="327">
        <f t="shared" si="14"/>
        <v>24546</v>
      </c>
      <c r="AI32" s="517">
        <v>24546</v>
      </c>
      <c r="AJ32" s="639">
        <f t="shared" si="23"/>
        <v>0</v>
      </c>
      <c r="AK32" s="420">
        <f t="shared" si="15"/>
        <v>15154</v>
      </c>
      <c r="AL32" s="516">
        <v>15154</v>
      </c>
      <c r="AM32" s="639">
        <f t="shared" si="22"/>
        <v>0</v>
      </c>
      <c r="AN32" s="523">
        <f t="shared" si="24"/>
        <v>89</v>
      </c>
    </row>
    <row r="33" spans="1:41" ht="23.1" customHeight="1">
      <c r="A33" s="58">
        <f>Gen!B38</f>
        <v>43918</v>
      </c>
      <c r="B33" s="4"/>
      <c r="C33" s="98">
        <f t="shared" si="37"/>
        <v>232427</v>
      </c>
      <c r="D33" s="1">
        <v>232459</v>
      </c>
      <c r="E33" s="638">
        <f t="shared" si="26"/>
        <v>32</v>
      </c>
      <c r="F33" s="98">
        <f t="shared" si="2"/>
        <v>38000</v>
      </c>
      <c r="G33" s="521">
        <v>38000</v>
      </c>
      <c r="H33" s="638">
        <f t="shared" si="36"/>
        <v>0</v>
      </c>
      <c r="I33" s="98">
        <f t="shared" si="29"/>
        <v>7885</v>
      </c>
      <c r="J33" s="1">
        <v>7886</v>
      </c>
      <c r="K33" s="638">
        <f t="shared" si="30"/>
        <v>1</v>
      </c>
      <c r="L33" s="98">
        <f t="shared" si="31"/>
        <v>11978</v>
      </c>
      <c r="M33" s="1">
        <v>11978</v>
      </c>
      <c r="N33" s="638">
        <f t="shared" si="32"/>
        <v>0</v>
      </c>
      <c r="O33" s="98">
        <f t="shared" si="33"/>
        <v>20094</v>
      </c>
      <c r="P33" s="515">
        <v>20095</v>
      </c>
      <c r="Q33" s="638">
        <f t="shared" si="34"/>
        <v>1</v>
      </c>
      <c r="R33" s="332"/>
      <c r="S33" s="327">
        <f t="shared" si="35"/>
        <v>51485</v>
      </c>
      <c r="T33" s="516">
        <v>51549</v>
      </c>
      <c r="U33" s="639">
        <f t="shared" si="17"/>
        <v>64</v>
      </c>
      <c r="V33" s="327">
        <f t="shared" si="28"/>
        <v>71260</v>
      </c>
      <c r="W33" s="516">
        <v>71260</v>
      </c>
      <c r="X33" s="639">
        <f t="shared" si="18"/>
        <v>0</v>
      </c>
      <c r="Y33" s="327">
        <f t="shared" si="11"/>
        <v>80332</v>
      </c>
      <c r="Z33" s="516">
        <v>80332</v>
      </c>
      <c r="AA33" s="639">
        <f t="shared" si="19"/>
        <v>0</v>
      </c>
      <c r="AB33" s="327">
        <f t="shared" si="12"/>
        <v>13184</v>
      </c>
      <c r="AC33" s="328">
        <v>13184</v>
      </c>
      <c r="AD33" s="639">
        <f t="shared" si="20"/>
        <v>0</v>
      </c>
      <c r="AE33" s="327">
        <f t="shared" si="13"/>
        <v>17218</v>
      </c>
      <c r="AF33" s="517">
        <v>17241</v>
      </c>
      <c r="AG33" s="639">
        <f t="shared" si="21"/>
        <v>23</v>
      </c>
      <c r="AH33" s="327">
        <f t="shared" si="14"/>
        <v>24546</v>
      </c>
      <c r="AI33" s="517">
        <v>24546</v>
      </c>
      <c r="AJ33" s="639">
        <f t="shared" si="23"/>
        <v>0</v>
      </c>
      <c r="AK33" s="420">
        <f t="shared" si="15"/>
        <v>15154</v>
      </c>
      <c r="AL33" s="516">
        <v>15154</v>
      </c>
      <c r="AM33" s="639">
        <f t="shared" si="22"/>
        <v>0</v>
      </c>
      <c r="AN33" s="523">
        <f t="shared" si="24"/>
        <v>87</v>
      </c>
    </row>
    <row r="34" spans="1:41" ht="23.1" customHeight="1">
      <c r="A34" s="58">
        <f>Gen!B39</f>
        <v>43919</v>
      </c>
      <c r="B34" s="171"/>
      <c r="C34" s="98">
        <f t="shared" si="37"/>
        <v>232459</v>
      </c>
      <c r="D34" s="1">
        <v>232497</v>
      </c>
      <c r="E34" s="638">
        <f t="shared" si="26"/>
        <v>38</v>
      </c>
      <c r="F34" s="98">
        <f t="shared" si="2"/>
        <v>38000</v>
      </c>
      <c r="G34" s="521">
        <v>38000</v>
      </c>
      <c r="H34" s="638">
        <f t="shared" si="36"/>
        <v>0</v>
      </c>
      <c r="I34" s="98">
        <f t="shared" si="29"/>
        <v>7886</v>
      </c>
      <c r="J34" s="1">
        <v>7887</v>
      </c>
      <c r="K34" s="638">
        <f t="shared" si="30"/>
        <v>1</v>
      </c>
      <c r="L34" s="98">
        <f t="shared" si="31"/>
        <v>11978</v>
      </c>
      <c r="M34" s="1">
        <v>11978</v>
      </c>
      <c r="N34" s="638">
        <f t="shared" si="32"/>
        <v>0</v>
      </c>
      <c r="O34" s="98">
        <f t="shared" si="33"/>
        <v>20095</v>
      </c>
      <c r="P34" s="515">
        <v>20096</v>
      </c>
      <c r="Q34" s="638">
        <f t="shared" si="34"/>
        <v>1</v>
      </c>
      <c r="R34" s="332"/>
      <c r="S34" s="327">
        <f t="shared" si="35"/>
        <v>51549</v>
      </c>
      <c r="T34" s="516">
        <v>51612</v>
      </c>
      <c r="U34" s="639">
        <f t="shared" si="17"/>
        <v>63</v>
      </c>
      <c r="V34" s="327">
        <f t="shared" si="28"/>
        <v>71260</v>
      </c>
      <c r="W34" s="516">
        <v>71260</v>
      </c>
      <c r="X34" s="639">
        <f t="shared" si="18"/>
        <v>0</v>
      </c>
      <c r="Y34" s="327">
        <f t="shared" si="11"/>
        <v>80332</v>
      </c>
      <c r="Z34" s="516">
        <v>80332</v>
      </c>
      <c r="AA34" s="639">
        <f t="shared" si="19"/>
        <v>0</v>
      </c>
      <c r="AB34" s="327">
        <f t="shared" si="12"/>
        <v>13184</v>
      </c>
      <c r="AC34" s="328">
        <v>13184</v>
      </c>
      <c r="AD34" s="639">
        <f t="shared" si="20"/>
        <v>0</v>
      </c>
      <c r="AE34" s="327">
        <f t="shared" si="13"/>
        <v>17241</v>
      </c>
      <c r="AF34" s="517">
        <v>17265</v>
      </c>
      <c r="AG34" s="639">
        <f t="shared" si="21"/>
        <v>24</v>
      </c>
      <c r="AH34" s="327">
        <f t="shared" si="14"/>
        <v>24546</v>
      </c>
      <c r="AI34" s="517">
        <v>24546</v>
      </c>
      <c r="AJ34" s="639" t="str">
        <f t="shared" si="23"/>
        <v>0</v>
      </c>
      <c r="AK34" s="420">
        <f t="shared" si="15"/>
        <v>15154</v>
      </c>
      <c r="AL34" s="516">
        <v>15154</v>
      </c>
      <c r="AM34" s="639">
        <f t="shared" si="22"/>
        <v>0</v>
      </c>
      <c r="AN34" s="523">
        <f t="shared" si="24"/>
        <v>87</v>
      </c>
    </row>
    <row r="35" spans="1:41" ht="23.1" customHeight="1">
      <c r="A35" s="58">
        <f>Gen!B40</f>
        <v>43920</v>
      </c>
      <c r="B35" s="171"/>
      <c r="C35" s="98">
        <f t="shared" si="37"/>
        <v>232497</v>
      </c>
      <c r="D35" s="1"/>
      <c r="E35" s="638" t="str">
        <f t="shared" si="26"/>
        <v>0</v>
      </c>
      <c r="F35" s="98">
        <f t="shared" si="2"/>
        <v>38000</v>
      </c>
      <c r="G35" s="521"/>
      <c r="H35" s="638" t="str">
        <f t="shared" si="36"/>
        <v>0</v>
      </c>
      <c r="I35" s="98">
        <f t="shared" si="29"/>
        <v>7887</v>
      </c>
      <c r="J35" s="1"/>
      <c r="K35" s="638" t="str">
        <f t="shared" si="30"/>
        <v>0</v>
      </c>
      <c r="L35" s="98">
        <f t="shared" si="31"/>
        <v>11978</v>
      </c>
      <c r="M35" s="1"/>
      <c r="N35" s="638" t="str">
        <f t="shared" si="32"/>
        <v>0</v>
      </c>
      <c r="O35" s="98">
        <f t="shared" si="33"/>
        <v>20096</v>
      </c>
      <c r="P35" s="515"/>
      <c r="Q35" s="638" t="str">
        <f t="shared" si="34"/>
        <v>0</v>
      </c>
      <c r="R35" s="332"/>
      <c r="S35" s="327">
        <f t="shared" si="35"/>
        <v>51612</v>
      </c>
      <c r="T35" s="516"/>
      <c r="U35" s="639" t="str">
        <f t="shared" si="17"/>
        <v>0</v>
      </c>
      <c r="V35" s="327">
        <f t="shared" si="28"/>
        <v>71260</v>
      </c>
      <c r="W35" s="516"/>
      <c r="X35" s="639" t="str">
        <f t="shared" si="18"/>
        <v>0</v>
      </c>
      <c r="Y35" s="327">
        <f t="shared" si="11"/>
        <v>80332</v>
      </c>
      <c r="Z35" s="516"/>
      <c r="AA35" s="639" t="str">
        <f t="shared" si="19"/>
        <v>0</v>
      </c>
      <c r="AB35" s="327">
        <f t="shared" si="12"/>
        <v>13184</v>
      </c>
      <c r="AC35" s="328"/>
      <c r="AD35" s="639" t="str">
        <f t="shared" si="20"/>
        <v>0</v>
      </c>
      <c r="AE35" s="327">
        <f t="shared" si="13"/>
        <v>17265</v>
      </c>
      <c r="AF35" s="517"/>
      <c r="AG35" s="639" t="str">
        <f t="shared" si="21"/>
        <v>0</v>
      </c>
      <c r="AH35" s="327">
        <f t="shared" si="14"/>
        <v>24546</v>
      </c>
      <c r="AI35" s="517"/>
      <c r="AJ35" s="639" t="str">
        <f t="shared" si="23"/>
        <v>0</v>
      </c>
      <c r="AK35" s="420">
        <f t="shared" si="15"/>
        <v>15154</v>
      </c>
      <c r="AL35" s="516"/>
      <c r="AM35" s="639" t="str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1642</v>
      </c>
    </row>
    <row r="38" spans="1:41" ht="17.25">
      <c r="A38" s="58"/>
      <c r="B38" s="22"/>
      <c r="C38" s="863" t="s">
        <v>6</v>
      </c>
      <c r="D38" s="863"/>
      <c r="E38" s="23">
        <f>SUM(E6:E36)</f>
        <v>2871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64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2871</v>
      </c>
      <c r="S38" s="329"/>
      <c r="T38" s="329"/>
      <c r="U38" s="339">
        <f>SUM(U6:U37)</f>
        <v>1642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1642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32"/>
      <c r="B42" s="365"/>
      <c r="C42" s="829" t="s">
        <v>223</v>
      </c>
      <c r="D42" s="830"/>
      <c r="E42" s="830"/>
      <c r="F42" s="830"/>
      <c r="G42" s="830"/>
      <c r="H42" s="830"/>
      <c r="I42" s="830"/>
      <c r="J42" s="830"/>
      <c r="K42" s="831"/>
      <c r="R42" s="20"/>
    </row>
    <row r="43" spans="1:41" ht="24.75" customHeight="1">
      <c r="A43" s="833"/>
      <c r="B43" s="20"/>
      <c r="C43" s="835" t="s">
        <v>217</v>
      </c>
      <c r="D43" s="836"/>
      <c r="E43" s="837" t="s">
        <v>238</v>
      </c>
      <c r="F43" s="838"/>
      <c r="G43" s="839" t="s">
        <v>218</v>
      </c>
      <c r="H43" s="840"/>
      <c r="I43" s="839" t="s">
        <v>239</v>
      </c>
      <c r="J43" s="840"/>
      <c r="K43" s="827" t="s">
        <v>224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33"/>
      <c r="B44" s="20"/>
      <c r="C44" s="841" t="s">
        <v>219</v>
      </c>
      <c r="D44" s="842"/>
      <c r="E44" s="841" t="s">
        <v>220</v>
      </c>
      <c r="F44" s="842"/>
      <c r="G44" s="841" t="s">
        <v>221</v>
      </c>
      <c r="H44" s="842"/>
      <c r="I44" s="841" t="s">
        <v>222</v>
      </c>
      <c r="J44" s="842"/>
      <c r="K44" s="828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34"/>
      <c r="B45" s="20"/>
      <c r="C45" s="432" t="s">
        <v>226</v>
      </c>
      <c r="D45" s="433" t="s">
        <v>225</v>
      </c>
      <c r="E45" s="434" t="s">
        <v>226</v>
      </c>
      <c r="F45" s="435" t="s">
        <v>225</v>
      </c>
      <c r="G45" s="640"/>
      <c r="H45" s="435" t="s">
        <v>225</v>
      </c>
      <c r="I45" s="434" t="s">
        <v>226</v>
      </c>
      <c r="J45" s="435" t="s">
        <v>225</v>
      </c>
      <c r="K45" s="436" t="s">
        <v>225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1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1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1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43894</v>
      </c>
      <c r="B49" s="20"/>
      <c r="C49" s="63">
        <v>165</v>
      </c>
      <c r="D49" s="431">
        <f t="shared" si="42"/>
        <v>119.35</v>
      </c>
      <c r="E49" s="6">
        <v>120</v>
      </c>
      <c r="F49" s="431">
        <f t="shared" si="43"/>
        <v>36.196721311475407</v>
      </c>
      <c r="G49" s="641">
        <v>20</v>
      </c>
      <c r="H49" s="431">
        <f t="shared" si="44"/>
        <v>7.6240208877284594</v>
      </c>
      <c r="I49" s="6">
        <v>203</v>
      </c>
      <c r="J49" s="431">
        <f t="shared" si="45"/>
        <v>140.38636363636363</v>
      </c>
      <c r="K49" s="437">
        <f t="shared" si="46"/>
        <v>303.55710583556748</v>
      </c>
    </row>
    <row r="50" spans="1:15" ht="13.5">
      <c r="A50" s="383">
        <f>Gen!B15</f>
        <v>43895</v>
      </c>
      <c r="B50" s="20"/>
      <c r="C50" s="63">
        <v>160</v>
      </c>
      <c r="D50" s="431">
        <f t="shared" si="42"/>
        <v>115.73333333333333</v>
      </c>
      <c r="E50" s="6">
        <v>125</v>
      </c>
      <c r="F50" s="431">
        <f t="shared" si="43"/>
        <v>37.704918032786885</v>
      </c>
      <c r="G50" s="641">
        <v>10</v>
      </c>
      <c r="H50" s="431">
        <f t="shared" si="44"/>
        <v>3.8120104438642297</v>
      </c>
      <c r="I50" s="6">
        <v>210</v>
      </c>
      <c r="J50" s="431">
        <f t="shared" si="45"/>
        <v>145.22727272727272</v>
      </c>
      <c r="K50" s="437">
        <f t="shared" si="46"/>
        <v>302.47753453725716</v>
      </c>
    </row>
    <row r="51" spans="1:15" ht="13.5">
      <c r="A51" s="383">
        <f>Gen!B16</f>
        <v>43896</v>
      </c>
      <c r="B51" s="20"/>
      <c r="C51" s="63">
        <v>191</v>
      </c>
      <c r="D51" s="431">
        <f t="shared" si="42"/>
        <v>138.15666666666667</v>
      </c>
      <c r="E51" s="6">
        <v>155</v>
      </c>
      <c r="F51" s="431">
        <f t="shared" si="43"/>
        <v>46.754098360655739</v>
      </c>
      <c r="G51" s="641">
        <v>50</v>
      </c>
      <c r="H51" s="431">
        <f t="shared" si="44"/>
        <v>19.06005221932115</v>
      </c>
      <c r="I51" s="6">
        <v>135</v>
      </c>
      <c r="J51" s="431">
        <f t="shared" si="45"/>
        <v>93.360389610389603</v>
      </c>
      <c r="K51" s="437">
        <f t="shared" si="46"/>
        <v>297.33120685703318</v>
      </c>
    </row>
    <row r="52" spans="1:15" ht="13.5">
      <c r="A52" s="383">
        <f>Gen!B17</f>
        <v>43897</v>
      </c>
      <c r="B52" s="20"/>
      <c r="C52" s="63">
        <v>180</v>
      </c>
      <c r="D52" s="431">
        <f t="shared" si="42"/>
        <v>130.19999999999999</v>
      </c>
      <c r="E52" s="6">
        <v>150</v>
      </c>
      <c r="F52" s="431">
        <f t="shared" si="43"/>
        <v>45.245901639344261</v>
      </c>
      <c r="G52" s="641">
        <v>140</v>
      </c>
      <c r="H52" s="431">
        <f t="shared" si="44"/>
        <v>53.36814621409922</v>
      </c>
      <c r="I52" s="6">
        <v>100</v>
      </c>
      <c r="J52" s="431">
        <f t="shared" si="45"/>
        <v>69.15584415584415</v>
      </c>
      <c r="K52" s="437">
        <f t="shared" si="46"/>
        <v>297.96989200928761</v>
      </c>
    </row>
    <row r="53" spans="1:15" ht="13.5">
      <c r="A53" s="383">
        <f>Gen!B18</f>
        <v>43898</v>
      </c>
      <c r="B53" s="20"/>
      <c r="C53" s="63">
        <v>110</v>
      </c>
      <c r="D53" s="431">
        <f t="shared" si="42"/>
        <v>79.566666666666663</v>
      </c>
      <c r="E53" s="6">
        <v>90</v>
      </c>
      <c r="F53" s="431">
        <f t="shared" si="43"/>
        <v>27.147540983606557</v>
      </c>
      <c r="G53" s="641">
        <v>105</v>
      </c>
      <c r="H53" s="431">
        <f t="shared" si="44"/>
        <v>40.026109660574413</v>
      </c>
      <c r="I53" s="6">
        <v>180</v>
      </c>
      <c r="J53" s="431">
        <f t="shared" si="45"/>
        <v>124.48051948051948</v>
      </c>
      <c r="K53" s="437">
        <f t="shared" si="46"/>
        <v>271.22083679136711</v>
      </c>
    </row>
    <row r="54" spans="1:15" ht="13.5">
      <c r="A54" s="383">
        <f>Gen!B19</f>
        <v>43899</v>
      </c>
      <c r="B54" s="20"/>
      <c r="C54" s="63">
        <v>60</v>
      </c>
      <c r="D54" s="431">
        <f t="shared" si="42"/>
        <v>43.4</v>
      </c>
      <c r="E54" s="6">
        <v>30</v>
      </c>
      <c r="F54" s="431">
        <f t="shared" si="43"/>
        <v>9.0491803278688518</v>
      </c>
      <c r="G54" s="641">
        <v>295</v>
      </c>
      <c r="H54" s="431">
        <f t="shared" si="44"/>
        <v>112.45430809399478</v>
      </c>
      <c r="I54" s="6">
        <v>200</v>
      </c>
      <c r="J54" s="431">
        <f t="shared" si="45"/>
        <v>138.3116883116883</v>
      </c>
      <c r="K54" s="437">
        <f t="shared" si="46"/>
        <v>303.21517673355197</v>
      </c>
    </row>
    <row r="55" spans="1:15" ht="13.5">
      <c r="A55" s="383">
        <f>Gen!B20</f>
        <v>43900</v>
      </c>
      <c r="B55" s="20"/>
      <c r="C55" s="63">
        <v>245</v>
      </c>
      <c r="D55" s="431">
        <f t="shared" si="42"/>
        <v>177.21666666666667</v>
      </c>
      <c r="E55" s="6">
        <v>210</v>
      </c>
      <c r="F55" s="431">
        <f t="shared" si="43"/>
        <v>63.344262295081968</v>
      </c>
      <c r="G55" s="641">
        <v>5</v>
      </c>
      <c r="H55" s="431">
        <f t="shared" si="44"/>
        <v>1.9060052219321149</v>
      </c>
      <c r="I55" s="6">
        <v>170</v>
      </c>
      <c r="J55" s="431">
        <f t="shared" si="45"/>
        <v>117.56493506493507</v>
      </c>
      <c r="K55" s="437">
        <f t="shared" si="46"/>
        <v>360.03186924861581</v>
      </c>
    </row>
    <row r="56" spans="1:15" ht="13.5">
      <c r="A56" s="383">
        <f>Gen!B21</f>
        <v>43901</v>
      </c>
      <c r="B56" s="20"/>
      <c r="C56" s="63">
        <v>240</v>
      </c>
      <c r="D56" s="431">
        <f t="shared" si="42"/>
        <v>173.6</v>
      </c>
      <c r="E56" s="6">
        <v>205</v>
      </c>
      <c r="F56" s="431">
        <f t="shared" si="43"/>
        <v>61.83606557377049</v>
      </c>
      <c r="G56" s="641">
        <v>235</v>
      </c>
      <c r="H56" s="431">
        <f t="shared" si="44"/>
        <v>89.582245430809394</v>
      </c>
      <c r="I56" s="6">
        <v>130</v>
      </c>
      <c r="J56" s="431">
        <f t="shared" si="45"/>
        <v>89.902597402597408</v>
      </c>
      <c r="K56" s="437">
        <f t="shared" si="46"/>
        <v>414.92090840717731</v>
      </c>
    </row>
    <row r="57" spans="1:15" ht="13.5">
      <c r="A57" s="383">
        <f>Gen!B22</f>
        <v>43902</v>
      </c>
      <c r="B57" s="20"/>
      <c r="C57" s="63">
        <v>191</v>
      </c>
      <c r="D57" s="431">
        <f t="shared" si="42"/>
        <v>138.15666666666667</v>
      </c>
      <c r="E57" s="6">
        <v>155</v>
      </c>
      <c r="F57" s="431">
        <f t="shared" si="43"/>
        <v>46.754098360655739</v>
      </c>
      <c r="G57" s="641">
        <v>300</v>
      </c>
      <c r="H57" s="431">
        <f t="shared" si="44"/>
        <v>114.36031331592689</v>
      </c>
      <c r="I57" s="6">
        <v>200</v>
      </c>
      <c r="J57" s="431">
        <f t="shared" si="45"/>
        <v>138.3116883116883</v>
      </c>
      <c r="K57" s="437">
        <f t="shared" si="46"/>
        <v>437.58276665493759</v>
      </c>
    </row>
    <row r="58" spans="1:15" ht="13.5">
      <c r="A58" s="383">
        <f>Gen!B23</f>
        <v>43903</v>
      </c>
      <c r="B58" s="20"/>
      <c r="C58" s="63">
        <v>146</v>
      </c>
      <c r="D58" s="431">
        <f t="shared" si="42"/>
        <v>105.60666666666667</v>
      </c>
      <c r="E58" s="6">
        <v>110</v>
      </c>
      <c r="F58" s="431">
        <f t="shared" si="43"/>
        <v>33.180327868852459</v>
      </c>
      <c r="G58" s="641">
        <v>300</v>
      </c>
      <c r="H58" s="431">
        <f t="shared" si="44"/>
        <v>114.36031331592689</v>
      </c>
      <c r="I58" s="6">
        <v>275</v>
      </c>
      <c r="J58" s="431">
        <f t="shared" si="45"/>
        <v>190.17857142857142</v>
      </c>
      <c r="K58" s="437">
        <f t="shared" si="46"/>
        <v>443.32587928001738</v>
      </c>
    </row>
    <row r="59" spans="1:15" ht="13.5">
      <c r="A59" s="383">
        <f>Gen!B24</f>
        <v>43904</v>
      </c>
      <c r="B59" s="20"/>
      <c r="C59" s="63">
        <v>195</v>
      </c>
      <c r="D59" s="431">
        <f t="shared" si="42"/>
        <v>141.05000000000001</v>
      </c>
      <c r="E59" s="6">
        <v>160</v>
      </c>
      <c r="F59" s="431">
        <f t="shared" si="43"/>
        <v>48.26229508196721</v>
      </c>
      <c r="G59" s="641">
        <v>300</v>
      </c>
      <c r="H59" s="431">
        <f t="shared" si="44"/>
        <v>114.36031331592689</v>
      </c>
      <c r="I59" s="6">
        <v>280</v>
      </c>
      <c r="J59" s="431">
        <f t="shared" si="45"/>
        <v>193.63636363636363</v>
      </c>
      <c r="K59" s="437">
        <f t="shared" si="46"/>
        <v>497.30897203425775</v>
      </c>
    </row>
    <row r="60" spans="1:15" ht="13.5">
      <c r="A60" s="383">
        <f>Gen!B25</f>
        <v>43905</v>
      </c>
      <c r="B60" s="20"/>
      <c r="C60" s="63">
        <v>250</v>
      </c>
      <c r="D60" s="431">
        <f t="shared" si="42"/>
        <v>180.83333333333334</v>
      </c>
      <c r="E60" s="6">
        <v>230</v>
      </c>
      <c r="F60" s="431">
        <f t="shared" si="43"/>
        <v>69.377049180327873</v>
      </c>
      <c r="G60" s="641">
        <v>200</v>
      </c>
      <c r="H60" s="431">
        <f t="shared" si="44"/>
        <v>76.240208877284601</v>
      </c>
      <c r="I60" s="6">
        <v>280</v>
      </c>
      <c r="J60" s="431">
        <f t="shared" si="45"/>
        <v>193.63636363636363</v>
      </c>
      <c r="K60" s="437">
        <f t="shared" si="46"/>
        <v>520.08695502730939</v>
      </c>
      <c r="L60" t="s">
        <v>250</v>
      </c>
      <c r="O60" t="s">
        <v>251</v>
      </c>
    </row>
    <row r="61" spans="1:15" ht="13.5">
      <c r="A61" s="383">
        <f>Gen!B26</f>
        <v>43906</v>
      </c>
      <c r="B61" s="20"/>
      <c r="C61" s="63">
        <v>295</v>
      </c>
      <c r="D61" s="431">
        <f t="shared" si="42"/>
        <v>213.38333333333333</v>
      </c>
      <c r="E61" s="6">
        <v>280</v>
      </c>
      <c r="F61" s="431">
        <f t="shared" si="43"/>
        <v>84.459016393442624</v>
      </c>
      <c r="G61" s="641">
        <v>150</v>
      </c>
      <c r="H61" s="431">
        <f t="shared" si="44"/>
        <v>57.180156657963444</v>
      </c>
      <c r="I61" s="6">
        <v>275</v>
      </c>
      <c r="J61" s="431">
        <f t="shared" si="45"/>
        <v>190.17857142857142</v>
      </c>
      <c r="K61" s="437">
        <f t="shared" si="46"/>
        <v>545.2010778133108</v>
      </c>
      <c r="L61" t="s">
        <v>253</v>
      </c>
      <c r="N61" t="s">
        <v>252</v>
      </c>
    </row>
    <row r="62" spans="1:15" ht="13.5">
      <c r="A62" s="383">
        <f>Gen!B27</f>
        <v>43907</v>
      </c>
      <c r="B62" s="20"/>
      <c r="C62" s="63">
        <v>285</v>
      </c>
      <c r="D62" s="431">
        <f t="shared" si="42"/>
        <v>206.15</v>
      </c>
      <c r="E62" s="6">
        <v>265</v>
      </c>
      <c r="F62" s="431">
        <f t="shared" si="43"/>
        <v>79.93442622950819</v>
      </c>
      <c r="G62" s="641">
        <v>105</v>
      </c>
      <c r="H62" s="431">
        <f t="shared" si="44"/>
        <v>40.026109660574413</v>
      </c>
      <c r="I62" s="6">
        <v>280</v>
      </c>
      <c r="J62" s="431">
        <f t="shared" si="45"/>
        <v>193.63636363636363</v>
      </c>
      <c r="K62" s="437">
        <f t="shared" si="46"/>
        <v>519.74689952644621</v>
      </c>
    </row>
    <row r="63" spans="1:15" ht="13.5">
      <c r="A63" s="383">
        <f>Gen!B28</f>
        <v>43908</v>
      </c>
      <c r="B63" s="20"/>
      <c r="C63" s="63">
        <v>280</v>
      </c>
      <c r="D63" s="431">
        <f t="shared" si="42"/>
        <v>202.53333333333333</v>
      </c>
      <c r="E63" s="6">
        <v>255</v>
      </c>
      <c r="F63" s="431">
        <f t="shared" si="43"/>
        <v>76.918032786885249</v>
      </c>
      <c r="G63" s="641">
        <v>65</v>
      </c>
      <c r="H63" s="431">
        <f t="shared" si="44"/>
        <v>24.778067885117494</v>
      </c>
      <c r="I63" s="6">
        <v>285</v>
      </c>
      <c r="J63" s="431">
        <f t="shared" si="45"/>
        <v>197.09415584415584</v>
      </c>
      <c r="K63" s="437">
        <f t="shared" si="46"/>
        <v>501.3235898494919</v>
      </c>
    </row>
    <row r="64" spans="1:15" ht="13.5">
      <c r="A64" s="383">
        <f>Gen!B29</f>
        <v>43909</v>
      </c>
      <c r="B64" s="20"/>
      <c r="C64" s="63">
        <v>225</v>
      </c>
      <c r="D64" s="431">
        <f t="shared" si="42"/>
        <v>162.75</v>
      </c>
      <c r="E64" s="6">
        <v>195</v>
      </c>
      <c r="F64" s="431">
        <f t="shared" si="43"/>
        <v>58.819672131147541</v>
      </c>
      <c r="G64" s="641">
        <v>130</v>
      </c>
      <c r="H64" s="431">
        <f t="shared" si="44"/>
        <v>49.556135770234988</v>
      </c>
      <c r="I64" s="6">
        <v>295</v>
      </c>
      <c r="J64" s="431">
        <f t="shared" si="45"/>
        <v>204.00974025974025</v>
      </c>
      <c r="K64" s="437">
        <f t="shared" si="46"/>
        <v>475.13554816112276</v>
      </c>
    </row>
    <row r="65" spans="1:11" ht="13.5">
      <c r="A65" s="383">
        <f>Gen!B30</f>
        <v>43910</v>
      </c>
      <c r="B65" s="20"/>
      <c r="C65" s="63">
        <v>150</v>
      </c>
      <c r="D65" s="431">
        <f t="shared" si="42"/>
        <v>108.5</v>
      </c>
      <c r="E65" s="6">
        <v>115</v>
      </c>
      <c r="F65" s="431">
        <f t="shared" si="43"/>
        <v>34.688524590163937</v>
      </c>
      <c r="G65" s="641">
        <v>300</v>
      </c>
      <c r="H65" s="431">
        <f t="shared" si="44"/>
        <v>114.36031331592689</v>
      </c>
      <c r="I65" s="6">
        <v>285</v>
      </c>
      <c r="J65" s="431">
        <f t="shared" si="45"/>
        <v>197.09415584415584</v>
      </c>
      <c r="K65" s="437">
        <f t="shared" si="46"/>
        <v>454.64299375024666</v>
      </c>
    </row>
    <row r="66" spans="1:11" ht="13.5">
      <c r="A66" s="383">
        <f>Gen!B31</f>
        <v>43911</v>
      </c>
      <c r="B66" s="20"/>
      <c r="C66" s="63">
        <v>160</v>
      </c>
      <c r="D66" s="431">
        <f t="shared" si="42"/>
        <v>115.73333333333333</v>
      </c>
      <c r="E66" s="6">
        <v>125</v>
      </c>
      <c r="F66" s="431">
        <f t="shared" si="43"/>
        <v>37.704918032786885</v>
      </c>
      <c r="G66" s="641">
        <v>300</v>
      </c>
      <c r="H66" s="431">
        <f t="shared" si="44"/>
        <v>114.36031331592689</v>
      </c>
      <c r="I66" s="6">
        <v>290</v>
      </c>
      <c r="J66" s="431">
        <f t="shared" si="45"/>
        <v>200.55194805194805</v>
      </c>
      <c r="K66" s="437">
        <f t="shared" si="46"/>
        <v>468.35051273399517</v>
      </c>
    </row>
    <row r="67" spans="1:11" ht="13.5">
      <c r="A67" s="383">
        <f>Gen!B32</f>
        <v>43912</v>
      </c>
      <c r="B67" s="20"/>
      <c r="C67" s="63">
        <v>147</v>
      </c>
      <c r="D67" s="431">
        <f t="shared" si="42"/>
        <v>106.33</v>
      </c>
      <c r="E67" s="6">
        <v>185</v>
      </c>
      <c r="F67" s="431">
        <f t="shared" si="43"/>
        <v>55.803278688524593</v>
      </c>
      <c r="G67" s="641">
        <v>300</v>
      </c>
      <c r="H67" s="431">
        <f t="shared" si="44"/>
        <v>114.36031331592689</v>
      </c>
      <c r="I67" s="6">
        <v>295</v>
      </c>
      <c r="J67" s="431">
        <f t="shared" si="45"/>
        <v>204.00974025974025</v>
      </c>
      <c r="K67" s="437">
        <f t="shared" si="46"/>
        <v>480.50333226419173</v>
      </c>
    </row>
    <row r="68" spans="1:11" ht="13.5">
      <c r="A68" s="383">
        <f>Gen!B33</f>
        <v>43913</v>
      </c>
      <c r="B68" s="20"/>
      <c r="C68" s="63">
        <v>270</v>
      </c>
      <c r="D68" s="431">
        <f t="shared" si="42"/>
        <v>195.3</v>
      </c>
      <c r="E68" s="6">
        <v>245</v>
      </c>
      <c r="F68" s="431">
        <f t="shared" si="43"/>
        <v>73.901639344262293</v>
      </c>
      <c r="G68" s="641">
        <v>255</v>
      </c>
      <c r="H68" s="431">
        <f t="shared" si="44"/>
        <v>97.206266318537857</v>
      </c>
      <c r="I68" s="6">
        <v>300</v>
      </c>
      <c r="J68" s="431">
        <f t="shared" si="45"/>
        <v>207.46753246753246</v>
      </c>
      <c r="K68" s="437">
        <f t="shared" si="46"/>
        <v>573.87543813033267</v>
      </c>
    </row>
    <row r="69" spans="1:11" ht="13.5">
      <c r="A69" s="383">
        <f>Gen!B34</f>
        <v>43914</v>
      </c>
      <c r="B69" s="20"/>
      <c r="C69" s="63">
        <v>300</v>
      </c>
      <c r="D69" s="431">
        <f t="shared" si="42"/>
        <v>217</v>
      </c>
      <c r="E69" s="6">
        <v>300</v>
      </c>
      <c r="F69" s="431">
        <f t="shared" si="43"/>
        <v>90.491803278688522</v>
      </c>
      <c r="G69" s="641">
        <v>210</v>
      </c>
      <c r="H69" s="431">
        <f t="shared" si="44"/>
        <v>80.052219321148826</v>
      </c>
      <c r="I69" s="6">
        <v>300</v>
      </c>
      <c r="J69" s="431">
        <f t="shared" si="45"/>
        <v>207.46753246753246</v>
      </c>
      <c r="K69" s="437">
        <f t="shared" si="46"/>
        <v>595.01155506736973</v>
      </c>
    </row>
    <row r="70" spans="1:11" ht="13.5">
      <c r="A70" s="383">
        <f>Gen!B35</f>
        <v>43915</v>
      </c>
      <c r="B70" s="20"/>
      <c r="C70" s="63">
        <v>290</v>
      </c>
      <c r="D70" s="431">
        <f t="shared" si="42"/>
        <v>209.76666666666668</v>
      </c>
      <c r="E70" s="6">
        <v>265</v>
      </c>
      <c r="F70" s="431">
        <f t="shared" si="43"/>
        <v>79.93442622950819</v>
      </c>
      <c r="G70" s="641">
        <v>210</v>
      </c>
      <c r="H70" s="431">
        <f t="shared" si="44"/>
        <v>80.052219321148826</v>
      </c>
      <c r="I70" s="6">
        <v>280</v>
      </c>
      <c r="J70" s="431">
        <f t="shared" si="45"/>
        <v>193.63636363636363</v>
      </c>
      <c r="K70" s="437">
        <f t="shared" si="46"/>
        <v>563.38967585368732</v>
      </c>
    </row>
    <row r="71" spans="1:11" ht="13.5">
      <c r="A71" s="383">
        <f>Gen!B36</f>
        <v>43916</v>
      </c>
      <c r="B71" s="20"/>
      <c r="C71" s="63">
        <v>290</v>
      </c>
      <c r="D71" s="431">
        <f t="shared" si="42"/>
        <v>209.76666666666668</v>
      </c>
      <c r="E71" s="6">
        <v>265</v>
      </c>
      <c r="F71" s="431">
        <f t="shared" si="43"/>
        <v>79.93442622950819</v>
      </c>
      <c r="G71" s="641">
        <v>220</v>
      </c>
      <c r="H71" s="431">
        <f t="shared" si="44"/>
        <v>83.86422976501305</v>
      </c>
      <c r="I71" s="6">
        <v>280</v>
      </c>
      <c r="J71" s="431">
        <f t="shared" si="45"/>
        <v>193.63636363636363</v>
      </c>
      <c r="K71" s="437">
        <f t="shared" si="46"/>
        <v>567.20168629755153</v>
      </c>
    </row>
    <row r="72" spans="1:11" ht="13.5">
      <c r="A72" s="383">
        <f>Gen!B37</f>
        <v>43917</v>
      </c>
      <c r="B72" s="20"/>
      <c r="C72" s="63">
        <v>175</v>
      </c>
      <c r="D72" s="431">
        <f t="shared" si="42"/>
        <v>126.58333333333333</v>
      </c>
      <c r="E72" s="6">
        <v>150</v>
      </c>
      <c r="F72" s="431">
        <f t="shared" si="43"/>
        <v>45.245901639344261</v>
      </c>
      <c r="G72" s="641">
        <v>300</v>
      </c>
      <c r="H72" s="431">
        <f t="shared" si="44"/>
        <v>114.36031331592689</v>
      </c>
      <c r="I72" s="6">
        <v>280</v>
      </c>
      <c r="J72" s="431">
        <f t="shared" si="45"/>
        <v>193.63636363636363</v>
      </c>
      <c r="K72" s="437">
        <f t="shared" si="46"/>
        <v>479.82591192496812</v>
      </c>
    </row>
    <row r="73" spans="1:11" ht="13.5">
      <c r="A73" s="383">
        <f>Gen!B38</f>
        <v>43918</v>
      </c>
      <c r="B73" s="20"/>
      <c r="C73" s="63">
        <v>220</v>
      </c>
      <c r="D73" s="431">
        <f t="shared" si="42"/>
        <v>159.13333333333333</v>
      </c>
      <c r="E73" s="6">
        <v>195</v>
      </c>
      <c r="F73" s="431">
        <f t="shared" si="43"/>
        <v>58.819672131147541</v>
      </c>
      <c r="G73" s="641">
        <v>270</v>
      </c>
      <c r="H73" s="431">
        <f t="shared" si="44"/>
        <v>102.9242819843342</v>
      </c>
      <c r="I73" s="6">
        <v>275</v>
      </c>
      <c r="J73" s="431">
        <f t="shared" si="45"/>
        <v>190.17857142857142</v>
      </c>
      <c r="K73" s="437">
        <f t="shared" si="46"/>
        <v>511.05585887738653</v>
      </c>
    </row>
    <row r="74" spans="1:11" ht="13.5">
      <c r="A74" s="383">
        <f>Gen!B39</f>
        <v>43919</v>
      </c>
      <c r="B74" s="20"/>
      <c r="C74" s="63">
        <v>220</v>
      </c>
      <c r="D74" s="431">
        <f t="shared" si="42"/>
        <v>159.13333333333333</v>
      </c>
      <c r="E74" s="6">
        <v>195</v>
      </c>
      <c r="F74" s="431">
        <f t="shared" si="43"/>
        <v>58.819672131147541</v>
      </c>
      <c r="G74" s="641">
        <v>270</v>
      </c>
      <c r="H74" s="431">
        <f t="shared" si="44"/>
        <v>102.9242819843342</v>
      </c>
      <c r="I74" s="6">
        <v>275</v>
      </c>
      <c r="J74" s="431">
        <f t="shared" si="45"/>
        <v>190.17857142857142</v>
      </c>
      <c r="K74" s="437">
        <f t="shared" si="46"/>
        <v>511.05585887738653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181</v>
      </c>
      <c r="B1" s="865"/>
      <c r="C1" s="865"/>
      <c r="D1" s="865"/>
      <c r="E1" s="865"/>
      <c r="F1" s="865"/>
      <c r="G1" s="866"/>
    </row>
    <row r="2" spans="1:7" ht="13.5" thickBot="1">
      <c r="A2" s="393"/>
      <c r="B2" s="867" t="s">
        <v>176</v>
      </c>
      <c r="C2" s="868"/>
      <c r="D2" s="869"/>
      <c r="E2" s="867" t="s">
        <v>177</v>
      </c>
      <c r="F2" s="868"/>
      <c r="G2" s="869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55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55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55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55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55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231</v>
      </c>
      <c r="B1" s="865"/>
      <c r="C1" s="865"/>
      <c r="D1" s="865"/>
      <c r="G1" s="362"/>
      <c r="H1" s="363" t="s">
        <v>232</v>
      </c>
      <c r="I1" s="363"/>
      <c r="J1" s="362"/>
      <c r="K1" s="362"/>
    </row>
    <row r="2" spans="1:12" ht="39" thickBot="1">
      <c r="A2" s="659" t="s">
        <v>7</v>
      </c>
      <c r="B2" s="660" t="s">
        <v>178</v>
      </c>
      <c r="C2" s="660" t="s">
        <v>179</v>
      </c>
      <c r="D2" s="661" t="s">
        <v>196</v>
      </c>
      <c r="E2" s="661" t="s">
        <v>237</v>
      </c>
      <c r="F2" s="662" t="s">
        <v>215</v>
      </c>
      <c r="G2" s="663" t="s">
        <v>233</v>
      </c>
      <c r="H2" s="664" t="s">
        <v>234</v>
      </c>
      <c r="I2" s="665" t="s">
        <v>235</v>
      </c>
      <c r="J2" s="664" t="s">
        <v>236</v>
      </c>
      <c r="K2" s="664" t="s">
        <v>215</v>
      </c>
      <c r="L2" s="666" t="s">
        <v>197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51">
        <f t="shared" si="10"/>
        <v>0</v>
      </c>
      <c r="C87" s="622"/>
      <c r="D87" s="752">
        <f t="shared" si="7"/>
        <v>0</v>
      </c>
      <c r="E87" s="622"/>
      <c r="F87" s="753">
        <f t="shared" si="12"/>
        <v>0</v>
      </c>
      <c r="G87" s="754">
        <f t="shared" si="11"/>
        <v>0</v>
      </c>
      <c r="H87" s="622"/>
      <c r="I87" s="755">
        <f t="shared" si="8"/>
        <v>0</v>
      </c>
      <c r="J87" s="622"/>
      <c r="K87" s="756">
        <f t="shared" si="9"/>
        <v>0</v>
      </c>
      <c r="L87" s="757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C30" sqref="C30:J3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255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43891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256</v>
      </c>
      <c r="C3" s="594"/>
      <c r="D3" s="875" t="s">
        <v>257</v>
      </c>
      <c r="E3" s="876"/>
      <c r="F3" s="877" t="s">
        <v>258</v>
      </c>
      <c r="G3" s="878"/>
      <c r="H3" s="876"/>
      <c r="I3" s="877" t="s">
        <v>259</v>
      </c>
      <c r="J3" s="876"/>
    </row>
    <row r="4" spans="1:10" ht="30.75" thickBot="1">
      <c r="A4" s="872"/>
      <c r="B4" s="874"/>
      <c r="C4" s="601" t="s">
        <v>304</v>
      </c>
      <c r="D4" s="527" t="s">
        <v>260</v>
      </c>
      <c r="E4" s="532" t="s">
        <v>3</v>
      </c>
      <c r="F4" s="527" t="s">
        <v>260</v>
      </c>
      <c r="G4" s="527" t="s">
        <v>261</v>
      </c>
      <c r="H4" s="527" t="s">
        <v>262</v>
      </c>
      <c r="I4" s="527" t="s">
        <v>17</v>
      </c>
      <c r="J4" s="527" t="s">
        <v>263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639.99999999996362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149.94</v>
      </c>
      <c r="D8" s="600">
        <f>Gen!T14</f>
        <v>2421.29</v>
      </c>
      <c r="E8" s="529">
        <f>Gen!D14</f>
        <v>43191.070000000007</v>
      </c>
      <c r="F8" s="530">
        <f>'Water-Meter'!E9</f>
        <v>163</v>
      </c>
      <c r="G8" s="531">
        <f>'Water-Meter'!AN9</f>
        <v>203</v>
      </c>
      <c r="H8" s="529">
        <f>'Utility report '!AC9</f>
        <v>153</v>
      </c>
      <c r="I8" s="528">
        <f>'Kit report'!F7</f>
        <v>552.00000000004366</v>
      </c>
      <c r="J8" s="529">
        <f>'Kit report'!X7</f>
        <v>1660.0000000000364</v>
      </c>
    </row>
    <row r="9" spans="1:10" ht="17.100000000000001" customHeight="1">
      <c r="A9" s="290">
        <v>43895</v>
      </c>
      <c r="B9" s="533">
        <f>Gen!C15</f>
        <v>1</v>
      </c>
      <c r="C9" s="599">
        <f>Gen!AK15</f>
        <v>44.9</v>
      </c>
      <c r="D9" s="600">
        <f>Gen!T15</f>
        <v>2590.17</v>
      </c>
      <c r="E9" s="529">
        <f>Gen!D15</f>
        <v>40619.840000000004</v>
      </c>
      <c r="F9" s="530">
        <f>'Water-Meter'!E10</f>
        <v>177</v>
      </c>
      <c r="G9" s="531">
        <f>'Water-Meter'!AN10</f>
        <v>235</v>
      </c>
      <c r="H9" s="529">
        <f>'Utility report '!AC10</f>
        <v>159</v>
      </c>
      <c r="I9" s="528">
        <f>'Kit report'!F8</f>
        <v>563.99999999986903</v>
      </c>
      <c r="J9" s="529">
        <f>'Kit report'!X8</f>
        <v>1039.9999999999636</v>
      </c>
    </row>
    <row r="10" spans="1:10" ht="17.100000000000001" customHeight="1">
      <c r="A10" s="290">
        <v>43896</v>
      </c>
      <c r="B10" s="533">
        <f>Gen!C16</f>
        <v>1</v>
      </c>
      <c r="C10" s="599">
        <f>Gen!AK16</f>
        <v>75.03</v>
      </c>
      <c r="D10" s="600">
        <f>Gen!T16</f>
        <v>2694.18</v>
      </c>
      <c r="E10" s="529">
        <f>Gen!D16</f>
        <v>37984.770000000004</v>
      </c>
      <c r="F10" s="530">
        <f>'Water-Meter'!E11</f>
        <v>191</v>
      </c>
      <c r="G10" s="531">
        <f>'Water-Meter'!AN11</f>
        <v>224</v>
      </c>
      <c r="H10" s="529">
        <f>'Utility report '!AC11</f>
        <v>125</v>
      </c>
      <c r="I10" s="528">
        <f>'Kit report'!F9</f>
        <v>576.00000000013097</v>
      </c>
      <c r="J10" s="529">
        <f>'Kit report'!X9</f>
        <v>1160.0000000000364</v>
      </c>
    </row>
    <row r="11" spans="1:10" ht="17.100000000000001" customHeight="1">
      <c r="A11" s="290">
        <v>43897</v>
      </c>
      <c r="B11" s="533">
        <f>Gen!C17</f>
        <v>1</v>
      </c>
      <c r="C11" s="599">
        <f>Gen!AK17</f>
        <v>87.259999999999991</v>
      </c>
      <c r="D11" s="600">
        <f>Gen!T17</f>
        <v>2914.3</v>
      </c>
      <c r="E11" s="529">
        <f>Gen!D17</f>
        <v>50215.560000000005</v>
      </c>
      <c r="F11" s="530">
        <f>'Water-Meter'!E12</f>
        <v>168</v>
      </c>
      <c r="G11" s="531">
        <f>'Water-Meter'!AN12</f>
        <v>177</v>
      </c>
      <c r="H11" s="529">
        <f>'Utility report '!AC12</f>
        <v>155</v>
      </c>
      <c r="I11" s="528">
        <f>'Kit report'!F10</f>
        <v>707.99999999995634</v>
      </c>
      <c r="J11" s="529">
        <f>'Kit report'!X10</f>
        <v>1160.0000000000364</v>
      </c>
    </row>
    <row r="12" spans="1:10" ht="17.100000000000001" customHeight="1">
      <c r="A12" s="290">
        <v>43898</v>
      </c>
      <c r="B12" s="533">
        <f>Gen!C18</f>
        <v>0.59740000000000004</v>
      </c>
      <c r="C12" s="599">
        <f>Gen!AK18</f>
        <v>424.4</v>
      </c>
      <c r="D12" s="600">
        <f>Gen!T18</f>
        <v>2683.84</v>
      </c>
      <c r="E12" s="529">
        <f>Gen!D18</f>
        <v>47214.000000000007</v>
      </c>
      <c r="F12" s="530">
        <f>'Water-Meter'!E13</f>
        <v>131</v>
      </c>
      <c r="G12" s="531">
        <f>'Water-Meter'!AN13</f>
        <v>176</v>
      </c>
      <c r="H12" s="529">
        <f>'Utility report '!AC13</f>
        <v>183</v>
      </c>
      <c r="I12" s="528">
        <f>'Kit report'!F11</f>
        <v>563.99999999986903</v>
      </c>
      <c r="J12" s="529">
        <f>'Kit report'!X11</f>
        <v>1260.0000000000364</v>
      </c>
    </row>
    <row r="13" spans="1:10" ht="17.100000000000001" customHeight="1">
      <c r="A13" s="290">
        <v>43899</v>
      </c>
      <c r="B13" s="533">
        <f>Gen!C19</f>
        <v>0.57140000000000002</v>
      </c>
      <c r="C13" s="599">
        <f>Gen!AK19</f>
        <v>170.83999999999997</v>
      </c>
      <c r="D13" s="600">
        <f>Gen!T19</f>
        <v>2232.9499999999998</v>
      </c>
      <c r="E13" s="529">
        <f>Gen!D19</f>
        <v>44105.760000000009</v>
      </c>
      <c r="F13" s="530">
        <f>'Water-Meter'!E14</f>
        <v>117</v>
      </c>
      <c r="G13" s="531">
        <f>'Water-Meter'!AN14</f>
        <v>206</v>
      </c>
      <c r="H13" s="529">
        <f>'Utility report '!AC14</f>
        <v>183</v>
      </c>
      <c r="I13" s="528">
        <f>'Kit report'!F12</f>
        <v>528.00000000017462</v>
      </c>
      <c r="J13" s="529">
        <f>'Kit report'!X12</f>
        <v>1100</v>
      </c>
    </row>
    <row r="14" spans="1:10" ht="17.100000000000001" customHeight="1">
      <c r="A14" s="290">
        <v>43900</v>
      </c>
      <c r="B14" s="533">
        <f>Gen!C20</f>
        <v>0.58440000000000003</v>
      </c>
      <c r="C14" s="599">
        <f>Gen!AK20</f>
        <v>33.880000000000003</v>
      </c>
      <c r="D14" s="600">
        <f>Gen!T20</f>
        <v>2128.3999999999996</v>
      </c>
      <c r="E14" s="529">
        <f>Gen!D20</f>
        <v>41701.970000000008</v>
      </c>
      <c r="F14" s="530">
        <f>'Water-Meter'!E15</f>
        <v>129</v>
      </c>
      <c r="G14" s="531">
        <f>'Water-Meter'!AN15</f>
        <v>208</v>
      </c>
      <c r="H14" s="529">
        <f>'Utility report '!AC15</f>
        <v>21</v>
      </c>
      <c r="I14" s="528">
        <f>'Kit report'!F13</f>
        <v>551.99999999982538</v>
      </c>
      <c r="J14" s="529">
        <f>'Kit report'!X13</f>
        <v>719.99999999989086</v>
      </c>
    </row>
    <row r="15" spans="1:10" ht="17.100000000000001" customHeight="1">
      <c r="A15" s="290">
        <v>43901</v>
      </c>
      <c r="B15" s="533">
        <f>Gen!C21</f>
        <v>3.9E-2</v>
      </c>
      <c r="C15" s="599">
        <f>Gen!AK21</f>
        <v>204.76999999999998</v>
      </c>
      <c r="D15" s="600">
        <f>Gen!T21</f>
        <v>1707.85</v>
      </c>
      <c r="E15" s="529">
        <f>Gen!D21</f>
        <v>39539.69000000001</v>
      </c>
      <c r="F15" s="530">
        <f>'Water-Meter'!E16</f>
        <v>99</v>
      </c>
      <c r="G15" s="531">
        <f>'Water-Meter'!AN16</f>
        <v>185</v>
      </c>
      <c r="H15" s="529">
        <f>'Utility report '!AC16</f>
        <v>87</v>
      </c>
      <c r="I15" s="528">
        <f>'Kit report'!F14</f>
        <v>492.00000000004366</v>
      </c>
      <c r="J15" s="529">
        <f>'Kit report'!X14</f>
        <v>660.00000000003638</v>
      </c>
    </row>
    <row r="16" spans="1:10" ht="17.100000000000001" customHeight="1">
      <c r="A16" s="290">
        <v>43902</v>
      </c>
      <c r="B16" s="533">
        <f>Gen!C22</f>
        <v>3.9E-2</v>
      </c>
      <c r="C16" s="599">
        <f>Gen!AK22</f>
        <v>106.07</v>
      </c>
      <c r="D16" s="600">
        <f>Gen!T22</f>
        <v>2737.5</v>
      </c>
      <c r="E16" s="529">
        <f>Gen!D22</f>
        <v>37627.070000000007</v>
      </c>
      <c r="F16" s="530">
        <f>'Water-Meter'!E17</f>
        <v>77</v>
      </c>
      <c r="G16" s="531">
        <f>'Water-Meter'!AN17</f>
        <v>204</v>
      </c>
      <c r="H16" s="529">
        <f>'Utility report '!AC17</f>
        <v>161</v>
      </c>
      <c r="I16" s="528">
        <f>'Kit report'!F15</f>
        <v>516.00000000013097</v>
      </c>
      <c r="J16" s="529">
        <f>'Kit report'!X15</f>
        <v>400</v>
      </c>
    </row>
    <row r="17" spans="1:10" ht="17.100000000000001" customHeight="1">
      <c r="A17" s="290">
        <v>43903</v>
      </c>
      <c r="B17" s="533">
        <f>Gen!C23</f>
        <v>3.9E-2</v>
      </c>
      <c r="C17" s="599">
        <f>Gen!AK23</f>
        <v>233.75</v>
      </c>
      <c r="D17" s="600">
        <f>Gen!T23</f>
        <v>2538.1400000000003</v>
      </c>
      <c r="E17" s="529">
        <f>Gen!D23</f>
        <v>34783.500000000007</v>
      </c>
      <c r="F17" s="530">
        <f>'Water-Meter'!E18</f>
        <v>69</v>
      </c>
      <c r="G17" s="531">
        <f>'Water-Meter'!AN18</f>
        <v>204</v>
      </c>
      <c r="H17" s="529">
        <f>'Utility report '!AC18</f>
        <v>148</v>
      </c>
      <c r="I17" s="528">
        <f>'Kit report'!F16</f>
        <v>480</v>
      </c>
      <c r="J17" s="529">
        <f>'Kit report'!X16</f>
        <v>400</v>
      </c>
    </row>
    <row r="18" spans="1:10" ht="17.100000000000001" customHeight="1">
      <c r="A18" s="290">
        <v>43904</v>
      </c>
      <c r="B18" s="533">
        <f>Gen!C24</f>
        <v>2.86E-2</v>
      </c>
      <c r="C18" s="599">
        <f>Gen!AK24</f>
        <v>116.4</v>
      </c>
      <c r="D18" s="600">
        <f>Gen!T24</f>
        <v>1306.6799999999998</v>
      </c>
      <c r="E18" s="529">
        <f>Gen!D24</f>
        <v>32011.610000000008</v>
      </c>
      <c r="F18" s="530">
        <f>'Water-Meter'!E19</f>
        <v>72</v>
      </c>
      <c r="G18" s="531">
        <f>'Water-Meter'!AN19</f>
        <v>198</v>
      </c>
      <c r="H18" s="529">
        <f>'Utility report '!AC19</f>
        <v>99</v>
      </c>
      <c r="I18" s="528">
        <f>'Kit report'!F17</f>
        <v>347.99999999995634</v>
      </c>
      <c r="J18" s="529">
        <f>'Kit report'!X17</f>
        <v>539.99999999996362</v>
      </c>
    </row>
    <row r="19" spans="1:10" ht="17.100000000000001" customHeight="1">
      <c r="A19" s="290">
        <v>43905</v>
      </c>
      <c r="B19" s="533">
        <f>Gen!C25</f>
        <v>6.4899999999999999E-2</v>
      </c>
      <c r="C19" s="599">
        <f>Gen!AK25</f>
        <v>287.96000000000004</v>
      </c>
      <c r="D19" s="600">
        <f>Gen!T25</f>
        <v>1420.46</v>
      </c>
      <c r="E19" s="529">
        <f>Gen!D25</f>
        <v>30588.530000000006</v>
      </c>
      <c r="F19" s="530">
        <f>'Water-Meter'!E20</f>
        <v>92</v>
      </c>
      <c r="G19" s="531">
        <f>'Water-Meter'!AN20</f>
        <v>180</v>
      </c>
      <c r="H19" s="529">
        <f>'Utility report '!AC20</f>
        <v>47</v>
      </c>
      <c r="I19" s="528">
        <f>'Kit report'!F18</f>
        <v>275.99999999991269</v>
      </c>
      <c r="J19" s="529">
        <f>'Kit report'!X18</f>
        <v>440.00000000014552</v>
      </c>
    </row>
    <row r="20" spans="1:10" ht="17.100000000000001" customHeight="1">
      <c r="A20" s="290">
        <v>43906</v>
      </c>
      <c r="B20" s="533">
        <f>Gen!C26</f>
        <v>5.1900000000000002E-2</v>
      </c>
      <c r="C20" s="599">
        <f>Gen!AK26</f>
        <v>79.289999999999992</v>
      </c>
      <c r="D20" s="600">
        <f>Gen!T26</f>
        <v>1366.8200000000002</v>
      </c>
      <c r="E20" s="529">
        <f>Gen!D26</f>
        <v>28880.110000000008</v>
      </c>
      <c r="F20" s="530">
        <f>'Water-Meter'!E21</f>
        <v>90</v>
      </c>
      <c r="G20" s="531">
        <f>'Water-Meter'!AN21</f>
        <v>108</v>
      </c>
      <c r="H20" s="529">
        <f>'Utility report '!AC21</f>
        <v>58</v>
      </c>
      <c r="I20" s="528">
        <f>'Kit report'!F19</f>
        <v>252.00000000004366</v>
      </c>
      <c r="J20" s="529">
        <f>'Kit report'!X19</f>
        <v>559.99999999985448</v>
      </c>
    </row>
    <row r="21" spans="1:10" ht="15">
      <c r="A21" s="290">
        <v>43907</v>
      </c>
      <c r="B21" s="533">
        <f>Gen!C27</f>
        <v>2.5999999999999999E-2</v>
      </c>
      <c r="C21" s="599">
        <f>Gen!AK27</f>
        <v>50.42</v>
      </c>
      <c r="D21" s="600">
        <f>Gen!T27</f>
        <v>1215.42</v>
      </c>
      <c r="E21" s="529">
        <f>Gen!D27</f>
        <v>45434.000000000007</v>
      </c>
      <c r="F21" s="530">
        <f>'Water-Meter'!E22</f>
        <v>72</v>
      </c>
      <c r="G21" s="531">
        <f>'Water-Meter'!AN22</f>
        <v>76</v>
      </c>
      <c r="H21" s="529">
        <f>'Utility report '!AC22</f>
        <v>50</v>
      </c>
      <c r="I21" s="528">
        <f>'Kit report'!F20</f>
        <v>227.99999999995634</v>
      </c>
      <c r="J21" s="529">
        <f>'Kit report'!X20</f>
        <v>380.00000000010914</v>
      </c>
    </row>
    <row r="22" spans="1:10" ht="15" customHeight="1">
      <c r="A22" s="290">
        <v>43908</v>
      </c>
      <c r="B22" s="533">
        <f>Gen!C28</f>
        <v>5.1900000000000002E-2</v>
      </c>
      <c r="C22" s="599">
        <f>Gen!AK28</f>
        <v>156</v>
      </c>
      <c r="D22" s="600">
        <f>Gen!T28</f>
        <v>1192.8200000000002</v>
      </c>
      <c r="E22" s="529">
        <f>Gen!D28</f>
        <v>44168.160000000003</v>
      </c>
      <c r="F22" s="530">
        <f>'Water-Meter'!E23</f>
        <v>57</v>
      </c>
      <c r="G22" s="531">
        <f>'Water-Meter'!AN23</f>
        <v>73</v>
      </c>
      <c r="H22" s="529">
        <f>'Utility report '!AC23</f>
        <v>52</v>
      </c>
      <c r="I22" s="528">
        <f>'Kit report'!F21</f>
        <v>240</v>
      </c>
      <c r="J22" s="529">
        <f>'Kit report'!X21</f>
        <v>260.00000000003638</v>
      </c>
    </row>
    <row r="23" spans="1:10" ht="15" customHeight="1">
      <c r="A23" s="290">
        <v>43909</v>
      </c>
      <c r="B23" s="533">
        <f>Gen!C29</f>
        <v>0.02</v>
      </c>
      <c r="C23" s="599">
        <f>Gen!AK29</f>
        <v>97.01</v>
      </c>
      <c r="D23" s="600">
        <f>Gen!T29</f>
        <v>1101.77</v>
      </c>
      <c r="E23" s="529">
        <f>Gen!D29</f>
        <v>42819.340000000004</v>
      </c>
      <c r="F23" s="530">
        <f>'Water-Meter'!E24</f>
        <v>72</v>
      </c>
      <c r="G23" s="531">
        <f>'Water-Meter'!AN24</f>
        <v>98</v>
      </c>
      <c r="H23" s="529">
        <f>'Utility report '!AC24</f>
        <v>53</v>
      </c>
      <c r="I23" s="528">
        <f>'Kit report'!F22</f>
        <v>227.99999999995634</v>
      </c>
      <c r="J23" s="529">
        <f>'Kit report'!X22</f>
        <v>279.99999999992724</v>
      </c>
    </row>
    <row r="24" spans="1:10" ht="15" customHeight="1">
      <c r="A24" s="290">
        <v>43910</v>
      </c>
      <c r="B24" s="533">
        <f>Gen!C30</f>
        <v>0.02</v>
      </c>
      <c r="C24" s="599">
        <f>Gen!AK30</f>
        <v>0</v>
      </c>
      <c r="D24" s="600">
        <f>Gen!T30</f>
        <v>1196.43</v>
      </c>
      <c r="E24" s="529">
        <f>Gen!D30</f>
        <v>41620.560000000005</v>
      </c>
      <c r="F24" s="530">
        <f>'Water-Meter'!E25</f>
        <v>65</v>
      </c>
      <c r="G24" s="531">
        <f>'Water-Meter'!AN25</f>
        <v>123</v>
      </c>
      <c r="H24" s="529">
        <f>'Utility report '!AC25</f>
        <v>177</v>
      </c>
      <c r="I24" s="528">
        <f>'Kit report'!F23</f>
        <v>252.00000000004366</v>
      </c>
      <c r="J24" s="529">
        <f>'Kit report'!X23</f>
        <v>320.00000000007276</v>
      </c>
    </row>
    <row r="25" spans="1:10" ht="15" customHeight="1">
      <c r="A25" s="290">
        <v>43911</v>
      </c>
      <c r="B25" s="533">
        <f>Gen!C31</f>
        <v>0</v>
      </c>
      <c r="C25" s="599">
        <f>Gen!AK31</f>
        <v>147.13999999999999</v>
      </c>
      <c r="D25" s="600">
        <f>Gen!T31</f>
        <v>1103.08</v>
      </c>
      <c r="E25" s="529">
        <f>Gen!D31</f>
        <v>40424.130000000005</v>
      </c>
      <c r="F25" s="530">
        <f>'Water-Meter'!E26</f>
        <v>67</v>
      </c>
      <c r="G25" s="531">
        <f>'Water-Meter'!AN26</f>
        <v>181</v>
      </c>
      <c r="H25" s="529">
        <f>'Utility report '!AC26</f>
        <v>111</v>
      </c>
      <c r="I25" s="528">
        <f>'Kit report'!F24</f>
        <v>240</v>
      </c>
      <c r="J25" s="529">
        <f>'Kit report'!X24</f>
        <v>239.99999999996362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926.75</v>
      </c>
      <c r="E26" s="529">
        <f>Gen!D32</f>
        <v>39173.910000000003</v>
      </c>
      <c r="F26" s="530">
        <f>'Water-Meter'!E27</f>
        <v>73</v>
      </c>
      <c r="G26" s="531">
        <f>'Water-Meter'!AN27</f>
        <v>172</v>
      </c>
      <c r="H26" s="529">
        <f>'Utility report '!AC27</f>
        <v>105</v>
      </c>
      <c r="I26" s="528">
        <f>'Kit report'!F25</f>
        <v>167.99999999995634</v>
      </c>
      <c r="J26" s="529">
        <f>'Kit report'!X25</f>
        <v>79.99999999992724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1128.43</v>
      </c>
      <c r="E27" s="529">
        <f>Gen!D33</f>
        <v>50247.16</v>
      </c>
      <c r="F27" s="530">
        <f>'Water-Meter'!E28</f>
        <v>67</v>
      </c>
      <c r="G27" s="531">
        <f>'Water-Meter'!AN28</f>
        <v>179</v>
      </c>
      <c r="H27" s="529">
        <f>'Utility report '!AC28</f>
        <v>37</v>
      </c>
      <c r="I27" s="528">
        <f>'Kit report'!F26</f>
        <v>216.00000000013097</v>
      </c>
      <c r="J27" s="529">
        <f>'Kit report'!X26</f>
        <v>160.00000000003638</v>
      </c>
    </row>
    <row r="28" spans="1:10" ht="15" customHeight="1">
      <c r="A28" s="290">
        <v>43914</v>
      </c>
      <c r="B28" s="533">
        <v>9.0999999999999998E-2</v>
      </c>
      <c r="C28" s="599">
        <f>Gen!AK34</f>
        <v>249.02</v>
      </c>
      <c r="D28" s="600">
        <f>Gen!T34</f>
        <v>966.5200000000001</v>
      </c>
      <c r="E28" s="529">
        <f>Gen!D34</f>
        <v>49118.73</v>
      </c>
      <c r="F28" s="530">
        <f>'Water-Meter'!E29</f>
        <v>73</v>
      </c>
      <c r="G28" s="531">
        <f>'Water-Meter'!AN29</f>
        <v>165</v>
      </c>
      <c r="H28" s="529">
        <f>'Utility report '!AC29</f>
        <v>53</v>
      </c>
      <c r="I28" s="528">
        <f>'Kit report'!F27</f>
        <v>192.00000000004366</v>
      </c>
      <c r="J28" s="529">
        <f>'Kit report'!X27</f>
        <v>160.00000000003638</v>
      </c>
    </row>
    <row r="29" spans="1:10" ht="15" customHeight="1">
      <c r="A29" s="290">
        <v>43915</v>
      </c>
      <c r="B29" s="533">
        <f>Gen!C35</f>
        <v>0.02</v>
      </c>
      <c r="C29" s="599">
        <f>Gen!AK35</f>
        <v>14.1</v>
      </c>
      <c r="D29" s="600">
        <f>Gen!T35</f>
        <v>1052.98</v>
      </c>
      <c r="E29" s="529">
        <f>Gen!D35</f>
        <v>47903.19</v>
      </c>
      <c r="F29" s="530">
        <f>'Water-Meter'!E30</f>
        <v>60</v>
      </c>
      <c r="G29" s="531">
        <f>'Water-Meter'!AN30</f>
        <v>78</v>
      </c>
      <c r="H29" s="529">
        <f>'Utility report '!AC30</f>
        <v>61</v>
      </c>
      <c r="I29" s="528">
        <f>'Kit report'!F28</f>
        <v>191.99999999982538</v>
      </c>
      <c r="J29" s="529">
        <f>'Kit report'!X28</f>
        <v>79.99999999992724</v>
      </c>
    </row>
    <row r="30" spans="1:10" ht="15" customHeight="1">
      <c r="A30" s="290">
        <v>43916</v>
      </c>
      <c r="B30" s="533">
        <f>Gen!C36</f>
        <v>0.02</v>
      </c>
      <c r="C30" s="599">
        <f>Gen!AK36</f>
        <v>34.57</v>
      </c>
      <c r="D30" s="600">
        <f>Gen!T36</f>
        <v>1062.08</v>
      </c>
      <c r="E30" s="529">
        <f>Gen!D36</f>
        <v>46836.11</v>
      </c>
      <c r="F30" s="530">
        <f>'Water-Meter'!E31</f>
        <v>50</v>
      </c>
      <c r="G30" s="531">
        <f>'Water-Meter'!AN31</f>
        <v>86</v>
      </c>
      <c r="H30" s="529">
        <f>'Utility report '!AC31</f>
        <v>46</v>
      </c>
      <c r="I30" s="528">
        <f>'Kit report'!F29</f>
        <v>168.00000000017462</v>
      </c>
      <c r="J30" s="529">
        <f>'Kit report'!X29</f>
        <v>160.00000000003638</v>
      </c>
    </row>
    <row r="31" spans="1:10" ht="15" customHeight="1">
      <c r="A31" s="290">
        <v>43917</v>
      </c>
      <c r="B31" s="533">
        <f>Gen!C37</f>
        <v>0</v>
      </c>
      <c r="C31" s="599">
        <f>Gen!AK37</f>
        <v>144.12</v>
      </c>
      <c r="D31" s="600">
        <f>Gen!T37</f>
        <v>958.21</v>
      </c>
      <c r="E31" s="529">
        <f>Gen!D37</f>
        <v>45739.46</v>
      </c>
      <c r="F31" s="530">
        <f>'Water-Meter'!E32</f>
        <v>96</v>
      </c>
      <c r="G31" s="531">
        <f>'Water-Meter'!AN32</f>
        <v>89</v>
      </c>
      <c r="H31" s="529">
        <f>'Utility report '!AC32</f>
        <v>52</v>
      </c>
      <c r="I31" s="528">
        <f>'Kit report'!F30</f>
        <v>180</v>
      </c>
      <c r="J31" s="529">
        <f>'Kit report'!X30</f>
        <v>200</v>
      </c>
    </row>
    <row r="32" spans="1:10" ht="15" customHeight="1">
      <c r="A32" s="290">
        <v>43918</v>
      </c>
      <c r="B32" s="533">
        <f>Gen!C38</f>
        <v>0</v>
      </c>
      <c r="C32" s="599">
        <f>Gen!AK38</f>
        <v>78.2</v>
      </c>
      <c r="D32" s="600">
        <f>Gen!T38</f>
        <v>811.26</v>
      </c>
      <c r="E32" s="529">
        <f>Gen!D38</f>
        <v>44637.13</v>
      </c>
      <c r="F32" s="530">
        <f>'Water-Meter'!E33</f>
        <v>32</v>
      </c>
      <c r="G32" s="531">
        <f>'Water-Meter'!AN33</f>
        <v>87</v>
      </c>
      <c r="H32" s="529">
        <f>'Utility report '!AC33</f>
        <v>135</v>
      </c>
      <c r="I32" s="528">
        <f>'Kit report'!F31</f>
        <v>143.99999999986903</v>
      </c>
      <c r="J32" s="529">
        <f>'Kit report'!X31</f>
        <v>160.00000000003638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838.53</v>
      </c>
      <c r="E33" s="529">
        <f>Gen!D39</f>
        <v>43747.67</v>
      </c>
      <c r="F33" s="530">
        <f>'Water-Meter'!E34</f>
        <v>38</v>
      </c>
      <c r="G33" s="531">
        <f>'Water-Meter'!AN34</f>
        <v>87</v>
      </c>
      <c r="H33" s="529">
        <f>'Utility report '!AC34</f>
        <v>34</v>
      </c>
      <c r="I33" s="528">
        <f>'Kit report'!F32</f>
        <v>167.99999999995634</v>
      </c>
      <c r="J33" s="529">
        <f>'Kit report'!X32</f>
        <v>119.99999999989086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42909.14</v>
      </c>
      <c r="F34" s="530" t="str">
        <f>'Water-Meter'!E35</f>
        <v>0</v>
      </c>
      <c r="G34" s="531">
        <f>'Water-Meter'!AN35</f>
        <v>0</v>
      </c>
      <c r="H34" s="529">
        <f>'Utility report '!AC35</f>
        <v>-30055</v>
      </c>
      <c r="I34" s="528">
        <f>'Kit report'!F33</f>
        <v>-1036115.9999999999</v>
      </c>
      <c r="J34" s="529">
        <f>'Kit report'!X33</f>
        <v>-1559780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42909.14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42909.14</v>
      </c>
      <c r="F36" s="530">
        <f>'Water-Meter'!E37</f>
        <v>0</v>
      </c>
      <c r="G36" s="531">
        <f>'Water-Meter'!AN37</f>
        <v>1642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2020-03-30T04:12:38Z</dcterms:modified>
</cp:coreProperties>
</file>