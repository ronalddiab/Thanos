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" i="9" l="1"/>
  <c r="I4" i="9" l="1"/>
  <c r="G5" i="9" l="1"/>
  <c r="I5" i="9" s="1"/>
  <c r="G4" i="9"/>
  <c r="I5" i="10"/>
  <c r="I4" i="10"/>
  <c r="H5" i="10"/>
  <c r="H4" i="10"/>
  <c r="H5" i="8" l="1"/>
  <c r="H4" i="8"/>
  <c r="I35" i="8" l="1"/>
  <c r="G34" i="8"/>
  <c r="G33" i="8"/>
  <c r="G32" i="8"/>
  <c r="G31" i="8"/>
  <c r="G30" i="8"/>
  <c r="H31" i="8" s="1"/>
  <c r="G29" i="8"/>
  <c r="G28" i="8"/>
  <c r="G27" i="8"/>
  <c r="G26" i="8"/>
  <c r="G25" i="8"/>
  <c r="G24" i="8"/>
  <c r="H24" i="8" s="1"/>
  <c r="G23" i="8"/>
  <c r="G22" i="8"/>
  <c r="G21" i="8"/>
  <c r="G20" i="8"/>
  <c r="G19" i="8"/>
  <c r="G18" i="8"/>
  <c r="G17" i="8"/>
  <c r="H17" i="8" s="1"/>
  <c r="G16" i="8"/>
  <c r="G15" i="8"/>
  <c r="G14" i="8"/>
  <c r="G13" i="8"/>
  <c r="G12" i="8"/>
  <c r="H12" i="8" s="1"/>
  <c r="G11" i="8"/>
  <c r="G10" i="8"/>
  <c r="G9" i="8"/>
  <c r="G8" i="8"/>
  <c r="G7" i="8"/>
  <c r="G6" i="8"/>
  <c r="G5" i="8"/>
  <c r="G4" i="8"/>
  <c r="H29" i="8" l="1"/>
  <c r="H23" i="8"/>
  <c r="H18" i="8"/>
  <c r="H11" i="8"/>
  <c r="H6" i="8"/>
  <c r="H13" i="8"/>
  <c r="H10" i="8"/>
  <c r="H16" i="8"/>
  <c r="H22" i="8"/>
  <c r="H28" i="8"/>
  <c r="H34" i="8"/>
  <c r="H7" i="8"/>
  <c r="H19" i="8"/>
  <c r="H25" i="8"/>
  <c r="H8" i="8"/>
  <c r="H14" i="8"/>
  <c r="H20" i="8"/>
  <c r="H26" i="8"/>
  <c r="H33" i="8"/>
  <c r="H9" i="8"/>
  <c r="H15" i="8"/>
  <c r="H21" i="8"/>
  <c r="H27" i="8"/>
  <c r="H30" i="8"/>
  <c r="H32" i="8"/>
  <c r="H35" i="8" l="1"/>
  <c r="G34" i="9"/>
  <c r="I34" i="9" s="1"/>
  <c r="I33" i="9"/>
  <c r="J33" i="9" s="1"/>
  <c r="G33" i="9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4" i="10"/>
  <c r="H33" i="10"/>
  <c r="I33" i="10" s="1"/>
  <c r="H32" i="10"/>
  <c r="I32" i="10" s="1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I28" i="10" l="1"/>
  <c r="I21" i="10"/>
  <c r="I16" i="10"/>
  <c r="I9" i="10"/>
  <c r="I8" i="10"/>
  <c r="J10" i="9"/>
  <c r="J34" i="9"/>
  <c r="J18" i="9"/>
  <c r="J7" i="9"/>
  <c r="J26" i="9"/>
  <c r="J9" i="9"/>
  <c r="I17" i="10"/>
  <c r="I29" i="10"/>
  <c r="I13" i="10"/>
  <c r="I25" i="10"/>
  <c r="I12" i="10"/>
  <c r="I24" i="10"/>
  <c r="I20" i="10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I6" i="10"/>
  <c r="I10" i="10"/>
  <c r="I14" i="10"/>
  <c r="I18" i="10"/>
  <c r="I22" i="10"/>
  <c r="I26" i="10"/>
  <c r="I30" i="10"/>
  <c r="I34" i="10"/>
  <c r="I7" i="10"/>
  <c r="I11" i="10"/>
  <c r="I15" i="10"/>
  <c r="I19" i="10"/>
  <c r="I23" i="10"/>
  <c r="I27" i="10"/>
  <c r="I31" i="10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32" i="5"/>
  <c r="I13" i="5"/>
  <c r="I8" i="5"/>
  <c r="I20" i="5"/>
  <c r="I3" i="5"/>
  <c r="I9" i="5"/>
  <c r="I15" i="5"/>
  <c r="I21" i="5"/>
  <c r="I27" i="5"/>
  <c r="I25" i="5"/>
  <c r="E32" i="5" l="1"/>
  <c r="G32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<sst xmlns="http://schemas.openxmlformats.org/spreadsheetml/2006/main" count="77" uniqueCount="42">
  <si>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</si>
  <si>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</si>
  <si>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</si>
  <si>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</si>
  <si>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</si>
  <si>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</si>
  <si>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</si>
  <si>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</si>
  <si>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</si>
  <si>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</si>
  <si>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</si>
  <si>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</si>
  <si>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</si>
  <si>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</si>
  <si>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</si>
  <si>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</si>
  <si>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</si>
  <si>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</si>
  <si>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</si>
  <si>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</si>
  <si>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</si>
  <si>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</si>
  <si>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</si>
  <si>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</si>
  <si>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</si>
  <si>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</si>
  <si>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</si>
  <si>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</si>
  <si>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</si>
  <si>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</si>
  <si>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</si>
  <si>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</si>
  <si>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</si>
  <si>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</si>
  <si>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</si>
  <si>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ELECTRICITY CONSUMPTION , AUG.2021</t>
  </si>
  <si>
    <t>Meter Reading
(Active)</t>
  </si>
  <si>
    <t>BİRİM FİYAT : 0.8 TL/Kwh + KDV x 228801. 2=139569 TL/Kwh+KDV</t>
  </si>
  <si>
    <t>NATURAL GAS CONSUMPTION , AUG.2021</t>
  </si>
  <si>
    <t>BİRİM FİYAT : 1.69 TL/m3 + KDV X 7179.8 =11344 TL+KDV</t>
  </si>
  <si>
    <t>WATER CONSUMPTION , AUG.2021</t>
  </si>
  <si>
    <t>BİRİM FİYAT :   12.93 TL/m3 + KDV X 1131 =13685 TL+KDV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</si>
</sst>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166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020088"/>
        <c:axId val="204684104"/>
      </c:lineChart>
      <c:dateAx>
        <c:axId val="20602008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684104"/>
        <c:crosses val="autoZero"/>
        <c:auto val="0"/>
        <c:lblOffset val="100"/>
        <c:baseTimeUnit val="days"/>
      </c:dateAx>
      <c:valAx>
        <c:axId val="204684104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02008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4">
          <cell r="G34">
            <v>11280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H34">
            <v>12998225.520000001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E16" sqref="E1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8</v>
      </c>
      <c r="D2" s="12">
        <v>2021</v>
      </c>
      <c r="E2" s="13">
        <f>Electricity!I4</f>
        <v>1333.0799999982119</v>
      </c>
      <c r="F2" s="3">
        <v>0.8</v>
      </c>
      <c r="G2" s="13">
        <f>Gas!J4</f>
        <v>0</v>
      </c>
      <c r="H2" s="3">
        <v>1.69</v>
      </c>
      <c r="I2" s="13">
        <f>Water!H4</f>
        <v>9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8</v>
      </c>
      <c r="D3" s="12">
        <v>2021</v>
      </c>
      <c r="E3" s="13">
        <f>Electricity!I5</f>
        <v>1311</v>
      </c>
      <c r="F3" s="3">
        <v>0.8</v>
      </c>
      <c r="G3" s="13">
        <f>Gas!J5</f>
        <v>0</v>
      </c>
      <c r="H3" s="3">
        <v>1.69</v>
      </c>
      <c r="I3" s="13">
        <f>Water!H5</f>
        <v>13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8</v>
      </c>
      <c r="D4" s="12">
        <v>2021</v>
      </c>
      <c r="E4" s="13">
        <f>Electricity!I6</f>
        <v>1346.8800000008196</v>
      </c>
      <c r="F4" s="3">
        <v>0.8</v>
      </c>
      <c r="G4" s="13">
        <f>Gas!J6</f>
        <v>0</v>
      </c>
      <c r="H4" s="3">
        <v>1.69</v>
      </c>
      <c r="I4" s="13">
        <f>Water!H6</f>
        <v>13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8</v>
      </c>
      <c r="D5" s="12">
        <v>2021</v>
      </c>
      <c r="E5" s="13">
        <f>Electricity!I7</f>
        <v>1368.9600000008941</v>
      </c>
      <c r="F5" s="3">
        <v>0.8</v>
      </c>
      <c r="G5" s="13">
        <f>Gas!J7</f>
        <v>0</v>
      </c>
      <c r="H5" s="3">
        <v>1.69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8</v>
      </c>
      <c r="D6" s="12">
        <v>2021</v>
      </c>
      <c r="E6" s="13">
        <f>Electricity!I8</f>
        <v>1363.4399999994785</v>
      </c>
      <c r="F6" s="3">
        <v>0.8</v>
      </c>
      <c r="G6" s="13">
        <f>Gas!J8</f>
        <v>0</v>
      </c>
      <c r="H6" s="3">
        <v>1.69</v>
      </c>
      <c r="I6" s="13">
        <f>Water!H8</f>
        <v>9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8</v>
      </c>
      <c r="D7" s="12">
        <v>2021</v>
      </c>
      <c r="E7" s="13">
        <f>Electricity!I9</f>
        <v>1360.6799999978393</v>
      </c>
      <c r="F7" s="3">
        <v>0.8</v>
      </c>
      <c r="G7" s="13">
        <f>Gas!J9</f>
        <v>0</v>
      </c>
      <c r="H7" s="3">
        <v>1.69</v>
      </c>
      <c r="I7" s="13">
        <f>Water!H9</f>
        <v>9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8</v>
      </c>
      <c r="D8" s="12">
        <v>2021</v>
      </c>
      <c r="E8" s="13">
        <f>Electricity!I10</f>
        <v>1344.1200000010431</v>
      </c>
      <c r="F8" s="3">
        <v>0.8</v>
      </c>
      <c r="G8" s="13">
        <f>Gas!J10</f>
        <v>0</v>
      </c>
      <c r="H8" s="3">
        <v>1.69</v>
      </c>
      <c r="I8" s="13">
        <f>Water!H10</f>
        <v>10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8</v>
      </c>
      <c r="D9" s="12">
        <v>2021</v>
      </c>
      <c r="E9" s="13">
        <f>Electricity!I11</f>
        <v>1324.8000000007451</v>
      </c>
      <c r="F9" s="3">
        <v>0.8</v>
      </c>
      <c r="G9" s="13">
        <f>Gas!J11</f>
        <v>0</v>
      </c>
      <c r="H9" s="3">
        <v>1.69</v>
      </c>
      <c r="I9" s="13">
        <f>Water!H11</f>
        <v>7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8</v>
      </c>
      <c r="D10" s="12">
        <v>2021</v>
      </c>
      <c r="E10" s="13">
        <v>1288</v>
      </c>
      <c r="F10" s="3">
        <v>0.8</v>
      </c>
      <c r="G10" s="13">
        <f>Gas!J12</f>
        <v>0</v>
      </c>
      <c r="H10" s="3">
        <v>1.69</v>
      </c>
      <c r="I10" s="13">
        <f>Water!H12</f>
        <v>11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8</v>
      </c>
      <c r="D11" s="12">
        <v>2021</v>
      </c>
      <c r="E11" s="13">
        <v>1300</v>
      </c>
      <c r="F11" s="3">
        <v>0.8</v>
      </c>
      <c r="G11" s="13">
        <f>Gas!J13</f>
        <v>0</v>
      </c>
      <c r="H11" s="3">
        <v>1.69</v>
      </c>
      <c r="I11" s="13">
        <f>Water!H13</f>
        <v>50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8</v>
      </c>
      <c r="D12" s="12">
        <v>2021</v>
      </c>
      <c r="E12" s="13">
        <v>1319</v>
      </c>
      <c r="F12" s="3">
        <v>0.8</v>
      </c>
      <c r="G12" s="13">
        <f>Gas!J14</f>
        <v>0</v>
      </c>
      <c r="H12" s="3">
        <v>1.69</v>
      </c>
      <c r="I12" s="13">
        <f>Water!H14</f>
        <v>18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8</v>
      </c>
      <c r="D13" s="12">
        <v>2021</v>
      </c>
      <c r="E13" s="13">
        <v>1374</v>
      </c>
      <c r="F13" s="3">
        <v>0.8</v>
      </c>
      <c r="G13" s="13">
        <f>Gas!J15</f>
        <v>0</v>
      </c>
      <c r="H13" s="3">
        <v>1.69</v>
      </c>
      <c r="I13" s="13">
        <f>Water!H15</f>
        <v>7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8</v>
      </c>
      <c r="D14" s="12">
        <v>2021</v>
      </c>
      <c r="E14" s="13">
        <v>1294</v>
      </c>
      <c r="F14" s="3">
        <v>0.8</v>
      </c>
      <c r="G14" s="13">
        <f>Gas!J16</f>
        <v>0</v>
      </c>
      <c r="H14" s="3">
        <v>1.69</v>
      </c>
      <c r="I14" s="13">
        <f>Water!H16</f>
        <v>13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8</v>
      </c>
      <c r="D15" s="12">
        <v>2021</v>
      </c>
      <c r="E15" s="13">
        <v>1286</v>
      </c>
      <c r="F15" s="3">
        <v>0.8</v>
      </c>
      <c r="G15" s="13">
        <f>Gas!J17</f>
        <v>0</v>
      </c>
      <c r="H15" s="3">
        <v>1.69</v>
      </c>
      <c r="I15" s="13">
        <f>Water!H17</f>
        <v>9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8</v>
      </c>
      <c r="D16" s="12">
        <v>2021</v>
      </c>
      <c r="E16" s="13">
        <f>Electricity!I18</f>
        <v>1159.2000000011176</v>
      </c>
      <c r="F16" s="3">
        <v>0.8</v>
      </c>
      <c r="G16" s="13">
        <f>Gas!J18</f>
        <v>0</v>
      </c>
      <c r="H16" s="3">
        <v>1.69</v>
      </c>
      <c r="I16" s="13">
        <f>Water!H18</f>
        <v>7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8</v>
      </c>
      <c r="D17" s="12">
        <v>2021</v>
      </c>
      <c r="E17" s="13">
        <f>Electricity!I19</f>
        <v>1117.7999999988824</v>
      </c>
      <c r="F17" s="3">
        <v>0.8</v>
      </c>
      <c r="G17" s="13">
        <f>Gas!J19</f>
        <v>0</v>
      </c>
      <c r="H17" s="3">
        <v>1.69</v>
      </c>
      <c r="I17" s="13">
        <f>Water!H19</f>
        <v>11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8</v>
      </c>
      <c r="D18" s="12">
        <v>2021</v>
      </c>
      <c r="E18" s="13">
        <f>Electricity!I20</f>
        <v>1211.640000000596</v>
      </c>
      <c r="F18" s="3">
        <v>0.8</v>
      </c>
      <c r="G18" s="13">
        <f>Gas!J20</f>
        <v>0</v>
      </c>
      <c r="H18" s="3">
        <v>1.69</v>
      </c>
      <c r="I18" s="13">
        <f>Water!H20</f>
        <v>21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8</v>
      </c>
      <c r="D19" s="12">
        <v>2021</v>
      </c>
      <c r="E19" s="13">
        <f>Electricity!I21</f>
        <v>1313.7599999997765</v>
      </c>
      <c r="F19" s="3">
        <v>0.8</v>
      </c>
      <c r="G19" s="13">
        <f>Gas!J21</f>
        <v>0</v>
      </c>
      <c r="H19" s="3">
        <v>1.69</v>
      </c>
      <c r="I19" s="13">
        <f>Water!H21</f>
        <v>10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8</v>
      </c>
      <c r="D20" s="12">
        <v>2021</v>
      </c>
      <c r="E20" s="13">
        <f>Electricity!I22</f>
        <v>1349.6399999987334</v>
      </c>
      <c r="F20" s="3">
        <v>0.8</v>
      </c>
      <c r="G20" s="13">
        <f>Gas!J22</f>
        <v>0</v>
      </c>
      <c r="H20" s="3">
        <v>1.69</v>
      </c>
      <c r="I20" s="13">
        <f>Water!H22</f>
        <v>9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8</v>
      </c>
      <c r="D21" s="12">
        <v>2021</v>
      </c>
      <c r="E21" s="13">
        <f>Electricity!I23</f>
        <v>1322.0399999991059</v>
      </c>
      <c r="F21" s="3">
        <v>0.8</v>
      </c>
      <c r="G21" s="13">
        <f>Gas!J23</f>
        <v>0</v>
      </c>
      <c r="H21" s="3">
        <v>1.69</v>
      </c>
      <c r="I21" s="13">
        <f>Water!H23</f>
        <v>9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8</v>
      </c>
      <c r="D22" s="12">
        <v>2021</v>
      </c>
      <c r="E22" s="13">
        <f>Electricity!I24</f>
        <v>1286.1600000020117</v>
      </c>
      <c r="F22" s="3">
        <v>0.8</v>
      </c>
      <c r="G22" s="13">
        <f>Gas!J24</f>
        <v>0</v>
      </c>
      <c r="H22" s="3">
        <v>1.69</v>
      </c>
      <c r="I22" s="13">
        <f>Water!H24</f>
        <v>7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8</v>
      </c>
      <c r="D23" s="12">
        <v>2021</v>
      </c>
      <c r="E23" s="13">
        <f>Electricity!I25</f>
        <v>1261.3199999984354</v>
      </c>
      <c r="F23" s="3">
        <v>0.8</v>
      </c>
      <c r="G23" s="13">
        <f>Gas!J25</f>
        <v>0</v>
      </c>
      <c r="H23" s="3">
        <v>1.69</v>
      </c>
      <c r="I23" s="13">
        <f>Water!H25</f>
        <v>9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8</v>
      </c>
      <c r="D24" s="12">
        <v>2021</v>
      </c>
      <c r="E24" s="13">
        <f>Electricity!I26</f>
        <v>1206.1199999991804</v>
      </c>
      <c r="F24" s="3">
        <v>0.8</v>
      </c>
      <c r="G24" s="13">
        <f>Gas!J26</f>
        <v>0</v>
      </c>
      <c r="H24" s="3">
        <v>1.69</v>
      </c>
      <c r="I24" s="13">
        <f>Water!H26</f>
        <v>5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8</v>
      </c>
      <c r="D25" s="12">
        <v>2021</v>
      </c>
      <c r="E25" s="13">
        <f>Electricity!I27</f>
        <v>1388.2800000011921</v>
      </c>
      <c r="F25" s="3">
        <v>0.8</v>
      </c>
      <c r="G25" s="13">
        <f>Gas!J27</f>
        <v>0</v>
      </c>
      <c r="H25" s="3">
        <v>1.69</v>
      </c>
      <c r="I25" s="13">
        <f>Water!H27</f>
        <v>22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8</v>
      </c>
      <c r="D26" s="12">
        <v>2021</v>
      </c>
      <c r="E26" s="13">
        <f>Electricity!I28</f>
        <v>1355.160000000149</v>
      </c>
      <c r="F26" s="3">
        <v>0.8</v>
      </c>
      <c r="G26" s="13">
        <f>Gas!J28</f>
        <v>0</v>
      </c>
      <c r="H26" s="3">
        <v>1.69</v>
      </c>
      <c r="I26" s="13">
        <f>Water!H28</f>
        <v>26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8</v>
      </c>
      <c r="D27" s="12">
        <v>2021</v>
      </c>
      <c r="E27" s="13">
        <f>Electricity!I29</f>
        <v>1366.2000000011176</v>
      </c>
      <c r="F27" s="3">
        <v>0.8</v>
      </c>
      <c r="G27" s="13">
        <f>Gas!J29</f>
        <v>0</v>
      </c>
      <c r="H27" s="3">
        <v>1.69</v>
      </c>
      <c r="I27" s="13">
        <f>Water!H29</f>
        <v>21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8</v>
      </c>
      <c r="D28" s="12">
        <v>2021</v>
      </c>
      <c r="E28" s="13">
        <f>Electricity!I30</f>
        <v>-13032179.040000001</v>
      </c>
      <c r="F28" s="3">
        <v>0.8</v>
      </c>
      <c r="G28" s="13">
        <f>Gas!J30</f>
        <v>-1192410.140344</v>
      </c>
      <c r="H28" s="3">
        <v>1.69</v>
      </c>
      <c r="I28" s="13">
        <f>Water!H30</f>
        <v>-10561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8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8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8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8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1.69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E30" sqref="E30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40</v>
      </c>
      <c r="E1" s="108"/>
      <c r="F1" s="108"/>
      <c r="G1" s="108"/>
      <c r="H1" s="108"/>
      <c r="I1" s="108"/>
      <c r="J1" s="62"/>
      <c r="K1" s="29"/>
    </row>
    <row r="2" spans="2:15" x14ac:dyDescent="0.25">
      <c r="K2" s="29"/>
    </row>
    <row r="3" spans="2:15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 t="s">
        <v>26</v>
      </c>
      <c r="J3" s="69"/>
      <c r="K3" s="70"/>
      <c r="L3" s="70"/>
      <c r="M3" s="70"/>
      <c r="N3" s="70"/>
    </row>
    <row r="4" spans="2:15" s="30" customFormat="1" ht="11.25" x14ac:dyDescent="0.25">
      <c r="D4" s="32">
        <v>44409</v>
      </c>
      <c r="E4" s="23">
        <v>10224</v>
      </c>
      <c r="F4" s="23">
        <v>1065</v>
      </c>
      <c r="G4" s="23">
        <f>E4+F4</f>
        <v>11289</v>
      </c>
      <c r="H4" s="24">
        <f>G4-[1]Jul.2020!G34</f>
        <v>9</v>
      </c>
      <c r="I4" s="63">
        <v>61.29</v>
      </c>
      <c r="J4" s="105"/>
      <c r="K4" s="72"/>
      <c r="L4" s="72"/>
      <c r="M4" s="72"/>
      <c r="N4" s="72"/>
    </row>
    <row r="5" spans="2:15" s="30" customFormat="1" ht="11.25" x14ac:dyDescent="0.25">
      <c r="D5" s="32">
        <v>44410</v>
      </c>
      <c r="E5" s="23">
        <v>10237</v>
      </c>
      <c r="F5" s="23">
        <v>1065</v>
      </c>
      <c r="G5" s="23">
        <f>E5+F5</f>
        <v>11302</v>
      </c>
      <c r="H5" s="24">
        <f>G5-G4</f>
        <v>13</v>
      </c>
      <c r="I5" s="63">
        <v>61.29</v>
      </c>
      <c r="J5" s="105"/>
      <c r="K5" s="72"/>
      <c r="L5" s="72"/>
      <c r="M5" s="72"/>
      <c r="N5" s="72"/>
    </row>
    <row r="6" spans="2:15" s="30" customFormat="1" ht="11.25" x14ac:dyDescent="0.25">
      <c r="D6" s="32">
        <v>44411</v>
      </c>
      <c r="E6" s="23">
        <v>10250</v>
      </c>
      <c r="F6" s="23">
        <v>1065</v>
      </c>
      <c r="G6" s="23">
        <f>E6+F6</f>
        <v>11315</v>
      </c>
      <c r="H6" s="24">
        <f t="shared" ref="H6:H34" si="0">G6-G5</f>
        <v>13</v>
      </c>
      <c r="I6" s="63">
        <v>61.29</v>
      </c>
      <c r="J6" s="105"/>
      <c r="K6" s="72"/>
      <c r="L6" s="72"/>
      <c r="M6" s="72"/>
      <c r="N6" s="72"/>
    </row>
    <row r="7" spans="2:15" s="30" customFormat="1" ht="11.25" x14ac:dyDescent="0.25">
      <c r="D7" s="32">
        <v>44412</v>
      </c>
      <c r="E7" s="23">
        <v>10261</v>
      </c>
      <c r="F7" s="23">
        <v>1065</v>
      </c>
      <c r="G7" s="23">
        <f>E7+F7</f>
        <v>11326</v>
      </c>
      <c r="H7" s="24">
        <f t="shared" si="0"/>
        <v>11</v>
      </c>
      <c r="I7" s="63">
        <v>61.29</v>
      </c>
      <c r="J7" s="105"/>
      <c r="K7" s="72"/>
      <c r="L7" s="72"/>
      <c r="M7" s="72"/>
      <c r="N7" s="72"/>
    </row>
    <row r="8" spans="2:15" s="30" customFormat="1" ht="11.25" x14ac:dyDescent="0.25">
      <c r="D8" s="32">
        <v>44413</v>
      </c>
      <c r="E8" s="23">
        <v>10270</v>
      </c>
      <c r="F8" s="23">
        <v>1065</v>
      </c>
      <c r="G8" s="23">
        <f t="shared" ref="G8:G31" si="1">E8+F8</f>
        <v>11335</v>
      </c>
      <c r="H8" s="24">
        <f t="shared" si="0"/>
        <v>9</v>
      </c>
      <c r="I8" s="63">
        <v>61.29</v>
      </c>
      <c r="J8" s="105"/>
      <c r="K8" s="72"/>
      <c r="L8" s="72"/>
      <c r="M8" s="72"/>
      <c r="N8" s="72"/>
    </row>
    <row r="9" spans="2:15" s="30" customFormat="1" ht="11.25" x14ac:dyDescent="0.25">
      <c r="D9" s="32">
        <v>44414</v>
      </c>
      <c r="E9" s="23">
        <v>10279</v>
      </c>
      <c r="F9" s="23">
        <v>1065</v>
      </c>
      <c r="G9" s="23">
        <f t="shared" si="1"/>
        <v>11344</v>
      </c>
      <c r="H9" s="24">
        <f t="shared" si="0"/>
        <v>9</v>
      </c>
      <c r="I9" s="63">
        <v>61.29</v>
      </c>
      <c r="J9" s="105"/>
      <c r="K9" s="72"/>
      <c r="L9" s="72"/>
      <c r="M9" s="72"/>
      <c r="N9" s="72"/>
    </row>
    <row r="10" spans="2:15" s="30" customFormat="1" ht="11.25" x14ac:dyDescent="0.25">
      <c r="D10" s="32">
        <v>44415</v>
      </c>
      <c r="E10" s="23">
        <v>10289</v>
      </c>
      <c r="F10" s="23">
        <v>1065</v>
      </c>
      <c r="G10" s="23">
        <f t="shared" si="1"/>
        <v>11354</v>
      </c>
      <c r="H10" s="24">
        <f>G10-G9</f>
        <v>10</v>
      </c>
      <c r="I10" s="63">
        <v>61.29</v>
      </c>
      <c r="J10" s="105"/>
      <c r="K10" s="72"/>
      <c r="L10" s="72"/>
      <c r="M10" s="72"/>
      <c r="N10" s="72"/>
    </row>
    <row r="11" spans="2:15" s="30" customFormat="1" ht="11.25" x14ac:dyDescent="0.25">
      <c r="D11" s="32">
        <v>44416</v>
      </c>
      <c r="E11" s="23">
        <v>10296</v>
      </c>
      <c r="F11" s="23">
        <v>1065</v>
      </c>
      <c r="G11" s="23">
        <f t="shared" si="1"/>
        <v>11361</v>
      </c>
      <c r="H11" s="24">
        <f t="shared" ref="H11:H33" si="2">G11-G10</f>
        <v>7</v>
      </c>
      <c r="I11" s="63">
        <v>61.29</v>
      </c>
      <c r="J11" s="105"/>
      <c r="K11" s="72"/>
      <c r="L11" s="72"/>
      <c r="M11" s="72"/>
      <c r="N11" s="72"/>
    </row>
    <row r="12" spans="2:15" s="30" customFormat="1" ht="11.25" x14ac:dyDescent="0.25">
      <c r="D12" s="32">
        <v>44417</v>
      </c>
      <c r="E12" s="23">
        <v>10307</v>
      </c>
      <c r="F12" s="23">
        <v>1065</v>
      </c>
      <c r="G12" s="23">
        <f t="shared" si="1"/>
        <v>11372</v>
      </c>
      <c r="H12" s="24">
        <f t="shared" si="2"/>
        <v>11</v>
      </c>
      <c r="I12" s="63">
        <v>61.29</v>
      </c>
      <c r="J12" s="105"/>
      <c r="K12" s="72"/>
      <c r="L12" s="72"/>
      <c r="M12" s="72"/>
      <c r="N12" s="72"/>
    </row>
    <row r="13" spans="2:15" s="30" customFormat="1" ht="11.25" x14ac:dyDescent="0.25">
      <c r="D13" s="32">
        <v>44418</v>
      </c>
      <c r="E13" s="23">
        <v>10357</v>
      </c>
      <c r="F13" s="23">
        <v>1065</v>
      </c>
      <c r="G13" s="23">
        <f t="shared" si="1"/>
        <v>11422</v>
      </c>
      <c r="H13" s="24">
        <f t="shared" si="2"/>
        <v>50</v>
      </c>
      <c r="I13" s="63">
        <v>61.29</v>
      </c>
      <c r="J13" s="105"/>
      <c r="K13" s="72"/>
      <c r="L13" s="72"/>
      <c r="M13" s="72"/>
      <c r="N13" s="72"/>
    </row>
    <row r="14" spans="2:15" s="30" customFormat="1" ht="11.25" x14ac:dyDescent="0.25">
      <c r="D14" s="32">
        <v>44419</v>
      </c>
      <c r="E14" s="23">
        <v>10375</v>
      </c>
      <c r="F14" s="23">
        <v>1065</v>
      </c>
      <c r="G14" s="23">
        <f t="shared" si="1"/>
        <v>11440</v>
      </c>
      <c r="H14" s="24">
        <f t="shared" si="2"/>
        <v>18</v>
      </c>
      <c r="I14" s="63">
        <v>61.29</v>
      </c>
      <c r="J14" s="105"/>
      <c r="K14" s="72"/>
      <c r="L14" s="72"/>
      <c r="M14" s="72"/>
      <c r="N14" s="72"/>
    </row>
    <row r="15" spans="2:15" s="33" customFormat="1" ht="11.25" x14ac:dyDescent="0.25">
      <c r="D15" s="32">
        <v>44420</v>
      </c>
      <c r="E15" s="23">
        <v>10382</v>
      </c>
      <c r="F15" s="23">
        <v>1065</v>
      </c>
      <c r="G15" s="23">
        <f t="shared" si="1"/>
        <v>11447</v>
      </c>
      <c r="H15" s="24">
        <f t="shared" si="2"/>
        <v>7</v>
      </c>
      <c r="I15" s="63">
        <v>61.29</v>
      </c>
      <c r="J15" s="105"/>
      <c r="K15" s="72"/>
      <c r="L15" s="72"/>
      <c r="M15" s="72"/>
      <c r="N15" s="72"/>
      <c r="O15" s="33" t="s">
        <v>27</v>
      </c>
    </row>
    <row r="16" spans="2:15" s="30" customFormat="1" ht="11.25" x14ac:dyDescent="0.25">
      <c r="D16" s="32">
        <v>44421</v>
      </c>
      <c r="E16" s="23">
        <v>10395</v>
      </c>
      <c r="F16" s="23">
        <v>1065</v>
      </c>
      <c r="G16" s="23">
        <f t="shared" si="1"/>
        <v>11460</v>
      </c>
      <c r="H16" s="24">
        <f t="shared" si="2"/>
        <v>13</v>
      </c>
      <c r="I16" s="63">
        <v>61.29</v>
      </c>
      <c r="J16" s="105"/>
      <c r="K16" s="72"/>
      <c r="L16" s="72"/>
      <c r="M16" s="72"/>
      <c r="N16" s="72"/>
    </row>
    <row r="17" spans="4:14" s="30" customFormat="1" ht="11.25" customHeight="1" x14ac:dyDescent="0.25">
      <c r="D17" s="32">
        <v>44422</v>
      </c>
      <c r="E17" s="23">
        <v>10404</v>
      </c>
      <c r="F17" s="23">
        <v>1065</v>
      </c>
      <c r="G17" s="23">
        <f t="shared" si="1"/>
        <v>11469</v>
      </c>
      <c r="H17" s="24">
        <f t="shared" si="2"/>
        <v>9</v>
      </c>
      <c r="I17" s="63">
        <v>61.29</v>
      </c>
      <c r="J17" s="105"/>
      <c r="K17" s="72"/>
      <c r="L17" s="72"/>
      <c r="M17" s="72"/>
      <c r="N17" s="72"/>
    </row>
    <row r="18" spans="4:14" s="30" customFormat="1" ht="11.25" customHeight="1" x14ac:dyDescent="0.25">
      <c r="D18" s="32">
        <v>44423</v>
      </c>
      <c r="E18" s="23">
        <v>10411</v>
      </c>
      <c r="F18" s="23">
        <v>1065</v>
      </c>
      <c r="G18" s="23">
        <f t="shared" si="1"/>
        <v>11476</v>
      </c>
      <c r="H18" s="24">
        <f t="shared" si="2"/>
        <v>7</v>
      </c>
      <c r="I18" s="63">
        <v>61.29</v>
      </c>
      <c r="J18" s="105"/>
      <c r="K18" s="72"/>
      <c r="L18" s="72"/>
      <c r="M18" s="72"/>
      <c r="N18" s="72"/>
    </row>
    <row r="19" spans="4:14" s="30" customFormat="1" ht="11.25" customHeight="1" x14ac:dyDescent="0.25">
      <c r="D19" s="32">
        <v>44424</v>
      </c>
      <c r="E19" s="23">
        <v>10422</v>
      </c>
      <c r="F19" s="23">
        <v>1065</v>
      </c>
      <c r="G19" s="23">
        <f t="shared" si="1"/>
        <v>11487</v>
      </c>
      <c r="H19" s="24">
        <f t="shared" si="2"/>
        <v>11</v>
      </c>
      <c r="I19" s="63">
        <v>61.29</v>
      </c>
      <c r="J19" s="105"/>
      <c r="K19" s="72"/>
      <c r="L19" s="72"/>
      <c r="M19" s="72"/>
      <c r="N19" s="72"/>
    </row>
    <row r="20" spans="4:14" s="30" customFormat="1" ht="11.25" customHeight="1" x14ac:dyDescent="0.25">
      <c r="D20" s="32">
        <v>44425</v>
      </c>
      <c r="E20" s="23">
        <v>10443</v>
      </c>
      <c r="F20" s="23">
        <v>1065</v>
      </c>
      <c r="G20" s="23">
        <f t="shared" si="1"/>
        <v>11508</v>
      </c>
      <c r="H20" s="24">
        <f t="shared" si="2"/>
        <v>21</v>
      </c>
      <c r="I20" s="63">
        <v>61.29</v>
      </c>
      <c r="J20" s="105"/>
      <c r="K20" s="72"/>
      <c r="L20" s="72"/>
      <c r="M20" s="72"/>
      <c r="N20" s="72"/>
    </row>
    <row r="21" spans="4:14" s="30" customFormat="1" ht="11.25" customHeight="1" x14ac:dyDescent="0.25">
      <c r="D21" s="32">
        <v>44426</v>
      </c>
      <c r="E21" s="23">
        <v>10453</v>
      </c>
      <c r="F21" s="23">
        <v>1065</v>
      </c>
      <c r="G21" s="23">
        <f t="shared" si="1"/>
        <v>11518</v>
      </c>
      <c r="H21" s="24">
        <f t="shared" si="2"/>
        <v>10</v>
      </c>
      <c r="I21" s="63">
        <v>61.29</v>
      </c>
      <c r="J21" s="105"/>
      <c r="K21" s="72"/>
      <c r="L21" s="72"/>
      <c r="M21" s="72"/>
      <c r="N21" s="72"/>
    </row>
    <row r="22" spans="4:14" s="30" customFormat="1" ht="11.25" customHeight="1" x14ac:dyDescent="0.25">
      <c r="D22" s="32">
        <v>44427</v>
      </c>
      <c r="E22" s="23">
        <v>10462</v>
      </c>
      <c r="F22" s="23">
        <v>1065</v>
      </c>
      <c r="G22" s="23">
        <f t="shared" si="1"/>
        <v>11527</v>
      </c>
      <c r="H22" s="24">
        <f t="shared" si="2"/>
        <v>9</v>
      </c>
      <c r="I22" s="63">
        <v>61.29</v>
      </c>
      <c r="J22" s="105"/>
      <c r="K22" s="72"/>
      <c r="L22" s="72"/>
      <c r="M22" s="72"/>
      <c r="N22" s="72"/>
    </row>
    <row r="23" spans="4:14" s="30" customFormat="1" ht="11.25" customHeight="1" x14ac:dyDescent="0.25">
      <c r="D23" s="32">
        <v>44428</v>
      </c>
      <c r="E23" s="23">
        <v>10471</v>
      </c>
      <c r="F23" s="23">
        <v>1065</v>
      </c>
      <c r="G23" s="23">
        <f t="shared" si="1"/>
        <v>11536</v>
      </c>
      <c r="H23" s="24">
        <f t="shared" si="2"/>
        <v>9</v>
      </c>
      <c r="I23" s="63">
        <v>61.29</v>
      </c>
      <c r="J23" s="105"/>
      <c r="K23" s="72"/>
      <c r="L23" s="72"/>
      <c r="M23" s="72"/>
      <c r="N23" s="72"/>
    </row>
    <row r="24" spans="4:14" s="30" customFormat="1" ht="11.25" customHeight="1" x14ac:dyDescent="0.25">
      <c r="D24" s="32">
        <v>44429</v>
      </c>
      <c r="E24" s="23">
        <v>10478</v>
      </c>
      <c r="F24" s="23">
        <v>1065</v>
      </c>
      <c r="G24" s="23">
        <f t="shared" si="1"/>
        <v>11543</v>
      </c>
      <c r="H24" s="24">
        <f t="shared" si="2"/>
        <v>7</v>
      </c>
      <c r="I24" s="63">
        <v>61.29</v>
      </c>
      <c r="J24" s="105"/>
      <c r="K24" s="72"/>
      <c r="L24" s="72"/>
      <c r="M24" s="72"/>
      <c r="N24" s="72"/>
    </row>
    <row r="25" spans="4:14" s="30" customFormat="1" ht="11.25" customHeight="1" x14ac:dyDescent="0.25">
      <c r="D25" s="32">
        <v>44430</v>
      </c>
      <c r="E25" s="23">
        <v>10487</v>
      </c>
      <c r="F25" s="23">
        <v>1065</v>
      </c>
      <c r="G25" s="23">
        <f t="shared" si="1"/>
        <v>11552</v>
      </c>
      <c r="H25" s="24">
        <f t="shared" si="2"/>
        <v>9</v>
      </c>
      <c r="I25" s="63">
        <v>61.29</v>
      </c>
      <c r="J25" s="105"/>
      <c r="K25" s="72"/>
      <c r="L25" s="72"/>
      <c r="M25" s="72"/>
      <c r="N25" s="72"/>
    </row>
    <row r="26" spans="4:14" s="30" customFormat="1" ht="11.25" customHeight="1" x14ac:dyDescent="0.25">
      <c r="D26" s="32">
        <v>44431</v>
      </c>
      <c r="E26" s="26">
        <v>10492</v>
      </c>
      <c r="F26" s="23">
        <v>1065</v>
      </c>
      <c r="G26" s="23">
        <f t="shared" si="1"/>
        <v>11557</v>
      </c>
      <c r="H26" s="24">
        <f t="shared" si="2"/>
        <v>5</v>
      </c>
      <c r="I26" s="63">
        <v>61.29</v>
      </c>
      <c r="J26" s="105"/>
      <c r="K26" s="72"/>
      <c r="L26" s="72"/>
      <c r="M26" s="72"/>
      <c r="N26" s="72"/>
    </row>
    <row r="27" spans="4:14" s="30" customFormat="1" ht="11.25" customHeight="1" x14ac:dyDescent="0.25">
      <c r="D27" s="32">
        <v>44432</v>
      </c>
      <c r="E27" s="26">
        <v>10514</v>
      </c>
      <c r="F27" s="23">
        <v>1065</v>
      </c>
      <c r="G27" s="23">
        <f t="shared" si="1"/>
        <v>11579</v>
      </c>
      <c r="H27" s="24">
        <f t="shared" si="2"/>
        <v>22</v>
      </c>
      <c r="I27" s="63">
        <v>61.29</v>
      </c>
      <c r="J27" s="105"/>
      <c r="K27" s="72"/>
      <c r="L27" s="72"/>
      <c r="M27" s="72"/>
      <c r="N27" s="72"/>
    </row>
    <row r="28" spans="4:14" s="30" customFormat="1" ht="11.25" customHeight="1" x14ac:dyDescent="0.25">
      <c r="D28" s="32">
        <v>44433</v>
      </c>
      <c r="E28" s="26">
        <v>10540</v>
      </c>
      <c r="F28" s="23">
        <v>1065</v>
      </c>
      <c r="G28" s="23">
        <f t="shared" si="1"/>
        <v>11605</v>
      </c>
      <c r="H28" s="24">
        <f t="shared" si="2"/>
        <v>26</v>
      </c>
      <c r="I28" s="63">
        <v>61.29</v>
      </c>
      <c r="J28" s="105"/>
      <c r="K28" s="72"/>
      <c r="L28" s="72"/>
      <c r="M28" s="72"/>
      <c r="N28" s="72"/>
    </row>
    <row r="29" spans="4:14" s="30" customFormat="1" ht="11.25" customHeight="1" x14ac:dyDescent="0.25">
      <c r="D29" s="32">
        <v>44434</v>
      </c>
      <c r="E29" s="26">
        <v>10561</v>
      </c>
      <c r="F29" s="23">
        <v>1065</v>
      </c>
      <c r="G29" s="23">
        <f t="shared" si="1"/>
        <v>11626</v>
      </c>
      <c r="H29" s="24">
        <f t="shared" si="2"/>
        <v>21</v>
      </c>
      <c r="I29" s="63">
        <v>61.29</v>
      </c>
      <c r="J29" s="105"/>
      <c r="K29" s="72"/>
      <c r="L29" s="72"/>
      <c r="M29" s="72"/>
      <c r="N29" s="72"/>
    </row>
    <row r="30" spans="4:14" s="30" customFormat="1" ht="11.25" customHeight="1" x14ac:dyDescent="0.25">
      <c r="D30" s="32">
        <v>44435</v>
      </c>
      <c r="E30" s="26"/>
      <c r="F30" s="23">
        <v>1065</v>
      </c>
      <c r="G30" s="23">
        <f t="shared" si="1"/>
        <v>1065</v>
      </c>
      <c r="H30" s="24">
        <f t="shared" si="2"/>
        <v>-10561</v>
      </c>
      <c r="I30" s="63">
        <v>61.29</v>
      </c>
      <c r="J30" s="105"/>
      <c r="K30" s="72"/>
      <c r="L30" s="72"/>
      <c r="M30" s="72"/>
      <c r="N30" s="72"/>
    </row>
    <row r="31" spans="4:14" s="30" customFormat="1" ht="11.25" customHeight="1" x14ac:dyDescent="0.25">
      <c r="D31" s="32">
        <v>44436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63">
        <v>61.29</v>
      </c>
      <c r="J31" s="105"/>
      <c r="K31" s="72"/>
      <c r="L31" s="72"/>
      <c r="M31" s="72"/>
      <c r="N31" s="72"/>
    </row>
    <row r="32" spans="4:14" s="30" customFormat="1" ht="11.25" customHeight="1" x14ac:dyDescent="0.25">
      <c r="D32" s="32">
        <v>44437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63">
        <v>61.29</v>
      </c>
      <c r="J32" s="105"/>
      <c r="K32" s="72"/>
      <c r="L32" s="72"/>
      <c r="M32" s="72"/>
      <c r="N32" s="72"/>
    </row>
    <row r="33" spans="2:14" s="30" customFormat="1" ht="11.25" customHeight="1" x14ac:dyDescent="0.25">
      <c r="B33" s="31"/>
      <c r="C33" s="31"/>
      <c r="D33" s="32">
        <v>44438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63">
        <v>61.29</v>
      </c>
      <c r="J33" s="105"/>
      <c r="K33" s="72"/>
      <c r="L33" s="72"/>
      <c r="M33" s="72"/>
      <c r="N33" s="72"/>
    </row>
    <row r="34" spans="2:14" s="30" customFormat="1" ht="11.25" customHeight="1" x14ac:dyDescent="0.25">
      <c r="D34" s="32">
        <v>44439</v>
      </c>
      <c r="E34" s="26"/>
      <c r="F34" s="23">
        <v>1065</v>
      </c>
      <c r="G34" s="23">
        <f>E34+F34</f>
        <v>1065</v>
      </c>
      <c r="H34" s="24">
        <f t="shared" si="0"/>
        <v>0</v>
      </c>
      <c r="I34" s="63">
        <v>61.29</v>
      </c>
      <c r="J34" s="105"/>
      <c r="K34" s="72"/>
      <c r="L34" s="72"/>
      <c r="M34" s="72"/>
      <c r="N34" s="72"/>
    </row>
    <row r="35" spans="2:14" x14ac:dyDescent="0.25">
      <c r="D35" s="34" t="s">
        <v>28</v>
      </c>
      <c r="E35" s="35"/>
      <c r="F35" s="35"/>
      <c r="G35" s="26"/>
      <c r="H35" s="52">
        <f>SUM(H4:H34)</f>
        <v>-10215</v>
      </c>
      <c r="I35" s="107">
        <f>SUM(I4:I34)</f>
        <v>1899.9899999999993</v>
      </c>
      <c r="J35" s="106"/>
      <c r="K35" s="72"/>
      <c r="L35" s="72"/>
      <c r="M35" s="72"/>
    </row>
    <row r="36" spans="2:14" x14ac:dyDescent="0.25">
      <c r="K36" s="29"/>
    </row>
    <row r="37" spans="2:14" x14ac:dyDescent="0.25">
      <c r="D37" s="38" t="s">
        <v>41</v>
      </c>
      <c r="G37" s="37"/>
      <c r="K37" s="29"/>
    </row>
    <row r="38" spans="2:14" x14ac:dyDescent="0.25">
      <c r="D38" s="73"/>
      <c r="K38" s="74"/>
    </row>
    <row r="39" spans="2:14" x14ac:dyDescent="0.25">
      <c r="L39" s="29"/>
    </row>
    <row r="40" spans="2:14" x14ac:dyDescent="0.25">
      <c r="L40" s="29"/>
    </row>
    <row r="41" spans="2:14" x14ac:dyDescent="0.25">
      <c r="L41" s="29"/>
    </row>
    <row r="42" spans="2:14" x14ac:dyDescent="0.25">
      <c r="L42" s="29"/>
    </row>
    <row r="43" spans="2:14" x14ac:dyDescent="0.25">
      <c r="L43" s="29"/>
    </row>
    <row r="44" spans="2:14" x14ac:dyDescent="0.25">
      <c r="L44" s="29"/>
    </row>
    <row r="45" spans="2:14" x14ac:dyDescent="0.25">
      <c r="L45" s="29"/>
    </row>
    <row r="46" spans="2:14" x14ac:dyDescent="0.25">
      <c r="L46" s="29"/>
    </row>
    <row r="47" spans="2:14" x14ac:dyDescent="0.25">
      <c r="L47" s="29"/>
    </row>
    <row r="48" spans="2:14" x14ac:dyDescent="0.25">
      <c r="L48" s="29"/>
    </row>
    <row r="49" spans="12:12" x14ac:dyDescent="0.25">
      <c r="L49" s="29"/>
    </row>
    <row r="50" spans="12:12" x14ac:dyDescent="0.25">
      <c r="L50" s="29"/>
    </row>
    <row r="51" spans="12:12" x14ac:dyDescent="0.25">
      <c r="L51" s="29"/>
    </row>
    <row r="52" spans="12:12" x14ac:dyDescent="0.25">
      <c r="L52" s="29"/>
    </row>
    <row r="53" spans="12:12" x14ac:dyDescent="0.25">
      <c r="L53" s="29"/>
    </row>
    <row r="54" spans="12:12" x14ac:dyDescent="0.25">
      <c r="L54" s="29"/>
    </row>
    <row r="55" spans="12:12" x14ac:dyDescent="0.25">
      <c r="L55" s="29"/>
    </row>
    <row r="56" spans="12:12" x14ac:dyDescent="0.25">
      <c r="L56" s="29"/>
    </row>
    <row r="57" spans="12:12" x14ac:dyDescent="0.25">
      <c r="L57" s="29"/>
    </row>
    <row r="58" spans="12:12" x14ac:dyDescent="0.25">
      <c r="L58" s="29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30" sqref="F30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38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29</v>
      </c>
      <c r="C3" s="30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5"/>
      <c r="O3" s="72"/>
      <c r="P3" s="72"/>
      <c r="Q3" s="72"/>
      <c r="R3" s="72"/>
    </row>
    <row r="4" spans="2:18" s="30" customFormat="1" ht="11.25" customHeight="1" x14ac:dyDescent="0.25">
      <c r="D4" s="32">
        <v>44409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6"/>
      <c r="O4" s="71"/>
      <c r="P4" s="78"/>
      <c r="Q4" s="78"/>
      <c r="R4" s="78"/>
    </row>
    <row r="5" spans="2:18" s="30" customFormat="1" ht="11.25" customHeight="1" x14ac:dyDescent="0.25">
      <c r="D5" s="32">
        <v>44410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6"/>
      <c r="O5" s="71"/>
      <c r="P5" s="78"/>
      <c r="Q5" s="78"/>
      <c r="R5" s="78"/>
    </row>
    <row r="6" spans="2:18" s="30" customFormat="1" ht="11.25" customHeight="1" x14ac:dyDescent="0.25">
      <c r="D6" s="32">
        <v>44411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6"/>
      <c r="O6" s="71"/>
      <c r="P6" s="78"/>
      <c r="Q6" s="78"/>
      <c r="R6" s="78"/>
    </row>
    <row r="7" spans="2:18" s="30" customFormat="1" ht="11.25" customHeight="1" x14ac:dyDescent="0.25">
      <c r="D7" s="32">
        <v>44412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4" si="2">I7-I6</f>
        <v>0</v>
      </c>
      <c r="K7" s="22"/>
      <c r="L7" s="57"/>
      <c r="M7" s="58"/>
      <c r="N7" s="76"/>
      <c r="O7" s="71"/>
      <c r="P7" s="78"/>
      <c r="Q7" s="78"/>
      <c r="R7" s="78"/>
    </row>
    <row r="8" spans="2:18" s="30" customFormat="1" ht="11.25" customHeight="1" x14ac:dyDescent="0.25">
      <c r="D8" s="32">
        <v>44413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6"/>
      <c r="O8" s="71"/>
      <c r="P8" s="78"/>
      <c r="Q8" s="78"/>
      <c r="R8" s="78"/>
    </row>
    <row r="9" spans="2:18" s="30" customFormat="1" ht="11.25" customHeight="1" x14ac:dyDescent="0.25">
      <c r="D9" s="32">
        <v>44414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6"/>
      <c r="O9" s="71"/>
      <c r="P9" s="78"/>
      <c r="Q9" s="78"/>
      <c r="R9" s="78"/>
    </row>
    <row r="10" spans="2:18" s="30" customFormat="1" ht="11.25" x14ac:dyDescent="0.25">
      <c r="D10" s="32">
        <v>44415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6"/>
      <c r="O10" s="71"/>
      <c r="P10" s="78"/>
      <c r="Q10" s="78"/>
      <c r="R10" s="78"/>
    </row>
    <row r="11" spans="2:18" s="30" customFormat="1" ht="11.25" customHeight="1" x14ac:dyDescent="0.25">
      <c r="D11" s="32">
        <v>44416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6"/>
      <c r="O11" s="71"/>
      <c r="P11" s="78"/>
      <c r="Q11" s="78"/>
      <c r="R11" s="78"/>
    </row>
    <row r="12" spans="2:18" s="30" customFormat="1" ht="11.25" customHeight="1" x14ac:dyDescent="0.25">
      <c r="D12" s="32">
        <v>44417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6"/>
      <c r="O12" s="71"/>
      <c r="P12" s="78"/>
      <c r="Q12" s="78"/>
      <c r="R12" s="78"/>
    </row>
    <row r="13" spans="2:18" s="30" customFormat="1" ht="11.25" customHeight="1" x14ac:dyDescent="0.25">
      <c r="D13" s="32">
        <v>44418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6"/>
      <c r="O13" s="71"/>
      <c r="P13" s="78"/>
      <c r="Q13" s="78"/>
      <c r="R13" s="78"/>
    </row>
    <row r="14" spans="2:18" s="30" customFormat="1" ht="11.25" customHeight="1" x14ac:dyDescent="0.25">
      <c r="D14" s="32">
        <v>44419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6"/>
      <c r="O14" s="71"/>
      <c r="P14" s="78"/>
      <c r="Q14" s="78"/>
      <c r="R14" s="78"/>
    </row>
    <row r="15" spans="2:18" s="30" customFormat="1" ht="11.25" customHeight="1" x14ac:dyDescent="0.25">
      <c r="D15" s="32">
        <v>44420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6"/>
      <c r="O15" s="71"/>
      <c r="P15" s="78"/>
      <c r="Q15" s="78"/>
      <c r="R15" s="78"/>
    </row>
    <row r="16" spans="2:18" s="30" customFormat="1" ht="11.25" customHeight="1" x14ac:dyDescent="0.25">
      <c r="D16" s="32">
        <v>44421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6"/>
      <c r="O16" s="71"/>
      <c r="P16" s="78"/>
      <c r="Q16" s="78"/>
      <c r="R16" s="78"/>
    </row>
    <row r="17" spans="4:18" s="30" customFormat="1" ht="11.25" customHeight="1" x14ac:dyDescent="0.25">
      <c r="D17" s="32">
        <v>44422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6"/>
      <c r="O17" s="71"/>
      <c r="P17" s="78"/>
      <c r="Q17" s="78"/>
      <c r="R17" s="78"/>
    </row>
    <row r="18" spans="4:18" s="30" customFormat="1" ht="11.25" customHeight="1" x14ac:dyDescent="0.25">
      <c r="D18" s="32">
        <v>44423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6"/>
      <c r="O18" s="71"/>
      <c r="P18" s="78"/>
      <c r="Q18" s="78"/>
      <c r="R18" s="78"/>
    </row>
    <row r="19" spans="4:18" s="30" customFormat="1" ht="11.25" customHeight="1" x14ac:dyDescent="0.25">
      <c r="D19" s="32">
        <v>44424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6"/>
      <c r="O19" s="71"/>
      <c r="P19" s="78"/>
      <c r="Q19" s="78"/>
      <c r="R19" s="78"/>
    </row>
    <row r="20" spans="4:18" s="30" customFormat="1" ht="11.25" customHeight="1" x14ac:dyDescent="0.25">
      <c r="D20" s="32">
        <v>44425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6"/>
      <c r="O20" s="71"/>
      <c r="P20" s="78"/>
      <c r="Q20" s="78"/>
      <c r="R20" s="78"/>
    </row>
    <row r="21" spans="4:18" s="30" customFormat="1" ht="11.25" customHeight="1" x14ac:dyDescent="0.25">
      <c r="D21" s="32">
        <v>44426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6"/>
      <c r="O21" s="71"/>
      <c r="P21" s="78"/>
      <c r="Q21" s="78"/>
      <c r="R21" s="78"/>
    </row>
    <row r="22" spans="4:18" s="30" customFormat="1" ht="11.25" customHeight="1" x14ac:dyDescent="0.25">
      <c r="D22" s="32">
        <v>44427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6"/>
      <c r="O22" s="71"/>
      <c r="P22" s="78"/>
      <c r="Q22" s="78"/>
      <c r="R22" s="78"/>
    </row>
    <row r="23" spans="4:18" s="30" customFormat="1" ht="11.25" customHeight="1" x14ac:dyDescent="0.25">
      <c r="D23" s="32">
        <v>44428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6"/>
      <c r="O23" s="71"/>
      <c r="P23" s="78"/>
      <c r="Q23" s="78"/>
      <c r="R23" s="78"/>
    </row>
    <row r="24" spans="4:18" s="30" customFormat="1" ht="11.25" customHeight="1" x14ac:dyDescent="0.25">
      <c r="D24" s="32">
        <v>44429</v>
      </c>
      <c r="E24" s="23">
        <v>760788</v>
      </c>
      <c r="F24" s="23">
        <v>172141</v>
      </c>
      <c r="G24" s="23">
        <f t="shared" si="0"/>
        <v>932929</v>
      </c>
      <c r="H24" s="18">
        <v>1.2781359999999999</v>
      </c>
      <c r="I24" s="23">
        <f t="shared" si="1"/>
        <v>1192410.140344</v>
      </c>
      <c r="J24" s="24">
        <f t="shared" si="2"/>
        <v>0</v>
      </c>
      <c r="K24" s="22"/>
      <c r="L24" s="57"/>
      <c r="M24" s="58"/>
      <c r="N24" s="76"/>
      <c r="O24" s="71"/>
      <c r="P24" s="78"/>
      <c r="Q24" s="78"/>
      <c r="R24" s="78"/>
    </row>
    <row r="25" spans="4:18" s="30" customFormat="1" ht="11.25" customHeight="1" x14ac:dyDescent="0.25">
      <c r="D25" s="32">
        <v>44430</v>
      </c>
      <c r="E25" s="23">
        <v>760788</v>
      </c>
      <c r="F25" s="23">
        <v>172141</v>
      </c>
      <c r="G25" s="23">
        <f t="shared" si="0"/>
        <v>932929</v>
      </c>
      <c r="H25" s="18">
        <v>1.2781359999999999</v>
      </c>
      <c r="I25" s="23">
        <f t="shared" si="1"/>
        <v>1192410.140344</v>
      </c>
      <c r="J25" s="24">
        <f t="shared" si="2"/>
        <v>0</v>
      </c>
      <c r="K25" s="22"/>
      <c r="L25" s="57"/>
      <c r="M25" s="58"/>
      <c r="N25" s="76"/>
      <c r="O25" s="71"/>
      <c r="P25" s="78"/>
      <c r="Q25" s="78"/>
      <c r="R25" s="78"/>
    </row>
    <row r="26" spans="4:18" s="30" customFormat="1" ht="11.25" customHeight="1" x14ac:dyDescent="0.25">
      <c r="D26" s="32">
        <v>44431</v>
      </c>
      <c r="E26" s="23">
        <v>760788</v>
      </c>
      <c r="F26" s="23">
        <v>172141</v>
      </c>
      <c r="G26" s="23">
        <f t="shared" si="0"/>
        <v>932929</v>
      </c>
      <c r="H26" s="18">
        <v>1.2781359999999999</v>
      </c>
      <c r="I26" s="23">
        <f t="shared" si="1"/>
        <v>1192410.140344</v>
      </c>
      <c r="J26" s="24">
        <f t="shared" si="2"/>
        <v>0</v>
      </c>
      <c r="K26" s="22"/>
      <c r="L26" s="57"/>
      <c r="M26" s="58"/>
      <c r="N26" s="76"/>
      <c r="O26" s="71"/>
      <c r="P26" s="78"/>
      <c r="Q26" s="78"/>
      <c r="R26" s="78"/>
    </row>
    <row r="27" spans="4:18" s="30" customFormat="1" ht="11.25" customHeight="1" x14ac:dyDescent="0.25">
      <c r="D27" s="32">
        <v>44432</v>
      </c>
      <c r="E27" s="23">
        <v>760788</v>
      </c>
      <c r="F27" s="23">
        <v>172141</v>
      </c>
      <c r="G27" s="23">
        <f t="shared" si="0"/>
        <v>932929</v>
      </c>
      <c r="H27" s="18">
        <v>1.2781359999999999</v>
      </c>
      <c r="I27" s="23">
        <f t="shared" si="1"/>
        <v>1192410.140344</v>
      </c>
      <c r="J27" s="24">
        <f t="shared" si="2"/>
        <v>0</v>
      </c>
      <c r="K27" s="22"/>
      <c r="L27" s="57"/>
      <c r="M27" s="58"/>
      <c r="N27" s="76"/>
      <c r="O27" s="71"/>
      <c r="P27" s="78"/>
      <c r="Q27" s="78"/>
      <c r="R27" s="78"/>
    </row>
    <row r="28" spans="4:18" s="30" customFormat="1" ht="11.25" customHeight="1" x14ac:dyDescent="0.25">
      <c r="D28" s="32">
        <v>44433</v>
      </c>
      <c r="E28" s="23">
        <v>760788</v>
      </c>
      <c r="F28" s="23">
        <v>172141</v>
      </c>
      <c r="G28" s="23">
        <f t="shared" si="0"/>
        <v>932929</v>
      </c>
      <c r="H28" s="18">
        <v>1.2781359999999999</v>
      </c>
      <c r="I28" s="23">
        <f t="shared" si="1"/>
        <v>1192410.140344</v>
      </c>
      <c r="J28" s="24">
        <f t="shared" si="2"/>
        <v>0</v>
      </c>
      <c r="K28" s="22"/>
      <c r="L28" s="57"/>
      <c r="M28" s="58"/>
      <c r="N28" s="76"/>
      <c r="O28" s="71"/>
      <c r="P28" s="78"/>
      <c r="Q28" s="78"/>
      <c r="R28" s="78"/>
    </row>
    <row r="29" spans="4:18" s="30" customFormat="1" ht="11.25" customHeight="1" x14ac:dyDescent="0.25">
      <c r="D29" s="32">
        <v>44434</v>
      </c>
      <c r="E29" s="23">
        <v>760788</v>
      </c>
      <c r="F29" s="23">
        <v>172141</v>
      </c>
      <c r="G29" s="23">
        <f t="shared" si="0"/>
        <v>932929</v>
      </c>
      <c r="H29" s="18">
        <v>1.2781359999999999</v>
      </c>
      <c r="I29" s="23">
        <f t="shared" si="1"/>
        <v>1192410.140344</v>
      </c>
      <c r="J29" s="24">
        <f t="shared" si="2"/>
        <v>0</v>
      </c>
      <c r="K29" s="22"/>
      <c r="L29" s="57"/>
      <c r="M29" s="58"/>
      <c r="N29" s="76"/>
      <c r="O29" s="71"/>
      <c r="P29" s="78"/>
      <c r="Q29" s="78"/>
      <c r="R29" s="78"/>
    </row>
    <row r="30" spans="4:18" s="30" customFormat="1" ht="11.25" customHeight="1" x14ac:dyDescent="0.25">
      <c r="D30" s="32">
        <v>44435</v>
      </c>
      <c r="E30" s="23"/>
      <c r="F30" s="23"/>
      <c r="G30" s="23">
        <f t="shared" si="0"/>
        <v>0</v>
      </c>
      <c r="H30" s="18">
        <v>1.2781359999999999</v>
      </c>
      <c r="I30" s="23">
        <f t="shared" si="1"/>
        <v>0</v>
      </c>
      <c r="J30" s="24">
        <f t="shared" si="2"/>
        <v>-1192410.140344</v>
      </c>
      <c r="K30" s="22"/>
      <c r="L30" s="57"/>
      <c r="M30" s="58"/>
      <c r="N30" s="76"/>
      <c r="O30" s="71"/>
      <c r="P30" s="78"/>
      <c r="Q30" s="78"/>
      <c r="R30" s="78"/>
    </row>
    <row r="31" spans="4:18" s="30" customFormat="1" ht="11.25" customHeight="1" x14ac:dyDescent="0.25">
      <c r="D31" s="32">
        <v>44436</v>
      </c>
      <c r="E31" s="23"/>
      <c r="F31" s="23"/>
      <c r="G31" s="23">
        <f t="shared" si="0"/>
        <v>0</v>
      </c>
      <c r="H31" s="18">
        <v>1.2781359999999999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6"/>
      <c r="O31" s="71"/>
      <c r="P31" s="78"/>
      <c r="Q31" s="78"/>
      <c r="R31" s="78"/>
    </row>
    <row r="32" spans="4:18" s="30" customFormat="1" ht="11.25" customHeight="1" x14ac:dyDescent="0.25">
      <c r="D32" s="32">
        <v>44437</v>
      </c>
      <c r="E32" s="23"/>
      <c r="F32" s="23"/>
      <c r="G32" s="23">
        <f t="shared" si="0"/>
        <v>0</v>
      </c>
      <c r="H32" s="18">
        <v>1.2781359999999999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6"/>
      <c r="O32" s="71"/>
      <c r="P32" s="78"/>
      <c r="Q32" s="78"/>
      <c r="R32" s="78"/>
    </row>
    <row r="33" spans="4:18" s="30" customFormat="1" ht="11.25" customHeight="1" x14ac:dyDescent="0.25">
      <c r="D33" s="32">
        <v>44438</v>
      </c>
      <c r="E33" s="23"/>
      <c r="F33" s="23"/>
      <c r="G33" s="23">
        <f t="shared" si="0"/>
        <v>0</v>
      </c>
      <c r="H33" s="18">
        <v>1.2781359999999999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6"/>
      <c r="O33" s="71"/>
      <c r="P33" s="78"/>
      <c r="Q33" s="78"/>
      <c r="R33" s="78"/>
    </row>
    <row r="34" spans="4:18" s="30" customFormat="1" ht="11.25" customHeight="1" x14ac:dyDescent="0.25">
      <c r="D34" s="32">
        <v>44439</v>
      </c>
      <c r="E34" s="23"/>
      <c r="F34" s="23"/>
      <c r="G34" s="23">
        <f t="shared" si="0"/>
        <v>0</v>
      </c>
      <c r="H34" s="18">
        <v>1.2781359999999999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7"/>
      <c r="O34" s="79"/>
      <c r="P34" s="78"/>
      <c r="Q34" s="78"/>
      <c r="R34" s="78"/>
    </row>
    <row r="35" spans="4:18" ht="12" customHeight="1" x14ac:dyDescent="0.25">
      <c r="D35" s="34" t="s">
        <v>28</v>
      </c>
      <c r="E35" s="43"/>
      <c r="F35" s="43"/>
      <c r="G35" s="43"/>
      <c r="H35" s="43"/>
      <c r="I35" s="44"/>
      <c r="J35" s="36">
        <f>SUM(J4:J34)</f>
        <v>-1192410.140344</v>
      </c>
      <c r="K35" s="56"/>
      <c r="O35" s="80"/>
      <c r="P35" s="80"/>
      <c r="Q35" s="80"/>
      <c r="R35" s="80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39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F30" sqref="F30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8" t="s">
        <v>35</v>
      </c>
      <c r="F1" s="108"/>
      <c r="G1" s="108"/>
      <c r="H1" s="108"/>
      <c r="I1" s="108"/>
      <c r="J1" s="108"/>
      <c r="K1" s="28"/>
      <c r="L1" s="28"/>
      <c r="M1" s="28"/>
      <c r="N1" s="28"/>
      <c r="O1" s="17"/>
      <c r="P1" s="17"/>
      <c r="Q1" s="109"/>
      <c r="R1" s="109"/>
      <c r="S1" s="109"/>
      <c r="T1" s="109"/>
      <c r="U1" s="109"/>
      <c r="V1" s="109"/>
      <c r="W1" s="109"/>
      <c r="X1" s="109"/>
      <c r="Y1" s="81"/>
      <c r="Z1" s="109"/>
      <c r="AA1" s="109"/>
      <c r="AB1" s="109"/>
      <c r="AC1" s="109"/>
      <c r="AD1" s="109"/>
      <c r="AE1" s="109"/>
      <c r="AF1" s="109"/>
      <c r="AG1" s="109"/>
      <c r="AH1" s="82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82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2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</row>
    <row r="3" spans="3:51" ht="45.75" customHeight="1" x14ac:dyDescent="0.25">
      <c r="C3" s="46" t="s">
        <v>31</v>
      </c>
      <c r="D3" s="46" t="s">
        <v>32</v>
      </c>
      <c r="E3" s="18" t="s">
        <v>11</v>
      </c>
      <c r="F3" s="19" t="s">
        <v>36</v>
      </c>
      <c r="G3" s="19" t="s">
        <v>12</v>
      </c>
      <c r="H3" s="19" t="s">
        <v>13</v>
      </c>
      <c r="I3" s="19" t="s">
        <v>14</v>
      </c>
      <c r="J3" s="19"/>
      <c r="K3" s="69"/>
      <c r="L3" s="69"/>
      <c r="M3" s="69"/>
      <c r="N3" s="69"/>
      <c r="O3" s="33"/>
      <c r="P3" s="30"/>
      <c r="Q3" s="64"/>
      <c r="R3" s="65"/>
      <c r="S3" s="65"/>
      <c r="T3" s="65"/>
      <c r="U3" s="65"/>
      <c r="V3" s="65"/>
      <c r="W3" s="65"/>
      <c r="X3" s="83"/>
      <c r="Y3" s="84"/>
      <c r="Z3" s="64"/>
      <c r="AA3" s="65"/>
      <c r="AB3" s="65"/>
      <c r="AC3" s="65"/>
      <c r="AD3" s="65"/>
      <c r="AE3" s="65"/>
      <c r="AF3" s="65"/>
      <c r="AG3" s="83"/>
      <c r="AH3" s="82"/>
      <c r="AI3" s="64"/>
      <c r="AJ3" s="65"/>
      <c r="AK3" s="83"/>
      <c r="AL3" s="83"/>
      <c r="AM3" s="83"/>
      <c r="AN3" s="65"/>
      <c r="AO3" s="110"/>
      <c r="AP3" s="111"/>
      <c r="AQ3" s="110"/>
      <c r="AR3" s="111"/>
      <c r="AS3" s="110"/>
      <c r="AT3" s="111"/>
      <c r="AU3" s="65"/>
      <c r="AV3" s="65"/>
      <c r="AW3" s="65"/>
      <c r="AX3" s="65"/>
      <c r="AY3" s="82"/>
    </row>
    <row r="4" spans="3:51" x14ac:dyDescent="0.25">
      <c r="C4" s="47">
        <v>1300</v>
      </c>
      <c r="D4" s="47">
        <v>3200</v>
      </c>
      <c r="E4" s="32">
        <v>44409</v>
      </c>
      <c r="F4" s="61">
        <v>4709.9849999999997</v>
      </c>
      <c r="G4" s="22">
        <v>2760</v>
      </c>
      <c r="H4" s="23">
        <f>G4*F4</f>
        <v>12999558.6</v>
      </c>
      <c r="I4" s="24">
        <f>+(H4-'[2]Temmuz 2021'!H34)</f>
        <v>1333.0799999982119</v>
      </c>
      <c r="J4" s="36"/>
      <c r="K4" s="79"/>
      <c r="L4" s="71"/>
      <c r="M4" s="71"/>
      <c r="N4" s="71"/>
      <c r="O4" s="48"/>
      <c r="P4" s="49"/>
      <c r="Q4" s="66"/>
      <c r="R4" s="85"/>
      <c r="S4" s="85"/>
      <c r="T4" s="85"/>
      <c r="U4" s="68"/>
      <c r="V4" s="68"/>
      <c r="W4" s="86"/>
      <c r="X4" s="87"/>
      <c r="Y4" s="84"/>
      <c r="Z4" s="66"/>
      <c r="AA4" s="85"/>
      <c r="AB4" s="85"/>
      <c r="AC4" s="85"/>
      <c r="AD4" s="68"/>
      <c r="AE4" s="68"/>
      <c r="AF4" s="86"/>
      <c r="AG4" s="87"/>
      <c r="AH4" s="82"/>
      <c r="AI4" s="66"/>
      <c r="AJ4" s="88"/>
      <c r="AK4" s="88"/>
      <c r="AL4" s="88"/>
      <c r="AM4" s="88"/>
      <c r="AN4" s="89"/>
      <c r="AO4" s="89"/>
      <c r="AP4" s="90"/>
      <c r="AQ4" s="89"/>
      <c r="AR4" s="91"/>
      <c r="AS4" s="89"/>
      <c r="AT4" s="92"/>
      <c r="AU4" s="93"/>
      <c r="AV4" s="67"/>
      <c r="AW4" s="68"/>
      <c r="AX4" s="68"/>
      <c r="AY4" s="82"/>
    </row>
    <row r="5" spans="3:51" x14ac:dyDescent="0.25">
      <c r="C5" s="47">
        <v>1000</v>
      </c>
      <c r="D5" s="47">
        <v>3400</v>
      </c>
      <c r="E5" s="32">
        <v>44410</v>
      </c>
      <c r="F5" s="55">
        <v>4710.46</v>
      </c>
      <c r="G5" s="22">
        <v>2760</v>
      </c>
      <c r="H5" s="23">
        <f>G5*F5</f>
        <v>13000869.6</v>
      </c>
      <c r="I5" s="24">
        <f>+(H5-H4)</f>
        <v>1311</v>
      </c>
      <c r="J5" s="36"/>
      <c r="K5" s="103"/>
      <c r="L5" s="71"/>
      <c r="M5" s="71"/>
      <c r="N5" s="71"/>
      <c r="O5" s="48"/>
      <c r="P5" s="49"/>
      <c r="Q5" s="66"/>
      <c r="R5" s="85"/>
      <c r="S5" s="85"/>
      <c r="T5" s="85"/>
      <c r="U5" s="68"/>
      <c r="V5" s="68"/>
      <c r="W5" s="86"/>
      <c r="X5" s="87"/>
      <c r="Y5" s="84"/>
      <c r="Z5" s="66"/>
      <c r="AA5" s="85"/>
      <c r="AB5" s="85"/>
      <c r="AC5" s="64"/>
      <c r="AD5" s="68"/>
      <c r="AE5" s="68"/>
      <c r="AF5" s="86"/>
      <c r="AG5" s="87"/>
      <c r="AH5" s="82"/>
      <c r="AI5" s="66"/>
      <c r="AJ5" s="88"/>
      <c r="AK5" s="88"/>
      <c r="AL5" s="88"/>
      <c r="AM5" s="88"/>
      <c r="AN5" s="89"/>
      <c r="AO5" s="89"/>
      <c r="AP5" s="90"/>
      <c r="AQ5" s="89"/>
      <c r="AR5" s="91"/>
      <c r="AS5" s="89"/>
      <c r="AT5" s="92"/>
      <c r="AU5" s="93"/>
      <c r="AV5" s="67"/>
      <c r="AW5" s="68"/>
      <c r="AX5" s="68"/>
      <c r="AY5" s="82"/>
    </row>
    <row r="6" spans="3:51" x14ac:dyDescent="0.25">
      <c r="C6" s="47">
        <v>1000</v>
      </c>
      <c r="D6" s="47">
        <v>3200</v>
      </c>
      <c r="E6" s="32">
        <v>44411</v>
      </c>
      <c r="F6" s="55">
        <v>4710.9480000000003</v>
      </c>
      <c r="G6" s="22">
        <v>2760</v>
      </c>
      <c r="H6" s="23">
        <f t="shared" ref="H6:H34" si="0">G6*F6</f>
        <v>13002216.48</v>
      </c>
      <c r="I6" s="24">
        <f t="shared" ref="I6:I34" si="1">+(H6-H5)</f>
        <v>1346.8800000008196</v>
      </c>
      <c r="J6" s="36"/>
      <c r="K6" s="103"/>
      <c r="L6" s="71"/>
      <c r="M6" s="71"/>
      <c r="N6" s="71"/>
      <c r="O6" s="48"/>
      <c r="P6" s="49"/>
      <c r="Q6" s="66"/>
      <c r="R6" s="85"/>
      <c r="S6" s="85"/>
      <c r="T6" s="85"/>
      <c r="U6" s="68"/>
      <c r="V6" s="68"/>
      <c r="W6" s="86"/>
      <c r="X6" s="87"/>
      <c r="Y6" s="84"/>
      <c r="Z6" s="66"/>
      <c r="AA6" s="85"/>
      <c r="AB6" s="85"/>
      <c r="AC6" s="85"/>
      <c r="AD6" s="68"/>
      <c r="AE6" s="68"/>
      <c r="AF6" s="86"/>
      <c r="AG6" s="87"/>
      <c r="AH6" s="82"/>
      <c r="AI6" s="66"/>
      <c r="AJ6" s="88"/>
      <c r="AK6" s="88"/>
      <c r="AL6" s="88"/>
      <c r="AM6" s="88"/>
      <c r="AN6" s="89"/>
      <c r="AO6" s="89"/>
      <c r="AP6" s="90"/>
      <c r="AQ6" s="89"/>
      <c r="AR6" s="91"/>
      <c r="AS6" s="89"/>
      <c r="AT6" s="92"/>
      <c r="AU6" s="93"/>
      <c r="AV6" s="67"/>
      <c r="AW6" s="68"/>
      <c r="AX6" s="68"/>
      <c r="AY6" s="82"/>
    </row>
    <row r="7" spans="3:51" x14ac:dyDescent="0.25">
      <c r="C7" s="47">
        <v>700</v>
      </c>
      <c r="D7" s="47">
        <v>3300</v>
      </c>
      <c r="E7" s="32">
        <v>44412</v>
      </c>
      <c r="F7" s="55">
        <v>4711.4440000000004</v>
      </c>
      <c r="G7" s="22">
        <v>2760</v>
      </c>
      <c r="H7" s="23">
        <f t="shared" si="0"/>
        <v>13003585.440000001</v>
      </c>
      <c r="I7" s="24">
        <f t="shared" si="1"/>
        <v>1368.9600000008941</v>
      </c>
      <c r="J7" s="36"/>
      <c r="K7" s="103"/>
      <c r="L7" s="71"/>
      <c r="M7" s="71"/>
      <c r="N7" s="71"/>
      <c r="O7" s="48"/>
      <c r="P7" s="49"/>
      <c r="Q7" s="66"/>
      <c r="R7" s="85"/>
      <c r="S7" s="85"/>
      <c r="T7" s="85"/>
      <c r="U7" s="68"/>
      <c r="V7" s="68"/>
      <c r="W7" s="86"/>
      <c r="X7" s="87"/>
      <c r="Y7" s="84"/>
      <c r="Z7" s="66"/>
      <c r="AA7" s="81"/>
      <c r="AB7" s="85"/>
      <c r="AC7" s="85"/>
      <c r="AD7" s="68"/>
      <c r="AE7" s="68"/>
      <c r="AF7" s="86"/>
      <c r="AG7" s="87"/>
      <c r="AH7" s="82"/>
      <c r="AI7" s="66"/>
      <c r="AJ7" s="88"/>
      <c r="AK7" s="88"/>
      <c r="AL7" s="88"/>
      <c r="AM7" s="88"/>
      <c r="AN7" s="89"/>
      <c r="AO7" s="89"/>
      <c r="AP7" s="90"/>
      <c r="AQ7" s="89"/>
      <c r="AR7" s="91"/>
      <c r="AS7" s="89"/>
      <c r="AT7" s="92"/>
      <c r="AU7" s="93"/>
      <c r="AV7" s="67"/>
      <c r="AW7" s="68"/>
      <c r="AX7" s="68"/>
      <c r="AY7" s="82"/>
    </row>
    <row r="8" spans="3:51" x14ac:dyDescent="0.25">
      <c r="C8" s="47">
        <v>700</v>
      </c>
      <c r="D8" s="47">
        <v>2900</v>
      </c>
      <c r="E8" s="32">
        <v>44413</v>
      </c>
      <c r="F8" s="55">
        <v>4711.9380000000001</v>
      </c>
      <c r="G8" s="22">
        <v>2760</v>
      </c>
      <c r="H8" s="23">
        <f>G8*F8</f>
        <v>13004948.880000001</v>
      </c>
      <c r="I8" s="24">
        <f t="shared" si="1"/>
        <v>1363.4399999994785</v>
      </c>
      <c r="J8" s="36"/>
      <c r="K8" s="103"/>
      <c r="L8" s="71"/>
      <c r="M8" s="71"/>
      <c r="N8" s="71"/>
      <c r="O8" s="48"/>
      <c r="P8" s="49"/>
      <c r="Q8" s="66"/>
      <c r="R8" s="85"/>
      <c r="S8" s="85"/>
      <c r="T8" s="85"/>
      <c r="U8" s="68"/>
      <c r="V8" s="68"/>
      <c r="W8" s="86"/>
      <c r="X8" s="87"/>
      <c r="Y8" s="84"/>
      <c r="Z8" s="66"/>
      <c r="AA8" s="81"/>
      <c r="AB8" s="85"/>
      <c r="AC8" s="85"/>
      <c r="AD8" s="68"/>
      <c r="AE8" s="68"/>
      <c r="AF8" s="86"/>
      <c r="AG8" s="87"/>
      <c r="AH8" s="82"/>
      <c r="AI8" s="66"/>
      <c r="AJ8" s="88"/>
      <c r="AK8" s="88"/>
      <c r="AL8" s="88"/>
      <c r="AM8" s="88"/>
      <c r="AN8" s="89"/>
      <c r="AO8" s="89"/>
      <c r="AP8" s="90"/>
      <c r="AQ8" s="89"/>
      <c r="AR8" s="91"/>
      <c r="AS8" s="89"/>
      <c r="AT8" s="92"/>
      <c r="AU8" s="93"/>
      <c r="AV8" s="67"/>
      <c r="AW8" s="68"/>
      <c r="AX8" s="68"/>
      <c r="AY8" s="82"/>
    </row>
    <row r="9" spans="3:51" x14ac:dyDescent="0.25">
      <c r="C9" s="47">
        <v>1500</v>
      </c>
      <c r="D9" s="47">
        <v>2600</v>
      </c>
      <c r="E9" s="32">
        <v>44414</v>
      </c>
      <c r="F9" s="55">
        <v>4712.4309999999996</v>
      </c>
      <c r="G9" s="22">
        <v>2760</v>
      </c>
      <c r="H9" s="23">
        <f t="shared" si="0"/>
        <v>13006309.559999999</v>
      </c>
      <c r="I9" s="24">
        <f t="shared" si="1"/>
        <v>1360.6799999978393</v>
      </c>
      <c r="J9" s="36"/>
      <c r="K9" s="103"/>
      <c r="L9" s="71"/>
      <c r="M9" s="71"/>
      <c r="N9" s="71"/>
      <c r="O9" s="48"/>
      <c r="P9" s="49"/>
      <c r="Q9" s="66"/>
      <c r="R9" s="85"/>
      <c r="S9" s="85"/>
      <c r="T9" s="85"/>
      <c r="U9" s="68"/>
      <c r="V9" s="68"/>
      <c r="W9" s="86"/>
      <c r="X9" s="87"/>
      <c r="Y9" s="84"/>
      <c r="Z9" s="66"/>
      <c r="AA9" s="81"/>
      <c r="AB9" s="85"/>
      <c r="AC9" s="85"/>
      <c r="AD9" s="68"/>
      <c r="AE9" s="68"/>
      <c r="AF9" s="86"/>
      <c r="AG9" s="87"/>
      <c r="AH9" s="82"/>
      <c r="AI9" s="66"/>
      <c r="AJ9" s="88"/>
      <c r="AK9" s="88"/>
      <c r="AL9" s="88"/>
      <c r="AM9" s="88"/>
      <c r="AN9" s="89"/>
      <c r="AO9" s="89"/>
      <c r="AP9" s="90"/>
      <c r="AQ9" s="89"/>
      <c r="AR9" s="91"/>
      <c r="AS9" s="89"/>
      <c r="AT9" s="92"/>
      <c r="AU9" s="93"/>
      <c r="AV9" s="67"/>
      <c r="AW9" s="68"/>
      <c r="AX9" s="68"/>
      <c r="AY9" s="82"/>
    </row>
    <row r="10" spans="3:51" x14ac:dyDescent="0.25">
      <c r="C10" s="47">
        <v>1900</v>
      </c>
      <c r="D10" s="47">
        <v>2700</v>
      </c>
      <c r="E10" s="32">
        <v>44415</v>
      </c>
      <c r="F10" s="55">
        <v>4712.9179999999997</v>
      </c>
      <c r="G10" s="22">
        <v>2760</v>
      </c>
      <c r="H10" s="23">
        <f t="shared" si="0"/>
        <v>13007653.68</v>
      </c>
      <c r="I10" s="24">
        <f t="shared" si="1"/>
        <v>1344.1200000010431</v>
      </c>
      <c r="J10" s="36"/>
      <c r="K10" s="103"/>
      <c r="L10" s="71"/>
      <c r="M10" s="71"/>
      <c r="N10" s="71"/>
      <c r="O10" s="48"/>
      <c r="P10" s="49"/>
      <c r="Q10" s="66"/>
      <c r="R10" s="85"/>
      <c r="S10" s="85"/>
      <c r="T10" s="85"/>
      <c r="U10" s="68"/>
      <c r="V10" s="68"/>
      <c r="W10" s="86"/>
      <c r="X10" s="87"/>
      <c r="Y10" s="84"/>
      <c r="Z10" s="66"/>
      <c r="AA10" s="81"/>
      <c r="AB10" s="85"/>
      <c r="AC10" s="85"/>
      <c r="AD10" s="68"/>
      <c r="AE10" s="68"/>
      <c r="AF10" s="86"/>
      <c r="AG10" s="87"/>
      <c r="AH10" s="82"/>
      <c r="AI10" s="66"/>
      <c r="AJ10" s="88"/>
      <c r="AK10" s="88"/>
      <c r="AL10" s="88"/>
      <c r="AM10" s="88"/>
      <c r="AN10" s="89"/>
      <c r="AO10" s="89"/>
      <c r="AP10" s="90"/>
      <c r="AQ10" s="89"/>
      <c r="AR10" s="91"/>
      <c r="AS10" s="89"/>
      <c r="AT10" s="92"/>
      <c r="AU10" s="93"/>
      <c r="AV10" s="67"/>
      <c r="AW10" s="68"/>
      <c r="AX10" s="68"/>
      <c r="AY10" s="82"/>
    </row>
    <row r="11" spans="3:51" x14ac:dyDescent="0.25">
      <c r="C11" s="47">
        <v>2200</v>
      </c>
      <c r="D11" s="47">
        <v>2700</v>
      </c>
      <c r="E11" s="32">
        <v>44416</v>
      </c>
      <c r="F11" s="55">
        <v>4713.3980000000001</v>
      </c>
      <c r="G11" s="22">
        <v>2760</v>
      </c>
      <c r="H11" s="23">
        <f t="shared" si="0"/>
        <v>13008978.48</v>
      </c>
      <c r="I11" s="24">
        <f t="shared" si="1"/>
        <v>1324.8000000007451</v>
      </c>
      <c r="J11" s="36"/>
      <c r="K11" s="103"/>
      <c r="L11" s="71"/>
      <c r="M11" s="71"/>
      <c r="N11" s="71"/>
      <c r="O11" s="48"/>
      <c r="P11" s="49"/>
      <c r="Q11" s="66"/>
      <c r="R11" s="85"/>
      <c r="S11" s="85"/>
      <c r="T11" s="85"/>
      <c r="U11" s="68"/>
      <c r="V11" s="68"/>
      <c r="W11" s="86"/>
      <c r="X11" s="87"/>
      <c r="Y11" s="84"/>
      <c r="Z11" s="66"/>
      <c r="AA11" s="81"/>
      <c r="AB11" s="85"/>
      <c r="AC11" s="85"/>
      <c r="AD11" s="68"/>
      <c r="AE11" s="68"/>
      <c r="AF11" s="86"/>
      <c r="AG11" s="87"/>
      <c r="AH11" s="82"/>
      <c r="AI11" s="66"/>
      <c r="AJ11" s="88"/>
      <c r="AK11" s="88"/>
      <c r="AL11" s="88"/>
      <c r="AM11" s="88"/>
      <c r="AN11" s="89"/>
      <c r="AO11" s="89"/>
      <c r="AP11" s="90"/>
      <c r="AQ11" s="89"/>
      <c r="AR11" s="91"/>
      <c r="AS11" s="89"/>
      <c r="AT11" s="92"/>
      <c r="AU11" s="93"/>
      <c r="AV11" s="67"/>
      <c r="AW11" s="68"/>
      <c r="AX11" s="68"/>
      <c r="AY11" s="82"/>
    </row>
    <row r="12" spans="3:51" x14ac:dyDescent="0.25">
      <c r="C12" s="47">
        <v>2600</v>
      </c>
      <c r="D12" s="47">
        <v>2700</v>
      </c>
      <c r="E12" s="32">
        <v>44417</v>
      </c>
      <c r="F12" s="55">
        <v>4713.8649999999998</v>
      </c>
      <c r="G12" s="22">
        <v>2760</v>
      </c>
      <c r="H12" s="23">
        <f>G12*F12</f>
        <v>13010267.399999999</v>
      </c>
      <c r="I12" s="24">
        <f t="shared" si="1"/>
        <v>1288.9199999980628</v>
      </c>
      <c r="J12" s="36"/>
      <c r="K12" s="103"/>
      <c r="L12" s="71"/>
      <c r="M12" s="71"/>
      <c r="N12" s="71"/>
      <c r="O12" s="48"/>
      <c r="P12" s="49"/>
      <c r="Q12" s="66"/>
      <c r="R12" s="85"/>
      <c r="S12" s="85"/>
      <c r="T12" s="85"/>
      <c r="U12" s="68"/>
      <c r="V12" s="68"/>
      <c r="W12" s="86"/>
      <c r="X12" s="87"/>
      <c r="Y12" s="84"/>
      <c r="Z12" s="66"/>
      <c r="AA12" s="94"/>
      <c r="AB12" s="85"/>
      <c r="AC12" s="85"/>
      <c r="AD12" s="68"/>
      <c r="AE12" s="68"/>
      <c r="AF12" s="86"/>
      <c r="AG12" s="87"/>
      <c r="AH12" s="82"/>
      <c r="AI12" s="66"/>
      <c r="AJ12" s="88"/>
      <c r="AK12" s="88"/>
      <c r="AL12" s="88"/>
      <c r="AM12" s="88"/>
      <c r="AN12" s="89"/>
      <c r="AO12" s="89"/>
      <c r="AP12" s="90"/>
      <c r="AQ12" s="89"/>
      <c r="AR12" s="91"/>
      <c r="AS12" s="89"/>
      <c r="AT12" s="92"/>
      <c r="AU12" s="93"/>
      <c r="AV12" s="67"/>
      <c r="AW12" s="68"/>
      <c r="AX12" s="68"/>
      <c r="AY12" s="82"/>
    </row>
    <row r="13" spans="3:51" x14ac:dyDescent="0.25">
      <c r="C13" s="47">
        <v>1500</v>
      </c>
      <c r="D13" s="47">
        <v>2700</v>
      </c>
      <c r="E13" s="32">
        <v>44418</v>
      </c>
      <c r="F13" s="55">
        <v>4714.3360000000002</v>
      </c>
      <c r="G13" s="22">
        <v>2760</v>
      </c>
      <c r="H13" s="23">
        <f t="shared" si="0"/>
        <v>13011567.360000001</v>
      </c>
      <c r="I13" s="24">
        <f t="shared" si="1"/>
        <v>1299.9600000027567</v>
      </c>
      <c r="J13" s="36"/>
      <c r="K13" s="103"/>
      <c r="L13" s="71"/>
      <c r="M13" s="71"/>
      <c r="N13" s="71"/>
      <c r="O13" s="48"/>
      <c r="P13" s="49"/>
      <c r="Q13" s="66"/>
      <c r="R13" s="85"/>
      <c r="S13" s="85"/>
      <c r="T13" s="85"/>
      <c r="U13" s="68"/>
      <c r="V13" s="68"/>
      <c r="W13" s="86"/>
      <c r="X13" s="87"/>
      <c r="Y13" s="84"/>
      <c r="Z13" s="66"/>
      <c r="AA13" s="81"/>
      <c r="AB13" s="85"/>
      <c r="AC13" s="85"/>
      <c r="AD13" s="68"/>
      <c r="AE13" s="68"/>
      <c r="AF13" s="86"/>
      <c r="AG13" s="87"/>
      <c r="AH13" s="82"/>
      <c r="AI13" s="66"/>
      <c r="AJ13" s="88"/>
      <c r="AK13" s="88"/>
      <c r="AL13" s="88"/>
      <c r="AM13" s="88"/>
      <c r="AN13" s="89"/>
      <c r="AO13" s="89"/>
      <c r="AP13" s="90"/>
      <c r="AQ13" s="89"/>
      <c r="AR13" s="91"/>
      <c r="AS13" s="89"/>
      <c r="AT13" s="92"/>
      <c r="AU13" s="93"/>
      <c r="AV13" s="67"/>
      <c r="AW13" s="68"/>
      <c r="AX13" s="68"/>
      <c r="AY13" s="82"/>
    </row>
    <row r="14" spans="3:51" x14ac:dyDescent="0.25">
      <c r="C14" s="47">
        <v>1800</v>
      </c>
      <c r="D14" s="47">
        <v>2700</v>
      </c>
      <c r="E14" s="32">
        <v>44419</v>
      </c>
      <c r="F14" s="55">
        <v>4714.8140000000003</v>
      </c>
      <c r="G14" s="22">
        <v>2760</v>
      </c>
      <c r="H14" s="23">
        <f t="shared" si="0"/>
        <v>13012886.640000001</v>
      </c>
      <c r="I14" s="24">
        <f t="shared" si="1"/>
        <v>1319.2799999993294</v>
      </c>
      <c r="J14" s="36"/>
      <c r="K14" s="103"/>
      <c r="L14" s="71"/>
      <c r="M14" s="71"/>
      <c r="N14" s="71"/>
      <c r="O14" s="48"/>
      <c r="P14" s="30"/>
      <c r="Q14" s="66"/>
      <c r="R14" s="85"/>
      <c r="S14" s="85"/>
      <c r="T14" s="85"/>
      <c r="U14" s="68"/>
      <c r="V14" s="68"/>
      <c r="W14" s="86"/>
      <c r="X14" s="87"/>
      <c r="Y14" s="84"/>
      <c r="Z14" s="66"/>
      <c r="AA14" s="81"/>
      <c r="AB14" s="85"/>
      <c r="AC14" s="85"/>
      <c r="AD14" s="68"/>
      <c r="AE14" s="68"/>
      <c r="AF14" s="86"/>
      <c r="AG14" s="87"/>
      <c r="AH14" s="82"/>
      <c r="AI14" s="66"/>
      <c r="AJ14" s="88"/>
      <c r="AK14" s="88"/>
      <c r="AL14" s="88"/>
      <c r="AM14" s="88"/>
      <c r="AN14" s="89"/>
      <c r="AO14" s="89"/>
      <c r="AP14" s="90"/>
      <c r="AQ14" s="89"/>
      <c r="AR14" s="91"/>
      <c r="AS14" s="89"/>
      <c r="AT14" s="92"/>
      <c r="AU14" s="93"/>
      <c r="AV14" s="67"/>
      <c r="AW14" s="68"/>
      <c r="AX14" s="68"/>
      <c r="AY14" s="82"/>
    </row>
    <row r="15" spans="3:51" x14ac:dyDescent="0.25">
      <c r="C15" s="47">
        <v>1400</v>
      </c>
      <c r="D15" s="47">
        <v>2800</v>
      </c>
      <c r="E15" s="32">
        <v>44420</v>
      </c>
      <c r="F15" s="55">
        <v>4715.3119999999999</v>
      </c>
      <c r="G15" s="22">
        <v>2760</v>
      </c>
      <c r="H15" s="23">
        <f t="shared" si="0"/>
        <v>13014261.119999999</v>
      </c>
      <c r="I15" s="24">
        <f t="shared" si="1"/>
        <v>1374.4799999985844</v>
      </c>
      <c r="J15" s="36"/>
      <c r="K15" s="103"/>
      <c r="L15" s="71"/>
      <c r="M15" s="71"/>
      <c r="N15" s="71"/>
      <c r="O15" s="48"/>
      <c r="P15" s="30"/>
      <c r="Q15" s="66"/>
      <c r="R15" s="85"/>
      <c r="S15" s="85"/>
      <c r="T15" s="85"/>
      <c r="U15" s="68"/>
      <c r="V15" s="68"/>
      <c r="W15" s="95"/>
      <c r="X15" s="87"/>
      <c r="Y15" s="84"/>
      <c r="Z15" s="66"/>
      <c r="AA15" s="81"/>
      <c r="AB15" s="85"/>
      <c r="AC15" s="85"/>
      <c r="AD15" s="68"/>
      <c r="AE15" s="68"/>
      <c r="AF15" s="86"/>
      <c r="AG15" s="87"/>
      <c r="AH15" s="82"/>
      <c r="AI15" s="66"/>
      <c r="AJ15" s="88"/>
      <c r="AK15" s="88"/>
      <c r="AL15" s="88"/>
      <c r="AM15" s="88"/>
      <c r="AN15" s="89"/>
      <c r="AO15" s="89"/>
      <c r="AP15" s="90"/>
      <c r="AQ15" s="89"/>
      <c r="AR15" s="91"/>
      <c r="AS15" s="89"/>
      <c r="AT15" s="92"/>
      <c r="AU15" s="93"/>
      <c r="AV15" s="67"/>
      <c r="AW15" s="68"/>
      <c r="AX15" s="68"/>
      <c r="AY15" s="82"/>
    </row>
    <row r="16" spans="3:51" x14ac:dyDescent="0.25">
      <c r="C16" s="47">
        <v>1600</v>
      </c>
      <c r="D16" s="47">
        <v>2900</v>
      </c>
      <c r="E16" s="32">
        <v>44421</v>
      </c>
      <c r="F16" s="55">
        <v>4715.7809999999999</v>
      </c>
      <c r="G16" s="22">
        <v>2760</v>
      </c>
      <c r="H16" s="23">
        <f t="shared" si="0"/>
        <v>13015555.560000001</v>
      </c>
      <c r="I16" s="24">
        <f t="shared" si="1"/>
        <v>1294.4400000013411</v>
      </c>
      <c r="J16" s="36"/>
      <c r="K16" s="103"/>
      <c r="L16" s="71"/>
      <c r="M16" s="71"/>
      <c r="N16" s="71"/>
      <c r="O16" s="48"/>
      <c r="P16" s="30"/>
      <c r="Q16" s="66"/>
      <c r="R16" s="85"/>
      <c r="S16" s="85"/>
      <c r="T16" s="85"/>
      <c r="U16" s="68"/>
      <c r="V16" s="68"/>
      <c r="W16" s="95"/>
      <c r="X16" s="87"/>
      <c r="Y16" s="84"/>
      <c r="Z16" s="66"/>
      <c r="AA16" s="81"/>
      <c r="AB16" s="85"/>
      <c r="AC16" s="85"/>
      <c r="AD16" s="68"/>
      <c r="AE16" s="68"/>
      <c r="AF16" s="86"/>
      <c r="AG16" s="87"/>
      <c r="AH16" s="82"/>
      <c r="AI16" s="66"/>
      <c r="AJ16" s="88"/>
      <c r="AK16" s="88"/>
      <c r="AL16" s="88"/>
      <c r="AM16" s="88"/>
      <c r="AN16" s="89"/>
      <c r="AO16" s="89"/>
      <c r="AP16" s="90"/>
      <c r="AQ16" s="89"/>
      <c r="AR16" s="91"/>
      <c r="AS16" s="89"/>
      <c r="AT16" s="92"/>
      <c r="AU16" s="93"/>
      <c r="AV16" s="67"/>
      <c r="AW16" s="68"/>
      <c r="AX16" s="68"/>
      <c r="AY16" s="82"/>
    </row>
    <row r="17" spans="3:51" x14ac:dyDescent="0.25">
      <c r="C17" s="47">
        <v>1700</v>
      </c>
      <c r="D17" s="47">
        <v>3000</v>
      </c>
      <c r="E17" s="32">
        <v>44422</v>
      </c>
      <c r="F17" s="55">
        <v>4716.2470000000003</v>
      </c>
      <c r="G17" s="22">
        <v>2760</v>
      </c>
      <c r="H17" s="23">
        <f t="shared" si="0"/>
        <v>13016841.720000001</v>
      </c>
      <c r="I17" s="24">
        <f t="shared" si="1"/>
        <v>1286.160000000149</v>
      </c>
      <c r="J17" s="36"/>
      <c r="K17" s="103"/>
      <c r="L17" s="71"/>
      <c r="M17" s="71"/>
      <c r="N17" s="71"/>
      <c r="O17" s="48"/>
      <c r="P17" s="30"/>
      <c r="Q17" s="66"/>
      <c r="R17" s="85"/>
      <c r="S17" s="85"/>
      <c r="T17" s="85"/>
      <c r="U17" s="68"/>
      <c r="V17" s="68"/>
      <c r="W17" s="86"/>
      <c r="X17" s="87"/>
      <c r="Y17" s="84"/>
      <c r="Z17" s="66"/>
      <c r="AA17" s="81"/>
      <c r="AB17" s="85"/>
      <c r="AC17" s="85"/>
      <c r="AD17" s="68"/>
      <c r="AE17" s="68"/>
      <c r="AF17" s="86"/>
      <c r="AG17" s="87"/>
      <c r="AH17" s="82"/>
      <c r="AI17" s="66"/>
      <c r="AJ17" s="88"/>
      <c r="AK17" s="88"/>
      <c r="AL17" s="88"/>
      <c r="AM17" s="88"/>
      <c r="AN17" s="89"/>
      <c r="AO17" s="89"/>
      <c r="AP17" s="90"/>
      <c r="AQ17" s="89"/>
      <c r="AR17" s="91"/>
      <c r="AS17" s="89"/>
      <c r="AT17" s="92"/>
      <c r="AU17" s="93"/>
      <c r="AV17" s="67"/>
      <c r="AW17" s="68"/>
      <c r="AX17" s="68"/>
      <c r="AY17" s="82"/>
    </row>
    <row r="18" spans="3:51" x14ac:dyDescent="0.25">
      <c r="C18" s="47">
        <v>1100</v>
      </c>
      <c r="D18" s="47">
        <v>3000</v>
      </c>
      <c r="E18" s="32">
        <v>44423</v>
      </c>
      <c r="F18" s="55">
        <v>4716.6670000000004</v>
      </c>
      <c r="G18" s="22">
        <v>2760</v>
      </c>
      <c r="H18" s="23">
        <f t="shared" si="0"/>
        <v>13018000.920000002</v>
      </c>
      <c r="I18" s="24">
        <f t="shared" si="1"/>
        <v>1159.2000000011176</v>
      </c>
      <c r="J18" s="36"/>
      <c r="K18" s="103"/>
      <c r="L18" s="71"/>
      <c r="M18" s="71"/>
      <c r="N18" s="71"/>
      <c r="O18" s="48"/>
      <c r="P18" s="30"/>
      <c r="Q18" s="66"/>
      <c r="R18" s="85"/>
      <c r="S18" s="85"/>
      <c r="T18" s="85"/>
      <c r="U18" s="68"/>
      <c r="V18" s="68"/>
      <c r="W18" s="86"/>
      <c r="X18" s="87"/>
      <c r="Y18" s="84"/>
      <c r="Z18" s="66"/>
      <c r="AA18" s="81"/>
      <c r="AB18" s="85"/>
      <c r="AC18" s="85"/>
      <c r="AD18" s="68"/>
      <c r="AE18" s="68"/>
      <c r="AF18" s="86"/>
      <c r="AG18" s="87"/>
      <c r="AH18" s="82"/>
      <c r="AI18" s="66"/>
      <c r="AJ18" s="88"/>
      <c r="AK18" s="88"/>
      <c r="AL18" s="88"/>
      <c r="AM18" s="88"/>
      <c r="AN18" s="89"/>
      <c r="AO18" s="89"/>
      <c r="AP18" s="90"/>
      <c r="AQ18" s="89"/>
      <c r="AR18" s="91"/>
      <c r="AS18" s="89"/>
      <c r="AT18" s="92"/>
      <c r="AU18" s="93"/>
      <c r="AV18" s="67"/>
      <c r="AW18" s="68"/>
      <c r="AX18" s="68"/>
      <c r="AY18" s="82"/>
    </row>
    <row r="19" spans="3:51" x14ac:dyDescent="0.25">
      <c r="C19" s="47">
        <v>500</v>
      </c>
      <c r="D19" s="47">
        <v>3500</v>
      </c>
      <c r="E19" s="32">
        <v>44424</v>
      </c>
      <c r="F19" s="55">
        <v>4717.0720000000001</v>
      </c>
      <c r="G19" s="22">
        <v>2760</v>
      </c>
      <c r="H19" s="23">
        <f>G19*F19</f>
        <v>13019118.720000001</v>
      </c>
      <c r="I19" s="24">
        <f>+(H19-H18)</f>
        <v>1117.7999999988824</v>
      </c>
      <c r="J19" s="36"/>
      <c r="K19" s="103"/>
      <c r="L19" s="71"/>
      <c r="M19" s="71"/>
      <c r="N19" s="71"/>
      <c r="O19" s="48"/>
      <c r="P19" s="30"/>
      <c r="Q19" s="66"/>
      <c r="R19" s="85"/>
      <c r="S19" s="85"/>
      <c r="T19" s="85"/>
      <c r="U19" s="68"/>
      <c r="V19" s="68"/>
      <c r="W19" s="86"/>
      <c r="X19" s="87"/>
      <c r="Y19" s="84"/>
      <c r="Z19" s="66"/>
      <c r="AA19" s="81"/>
      <c r="AB19" s="85"/>
      <c r="AC19" s="85"/>
      <c r="AD19" s="68"/>
      <c r="AE19" s="68"/>
      <c r="AF19" s="86"/>
      <c r="AG19" s="87"/>
      <c r="AH19" s="82"/>
      <c r="AI19" s="66"/>
      <c r="AJ19" s="88"/>
      <c r="AK19" s="88"/>
      <c r="AL19" s="88"/>
      <c r="AM19" s="88"/>
      <c r="AN19" s="89"/>
      <c r="AO19" s="89"/>
      <c r="AP19" s="90"/>
      <c r="AQ19" s="89"/>
      <c r="AR19" s="91"/>
      <c r="AS19" s="89"/>
      <c r="AT19" s="92"/>
      <c r="AU19" s="93"/>
      <c r="AV19" s="67"/>
      <c r="AW19" s="68"/>
      <c r="AX19" s="68"/>
      <c r="AY19" s="82"/>
    </row>
    <row r="20" spans="3:51" x14ac:dyDescent="0.25">
      <c r="C20" s="47">
        <v>500</v>
      </c>
      <c r="D20" s="47">
        <v>2700</v>
      </c>
      <c r="E20" s="32">
        <v>44425</v>
      </c>
      <c r="F20" s="55">
        <v>4717.5110000000004</v>
      </c>
      <c r="G20" s="22">
        <v>2760</v>
      </c>
      <c r="H20" s="23">
        <f t="shared" si="0"/>
        <v>13020330.360000001</v>
      </c>
      <c r="I20" s="24">
        <f t="shared" si="1"/>
        <v>1211.640000000596</v>
      </c>
      <c r="J20" s="36"/>
      <c r="K20" s="103"/>
      <c r="L20" s="71"/>
      <c r="M20" s="71"/>
      <c r="N20" s="71"/>
      <c r="O20" s="48"/>
      <c r="P20" s="30"/>
      <c r="Q20" s="66"/>
      <c r="R20" s="85"/>
      <c r="S20" s="85"/>
      <c r="T20" s="85"/>
      <c r="U20" s="68"/>
      <c r="V20" s="68"/>
      <c r="W20" s="86"/>
      <c r="X20" s="87"/>
      <c r="Y20" s="84"/>
      <c r="Z20" s="66"/>
      <c r="AA20" s="81"/>
      <c r="AB20" s="85"/>
      <c r="AC20" s="85"/>
      <c r="AD20" s="68"/>
      <c r="AE20" s="68"/>
      <c r="AF20" s="86"/>
      <c r="AG20" s="87"/>
      <c r="AH20" s="82"/>
      <c r="AI20" s="66"/>
      <c r="AJ20" s="88"/>
      <c r="AK20" s="88"/>
      <c r="AL20" s="88"/>
      <c r="AM20" s="88"/>
      <c r="AN20" s="89"/>
      <c r="AO20" s="89"/>
      <c r="AP20" s="90"/>
      <c r="AQ20" s="89"/>
      <c r="AR20" s="91"/>
      <c r="AS20" s="89"/>
      <c r="AT20" s="92"/>
      <c r="AU20" s="93"/>
      <c r="AV20" s="67"/>
      <c r="AW20" s="68"/>
      <c r="AX20" s="68"/>
      <c r="AY20" s="82"/>
    </row>
    <row r="21" spans="3:51" x14ac:dyDescent="0.25">
      <c r="C21" s="47">
        <v>900</v>
      </c>
      <c r="D21" s="47">
        <v>2700</v>
      </c>
      <c r="E21" s="32">
        <v>44426</v>
      </c>
      <c r="F21" s="55">
        <v>4717.9870000000001</v>
      </c>
      <c r="G21" s="22">
        <v>2760</v>
      </c>
      <c r="H21" s="23">
        <f t="shared" si="0"/>
        <v>13021644.120000001</v>
      </c>
      <c r="I21" s="24">
        <f>+(H21-H20)</f>
        <v>1313.7599999997765</v>
      </c>
      <c r="J21" s="36"/>
      <c r="K21" s="103"/>
      <c r="L21" s="71"/>
      <c r="M21" s="71"/>
      <c r="N21" s="71"/>
      <c r="O21" s="48"/>
      <c r="P21" s="30"/>
      <c r="Q21" s="66"/>
      <c r="R21" s="85"/>
      <c r="S21" s="85"/>
      <c r="T21" s="85"/>
      <c r="U21" s="68"/>
      <c r="V21" s="68"/>
      <c r="W21" s="86"/>
      <c r="X21" s="87"/>
      <c r="Y21" s="84"/>
      <c r="Z21" s="66"/>
      <c r="AA21" s="81"/>
      <c r="AB21" s="85"/>
      <c r="AC21" s="85"/>
      <c r="AD21" s="68"/>
      <c r="AE21" s="68"/>
      <c r="AF21" s="86"/>
      <c r="AG21" s="87"/>
      <c r="AH21" s="82"/>
      <c r="AI21" s="66"/>
      <c r="AJ21" s="88"/>
      <c r="AK21" s="88"/>
      <c r="AL21" s="88"/>
      <c r="AM21" s="88"/>
      <c r="AN21" s="89"/>
      <c r="AO21" s="89"/>
      <c r="AP21" s="90"/>
      <c r="AQ21" s="89"/>
      <c r="AR21" s="91"/>
      <c r="AS21" s="89"/>
      <c r="AT21" s="92"/>
      <c r="AU21" s="93"/>
      <c r="AV21" s="67"/>
      <c r="AW21" s="68"/>
      <c r="AX21" s="68"/>
      <c r="AY21" s="82"/>
    </row>
    <row r="22" spans="3:51" x14ac:dyDescent="0.25">
      <c r="C22" s="47">
        <v>300</v>
      </c>
      <c r="D22" s="47">
        <v>2700</v>
      </c>
      <c r="E22" s="32">
        <v>44427</v>
      </c>
      <c r="F22" s="55">
        <v>4718.4759999999997</v>
      </c>
      <c r="G22" s="22">
        <v>2760</v>
      </c>
      <c r="H22" s="23">
        <f t="shared" si="0"/>
        <v>13022993.76</v>
      </c>
      <c r="I22" s="24">
        <f t="shared" si="1"/>
        <v>1349.6399999987334</v>
      </c>
      <c r="J22" s="36"/>
      <c r="K22" s="103"/>
      <c r="L22" s="71"/>
      <c r="M22" s="71"/>
      <c r="N22" s="71"/>
      <c r="O22" s="48"/>
      <c r="P22" s="30"/>
      <c r="Q22" s="66"/>
      <c r="R22" s="85"/>
      <c r="S22" s="85"/>
      <c r="T22" s="85"/>
      <c r="U22" s="68"/>
      <c r="V22" s="68"/>
      <c r="W22" s="86"/>
      <c r="X22" s="87"/>
      <c r="Y22" s="84"/>
      <c r="Z22" s="66"/>
      <c r="AA22" s="81"/>
      <c r="AB22" s="85"/>
      <c r="AC22" s="85"/>
      <c r="AD22" s="68"/>
      <c r="AE22" s="68"/>
      <c r="AF22" s="86"/>
      <c r="AG22" s="87"/>
      <c r="AH22" s="82"/>
      <c r="AI22" s="66"/>
      <c r="AJ22" s="88"/>
      <c r="AK22" s="88"/>
      <c r="AL22" s="88"/>
      <c r="AM22" s="88"/>
      <c r="AN22" s="89"/>
      <c r="AO22" s="89"/>
      <c r="AP22" s="90"/>
      <c r="AQ22" s="89"/>
      <c r="AR22" s="91"/>
      <c r="AS22" s="89"/>
      <c r="AT22" s="92"/>
      <c r="AU22" s="93"/>
      <c r="AV22" s="67"/>
      <c r="AW22" s="68"/>
      <c r="AX22" s="68"/>
      <c r="AY22" s="82"/>
    </row>
    <row r="23" spans="3:51" x14ac:dyDescent="0.25">
      <c r="C23" s="47">
        <v>300</v>
      </c>
      <c r="D23" s="47">
        <v>2700</v>
      </c>
      <c r="E23" s="32">
        <v>44428</v>
      </c>
      <c r="F23" s="55">
        <v>4718.9549999999999</v>
      </c>
      <c r="G23" s="22">
        <v>2760</v>
      </c>
      <c r="H23" s="23">
        <f t="shared" si="0"/>
        <v>13024315.799999999</v>
      </c>
      <c r="I23" s="24">
        <f t="shared" si="1"/>
        <v>1322.0399999991059</v>
      </c>
      <c r="J23" s="36"/>
      <c r="K23" s="103"/>
      <c r="L23" s="71"/>
      <c r="M23" s="71"/>
      <c r="N23" s="71"/>
      <c r="O23" s="48"/>
      <c r="P23" s="30"/>
      <c r="Q23" s="66"/>
      <c r="R23" s="85"/>
      <c r="S23" s="85"/>
      <c r="T23" s="85"/>
      <c r="U23" s="68"/>
      <c r="V23" s="68"/>
      <c r="W23" s="86"/>
      <c r="X23" s="87"/>
      <c r="Y23" s="84"/>
      <c r="Z23" s="66"/>
      <c r="AA23" s="81"/>
      <c r="AB23" s="85"/>
      <c r="AC23" s="85"/>
      <c r="AD23" s="68"/>
      <c r="AE23" s="68"/>
      <c r="AF23" s="86"/>
      <c r="AG23" s="87"/>
      <c r="AH23" s="82"/>
      <c r="AI23" s="66"/>
      <c r="AJ23" s="88"/>
      <c r="AK23" s="88"/>
      <c r="AL23" s="88"/>
      <c r="AM23" s="88"/>
      <c r="AN23" s="89"/>
      <c r="AO23" s="89"/>
      <c r="AP23" s="90"/>
      <c r="AQ23" s="89"/>
      <c r="AR23" s="91"/>
      <c r="AS23" s="89"/>
      <c r="AT23" s="92"/>
      <c r="AU23" s="93"/>
      <c r="AV23" s="67"/>
      <c r="AW23" s="68"/>
      <c r="AX23" s="68"/>
      <c r="AY23" s="82"/>
    </row>
    <row r="24" spans="3:51" x14ac:dyDescent="0.25">
      <c r="C24" s="47">
        <v>1800</v>
      </c>
      <c r="D24" s="47">
        <v>2700</v>
      </c>
      <c r="E24" s="32">
        <v>44429</v>
      </c>
      <c r="F24" s="55">
        <v>4719.4210000000003</v>
      </c>
      <c r="G24" s="22">
        <v>2760</v>
      </c>
      <c r="H24" s="23">
        <f t="shared" si="0"/>
        <v>13025601.960000001</v>
      </c>
      <c r="I24" s="24">
        <f t="shared" si="1"/>
        <v>1286.1600000020117</v>
      </c>
      <c r="J24" s="36"/>
      <c r="K24" s="103"/>
      <c r="L24" s="71"/>
      <c r="M24" s="71"/>
      <c r="N24" s="71"/>
      <c r="O24" s="48"/>
      <c r="P24" s="30"/>
      <c r="Q24" s="66"/>
      <c r="R24" s="85"/>
      <c r="S24" s="85"/>
      <c r="T24" s="85"/>
      <c r="U24" s="68"/>
      <c r="V24" s="68"/>
      <c r="W24" s="86"/>
      <c r="X24" s="87"/>
      <c r="Y24" s="84"/>
      <c r="Z24" s="66"/>
      <c r="AA24" s="81"/>
      <c r="AB24" s="85"/>
      <c r="AC24" s="85"/>
      <c r="AD24" s="68"/>
      <c r="AE24" s="68"/>
      <c r="AF24" s="86"/>
      <c r="AG24" s="87"/>
      <c r="AH24" s="82"/>
      <c r="AI24" s="66"/>
      <c r="AJ24" s="88"/>
      <c r="AK24" s="88"/>
      <c r="AL24" s="88"/>
      <c r="AM24" s="88"/>
      <c r="AN24" s="89"/>
      <c r="AO24" s="89"/>
      <c r="AP24" s="90"/>
      <c r="AQ24" s="89"/>
      <c r="AR24" s="91"/>
      <c r="AS24" s="89"/>
      <c r="AT24" s="92"/>
      <c r="AU24" s="93"/>
      <c r="AV24" s="67"/>
      <c r="AW24" s="68"/>
      <c r="AX24" s="68"/>
      <c r="AY24" s="82"/>
    </row>
    <row r="25" spans="3:51" x14ac:dyDescent="0.25">
      <c r="C25" s="47">
        <v>600</v>
      </c>
      <c r="D25" s="47">
        <v>2700</v>
      </c>
      <c r="E25" s="32">
        <v>44430</v>
      </c>
      <c r="F25" s="55">
        <v>4719.8779999999997</v>
      </c>
      <c r="G25" s="22">
        <v>2760</v>
      </c>
      <c r="H25" s="23">
        <f t="shared" si="0"/>
        <v>13026863.279999999</v>
      </c>
      <c r="I25" s="24">
        <f t="shared" si="1"/>
        <v>1261.3199999984354</v>
      </c>
      <c r="J25" s="36"/>
      <c r="K25" s="103"/>
      <c r="L25" s="71"/>
      <c r="M25" s="71"/>
      <c r="N25" s="71"/>
      <c r="O25" s="48"/>
      <c r="P25" s="30"/>
      <c r="Q25" s="66"/>
      <c r="R25" s="85"/>
      <c r="S25" s="85"/>
      <c r="T25" s="85"/>
      <c r="U25" s="68"/>
      <c r="V25" s="68"/>
      <c r="W25" s="86"/>
      <c r="X25" s="87"/>
      <c r="Y25" s="84"/>
      <c r="Z25" s="66"/>
      <c r="AA25" s="81"/>
      <c r="AB25" s="85"/>
      <c r="AC25" s="85"/>
      <c r="AD25" s="68"/>
      <c r="AE25" s="68"/>
      <c r="AF25" s="86"/>
      <c r="AG25" s="87"/>
      <c r="AH25" s="82"/>
      <c r="AI25" s="66"/>
      <c r="AJ25" s="88"/>
      <c r="AK25" s="88"/>
      <c r="AL25" s="88"/>
      <c r="AM25" s="88"/>
      <c r="AN25" s="89"/>
      <c r="AO25" s="89"/>
      <c r="AP25" s="90"/>
      <c r="AQ25" s="89"/>
      <c r="AR25" s="91"/>
      <c r="AS25" s="89"/>
      <c r="AT25" s="92"/>
      <c r="AU25" s="93"/>
      <c r="AV25" s="67"/>
      <c r="AW25" s="68"/>
      <c r="AX25" s="68"/>
      <c r="AY25" s="82"/>
    </row>
    <row r="26" spans="3:51" x14ac:dyDescent="0.25">
      <c r="C26" s="47">
        <v>1100</v>
      </c>
      <c r="D26" s="47">
        <v>2700</v>
      </c>
      <c r="E26" s="32">
        <v>44431</v>
      </c>
      <c r="F26" s="61">
        <v>4720.3149999999996</v>
      </c>
      <c r="G26" s="22">
        <v>2760</v>
      </c>
      <c r="H26" s="23">
        <f t="shared" si="0"/>
        <v>13028069.399999999</v>
      </c>
      <c r="I26" s="24">
        <f t="shared" si="1"/>
        <v>1206.1199999991804</v>
      </c>
      <c r="J26" s="36"/>
      <c r="K26" s="103"/>
      <c r="L26" s="71"/>
      <c r="M26" s="71"/>
      <c r="N26" s="103"/>
      <c r="O26" s="50"/>
      <c r="P26" s="51"/>
      <c r="Q26" s="66"/>
      <c r="R26" s="85"/>
      <c r="S26" s="96"/>
      <c r="T26" s="85"/>
      <c r="U26" s="68"/>
      <c r="V26" s="97"/>
      <c r="W26" s="98"/>
      <c r="X26" s="87"/>
      <c r="Y26" s="84"/>
      <c r="Z26" s="66"/>
      <c r="AA26" s="81"/>
      <c r="AB26" s="85"/>
      <c r="AC26" s="85"/>
      <c r="AD26" s="68"/>
      <c r="AE26" s="68"/>
      <c r="AF26" s="98"/>
      <c r="AG26" s="87"/>
      <c r="AH26" s="82"/>
      <c r="AI26" s="66"/>
      <c r="AJ26" s="88"/>
      <c r="AK26" s="88"/>
      <c r="AL26" s="88"/>
      <c r="AM26" s="88"/>
      <c r="AN26" s="99"/>
      <c r="AO26" s="99"/>
      <c r="AP26" s="90"/>
      <c r="AQ26" s="99"/>
      <c r="AR26" s="91"/>
      <c r="AS26" s="99"/>
      <c r="AT26" s="92"/>
      <c r="AU26" s="93"/>
      <c r="AV26" s="100"/>
      <c r="AW26" s="68"/>
      <c r="AX26" s="68"/>
      <c r="AY26" s="82"/>
    </row>
    <row r="27" spans="3:51" x14ac:dyDescent="0.25">
      <c r="C27" s="47">
        <v>700</v>
      </c>
      <c r="D27" s="47">
        <v>3000</v>
      </c>
      <c r="E27" s="32">
        <v>44432</v>
      </c>
      <c r="F27" s="61">
        <v>4720.8180000000002</v>
      </c>
      <c r="G27" s="22">
        <v>2760</v>
      </c>
      <c r="H27" s="23">
        <f t="shared" si="0"/>
        <v>13029457.68</v>
      </c>
      <c r="I27" s="24">
        <f t="shared" si="1"/>
        <v>1388.2800000011921</v>
      </c>
      <c r="J27" s="36"/>
      <c r="K27" s="103"/>
      <c r="L27" s="71"/>
      <c r="M27" s="71"/>
      <c r="N27" s="103"/>
      <c r="O27" s="50"/>
      <c r="P27" s="51"/>
      <c r="Q27" s="66"/>
      <c r="R27" s="96"/>
      <c r="S27" s="96"/>
      <c r="T27" s="85"/>
      <c r="U27" s="68"/>
      <c r="V27" s="97"/>
      <c r="W27" s="98"/>
      <c r="X27" s="87"/>
      <c r="Y27" s="84"/>
      <c r="Z27" s="66"/>
      <c r="AA27" s="81"/>
      <c r="AB27" s="85"/>
      <c r="AC27" s="85"/>
      <c r="AD27" s="68"/>
      <c r="AE27" s="68"/>
      <c r="AF27" s="98"/>
      <c r="AG27" s="87"/>
      <c r="AH27" s="82"/>
      <c r="AI27" s="66"/>
      <c r="AJ27" s="88"/>
      <c r="AK27" s="88"/>
      <c r="AL27" s="101"/>
      <c r="AM27" s="101"/>
      <c r="AN27" s="99"/>
      <c r="AO27" s="99"/>
      <c r="AP27" s="90"/>
      <c r="AQ27" s="99"/>
      <c r="AR27" s="91"/>
      <c r="AS27" s="99"/>
      <c r="AT27" s="92"/>
      <c r="AU27" s="93"/>
      <c r="AV27" s="100"/>
      <c r="AW27" s="68"/>
      <c r="AX27" s="68"/>
      <c r="AY27" s="82"/>
    </row>
    <row r="28" spans="3:51" x14ac:dyDescent="0.25">
      <c r="C28" s="47">
        <v>700</v>
      </c>
      <c r="D28" s="47">
        <v>3000</v>
      </c>
      <c r="E28" s="32">
        <v>44433</v>
      </c>
      <c r="F28" s="61">
        <v>4721.3090000000002</v>
      </c>
      <c r="G28" s="22">
        <v>2760</v>
      </c>
      <c r="H28" s="23">
        <f t="shared" si="0"/>
        <v>13030812.84</v>
      </c>
      <c r="I28" s="24">
        <f t="shared" si="1"/>
        <v>1355.160000000149</v>
      </c>
      <c r="J28" s="36"/>
      <c r="K28" s="103"/>
      <c r="L28" s="71"/>
      <c r="M28" s="71"/>
      <c r="N28" s="103"/>
      <c r="O28" s="50"/>
      <c r="P28" s="51"/>
      <c r="Q28" s="66"/>
      <c r="R28" s="96"/>
      <c r="S28" s="96"/>
      <c r="T28" s="85"/>
      <c r="U28" s="68"/>
      <c r="V28" s="97"/>
      <c r="W28" s="98"/>
      <c r="X28" s="87"/>
      <c r="Y28" s="84"/>
      <c r="Z28" s="66"/>
      <c r="AA28" s="81"/>
      <c r="AB28" s="85"/>
      <c r="AC28" s="85"/>
      <c r="AD28" s="68"/>
      <c r="AE28" s="68"/>
      <c r="AF28" s="98"/>
      <c r="AG28" s="87"/>
      <c r="AH28" s="82"/>
      <c r="AI28" s="66"/>
      <c r="AJ28" s="88"/>
      <c r="AK28" s="101"/>
      <c r="AL28" s="101"/>
      <c r="AM28" s="101"/>
      <c r="AN28" s="99"/>
      <c r="AO28" s="99"/>
      <c r="AP28" s="90"/>
      <c r="AQ28" s="99"/>
      <c r="AR28" s="91"/>
      <c r="AS28" s="99"/>
      <c r="AT28" s="92"/>
      <c r="AU28" s="93"/>
      <c r="AV28" s="100"/>
      <c r="AW28" s="68"/>
      <c r="AX28" s="68"/>
      <c r="AY28" s="82"/>
    </row>
    <row r="29" spans="3:51" x14ac:dyDescent="0.25">
      <c r="C29" s="47">
        <v>900</v>
      </c>
      <c r="D29" s="47">
        <v>3000</v>
      </c>
      <c r="E29" s="32">
        <v>44434</v>
      </c>
      <c r="F29" s="61">
        <v>4721.8040000000001</v>
      </c>
      <c r="G29" s="22">
        <v>2760</v>
      </c>
      <c r="H29" s="23">
        <f t="shared" si="0"/>
        <v>13032179.040000001</v>
      </c>
      <c r="I29" s="24">
        <f t="shared" si="1"/>
        <v>1366.2000000011176</v>
      </c>
      <c r="J29" s="36"/>
      <c r="K29" s="103"/>
      <c r="L29" s="71"/>
      <c r="M29" s="71"/>
      <c r="N29" s="103"/>
      <c r="O29" s="50"/>
      <c r="P29" s="51"/>
      <c r="Q29" s="66"/>
      <c r="R29" s="96"/>
      <c r="S29" s="96"/>
      <c r="T29" s="85"/>
      <c r="U29" s="97"/>
      <c r="V29" s="97"/>
      <c r="W29" s="98"/>
      <c r="X29" s="87"/>
      <c r="Y29" s="84"/>
      <c r="Z29" s="66"/>
      <c r="AA29" s="81"/>
      <c r="AB29" s="85"/>
      <c r="AC29" s="85"/>
      <c r="AD29" s="68"/>
      <c r="AE29" s="68"/>
      <c r="AF29" s="98"/>
      <c r="AG29" s="87"/>
      <c r="AH29" s="82"/>
      <c r="AI29" s="66"/>
      <c r="AJ29" s="88"/>
      <c r="AK29" s="101"/>
      <c r="AL29" s="101"/>
      <c r="AM29" s="101"/>
      <c r="AN29" s="99"/>
      <c r="AO29" s="99"/>
      <c r="AP29" s="90"/>
      <c r="AQ29" s="99"/>
      <c r="AR29" s="91"/>
      <c r="AS29" s="99"/>
      <c r="AT29" s="92"/>
      <c r="AU29" s="93"/>
      <c r="AV29" s="100"/>
      <c r="AW29" s="68"/>
      <c r="AX29" s="68"/>
      <c r="AY29" s="82"/>
    </row>
    <row r="30" spans="3:51" x14ac:dyDescent="0.25">
      <c r="C30" s="47">
        <v>800</v>
      </c>
      <c r="D30" s="47">
        <v>3000</v>
      </c>
      <c r="E30" s="32">
        <v>44435</v>
      </c>
      <c r="F30" s="61"/>
      <c r="G30" s="22">
        <v>2760</v>
      </c>
      <c r="H30" s="23">
        <f t="shared" si="0"/>
        <v>0</v>
      </c>
      <c r="I30" s="24">
        <f t="shared" si="1"/>
        <v>-13032179.040000001</v>
      </c>
      <c r="J30" s="36"/>
      <c r="K30" s="103"/>
      <c r="L30" s="71"/>
      <c r="M30" s="71"/>
      <c r="N30" s="103"/>
      <c r="O30" s="50"/>
      <c r="P30" s="51"/>
      <c r="Q30" s="66"/>
      <c r="R30" s="96"/>
      <c r="S30" s="96"/>
      <c r="T30" s="85"/>
      <c r="U30" s="97"/>
      <c r="V30" s="97"/>
      <c r="W30" s="98"/>
      <c r="X30" s="87"/>
      <c r="Y30" s="84"/>
      <c r="Z30" s="66"/>
      <c r="AA30" s="81"/>
      <c r="AB30" s="85"/>
      <c r="AC30" s="85"/>
      <c r="AD30" s="68"/>
      <c r="AE30" s="68"/>
      <c r="AF30" s="98"/>
      <c r="AG30" s="87"/>
      <c r="AH30" s="82"/>
      <c r="AI30" s="66"/>
      <c r="AJ30" s="88"/>
      <c r="AK30" s="101"/>
      <c r="AL30" s="101"/>
      <c r="AM30" s="101"/>
      <c r="AN30" s="99"/>
      <c r="AO30" s="99"/>
      <c r="AP30" s="90"/>
      <c r="AQ30" s="99"/>
      <c r="AR30" s="91"/>
      <c r="AS30" s="99"/>
      <c r="AT30" s="92"/>
      <c r="AU30" s="93"/>
      <c r="AV30" s="100"/>
      <c r="AW30" s="68"/>
      <c r="AX30" s="68"/>
      <c r="AY30" s="82"/>
    </row>
    <row r="31" spans="3:51" x14ac:dyDescent="0.25">
      <c r="C31" s="47">
        <v>700</v>
      </c>
      <c r="D31" s="47">
        <v>3000</v>
      </c>
      <c r="E31" s="32">
        <v>44436</v>
      </c>
      <c r="F31" s="61"/>
      <c r="G31" s="22">
        <v>2760</v>
      </c>
      <c r="H31" s="23">
        <f t="shared" si="0"/>
        <v>0</v>
      </c>
      <c r="I31" s="24">
        <f t="shared" si="1"/>
        <v>0</v>
      </c>
      <c r="J31" s="36"/>
      <c r="K31" s="103"/>
      <c r="L31" s="71"/>
      <c r="M31" s="71"/>
      <c r="N31" s="103"/>
      <c r="O31" s="50"/>
      <c r="P31" s="51"/>
      <c r="Q31" s="66"/>
      <c r="R31" s="96"/>
      <c r="S31" s="96"/>
      <c r="T31" s="85"/>
      <c r="U31" s="97"/>
      <c r="V31" s="97"/>
      <c r="W31" s="98"/>
      <c r="X31" s="87"/>
      <c r="Y31" s="84"/>
      <c r="Z31" s="66"/>
      <c r="AA31" s="81"/>
      <c r="AB31" s="85"/>
      <c r="AC31" s="85"/>
      <c r="AD31" s="68"/>
      <c r="AE31" s="68"/>
      <c r="AF31" s="98"/>
      <c r="AG31" s="87"/>
      <c r="AH31" s="82"/>
      <c r="AI31" s="66"/>
      <c r="AJ31" s="88"/>
      <c r="AK31" s="101"/>
      <c r="AL31" s="101"/>
      <c r="AM31" s="101"/>
      <c r="AN31" s="99"/>
      <c r="AO31" s="99"/>
      <c r="AP31" s="90"/>
      <c r="AQ31" s="99"/>
      <c r="AR31" s="91"/>
      <c r="AS31" s="99"/>
      <c r="AT31" s="92"/>
      <c r="AU31" s="93"/>
      <c r="AV31" s="100"/>
      <c r="AW31" s="68"/>
      <c r="AX31" s="68"/>
      <c r="AY31" s="82"/>
    </row>
    <row r="32" spans="3:51" x14ac:dyDescent="0.25">
      <c r="C32" s="47">
        <v>800</v>
      </c>
      <c r="D32" s="47">
        <v>3000</v>
      </c>
      <c r="E32" s="32">
        <v>44437</v>
      </c>
      <c r="F32" s="61"/>
      <c r="G32" s="22">
        <v>2760</v>
      </c>
      <c r="H32" s="23">
        <f t="shared" si="0"/>
        <v>0</v>
      </c>
      <c r="I32" s="24">
        <f t="shared" si="1"/>
        <v>0</v>
      </c>
      <c r="J32" s="36"/>
      <c r="K32" s="103"/>
      <c r="L32" s="71"/>
      <c r="M32" s="71"/>
      <c r="N32" s="103"/>
      <c r="O32" s="50"/>
      <c r="P32" s="51"/>
      <c r="Q32" s="66"/>
      <c r="R32" s="96"/>
      <c r="S32" s="96"/>
      <c r="T32" s="85"/>
      <c r="U32" s="97"/>
      <c r="V32" s="97"/>
      <c r="W32" s="98"/>
      <c r="X32" s="87"/>
      <c r="Y32" s="84"/>
      <c r="Z32" s="66"/>
      <c r="AA32" s="81"/>
      <c r="AB32" s="85"/>
      <c r="AC32" s="85"/>
      <c r="AD32" s="68"/>
      <c r="AE32" s="68"/>
      <c r="AF32" s="98"/>
      <c r="AG32" s="87"/>
      <c r="AH32" s="82"/>
      <c r="AI32" s="66"/>
      <c r="AJ32" s="88"/>
      <c r="AK32" s="101"/>
      <c r="AL32" s="101"/>
      <c r="AM32" s="101"/>
      <c r="AN32" s="99"/>
      <c r="AO32" s="99"/>
      <c r="AP32" s="90"/>
      <c r="AQ32" s="99"/>
      <c r="AR32" s="91"/>
      <c r="AS32" s="99"/>
      <c r="AT32" s="92"/>
      <c r="AU32" s="93"/>
      <c r="AV32" s="100"/>
      <c r="AW32" s="68"/>
      <c r="AX32" s="68"/>
      <c r="AY32" s="82"/>
    </row>
    <row r="33" spans="3:51" x14ac:dyDescent="0.25">
      <c r="C33" s="47">
        <v>900</v>
      </c>
      <c r="D33" s="47">
        <v>3000</v>
      </c>
      <c r="E33" s="32">
        <v>44438</v>
      </c>
      <c r="F33" s="61"/>
      <c r="G33" s="22">
        <v>2760</v>
      </c>
      <c r="H33" s="23">
        <f t="shared" si="0"/>
        <v>0</v>
      </c>
      <c r="I33" s="24">
        <f t="shared" si="1"/>
        <v>0</v>
      </c>
      <c r="J33" s="36"/>
      <c r="K33" s="103"/>
      <c r="L33" s="71"/>
      <c r="M33" s="71"/>
      <c r="N33" s="103"/>
      <c r="O33" s="50"/>
      <c r="P33" s="51"/>
      <c r="Q33" s="66"/>
      <c r="R33" s="96"/>
      <c r="S33" s="96"/>
      <c r="T33" s="85"/>
      <c r="U33" s="97"/>
      <c r="V33" s="97"/>
      <c r="W33" s="98"/>
      <c r="X33" s="87"/>
      <c r="Y33" s="84"/>
      <c r="Z33" s="66"/>
      <c r="AA33" s="81"/>
      <c r="AB33" s="85"/>
      <c r="AC33" s="85"/>
      <c r="AD33" s="68"/>
      <c r="AE33" s="68"/>
      <c r="AF33" s="98"/>
      <c r="AG33" s="87"/>
      <c r="AH33" s="82"/>
      <c r="AI33" s="66"/>
      <c r="AJ33" s="88"/>
      <c r="AK33" s="101"/>
      <c r="AL33" s="101"/>
      <c r="AM33" s="101"/>
      <c r="AN33" s="99"/>
      <c r="AO33" s="99"/>
      <c r="AP33" s="90"/>
      <c r="AQ33" s="99"/>
      <c r="AR33" s="91"/>
      <c r="AS33" s="99"/>
      <c r="AT33" s="92"/>
      <c r="AU33" s="93"/>
      <c r="AV33" s="100"/>
      <c r="AW33" s="68"/>
      <c r="AX33" s="68"/>
      <c r="AY33" s="82"/>
    </row>
    <row r="34" spans="3:51" x14ac:dyDescent="0.25">
      <c r="C34" s="47"/>
      <c r="D34" s="47"/>
      <c r="E34" s="32">
        <v>44439</v>
      </c>
      <c r="F34" s="61"/>
      <c r="G34" s="22">
        <v>2760</v>
      </c>
      <c r="H34" s="23">
        <f t="shared" si="0"/>
        <v>0</v>
      </c>
      <c r="I34" s="24">
        <f t="shared" si="1"/>
        <v>0</v>
      </c>
      <c r="J34" s="36"/>
      <c r="K34" s="103"/>
      <c r="L34" s="71"/>
      <c r="M34" s="71"/>
      <c r="N34" s="103"/>
      <c r="O34" s="50"/>
      <c r="P34" s="51"/>
      <c r="Q34" s="66"/>
      <c r="R34" s="96"/>
      <c r="S34" s="96"/>
      <c r="T34" s="85"/>
      <c r="U34" s="97"/>
      <c r="V34" s="97"/>
      <c r="W34" s="98"/>
      <c r="X34" s="87"/>
      <c r="Y34" s="84"/>
      <c r="Z34" s="66"/>
      <c r="AA34" s="81"/>
      <c r="AB34" s="85"/>
      <c r="AC34" s="85"/>
      <c r="AD34" s="68"/>
      <c r="AE34" s="68"/>
      <c r="AF34" s="98"/>
      <c r="AG34" s="87"/>
      <c r="AH34" s="82"/>
      <c r="AI34" s="66"/>
      <c r="AJ34" s="88"/>
      <c r="AK34" s="101"/>
      <c r="AL34" s="101"/>
      <c r="AM34" s="101"/>
      <c r="AN34" s="99"/>
      <c r="AO34" s="99"/>
      <c r="AP34" s="90"/>
      <c r="AQ34" s="99"/>
      <c r="AR34" s="91"/>
      <c r="AS34" s="99"/>
      <c r="AT34" s="92"/>
      <c r="AU34" s="93"/>
      <c r="AV34" s="100"/>
      <c r="AW34" s="68"/>
      <c r="AX34" s="68"/>
      <c r="AY34" s="82"/>
    </row>
    <row r="35" spans="3:51" x14ac:dyDescent="0.25">
      <c r="E35" s="34" t="s">
        <v>28</v>
      </c>
      <c r="F35" s="35"/>
      <c r="G35" s="35"/>
      <c r="H35" s="26"/>
      <c r="I35" s="52">
        <f>SUM(I4:I34)</f>
        <v>-12998225.520000001</v>
      </c>
      <c r="J35" s="56"/>
      <c r="K35" s="17"/>
      <c r="L35" s="17"/>
      <c r="M35" s="17"/>
      <c r="N35" s="17"/>
      <c r="O35" s="17"/>
      <c r="P35" s="30"/>
      <c r="Q35" s="81"/>
      <c r="R35" s="81"/>
      <c r="S35" s="81"/>
      <c r="T35" s="81"/>
      <c r="U35" s="81"/>
      <c r="V35" s="81"/>
      <c r="W35" s="81"/>
      <c r="X35" s="81"/>
      <c r="Y35" s="84"/>
      <c r="Z35" s="81"/>
      <c r="AA35" s="81"/>
      <c r="AB35" s="81"/>
      <c r="AC35" s="82"/>
      <c r="AD35" s="82"/>
      <c r="AE35" s="68"/>
      <c r="AF35" s="82"/>
      <c r="AG35" s="82"/>
      <c r="AH35" s="82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102"/>
      <c r="AX35" s="81"/>
      <c r="AY35" s="82"/>
    </row>
    <row r="36" spans="3:51" x14ac:dyDescent="0.25">
      <c r="D36" s="38" t="s">
        <v>33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37</v>
      </c>
      <c r="F37" s="53"/>
      <c r="G37" s="29"/>
      <c r="H37" s="17"/>
      <c r="I37" s="104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4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2021-08-26T11:37:14Z</dcterms:modified>
</cp:coreProperties>
</file>