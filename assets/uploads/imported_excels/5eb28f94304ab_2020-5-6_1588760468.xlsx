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V7" i="7" l="1"/>
  <c r="T5" i="7" l="1"/>
  <c r="T6" i="7"/>
  <c r="T7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T33" i="7" l="1"/>
  <c r="T34" i="7"/>
  <c r="AT32" i="7" l="1"/>
  <c r="AV31" i="7" l="1"/>
  <c r="CJ25" i="7" l="1"/>
  <c r="CD23" i="7" l="1"/>
  <c r="CD24" i="7"/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M5" i="6" l="1"/>
  <c r="T8" i="7"/>
  <c r="M6" i="6" s="1"/>
  <c r="T10" i="7"/>
  <c r="T11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L7" i="7" l="1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3" i="7"/>
  <c r="AT34" i="7"/>
  <c r="AV6" i="7"/>
  <c r="AB4" i="6" s="1"/>
  <c r="AB5" i="6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B29" i="6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AO2" i="6"/>
  <c r="AM2" i="6"/>
  <c r="AK2" i="6"/>
  <c r="AJ2" i="6"/>
  <c r="AI2" i="6"/>
  <c r="AH2" i="6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AG2" i="6"/>
  <c r="BD5" i="7"/>
  <c r="AE3" i="6" s="1"/>
  <c r="AD3" i="6"/>
  <c r="AZ5" i="7"/>
  <c r="AC3" i="6" s="1"/>
  <c r="AX5" i="7"/>
  <c r="AV5" i="7"/>
  <c r="AB3" i="6" s="1"/>
  <c r="AT5" i="7"/>
  <c r="AR5" i="7"/>
  <c r="Y3" i="6" s="1"/>
  <c r="AE2" i="6"/>
  <c r="AD2" i="6"/>
  <c r="AC2" i="6"/>
  <c r="AB2" i="6"/>
  <c r="Y2" i="6"/>
  <c r="AL5" i="7"/>
  <c r="V3" i="6" s="1"/>
  <c r="V2" i="6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U2" i="6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S2" i="6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R2" i="6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Q2" i="6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P2" i="6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AU23" i="6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AT2" i="6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AS2" i="6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AR22" i="6"/>
  <c r="AR21" i="6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AP2" i="6"/>
  <c r="BV5" i="7"/>
  <c r="AN3" i="6" s="1"/>
  <c r="AN2" i="6"/>
  <c r="BR5" i="7"/>
  <c r="AL3" i="6" s="1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M32" i="6"/>
  <c r="R34" i="7"/>
  <c r="L32" i="6" s="1"/>
  <c r="P34" i="7"/>
  <c r="K32" i="6" s="1"/>
  <c r="AH33" i="7"/>
  <c r="T31" i="6" s="1"/>
  <c r="V33" i="7"/>
  <c r="N31" i="6" s="1"/>
  <c r="M31" i="6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<sst xmlns="http://schemas.openxmlformats.org/spreadsheetml/2006/main" count="296" uniqueCount="138">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</sst>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P25" sqref="P2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2020</v>
      </c>
      <c r="E2" s="12">
        <f>Submetering!E2+Submetering!F2+Submetering!G2+Submetering!H2-Submetering!AV2</f>
        <v>4860.0000000001419</v>
      </c>
      <c r="F2" s="11">
        <v>0.58765030286592534</v>
      </c>
      <c r="G2" s="12">
        <f>(Submetering!AX2+Submetering!AY2+Submetering!AZ2+Submetering!BA2+Submetering!BB2)</f>
        <v>14.651999999999999</v>
      </c>
      <c r="H2" s="11">
        <v>0.99</v>
      </c>
      <c r="I2" s="12">
        <f>'FS Desroches Daily'!CM4</f>
        <v>29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2020</v>
      </c>
      <c r="E3" s="12">
        <f>Submetering!E3+Submetering!F3+Submetering!G3+Submetering!H3-Submetering!AV3</f>
        <v>5190.0000000000819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2020</v>
      </c>
      <c r="E4" s="12">
        <f>Submetering!E4+Submetering!F4+Submetering!G4+Submetering!H4-Submetering!AV4</f>
        <v>4940.0000000000691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19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2020</v>
      </c>
      <c r="E5" s="12">
        <f>Submetering!E5+Submetering!F5+Submetering!G5+Submetering!H5-Submetering!AV5</f>
        <v>5450.0000000002265</v>
      </c>
      <c r="F5" s="11">
        <f t="shared" si="1"/>
        <v>0.58765030286592534</v>
      </c>
      <c r="G5" s="12">
        <f>(Submetering!AX5+Submetering!AY5+Submetering!AZ5+Submetering!BA5+Submetering!BB5)</f>
        <v>507.32549999999998</v>
      </c>
      <c r="H5" s="11">
        <f t="shared" si="2"/>
        <v>0.99</v>
      </c>
      <c r="I5" s="12">
        <f>'FS Desroches Daily'!CM7</f>
        <v>25.7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2020</v>
      </c>
      <c r="E6" s="12">
        <f>Submetering!E6+Submetering!F6+Submetering!G6+Submetering!H6-Submetering!AV6</f>
        <v>5590.0000000000373</v>
      </c>
      <c r="F6" s="11">
        <f t="shared" si="1"/>
        <v>0.58765030286592534</v>
      </c>
      <c r="G6" s="12" t="e">
        <f>(Submetering!AX6+Submetering!AY6+Submetering!AZ6+Submetering!BA6+Submetering!BB6)</f>
        <v>#REF!</v>
      </c>
      <c r="H6" s="11">
        <f t="shared" si="2"/>
        <v>0.99</v>
      </c>
      <c r="I6" s="12">
        <f>'FS Desroches Daily'!CM8</f>
        <v>30.3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2020</v>
      </c>
      <c r="E7" s="12">
        <f>Submetering!E7+Submetering!F7+Submetering!G7+Submetering!H7-Submetering!AV7</f>
        <v>0</v>
      </c>
      <c r="F7" s="11">
        <f t="shared" si="1"/>
        <v>0.58765030286592534</v>
      </c>
      <c r="G7" s="12" t="e">
        <f>(Submetering!AX7+Submetering!AY7+Submetering!AZ7+Submetering!BA7+Submetering!BB7)</f>
        <v>#REF!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2020</v>
      </c>
      <c r="E8" s="12">
        <f>Submetering!E8+Submetering!F8+Submetering!G8+Submetering!H8-Submetering!AV8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2020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7" style="28" customWidth="1"/>
    <col min="2" max="2" width="11.5703125" style="28"/>
    <col min="3" max="3" width="11.5703125" style="18"/>
    <col min="4" max="4" width="13.425781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69</v>
      </c>
      <c r="F1" s="31" t="s">
        <v>70</v>
      </c>
      <c r="G1" s="31" t="s">
        <v>71</v>
      </c>
      <c r="H1" s="31" t="s">
        <v>72</v>
      </c>
      <c r="I1" s="31" t="s">
        <v>73</v>
      </c>
      <c r="J1" s="31" t="s">
        <v>74</v>
      </c>
      <c r="K1" s="31" t="s">
        <v>75</v>
      </c>
      <c r="L1" s="31" t="s">
        <v>76</v>
      </c>
      <c r="M1" s="31" t="s">
        <v>112</v>
      </c>
      <c r="N1" s="31" t="s">
        <v>111</v>
      </c>
      <c r="O1" s="31" t="s">
        <v>77</v>
      </c>
      <c r="P1" s="31" t="s">
        <v>78</v>
      </c>
      <c r="Q1" s="31" t="s">
        <v>79</v>
      </c>
      <c r="R1" s="31" t="s">
        <v>80</v>
      </c>
      <c r="S1" s="31" t="s">
        <v>81</v>
      </c>
      <c r="T1" s="31" t="s">
        <v>82</v>
      </c>
      <c r="U1" s="35" t="s">
        <v>83</v>
      </c>
      <c r="V1" s="35" t="s">
        <v>84</v>
      </c>
      <c r="W1" s="35" t="s">
        <v>85</v>
      </c>
      <c r="X1" s="35" t="s">
        <v>86</v>
      </c>
      <c r="Y1" s="35" t="s">
        <v>87</v>
      </c>
      <c r="Z1" s="35" t="s">
        <v>88</v>
      </c>
      <c r="AA1" s="35" t="s">
        <v>89</v>
      </c>
      <c r="AB1" s="35" t="s">
        <v>90</v>
      </c>
      <c r="AC1" s="35" t="s">
        <v>91</v>
      </c>
      <c r="AD1" s="35" t="s">
        <v>92</v>
      </c>
      <c r="AE1" s="35" t="s">
        <v>93</v>
      </c>
      <c r="AF1" s="31" t="s">
        <v>94</v>
      </c>
      <c r="AG1" s="34" t="s">
        <v>95</v>
      </c>
      <c r="AH1" s="34" t="s">
        <v>96</v>
      </c>
      <c r="AI1" s="34" t="s">
        <v>97</v>
      </c>
      <c r="AJ1" s="34" t="s">
        <v>98</v>
      </c>
      <c r="AK1" s="34" t="s">
        <v>99</v>
      </c>
      <c r="AL1" s="34" t="s">
        <v>100</v>
      </c>
      <c r="AM1" s="34" t="s">
        <v>101</v>
      </c>
      <c r="AN1" s="34" t="s">
        <v>102</v>
      </c>
      <c r="AO1" s="34" t="s">
        <v>103</v>
      </c>
      <c r="AP1" s="34" t="s">
        <v>104</v>
      </c>
      <c r="AQ1" s="31" t="s">
        <v>105</v>
      </c>
      <c r="AR1" s="31" t="s">
        <v>106</v>
      </c>
      <c r="AS1" s="31" t="s">
        <v>107</v>
      </c>
      <c r="AT1" s="31" t="s">
        <v>108</v>
      </c>
      <c r="AU1" s="31" t="s">
        <v>109</v>
      </c>
      <c r="AV1" s="31" t="s">
        <v>110</v>
      </c>
      <c r="AW1" s="31" t="s">
        <v>50</v>
      </c>
      <c r="AX1" s="31" t="s">
        <v>113</v>
      </c>
      <c r="AY1" s="31" t="s">
        <v>116</v>
      </c>
      <c r="AZ1" s="31" t="s">
        <v>117</v>
      </c>
      <c r="BA1" s="31" t="s">
        <v>114</v>
      </c>
      <c r="BB1" s="31" t="s">
        <v>115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5</v>
      </c>
      <c r="D2" s="28">
        <v>2020</v>
      </c>
      <c r="E2" s="32">
        <f>'FS Desroches Daily'!D4</f>
        <v>1400.0000000000678</v>
      </c>
      <c r="F2" s="33">
        <f>'FS Desroches Daily'!F4</f>
        <v>900.0000000001229</v>
      </c>
      <c r="G2" s="32">
        <f>'FS Desroches Daily'!H4</f>
        <v>1799.9999999998017</v>
      </c>
      <c r="H2" s="33">
        <f>'FS Desroches Daily'!J4</f>
        <v>1200.0000000000898</v>
      </c>
      <c r="I2" s="32">
        <f>'FS Desroches Daily'!L4</f>
        <v>2099.9999999999909</v>
      </c>
      <c r="J2" s="33">
        <f>'FS Desroches Daily'!N4</f>
        <v>1000.0000000001119</v>
      </c>
      <c r="K2" s="13">
        <f>'FS Desroches Daily'!P4</f>
        <v>0</v>
      </c>
      <c r="L2" s="32">
        <f>'FS Desroches Daily'!R4</f>
        <v>4</v>
      </c>
      <c r="M2" s="32">
        <f>'FS Desroches Daily'!T4</f>
        <v>261</v>
      </c>
      <c r="N2" s="32">
        <f>'FS Desroches Daily'!V4</f>
        <v>115</v>
      </c>
      <c r="O2" s="32">
        <f>'FS Desroches Daily'!X4</f>
        <v>180.00000000000682</v>
      </c>
      <c r="P2" s="32">
        <f>'FS Desroches Daily'!Z4</f>
        <v>600.00000000037801</v>
      </c>
      <c r="Q2" s="32">
        <f>'FS Desroches Daily'!AB4</f>
        <v>79.999999999984084</v>
      </c>
      <c r="R2" s="32">
        <f>'FS Desroches Daily'!AD4</f>
        <v>279.99999999997272</v>
      </c>
      <c r="S2" s="32">
        <f>'FS Desroches Daily'!AF4</f>
        <v>500</v>
      </c>
      <c r="T2" s="32">
        <f>'FS Desroches Daily'!AH4</f>
        <v>0.89999999999986358</v>
      </c>
      <c r="U2" s="36">
        <f>'FS Desroches Daily'!AJ4</f>
        <v>320.00000000005002</v>
      </c>
      <c r="V2" s="36">
        <f>'FS Desroches Daily'!AL4</f>
        <v>0.12999999999999545</v>
      </c>
      <c r="W2" s="36">
        <f>'FS Desroches Daily'!AN4</f>
        <v>9.9999999999994316E-2</v>
      </c>
      <c r="X2" s="36">
        <f>'FS Desroches Daily'!AP4</f>
        <v>9.0000000000003411E-2</v>
      </c>
      <c r="Y2" s="36">
        <f>'FS Desroches Daily'!AR4</f>
        <v>69.999999999993179</v>
      </c>
      <c r="Z2" s="36">
        <f>'FS Desroches Daily'!AT4</f>
        <v>90.000000000031832</v>
      </c>
      <c r="AA2" s="36">
        <f>'FS Desroches Daily'!AT4</f>
        <v>90.000000000031832</v>
      </c>
      <c r="AB2" s="36">
        <f>'FS Desroches Daily'!AV4</f>
        <v>79.999999999984084</v>
      </c>
      <c r="AC2" s="36">
        <f>'FS Desroches Daily'!AZ4</f>
        <v>79.999999999984084</v>
      </c>
      <c r="AD2" s="36">
        <f>'FS Desroches Daily'!BB4</f>
        <v>69.999999999993179</v>
      </c>
      <c r="AE2" s="36">
        <f>'FS Desroches Daily'!BD4</f>
        <v>9.9999999999909051</v>
      </c>
      <c r="AF2" s="32">
        <f>'FS Desroches Daily'!BF4</f>
        <v>32</v>
      </c>
      <c r="AG2" s="33">
        <f>'FS Desroches Daily'!BH4</f>
        <v>40.000000000020464</v>
      </c>
      <c r="AH2" s="33">
        <f>'FS Desroches Daily'!BJ4</f>
        <v>30.000000000029559</v>
      </c>
      <c r="AI2" s="33">
        <f>'FS Desroches Daily'!BL4</f>
        <v>30.000000000001137</v>
      </c>
      <c r="AJ2" s="33">
        <f>'FS Desroches Daily'!BN4</f>
        <v>39.999999999992042</v>
      </c>
      <c r="AK2" s="33">
        <f>'FS Desroches Daily'!BP4</f>
        <v>39.99999999996362</v>
      </c>
      <c r="AL2" s="33">
        <f>'FS Desroches Daily'!BR4</f>
        <v>24</v>
      </c>
      <c r="AM2" s="33">
        <f>'FS Desroches Daily'!BT4</f>
        <v>30.000000000001137</v>
      </c>
      <c r="AN2" s="33">
        <f>'FS Desroches Daily'!BV4</f>
        <v>21</v>
      </c>
      <c r="AO2" s="33">
        <f>'FS Desroches Daily'!BX4</f>
        <v>39.999999999992042</v>
      </c>
      <c r="AP2" s="33">
        <f>'FS Desroches Daily'!BZ4</f>
        <v>35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61.900000000001455</v>
      </c>
      <c r="AU2" s="32">
        <f>'FS Desroches Daily'!CJ4</f>
        <v>197</v>
      </c>
      <c r="AV2" s="32">
        <f>'FS Desroches Daily'!CL4</f>
        <v>439.99999999994088</v>
      </c>
      <c r="AW2" s="32">
        <f>'FS Desroches Daily'!CM4</f>
        <v>29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14.651999999999999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5</v>
      </c>
      <c r="D3" s="28">
        <v>2020</v>
      </c>
      <c r="E3" s="32">
        <f>'FS Desroches Daily'!D5</f>
        <v>1600.0000000000459</v>
      </c>
      <c r="F3" s="33">
        <f>'FS Desroches Daily'!F5</f>
        <v>999.99999999988984</v>
      </c>
      <c r="G3" s="32">
        <f>'FS Desroches Daily'!H5</f>
        <v>1800.0000000002458</v>
      </c>
      <c r="H3" s="33">
        <f>'FS Desroches Daily'!J5</f>
        <v>1199.9999999998679</v>
      </c>
      <c r="I3" s="32">
        <f>'FS Desroches Daily'!L5</f>
        <v>2300.000000000191</v>
      </c>
      <c r="J3" s="33">
        <f>'FS Desroches Daily'!N5</f>
        <v>999.99999999988984</v>
      </c>
      <c r="K3" s="13">
        <f>'FS Desroches Daily'!P5</f>
        <v>0</v>
      </c>
      <c r="L3" s="32">
        <f>'FS Desroches Daily'!R5</f>
        <v>7</v>
      </c>
      <c r="M3" s="32">
        <f>'FS Desroches Daily'!T5</f>
        <v>145.40000000002328</v>
      </c>
      <c r="N3" s="32">
        <f>'FS Desroches Daily'!V5</f>
        <v>154.70000000001164</v>
      </c>
      <c r="O3" s="32">
        <f>'FS Desroches Daily'!X6</f>
        <v>210.00000000003638</v>
      </c>
      <c r="P3" s="32">
        <f>'FS Desroches Daily'!Z5</f>
        <v>599.99999999993395</v>
      </c>
      <c r="Q3" s="32">
        <f>'FS Desroches Daily'!AB5</f>
        <v>100.00000000002274</v>
      </c>
      <c r="R3" s="32">
        <f>'FS Desroches Daily'!AD5</f>
        <v>310.00000000000227</v>
      </c>
      <c r="S3" s="32">
        <f>'FS Desroches Daily'!AF5</f>
        <v>539.99999999996362</v>
      </c>
      <c r="T3" s="32">
        <f>'FS Desroches Daily'!AH5</f>
        <v>0.8000000000001819</v>
      </c>
      <c r="U3" s="36">
        <f>'FS Desroches Daily'!AJ5</f>
        <v>349.99999999996589</v>
      </c>
      <c r="V3" s="36">
        <f>'FS Desroches Daily'!AL5</f>
        <v>0.17000000000001592</v>
      </c>
      <c r="W3" s="36">
        <f>'FS Desroches Daily'!AN5</f>
        <v>0.12000000000000455</v>
      </c>
      <c r="X3" s="36">
        <f>'FS Desroches Daily'!AP5</f>
        <v>0.12999999999999545</v>
      </c>
      <c r="Y3" s="36">
        <f>'FS Desroches Daily'!AR5</f>
        <v>99.999999999994316</v>
      </c>
      <c r="Z3" s="36">
        <f>'FS Desroches Daily'!AT5</f>
        <v>109.9999999999568</v>
      </c>
      <c r="AA3" s="36">
        <f>'FS Desroches Daily'!AT5</f>
        <v>109.9999999999568</v>
      </c>
      <c r="AB3" s="36">
        <f>'FS Desroches Daily'!AV5</f>
        <v>110.00000000001364</v>
      </c>
      <c r="AC3" s="36">
        <f>'FS Desroches Daily'!AZ5</f>
        <v>89.999999999974989</v>
      </c>
      <c r="AD3" s="36">
        <f>'FS Desroches Daily'!BB5</f>
        <v>79.999999999984084</v>
      </c>
      <c r="AE3" s="36">
        <f>'FS Desroches Daily'!BD5</f>
        <v>9.9999999999909051</v>
      </c>
      <c r="AF3" s="32">
        <f>'FS Desroches Daily'!BF5</f>
        <v>36</v>
      </c>
      <c r="AG3" s="33">
        <f>'FS Desroches Daily'!BH5</f>
        <v>30.000000000001137</v>
      </c>
      <c r="AH3" s="33">
        <f>'FS Desroches Daily'!BJ5</f>
        <v>50.000000000011369</v>
      </c>
      <c r="AI3" s="33">
        <f>'FS Desroches Daily'!BL5</f>
        <v>39.999999999992042</v>
      </c>
      <c r="AJ3" s="33">
        <f>'FS Desroches Daily'!BN5</f>
        <v>50.000000000011369</v>
      </c>
      <c r="AK3" s="33">
        <f>'FS Desroches Daily'!BP5</f>
        <v>50.000000000011369</v>
      </c>
      <c r="AL3" s="33">
        <f>'FS Desroches Daily'!BR5</f>
        <v>25</v>
      </c>
      <c r="AM3" s="33">
        <f>'FS Desroches Daily'!BT5</f>
        <v>19.99999999998181</v>
      </c>
      <c r="AN3" s="33">
        <f>'FS Desroches Daily'!BV5</f>
        <v>24</v>
      </c>
      <c r="AO3" s="33">
        <f>'FS Desroches Daily'!BX5</f>
        <v>30.000000000001137</v>
      </c>
      <c r="AP3" s="33">
        <f>'FS Desroches Daily'!BZ5</f>
        <v>39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65.80000000000291</v>
      </c>
      <c r="AU3" s="32">
        <f>'FS Desroches Daily'!CJ5</f>
        <v>216</v>
      </c>
      <c r="AV3" s="32">
        <f>'FS Desroches Daily'!CL5</f>
        <v>409.99999999996817</v>
      </c>
      <c r="AW3" s="32">
        <f>'FS Desroches Daily'!CM5</f>
        <v>29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5</v>
      </c>
      <c r="D4" s="28">
        <v>2020</v>
      </c>
      <c r="E4" s="32">
        <f>'FS Desroches Daily'!D6</f>
        <v>1600.0000000000459</v>
      </c>
      <c r="F4" s="33">
        <f>'FS Desroches Daily'!F6</f>
        <v>900.0000000001229</v>
      </c>
      <c r="G4" s="32">
        <f>'FS Desroches Daily'!H6</f>
        <v>1599.9999999998238</v>
      </c>
      <c r="H4" s="33">
        <f>'FS Desroches Daily'!J6</f>
        <v>1200.0000000000898</v>
      </c>
      <c r="I4" s="32">
        <f>'FS Desroches Daily'!L6</f>
        <v>2099.9999999999909</v>
      </c>
      <c r="J4" s="33">
        <f>'FS Desroches Daily'!N6</f>
        <v>1100.000000000101</v>
      </c>
      <c r="K4" s="13">
        <f>'FS Desroches Daily'!P6</f>
        <v>0</v>
      </c>
      <c r="L4" s="32">
        <f>'FS Desroches Daily'!R6</f>
        <v>6</v>
      </c>
      <c r="M4" s="32">
        <f>'FS Desroches Daily'!T6</f>
        <v>56.599999999976717</v>
      </c>
      <c r="N4" s="32">
        <f>'FS Desroches Daily'!V6</f>
        <v>37.299999999988358</v>
      </c>
      <c r="O4" s="32">
        <f>'FS Desroches Daily'!X7</f>
        <v>219.99999999997044</v>
      </c>
      <c r="P4" s="32">
        <f>'FS Desroches Daily'!Z6</f>
        <v>599.99999999993395</v>
      </c>
      <c r="Q4" s="32">
        <f>'FS Desroches Daily'!AB6</f>
        <v>100.00000000002274</v>
      </c>
      <c r="R4" s="32">
        <f>'FS Desroches Daily'!AD6</f>
        <v>330.00000000004093</v>
      </c>
      <c r="S4" s="32">
        <f>'FS Desroches Daily'!AF6</f>
        <v>540.00000000002046</v>
      </c>
      <c r="T4" s="32">
        <f>'FS Desroches Daily'!AH6</f>
        <v>0.79999999999995453</v>
      </c>
      <c r="U4" s="36">
        <f>'FS Desroches Daily'!AJ6</f>
        <v>270.00000000003865</v>
      </c>
      <c r="V4" s="36">
        <f>'FS Desroches Daily'!AL6</f>
        <v>0.1799999999999784</v>
      </c>
      <c r="W4" s="36">
        <f>'FS Desroches Daily'!AN6</f>
        <v>0.12000000000000455</v>
      </c>
      <c r="X4" s="36">
        <f>'FS Desroches Daily'!AP6</f>
        <v>0.13999999999998636</v>
      </c>
      <c r="Y4" s="36">
        <f>'FS Desroches Daily'!AR6</f>
        <v>100.00000000002274</v>
      </c>
      <c r="Z4" s="36">
        <f>'FS Desroches Daily'!AT6</f>
        <v>110.00000000001364</v>
      </c>
      <c r="AA4" s="36">
        <f>'FS Desroches Daily'!AT6</f>
        <v>110.00000000001364</v>
      </c>
      <c r="AB4" s="36">
        <f>'FS Desroches Daily'!AV6</f>
        <v>89.999999999974989</v>
      </c>
      <c r="AC4" s="36">
        <f>'FS Desroches Daily'!AZ6</f>
        <v>100.00000000002274</v>
      </c>
      <c r="AD4" s="36">
        <f>'FS Desroches Daily'!BB6</f>
        <v>79.999999999984084</v>
      </c>
      <c r="AE4" s="36">
        <f>'FS Desroches Daily'!BD6</f>
        <v>10.000000000019327</v>
      </c>
      <c r="AF4" s="32">
        <f>'FS Desroches Daily'!BF6</f>
        <v>30</v>
      </c>
      <c r="AG4" s="33">
        <f>'FS Desroches Daily'!BH6</f>
        <v>30.000000000001137</v>
      </c>
      <c r="AH4" s="33">
        <f>'FS Desroches Daily'!BJ6</f>
        <v>39.99999999996362</v>
      </c>
      <c r="AI4" s="33">
        <f>'FS Desroches Daily'!BL6</f>
        <v>30.000000000001137</v>
      </c>
      <c r="AJ4" s="33">
        <f>'FS Desroches Daily'!BN6</f>
        <v>49.999999999982947</v>
      </c>
      <c r="AK4" s="33">
        <f>'FS Desroches Daily'!BP6</f>
        <v>60.000000000002274</v>
      </c>
      <c r="AL4" s="33">
        <f>'FS Desroches Daily'!BR6</f>
        <v>27</v>
      </c>
      <c r="AM4" s="33">
        <f>'FS Desroches Daily'!BT6</f>
        <v>20.000000000010232</v>
      </c>
      <c r="AN4" s="33">
        <f>'FS Desroches Daily'!BV6</f>
        <v>25</v>
      </c>
      <c r="AO4" s="33">
        <f>'FS Desroches Daily'!BX6</f>
        <v>30.000000000001137</v>
      </c>
      <c r="AP4" s="33">
        <f>'FS Desroches Daily'!BZ6</f>
        <v>39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70.19999999999709</v>
      </c>
      <c r="AU4" s="32">
        <f>'FS Desroches Daily'!CJ6</f>
        <v>199</v>
      </c>
      <c r="AV4" s="32">
        <f>'FS Desroches Daily'!CL6</f>
        <v>360.00000000001364</v>
      </c>
      <c r="AW4" s="32">
        <f>'FS Desroches Daily'!CM6</f>
        <v>19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 t="str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5</v>
      </c>
      <c r="D5" s="28">
        <v>2020</v>
      </c>
      <c r="E5" s="32">
        <f>'FS Desroches Daily'!D7</f>
        <v>1700.0000000000348</v>
      </c>
      <c r="F5" s="33">
        <f>'FS Desroches Daily'!F7</f>
        <v>999.99999999988984</v>
      </c>
      <c r="G5" s="32">
        <f>'FS Desroches Daily'!H7</f>
        <v>1800.0000000002458</v>
      </c>
      <c r="H5" s="33">
        <f>'FS Desroches Daily'!J7</f>
        <v>1300.0000000000789</v>
      </c>
      <c r="I5" s="32">
        <f>'FS Desroches Daily'!L7</f>
        <v>2499.9999999999468</v>
      </c>
      <c r="J5" s="33">
        <f>'FS Desroches Daily'!N7</f>
        <v>1199.9999999998679</v>
      </c>
      <c r="K5" s="13">
        <f>'FS Desroches Daily'!P7</f>
        <v>0</v>
      </c>
      <c r="L5" s="32">
        <f>'FS Desroches Daily'!R7</f>
        <v>7</v>
      </c>
      <c r="M5" s="32">
        <f>'FS Desroches Daily'!T7</f>
        <v>292.09999999997672</v>
      </c>
      <c r="N5" s="32">
        <f>'FS Desroches Daily'!V7</f>
        <v>171.59999999997672</v>
      </c>
      <c r="O5" s="32">
        <f>'FS Desroches Daily'!X8</f>
        <v>230.00000000001819</v>
      </c>
      <c r="P5" s="32">
        <f>'FS Desroches Daily'!Z7</f>
        <v>700.00000000014495</v>
      </c>
      <c r="Q5" s="32">
        <f>'FS Desroches Daily'!AB7</f>
        <v>120.00000000000455</v>
      </c>
      <c r="R5" s="32">
        <f>'FS Desroches Daily'!AD7</f>
        <v>359.9999999999568</v>
      </c>
      <c r="S5" s="32">
        <f>'FS Desroches Daily'!AF7</f>
        <v>610.00000000001364</v>
      </c>
      <c r="T5" s="32">
        <f>'FS Desroches Daily'!AH7</f>
        <v>1.2999999999999545</v>
      </c>
      <c r="U5" s="36">
        <f>'FS Desroches Daily'!AJ7</f>
        <v>279.99999999997272</v>
      </c>
      <c r="V5" s="36">
        <f>'FS Desroches Daily'!AL7</f>
        <v>0.20000000000001705</v>
      </c>
      <c r="W5" s="36">
        <f>'FS Desroches Daily'!AN7</f>
        <v>0.14000000000001478</v>
      </c>
      <c r="X5" s="36">
        <f>'FS Desroches Daily'!AP7</f>
        <v>0.11000000000001364</v>
      </c>
      <c r="Y5" s="36">
        <f>'FS Desroches Daily'!AR7</f>
        <v>109.99999999998522</v>
      </c>
      <c r="Z5" s="36">
        <f>'FS Desroches Daily'!AT7</f>
        <v>129.99999999999545</v>
      </c>
      <c r="AA5" s="36">
        <f>'FS Desroches Daily'!AT7</f>
        <v>129.99999999999545</v>
      </c>
      <c r="AB5" s="36">
        <f>'FS Desroches Daily'!AV7</f>
        <v>120.00000000000455</v>
      </c>
      <c r="AC5" s="36">
        <f>'FS Desroches Daily'!AZ7</f>
        <v>120.00000000000455</v>
      </c>
      <c r="AD5" s="36">
        <f>'FS Desroches Daily'!BB7</f>
        <v>100.00000000002274</v>
      </c>
      <c r="AE5" s="36">
        <f>'FS Desroches Daily'!BD7</f>
        <v>9.9999999999909051</v>
      </c>
      <c r="AF5" s="32">
        <f>'FS Desroches Daily'!BF7</f>
        <v>31</v>
      </c>
      <c r="AG5" s="33">
        <f>'FS Desroches Daily'!BH7</f>
        <v>39.999999999992042</v>
      </c>
      <c r="AH5" s="33">
        <f>'FS Desroches Daily'!BJ7</f>
        <v>30.000000000029559</v>
      </c>
      <c r="AI5" s="33">
        <f>'FS Desroches Daily'!BL7</f>
        <v>39.999999999992042</v>
      </c>
      <c r="AJ5" s="33">
        <f>'FS Desroches Daily'!BN7</f>
        <v>39.999999999992042</v>
      </c>
      <c r="AK5" s="33">
        <f>'FS Desroches Daily'!BP7</f>
        <v>50.000000000011369</v>
      </c>
      <c r="AL5" s="33">
        <f>'FS Desroches Daily'!BR7</f>
        <v>27</v>
      </c>
      <c r="AM5" s="33">
        <f>'FS Desroches Daily'!BT7</f>
        <v>30.000000000001137</v>
      </c>
      <c r="AN5" s="33">
        <f>'FS Desroches Daily'!BV7</f>
        <v>28</v>
      </c>
      <c r="AO5" s="33">
        <f>'FS Desroches Daily'!BX7</f>
        <v>39.999999999992042</v>
      </c>
      <c r="AP5" s="33">
        <f>'FS Desroches Daily'!BZ7</f>
        <v>35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66.5</v>
      </c>
      <c r="AU5" s="32">
        <f>'FS Desroches Daily'!CJ7</f>
        <v>269</v>
      </c>
      <c r="AV5" s="32">
        <f>'FS Desroches Daily'!CL7</f>
        <v>350.00000000002274</v>
      </c>
      <c r="AW5" s="32">
        <f>'FS Desroches Daily'!CM7</f>
        <v>25.7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499.99949999999995</v>
      </c>
      <c r="BA5" s="32">
        <f>IF(LPG!M12-LPG!M11&lt;0,"0",(LPG!M12-LPG!M11)*1.8315)</f>
        <v>0</v>
      </c>
      <c r="BB5" s="32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5</v>
      </c>
      <c r="D6" s="28">
        <v>2020</v>
      </c>
      <c r="E6" s="32">
        <f>'FS Desroches Daily'!D8</f>
        <v>1699.9999999998129</v>
      </c>
      <c r="F6" s="33">
        <f>'FS Desroches Daily'!F8</f>
        <v>1000.000000000334</v>
      </c>
      <c r="G6" s="32">
        <f>'FS Desroches Daily'!H8</f>
        <v>1900.0000000000127</v>
      </c>
      <c r="H6" s="33">
        <f>'FS Desroches Daily'!J8</f>
        <v>1399.9999999998458</v>
      </c>
      <c r="I6" s="32">
        <f>'FS Desroches Daily'!L8</f>
        <v>2399.9999999999577</v>
      </c>
      <c r="J6" s="33">
        <f>'FS Desroches Daily'!N8</f>
        <v>1100.000000000101</v>
      </c>
      <c r="K6" s="13">
        <f>'FS Desroches Daily'!P8</f>
        <v>0</v>
      </c>
      <c r="L6" s="32">
        <f>'FS Desroches Daily'!R8</f>
        <v>6</v>
      </c>
      <c r="M6" s="32">
        <f>'FS Desroches Daily'!T8</f>
        <v>193.5</v>
      </c>
      <c r="N6" s="32">
        <f>'FS Desroches Daily'!V8</f>
        <v>126.70000000001164</v>
      </c>
      <c r="O6" s="32">
        <f>'FS Desroches Daily'!X8</f>
        <v>230.00000000001819</v>
      </c>
      <c r="P6" s="32">
        <f>'FS Desroches Daily'!Z8</f>
        <v>599.99999999993395</v>
      </c>
      <c r="Q6" s="32">
        <f>'FS Desroches Daily'!AB8</f>
        <v>109.9999999999568</v>
      </c>
      <c r="R6" s="32">
        <f>'FS Desroches Daily'!AD8</f>
        <v>350.00000000002274</v>
      </c>
      <c r="S6" s="32">
        <f>'FS Desroches Daily'!AF8</f>
        <v>589.99999999997499</v>
      </c>
      <c r="T6" s="32">
        <f>'FS Desroches Daily'!AH8</f>
        <v>1.0999999999999091</v>
      </c>
      <c r="U6" s="36">
        <f>'FS Desroches Daily'!AJ8</f>
        <v>290.00000000002046</v>
      </c>
      <c r="V6" s="36">
        <f>'FS Desroches Daily'!AL8</f>
        <v>0.19999999999998863</v>
      </c>
      <c r="W6" s="36">
        <f>'FS Desroches Daily'!AN8</f>
        <v>0.14999999999997726</v>
      </c>
      <c r="X6" s="36">
        <f>'FS Desroches Daily'!AP8</f>
        <v>0.12999999999999545</v>
      </c>
      <c r="Y6" s="36">
        <f>'FS Desroches Daily'!AR8</f>
        <v>99.999999999994316</v>
      </c>
      <c r="Z6" s="36">
        <f>'FS Desroches Daily'!AT8</f>
        <v>110.00000000001364</v>
      </c>
      <c r="AA6" s="36">
        <f>'FS Desroches Daily'!AT8</f>
        <v>110.00000000001364</v>
      </c>
      <c r="AB6" s="36">
        <f>'FS Desroches Daily'!AV8</f>
        <v>110.00000000001364</v>
      </c>
      <c r="AC6" s="36">
        <f>'FS Desroches Daily'!AZ8</f>
        <v>110.00000000001364</v>
      </c>
      <c r="AD6" s="36">
        <f>'FS Desroches Daily'!BB8</f>
        <v>89.999999999974989</v>
      </c>
      <c r="AE6" s="36">
        <f>'FS Desroches Daily'!BD8</f>
        <v>9.9999999999909051</v>
      </c>
      <c r="AF6" s="32">
        <f>'FS Desroches Daily'!BF8</f>
        <v>40</v>
      </c>
      <c r="AG6" s="33">
        <f>'FS Desroches Daily'!BH8</f>
        <v>30.000000000001137</v>
      </c>
      <c r="AH6" s="33">
        <f>'FS Desroches Daily'!BJ8</f>
        <v>50.000000000011369</v>
      </c>
      <c r="AI6" s="33">
        <f>'FS Desroches Daily'!BL8</f>
        <v>30.000000000001137</v>
      </c>
      <c r="AJ6" s="33">
        <f>'FS Desroches Daily'!BN8</f>
        <v>30.000000000001137</v>
      </c>
      <c r="AK6" s="33">
        <f>'FS Desroches Daily'!BP8</f>
        <v>50.000000000011369</v>
      </c>
      <c r="AL6" s="33">
        <f>'FS Desroches Daily'!BR8</f>
        <v>26</v>
      </c>
      <c r="AM6" s="33">
        <f>'FS Desroches Daily'!BT8</f>
        <v>30.000000000001137</v>
      </c>
      <c r="AN6" s="33">
        <f>'FS Desroches Daily'!BV8</f>
        <v>26</v>
      </c>
      <c r="AO6" s="33">
        <f>'FS Desroches Daily'!BX8</f>
        <v>30.000000000001137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55.30000000000291</v>
      </c>
      <c r="AU6" s="32">
        <f>'FS Desroches Daily'!CJ8</f>
        <v>264</v>
      </c>
      <c r="AV6" s="32">
        <f>'FS Desroches Daily'!CL8</f>
        <v>409.99999999996817</v>
      </c>
      <c r="AW6" s="32">
        <f>'FS Desroches Daily'!CM8</f>
        <v>30.3</v>
      </c>
      <c r="AX6" s="32" t="str">
        <f>IF(LPG!F13-LPG!F12&lt;0,"0",(LPG!F13-LPG!F12)*1.8315)</f>
        <v>0</v>
      </c>
      <c r="AY6" s="32" t="str">
        <f>IF(LPG!H13-LPG!H12&lt;0,"0",(LPG!H13-LPG!H12)*1.8315)</f>
        <v>0</v>
      </c>
      <c r="AZ6" s="32" t="e">
        <f>IF(LPG!#REF!-LPG!J12&lt;0,"0",(LPG!#REF!-LPG!J12)*1.8315)</f>
        <v>#REF!</v>
      </c>
      <c r="BA6" s="32" t="str">
        <f>IF(LPG!M13-LPG!M12&lt;0,"0",(LPG!M13-LPG!M12)*1.8315)</f>
        <v>0</v>
      </c>
      <c r="BB6" s="32" t="str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5</v>
      </c>
      <c r="D7" s="28">
        <v>2020</v>
      </c>
      <c r="E7" s="32" t="str">
        <f>'FS Desroches Daily'!D9</f>
        <v>0</v>
      </c>
      <c r="F7" s="33" t="str">
        <f>'FS Desroches Daily'!F9</f>
        <v>0</v>
      </c>
      <c r="G7" s="32" t="str">
        <f>'FS Desroches Daily'!H9</f>
        <v>0</v>
      </c>
      <c r="H7" s="33" t="str">
        <f>'FS Desroches Daily'!J9</f>
        <v>0</v>
      </c>
      <c r="I7" s="32" t="str">
        <f>'FS Desroches Daily'!L9</f>
        <v>0</v>
      </c>
      <c r="J7" s="33" t="str">
        <f>'FS Desroches Daily'!N9</f>
        <v>0</v>
      </c>
      <c r="K7" s="13" t="str">
        <f>'FS Desroches Daily'!P9</f>
        <v>0</v>
      </c>
      <c r="L7" s="32" t="str">
        <f>'FS Desroches Daily'!R9</f>
        <v>0</v>
      </c>
      <c r="M7" s="32" t="str">
        <f>'FS Desroches Daily'!T9</f>
        <v>0</v>
      </c>
      <c r="N7" s="32" t="str">
        <f>'FS Desroches Daily'!V9</f>
        <v>0</v>
      </c>
      <c r="O7" s="32" t="str">
        <f>'FS Desroches Daily'!X9</f>
        <v/>
      </c>
      <c r="P7" s="32" t="str">
        <f>'FS Desroches Daily'!Z9</f>
        <v/>
      </c>
      <c r="Q7" s="32" t="str">
        <f>'FS Desroches Daily'!AB9</f>
        <v/>
      </c>
      <c r="R7" s="32" t="str">
        <f>'FS Desroches Daily'!AD9</f>
        <v/>
      </c>
      <c r="S7" s="32" t="str">
        <f>'FS Desroches Daily'!AF9</f>
        <v/>
      </c>
      <c r="T7" s="32" t="str">
        <f>'FS Desroches Daily'!AH9</f>
        <v>0</v>
      </c>
      <c r="U7" s="36" t="str">
        <f>'FS Desroches Daily'!AJ9</f>
        <v/>
      </c>
      <c r="V7" s="36" t="str">
        <f>'FS Desroches Daily'!AL9</f>
        <v>0</v>
      </c>
      <c r="W7" s="36" t="str">
        <f>'FS Desroches Daily'!AN9</f>
        <v>0</v>
      </c>
      <c r="X7" s="36" t="str">
        <f>'FS Desroches Daily'!AP9</f>
        <v/>
      </c>
      <c r="Y7" s="36" t="str">
        <f>'FS Desroches Daily'!AR9</f>
        <v/>
      </c>
      <c r="Z7" s="36" t="str">
        <f>'FS Desroches Daily'!AT9</f>
        <v/>
      </c>
      <c r="AA7" s="36" t="str">
        <f>'FS Desroches Daily'!AT9</f>
        <v/>
      </c>
      <c r="AB7" s="36" t="str">
        <f>'FS Desroches Daily'!AV9</f>
        <v/>
      </c>
      <c r="AC7" s="36" t="str">
        <f>'FS Desroches Daily'!AZ9</f>
        <v/>
      </c>
      <c r="AD7" s="36" t="str">
        <f>'FS Desroches Daily'!BB9</f>
        <v/>
      </c>
      <c r="AE7" s="36" t="str">
        <f>'FS Desroches Daily'!BD9</f>
        <v/>
      </c>
      <c r="AF7" s="32" t="str">
        <f>'FS Desroches Daily'!BF9</f>
        <v/>
      </c>
      <c r="AG7" s="33" t="str">
        <f>'FS Desroches Daily'!BH9</f>
        <v/>
      </c>
      <c r="AH7" s="33" t="str">
        <f>'FS Desroches Daily'!BJ9</f>
        <v/>
      </c>
      <c r="AI7" s="33" t="str">
        <f>'FS Desroches Daily'!BL9</f>
        <v/>
      </c>
      <c r="AJ7" s="33" t="str">
        <f>'FS Desroches Daily'!BN9</f>
        <v/>
      </c>
      <c r="AK7" s="33" t="str">
        <f>'FS Desroches Daily'!BP9</f>
        <v/>
      </c>
      <c r="AL7" s="33" t="str">
        <f>'FS Desroches Daily'!BR9</f>
        <v/>
      </c>
      <c r="AM7" s="33" t="str">
        <f>'FS Desroches Daily'!BT9</f>
        <v/>
      </c>
      <c r="AN7" s="33" t="str">
        <f>'FS Desroches Daily'!BV9</f>
        <v/>
      </c>
      <c r="AO7" s="33" t="str">
        <f>'FS Desroches Daily'!BX9</f>
        <v/>
      </c>
      <c r="AP7" s="33" t="str">
        <f>'FS Desroches Daily'!BZ9</f>
        <v/>
      </c>
      <c r="AQ7" s="32" t="str">
        <f>'FS Desroches Daily'!CB9</f>
        <v/>
      </c>
      <c r="AR7" s="32" t="str">
        <f>'FS Desroches Daily'!CD9</f>
        <v/>
      </c>
      <c r="AS7" s="32" t="str">
        <f>'FS Desroches Daily'!CF9</f>
        <v/>
      </c>
      <c r="AT7" s="32" t="str">
        <f>'FS Desroches Daily'!CH9</f>
        <v/>
      </c>
      <c r="AU7" s="32" t="str">
        <f>'FS Desroches Daily'!CJ9</f>
        <v/>
      </c>
      <c r="AV7" s="32" t="str">
        <f>'FS Desroches Daily'!CL9</f>
        <v>0</v>
      </c>
      <c r="AW7" s="32">
        <f>'FS Desroches Daily'!CM9</f>
        <v>0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 t="e">
        <f>IF(LPG!J14-LPG!#REF!&lt;0,"0",(LPG!J14-LPG!#REF!)*1.8315)</f>
        <v>#REF!</v>
      </c>
      <c r="BA7" s="32">
        <f>IF(LPG!M14-LPG!M13&lt;0,"0",(LPG!M14-LPG!M13)*1.8315)</f>
        <v>0</v>
      </c>
      <c r="BB7" s="32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5</v>
      </c>
      <c r="D8" s="28">
        <v>2020</v>
      </c>
      <c r="E8" s="32">
        <f>'FS Desroches Daily'!D10</f>
        <v>0</v>
      </c>
      <c r="F8" s="33">
        <f>'FS Desroches Daily'!F10</f>
        <v>0</v>
      </c>
      <c r="G8" s="32">
        <f>'FS Desroches Daily'!H10</f>
        <v>0</v>
      </c>
      <c r="H8" s="33">
        <f>'FS Desroches Daily'!J10</f>
        <v>0</v>
      </c>
      <c r="I8" s="32">
        <f>'FS Desroches Daily'!L10</f>
        <v>0</v>
      </c>
      <c r="J8" s="33">
        <f>'FS Desroches Daily'!N10</f>
        <v>0</v>
      </c>
      <c r="K8" s="13">
        <f>'FS Desroches Daily'!P10</f>
        <v>0</v>
      </c>
      <c r="L8" s="32">
        <f>'FS Desroches Daily'!R10</f>
        <v>0</v>
      </c>
      <c r="M8" s="32">
        <f>'FS Desroches Daily'!T10</f>
        <v>0</v>
      </c>
      <c r="N8" s="32">
        <f>'FS Desroches Daily'!V10</f>
        <v>0</v>
      </c>
      <c r="O8" s="32">
        <f>'FS Desroches Daily'!X10</f>
        <v>0</v>
      </c>
      <c r="P8" s="32">
        <f>'FS Desroches Daily'!Z10</f>
        <v>0</v>
      </c>
      <c r="Q8" s="32">
        <f>'FS Desroches Daily'!AB10</f>
        <v>0</v>
      </c>
      <c r="R8" s="32">
        <f>'FS Desroches Daily'!AD10</f>
        <v>0</v>
      </c>
      <c r="S8" s="32">
        <f>'FS Desroches Daily'!AF10</f>
        <v>0</v>
      </c>
      <c r="T8" s="32">
        <f>'FS Desroches Daily'!AH10</f>
        <v>0</v>
      </c>
      <c r="U8" s="36">
        <f>'FS Desroches Daily'!AJ10</f>
        <v>0</v>
      </c>
      <c r="V8" s="36">
        <f>'FS Desroches Daily'!AL10</f>
        <v>0</v>
      </c>
      <c r="W8" s="36">
        <f>'FS Desroches Daily'!AN10</f>
        <v>0</v>
      </c>
      <c r="X8" s="36">
        <f>'FS Desroches Daily'!AP10</f>
        <v>0</v>
      </c>
      <c r="Y8" s="36">
        <f>'FS Desroches Daily'!AR10</f>
        <v>0</v>
      </c>
      <c r="Z8" s="36">
        <f>'FS Desroches Daily'!AT10</f>
        <v>0</v>
      </c>
      <c r="AA8" s="36">
        <f>'FS Desroches Daily'!AT10</f>
        <v>0</v>
      </c>
      <c r="AB8" s="36">
        <f>'FS Desroches Daily'!AV10</f>
        <v>0</v>
      </c>
      <c r="AC8" s="36">
        <f>'FS Desroches Daily'!AZ10</f>
        <v>0</v>
      </c>
      <c r="AD8" s="36">
        <f>'FS Desroches Daily'!BB10</f>
        <v>0</v>
      </c>
      <c r="AE8" s="36">
        <f>'FS Desroches Daily'!BD10</f>
        <v>0</v>
      </c>
      <c r="AF8" s="32">
        <f>'FS Desroches Daily'!BF10</f>
        <v>0</v>
      </c>
      <c r="AG8" s="33">
        <f>'FS Desroches Daily'!BH10</f>
        <v>0</v>
      </c>
      <c r="AH8" s="33">
        <f>'FS Desroches Daily'!BJ10</f>
        <v>0</v>
      </c>
      <c r="AI8" s="33">
        <f>'FS Desroches Daily'!BL10</f>
        <v>0</v>
      </c>
      <c r="AJ8" s="33">
        <f>'FS Desroches Daily'!BN10</f>
        <v>0</v>
      </c>
      <c r="AK8" s="33">
        <f>'FS Desroches Daily'!BP10</f>
        <v>0</v>
      </c>
      <c r="AL8" s="33">
        <f>'FS Desroches Daily'!BR10</f>
        <v>0</v>
      </c>
      <c r="AM8" s="33">
        <f>'FS Desroches Daily'!BT10</f>
        <v>0</v>
      </c>
      <c r="AN8" s="33">
        <f>'FS Desroches Daily'!BV10</f>
        <v>0</v>
      </c>
      <c r="AO8" s="33">
        <f>'FS Desroches Daily'!BX10</f>
        <v>0</v>
      </c>
      <c r="AP8" s="33">
        <f>'FS Desroches Daily'!BZ10</f>
        <v>0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0</v>
      </c>
      <c r="AU8" s="32">
        <f>'FS Desroches Daily'!CJ10</f>
        <v>0</v>
      </c>
      <c r="AV8" s="32">
        <f>'FS Desroches Daily'!CL10</f>
        <v>0</v>
      </c>
      <c r="AW8" s="32">
        <f>'FS Desroches Daily'!CM10</f>
        <v>0</v>
      </c>
      <c r="AX8" s="32">
        <f>IF(LPG!F15-LPG!F14&lt;0,"0",(LPG!F15-LPG!F14)*1.8315)</f>
        <v>0</v>
      </c>
      <c r="AY8" s="32">
        <f>IF(LPG!H15-LPG!H14&lt;0,"0",(LPG!H15-LPG!H14)*1.8315)</f>
        <v>0</v>
      </c>
      <c r="AZ8" s="32">
        <f>IF(LPG!J15-LPG!J14&lt;0,"0",(LPG!J15-LPG!J14)*1.8315)</f>
        <v>0</v>
      </c>
      <c r="BA8" s="32">
        <f>IF(LPG!M15-LPG!M14&lt;0,"0",(LPG!M15-LPG!M14)*1.8315)</f>
        <v>0</v>
      </c>
      <c r="BB8" s="32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5</v>
      </c>
      <c r="D9" s="28">
        <v>2020</v>
      </c>
      <c r="E9" s="32">
        <f>'FS Desroches Daily'!D11</f>
        <v>0</v>
      </c>
      <c r="F9" s="33">
        <f>'FS Desroches Daily'!F11</f>
        <v>0</v>
      </c>
      <c r="G9" s="32">
        <f>'FS Desroches Daily'!H11</f>
        <v>0</v>
      </c>
      <c r="H9" s="33">
        <f>'FS Desroches Daily'!J11</f>
        <v>0</v>
      </c>
      <c r="I9" s="32">
        <f>'FS Desroches Daily'!L11</f>
        <v>0</v>
      </c>
      <c r="J9" s="33">
        <f>'FS Desroches Daily'!N11</f>
        <v>0</v>
      </c>
      <c r="K9" s="13">
        <f>'FS Desroches Daily'!P11</f>
        <v>0</v>
      </c>
      <c r="L9" s="32">
        <f>'FS Desroches Daily'!R11</f>
        <v>0</v>
      </c>
      <c r="M9" s="32">
        <f>'FS Desroches Daily'!T11</f>
        <v>0</v>
      </c>
      <c r="N9" s="32">
        <f>'FS Desroches Daily'!V11</f>
        <v>0</v>
      </c>
      <c r="O9" s="32">
        <f>'FS Desroches Daily'!X11</f>
        <v>0</v>
      </c>
      <c r="P9" s="32">
        <f>'FS Desroches Daily'!Z11</f>
        <v>0</v>
      </c>
      <c r="Q9" s="32">
        <f>'FS Desroches Daily'!AB11</f>
        <v>0</v>
      </c>
      <c r="R9" s="32">
        <f>'FS Desroches Daily'!AD11</f>
        <v>0</v>
      </c>
      <c r="S9" s="32">
        <f>'FS Desroches Daily'!AF11</f>
        <v>0</v>
      </c>
      <c r="T9" s="32">
        <f>'FS Desroches Daily'!AH11</f>
        <v>0</v>
      </c>
      <c r="U9" s="36">
        <f>'FS Desroches Daily'!AJ11</f>
        <v>0</v>
      </c>
      <c r="V9" s="36">
        <f>'FS Desroches Daily'!AL11</f>
        <v>0</v>
      </c>
      <c r="W9" s="36">
        <f>'FS Desroches Daily'!AN11</f>
        <v>0</v>
      </c>
      <c r="X9" s="36">
        <f>'FS Desroches Daily'!AP11</f>
        <v>0</v>
      </c>
      <c r="Y9" s="36">
        <f>'FS Desroches Daily'!AR11</f>
        <v>0</v>
      </c>
      <c r="Z9" s="36">
        <f>'FS Desroches Daily'!AT11</f>
        <v>0</v>
      </c>
      <c r="AA9" s="36">
        <f>'FS Desroches Daily'!AT11</f>
        <v>0</v>
      </c>
      <c r="AB9" s="36">
        <f>'FS Desroches Daily'!AV11</f>
        <v>0</v>
      </c>
      <c r="AC9" s="36">
        <f>'FS Desroches Daily'!AZ11</f>
        <v>0</v>
      </c>
      <c r="AD9" s="36">
        <f>'FS Desroches Daily'!BB11</f>
        <v>0</v>
      </c>
      <c r="AE9" s="36">
        <f>'FS Desroches Daily'!BD11</f>
        <v>0</v>
      </c>
      <c r="AF9" s="32">
        <f>'FS Desroches Daily'!BF11</f>
        <v>0</v>
      </c>
      <c r="AG9" s="33">
        <f>'FS Desroches Daily'!BH11</f>
        <v>0</v>
      </c>
      <c r="AH9" s="33">
        <f>'FS Desroches Daily'!BJ11</f>
        <v>0</v>
      </c>
      <c r="AI9" s="33">
        <f>'FS Desroches Daily'!BL11</f>
        <v>0</v>
      </c>
      <c r="AJ9" s="33">
        <f>'FS Desroches Daily'!BN11</f>
        <v>0</v>
      </c>
      <c r="AK9" s="33">
        <f>'FS Desroches Daily'!BP11</f>
        <v>0</v>
      </c>
      <c r="AL9" s="33">
        <f>'FS Desroches Daily'!BR11</f>
        <v>0</v>
      </c>
      <c r="AM9" s="33">
        <f>'FS Desroches Daily'!BT11</f>
        <v>0</v>
      </c>
      <c r="AN9" s="33">
        <f>'FS Desroches Daily'!BV11</f>
        <v>0</v>
      </c>
      <c r="AO9" s="33">
        <f>'FS Desroches Daily'!BX11</f>
        <v>0</v>
      </c>
      <c r="AP9" s="33">
        <f>'FS Desroches Daily'!BZ11</f>
        <v>0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0</v>
      </c>
      <c r="AU9" s="32">
        <f>'FS Desroches Daily'!CJ11</f>
        <v>0</v>
      </c>
      <c r="AV9" s="32">
        <f>'FS Desroches Daily'!CL11</f>
        <v>0</v>
      </c>
      <c r="AW9" s="32">
        <f>'FS Desroches Daily'!CM11</f>
        <v>0</v>
      </c>
      <c r="AX9" s="32">
        <f>IF(LPG!F16-LPG!F15&lt;0,"0",(LPG!F16-LPG!F15)*1.8315)</f>
        <v>0</v>
      </c>
      <c r="AY9" s="32">
        <f>IF(LPG!H16-LPG!H15&lt;0,"0",(LPG!H16-LPG!H15)*1.8315)</f>
        <v>0</v>
      </c>
      <c r="AZ9" s="32">
        <f>IF(LPG!J16-LPG!J15&lt;0,"0",(LPG!J16-LPG!J15)*1.8315)</f>
        <v>0</v>
      </c>
      <c r="BA9" s="32">
        <f>IF(LPG!M16-LPG!M15&lt;0,"0",(LPG!M16-LPG!M15)*1.8315)</f>
        <v>0</v>
      </c>
      <c r="BB9" s="32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5</v>
      </c>
      <c r="D10" s="28">
        <v>2020</v>
      </c>
      <c r="E10" s="32">
        <f>'FS Desroches Daily'!D12</f>
        <v>0</v>
      </c>
      <c r="F10" s="33">
        <f>'FS Desroches Daily'!F12</f>
        <v>0</v>
      </c>
      <c r="G10" s="32">
        <f>'FS Desroches Daily'!H12</f>
        <v>0</v>
      </c>
      <c r="H10" s="33">
        <f>'FS Desroches Daily'!J12</f>
        <v>0</v>
      </c>
      <c r="I10" s="32">
        <f>'FS Desroches Daily'!L12</f>
        <v>0</v>
      </c>
      <c r="J10" s="33">
        <f>'FS Desroches Daily'!N12</f>
        <v>0</v>
      </c>
      <c r="K10" s="13">
        <f>'FS Desroches Daily'!P12</f>
        <v>0</v>
      </c>
      <c r="L10" s="32">
        <f>'FS Desroches Daily'!R12</f>
        <v>0</v>
      </c>
      <c r="M10" s="32">
        <f>'FS Desroches Daily'!T12</f>
        <v>0</v>
      </c>
      <c r="N10" s="32">
        <f>'FS Desroches Daily'!V12</f>
        <v>0</v>
      </c>
      <c r="O10" s="32">
        <f>'FS Desroches Daily'!X12</f>
        <v>0</v>
      </c>
      <c r="P10" s="32">
        <f>'FS Desroches Daily'!Z12</f>
        <v>0</v>
      </c>
      <c r="Q10" s="32">
        <f>'FS Desroches Daily'!AB12</f>
        <v>0</v>
      </c>
      <c r="R10" s="32">
        <f>'FS Desroches Daily'!AD12</f>
        <v>0</v>
      </c>
      <c r="S10" s="32">
        <f>'FS Desroches Daily'!AF12</f>
        <v>0</v>
      </c>
      <c r="T10" s="32">
        <f>'FS Desroches Daily'!AH12</f>
        <v>0</v>
      </c>
      <c r="U10" s="36">
        <f>'FS Desroches Daily'!AJ12</f>
        <v>0</v>
      </c>
      <c r="V10" s="36">
        <f>'FS Desroches Daily'!AL12</f>
        <v>0</v>
      </c>
      <c r="W10" s="36">
        <f>'FS Desroches Daily'!AN12</f>
        <v>0</v>
      </c>
      <c r="X10" s="36">
        <f>'FS Desroches Daily'!AP12</f>
        <v>0</v>
      </c>
      <c r="Y10" s="36">
        <f>'FS Desroches Daily'!AR12</f>
        <v>0</v>
      </c>
      <c r="Z10" s="36">
        <f>'FS Desroches Daily'!AT12</f>
        <v>0</v>
      </c>
      <c r="AA10" s="36">
        <f>'FS Desroches Daily'!AT12</f>
        <v>0</v>
      </c>
      <c r="AB10" s="36">
        <f>'FS Desroches Daily'!AV12</f>
        <v>0</v>
      </c>
      <c r="AC10" s="36">
        <f>'FS Desroches Daily'!AZ12</f>
        <v>0</v>
      </c>
      <c r="AD10" s="36">
        <f>'FS Desroches Daily'!BB12</f>
        <v>0</v>
      </c>
      <c r="AE10" s="36">
        <f>'FS Desroches Daily'!BD12</f>
        <v>0</v>
      </c>
      <c r="AF10" s="32">
        <f>'FS Desroches Daily'!BF12</f>
        <v>0</v>
      </c>
      <c r="AG10" s="33">
        <f>'FS Desroches Daily'!BH12</f>
        <v>0</v>
      </c>
      <c r="AH10" s="33">
        <f>'FS Desroches Daily'!BJ12</f>
        <v>0</v>
      </c>
      <c r="AI10" s="33">
        <f>'FS Desroches Daily'!BL12</f>
        <v>0</v>
      </c>
      <c r="AJ10" s="33">
        <f>'FS Desroches Daily'!BN12</f>
        <v>0</v>
      </c>
      <c r="AK10" s="33">
        <f>'FS Desroches Daily'!BP12</f>
        <v>0</v>
      </c>
      <c r="AL10" s="33">
        <f>'FS Desroches Daily'!BR12</f>
        <v>0</v>
      </c>
      <c r="AM10" s="33">
        <f>'FS Desroches Daily'!BT12</f>
        <v>0</v>
      </c>
      <c r="AN10" s="33">
        <f>'FS Desroches Daily'!BV12</f>
        <v>0</v>
      </c>
      <c r="AO10" s="33">
        <f>'FS Desroches Daily'!BX12</f>
        <v>0</v>
      </c>
      <c r="AP10" s="33">
        <f>'FS Desroches Daily'!BZ12</f>
        <v>0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0</v>
      </c>
      <c r="AU10" s="32">
        <f>'FS Desroches Daily'!CJ12</f>
        <v>0</v>
      </c>
      <c r="AV10" s="32">
        <f>'FS Desroches Daily'!CL12</f>
        <v>0</v>
      </c>
      <c r="AW10" s="32">
        <f>'FS Desroches Daily'!CM12</f>
        <v>0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5</v>
      </c>
      <c r="D11" s="28">
        <v>2020</v>
      </c>
      <c r="E11" s="32">
        <f>'FS Desroches Daily'!D13</f>
        <v>0</v>
      </c>
      <c r="F11" s="33">
        <f>'FS Desroches Daily'!F13</f>
        <v>0</v>
      </c>
      <c r="G11" s="32">
        <f>'FS Desroches Daily'!H13</f>
        <v>0</v>
      </c>
      <c r="H11" s="33">
        <f>'FS Desroches Daily'!J13</f>
        <v>0</v>
      </c>
      <c r="I11" s="32">
        <f>'FS Desroches Daily'!L13</f>
        <v>0</v>
      </c>
      <c r="J11" s="33">
        <f>'FS Desroches Daily'!N13</f>
        <v>0</v>
      </c>
      <c r="K11" s="13">
        <f>'FS Desroches Daily'!P13</f>
        <v>0</v>
      </c>
      <c r="L11" s="32">
        <f>'FS Desroches Daily'!R13</f>
        <v>0</v>
      </c>
      <c r="M11" s="32">
        <f>'FS Desroches Daily'!T13</f>
        <v>0</v>
      </c>
      <c r="N11" s="32">
        <f>'FS Desroches Daily'!V13</f>
        <v>0</v>
      </c>
      <c r="O11" s="32">
        <f>'FS Desroches Daily'!X13</f>
        <v>0</v>
      </c>
      <c r="P11" s="32">
        <f>'FS Desroches Daily'!Z13</f>
        <v>0</v>
      </c>
      <c r="Q11" s="32">
        <f>'FS Desroches Daily'!AB13</f>
        <v>0</v>
      </c>
      <c r="R11" s="32">
        <f>'FS Desroches Daily'!AD13</f>
        <v>0</v>
      </c>
      <c r="S11" s="32">
        <f>'FS Desroches Daily'!AF13</f>
        <v>0</v>
      </c>
      <c r="T11" s="32">
        <f>'FS Desroches Daily'!AH13</f>
        <v>0</v>
      </c>
      <c r="U11" s="36">
        <f>'FS Desroches Daily'!AJ13</f>
        <v>0</v>
      </c>
      <c r="V11" s="36">
        <f>'FS Desroches Daily'!AL13</f>
        <v>0</v>
      </c>
      <c r="W11" s="36">
        <f>'FS Desroches Daily'!AN13</f>
        <v>0</v>
      </c>
      <c r="X11" s="36">
        <f>'FS Desroches Daily'!AP13</f>
        <v>0</v>
      </c>
      <c r="Y11" s="36">
        <f>'FS Desroches Daily'!AR13</f>
        <v>0</v>
      </c>
      <c r="Z11" s="36">
        <f>'FS Desroches Daily'!AT13</f>
        <v>0</v>
      </c>
      <c r="AA11" s="36">
        <f>'FS Desroches Daily'!AT13</f>
        <v>0</v>
      </c>
      <c r="AB11" s="36">
        <f>'FS Desroches Daily'!AV13</f>
        <v>0</v>
      </c>
      <c r="AC11" s="36">
        <f>'FS Desroches Daily'!AZ13</f>
        <v>0</v>
      </c>
      <c r="AD11" s="36">
        <f>'FS Desroches Daily'!BB13</f>
        <v>0</v>
      </c>
      <c r="AE11" s="36">
        <f>'FS Desroches Daily'!BD13</f>
        <v>0</v>
      </c>
      <c r="AF11" s="32">
        <f>'FS Desroches Daily'!BF13</f>
        <v>0</v>
      </c>
      <c r="AG11" s="33">
        <f>'FS Desroches Daily'!BH13</f>
        <v>0</v>
      </c>
      <c r="AH11" s="33">
        <f>'FS Desroches Daily'!BJ13</f>
        <v>0</v>
      </c>
      <c r="AI11" s="33">
        <f>'FS Desroches Daily'!BL13</f>
        <v>0</v>
      </c>
      <c r="AJ11" s="33">
        <f>'FS Desroches Daily'!BN13</f>
        <v>0</v>
      </c>
      <c r="AK11" s="33">
        <f>'FS Desroches Daily'!BP13</f>
        <v>0</v>
      </c>
      <c r="AL11" s="33">
        <f>'FS Desroches Daily'!BR13</f>
        <v>0</v>
      </c>
      <c r="AM11" s="33">
        <f>'FS Desroches Daily'!BT13</f>
        <v>0</v>
      </c>
      <c r="AN11" s="33">
        <f>'FS Desroches Daily'!BV13</f>
        <v>0</v>
      </c>
      <c r="AO11" s="33">
        <f>'FS Desroches Daily'!BX13</f>
        <v>0</v>
      </c>
      <c r="AP11" s="33">
        <f>'FS Desroches Daily'!BZ13</f>
        <v>0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0</v>
      </c>
      <c r="AU11" s="32">
        <f>'FS Desroches Daily'!CJ13</f>
        <v>0</v>
      </c>
      <c r="AV11" s="32">
        <f>'FS Desroches Daily'!CL13</f>
        <v>0</v>
      </c>
      <c r="AW11" s="32">
        <f>'FS Desroches Daily'!CM13</f>
        <v>0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5</v>
      </c>
      <c r="D12" s="28">
        <v>2020</v>
      </c>
      <c r="E12" s="32">
        <f>'FS Desroches Daily'!D14</f>
        <v>0</v>
      </c>
      <c r="F12" s="33">
        <f>'FS Desroches Daily'!F14</f>
        <v>0</v>
      </c>
      <c r="G12" s="32">
        <f>'FS Desroches Daily'!H14</f>
        <v>0</v>
      </c>
      <c r="H12" s="33">
        <f>'FS Desroches Daily'!J14</f>
        <v>0</v>
      </c>
      <c r="I12" s="32">
        <f>'FS Desroches Daily'!L14</f>
        <v>0</v>
      </c>
      <c r="J12" s="33">
        <f>'FS Desroches Daily'!N14</f>
        <v>0</v>
      </c>
      <c r="K12" s="13">
        <f>'FS Desroches Daily'!P14</f>
        <v>0</v>
      </c>
      <c r="L12" s="32">
        <f>'FS Desroches Daily'!R14</f>
        <v>0</v>
      </c>
      <c r="M12" s="32">
        <f>'FS Desroches Daily'!T14</f>
        <v>0</v>
      </c>
      <c r="N12" s="32">
        <f>'FS Desroches Daily'!V14</f>
        <v>0</v>
      </c>
      <c r="O12" s="32">
        <f>'FS Desroches Daily'!X14</f>
        <v>0</v>
      </c>
      <c r="P12" s="32">
        <f>'FS Desroches Daily'!Z14</f>
        <v>0</v>
      </c>
      <c r="Q12" s="32">
        <f>'FS Desroches Daily'!AB14</f>
        <v>0</v>
      </c>
      <c r="R12" s="32">
        <f>'FS Desroches Daily'!AD14</f>
        <v>0</v>
      </c>
      <c r="S12" s="32">
        <f>'FS Desroches Daily'!AF14</f>
        <v>0</v>
      </c>
      <c r="T12" s="32">
        <f>'FS Desroches Daily'!AH14</f>
        <v>0</v>
      </c>
      <c r="U12" s="36">
        <f>'FS Desroches Daily'!AJ14</f>
        <v>0</v>
      </c>
      <c r="V12" s="36">
        <f>'FS Desroches Daily'!AL14</f>
        <v>0</v>
      </c>
      <c r="W12" s="36">
        <f>'FS Desroches Daily'!AN14</f>
        <v>0</v>
      </c>
      <c r="X12" s="36">
        <f>'FS Desroches Daily'!AP14</f>
        <v>0</v>
      </c>
      <c r="Y12" s="36">
        <f>'FS Desroches Daily'!AR14</f>
        <v>0</v>
      </c>
      <c r="Z12" s="36">
        <f>'FS Desroches Daily'!AT14</f>
        <v>0</v>
      </c>
      <c r="AA12" s="36">
        <f>'FS Desroches Daily'!AT14</f>
        <v>0</v>
      </c>
      <c r="AB12" s="36">
        <f>'FS Desroches Daily'!AV14</f>
        <v>0</v>
      </c>
      <c r="AC12" s="36">
        <f>'FS Desroches Daily'!AZ14</f>
        <v>0</v>
      </c>
      <c r="AD12" s="36">
        <f>'FS Desroches Daily'!BB14</f>
        <v>0</v>
      </c>
      <c r="AE12" s="36">
        <f>'FS Desroches Daily'!BD14</f>
        <v>0</v>
      </c>
      <c r="AF12" s="32">
        <f>'FS Desroches Daily'!BF14</f>
        <v>0</v>
      </c>
      <c r="AG12" s="33">
        <f>'FS Desroches Daily'!BH14</f>
        <v>0</v>
      </c>
      <c r="AH12" s="33">
        <f>'FS Desroches Daily'!BJ14</f>
        <v>0</v>
      </c>
      <c r="AI12" s="33">
        <f>'FS Desroches Daily'!BL14</f>
        <v>0</v>
      </c>
      <c r="AJ12" s="33">
        <f>'FS Desroches Daily'!BN14</f>
        <v>0</v>
      </c>
      <c r="AK12" s="33">
        <f>'FS Desroches Daily'!BP14</f>
        <v>0</v>
      </c>
      <c r="AL12" s="33">
        <f>'FS Desroches Daily'!BR14</f>
        <v>0</v>
      </c>
      <c r="AM12" s="33">
        <f>'FS Desroches Daily'!BT14</f>
        <v>0</v>
      </c>
      <c r="AN12" s="33">
        <f>'FS Desroches Daily'!BV14</f>
        <v>0</v>
      </c>
      <c r="AO12" s="33">
        <f>'FS Desroches Daily'!BX14</f>
        <v>0</v>
      </c>
      <c r="AP12" s="33">
        <f>'FS Desroches Daily'!BZ14</f>
        <v>0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0</v>
      </c>
      <c r="AU12" s="32">
        <f>'FS Desroches Daily'!CJ14</f>
        <v>0</v>
      </c>
      <c r="AV12" s="32">
        <f>'FS Desroches Daily'!CL14</f>
        <v>0</v>
      </c>
      <c r="AW12" s="32">
        <f>'FS Desroches Daily'!CM14</f>
        <v>0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5</v>
      </c>
      <c r="D13" s="28">
        <v>2020</v>
      </c>
      <c r="E13" s="32">
        <f>'FS Desroches Daily'!D15</f>
        <v>0</v>
      </c>
      <c r="F13" s="33">
        <f>'FS Desroches Daily'!F15</f>
        <v>0</v>
      </c>
      <c r="G13" s="32">
        <f>'FS Desroches Daily'!H15</f>
        <v>0</v>
      </c>
      <c r="H13" s="33">
        <f>'FS Desroches Daily'!J15</f>
        <v>0</v>
      </c>
      <c r="I13" s="32">
        <f>'FS Desroches Daily'!L15</f>
        <v>0</v>
      </c>
      <c r="J13" s="33">
        <f>'FS Desroches Daily'!N15</f>
        <v>0</v>
      </c>
      <c r="K13" s="13">
        <f>'FS Desroches Daily'!P15</f>
        <v>0</v>
      </c>
      <c r="L13" s="32">
        <f>'FS Desroches Daily'!R15</f>
        <v>0</v>
      </c>
      <c r="M13" s="32">
        <f>'FS Desroches Daily'!T15</f>
        <v>0</v>
      </c>
      <c r="N13" s="32">
        <f>'FS Desroches Daily'!V15</f>
        <v>0</v>
      </c>
      <c r="O13" s="32">
        <f>'FS Desroches Daily'!X15</f>
        <v>0</v>
      </c>
      <c r="P13" s="32">
        <f>'FS Desroches Daily'!Z15</f>
        <v>0</v>
      </c>
      <c r="Q13" s="32">
        <f>'FS Desroches Daily'!AB15</f>
        <v>0</v>
      </c>
      <c r="R13" s="32">
        <f>'FS Desroches Daily'!AD15</f>
        <v>0</v>
      </c>
      <c r="S13" s="32">
        <f>'FS Desroches Daily'!AF15</f>
        <v>0</v>
      </c>
      <c r="T13" s="32">
        <f>'FS Desroches Daily'!AH15</f>
        <v>0</v>
      </c>
      <c r="U13" s="36">
        <f>'FS Desroches Daily'!AJ15</f>
        <v>0</v>
      </c>
      <c r="V13" s="36">
        <f>'FS Desroches Daily'!AL15</f>
        <v>0</v>
      </c>
      <c r="W13" s="36">
        <f>'FS Desroches Daily'!AN15</f>
        <v>0</v>
      </c>
      <c r="X13" s="36">
        <f>'FS Desroches Daily'!AP15</f>
        <v>0</v>
      </c>
      <c r="Y13" s="36">
        <f>'FS Desroches Daily'!AR15</f>
        <v>0</v>
      </c>
      <c r="Z13" s="36">
        <f>'FS Desroches Daily'!AT15</f>
        <v>0</v>
      </c>
      <c r="AA13" s="36">
        <f>'FS Desroches Daily'!AT15</f>
        <v>0</v>
      </c>
      <c r="AB13" s="36">
        <f>'FS Desroches Daily'!AV15</f>
        <v>0</v>
      </c>
      <c r="AC13" s="36">
        <f>'FS Desroches Daily'!AZ15</f>
        <v>0</v>
      </c>
      <c r="AD13" s="36">
        <f>'FS Desroches Daily'!BB15</f>
        <v>0</v>
      </c>
      <c r="AE13" s="36">
        <f>'FS Desroches Daily'!BD15</f>
        <v>0</v>
      </c>
      <c r="AF13" s="32">
        <f>'FS Desroches Daily'!BF15</f>
        <v>0</v>
      </c>
      <c r="AG13" s="33">
        <f>'FS Desroches Daily'!BH15</f>
        <v>0</v>
      </c>
      <c r="AH13" s="33">
        <f>'FS Desroches Daily'!BJ15</f>
        <v>0</v>
      </c>
      <c r="AI13" s="33">
        <f>'FS Desroches Daily'!BL15</f>
        <v>0</v>
      </c>
      <c r="AJ13" s="33">
        <f>'FS Desroches Daily'!BN15</f>
        <v>0</v>
      </c>
      <c r="AK13" s="33">
        <f>'FS Desroches Daily'!BP15</f>
        <v>0</v>
      </c>
      <c r="AL13" s="33">
        <f>'FS Desroches Daily'!BR15</f>
        <v>0</v>
      </c>
      <c r="AM13" s="33">
        <f>'FS Desroches Daily'!BT15</f>
        <v>0</v>
      </c>
      <c r="AN13" s="33">
        <f>'FS Desroches Daily'!BV15</f>
        <v>0</v>
      </c>
      <c r="AO13" s="33">
        <f>'FS Desroches Daily'!BX15</f>
        <v>0</v>
      </c>
      <c r="AP13" s="33">
        <f>'FS Desroches Daily'!BZ15</f>
        <v>0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0</v>
      </c>
      <c r="AU13" s="32">
        <f>'FS Desroches Daily'!CJ15</f>
        <v>0</v>
      </c>
      <c r="AV13" s="32">
        <f>'FS Desroches Daily'!CL15</f>
        <v>0</v>
      </c>
      <c r="AW13" s="32">
        <f>'FS Desroches Daily'!CM15</f>
        <v>0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5</v>
      </c>
      <c r="D14" s="28">
        <v>2020</v>
      </c>
      <c r="E14" s="32">
        <f>'FS Desroches Daily'!D16</f>
        <v>0</v>
      </c>
      <c r="F14" s="33">
        <f>'FS Desroches Daily'!F16</f>
        <v>0</v>
      </c>
      <c r="G14" s="32">
        <f>'FS Desroches Daily'!H16</f>
        <v>0</v>
      </c>
      <c r="H14" s="33">
        <f>'FS Desroches Daily'!J16</f>
        <v>0</v>
      </c>
      <c r="I14" s="32">
        <f>'FS Desroches Daily'!L16</f>
        <v>0</v>
      </c>
      <c r="J14" s="33">
        <f>'FS Desroches Daily'!N16</f>
        <v>0</v>
      </c>
      <c r="K14" s="13">
        <f>'FS Desroches Daily'!P16</f>
        <v>0</v>
      </c>
      <c r="L14" s="32">
        <f>'FS Desroches Daily'!R16</f>
        <v>0</v>
      </c>
      <c r="M14" s="32">
        <f>'FS Desroches Daily'!T16</f>
        <v>0</v>
      </c>
      <c r="N14" s="32">
        <f>'FS Desroches Daily'!V16</f>
        <v>0</v>
      </c>
      <c r="O14" s="32">
        <f>'FS Desroches Daily'!X16</f>
        <v>0</v>
      </c>
      <c r="P14" s="32">
        <f>'FS Desroches Daily'!Z16</f>
        <v>0</v>
      </c>
      <c r="Q14" s="32">
        <f>'FS Desroches Daily'!AB16</f>
        <v>0</v>
      </c>
      <c r="R14" s="32">
        <f>'FS Desroches Daily'!AD16</f>
        <v>0</v>
      </c>
      <c r="S14" s="32">
        <f>'FS Desroches Daily'!AF16</f>
        <v>0</v>
      </c>
      <c r="T14" s="32">
        <f>'FS Desroches Daily'!AH16</f>
        <v>0</v>
      </c>
      <c r="U14" s="36">
        <f>'FS Desroches Daily'!AJ16</f>
        <v>0</v>
      </c>
      <c r="V14" s="36">
        <f>'FS Desroches Daily'!AL16</f>
        <v>0</v>
      </c>
      <c r="W14" s="36">
        <f>'FS Desroches Daily'!AN16</f>
        <v>0</v>
      </c>
      <c r="X14" s="36">
        <f>'FS Desroches Daily'!AP16</f>
        <v>0</v>
      </c>
      <c r="Y14" s="36">
        <f>'FS Desroches Daily'!AR16</f>
        <v>0</v>
      </c>
      <c r="Z14" s="36">
        <f>'FS Desroches Daily'!AT16</f>
        <v>0</v>
      </c>
      <c r="AA14" s="36">
        <f>'FS Desroches Daily'!AT16</f>
        <v>0</v>
      </c>
      <c r="AB14" s="36">
        <f>'FS Desroches Daily'!AV16</f>
        <v>0</v>
      </c>
      <c r="AC14" s="36">
        <f>'FS Desroches Daily'!AZ16</f>
        <v>0</v>
      </c>
      <c r="AD14" s="36">
        <f>'FS Desroches Daily'!BB16</f>
        <v>0</v>
      </c>
      <c r="AE14" s="36">
        <f>'FS Desroches Daily'!BD16</f>
        <v>0</v>
      </c>
      <c r="AF14" s="32">
        <f>'FS Desroches Daily'!BF16</f>
        <v>0</v>
      </c>
      <c r="AG14" s="33">
        <f>'FS Desroches Daily'!BH16</f>
        <v>0</v>
      </c>
      <c r="AH14" s="33">
        <f>'FS Desroches Daily'!BJ16</f>
        <v>0</v>
      </c>
      <c r="AI14" s="33">
        <f>'FS Desroches Daily'!BL16</f>
        <v>0</v>
      </c>
      <c r="AJ14" s="33">
        <f>'FS Desroches Daily'!BN16</f>
        <v>0</v>
      </c>
      <c r="AK14" s="33">
        <f>'FS Desroches Daily'!BP16</f>
        <v>0</v>
      </c>
      <c r="AL14" s="33">
        <f>'FS Desroches Daily'!BR16</f>
        <v>0</v>
      </c>
      <c r="AM14" s="33">
        <f>'FS Desroches Daily'!BT16</f>
        <v>0</v>
      </c>
      <c r="AN14" s="33">
        <f>'FS Desroches Daily'!BV16</f>
        <v>0</v>
      </c>
      <c r="AO14" s="33">
        <f>'FS Desroches Daily'!BX16</f>
        <v>0</v>
      </c>
      <c r="AP14" s="33">
        <f>'FS Desroches Daily'!BZ16</f>
        <v>0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0</v>
      </c>
      <c r="AU14" s="32">
        <f>'FS Desroches Daily'!CJ16</f>
        <v>0</v>
      </c>
      <c r="AV14" s="32">
        <f>'FS Desroches Daily'!CL16</f>
        <v>0</v>
      </c>
      <c r="AW14" s="32">
        <f>'FS Desroches Daily'!CM16</f>
        <v>0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5</v>
      </c>
      <c r="D15" s="28">
        <v>2020</v>
      </c>
      <c r="E15" s="32">
        <f>'FS Desroches Daily'!D17</f>
        <v>0</v>
      </c>
      <c r="F15" s="33">
        <f>'FS Desroches Daily'!F17</f>
        <v>0</v>
      </c>
      <c r="G15" s="32">
        <f>'FS Desroches Daily'!H17</f>
        <v>0</v>
      </c>
      <c r="H15" s="33">
        <f>'FS Desroches Daily'!J17</f>
        <v>0</v>
      </c>
      <c r="I15" s="32">
        <f>'FS Desroches Daily'!L17</f>
        <v>0</v>
      </c>
      <c r="J15" s="33">
        <f>'FS Desroches Daily'!N17</f>
        <v>0</v>
      </c>
      <c r="K15" s="13">
        <f>'FS Desroches Daily'!P17</f>
        <v>0</v>
      </c>
      <c r="L15" s="32">
        <f>'FS Desroches Daily'!R17</f>
        <v>0</v>
      </c>
      <c r="M15" s="32">
        <f>'FS Desroches Daily'!T17</f>
        <v>0</v>
      </c>
      <c r="N15" s="32">
        <f>'FS Desroches Daily'!V17</f>
        <v>0</v>
      </c>
      <c r="O15" s="32">
        <f>'FS Desroches Daily'!X17</f>
        <v>0</v>
      </c>
      <c r="P15" s="32">
        <f>'FS Desroches Daily'!Z17</f>
        <v>0</v>
      </c>
      <c r="Q15" s="32">
        <f>'FS Desroches Daily'!AB17</f>
        <v>0</v>
      </c>
      <c r="R15" s="32">
        <f>'FS Desroches Daily'!AD17</f>
        <v>0</v>
      </c>
      <c r="S15" s="32">
        <f>'FS Desroches Daily'!AF17</f>
        <v>0</v>
      </c>
      <c r="T15" s="32">
        <f>'FS Desroches Daily'!AH17</f>
        <v>0</v>
      </c>
      <c r="U15" s="36">
        <f>'FS Desroches Daily'!AJ17</f>
        <v>0</v>
      </c>
      <c r="V15" s="36">
        <f>'FS Desroches Daily'!AL17</f>
        <v>0</v>
      </c>
      <c r="W15" s="36">
        <f>'FS Desroches Daily'!AN17</f>
        <v>0</v>
      </c>
      <c r="X15" s="36">
        <f>'FS Desroches Daily'!AP17</f>
        <v>0</v>
      </c>
      <c r="Y15" s="36">
        <f>'FS Desroches Daily'!AR17</f>
        <v>0</v>
      </c>
      <c r="Z15" s="36">
        <f>'FS Desroches Daily'!AT17</f>
        <v>0</v>
      </c>
      <c r="AA15" s="36">
        <f>'FS Desroches Daily'!AT17</f>
        <v>0</v>
      </c>
      <c r="AB15" s="36">
        <f>'FS Desroches Daily'!AV17</f>
        <v>0</v>
      </c>
      <c r="AC15" s="36">
        <f>'FS Desroches Daily'!AZ17</f>
        <v>0</v>
      </c>
      <c r="AD15" s="36">
        <f>'FS Desroches Daily'!BB17</f>
        <v>0</v>
      </c>
      <c r="AE15" s="36">
        <f>'FS Desroches Daily'!BD17</f>
        <v>0</v>
      </c>
      <c r="AF15" s="32">
        <f>'FS Desroches Daily'!BF17</f>
        <v>0</v>
      </c>
      <c r="AG15" s="33">
        <f>'FS Desroches Daily'!BH17</f>
        <v>0</v>
      </c>
      <c r="AH15" s="33">
        <f>'FS Desroches Daily'!BJ17</f>
        <v>0</v>
      </c>
      <c r="AI15" s="33">
        <f>'FS Desroches Daily'!BL17</f>
        <v>0</v>
      </c>
      <c r="AJ15" s="33">
        <f>'FS Desroches Daily'!BN17</f>
        <v>0</v>
      </c>
      <c r="AK15" s="33">
        <f>'FS Desroches Daily'!BP17</f>
        <v>0</v>
      </c>
      <c r="AL15" s="33">
        <f>'FS Desroches Daily'!BR17</f>
        <v>0</v>
      </c>
      <c r="AM15" s="33">
        <f>'FS Desroches Daily'!BT17</f>
        <v>0</v>
      </c>
      <c r="AN15" s="33">
        <f>'FS Desroches Daily'!BV17</f>
        <v>0</v>
      </c>
      <c r="AO15" s="33">
        <f>'FS Desroches Daily'!BX17</f>
        <v>0</v>
      </c>
      <c r="AP15" s="33">
        <f>'FS Desroches Daily'!BZ17</f>
        <v>0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0</v>
      </c>
      <c r="AU15" s="32">
        <f>'FS Desroches Daily'!CJ17</f>
        <v>0</v>
      </c>
      <c r="AV15" s="32">
        <f>'FS Desroches Daily'!CL17</f>
        <v>0</v>
      </c>
      <c r="AW15" s="32">
        <f>'FS Desroches Daily'!CM17</f>
        <v>0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5</v>
      </c>
      <c r="D16" s="28">
        <v>2020</v>
      </c>
      <c r="E16" s="32">
        <f>'FS Desroches Daily'!D18</f>
        <v>0</v>
      </c>
      <c r="F16" s="33">
        <f>'FS Desroches Daily'!F18</f>
        <v>0</v>
      </c>
      <c r="G16" s="32">
        <f>'FS Desroches Daily'!H18</f>
        <v>0</v>
      </c>
      <c r="H16" s="33">
        <f>'FS Desroches Daily'!J18</f>
        <v>0</v>
      </c>
      <c r="I16" s="32">
        <f>'FS Desroches Daily'!L18</f>
        <v>0</v>
      </c>
      <c r="J16" s="33">
        <f>'FS Desroches Daily'!N18</f>
        <v>0</v>
      </c>
      <c r="K16" s="13">
        <f>'FS Desroches Daily'!P18</f>
        <v>0</v>
      </c>
      <c r="L16" s="32">
        <f>'FS Desroches Daily'!R18</f>
        <v>0</v>
      </c>
      <c r="M16" s="32">
        <f>'FS Desroches Daily'!T18</f>
        <v>0</v>
      </c>
      <c r="N16" s="32">
        <f>'FS Desroches Daily'!V18</f>
        <v>0</v>
      </c>
      <c r="O16" s="32">
        <f>'FS Desroches Daily'!X18</f>
        <v>0</v>
      </c>
      <c r="P16" s="32">
        <f>'FS Desroches Daily'!Z18</f>
        <v>0</v>
      </c>
      <c r="Q16" s="32">
        <f>'FS Desroches Daily'!AB18</f>
        <v>0</v>
      </c>
      <c r="R16" s="32">
        <f>'FS Desroches Daily'!AD18</f>
        <v>0</v>
      </c>
      <c r="S16" s="32">
        <f>'FS Desroches Daily'!AF18</f>
        <v>0</v>
      </c>
      <c r="T16" s="32">
        <f>'FS Desroches Daily'!AH18</f>
        <v>0</v>
      </c>
      <c r="U16" s="36">
        <f>'FS Desroches Daily'!AJ18</f>
        <v>0</v>
      </c>
      <c r="V16" s="36">
        <f>'FS Desroches Daily'!AL18</f>
        <v>0</v>
      </c>
      <c r="W16" s="36">
        <f>'FS Desroches Daily'!AN18</f>
        <v>0</v>
      </c>
      <c r="X16" s="36">
        <f>'FS Desroches Daily'!AP18</f>
        <v>0</v>
      </c>
      <c r="Y16" s="36">
        <f>'FS Desroches Daily'!AR18</f>
        <v>0</v>
      </c>
      <c r="Z16" s="36">
        <f>'FS Desroches Daily'!AT18</f>
        <v>0</v>
      </c>
      <c r="AA16" s="36">
        <f>'FS Desroches Daily'!AT18</f>
        <v>0</v>
      </c>
      <c r="AB16" s="36">
        <f>'FS Desroches Daily'!AV18</f>
        <v>0</v>
      </c>
      <c r="AC16" s="36">
        <f>'FS Desroches Daily'!AZ18</f>
        <v>0</v>
      </c>
      <c r="AD16" s="36">
        <f>'FS Desroches Daily'!BB18</f>
        <v>0</v>
      </c>
      <c r="AE16" s="36">
        <f>'FS Desroches Daily'!BD18</f>
        <v>0</v>
      </c>
      <c r="AF16" s="32">
        <f>'FS Desroches Daily'!BF18</f>
        <v>0</v>
      </c>
      <c r="AG16" s="33">
        <f>'FS Desroches Daily'!BH18</f>
        <v>0</v>
      </c>
      <c r="AH16" s="33">
        <f>'FS Desroches Daily'!BJ18</f>
        <v>0</v>
      </c>
      <c r="AI16" s="33">
        <f>'FS Desroches Daily'!BL18</f>
        <v>0</v>
      </c>
      <c r="AJ16" s="33">
        <f>'FS Desroches Daily'!BN18</f>
        <v>0</v>
      </c>
      <c r="AK16" s="33">
        <f>'FS Desroches Daily'!BP18</f>
        <v>0</v>
      </c>
      <c r="AL16" s="33">
        <f>'FS Desroches Daily'!BR18</f>
        <v>0</v>
      </c>
      <c r="AM16" s="33">
        <f>'FS Desroches Daily'!BT18</f>
        <v>0</v>
      </c>
      <c r="AN16" s="33">
        <f>'FS Desroches Daily'!BV18</f>
        <v>0</v>
      </c>
      <c r="AO16" s="33">
        <f>'FS Desroches Daily'!BX18</f>
        <v>0</v>
      </c>
      <c r="AP16" s="33">
        <f>'FS Desroches Daily'!BZ18</f>
        <v>0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0</v>
      </c>
      <c r="AU16" s="32">
        <f>'FS Desroches Daily'!CJ18</f>
        <v>0</v>
      </c>
      <c r="AV16" s="32">
        <f>'FS Desroches Daily'!CL18</f>
        <v>0</v>
      </c>
      <c r="AW16" s="32">
        <f>'FS Desroches Daily'!CM18</f>
        <v>0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5</v>
      </c>
      <c r="D17" s="28">
        <v>2020</v>
      </c>
      <c r="E17" s="32">
        <f>'FS Desroches Daily'!D19</f>
        <v>0</v>
      </c>
      <c r="F17" s="33">
        <f>'FS Desroches Daily'!F19</f>
        <v>0</v>
      </c>
      <c r="G17" s="32">
        <f>'FS Desroches Daily'!H19</f>
        <v>0</v>
      </c>
      <c r="H17" s="33">
        <f>'FS Desroches Daily'!J19</f>
        <v>0</v>
      </c>
      <c r="I17" s="32">
        <f>'FS Desroches Daily'!L19</f>
        <v>0</v>
      </c>
      <c r="J17" s="33">
        <f>'FS Desroches Daily'!N19</f>
        <v>0</v>
      </c>
      <c r="K17" s="13">
        <f>'FS Desroches Daily'!P19</f>
        <v>0</v>
      </c>
      <c r="L17" s="32">
        <f>'FS Desroches Daily'!R19</f>
        <v>0</v>
      </c>
      <c r="M17" s="32">
        <f>'FS Desroches Daily'!T19</f>
        <v>0</v>
      </c>
      <c r="N17" s="32">
        <f>'FS Desroches Daily'!V19</f>
        <v>0</v>
      </c>
      <c r="O17" s="32">
        <f>'FS Desroches Daily'!X19</f>
        <v>0</v>
      </c>
      <c r="P17" s="32">
        <f>'FS Desroches Daily'!Z19</f>
        <v>0</v>
      </c>
      <c r="Q17" s="32">
        <f>'FS Desroches Daily'!AB19</f>
        <v>0</v>
      </c>
      <c r="R17" s="32">
        <f>'FS Desroches Daily'!AD19</f>
        <v>0</v>
      </c>
      <c r="S17" s="32">
        <f>'FS Desroches Daily'!AF19</f>
        <v>0</v>
      </c>
      <c r="T17" s="32">
        <f>'FS Desroches Daily'!AH19</f>
        <v>0</v>
      </c>
      <c r="U17" s="36">
        <f>'FS Desroches Daily'!AJ19</f>
        <v>0</v>
      </c>
      <c r="V17" s="36">
        <f>'FS Desroches Daily'!AL19</f>
        <v>0</v>
      </c>
      <c r="W17" s="36">
        <f>'FS Desroches Daily'!AN19</f>
        <v>0</v>
      </c>
      <c r="X17" s="36">
        <f>'FS Desroches Daily'!AP19</f>
        <v>0</v>
      </c>
      <c r="Y17" s="36">
        <f>'FS Desroches Daily'!AR19</f>
        <v>0</v>
      </c>
      <c r="Z17" s="36">
        <f>'FS Desroches Daily'!AU20</f>
        <v>0</v>
      </c>
      <c r="AA17" s="36">
        <f>'FS Desroches Daily'!AU20</f>
        <v>0</v>
      </c>
      <c r="AB17" s="36">
        <f>'FS Desroches Daily'!AV19</f>
        <v>0</v>
      </c>
      <c r="AC17" s="36">
        <f>'FS Desroches Daily'!AZ19</f>
        <v>0</v>
      </c>
      <c r="AD17" s="36">
        <f>'FS Desroches Daily'!BB19</f>
        <v>0</v>
      </c>
      <c r="AE17" s="36">
        <f>'FS Desroches Daily'!BD19</f>
        <v>0</v>
      </c>
      <c r="AF17" s="32">
        <f>'FS Desroches Daily'!BF19</f>
        <v>0</v>
      </c>
      <c r="AG17" s="33">
        <f>'FS Desroches Daily'!BH19</f>
        <v>0</v>
      </c>
      <c r="AH17" s="33">
        <f>'FS Desroches Daily'!BJ19</f>
        <v>0</v>
      </c>
      <c r="AI17" s="33">
        <f>'FS Desroches Daily'!BL19</f>
        <v>0</v>
      </c>
      <c r="AJ17" s="33">
        <f>'FS Desroches Daily'!BN19</f>
        <v>0</v>
      </c>
      <c r="AK17" s="33">
        <f>'FS Desroches Daily'!BP19</f>
        <v>0</v>
      </c>
      <c r="AL17" s="33">
        <f>'FS Desroches Daily'!BR19</f>
        <v>0</v>
      </c>
      <c r="AM17" s="33">
        <f>'FS Desroches Daily'!BT19</f>
        <v>0</v>
      </c>
      <c r="AN17" s="33">
        <f>'FS Desroches Daily'!BV19</f>
        <v>0</v>
      </c>
      <c r="AO17" s="33">
        <f>'FS Desroches Daily'!BX19</f>
        <v>0</v>
      </c>
      <c r="AP17" s="33">
        <f>'FS Desroches Daily'!BZ19</f>
        <v>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0</v>
      </c>
      <c r="AU17" s="32">
        <f>'FS Desroches Daily'!CJ19</f>
        <v>0</v>
      </c>
      <c r="AV17" s="32">
        <f>'FS Desroches Daily'!CL19</f>
        <v>0</v>
      </c>
      <c r="AW17" s="32">
        <f>'FS Desroches Daily'!CM19</f>
        <v>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5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5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5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5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5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5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5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5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5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5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5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5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5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5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5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8000.0000000000073</v>
      </c>
      <c r="F33" s="17">
        <f t="shared" ref="F33:BC33" si="1">SUM(F2:F32)</f>
        <v>4800.0000000003593</v>
      </c>
      <c r="G33" s="17">
        <f t="shared" si="1"/>
        <v>8900.0000000001291</v>
      </c>
      <c r="H33" s="17">
        <f t="shared" si="1"/>
        <v>6299.9999999999727</v>
      </c>
      <c r="I33" s="17">
        <f t="shared" si="1"/>
        <v>11400.000000000078</v>
      </c>
      <c r="J33" s="17">
        <f t="shared" si="1"/>
        <v>5400.0000000000719</v>
      </c>
      <c r="K33" s="17">
        <f t="shared" si="1"/>
        <v>0</v>
      </c>
      <c r="L33" s="17">
        <f t="shared" si="1"/>
        <v>30</v>
      </c>
      <c r="M33" s="17">
        <f t="shared" si="1"/>
        <v>948.59999999997672</v>
      </c>
      <c r="N33" s="17">
        <f t="shared" si="1"/>
        <v>605.29999999998836</v>
      </c>
      <c r="O33" s="17">
        <f t="shared" si="1"/>
        <v>1070.00000000005</v>
      </c>
      <c r="P33" s="17">
        <f t="shared" si="1"/>
        <v>3100.0000000003251</v>
      </c>
      <c r="Q33" s="17">
        <f t="shared" si="1"/>
        <v>509.99999999999091</v>
      </c>
      <c r="R33" s="17">
        <f t="shared" si="1"/>
        <v>1629.9999999999955</v>
      </c>
      <c r="S33" s="17">
        <f t="shared" si="1"/>
        <v>2779.9999999999727</v>
      </c>
      <c r="T33" s="17">
        <f t="shared" si="1"/>
        <v>4.8999999999998636</v>
      </c>
      <c r="U33" s="36">
        <f t="shared" si="1"/>
        <v>1510.0000000000477</v>
      </c>
      <c r="V33" s="36">
        <f t="shared" si="1"/>
        <v>0.87999999999999545</v>
      </c>
      <c r="W33" s="36">
        <f t="shared" si="1"/>
        <v>0.62999999999999545</v>
      </c>
      <c r="X33" s="36">
        <f t="shared" si="1"/>
        <v>0.59999999999999432</v>
      </c>
      <c r="Y33" s="36">
        <f t="shared" si="1"/>
        <v>479.99999999998977</v>
      </c>
      <c r="Z33" s="36">
        <f t="shared" si="1"/>
        <v>550.00000000001137</v>
      </c>
      <c r="AA33" s="36">
        <f t="shared" si="1"/>
        <v>550.00000000001137</v>
      </c>
      <c r="AB33" s="36">
        <f t="shared" si="1"/>
        <v>509.99999999999091</v>
      </c>
      <c r="AC33" s="36">
        <f t="shared" si="1"/>
        <v>500</v>
      </c>
      <c r="AD33" s="36">
        <f t="shared" si="1"/>
        <v>419.99999999995907</v>
      </c>
      <c r="AE33" s="36">
        <f t="shared" si="1"/>
        <v>49.999999999982947</v>
      </c>
      <c r="AF33" s="17">
        <f t="shared" si="1"/>
        <v>169</v>
      </c>
      <c r="AG33" s="33">
        <f t="shared" si="1"/>
        <v>170.00000000001592</v>
      </c>
      <c r="AH33" s="33">
        <f t="shared" si="1"/>
        <v>200.00000000004547</v>
      </c>
      <c r="AI33" s="33">
        <f t="shared" si="1"/>
        <v>169.99999999998749</v>
      </c>
      <c r="AJ33" s="33">
        <f t="shared" si="1"/>
        <v>209.99999999997954</v>
      </c>
      <c r="AK33" s="33">
        <f t="shared" si="1"/>
        <v>250</v>
      </c>
      <c r="AL33" s="33">
        <f t="shared" si="1"/>
        <v>129</v>
      </c>
      <c r="AM33" s="33">
        <f t="shared" si="1"/>
        <v>129.99999999999545</v>
      </c>
      <c r="AN33" s="33">
        <f t="shared" si="1"/>
        <v>124</v>
      </c>
      <c r="AO33" s="33">
        <f t="shared" si="1"/>
        <v>169.99999999998749</v>
      </c>
      <c r="AP33" s="33">
        <f t="shared" si="1"/>
        <v>186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319.70000000000437</v>
      </c>
      <c r="AU33" s="17">
        <f t="shared" si="1"/>
        <v>1145</v>
      </c>
      <c r="AV33" s="17">
        <f t="shared" si="1"/>
        <v>1969.9999999999136</v>
      </c>
      <c r="AW33" s="17">
        <f t="shared" si="1"/>
        <v>133</v>
      </c>
      <c r="AX33" s="17">
        <f t="shared" si="1"/>
        <v>0</v>
      </c>
      <c r="AY33" s="17">
        <f t="shared" si="1"/>
        <v>0</v>
      </c>
      <c r="AZ33" s="17" t="e">
        <f t="shared" si="1"/>
        <v>#REF!</v>
      </c>
      <c r="BA33" s="17">
        <f t="shared" si="1"/>
        <v>0</v>
      </c>
      <c r="BB33" s="17">
        <f t="shared" si="1"/>
        <v>36.629999999999995</v>
      </c>
      <c r="BC33" s="17">
        <f t="shared" si="1"/>
        <v>0</v>
      </c>
    </row>
    <row r="35" spans="5:55" x14ac:dyDescent="0.25">
      <c r="E35" s="39">
        <f>E33/E37</f>
        <v>0.32602494090797263</v>
      </c>
      <c r="G35" s="30">
        <f>G33-M36</f>
        <v>7346.1000000001641</v>
      </c>
      <c r="AE35" s="36">
        <f>SUM(U33:AE33)</f>
        <v>4572.1099999999933</v>
      </c>
      <c r="AG35" s="33">
        <f>SUM(AG33:AP33)</f>
        <v>1739.0000000000114</v>
      </c>
    </row>
    <row r="36" spans="5:55" x14ac:dyDescent="0.25">
      <c r="G36" s="30">
        <f>G35-633*14</f>
        <v>-1515.8999999998359</v>
      </c>
      <c r="M36" s="30">
        <f>M33+N33</f>
        <v>1553.8999999999651</v>
      </c>
    </row>
    <row r="37" spans="5:55" x14ac:dyDescent="0.25">
      <c r="E37" s="17">
        <f>E33+F33+G33+H33+J33-633*14</f>
        <v>24538.000000000538</v>
      </c>
      <c r="G37" s="38">
        <f>M36/E37</f>
        <v>6.3326269459610854E-2</v>
      </c>
      <c r="M37" s="36">
        <f>AE35</f>
        <v>4572.1099999999933</v>
      </c>
    </row>
    <row r="38" spans="5:55" x14ac:dyDescent="0.25">
      <c r="L38" s="28">
        <f>M38/E37</f>
        <v>7.0869671529870948E-2</v>
      </c>
      <c r="M38" s="30">
        <f>AG35</f>
        <v>1739.0000000000114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abSelected="1" zoomScale="60" zoomScaleNormal="60" workbookViewId="0">
      <pane ySplit="1" topLeftCell="A2" activePane="bottomLeft" state="frozen"/>
      <selection pane="bottomLeft" activeCell="BE14" sqref="BE14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38</v>
      </c>
      <c r="B1" s="45"/>
      <c r="C1" s="75" t="s">
        <v>14</v>
      </c>
      <c r="D1" s="76"/>
      <c r="E1" s="75" t="s">
        <v>15</v>
      </c>
      <c r="F1" s="76"/>
      <c r="G1" s="75" t="s">
        <v>16</v>
      </c>
      <c r="H1" s="76"/>
      <c r="I1" s="75" t="s">
        <v>137</v>
      </c>
      <c r="J1" s="76"/>
      <c r="K1" s="75" t="s">
        <v>17</v>
      </c>
      <c r="L1" s="76"/>
      <c r="M1" s="75" t="s">
        <v>18</v>
      </c>
      <c r="N1" s="76"/>
      <c r="O1" s="75" t="s">
        <v>19</v>
      </c>
      <c r="P1" s="76"/>
      <c r="Q1" s="75" t="s">
        <v>20</v>
      </c>
      <c r="R1" s="76"/>
      <c r="S1" s="75" t="s">
        <v>118</v>
      </c>
      <c r="T1" s="76"/>
      <c r="U1" s="75" t="s">
        <v>119</v>
      </c>
      <c r="V1" s="76"/>
      <c r="W1" s="77" t="s">
        <v>120</v>
      </c>
      <c r="X1" s="78"/>
      <c r="Y1" s="75" t="s">
        <v>121</v>
      </c>
      <c r="Z1" s="76"/>
      <c r="AA1" s="75" t="s">
        <v>122</v>
      </c>
      <c r="AB1" s="76"/>
      <c r="AC1" s="75" t="s">
        <v>123</v>
      </c>
      <c r="AD1" s="76"/>
      <c r="AE1" s="75" t="s">
        <v>124</v>
      </c>
      <c r="AF1" s="76"/>
      <c r="AG1" s="75" t="s">
        <v>21</v>
      </c>
      <c r="AH1" s="76"/>
      <c r="AI1" s="75" t="s">
        <v>125</v>
      </c>
      <c r="AJ1" s="76"/>
      <c r="AK1" s="75" t="s">
        <v>126</v>
      </c>
      <c r="AL1" s="76"/>
      <c r="AM1" s="75" t="s">
        <v>127</v>
      </c>
      <c r="AN1" s="76"/>
      <c r="AO1" s="75" t="s">
        <v>128</v>
      </c>
      <c r="AP1" s="76"/>
      <c r="AQ1" s="75" t="s">
        <v>129</v>
      </c>
      <c r="AR1" s="76"/>
      <c r="AS1" s="75" t="s">
        <v>130</v>
      </c>
      <c r="AT1" s="76"/>
      <c r="AU1" s="75" t="s">
        <v>136</v>
      </c>
      <c r="AV1" s="76"/>
      <c r="AW1" s="75" t="s">
        <v>135</v>
      </c>
      <c r="AX1" s="76"/>
      <c r="AY1" s="75" t="s">
        <v>134</v>
      </c>
      <c r="AZ1" s="76"/>
      <c r="BA1" s="75" t="s">
        <v>133</v>
      </c>
      <c r="BB1" s="76"/>
      <c r="BC1" s="75" t="s">
        <v>22</v>
      </c>
      <c r="BD1" s="76"/>
      <c r="BE1" s="75" t="s">
        <v>131</v>
      </c>
      <c r="BF1" s="76"/>
      <c r="BG1" s="75" t="s">
        <v>23</v>
      </c>
      <c r="BH1" s="76"/>
      <c r="BI1" s="75" t="s">
        <v>24</v>
      </c>
      <c r="BJ1" s="76"/>
      <c r="BK1" s="75" t="s">
        <v>25</v>
      </c>
      <c r="BL1" s="76"/>
      <c r="BM1" s="75" t="s">
        <v>26</v>
      </c>
      <c r="BN1" s="76"/>
      <c r="BO1" s="75" t="s">
        <v>27</v>
      </c>
      <c r="BP1" s="76"/>
      <c r="BQ1" s="75" t="s">
        <v>28</v>
      </c>
      <c r="BR1" s="76"/>
      <c r="BS1" s="75" t="s">
        <v>29</v>
      </c>
      <c r="BT1" s="76"/>
      <c r="BU1" s="75" t="s">
        <v>30</v>
      </c>
      <c r="BV1" s="76"/>
      <c r="BW1" s="75" t="s">
        <v>31</v>
      </c>
      <c r="BX1" s="76"/>
      <c r="BY1" s="75" t="s">
        <v>32</v>
      </c>
      <c r="BZ1" s="76"/>
      <c r="CA1" s="75" t="s">
        <v>132</v>
      </c>
      <c r="CB1" s="76"/>
      <c r="CC1" s="75" t="s">
        <v>33</v>
      </c>
      <c r="CD1" s="76"/>
      <c r="CE1" s="75" t="s">
        <v>34</v>
      </c>
      <c r="CF1" s="76"/>
      <c r="CG1" s="75" t="s">
        <v>35</v>
      </c>
      <c r="CH1" s="76"/>
      <c r="CI1" s="75" t="s">
        <v>49</v>
      </c>
      <c r="CJ1" s="76"/>
      <c r="CK1" s="75" t="s">
        <v>37</v>
      </c>
      <c r="CL1" s="76"/>
      <c r="CM1" s="46" t="s">
        <v>47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44</v>
      </c>
      <c r="D2" s="52" t="s">
        <v>39</v>
      </c>
      <c r="E2" s="51" t="s">
        <v>44</v>
      </c>
      <c r="F2" s="53" t="s">
        <v>39</v>
      </c>
      <c r="G2" s="51" t="s">
        <v>44</v>
      </c>
      <c r="H2" s="54" t="s">
        <v>39</v>
      </c>
      <c r="I2" s="54" t="s">
        <v>46</v>
      </c>
      <c r="J2" s="54" t="s">
        <v>39</v>
      </c>
      <c r="K2" s="51" t="s">
        <v>44</v>
      </c>
      <c r="L2" s="54" t="s">
        <v>39</v>
      </c>
      <c r="M2" s="54" t="s">
        <v>45</v>
      </c>
      <c r="N2" s="54" t="s">
        <v>39</v>
      </c>
      <c r="O2" s="54" t="s">
        <v>40</v>
      </c>
      <c r="P2" s="54" t="s">
        <v>39</v>
      </c>
      <c r="Q2" s="54" t="s">
        <v>40</v>
      </c>
      <c r="R2" s="54" t="s">
        <v>39</v>
      </c>
      <c r="S2" s="54" t="s">
        <v>40</v>
      </c>
      <c r="T2" s="54" t="s">
        <v>39</v>
      </c>
      <c r="U2" s="54" t="s">
        <v>40</v>
      </c>
      <c r="V2" s="54" t="s">
        <v>39</v>
      </c>
      <c r="W2" s="54" t="s">
        <v>45</v>
      </c>
      <c r="X2" s="54" t="s">
        <v>39</v>
      </c>
      <c r="Y2" s="54" t="s">
        <v>46</v>
      </c>
      <c r="Z2" s="54" t="s">
        <v>39</v>
      </c>
      <c r="AA2" s="54" t="s">
        <v>45</v>
      </c>
      <c r="AB2" s="54" t="s">
        <v>39</v>
      </c>
      <c r="AC2" s="54" t="s">
        <v>45</v>
      </c>
      <c r="AD2" s="54" t="s">
        <v>39</v>
      </c>
      <c r="AE2" s="54" t="s">
        <v>45</v>
      </c>
      <c r="AF2" s="54" t="s">
        <v>39</v>
      </c>
      <c r="AG2" s="54" t="s">
        <v>40</v>
      </c>
      <c r="AH2" s="54" t="s">
        <v>39</v>
      </c>
      <c r="AI2" s="54" t="s">
        <v>45</v>
      </c>
      <c r="AJ2" s="54" t="s">
        <v>39</v>
      </c>
      <c r="AK2" s="54" t="s">
        <v>40</v>
      </c>
      <c r="AL2" s="54" t="s">
        <v>39</v>
      </c>
      <c r="AM2" s="54" t="s">
        <v>40</v>
      </c>
      <c r="AN2" s="54" t="s">
        <v>39</v>
      </c>
      <c r="AO2" s="54" t="s">
        <v>40</v>
      </c>
      <c r="AP2" s="54" t="s">
        <v>39</v>
      </c>
      <c r="AQ2" s="54" t="s">
        <v>45</v>
      </c>
      <c r="AR2" s="54" t="s">
        <v>39</v>
      </c>
      <c r="AS2" s="54" t="s">
        <v>45</v>
      </c>
      <c r="AT2" s="54" t="s">
        <v>39</v>
      </c>
      <c r="AU2" s="54" t="s">
        <v>45</v>
      </c>
      <c r="AV2" s="54" t="s">
        <v>39</v>
      </c>
      <c r="AW2" s="54" t="s">
        <v>45</v>
      </c>
      <c r="AX2" s="54" t="s">
        <v>39</v>
      </c>
      <c r="AY2" s="54" t="s">
        <v>45</v>
      </c>
      <c r="AZ2" s="54" t="s">
        <v>39</v>
      </c>
      <c r="BA2" s="54" t="s">
        <v>43</v>
      </c>
      <c r="BB2" s="54" t="s">
        <v>39</v>
      </c>
      <c r="BC2" s="54" t="s">
        <v>43</v>
      </c>
      <c r="BD2" s="54" t="s">
        <v>39</v>
      </c>
      <c r="BE2" s="54" t="s">
        <v>40</v>
      </c>
      <c r="BF2" s="54" t="s">
        <v>39</v>
      </c>
      <c r="BG2" s="54" t="s">
        <v>43</v>
      </c>
      <c r="BH2" s="54" t="s">
        <v>39</v>
      </c>
      <c r="BI2" s="54" t="s">
        <v>43</v>
      </c>
      <c r="BJ2" s="54" t="s">
        <v>39</v>
      </c>
      <c r="BK2" s="54" t="s">
        <v>43</v>
      </c>
      <c r="BL2" s="54" t="s">
        <v>39</v>
      </c>
      <c r="BM2" s="54" t="s">
        <v>43</v>
      </c>
      <c r="BN2" s="54" t="s">
        <v>39</v>
      </c>
      <c r="BO2" s="54" t="s">
        <v>43</v>
      </c>
      <c r="BP2" s="54" t="s">
        <v>39</v>
      </c>
      <c r="BQ2" s="54" t="s">
        <v>40</v>
      </c>
      <c r="BR2" s="54" t="s">
        <v>39</v>
      </c>
      <c r="BS2" s="54" t="s">
        <v>43</v>
      </c>
      <c r="BT2" s="54" t="s">
        <v>39</v>
      </c>
      <c r="BU2" s="54" t="s">
        <v>40</v>
      </c>
      <c r="BV2" s="54" t="s">
        <v>39</v>
      </c>
      <c r="BW2" s="54" t="s">
        <v>43</v>
      </c>
      <c r="BX2" s="54" t="s">
        <v>39</v>
      </c>
      <c r="BY2" s="54" t="s">
        <v>40</v>
      </c>
      <c r="BZ2" s="54" t="s">
        <v>39</v>
      </c>
      <c r="CA2" s="54" t="s">
        <v>40</v>
      </c>
      <c r="CB2" s="54" t="s">
        <v>39</v>
      </c>
      <c r="CC2" s="54" t="s">
        <v>40</v>
      </c>
      <c r="CD2" s="54" t="s">
        <v>39</v>
      </c>
      <c r="CE2" s="54" t="s">
        <v>40</v>
      </c>
      <c r="CF2" s="54" t="s">
        <v>39</v>
      </c>
      <c r="CG2" s="54" t="s">
        <v>40</v>
      </c>
      <c r="CH2" s="54" t="s">
        <v>39</v>
      </c>
      <c r="CI2" s="54" t="s">
        <v>40</v>
      </c>
      <c r="CJ2" s="54" t="s">
        <v>39</v>
      </c>
      <c r="CK2" s="55" t="s">
        <v>45</v>
      </c>
      <c r="CL2" s="56" t="s">
        <v>39</v>
      </c>
      <c r="CM2" s="57" t="s">
        <v>48</v>
      </c>
      <c r="CN2" s="58" t="s">
        <v>41</v>
      </c>
      <c r="CO2" s="58" t="s">
        <v>42</v>
      </c>
    </row>
    <row r="3" spans="1:93" ht="25.5" customHeight="1" thickBot="1" x14ac:dyDescent="0.45">
      <c r="A3" s="65">
        <v>43951</v>
      </c>
      <c r="B3" s="70"/>
      <c r="C3" s="60">
        <v>1.6661999999999999</v>
      </c>
      <c r="D3" s="66"/>
      <c r="E3" s="60">
        <v>2.6827999999999999</v>
      </c>
      <c r="F3" s="66"/>
      <c r="G3" s="60">
        <v>2.4979</v>
      </c>
      <c r="H3" s="66"/>
      <c r="I3" s="60">
        <v>1.1938</v>
      </c>
      <c r="J3" s="66"/>
      <c r="K3" s="60">
        <v>1.8312999999999999</v>
      </c>
      <c r="L3" s="66"/>
      <c r="M3" s="60">
        <v>1.1695</v>
      </c>
      <c r="N3" s="66"/>
      <c r="O3" s="60">
        <v>12541</v>
      </c>
      <c r="P3" s="69"/>
      <c r="Q3" s="60">
        <v>5269</v>
      </c>
      <c r="R3" s="69"/>
      <c r="S3" s="60">
        <v>825614</v>
      </c>
      <c r="T3" s="69"/>
      <c r="U3" s="60">
        <v>334731</v>
      </c>
      <c r="V3" s="69"/>
      <c r="W3" s="60">
        <v>326.64</v>
      </c>
      <c r="X3" s="67"/>
      <c r="Y3" s="60">
        <v>2.3725999999999998</v>
      </c>
      <c r="Z3" s="67"/>
      <c r="AA3" s="60">
        <v>323.95</v>
      </c>
      <c r="AB3" s="67"/>
      <c r="AC3" s="60">
        <v>299</v>
      </c>
      <c r="AD3" s="67"/>
      <c r="AE3" s="60">
        <v>466.92</v>
      </c>
      <c r="AF3" s="67"/>
      <c r="AG3" s="60">
        <v>1195.7</v>
      </c>
      <c r="AH3" s="69"/>
      <c r="AI3" s="60">
        <v>409.28</v>
      </c>
      <c r="AJ3" s="67"/>
      <c r="AK3" s="60">
        <v>145.75</v>
      </c>
      <c r="AL3" s="67"/>
      <c r="AM3" s="60">
        <v>146.57</v>
      </c>
      <c r="AN3" s="67"/>
      <c r="AO3" s="60">
        <v>143.06</v>
      </c>
      <c r="AP3" s="67"/>
      <c r="AQ3" s="60">
        <v>214.5</v>
      </c>
      <c r="AR3" s="67"/>
      <c r="AS3" s="60">
        <v>341.01</v>
      </c>
      <c r="AT3" s="67"/>
      <c r="AU3" s="60">
        <v>263</v>
      </c>
      <c r="AV3" s="67"/>
      <c r="AW3" s="60">
        <v>290.60000000000002</v>
      </c>
      <c r="AX3" s="67"/>
      <c r="AY3" s="60">
        <v>341.54</v>
      </c>
      <c r="AZ3" s="67"/>
      <c r="BA3" s="60">
        <v>361.79</v>
      </c>
      <c r="BB3" s="67"/>
      <c r="BC3" s="60">
        <v>203.18</v>
      </c>
      <c r="BD3" s="67"/>
      <c r="BE3" s="61">
        <v>27899</v>
      </c>
      <c r="BF3" s="69"/>
      <c r="BG3" s="62">
        <v>223.42</v>
      </c>
      <c r="BH3" s="67"/>
      <c r="BI3" s="62">
        <v>281.02999999999997</v>
      </c>
      <c r="BJ3" s="67"/>
      <c r="BK3" s="62">
        <v>229.02</v>
      </c>
      <c r="BL3" s="67"/>
      <c r="BM3" s="62">
        <v>211.96</v>
      </c>
      <c r="BN3" s="67"/>
      <c r="BO3" s="62">
        <v>276.23</v>
      </c>
      <c r="BP3" s="67"/>
      <c r="BQ3" s="62">
        <v>37988</v>
      </c>
      <c r="BR3" s="67"/>
      <c r="BS3" s="62">
        <v>192.34</v>
      </c>
      <c r="BT3" s="67"/>
      <c r="BU3" s="62">
        <v>28985</v>
      </c>
      <c r="BV3" s="67"/>
      <c r="BW3" s="62">
        <v>222.34</v>
      </c>
      <c r="BX3" s="67"/>
      <c r="BY3" s="62">
        <v>47448</v>
      </c>
      <c r="BZ3" s="67"/>
      <c r="CA3" s="62">
        <v>27500.7</v>
      </c>
      <c r="CB3" s="69"/>
      <c r="CC3" s="62">
        <v>11250.4</v>
      </c>
      <c r="CD3" s="69"/>
      <c r="CE3" s="62">
        <v>5487.5</v>
      </c>
      <c r="CF3" s="69"/>
      <c r="CG3" s="62">
        <v>43397.599999999999</v>
      </c>
      <c r="CH3" s="69"/>
      <c r="CI3" s="62">
        <v>849693</v>
      </c>
      <c r="CJ3" s="69"/>
      <c r="CK3" s="62">
        <v>554.96</v>
      </c>
      <c r="CL3" s="66"/>
      <c r="CM3" s="67">
        <v>29.5</v>
      </c>
      <c r="CN3" s="64">
        <v>0</v>
      </c>
      <c r="CO3" s="64">
        <v>0</v>
      </c>
    </row>
    <row r="4" spans="1:93" ht="25.5" customHeight="1" thickBot="1" x14ac:dyDescent="0.45">
      <c r="A4" s="65">
        <v>43952</v>
      </c>
      <c r="B4" s="70"/>
      <c r="C4" s="60">
        <v>1.6676</v>
      </c>
      <c r="D4" s="66">
        <f t="shared" ref="D4" si="0">IF((C4-C3&lt;0), "0",(C4-C3)*1000000)</f>
        <v>1400.0000000000678</v>
      </c>
      <c r="E4" s="60">
        <v>2.6837</v>
      </c>
      <c r="F4" s="66">
        <f t="shared" ref="F4" si="1">IF((E4-E3&lt;0), "0",(E4-E3)*1000000)</f>
        <v>900.0000000001229</v>
      </c>
      <c r="G4" s="60">
        <v>2.4996999999999998</v>
      </c>
      <c r="H4" s="66">
        <f t="shared" ref="H4" si="2">IF((G4-G3&lt;0), "0",(G4-G3)*1000000)</f>
        <v>1799.9999999998017</v>
      </c>
      <c r="I4" s="60">
        <v>1.1950000000000001</v>
      </c>
      <c r="J4" s="66">
        <f t="shared" ref="J4" si="3">IF((I4-I3&lt;0), "0",(I4-I3)*1000000)</f>
        <v>1200.0000000000898</v>
      </c>
      <c r="K4" s="60">
        <v>1.8333999999999999</v>
      </c>
      <c r="L4" s="66">
        <f t="shared" ref="L4" si="4">IF((K4-K3&lt;0), "0",(K4-K3)*1000000)</f>
        <v>2099.9999999999909</v>
      </c>
      <c r="M4" s="60">
        <v>1.1705000000000001</v>
      </c>
      <c r="N4" s="66">
        <f t="shared" ref="N4" si="5">IF((M4-M3&lt;0), "",(M4-M3)*1000000)</f>
        <v>1000.0000000001119</v>
      </c>
      <c r="O4" s="60">
        <v>12541</v>
      </c>
      <c r="P4" s="69">
        <f>IF((O4-O3&lt;0), "",O4-O3)</f>
        <v>0</v>
      </c>
      <c r="Q4" s="60">
        <v>5273</v>
      </c>
      <c r="R4" s="69">
        <f t="shared" ref="R4" si="6">IF((Q4-Q3&lt;0), "",Q4-Q3)</f>
        <v>4</v>
      </c>
      <c r="S4" s="60">
        <v>825875</v>
      </c>
      <c r="T4" s="69">
        <f t="shared" ref="T4" si="7">IF((S4-S3&lt;0), "",S4-S3)</f>
        <v>261</v>
      </c>
      <c r="U4" s="60">
        <v>334846</v>
      </c>
      <c r="V4" s="69">
        <f t="shared" ref="V4" si="8">IF((U4-U3&lt;0), "",U4-U3)</f>
        <v>115</v>
      </c>
      <c r="W4" s="60">
        <v>326.82</v>
      </c>
      <c r="X4" s="67">
        <f t="shared" ref="X4" si="9">IF((W4-W3&lt;0), "",(W4-W3)*1000)</f>
        <v>180.00000000000682</v>
      </c>
      <c r="Y4" s="60">
        <v>2.3732000000000002</v>
      </c>
      <c r="Z4" s="67">
        <f t="shared" ref="Z4" si="10">IF((Y4-Y3&lt;0), "",(Y4-Y3)*1000000)</f>
        <v>600.00000000037801</v>
      </c>
      <c r="AA4" s="60">
        <v>324.02999999999997</v>
      </c>
      <c r="AB4" s="67">
        <f t="shared" ref="AB4" si="11">IF((AA4-AA3&lt;0), "",(AA4-AA3)*1000)</f>
        <v>79.999999999984084</v>
      </c>
      <c r="AC4" s="60">
        <v>299.27999999999997</v>
      </c>
      <c r="AD4" s="67">
        <f t="shared" ref="AD4" si="12">IF((AC4-AC3&lt;0), "",(AC4-AC3)*1000)</f>
        <v>279.99999999997272</v>
      </c>
      <c r="AE4" s="60">
        <v>467.42</v>
      </c>
      <c r="AF4" s="67">
        <f t="shared" ref="AF4" si="13">IF((AE4-AE3&lt;0), "",(AE4-AE3)*1000)</f>
        <v>500</v>
      </c>
      <c r="AG4" s="60">
        <v>1196.5999999999999</v>
      </c>
      <c r="AH4" s="69">
        <f t="shared" ref="AH4" si="14">IF((AG4-AG3&lt;0), "",AG4-AG3)</f>
        <v>0.89999999999986358</v>
      </c>
      <c r="AI4" s="60">
        <v>409.6</v>
      </c>
      <c r="AJ4" s="67">
        <f t="shared" ref="AJ4" si="15">IF((AI4-AI3&lt;0), "",(AI4-AI3)*1000)</f>
        <v>320.00000000005002</v>
      </c>
      <c r="AK4" s="60">
        <v>145.88</v>
      </c>
      <c r="AL4" s="67">
        <f t="shared" ref="AL4" si="16">IF((AK4-AK3&lt;0), "",AK4-AK3)</f>
        <v>0.12999999999999545</v>
      </c>
      <c r="AM4" s="60">
        <v>146.66999999999999</v>
      </c>
      <c r="AN4" s="67">
        <f t="shared" ref="AN4" si="17">IF((AM4-AM3&lt;0), "",AM4-AM3)</f>
        <v>9.9999999999994316E-2</v>
      </c>
      <c r="AO4" s="60">
        <v>143.15</v>
      </c>
      <c r="AP4" s="67">
        <f t="shared" ref="AP4" si="18">IF((AO4-AO3&lt;0), "",AO4-AO3)</f>
        <v>9.0000000000003411E-2</v>
      </c>
      <c r="AQ4" s="60">
        <v>214.57</v>
      </c>
      <c r="AR4" s="67">
        <f t="shared" ref="AR4" si="19">IF((AQ4-AQ3&lt;0), "",(AQ4-AQ3)*1000)</f>
        <v>69.999999999993179</v>
      </c>
      <c r="AS4" s="60">
        <v>341.1</v>
      </c>
      <c r="AT4" s="67">
        <f t="shared" ref="AT4" si="20">IF((AS4-AS3&lt;0), "",(AS4-AS3)*1000)</f>
        <v>90.000000000031832</v>
      </c>
      <c r="AU4" s="60">
        <v>263.08</v>
      </c>
      <c r="AV4" s="67">
        <f t="shared" ref="AV4" si="21">IF((AU4-AU3&lt;0), "",(AU4-AU3)*1000)</f>
        <v>79.999999999984084</v>
      </c>
      <c r="AW4" s="60">
        <v>290.66000000000003</v>
      </c>
      <c r="AX4" s="67">
        <f t="shared" ref="AX4" si="22">IF((AW4-AW3&lt;0), "",(AW4-AW3)*1000)</f>
        <v>60.000000000002274</v>
      </c>
      <c r="AY4" s="60">
        <v>341.62</v>
      </c>
      <c r="AZ4" s="67">
        <f t="shared" ref="AZ4" si="23">IF((AY4-AY3&lt;0), "",(AY4-AY3)*1000)</f>
        <v>79.999999999984084</v>
      </c>
      <c r="BA4" s="60">
        <v>361.86</v>
      </c>
      <c r="BB4" s="67">
        <f t="shared" ref="BB4" si="24">IF((BA4-BA3&lt;0), "",(BA4-BA3)*1000)</f>
        <v>69.999999999993179</v>
      </c>
      <c r="BC4" s="60">
        <v>203.19</v>
      </c>
      <c r="BD4" s="67">
        <f t="shared" ref="BD4" si="25">IF((BC4-BC3&lt;0), "",(BC4-BC3)*1000)</f>
        <v>9.9999999999909051</v>
      </c>
      <c r="BE4" s="61">
        <v>27931</v>
      </c>
      <c r="BF4" s="69">
        <f>IF((BE4-BE3&lt;0), "",BE4-BE3)</f>
        <v>32</v>
      </c>
      <c r="BG4" s="62">
        <v>223.46</v>
      </c>
      <c r="BH4" s="67">
        <f t="shared" ref="BH4" si="26">IF((BG4-BG3&lt;0), "",(BG4-BG3)*1000)</f>
        <v>40.000000000020464</v>
      </c>
      <c r="BI4" s="62">
        <v>281.06</v>
      </c>
      <c r="BJ4" s="67">
        <f t="shared" ref="BJ4" si="27">IF((BI4-BI3&lt;0), "",(BI4-BI3)*1000)</f>
        <v>30.000000000029559</v>
      </c>
      <c r="BK4" s="62">
        <v>229.05</v>
      </c>
      <c r="BL4" s="67">
        <f t="shared" ref="BL4" si="28">IF((BK4-BK3&lt;0), "",(BK4-BK3)*1000)</f>
        <v>30.000000000001137</v>
      </c>
      <c r="BM4" s="62">
        <v>212</v>
      </c>
      <c r="BN4" s="67">
        <f t="shared" ref="BN4" si="29">IF((BM4-BM3&lt;0), "",(BM4-BM3)*1000)</f>
        <v>39.999999999992042</v>
      </c>
      <c r="BO4" s="62">
        <v>276.27</v>
      </c>
      <c r="BP4" s="67">
        <f t="shared" ref="BP4" si="30">IF((BO4-BO3&lt;0), "",(BO4-BO3)*1000)</f>
        <v>39.99999999996362</v>
      </c>
      <c r="BQ4" s="62">
        <v>38012</v>
      </c>
      <c r="BR4" s="67">
        <f t="shared" ref="BR4" si="31">IF((BQ4-BQ3&lt;0), "",BQ4-BQ3)</f>
        <v>24</v>
      </c>
      <c r="BS4" s="62">
        <v>192.37</v>
      </c>
      <c r="BT4" s="67">
        <f t="shared" ref="BT4" si="32">IF((BS4-BS3&lt;0), "",(BS4-BS3)*1000)</f>
        <v>30.000000000001137</v>
      </c>
      <c r="BU4" s="62">
        <v>29006</v>
      </c>
      <c r="BV4" s="67">
        <f t="shared" ref="BV4" si="33">IF((BU4-BU3&lt;0), "",BU4-BU3)</f>
        <v>21</v>
      </c>
      <c r="BW4" s="62">
        <v>222.38</v>
      </c>
      <c r="BX4" s="67">
        <f t="shared" ref="BX4" si="34">IF((BW4-BW3&lt;0), "",(BW4-BW3)*1000)</f>
        <v>39.999999999992042</v>
      </c>
      <c r="BY4" s="62">
        <v>47483</v>
      </c>
      <c r="BZ4" s="69">
        <f t="shared" ref="BZ4" si="35">IF((BY4-BY3&lt;0), "",BY4-BY3)</f>
        <v>35</v>
      </c>
      <c r="CA4" s="62">
        <v>27500.7</v>
      </c>
      <c r="CB4" s="69">
        <f t="shared" ref="CB4" si="36">IF((CA4-CA3&lt;0), "",CA4-CA3)</f>
        <v>0</v>
      </c>
      <c r="CC4" s="62">
        <v>11250.4</v>
      </c>
      <c r="CD4" s="69">
        <f t="shared" ref="CD4" si="37">IF((CC4-CC3&lt;0), "",CC4-CC3)</f>
        <v>0</v>
      </c>
      <c r="CE4" s="62">
        <v>5487.5</v>
      </c>
      <c r="CF4" s="69">
        <f t="shared" ref="CF4" si="38">IF((CE4-CE3&lt;0), "",CE4-CE3)</f>
        <v>0</v>
      </c>
      <c r="CG4" s="62">
        <v>43459.5</v>
      </c>
      <c r="CH4" s="69">
        <f t="shared" ref="CH4" si="39">IF((CG4-CG3&lt;0), "",CG4-CG3)</f>
        <v>61.900000000001455</v>
      </c>
      <c r="CI4" s="62">
        <v>849890</v>
      </c>
      <c r="CJ4" s="69">
        <f t="shared" ref="CJ4" si="40">IF((CI4-CI3&lt;0), "",CI4-CI3)</f>
        <v>197</v>
      </c>
      <c r="CK4" s="62">
        <v>555.4</v>
      </c>
      <c r="CL4" s="66">
        <f t="shared" ref="CL4" si="41">IF((CK4-CK3&lt;0), "",(CK4-CK3)*1000)</f>
        <v>439.99999999994088</v>
      </c>
      <c r="CM4" s="67">
        <v>29</v>
      </c>
      <c r="CN4" s="64">
        <v>0</v>
      </c>
      <c r="CO4" s="64">
        <v>0</v>
      </c>
    </row>
    <row r="5" spans="1:93" ht="25.5" customHeight="1" thickBot="1" x14ac:dyDescent="0.45">
      <c r="A5" s="65">
        <v>43953</v>
      </c>
      <c r="B5" s="45"/>
      <c r="C5" s="60">
        <v>1.6692</v>
      </c>
      <c r="D5" s="66">
        <f t="shared" ref="D5:D34" si="42">IF((C5-C4&lt;0), "0",(C5-C4)*1000000)</f>
        <v>1600.0000000000459</v>
      </c>
      <c r="E5" s="60">
        <v>2.6846999999999999</v>
      </c>
      <c r="F5" s="66">
        <f t="shared" ref="F5:F34" si="43">IF((E5-E4&lt;0), "0",(E5-E4)*1000000)</f>
        <v>999.99999999988984</v>
      </c>
      <c r="G5" s="60">
        <v>2.5015000000000001</v>
      </c>
      <c r="H5" s="66">
        <f t="shared" ref="H5:H34" si="44">IF((G5-G4&lt;0), "0",(G5-G4)*1000000)</f>
        <v>1800.0000000002458</v>
      </c>
      <c r="I5" s="60">
        <v>1.1961999999999999</v>
      </c>
      <c r="J5" s="66">
        <f>IF((I5-I4&lt;0), "0",(I5-I4)*1000000)</f>
        <v>1199.9999999998679</v>
      </c>
      <c r="K5" s="60">
        <v>1.8357000000000001</v>
      </c>
      <c r="L5" s="66">
        <f t="shared" ref="L5:L34" si="45">IF((K5-K4&lt;0), "0",(K5-K4)*1000000)</f>
        <v>2300.000000000191</v>
      </c>
      <c r="M5" s="60">
        <v>1.1715</v>
      </c>
      <c r="N5" s="66">
        <f t="shared" ref="N5:N34" si="46">IF((M5-M4&lt;0), "",(M5-M4)*1000000)</f>
        <v>999.99999999988984</v>
      </c>
      <c r="O5" s="60">
        <v>12541</v>
      </c>
      <c r="P5" s="67">
        <f t="shared" ref="P5:P32" si="47">IF((O5-O4&lt;0), "",O5-O4)</f>
        <v>0</v>
      </c>
      <c r="Q5" s="60">
        <v>5280</v>
      </c>
      <c r="R5" s="67">
        <f t="shared" ref="R5:R34" si="48">IF((Q5-Q4&lt;0), "",Q5-Q4)</f>
        <v>7</v>
      </c>
      <c r="S5" s="60">
        <v>826020.4</v>
      </c>
      <c r="T5" s="66">
        <f t="shared" ref="T5:T11" si="49">IF((S5-S4&lt;0), "",S5-S4)</f>
        <v>145.40000000002328</v>
      </c>
      <c r="U5" s="60">
        <v>335000.7</v>
      </c>
      <c r="V5" s="67">
        <f t="shared" ref="V5:V34" si="50">IF((U5-U4&lt;0), "",U5-U4)</f>
        <v>154.70000000001164</v>
      </c>
      <c r="W5" s="60">
        <v>327.02</v>
      </c>
      <c r="X5" s="66">
        <f>IF((W5-W4&lt;0), "",(W5-W4)*1000)</f>
        <v>199.99999999998863</v>
      </c>
      <c r="Y5" s="60">
        <v>2.3738000000000001</v>
      </c>
      <c r="Z5" s="67">
        <f>IF((Y5-Y4&lt;0), "",(Y5-Y4)*1000000)</f>
        <v>599.99999999993395</v>
      </c>
      <c r="AA5" s="60">
        <v>324.13</v>
      </c>
      <c r="AB5" s="67">
        <f>IF((AA5-AA4&lt;0), "",(AA5-AA4)*1000)</f>
        <v>100.00000000002274</v>
      </c>
      <c r="AC5" s="60">
        <v>299.58999999999997</v>
      </c>
      <c r="AD5" s="67">
        <f>IF((AC5-AC4&lt;0), "",(AC5-AC4)*1000)</f>
        <v>310.00000000000227</v>
      </c>
      <c r="AE5" s="60">
        <v>467.96</v>
      </c>
      <c r="AF5" s="67">
        <f>IF((AE5-AE4&lt;0), "",(AE5-AE4)*1000)</f>
        <v>539.99999999996362</v>
      </c>
      <c r="AG5" s="60">
        <v>1197.4000000000001</v>
      </c>
      <c r="AH5" s="67">
        <f t="shared" ref="AH5:AH34" si="51">IF((AG5-AG4&lt;0), "",AG5-AG4)</f>
        <v>0.8000000000001819</v>
      </c>
      <c r="AI5" s="60">
        <v>409.95</v>
      </c>
      <c r="AJ5" s="67">
        <f>IF((AI5-AI4&lt;0), "",(AI5-AI4)*1000)</f>
        <v>349.99999999996589</v>
      </c>
      <c r="AK5" s="60">
        <v>146.05000000000001</v>
      </c>
      <c r="AL5" s="67">
        <f t="shared" ref="AL5:AL34" si="52">IF((AK5-AK4&lt;0), "",AK5-AK4)</f>
        <v>0.17000000000001592</v>
      </c>
      <c r="AM5" s="60">
        <v>146.79</v>
      </c>
      <c r="AN5" s="67">
        <f t="shared" ref="AN5:AN34" si="53">IF((AM5-AM4&lt;0), "",AM5-AM4)</f>
        <v>0.12000000000000455</v>
      </c>
      <c r="AO5" s="60">
        <v>143.28</v>
      </c>
      <c r="AP5" s="67">
        <f t="shared" ref="AP5:AP34" si="54">IF((AO5-AO4&lt;0), "",AO5-AO4)</f>
        <v>0.12999999999999545</v>
      </c>
      <c r="AQ5" s="60">
        <v>214.67</v>
      </c>
      <c r="AR5" s="67">
        <f>IF((AQ5-AQ4&lt;0), "",(AQ5-AQ4)*1000)</f>
        <v>99.999999999994316</v>
      </c>
      <c r="AS5" s="60">
        <v>341.21</v>
      </c>
      <c r="AT5" s="67">
        <f>IF((AS5-AS4&lt;0), "",(AS5-AS4)*1000)</f>
        <v>109.9999999999568</v>
      </c>
      <c r="AU5" s="60">
        <v>263.19</v>
      </c>
      <c r="AV5" s="67">
        <f>IF((AU5-AU4&lt;0), "",(AU5-AU4)*1000)</f>
        <v>110.00000000001364</v>
      </c>
      <c r="AW5" s="60">
        <v>290.75</v>
      </c>
      <c r="AX5" s="67">
        <f>IF((AW5-AW4&lt;0), "",(AW5-AW4)*1000)</f>
        <v>89.999999999974989</v>
      </c>
      <c r="AY5" s="60">
        <v>341.71</v>
      </c>
      <c r="AZ5" s="67">
        <f>IF((AY5-AY4&lt;0), "",(AY5-AY4)*1000)</f>
        <v>89.999999999974989</v>
      </c>
      <c r="BA5" s="60">
        <v>361.94</v>
      </c>
      <c r="BB5" s="66">
        <f>IF((BA5-BA4&lt;0), "",(BA5-BA4)*1000)</f>
        <v>79.999999999984084</v>
      </c>
      <c r="BC5" s="60">
        <v>203.2</v>
      </c>
      <c r="BD5" s="67">
        <f>IF((BC5-BC4&lt;0), "",(BC5-BC4)*1000)</f>
        <v>9.9999999999909051</v>
      </c>
      <c r="BE5" s="61">
        <v>27967</v>
      </c>
      <c r="BF5" s="67">
        <f t="shared" ref="BF5:BF33" si="55">IF((BE5-BE4&lt;0), "",BE5-BE4)</f>
        <v>36</v>
      </c>
      <c r="BG5" s="62">
        <v>223.49</v>
      </c>
      <c r="BH5" s="67">
        <f>IF((BG5-BG4&lt;0), "",(BG5-BG4)*1000)</f>
        <v>30.000000000001137</v>
      </c>
      <c r="BI5" s="62">
        <v>281.11</v>
      </c>
      <c r="BJ5" s="67">
        <f>IF((BI5-BI4&lt;0), "",(BI5-BI4)*1000)</f>
        <v>50.000000000011369</v>
      </c>
      <c r="BK5" s="62">
        <v>229.09</v>
      </c>
      <c r="BL5" s="67">
        <f>IF((BK5-BK4&lt;0), "",(BK5-BK4)*1000)</f>
        <v>39.999999999992042</v>
      </c>
      <c r="BM5" s="62">
        <v>212.05</v>
      </c>
      <c r="BN5" s="67">
        <f>IF((BM5-BM4&lt;0), "",(BM5-BM4)*1000)</f>
        <v>50.000000000011369</v>
      </c>
      <c r="BO5" s="62">
        <v>276.32</v>
      </c>
      <c r="BP5" s="67">
        <f>IF((BO5-BO4&lt;0), "",(BO5-BO4)*1000)</f>
        <v>50.000000000011369</v>
      </c>
      <c r="BQ5" s="62">
        <v>38037</v>
      </c>
      <c r="BR5" s="67">
        <f t="shared" ref="BR5:BR34" si="56">IF((BQ5-BQ4&lt;0), "",BQ5-BQ4)</f>
        <v>25</v>
      </c>
      <c r="BS5" s="62">
        <v>192.39</v>
      </c>
      <c r="BT5" s="67">
        <f>IF((BS5-BS4&lt;0), "",(BS5-BS4)*1000)</f>
        <v>19.99999999998181</v>
      </c>
      <c r="BU5" s="62">
        <v>29030</v>
      </c>
      <c r="BV5" s="67">
        <f t="shared" ref="BV5:BV35" si="57">IF((BU5-BU4&lt;0), "",BU5-BU4)</f>
        <v>24</v>
      </c>
      <c r="BW5" s="62">
        <v>222.41</v>
      </c>
      <c r="BX5" s="67">
        <f>IF((BW5-BW4&lt;0), "",(BW5-BW4)*1000)</f>
        <v>30.000000000001137</v>
      </c>
      <c r="BY5" s="62">
        <v>47522</v>
      </c>
      <c r="BZ5" s="67">
        <f t="shared" ref="BZ5:BZ34" si="58">IF((BY5-BY4&lt;0), "",BY5-BY4)</f>
        <v>39</v>
      </c>
      <c r="CA5" s="62">
        <v>27500.7</v>
      </c>
      <c r="CB5" s="67">
        <f t="shared" ref="CB5:CB34" si="59">IF((CA5-CA4&lt;0), "",CA5-CA4)</f>
        <v>0</v>
      </c>
      <c r="CC5" s="62">
        <v>11250.4</v>
      </c>
      <c r="CD5" s="67">
        <f t="shared" ref="CD5:CD34" si="60">IF((CC5-CC4&lt;0), "",CC5-CC4)</f>
        <v>0</v>
      </c>
      <c r="CE5" s="62">
        <v>5487.5</v>
      </c>
      <c r="CF5" s="67">
        <f t="shared" ref="CF5:CF34" si="61">IF((CE5-CE4&lt;0), "",CE5-CE4)</f>
        <v>0</v>
      </c>
      <c r="CG5" s="62">
        <v>43525.3</v>
      </c>
      <c r="CH5" s="67">
        <f t="shared" ref="CH5:CH34" si="62">IF((CG5-CG4&lt;0), "",CG5-CG4)</f>
        <v>65.80000000000291</v>
      </c>
      <c r="CI5" s="62">
        <v>850106</v>
      </c>
      <c r="CJ5" s="67">
        <f t="shared" ref="CJ5:CJ34" si="63">IF((CI5-CI4&lt;0), "",CI5-CI4)</f>
        <v>216</v>
      </c>
      <c r="CK5" s="62">
        <v>555.80999999999995</v>
      </c>
      <c r="CL5" s="66">
        <f t="shared" ref="CL5:CL34" si="64">IF((CK5-CK4&lt;0), "",(CK5-CK4)*1000)</f>
        <v>409.99999999996817</v>
      </c>
      <c r="CM5" s="67">
        <v>29</v>
      </c>
      <c r="CN5" s="64">
        <v>0</v>
      </c>
      <c r="CO5" s="64">
        <v>0</v>
      </c>
    </row>
    <row r="6" spans="1:93" ht="25.5" customHeight="1" thickBot="1" x14ac:dyDescent="0.45">
      <c r="A6" s="65">
        <v>43954</v>
      </c>
      <c r="B6" s="45"/>
      <c r="C6" s="60">
        <v>1.6708000000000001</v>
      </c>
      <c r="D6" s="66">
        <f t="shared" si="42"/>
        <v>1600.0000000000459</v>
      </c>
      <c r="E6" s="60">
        <v>2.6856</v>
      </c>
      <c r="F6" s="66">
        <f t="shared" si="43"/>
        <v>900.0000000001229</v>
      </c>
      <c r="G6" s="60">
        <v>2.5030999999999999</v>
      </c>
      <c r="H6" s="66">
        <f t="shared" si="44"/>
        <v>1599.9999999998238</v>
      </c>
      <c r="I6" s="60">
        <v>1.1974</v>
      </c>
      <c r="J6" s="66">
        <f>IF((I6-I5&lt;0), "0",(I6-I5)*1000000)</f>
        <v>1200.0000000000898</v>
      </c>
      <c r="K6" s="60">
        <v>1.8378000000000001</v>
      </c>
      <c r="L6" s="66">
        <f t="shared" si="45"/>
        <v>2099.9999999999909</v>
      </c>
      <c r="M6" s="60">
        <v>1.1726000000000001</v>
      </c>
      <c r="N6" s="66">
        <f t="shared" si="46"/>
        <v>1100.000000000101</v>
      </c>
      <c r="O6" s="60">
        <v>12541</v>
      </c>
      <c r="P6" s="67">
        <f t="shared" si="47"/>
        <v>0</v>
      </c>
      <c r="Q6" s="60">
        <v>5286</v>
      </c>
      <c r="R6" s="67">
        <f t="shared" si="48"/>
        <v>6</v>
      </c>
      <c r="S6" s="60">
        <v>826077</v>
      </c>
      <c r="T6" s="66">
        <f t="shared" si="49"/>
        <v>56.599999999976717</v>
      </c>
      <c r="U6" s="60">
        <v>335038</v>
      </c>
      <c r="V6" s="67">
        <f t="shared" si="50"/>
        <v>37.299999999988358</v>
      </c>
      <c r="W6" s="60">
        <v>327.23</v>
      </c>
      <c r="X6" s="67">
        <f t="shared" ref="X6:X34" si="65">IF((W6-W5&lt;0), "",(W6-W5)*1000)</f>
        <v>210.00000000003638</v>
      </c>
      <c r="Y6" s="60">
        <v>2.3744000000000001</v>
      </c>
      <c r="Z6" s="67">
        <f t="shared" ref="Z6:Z34" si="66">IF((Y6-Y5&lt;0), "",(Y6-Y5)*1000000)</f>
        <v>599.99999999993395</v>
      </c>
      <c r="AA6" s="60">
        <v>324.23</v>
      </c>
      <c r="AB6" s="67">
        <f t="shared" ref="AB6:AB34" si="67">IF((AA6-AA5&lt;0), "",(AA6-AA5)*1000)</f>
        <v>100.00000000002274</v>
      </c>
      <c r="AC6" s="60">
        <v>299.92</v>
      </c>
      <c r="AD6" s="67">
        <f t="shared" ref="AD6:AD34" si="68">IF((AC6-AC5&lt;0), "",(AC6-AC5)*1000)</f>
        <v>330.00000000004093</v>
      </c>
      <c r="AE6" s="60">
        <v>468.5</v>
      </c>
      <c r="AF6" s="67">
        <f t="shared" ref="AF6:AF34" si="69">IF((AE6-AE5&lt;0), "",(AE6-AE5)*1000)</f>
        <v>540.00000000002046</v>
      </c>
      <c r="AG6" s="60">
        <v>1198.2</v>
      </c>
      <c r="AH6" s="67">
        <f t="shared" si="51"/>
        <v>0.79999999999995453</v>
      </c>
      <c r="AI6" s="60">
        <v>410.22</v>
      </c>
      <c r="AJ6" s="67">
        <f t="shared" ref="AJ6:AJ34" si="70">IF((AI6-AI5&lt;0), "",(AI6-AI5)*1000)</f>
        <v>270.00000000003865</v>
      </c>
      <c r="AK6" s="60">
        <v>146.22999999999999</v>
      </c>
      <c r="AL6" s="67">
        <f t="shared" si="52"/>
        <v>0.1799999999999784</v>
      </c>
      <c r="AM6" s="60">
        <v>146.91</v>
      </c>
      <c r="AN6" s="67">
        <f t="shared" si="53"/>
        <v>0.12000000000000455</v>
      </c>
      <c r="AO6" s="60">
        <v>143.41999999999999</v>
      </c>
      <c r="AP6" s="67">
        <f t="shared" si="54"/>
        <v>0.13999999999998636</v>
      </c>
      <c r="AQ6" s="60">
        <v>214.77</v>
      </c>
      <c r="AR6" s="67">
        <f t="shared" ref="AR6:AR34" si="71">IF((AQ6-AQ5&lt;0), "",(AQ6-AQ5)*1000)</f>
        <v>100.00000000002274</v>
      </c>
      <c r="AS6" s="60">
        <v>341.32</v>
      </c>
      <c r="AT6" s="67">
        <f t="shared" ref="AT6:AT34" si="72">IF((AS6-AS5&lt;0), "",(AS6-AS5)*1000)</f>
        <v>110.00000000001364</v>
      </c>
      <c r="AU6" s="60">
        <v>263.27999999999997</v>
      </c>
      <c r="AV6" s="67">
        <f t="shared" ref="AV6:AV34" si="73">IF((AU6-AU5&lt;0), "",(AU6-AU5)*1000)</f>
        <v>89.999999999974989</v>
      </c>
      <c r="AW6" s="60">
        <v>290.83</v>
      </c>
      <c r="AX6" s="67">
        <f t="shared" ref="AX6:AX37" si="74">IF((AW6-AW5&lt;0), "",(AW6-AW5)*1000)</f>
        <v>79.999999999984084</v>
      </c>
      <c r="AY6" s="60">
        <v>341.81</v>
      </c>
      <c r="AZ6" s="67">
        <f t="shared" ref="AZ6:AZ34" si="75">IF((AY6-AY5&lt;0), "",(AY6-AY5)*1000)</f>
        <v>100.00000000002274</v>
      </c>
      <c r="BA6" s="60">
        <v>362.02</v>
      </c>
      <c r="BB6" s="67">
        <f t="shared" ref="BB6:BB34" si="76">IF((BA6-BA5&lt;0), "",(BA6-BA5)*1000)</f>
        <v>79.999999999984084</v>
      </c>
      <c r="BC6" s="60">
        <v>203.21</v>
      </c>
      <c r="BD6" s="67">
        <f t="shared" ref="BD6:BD34" si="77">IF((BC6-BC5&lt;0), "",(BC6-BC5)*1000)</f>
        <v>10.000000000019327</v>
      </c>
      <c r="BE6" s="61">
        <v>27997</v>
      </c>
      <c r="BF6" s="67">
        <f t="shared" si="55"/>
        <v>30</v>
      </c>
      <c r="BG6" s="62">
        <v>223.52</v>
      </c>
      <c r="BH6" s="67">
        <f t="shared" ref="BH6:BH34" si="78">IF((BG6-BG5&lt;0), "",(BG6-BG5)*1000)</f>
        <v>30.000000000001137</v>
      </c>
      <c r="BI6" s="62">
        <v>281.14999999999998</v>
      </c>
      <c r="BJ6" s="67">
        <f t="shared" ref="BJ6:BJ35" si="79">IF((BI6-BI5&lt;0), "",(BI6-BI5)*1000)</f>
        <v>39.99999999996362</v>
      </c>
      <c r="BK6" s="62">
        <v>229.12</v>
      </c>
      <c r="BL6" s="67">
        <f t="shared" ref="BL6:BL35" si="80">IF((BK6-BK5&lt;0), "",(BK6-BK5)*1000)</f>
        <v>30.000000000001137</v>
      </c>
      <c r="BM6" s="62">
        <v>212.1</v>
      </c>
      <c r="BN6" s="67">
        <f t="shared" ref="BN6:BN34" si="81">IF((BM6-BM5&lt;0), "",(BM6-BM5)*1000)</f>
        <v>49.999999999982947</v>
      </c>
      <c r="BO6" s="62">
        <v>276.38</v>
      </c>
      <c r="BP6" s="67">
        <f t="shared" ref="BP6:BP34" si="82">IF((BO6-BO5&lt;0), "",(BO6-BO5)*1000)</f>
        <v>60.000000000002274</v>
      </c>
      <c r="BQ6" s="62">
        <v>38064</v>
      </c>
      <c r="BR6" s="67">
        <f t="shared" si="56"/>
        <v>27</v>
      </c>
      <c r="BS6" s="62">
        <v>192.41</v>
      </c>
      <c r="BT6" s="67">
        <f t="shared" ref="BT6:BT35" si="83">IF((BS6-BS5&lt;0), "",(BS6-BS5)*1000)</f>
        <v>20.000000000010232</v>
      </c>
      <c r="BU6" s="62">
        <v>29055</v>
      </c>
      <c r="BV6" s="67">
        <f t="shared" si="57"/>
        <v>25</v>
      </c>
      <c r="BW6" s="62">
        <v>222.44</v>
      </c>
      <c r="BX6" s="67">
        <f t="shared" ref="BX6:BX34" si="84">IF((BW6-BW5&lt;0), "",(BW6-BW5)*1000)</f>
        <v>30.000000000001137</v>
      </c>
      <c r="BY6" s="62">
        <v>47561</v>
      </c>
      <c r="BZ6" s="67">
        <f t="shared" si="58"/>
        <v>39</v>
      </c>
      <c r="CA6" s="62">
        <v>27500.7</v>
      </c>
      <c r="CB6" s="67">
        <f t="shared" si="59"/>
        <v>0</v>
      </c>
      <c r="CC6" s="62">
        <v>11250.4</v>
      </c>
      <c r="CD6" s="67">
        <f t="shared" si="60"/>
        <v>0</v>
      </c>
      <c r="CE6" s="62">
        <v>5487.5</v>
      </c>
      <c r="CF6" s="67">
        <f t="shared" si="61"/>
        <v>0</v>
      </c>
      <c r="CG6" s="62">
        <v>43595.5</v>
      </c>
      <c r="CH6" s="67">
        <f t="shared" si="62"/>
        <v>70.19999999999709</v>
      </c>
      <c r="CI6" s="62">
        <v>850305</v>
      </c>
      <c r="CJ6" s="67">
        <f t="shared" si="63"/>
        <v>199</v>
      </c>
      <c r="CK6" s="62">
        <v>556.16999999999996</v>
      </c>
      <c r="CL6" s="66">
        <f t="shared" si="64"/>
        <v>360.00000000001364</v>
      </c>
      <c r="CM6" s="67">
        <v>19</v>
      </c>
      <c r="CN6" s="64">
        <v>0</v>
      </c>
      <c r="CO6" s="64">
        <v>0</v>
      </c>
    </row>
    <row r="7" spans="1:93" ht="25.5" customHeight="1" thickBot="1" x14ac:dyDescent="0.45">
      <c r="A7" s="65">
        <v>43955</v>
      </c>
      <c r="B7" s="45"/>
      <c r="C7" s="60">
        <v>1.6725000000000001</v>
      </c>
      <c r="D7" s="66">
        <f t="shared" si="42"/>
        <v>1700.0000000000348</v>
      </c>
      <c r="E7" s="60">
        <v>2.6865999999999999</v>
      </c>
      <c r="F7" s="66">
        <f t="shared" si="43"/>
        <v>999.99999999988984</v>
      </c>
      <c r="G7" s="60">
        <v>2.5049000000000001</v>
      </c>
      <c r="H7" s="66">
        <f t="shared" si="44"/>
        <v>1800.0000000002458</v>
      </c>
      <c r="I7" s="60">
        <v>1.1987000000000001</v>
      </c>
      <c r="J7" s="66">
        <f>IF((I7-I6&lt;0), "0",(I7-I6)*1000000)</f>
        <v>1300.0000000000789</v>
      </c>
      <c r="K7" s="60">
        <v>1.8403</v>
      </c>
      <c r="L7" s="66">
        <f t="shared" si="45"/>
        <v>2499.9999999999468</v>
      </c>
      <c r="M7" s="60">
        <v>1.1738</v>
      </c>
      <c r="N7" s="66">
        <f t="shared" si="46"/>
        <v>1199.9999999998679</v>
      </c>
      <c r="O7" s="60">
        <v>12541</v>
      </c>
      <c r="P7" s="67">
        <f t="shared" si="47"/>
        <v>0</v>
      </c>
      <c r="Q7" s="60">
        <v>5293</v>
      </c>
      <c r="R7" s="67">
        <f t="shared" si="48"/>
        <v>7</v>
      </c>
      <c r="S7" s="60">
        <v>826369.1</v>
      </c>
      <c r="T7" s="66">
        <f t="shared" si="49"/>
        <v>292.09999999997672</v>
      </c>
      <c r="U7" s="60">
        <v>335209.59999999998</v>
      </c>
      <c r="V7" s="67">
        <f t="shared" si="50"/>
        <v>171.59999999997672</v>
      </c>
      <c r="W7" s="60">
        <v>327.45</v>
      </c>
      <c r="X7" s="67">
        <f t="shared" si="65"/>
        <v>219.99999999997044</v>
      </c>
      <c r="Y7" s="60">
        <v>2.3751000000000002</v>
      </c>
      <c r="Z7" s="67">
        <f t="shared" si="66"/>
        <v>700.00000000014495</v>
      </c>
      <c r="AA7" s="60">
        <v>324.35000000000002</v>
      </c>
      <c r="AB7" s="67">
        <f t="shared" si="67"/>
        <v>120.00000000000455</v>
      </c>
      <c r="AC7" s="60">
        <v>300.27999999999997</v>
      </c>
      <c r="AD7" s="67">
        <f t="shared" si="68"/>
        <v>359.9999999999568</v>
      </c>
      <c r="AE7" s="60">
        <v>469.11</v>
      </c>
      <c r="AF7" s="67">
        <f t="shared" si="69"/>
        <v>610.00000000001364</v>
      </c>
      <c r="AG7" s="60">
        <v>1199.5</v>
      </c>
      <c r="AH7" s="67">
        <f t="shared" si="51"/>
        <v>1.2999999999999545</v>
      </c>
      <c r="AI7" s="60">
        <v>410.5</v>
      </c>
      <c r="AJ7" s="67">
        <f t="shared" si="70"/>
        <v>279.99999999997272</v>
      </c>
      <c r="AK7" s="60">
        <v>146.43</v>
      </c>
      <c r="AL7" s="67">
        <f t="shared" si="52"/>
        <v>0.20000000000001705</v>
      </c>
      <c r="AM7" s="60">
        <v>147.05000000000001</v>
      </c>
      <c r="AN7" s="67">
        <f t="shared" si="53"/>
        <v>0.14000000000001478</v>
      </c>
      <c r="AO7" s="60">
        <v>143.53</v>
      </c>
      <c r="AP7" s="67">
        <f t="shared" si="54"/>
        <v>0.11000000000001364</v>
      </c>
      <c r="AQ7" s="60">
        <v>214.88</v>
      </c>
      <c r="AR7" s="67">
        <f t="shared" si="71"/>
        <v>109.99999999998522</v>
      </c>
      <c r="AS7" s="60">
        <v>341.45</v>
      </c>
      <c r="AT7" s="67">
        <f t="shared" si="72"/>
        <v>129.99999999999545</v>
      </c>
      <c r="AU7" s="60">
        <v>263.39999999999998</v>
      </c>
      <c r="AV7" s="67">
        <f t="shared" si="73"/>
        <v>120.00000000000455</v>
      </c>
      <c r="AW7" s="60">
        <v>290.94</v>
      </c>
      <c r="AX7" s="67">
        <f t="shared" si="74"/>
        <v>110.00000000001364</v>
      </c>
      <c r="AY7" s="60">
        <v>341.93</v>
      </c>
      <c r="AZ7" s="67">
        <f t="shared" si="75"/>
        <v>120.00000000000455</v>
      </c>
      <c r="BA7" s="60">
        <v>362.12</v>
      </c>
      <c r="BB7" s="67">
        <f t="shared" si="76"/>
        <v>100.00000000002274</v>
      </c>
      <c r="BC7" s="60">
        <v>203.22</v>
      </c>
      <c r="BD7" s="67">
        <f t="shared" si="77"/>
        <v>9.9999999999909051</v>
      </c>
      <c r="BE7" s="61">
        <v>28028</v>
      </c>
      <c r="BF7" s="67">
        <f t="shared" si="55"/>
        <v>31</v>
      </c>
      <c r="BG7" s="62">
        <v>223.56</v>
      </c>
      <c r="BH7" s="67">
        <f t="shared" si="78"/>
        <v>39.999999999992042</v>
      </c>
      <c r="BI7" s="62">
        <v>281.18</v>
      </c>
      <c r="BJ7" s="67">
        <f t="shared" si="79"/>
        <v>30.000000000029559</v>
      </c>
      <c r="BK7" s="62">
        <v>229.16</v>
      </c>
      <c r="BL7" s="67">
        <f t="shared" si="80"/>
        <v>39.999999999992042</v>
      </c>
      <c r="BM7" s="62">
        <v>212.14</v>
      </c>
      <c r="BN7" s="67">
        <f t="shared" si="81"/>
        <v>39.999999999992042</v>
      </c>
      <c r="BO7" s="62">
        <v>276.43</v>
      </c>
      <c r="BP7" s="67">
        <f t="shared" si="82"/>
        <v>50.000000000011369</v>
      </c>
      <c r="BQ7" s="62">
        <v>38091</v>
      </c>
      <c r="BR7" s="67">
        <f t="shared" si="56"/>
        <v>27</v>
      </c>
      <c r="BS7" s="62">
        <v>192.44</v>
      </c>
      <c r="BT7" s="67">
        <f t="shared" si="83"/>
        <v>30.000000000001137</v>
      </c>
      <c r="BU7" s="62">
        <v>29083</v>
      </c>
      <c r="BV7" s="67">
        <f t="shared" si="57"/>
        <v>28</v>
      </c>
      <c r="BW7" s="62">
        <v>222.48</v>
      </c>
      <c r="BX7" s="67">
        <f t="shared" si="84"/>
        <v>39.999999999992042</v>
      </c>
      <c r="BY7" s="62">
        <v>47596</v>
      </c>
      <c r="BZ7" s="67">
        <f t="shared" si="58"/>
        <v>35</v>
      </c>
      <c r="CA7" s="62">
        <v>27500.7</v>
      </c>
      <c r="CB7" s="67">
        <f t="shared" si="59"/>
        <v>0</v>
      </c>
      <c r="CC7" s="62">
        <v>11250.4</v>
      </c>
      <c r="CD7" s="67">
        <f t="shared" si="60"/>
        <v>0</v>
      </c>
      <c r="CE7" s="62">
        <v>5487.5</v>
      </c>
      <c r="CF7" s="67">
        <f t="shared" si="61"/>
        <v>0</v>
      </c>
      <c r="CG7" s="62">
        <v>43662</v>
      </c>
      <c r="CH7" s="67">
        <f t="shared" si="62"/>
        <v>66.5</v>
      </c>
      <c r="CI7" s="62">
        <v>850574</v>
      </c>
      <c r="CJ7" s="67">
        <f t="shared" si="63"/>
        <v>269</v>
      </c>
      <c r="CK7" s="62">
        <v>556.52</v>
      </c>
      <c r="CL7" s="66">
        <f t="shared" si="64"/>
        <v>350.00000000002274</v>
      </c>
      <c r="CM7" s="67">
        <v>25.7</v>
      </c>
      <c r="CN7" s="64">
        <v>0</v>
      </c>
      <c r="CO7" s="64">
        <v>0</v>
      </c>
    </row>
    <row r="8" spans="1:93" ht="25.5" customHeight="1" thickBot="1" x14ac:dyDescent="0.45">
      <c r="A8" s="65">
        <v>43956</v>
      </c>
      <c r="B8" s="45"/>
      <c r="C8" s="60">
        <v>1.6741999999999999</v>
      </c>
      <c r="D8" s="66">
        <f t="shared" si="42"/>
        <v>1699.9999999998129</v>
      </c>
      <c r="E8" s="60">
        <v>2.6876000000000002</v>
      </c>
      <c r="F8" s="66">
        <f t="shared" si="43"/>
        <v>1000.000000000334</v>
      </c>
      <c r="G8" s="60">
        <v>2.5068000000000001</v>
      </c>
      <c r="H8" s="66">
        <f t="shared" si="44"/>
        <v>1900.0000000000127</v>
      </c>
      <c r="I8" s="60">
        <v>1.2000999999999999</v>
      </c>
      <c r="J8" s="66">
        <f>IF((I8-I7&lt;0), "0",(I8-I7)*1000000)</f>
        <v>1399.9999999998458</v>
      </c>
      <c r="K8" s="60">
        <v>1.8427</v>
      </c>
      <c r="L8" s="66">
        <f t="shared" si="45"/>
        <v>2399.9999999999577</v>
      </c>
      <c r="M8" s="60">
        <v>1.1749000000000001</v>
      </c>
      <c r="N8" s="66">
        <f t="shared" si="46"/>
        <v>1100.000000000101</v>
      </c>
      <c r="O8" s="60">
        <v>12541</v>
      </c>
      <c r="P8" s="67">
        <f t="shared" si="47"/>
        <v>0</v>
      </c>
      <c r="Q8" s="60">
        <v>5299</v>
      </c>
      <c r="R8" s="67">
        <f t="shared" si="48"/>
        <v>6</v>
      </c>
      <c r="S8" s="60">
        <v>826562.6</v>
      </c>
      <c r="T8" s="66">
        <f t="shared" si="49"/>
        <v>193.5</v>
      </c>
      <c r="U8" s="60">
        <v>335336.3</v>
      </c>
      <c r="V8" s="67">
        <f t="shared" si="50"/>
        <v>126.70000000001164</v>
      </c>
      <c r="W8" s="60">
        <v>327.68</v>
      </c>
      <c r="X8" s="67">
        <f t="shared" si="65"/>
        <v>230.00000000001819</v>
      </c>
      <c r="Y8" s="60">
        <v>2.3757000000000001</v>
      </c>
      <c r="Z8" s="67">
        <f t="shared" si="66"/>
        <v>599.99999999993395</v>
      </c>
      <c r="AA8" s="60">
        <v>324.45999999999998</v>
      </c>
      <c r="AB8" s="67">
        <f t="shared" si="67"/>
        <v>109.9999999999568</v>
      </c>
      <c r="AC8" s="60">
        <v>300.63</v>
      </c>
      <c r="AD8" s="67">
        <f t="shared" si="68"/>
        <v>350.00000000002274</v>
      </c>
      <c r="AE8" s="60">
        <v>469.7</v>
      </c>
      <c r="AF8" s="67">
        <f t="shared" si="69"/>
        <v>589.99999999997499</v>
      </c>
      <c r="AG8" s="60">
        <v>1200.5999999999999</v>
      </c>
      <c r="AH8" s="67">
        <f t="shared" si="51"/>
        <v>1.0999999999999091</v>
      </c>
      <c r="AI8" s="60">
        <v>410.79</v>
      </c>
      <c r="AJ8" s="67">
        <f t="shared" si="70"/>
        <v>290.00000000002046</v>
      </c>
      <c r="AK8" s="60">
        <v>146.63</v>
      </c>
      <c r="AL8" s="67">
        <f t="shared" si="52"/>
        <v>0.19999999999998863</v>
      </c>
      <c r="AM8" s="60">
        <v>147.19999999999999</v>
      </c>
      <c r="AN8" s="67">
        <f t="shared" si="53"/>
        <v>0.14999999999997726</v>
      </c>
      <c r="AO8" s="60">
        <v>143.66</v>
      </c>
      <c r="AP8" s="67">
        <f t="shared" si="54"/>
        <v>0.12999999999999545</v>
      </c>
      <c r="AQ8" s="60">
        <v>214.98</v>
      </c>
      <c r="AR8" s="67">
        <f t="shared" si="71"/>
        <v>99.999999999994316</v>
      </c>
      <c r="AS8" s="60">
        <v>341.56</v>
      </c>
      <c r="AT8" s="67">
        <f t="shared" si="72"/>
        <v>110.00000000001364</v>
      </c>
      <c r="AU8" s="60">
        <v>263.51</v>
      </c>
      <c r="AV8" s="67">
        <f t="shared" si="73"/>
        <v>110.00000000001364</v>
      </c>
      <c r="AW8" s="60">
        <v>291.02999999999997</v>
      </c>
      <c r="AX8" s="67">
        <f t="shared" si="74"/>
        <v>89.999999999974989</v>
      </c>
      <c r="AY8" s="60">
        <v>342.04</v>
      </c>
      <c r="AZ8" s="67">
        <f t="shared" si="75"/>
        <v>110.00000000001364</v>
      </c>
      <c r="BA8" s="60">
        <v>362.21</v>
      </c>
      <c r="BB8" s="67">
        <f t="shared" si="76"/>
        <v>89.999999999974989</v>
      </c>
      <c r="BC8" s="60">
        <v>203.23</v>
      </c>
      <c r="BD8" s="67">
        <f t="shared" si="77"/>
        <v>9.9999999999909051</v>
      </c>
      <c r="BE8" s="61">
        <v>28068</v>
      </c>
      <c r="BF8" s="67">
        <f t="shared" si="55"/>
        <v>40</v>
      </c>
      <c r="BG8" s="62">
        <v>223.59</v>
      </c>
      <c r="BH8" s="67">
        <f t="shared" si="78"/>
        <v>30.000000000001137</v>
      </c>
      <c r="BI8" s="62">
        <v>281.23</v>
      </c>
      <c r="BJ8" s="67">
        <f t="shared" si="79"/>
        <v>50.000000000011369</v>
      </c>
      <c r="BK8" s="62">
        <v>229.19</v>
      </c>
      <c r="BL8" s="67">
        <f t="shared" si="80"/>
        <v>30.000000000001137</v>
      </c>
      <c r="BM8" s="62">
        <v>212.17</v>
      </c>
      <c r="BN8" s="67">
        <f t="shared" si="81"/>
        <v>30.000000000001137</v>
      </c>
      <c r="BO8" s="62">
        <v>276.48</v>
      </c>
      <c r="BP8" s="67">
        <f t="shared" si="82"/>
        <v>50.000000000011369</v>
      </c>
      <c r="BQ8" s="62">
        <v>38117</v>
      </c>
      <c r="BR8" s="67">
        <f t="shared" si="56"/>
        <v>26</v>
      </c>
      <c r="BS8" s="62">
        <v>192.47</v>
      </c>
      <c r="BT8" s="67">
        <f t="shared" si="83"/>
        <v>30.000000000001137</v>
      </c>
      <c r="BU8" s="62">
        <v>29109</v>
      </c>
      <c r="BV8" s="67">
        <f t="shared" si="57"/>
        <v>26</v>
      </c>
      <c r="BW8" s="62">
        <v>222.51</v>
      </c>
      <c r="BX8" s="67">
        <f t="shared" si="84"/>
        <v>30.000000000001137</v>
      </c>
      <c r="BY8" s="62">
        <v>47634</v>
      </c>
      <c r="BZ8" s="67">
        <f t="shared" si="58"/>
        <v>38</v>
      </c>
      <c r="CA8" s="62">
        <v>27500.7</v>
      </c>
      <c r="CB8" s="67">
        <f t="shared" si="59"/>
        <v>0</v>
      </c>
      <c r="CC8" s="62">
        <v>11250.4</v>
      </c>
      <c r="CD8" s="67">
        <f t="shared" si="60"/>
        <v>0</v>
      </c>
      <c r="CE8" s="62">
        <v>5487.5</v>
      </c>
      <c r="CF8" s="67">
        <f t="shared" si="61"/>
        <v>0</v>
      </c>
      <c r="CG8" s="62">
        <v>43717.3</v>
      </c>
      <c r="CH8" s="67">
        <f t="shared" si="62"/>
        <v>55.30000000000291</v>
      </c>
      <c r="CI8" s="62">
        <v>850838</v>
      </c>
      <c r="CJ8" s="67">
        <f t="shared" si="63"/>
        <v>264</v>
      </c>
      <c r="CK8" s="62">
        <v>556.92999999999995</v>
      </c>
      <c r="CL8" s="66">
        <f t="shared" si="64"/>
        <v>409.99999999996817</v>
      </c>
      <c r="CM8" s="67">
        <v>30.3</v>
      </c>
      <c r="CN8" s="64">
        <v>0</v>
      </c>
      <c r="CO8" s="64">
        <v>0</v>
      </c>
    </row>
    <row r="9" spans="1:93" ht="25.5" customHeight="1" thickBot="1" x14ac:dyDescent="0.45">
      <c r="A9" s="65">
        <v>43957</v>
      </c>
      <c r="B9" s="45"/>
      <c r="C9" s="60"/>
      <c r="D9" s="66" t="str">
        <f t="shared" si="42"/>
        <v>0</v>
      </c>
      <c r="E9" s="60"/>
      <c r="F9" s="66" t="str">
        <f t="shared" si="43"/>
        <v>0</v>
      </c>
      <c r="G9" s="60"/>
      <c r="H9" s="66" t="str">
        <f t="shared" si="44"/>
        <v>0</v>
      </c>
      <c r="I9" s="60"/>
      <c r="J9" s="66" t="str">
        <f t="shared" ref="J9:J34" si="85">IF((I9-I8&lt;0), "0",(I9-I8)*1000000)</f>
        <v>0</v>
      </c>
      <c r="K9" s="60"/>
      <c r="L9" s="66" t="str">
        <f t="shared" si="45"/>
        <v>0</v>
      </c>
      <c r="M9" s="60"/>
      <c r="N9" s="66" t="str">
        <f>IF((M9-M8&lt;0), "0",(M9-M8)*1000000)</f>
        <v>0</v>
      </c>
      <c r="O9" s="60"/>
      <c r="P9" s="67" t="str">
        <f>IF((O9-O8&lt;0), "0",O9-O8)</f>
        <v>0</v>
      </c>
      <c r="Q9" s="60"/>
      <c r="R9" s="67" t="str">
        <f>IF((Q9-Q8&lt;0), "0",Q9-Q8)</f>
        <v>0</v>
      </c>
      <c r="S9" s="60"/>
      <c r="T9" s="67" t="str">
        <f>IF((S9-S8&lt;0), "0",S9-S8)</f>
        <v>0</v>
      </c>
      <c r="U9" s="60"/>
      <c r="V9" s="67" t="str">
        <f>IF((U9-U8&lt;0), "0",U9-U8)</f>
        <v>0</v>
      </c>
      <c r="W9" s="60"/>
      <c r="X9" s="67" t="str">
        <f t="shared" si="65"/>
        <v/>
      </c>
      <c r="Y9" s="60"/>
      <c r="Z9" s="67" t="str">
        <f t="shared" si="66"/>
        <v/>
      </c>
      <c r="AA9" s="60"/>
      <c r="AB9" s="67" t="str">
        <f t="shared" si="67"/>
        <v/>
      </c>
      <c r="AC9" s="60"/>
      <c r="AD9" s="67" t="str">
        <f t="shared" si="68"/>
        <v/>
      </c>
      <c r="AE9" s="60"/>
      <c r="AF9" s="67" t="str">
        <f t="shared" si="69"/>
        <v/>
      </c>
      <c r="AG9" s="60"/>
      <c r="AH9" s="67" t="str">
        <f>IF((AG9-AG8&lt;0), "0",AG9-AG8)</f>
        <v>0</v>
      </c>
      <c r="AI9" s="60"/>
      <c r="AJ9" s="67" t="str">
        <f t="shared" si="70"/>
        <v/>
      </c>
      <c r="AK9" s="60"/>
      <c r="AL9" s="67" t="str">
        <f>IF((AK9-AK8&lt;0), "0",AK9-AK8)</f>
        <v>0</v>
      </c>
      <c r="AM9" s="60"/>
      <c r="AN9" s="67" t="str">
        <f>IF((AM9-AM8&lt;0), "0",AM9-AM8)</f>
        <v>0</v>
      </c>
      <c r="AO9" s="60"/>
      <c r="AP9" s="67" t="str">
        <f t="shared" si="54"/>
        <v/>
      </c>
      <c r="AQ9" s="60"/>
      <c r="AR9" s="67" t="str">
        <f t="shared" si="71"/>
        <v/>
      </c>
      <c r="AS9" s="60"/>
      <c r="AT9" s="67" t="str">
        <f t="shared" si="72"/>
        <v/>
      </c>
      <c r="AU9" s="60"/>
      <c r="AV9" s="67" t="str">
        <f t="shared" si="73"/>
        <v/>
      </c>
      <c r="AW9" s="60"/>
      <c r="AX9" s="67" t="str">
        <f t="shared" si="74"/>
        <v/>
      </c>
      <c r="AY9" s="60"/>
      <c r="AZ9" s="67" t="str">
        <f t="shared" si="75"/>
        <v/>
      </c>
      <c r="BA9" s="60"/>
      <c r="BB9" s="67" t="str">
        <f t="shared" si="76"/>
        <v/>
      </c>
      <c r="BC9" s="60"/>
      <c r="BD9" s="67" t="str">
        <f t="shared" si="77"/>
        <v/>
      </c>
      <c r="BE9" s="61"/>
      <c r="BF9" s="67" t="str">
        <f t="shared" si="55"/>
        <v/>
      </c>
      <c r="BG9" s="62"/>
      <c r="BH9" s="67" t="str">
        <f t="shared" si="78"/>
        <v/>
      </c>
      <c r="BI9" s="62"/>
      <c r="BJ9" s="67" t="str">
        <f t="shared" si="79"/>
        <v/>
      </c>
      <c r="BK9" s="62"/>
      <c r="BL9" s="67" t="str">
        <f t="shared" si="80"/>
        <v/>
      </c>
      <c r="BM9" s="62"/>
      <c r="BN9" s="67" t="str">
        <f t="shared" si="81"/>
        <v/>
      </c>
      <c r="BO9" s="62"/>
      <c r="BP9" s="67" t="str">
        <f t="shared" si="82"/>
        <v/>
      </c>
      <c r="BQ9" s="62"/>
      <c r="BR9" s="67" t="str">
        <f t="shared" si="56"/>
        <v/>
      </c>
      <c r="BS9" s="62"/>
      <c r="BT9" s="67" t="str">
        <f t="shared" si="83"/>
        <v/>
      </c>
      <c r="BU9" s="62"/>
      <c r="BV9" s="67" t="str">
        <f t="shared" si="57"/>
        <v/>
      </c>
      <c r="BW9" s="62"/>
      <c r="BX9" s="67" t="str">
        <f t="shared" si="84"/>
        <v/>
      </c>
      <c r="BY9" s="62"/>
      <c r="BZ9" s="67" t="str">
        <f t="shared" si="58"/>
        <v/>
      </c>
      <c r="CA9" s="62"/>
      <c r="CB9" s="67" t="str">
        <f t="shared" si="59"/>
        <v/>
      </c>
      <c r="CC9" s="62"/>
      <c r="CD9" s="67" t="str">
        <f t="shared" si="60"/>
        <v/>
      </c>
      <c r="CE9" s="62"/>
      <c r="CF9" s="67" t="str">
        <f t="shared" si="61"/>
        <v/>
      </c>
      <c r="CG9" s="62"/>
      <c r="CH9" s="67" t="str">
        <f t="shared" si="62"/>
        <v/>
      </c>
      <c r="CI9" s="62"/>
      <c r="CJ9" s="67" t="str">
        <f t="shared" si="63"/>
        <v/>
      </c>
      <c r="CK9" s="62"/>
      <c r="CL9" s="66" t="str">
        <f>IF((CK9-CK8&lt;0), "0",(CK9-CK8)*1000)</f>
        <v>0</v>
      </c>
      <c r="CM9" s="67"/>
      <c r="CN9" s="64">
        <v>0</v>
      </c>
      <c r="CO9" s="64">
        <v>0</v>
      </c>
    </row>
    <row r="10" spans="1:93" ht="25.5" customHeight="1" thickBot="1" x14ac:dyDescent="0.45">
      <c r="A10" s="65">
        <v>43958</v>
      </c>
      <c r="B10" s="45"/>
      <c r="C10" s="60"/>
      <c r="D10" s="66">
        <f t="shared" si="42"/>
        <v>0</v>
      </c>
      <c r="E10" s="60"/>
      <c r="F10" s="66">
        <f t="shared" si="43"/>
        <v>0</v>
      </c>
      <c r="G10" s="60"/>
      <c r="H10" s="66">
        <f t="shared" si="44"/>
        <v>0</v>
      </c>
      <c r="I10" s="60"/>
      <c r="J10" s="66">
        <f t="shared" si="85"/>
        <v>0</v>
      </c>
      <c r="K10" s="60"/>
      <c r="L10" s="66">
        <f t="shared" si="45"/>
        <v>0</v>
      </c>
      <c r="M10" s="60"/>
      <c r="N10" s="66">
        <f t="shared" si="46"/>
        <v>0</v>
      </c>
      <c r="O10" s="60"/>
      <c r="P10" s="67">
        <f t="shared" si="47"/>
        <v>0</v>
      </c>
      <c r="Q10" s="60"/>
      <c r="R10" s="67">
        <f t="shared" si="48"/>
        <v>0</v>
      </c>
      <c r="S10" s="60"/>
      <c r="T10" s="66">
        <f t="shared" si="49"/>
        <v>0</v>
      </c>
      <c r="U10" s="60"/>
      <c r="V10" s="67">
        <f t="shared" si="50"/>
        <v>0</v>
      </c>
      <c r="W10" s="60"/>
      <c r="X10" s="67">
        <f t="shared" si="65"/>
        <v>0</v>
      </c>
      <c r="Y10" s="60"/>
      <c r="Z10" s="67">
        <f t="shared" si="66"/>
        <v>0</v>
      </c>
      <c r="AA10" s="60"/>
      <c r="AB10" s="67">
        <f t="shared" si="67"/>
        <v>0</v>
      </c>
      <c r="AC10" s="60"/>
      <c r="AD10" s="67">
        <f t="shared" si="68"/>
        <v>0</v>
      </c>
      <c r="AE10" s="60"/>
      <c r="AF10" s="67">
        <f t="shared" si="69"/>
        <v>0</v>
      </c>
      <c r="AG10" s="60"/>
      <c r="AH10" s="67">
        <f t="shared" si="51"/>
        <v>0</v>
      </c>
      <c r="AI10" s="60"/>
      <c r="AJ10" s="67">
        <f t="shared" si="70"/>
        <v>0</v>
      </c>
      <c r="AK10" s="60"/>
      <c r="AL10" s="67">
        <f t="shared" si="52"/>
        <v>0</v>
      </c>
      <c r="AM10" s="60"/>
      <c r="AN10" s="67">
        <f t="shared" si="53"/>
        <v>0</v>
      </c>
      <c r="AO10" s="60"/>
      <c r="AP10" s="67">
        <f t="shared" si="54"/>
        <v>0</v>
      </c>
      <c r="AQ10" s="60"/>
      <c r="AR10" s="67">
        <f t="shared" si="71"/>
        <v>0</v>
      </c>
      <c r="AS10" s="60"/>
      <c r="AT10" s="67">
        <f t="shared" si="72"/>
        <v>0</v>
      </c>
      <c r="AU10" s="60"/>
      <c r="AV10" s="67">
        <f t="shared" si="73"/>
        <v>0</v>
      </c>
      <c r="AW10" s="60"/>
      <c r="AX10" s="67">
        <f t="shared" si="74"/>
        <v>0</v>
      </c>
      <c r="AY10" s="60"/>
      <c r="AZ10" s="67">
        <f t="shared" si="75"/>
        <v>0</v>
      </c>
      <c r="BA10" s="60"/>
      <c r="BB10" s="67">
        <f t="shared" si="76"/>
        <v>0</v>
      </c>
      <c r="BC10" s="60"/>
      <c r="BD10" s="67">
        <f t="shared" si="77"/>
        <v>0</v>
      </c>
      <c r="BE10" s="61"/>
      <c r="BF10" s="67">
        <f t="shared" si="55"/>
        <v>0</v>
      </c>
      <c r="BG10" s="62"/>
      <c r="BH10" s="67">
        <f t="shared" si="78"/>
        <v>0</v>
      </c>
      <c r="BI10" s="62"/>
      <c r="BJ10" s="67">
        <f t="shared" si="79"/>
        <v>0</v>
      </c>
      <c r="BK10" s="62"/>
      <c r="BL10" s="67">
        <f t="shared" si="80"/>
        <v>0</v>
      </c>
      <c r="BM10" s="62"/>
      <c r="BN10" s="67">
        <f t="shared" si="81"/>
        <v>0</v>
      </c>
      <c r="BO10" s="62"/>
      <c r="BP10" s="67">
        <f t="shared" si="82"/>
        <v>0</v>
      </c>
      <c r="BQ10" s="62"/>
      <c r="BR10" s="67">
        <f t="shared" si="56"/>
        <v>0</v>
      </c>
      <c r="BS10" s="62"/>
      <c r="BT10" s="67">
        <f t="shared" si="83"/>
        <v>0</v>
      </c>
      <c r="BU10" s="62"/>
      <c r="BV10" s="67">
        <f t="shared" si="57"/>
        <v>0</v>
      </c>
      <c r="BW10" s="62"/>
      <c r="BX10" s="67">
        <f t="shared" si="84"/>
        <v>0</v>
      </c>
      <c r="BY10" s="62"/>
      <c r="BZ10" s="67">
        <f t="shared" si="58"/>
        <v>0</v>
      </c>
      <c r="CA10" s="62"/>
      <c r="CB10" s="67">
        <f t="shared" si="59"/>
        <v>0</v>
      </c>
      <c r="CC10" s="62"/>
      <c r="CD10" s="67">
        <f t="shared" si="60"/>
        <v>0</v>
      </c>
      <c r="CE10" s="62"/>
      <c r="CF10" s="67">
        <f t="shared" si="61"/>
        <v>0</v>
      </c>
      <c r="CG10" s="62"/>
      <c r="CH10" s="67">
        <f t="shared" si="62"/>
        <v>0</v>
      </c>
      <c r="CI10" s="62"/>
      <c r="CJ10" s="67">
        <f t="shared" si="63"/>
        <v>0</v>
      </c>
      <c r="CK10" s="62"/>
      <c r="CL10" s="66">
        <f t="shared" si="64"/>
        <v>0</v>
      </c>
      <c r="CM10" s="67"/>
      <c r="CN10" s="64">
        <v>0</v>
      </c>
      <c r="CO10" s="64">
        <v>0</v>
      </c>
    </row>
    <row r="11" spans="1:93" ht="25.5" customHeight="1" thickBot="1" x14ac:dyDescent="0.45">
      <c r="A11" s="65">
        <v>43959</v>
      </c>
      <c r="B11" s="45"/>
      <c r="C11" s="60"/>
      <c r="D11" s="66">
        <f t="shared" si="42"/>
        <v>0</v>
      </c>
      <c r="E11" s="60"/>
      <c r="F11" s="66">
        <f t="shared" si="43"/>
        <v>0</v>
      </c>
      <c r="G11" s="60"/>
      <c r="H11" s="66">
        <f t="shared" si="44"/>
        <v>0</v>
      </c>
      <c r="I11" s="60"/>
      <c r="J11" s="66">
        <f t="shared" si="85"/>
        <v>0</v>
      </c>
      <c r="K11" s="60"/>
      <c r="L11" s="66">
        <f t="shared" si="45"/>
        <v>0</v>
      </c>
      <c r="M11" s="60"/>
      <c r="N11" s="66">
        <f t="shared" si="46"/>
        <v>0</v>
      </c>
      <c r="O11" s="60"/>
      <c r="P11" s="67">
        <f t="shared" si="47"/>
        <v>0</v>
      </c>
      <c r="Q11" s="60"/>
      <c r="R11" s="67">
        <f t="shared" si="48"/>
        <v>0</v>
      </c>
      <c r="S11" s="60"/>
      <c r="T11" s="66">
        <f t="shared" si="49"/>
        <v>0</v>
      </c>
      <c r="U11" s="60"/>
      <c r="V11" s="67">
        <f t="shared" si="50"/>
        <v>0</v>
      </c>
      <c r="W11" s="60"/>
      <c r="X11" s="67">
        <f t="shared" si="65"/>
        <v>0</v>
      </c>
      <c r="Y11" s="60"/>
      <c r="Z11" s="67">
        <f t="shared" si="66"/>
        <v>0</v>
      </c>
      <c r="AA11" s="60"/>
      <c r="AB11" s="67">
        <f t="shared" si="67"/>
        <v>0</v>
      </c>
      <c r="AC11" s="60"/>
      <c r="AD11" s="67">
        <f t="shared" si="68"/>
        <v>0</v>
      </c>
      <c r="AE11" s="60"/>
      <c r="AF11" s="67">
        <f t="shared" si="69"/>
        <v>0</v>
      </c>
      <c r="AG11" s="60"/>
      <c r="AH11" s="67">
        <f t="shared" si="51"/>
        <v>0</v>
      </c>
      <c r="AI11" s="60"/>
      <c r="AJ11" s="67">
        <f t="shared" si="70"/>
        <v>0</v>
      </c>
      <c r="AK11" s="60"/>
      <c r="AL11" s="67">
        <f t="shared" si="52"/>
        <v>0</v>
      </c>
      <c r="AM11" s="60"/>
      <c r="AN11" s="67">
        <f t="shared" si="53"/>
        <v>0</v>
      </c>
      <c r="AO11" s="60"/>
      <c r="AP11" s="67">
        <f t="shared" si="54"/>
        <v>0</v>
      </c>
      <c r="AQ11" s="60"/>
      <c r="AR11" s="67">
        <f t="shared" si="71"/>
        <v>0</v>
      </c>
      <c r="AS11" s="60"/>
      <c r="AT11" s="67">
        <f t="shared" si="72"/>
        <v>0</v>
      </c>
      <c r="AU11" s="60"/>
      <c r="AV11" s="67">
        <f t="shared" si="73"/>
        <v>0</v>
      </c>
      <c r="AW11" s="60"/>
      <c r="AX11" s="67">
        <f t="shared" si="74"/>
        <v>0</v>
      </c>
      <c r="AY11" s="60"/>
      <c r="AZ11" s="67">
        <f t="shared" si="75"/>
        <v>0</v>
      </c>
      <c r="BA11" s="60"/>
      <c r="BB11" s="67">
        <f t="shared" si="76"/>
        <v>0</v>
      </c>
      <c r="BC11" s="60"/>
      <c r="BD11" s="67">
        <f t="shared" si="77"/>
        <v>0</v>
      </c>
      <c r="BE11" s="61"/>
      <c r="BF11" s="67">
        <f t="shared" si="55"/>
        <v>0</v>
      </c>
      <c r="BG11" s="62"/>
      <c r="BH11" s="67">
        <f t="shared" si="78"/>
        <v>0</v>
      </c>
      <c r="BI11" s="62"/>
      <c r="BJ11" s="67">
        <f t="shared" si="79"/>
        <v>0</v>
      </c>
      <c r="BK11" s="62"/>
      <c r="BL11" s="67">
        <f t="shared" si="80"/>
        <v>0</v>
      </c>
      <c r="BM11" s="62"/>
      <c r="BN11" s="67">
        <f t="shared" si="81"/>
        <v>0</v>
      </c>
      <c r="BO11" s="62"/>
      <c r="BP11" s="67">
        <f t="shared" si="82"/>
        <v>0</v>
      </c>
      <c r="BQ11" s="62"/>
      <c r="BR11" s="67">
        <f t="shared" si="56"/>
        <v>0</v>
      </c>
      <c r="BS11" s="62"/>
      <c r="BT11" s="67">
        <f t="shared" si="83"/>
        <v>0</v>
      </c>
      <c r="BU11" s="62"/>
      <c r="BV11" s="67">
        <f t="shared" si="57"/>
        <v>0</v>
      </c>
      <c r="BW11" s="62"/>
      <c r="BX11" s="67">
        <f t="shared" si="84"/>
        <v>0</v>
      </c>
      <c r="BY11" s="62"/>
      <c r="BZ11" s="67">
        <f t="shared" si="58"/>
        <v>0</v>
      </c>
      <c r="CA11" s="62"/>
      <c r="CB11" s="67">
        <f t="shared" si="59"/>
        <v>0</v>
      </c>
      <c r="CC11" s="62"/>
      <c r="CD11" s="67">
        <f t="shared" si="60"/>
        <v>0</v>
      </c>
      <c r="CE11" s="62"/>
      <c r="CF11" s="67">
        <f t="shared" si="61"/>
        <v>0</v>
      </c>
      <c r="CG11" s="62"/>
      <c r="CH11" s="67">
        <f t="shared" si="62"/>
        <v>0</v>
      </c>
      <c r="CI11" s="62"/>
      <c r="CJ11" s="67">
        <f t="shared" si="63"/>
        <v>0</v>
      </c>
      <c r="CK11" s="62"/>
      <c r="CL11" s="66">
        <f t="shared" si="64"/>
        <v>0</v>
      </c>
      <c r="CM11" s="67"/>
      <c r="CN11" s="64">
        <v>0</v>
      </c>
      <c r="CO11" s="64">
        <v>0</v>
      </c>
    </row>
    <row r="12" spans="1:93" ht="25.5" customHeight="1" thickBot="1" x14ac:dyDescent="0.45">
      <c r="A12" s="65">
        <v>43960</v>
      </c>
      <c r="B12" s="45"/>
      <c r="C12" s="60"/>
      <c r="D12" s="66">
        <f t="shared" si="42"/>
        <v>0</v>
      </c>
      <c r="E12" s="60"/>
      <c r="F12" s="66">
        <f t="shared" si="43"/>
        <v>0</v>
      </c>
      <c r="G12" s="60"/>
      <c r="H12" s="66">
        <f t="shared" si="44"/>
        <v>0</v>
      </c>
      <c r="I12" s="60"/>
      <c r="J12" s="66">
        <f t="shared" si="85"/>
        <v>0</v>
      </c>
      <c r="K12" s="60"/>
      <c r="L12" s="66">
        <f t="shared" si="45"/>
        <v>0</v>
      </c>
      <c r="M12" s="60"/>
      <c r="N12" s="66">
        <f t="shared" si="46"/>
        <v>0</v>
      </c>
      <c r="O12" s="60"/>
      <c r="P12" s="67">
        <f t="shared" si="47"/>
        <v>0</v>
      </c>
      <c r="Q12" s="60"/>
      <c r="R12" s="67">
        <f t="shared" si="48"/>
        <v>0</v>
      </c>
      <c r="S12" s="60"/>
      <c r="T12" s="67">
        <f t="shared" ref="T12:T34" si="86">IF((S12-S11&lt;0), "",S12-S11)</f>
        <v>0</v>
      </c>
      <c r="U12" s="60"/>
      <c r="V12" s="67">
        <f t="shared" si="50"/>
        <v>0</v>
      </c>
      <c r="W12" s="60"/>
      <c r="X12" s="67">
        <f t="shared" si="65"/>
        <v>0</v>
      </c>
      <c r="Y12" s="60"/>
      <c r="Z12" s="67">
        <f t="shared" si="66"/>
        <v>0</v>
      </c>
      <c r="AA12" s="60"/>
      <c r="AB12" s="67">
        <f t="shared" si="67"/>
        <v>0</v>
      </c>
      <c r="AC12" s="60"/>
      <c r="AD12" s="67">
        <f t="shared" si="68"/>
        <v>0</v>
      </c>
      <c r="AE12" s="60"/>
      <c r="AF12" s="67">
        <f t="shared" si="69"/>
        <v>0</v>
      </c>
      <c r="AG12" s="60"/>
      <c r="AH12" s="67">
        <f t="shared" si="51"/>
        <v>0</v>
      </c>
      <c r="AI12" s="60"/>
      <c r="AJ12" s="67">
        <f t="shared" si="70"/>
        <v>0</v>
      </c>
      <c r="AK12" s="60"/>
      <c r="AL12" s="67">
        <f t="shared" si="52"/>
        <v>0</v>
      </c>
      <c r="AM12" s="60"/>
      <c r="AN12" s="67">
        <f t="shared" si="53"/>
        <v>0</v>
      </c>
      <c r="AO12" s="60"/>
      <c r="AP12" s="67">
        <f t="shared" si="54"/>
        <v>0</v>
      </c>
      <c r="AQ12" s="60"/>
      <c r="AR12" s="67">
        <f t="shared" si="71"/>
        <v>0</v>
      </c>
      <c r="AS12" s="60"/>
      <c r="AT12" s="67">
        <f t="shared" si="72"/>
        <v>0</v>
      </c>
      <c r="AU12" s="60"/>
      <c r="AV12" s="67">
        <f t="shared" si="73"/>
        <v>0</v>
      </c>
      <c r="AW12" s="60"/>
      <c r="AX12" s="67">
        <f t="shared" si="74"/>
        <v>0</v>
      </c>
      <c r="AY12" s="60"/>
      <c r="AZ12" s="67">
        <f t="shared" si="75"/>
        <v>0</v>
      </c>
      <c r="BA12" s="60"/>
      <c r="BB12" s="67">
        <f t="shared" si="76"/>
        <v>0</v>
      </c>
      <c r="BC12" s="60"/>
      <c r="BD12" s="67">
        <f t="shared" si="77"/>
        <v>0</v>
      </c>
      <c r="BE12" s="61"/>
      <c r="BF12" s="67">
        <f t="shared" si="55"/>
        <v>0</v>
      </c>
      <c r="BG12" s="62"/>
      <c r="BH12" s="67">
        <f t="shared" si="78"/>
        <v>0</v>
      </c>
      <c r="BI12" s="62"/>
      <c r="BJ12" s="67">
        <f t="shared" si="79"/>
        <v>0</v>
      </c>
      <c r="BK12" s="62"/>
      <c r="BL12" s="67">
        <f t="shared" si="80"/>
        <v>0</v>
      </c>
      <c r="BM12" s="62"/>
      <c r="BN12" s="67">
        <f t="shared" si="81"/>
        <v>0</v>
      </c>
      <c r="BO12" s="62"/>
      <c r="BP12" s="67">
        <f t="shared" si="82"/>
        <v>0</v>
      </c>
      <c r="BQ12" s="62"/>
      <c r="BR12" s="67">
        <f t="shared" si="56"/>
        <v>0</v>
      </c>
      <c r="BS12" s="62"/>
      <c r="BT12" s="67">
        <f t="shared" si="83"/>
        <v>0</v>
      </c>
      <c r="BU12" s="62"/>
      <c r="BV12" s="67">
        <f t="shared" si="57"/>
        <v>0</v>
      </c>
      <c r="BW12" s="62"/>
      <c r="BX12" s="67">
        <f t="shared" si="84"/>
        <v>0</v>
      </c>
      <c r="BY12" s="62"/>
      <c r="BZ12" s="67">
        <f t="shared" si="58"/>
        <v>0</v>
      </c>
      <c r="CA12" s="62"/>
      <c r="CB12" s="67">
        <f t="shared" si="59"/>
        <v>0</v>
      </c>
      <c r="CC12" s="62"/>
      <c r="CD12" s="67">
        <f t="shared" si="60"/>
        <v>0</v>
      </c>
      <c r="CE12" s="62"/>
      <c r="CF12" s="67">
        <f t="shared" si="61"/>
        <v>0</v>
      </c>
      <c r="CG12" s="62"/>
      <c r="CH12" s="67">
        <f t="shared" si="62"/>
        <v>0</v>
      </c>
      <c r="CI12" s="62"/>
      <c r="CJ12" s="67">
        <f t="shared" si="63"/>
        <v>0</v>
      </c>
      <c r="CK12" s="62"/>
      <c r="CL12" s="66">
        <f t="shared" si="64"/>
        <v>0</v>
      </c>
      <c r="CM12" s="67"/>
      <c r="CN12" s="64">
        <v>0</v>
      </c>
      <c r="CO12" s="64">
        <v>0</v>
      </c>
    </row>
    <row r="13" spans="1:93" ht="25.5" customHeight="1" thickBot="1" x14ac:dyDescent="0.45">
      <c r="A13" s="65">
        <v>43961</v>
      </c>
      <c r="B13" s="45"/>
      <c r="C13" s="60"/>
      <c r="D13" s="66">
        <f t="shared" si="42"/>
        <v>0</v>
      </c>
      <c r="E13" s="60"/>
      <c r="F13" s="66">
        <f t="shared" si="43"/>
        <v>0</v>
      </c>
      <c r="G13" s="60"/>
      <c r="H13" s="66">
        <f t="shared" si="44"/>
        <v>0</v>
      </c>
      <c r="I13" s="60"/>
      <c r="J13" s="66">
        <f t="shared" si="85"/>
        <v>0</v>
      </c>
      <c r="K13" s="60"/>
      <c r="L13" s="66">
        <f t="shared" si="45"/>
        <v>0</v>
      </c>
      <c r="M13" s="60"/>
      <c r="N13" s="66">
        <f t="shared" si="46"/>
        <v>0</v>
      </c>
      <c r="O13" s="60"/>
      <c r="P13" s="67">
        <f t="shared" si="47"/>
        <v>0</v>
      </c>
      <c r="Q13" s="60"/>
      <c r="R13" s="67">
        <f t="shared" si="48"/>
        <v>0</v>
      </c>
      <c r="S13" s="60"/>
      <c r="T13" s="67">
        <f t="shared" si="86"/>
        <v>0</v>
      </c>
      <c r="U13" s="60"/>
      <c r="V13" s="67">
        <f t="shared" si="50"/>
        <v>0</v>
      </c>
      <c r="W13" s="60"/>
      <c r="X13" s="67">
        <f t="shared" si="65"/>
        <v>0</v>
      </c>
      <c r="Y13" s="60"/>
      <c r="Z13" s="67">
        <f t="shared" si="66"/>
        <v>0</v>
      </c>
      <c r="AA13" s="60"/>
      <c r="AB13" s="67">
        <f t="shared" si="67"/>
        <v>0</v>
      </c>
      <c r="AC13" s="60"/>
      <c r="AD13" s="67">
        <f t="shared" si="68"/>
        <v>0</v>
      </c>
      <c r="AE13" s="60"/>
      <c r="AF13" s="67">
        <f t="shared" si="69"/>
        <v>0</v>
      </c>
      <c r="AG13" s="60"/>
      <c r="AH13" s="67">
        <f t="shared" si="51"/>
        <v>0</v>
      </c>
      <c r="AI13" s="60"/>
      <c r="AJ13" s="67">
        <f t="shared" si="70"/>
        <v>0</v>
      </c>
      <c r="AK13" s="60"/>
      <c r="AL13" s="67">
        <f t="shared" si="52"/>
        <v>0</v>
      </c>
      <c r="AM13" s="60"/>
      <c r="AN13" s="67">
        <f t="shared" si="53"/>
        <v>0</v>
      </c>
      <c r="AO13" s="60"/>
      <c r="AP13" s="67">
        <f t="shared" si="54"/>
        <v>0</v>
      </c>
      <c r="AQ13" s="60"/>
      <c r="AR13" s="67">
        <f t="shared" si="71"/>
        <v>0</v>
      </c>
      <c r="AS13" s="60"/>
      <c r="AT13" s="67">
        <f t="shared" si="72"/>
        <v>0</v>
      </c>
      <c r="AU13" s="60"/>
      <c r="AV13" s="67">
        <f t="shared" si="73"/>
        <v>0</v>
      </c>
      <c r="AW13" s="60"/>
      <c r="AX13" s="67">
        <f t="shared" si="74"/>
        <v>0</v>
      </c>
      <c r="AY13" s="60"/>
      <c r="AZ13" s="67">
        <f t="shared" si="75"/>
        <v>0</v>
      </c>
      <c r="BA13" s="60"/>
      <c r="BB13" s="67">
        <f t="shared" si="76"/>
        <v>0</v>
      </c>
      <c r="BC13" s="60"/>
      <c r="BD13" s="67">
        <f t="shared" si="77"/>
        <v>0</v>
      </c>
      <c r="BE13" s="61"/>
      <c r="BF13" s="67">
        <f t="shared" si="55"/>
        <v>0</v>
      </c>
      <c r="BG13" s="62"/>
      <c r="BH13" s="67">
        <f t="shared" si="78"/>
        <v>0</v>
      </c>
      <c r="BI13" s="62"/>
      <c r="BJ13" s="67">
        <f t="shared" si="79"/>
        <v>0</v>
      </c>
      <c r="BK13" s="62"/>
      <c r="BL13" s="67">
        <f t="shared" si="80"/>
        <v>0</v>
      </c>
      <c r="BM13" s="62"/>
      <c r="BN13" s="67">
        <f t="shared" si="81"/>
        <v>0</v>
      </c>
      <c r="BO13" s="62"/>
      <c r="BP13" s="67">
        <f t="shared" si="82"/>
        <v>0</v>
      </c>
      <c r="BQ13" s="62"/>
      <c r="BR13" s="67">
        <f t="shared" si="56"/>
        <v>0</v>
      </c>
      <c r="BS13" s="62"/>
      <c r="BT13" s="67">
        <f t="shared" si="83"/>
        <v>0</v>
      </c>
      <c r="BU13" s="62"/>
      <c r="BV13" s="67">
        <f t="shared" si="57"/>
        <v>0</v>
      </c>
      <c r="BW13" s="62"/>
      <c r="BX13" s="67">
        <f t="shared" si="84"/>
        <v>0</v>
      </c>
      <c r="BY13" s="62"/>
      <c r="BZ13" s="67">
        <f t="shared" si="58"/>
        <v>0</v>
      </c>
      <c r="CA13" s="62"/>
      <c r="CB13" s="67">
        <f t="shared" si="59"/>
        <v>0</v>
      </c>
      <c r="CC13" s="62"/>
      <c r="CD13" s="67">
        <f t="shared" si="60"/>
        <v>0</v>
      </c>
      <c r="CE13" s="62"/>
      <c r="CF13" s="67">
        <f t="shared" si="61"/>
        <v>0</v>
      </c>
      <c r="CG13" s="62"/>
      <c r="CH13" s="67">
        <f t="shared" si="62"/>
        <v>0</v>
      </c>
      <c r="CI13" s="62"/>
      <c r="CJ13" s="67">
        <f t="shared" si="63"/>
        <v>0</v>
      </c>
      <c r="CK13" s="62"/>
      <c r="CL13" s="66">
        <f t="shared" si="64"/>
        <v>0</v>
      </c>
      <c r="CM13" s="67"/>
      <c r="CN13" s="64">
        <v>0</v>
      </c>
      <c r="CO13" s="64">
        <v>0</v>
      </c>
    </row>
    <row r="14" spans="1:93" ht="25.5" customHeight="1" thickBot="1" x14ac:dyDescent="0.45">
      <c r="A14" s="65">
        <v>43962</v>
      </c>
      <c r="B14" s="45"/>
      <c r="C14" s="60"/>
      <c r="D14" s="66">
        <f t="shared" si="42"/>
        <v>0</v>
      </c>
      <c r="E14" s="60"/>
      <c r="F14" s="66">
        <f t="shared" si="43"/>
        <v>0</v>
      </c>
      <c r="G14" s="60"/>
      <c r="H14" s="66">
        <f t="shared" si="44"/>
        <v>0</v>
      </c>
      <c r="I14" s="60"/>
      <c r="J14" s="66">
        <f t="shared" si="85"/>
        <v>0</v>
      </c>
      <c r="K14" s="60"/>
      <c r="L14" s="66">
        <f t="shared" si="45"/>
        <v>0</v>
      </c>
      <c r="M14" s="60"/>
      <c r="N14" s="66">
        <f t="shared" si="46"/>
        <v>0</v>
      </c>
      <c r="O14" s="60"/>
      <c r="P14" s="67">
        <f t="shared" si="47"/>
        <v>0</v>
      </c>
      <c r="Q14" s="60"/>
      <c r="R14" s="67">
        <f t="shared" si="48"/>
        <v>0</v>
      </c>
      <c r="S14" s="60"/>
      <c r="T14" s="67">
        <f t="shared" si="86"/>
        <v>0</v>
      </c>
      <c r="U14" s="60"/>
      <c r="V14" s="67">
        <f t="shared" si="50"/>
        <v>0</v>
      </c>
      <c r="W14" s="60"/>
      <c r="X14" s="67">
        <f>IF((W14-W13&lt;0), "",(W14-W13)*1000)</f>
        <v>0</v>
      </c>
      <c r="Y14" s="60"/>
      <c r="Z14" s="67">
        <f t="shared" si="66"/>
        <v>0</v>
      </c>
      <c r="AA14" s="60"/>
      <c r="AB14" s="67">
        <f t="shared" si="67"/>
        <v>0</v>
      </c>
      <c r="AC14" s="60"/>
      <c r="AD14" s="67">
        <f t="shared" si="68"/>
        <v>0</v>
      </c>
      <c r="AE14" s="60"/>
      <c r="AF14" s="67">
        <f t="shared" si="69"/>
        <v>0</v>
      </c>
      <c r="AG14" s="60"/>
      <c r="AH14" s="67">
        <f t="shared" si="51"/>
        <v>0</v>
      </c>
      <c r="AI14" s="60"/>
      <c r="AJ14" s="67">
        <f t="shared" si="70"/>
        <v>0</v>
      </c>
      <c r="AK14" s="60"/>
      <c r="AL14" s="67">
        <f t="shared" si="52"/>
        <v>0</v>
      </c>
      <c r="AM14" s="60"/>
      <c r="AN14" s="67">
        <f t="shared" si="53"/>
        <v>0</v>
      </c>
      <c r="AO14" s="60"/>
      <c r="AP14" s="67">
        <f t="shared" si="54"/>
        <v>0</v>
      </c>
      <c r="AQ14" s="60"/>
      <c r="AR14" s="67">
        <f t="shared" si="71"/>
        <v>0</v>
      </c>
      <c r="AS14" s="60"/>
      <c r="AT14" s="67">
        <f t="shared" si="72"/>
        <v>0</v>
      </c>
      <c r="AU14" s="60"/>
      <c r="AV14" s="67">
        <f t="shared" si="73"/>
        <v>0</v>
      </c>
      <c r="AW14" s="60"/>
      <c r="AX14" s="67">
        <f t="shared" si="74"/>
        <v>0</v>
      </c>
      <c r="AY14" s="60"/>
      <c r="AZ14" s="67">
        <f t="shared" si="75"/>
        <v>0</v>
      </c>
      <c r="BA14" s="60"/>
      <c r="BB14" s="67">
        <f t="shared" si="76"/>
        <v>0</v>
      </c>
      <c r="BC14" s="60"/>
      <c r="BD14" s="67">
        <f t="shared" si="77"/>
        <v>0</v>
      </c>
      <c r="BE14" s="61"/>
      <c r="BF14" s="67">
        <f t="shared" si="55"/>
        <v>0</v>
      </c>
      <c r="BG14" s="62"/>
      <c r="BH14" s="67">
        <f t="shared" si="78"/>
        <v>0</v>
      </c>
      <c r="BI14" s="62"/>
      <c r="BJ14" s="67">
        <f t="shared" si="79"/>
        <v>0</v>
      </c>
      <c r="BK14" s="62"/>
      <c r="BL14" s="67">
        <f t="shared" si="80"/>
        <v>0</v>
      </c>
      <c r="BM14" s="62"/>
      <c r="BN14" s="67">
        <f t="shared" si="81"/>
        <v>0</v>
      </c>
      <c r="BO14" s="62"/>
      <c r="BP14" s="67">
        <f t="shared" si="82"/>
        <v>0</v>
      </c>
      <c r="BQ14" s="62"/>
      <c r="BR14" s="67">
        <f t="shared" si="56"/>
        <v>0</v>
      </c>
      <c r="BS14" s="62"/>
      <c r="BT14" s="67">
        <f t="shared" si="83"/>
        <v>0</v>
      </c>
      <c r="BU14" s="62"/>
      <c r="BV14" s="67">
        <f t="shared" si="57"/>
        <v>0</v>
      </c>
      <c r="BW14" s="62"/>
      <c r="BX14" s="67">
        <f t="shared" si="84"/>
        <v>0</v>
      </c>
      <c r="BY14" s="62"/>
      <c r="BZ14" s="67">
        <f t="shared" si="58"/>
        <v>0</v>
      </c>
      <c r="CA14" s="62"/>
      <c r="CB14" s="67">
        <f t="shared" si="59"/>
        <v>0</v>
      </c>
      <c r="CC14" s="62"/>
      <c r="CD14" s="67">
        <f t="shared" si="60"/>
        <v>0</v>
      </c>
      <c r="CE14" s="62"/>
      <c r="CF14" s="67">
        <f t="shared" si="61"/>
        <v>0</v>
      </c>
      <c r="CG14" s="62"/>
      <c r="CH14" s="67">
        <f t="shared" si="62"/>
        <v>0</v>
      </c>
      <c r="CI14" s="62"/>
      <c r="CJ14" s="67">
        <f t="shared" si="63"/>
        <v>0</v>
      </c>
      <c r="CK14" s="62"/>
      <c r="CL14" s="66">
        <f t="shared" si="64"/>
        <v>0</v>
      </c>
      <c r="CM14" s="67"/>
      <c r="CN14" s="64">
        <v>0</v>
      </c>
      <c r="CO14" s="64">
        <v>0</v>
      </c>
    </row>
    <row r="15" spans="1:93" ht="25.5" customHeight="1" thickBot="1" x14ac:dyDescent="0.45">
      <c r="A15" s="65">
        <v>43963</v>
      </c>
      <c r="B15" s="45"/>
      <c r="C15" s="60"/>
      <c r="D15" s="66">
        <f t="shared" si="42"/>
        <v>0</v>
      </c>
      <c r="E15" s="60"/>
      <c r="F15" s="66">
        <f t="shared" si="43"/>
        <v>0</v>
      </c>
      <c r="G15" s="60"/>
      <c r="H15" s="66">
        <f t="shared" si="44"/>
        <v>0</v>
      </c>
      <c r="I15" s="60"/>
      <c r="J15" s="66">
        <f t="shared" si="85"/>
        <v>0</v>
      </c>
      <c r="K15" s="60"/>
      <c r="L15" s="66">
        <f t="shared" si="45"/>
        <v>0</v>
      </c>
      <c r="M15" s="60"/>
      <c r="N15" s="66">
        <f t="shared" si="46"/>
        <v>0</v>
      </c>
      <c r="O15" s="60"/>
      <c r="P15" s="67">
        <f t="shared" si="47"/>
        <v>0</v>
      </c>
      <c r="Q15" s="60"/>
      <c r="R15" s="67">
        <f t="shared" si="48"/>
        <v>0</v>
      </c>
      <c r="S15" s="60"/>
      <c r="T15" s="67">
        <f t="shared" si="86"/>
        <v>0</v>
      </c>
      <c r="U15" s="60"/>
      <c r="V15" s="67">
        <f t="shared" si="50"/>
        <v>0</v>
      </c>
      <c r="W15" s="60"/>
      <c r="X15" s="67">
        <f t="shared" si="65"/>
        <v>0</v>
      </c>
      <c r="Y15" s="60"/>
      <c r="Z15" s="67">
        <f t="shared" si="66"/>
        <v>0</v>
      </c>
      <c r="AA15" s="60"/>
      <c r="AB15" s="67">
        <f t="shared" si="67"/>
        <v>0</v>
      </c>
      <c r="AC15" s="60"/>
      <c r="AD15" s="67">
        <f t="shared" si="68"/>
        <v>0</v>
      </c>
      <c r="AE15" s="60"/>
      <c r="AF15" s="67">
        <f t="shared" si="69"/>
        <v>0</v>
      </c>
      <c r="AG15" s="60"/>
      <c r="AH15" s="67">
        <f t="shared" si="51"/>
        <v>0</v>
      </c>
      <c r="AI15" s="60"/>
      <c r="AJ15" s="67">
        <f t="shared" si="70"/>
        <v>0</v>
      </c>
      <c r="AK15" s="60"/>
      <c r="AL15" s="67">
        <f t="shared" si="52"/>
        <v>0</v>
      </c>
      <c r="AM15" s="60"/>
      <c r="AN15" s="67">
        <f t="shared" si="53"/>
        <v>0</v>
      </c>
      <c r="AO15" s="60"/>
      <c r="AP15" s="67">
        <f t="shared" si="54"/>
        <v>0</v>
      </c>
      <c r="AQ15" s="60"/>
      <c r="AR15" s="67">
        <f t="shared" si="71"/>
        <v>0</v>
      </c>
      <c r="AS15" s="60"/>
      <c r="AT15" s="67">
        <f t="shared" si="72"/>
        <v>0</v>
      </c>
      <c r="AU15" s="60"/>
      <c r="AV15" s="67">
        <f t="shared" si="73"/>
        <v>0</v>
      </c>
      <c r="AW15" s="60"/>
      <c r="AX15" s="67">
        <f t="shared" si="74"/>
        <v>0</v>
      </c>
      <c r="AY15" s="60"/>
      <c r="AZ15" s="67">
        <f t="shared" si="75"/>
        <v>0</v>
      </c>
      <c r="BA15" s="60"/>
      <c r="BB15" s="67">
        <f t="shared" si="76"/>
        <v>0</v>
      </c>
      <c r="BC15" s="60"/>
      <c r="BD15" s="67">
        <f t="shared" si="77"/>
        <v>0</v>
      </c>
      <c r="BE15" s="61"/>
      <c r="BF15" s="67">
        <f t="shared" si="55"/>
        <v>0</v>
      </c>
      <c r="BG15" s="62"/>
      <c r="BH15" s="67">
        <f t="shared" si="78"/>
        <v>0</v>
      </c>
      <c r="BI15" s="62"/>
      <c r="BJ15" s="67">
        <f t="shared" si="79"/>
        <v>0</v>
      </c>
      <c r="BK15" s="62"/>
      <c r="BL15" s="67">
        <f t="shared" si="80"/>
        <v>0</v>
      </c>
      <c r="BM15" s="62"/>
      <c r="BN15" s="67">
        <f t="shared" si="81"/>
        <v>0</v>
      </c>
      <c r="BO15" s="62"/>
      <c r="BP15" s="67">
        <f t="shared" si="82"/>
        <v>0</v>
      </c>
      <c r="BQ15" s="62"/>
      <c r="BR15" s="67">
        <f t="shared" si="56"/>
        <v>0</v>
      </c>
      <c r="BS15" s="62"/>
      <c r="BT15" s="67">
        <f t="shared" si="83"/>
        <v>0</v>
      </c>
      <c r="BU15" s="62"/>
      <c r="BV15" s="67">
        <f t="shared" si="57"/>
        <v>0</v>
      </c>
      <c r="BW15" s="62"/>
      <c r="BX15" s="67">
        <f t="shared" si="84"/>
        <v>0</v>
      </c>
      <c r="BY15" s="62"/>
      <c r="BZ15" s="67">
        <f t="shared" si="58"/>
        <v>0</v>
      </c>
      <c r="CA15" s="62"/>
      <c r="CB15" s="67">
        <f t="shared" si="59"/>
        <v>0</v>
      </c>
      <c r="CC15" s="62"/>
      <c r="CD15" s="67">
        <f t="shared" si="60"/>
        <v>0</v>
      </c>
      <c r="CE15" s="62"/>
      <c r="CF15" s="67">
        <f t="shared" si="61"/>
        <v>0</v>
      </c>
      <c r="CG15" s="62"/>
      <c r="CH15" s="67">
        <f t="shared" si="62"/>
        <v>0</v>
      </c>
      <c r="CI15" s="62"/>
      <c r="CJ15" s="67">
        <f t="shared" si="63"/>
        <v>0</v>
      </c>
      <c r="CK15" s="62"/>
      <c r="CL15" s="66">
        <f t="shared" si="64"/>
        <v>0</v>
      </c>
      <c r="CM15" s="67"/>
      <c r="CN15" s="64">
        <v>0</v>
      </c>
      <c r="CO15" s="64">
        <v>0</v>
      </c>
    </row>
    <row r="16" spans="1:93" ht="25.5" customHeight="1" thickBot="1" x14ac:dyDescent="0.45">
      <c r="A16" s="65">
        <v>43964</v>
      </c>
      <c r="B16" s="45"/>
      <c r="C16" s="60"/>
      <c r="D16" s="66">
        <f t="shared" si="42"/>
        <v>0</v>
      </c>
      <c r="E16" s="60"/>
      <c r="F16" s="66">
        <f t="shared" si="43"/>
        <v>0</v>
      </c>
      <c r="G16" s="60"/>
      <c r="H16" s="66">
        <f t="shared" si="44"/>
        <v>0</v>
      </c>
      <c r="I16" s="60"/>
      <c r="J16" s="66">
        <f t="shared" si="85"/>
        <v>0</v>
      </c>
      <c r="K16" s="60"/>
      <c r="L16" s="66">
        <f t="shared" si="45"/>
        <v>0</v>
      </c>
      <c r="M16" s="60"/>
      <c r="N16" s="66">
        <f t="shared" si="46"/>
        <v>0</v>
      </c>
      <c r="O16" s="60"/>
      <c r="P16" s="67">
        <f t="shared" si="47"/>
        <v>0</v>
      </c>
      <c r="Q16" s="60"/>
      <c r="R16" s="67">
        <f t="shared" si="48"/>
        <v>0</v>
      </c>
      <c r="S16" s="60"/>
      <c r="T16" s="67">
        <f t="shared" si="86"/>
        <v>0</v>
      </c>
      <c r="U16" s="60"/>
      <c r="V16" s="67">
        <f t="shared" si="50"/>
        <v>0</v>
      </c>
      <c r="W16" s="60"/>
      <c r="X16" s="67">
        <f t="shared" si="65"/>
        <v>0</v>
      </c>
      <c r="Y16" s="60"/>
      <c r="Z16" s="67">
        <f t="shared" si="66"/>
        <v>0</v>
      </c>
      <c r="AA16" s="60"/>
      <c r="AB16" s="67">
        <f t="shared" si="67"/>
        <v>0</v>
      </c>
      <c r="AC16" s="60"/>
      <c r="AD16" s="67">
        <f t="shared" si="68"/>
        <v>0</v>
      </c>
      <c r="AE16" s="60"/>
      <c r="AF16" s="67">
        <f t="shared" si="69"/>
        <v>0</v>
      </c>
      <c r="AG16" s="60"/>
      <c r="AH16" s="67">
        <f t="shared" si="51"/>
        <v>0</v>
      </c>
      <c r="AI16" s="60"/>
      <c r="AJ16" s="67">
        <f t="shared" si="70"/>
        <v>0</v>
      </c>
      <c r="AK16" s="60"/>
      <c r="AL16" s="67">
        <f t="shared" si="52"/>
        <v>0</v>
      </c>
      <c r="AM16" s="60"/>
      <c r="AN16" s="67">
        <f t="shared" si="53"/>
        <v>0</v>
      </c>
      <c r="AO16" s="60"/>
      <c r="AP16" s="67">
        <f t="shared" si="54"/>
        <v>0</v>
      </c>
      <c r="AQ16" s="60"/>
      <c r="AR16" s="67">
        <f t="shared" si="71"/>
        <v>0</v>
      </c>
      <c r="AS16" s="60"/>
      <c r="AT16" s="67">
        <f t="shared" si="72"/>
        <v>0</v>
      </c>
      <c r="AU16" s="60"/>
      <c r="AV16" s="67">
        <f t="shared" si="73"/>
        <v>0</v>
      </c>
      <c r="AW16" s="60"/>
      <c r="AX16" s="67">
        <f t="shared" si="74"/>
        <v>0</v>
      </c>
      <c r="AY16" s="60"/>
      <c r="AZ16" s="67">
        <f t="shared" si="75"/>
        <v>0</v>
      </c>
      <c r="BA16" s="60"/>
      <c r="BB16" s="67">
        <f t="shared" si="76"/>
        <v>0</v>
      </c>
      <c r="BC16" s="60"/>
      <c r="BD16" s="67">
        <f t="shared" si="77"/>
        <v>0</v>
      </c>
      <c r="BE16" s="61"/>
      <c r="BF16" s="67">
        <f t="shared" si="55"/>
        <v>0</v>
      </c>
      <c r="BG16" s="62"/>
      <c r="BH16" s="67">
        <f t="shared" si="78"/>
        <v>0</v>
      </c>
      <c r="BI16" s="62"/>
      <c r="BJ16" s="67">
        <f t="shared" si="79"/>
        <v>0</v>
      </c>
      <c r="BK16" s="62"/>
      <c r="BL16" s="67">
        <f t="shared" si="80"/>
        <v>0</v>
      </c>
      <c r="BM16" s="62"/>
      <c r="BN16" s="67">
        <f t="shared" si="81"/>
        <v>0</v>
      </c>
      <c r="BO16" s="62"/>
      <c r="BP16" s="67">
        <f t="shared" si="82"/>
        <v>0</v>
      </c>
      <c r="BQ16" s="62"/>
      <c r="BR16" s="67">
        <f t="shared" si="56"/>
        <v>0</v>
      </c>
      <c r="BS16" s="62"/>
      <c r="BT16" s="67">
        <f t="shared" si="83"/>
        <v>0</v>
      </c>
      <c r="BU16" s="62"/>
      <c r="BV16" s="67">
        <f t="shared" si="57"/>
        <v>0</v>
      </c>
      <c r="BW16" s="62"/>
      <c r="BX16" s="67">
        <f t="shared" si="84"/>
        <v>0</v>
      </c>
      <c r="BY16" s="62"/>
      <c r="BZ16" s="67">
        <f t="shared" si="58"/>
        <v>0</v>
      </c>
      <c r="CA16" s="62"/>
      <c r="CB16" s="67">
        <f t="shared" si="59"/>
        <v>0</v>
      </c>
      <c r="CC16" s="62"/>
      <c r="CD16" s="67">
        <f t="shared" si="60"/>
        <v>0</v>
      </c>
      <c r="CE16" s="62"/>
      <c r="CF16" s="67">
        <f t="shared" si="61"/>
        <v>0</v>
      </c>
      <c r="CG16" s="62"/>
      <c r="CH16" s="67">
        <f t="shared" si="62"/>
        <v>0</v>
      </c>
      <c r="CI16" s="62"/>
      <c r="CJ16" s="67">
        <f t="shared" si="63"/>
        <v>0</v>
      </c>
      <c r="CK16" s="62"/>
      <c r="CL16" s="66">
        <f t="shared" si="64"/>
        <v>0</v>
      </c>
      <c r="CM16" s="67"/>
      <c r="CN16" s="64">
        <v>0</v>
      </c>
      <c r="CO16" s="64">
        <v>0</v>
      </c>
    </row>
    <row r="17" spans="1:93" ht="25.5" customHeight="1" thickBot="1" x14ac:dyDescent="0.45">
      <c r="A17" s="65">
        <v>43965</v>
      </c>
      <c r="B17" s="45"/>
      <c r="C17" s="60"/>
      <c r="D17" s="66">
        <f t="shared" si="42"/>
        <v>0</v>
      </c>
      <c r="E17" s="60"/>
      <c r="F17" s="66">
        <f t="shared" si="43"/>
        <v>0</v>
      </c>
      <c r="G17" s="60"/>
      <c r="H17" s="66">
        <f t="shared" si="44"/>
        <v>0</v>
      </c>
      <c r="I17" s="60"/>
      <c r="J17" s="66">
        <f t="shared" si="85"/>
        <v>0</v>
      </c>
      <c r="K17" s="60"/>
      <c r="L17" s="66">
        <f t="shared" si="45"/>
        <v>0</v>
      </c>
      <c r="M17" s="60"/>
      <c r="N17" s="66">
        <f t="shared" si="46"/>
        <v>0</v>
      </c>
      <c r="O17" s="60"/>
      <c r="P17" s="67">
        <f t="shared" si="47"/>
        <v>0</v>
      </c>
      <c r="Q17" s="60"/>
      <c r="R17" s="67">
        <f t="shared" si="48"/>
        <v>0</v>
      </c>
      <c r="S17" s="60"/>
      <c r="T17" s="67">
        <f t="shared" si="86"/>
        <v>0</v>
      </c>
      <c r="U17" s="60"/>
      <c r="V17" s="67">
        <f t="shared" si="50"/>
        <v>0</v>
      </c>
      <c r="W17" s="60"/>
      <c r="X17" s="67">
        <f t="shared" si="65"/>
        <v>0</v>
      </c>
      <c r="Y17" s="60"/>
      <c r="Z17" s="67">
        <f t="shared" si="66"/>
        <v>0</v>
      </c>
      <c r="AA17" s="60"/>
      <c r="AB17" s="67">
        <f t="shared" si="67"/>
        <v>0</v>
      </c>
      <c r="AC17" s="60"/>
      <c r="AD17" s="67">
        <f t="shared" si="68"/>
        <v>0</v>
      </c>
      <c r="AE17" s="60"/>
      <c r="AF17" s="67">
        <f t="shared" si="69"/>
        <v>0</v>
      </c>
      <c r="AG17" s="60"/>
      <c r="AH17" s="67">
        <f t="shared" si="51"/>
        <v>0</v>
      </c>
      <c r="AI17" s="60"/>
      <c r="AJ17" s="67">
        <f t="shared" si="70"/>
        <v>0</v>
      </c>
      <c r="AK17" s="60"/>
      <c r="AL17" s="67">
        <f t="shared" si="52"/>
        <v>0</v>
      </c>
      <c r="AM17" s="60"/>
      <c r="AN17" s="67">
        <f t="shared" si="53"/>
        <v>0</v>
      </c>
      <c r="AO17" s="60"/>
      <c r="AP17" s="67">
        <f t="shared" si="54"/>
        <v>0</v>
      </c>
      <c r="AQ17" s="60"/>
      <c r="AR17" s="67">
        <f t="shared" si="71"/>
        <v>0</v>
      </c>
      <c r="AS17" s="60"/>
      <c r="AT17" s="67">
        <f t="shared" si="72"/>
        <v>0</v>
      </c>
      <c r="AU17" s="60"/>
      <c r="AV17" s="67">
        <f t="shared" si="73"/>
        <v>0</v>
      </c>
      <c r="AW17" s="60"/>
      <c r="AX17" s="67">
        <f t="shared" si="74"/>
        <v>0</v>
      </c>
      <c r="AY17" s="60"/>
      <c r="AZ17" s="67">
        <f t="shared" si="75"/>
        <v>0</v>
      </c>
      <c r="BA17" s="60"/>
      <c r="BB17" s="67">
        <f t="shared" si="76"/>
        <v>0</v>
      </c>
      <c r="BC17" s="60"/>
      <c r="BD17" s="67">
        <f t="shared" si="77"/>
        <v>0</v>
      </c>
      <c r="BE17" s="61"/>
      <c r="BF17" s="67">
        <f t="shared" si="55"/>
        <v>0</v>
      </c>
      <c r="BG17" s="62"/>
      <c r="BH17" s="67">
        <f t="shared" si="78"/>
        <v>0</v>
      </c>
      <c r="BI17" s="62"/>
      <c r="BJ17" s="67">
        <f t="shared" si="79"/>
        <v>0</v>
      </c>
      <c r="BK17" s="62"/>
      <c r="BL17" s="67">
        <f t="shared" si="80"/>
        <v>0</v>
      </c>
      <c r="BM17" s="62"/>
      <c r="BN17" s="67">
        <f t="shared" si="81"/>
        <v>0</v>
      </c>
      <c r="BO17" s="62"/>
      <c r="BP17" s="67">
        <f t="shared" si="82"/>
        <v>0</v>
      </c>
      <c r="BQ17" s="62"/>
      <c r="BR17" s="67">
        <f t="shared" si="56"/>
        <v>0</v>
      </c>
      <c r="BS17" s="62"/>
      <c r="BT17" s="67">
        <f t="shared" si="83"/>
        <v>0</v>
      </c>
      <c r="BU17" s="62"/>
      <c r="BV17" s="67">
        <f t="shared" si="57"/>
        <v>0</v>
      </c>
      <c r="BW17" s="62"/>
      <c r="BX17" s="67">
        <f t="shared" si="84"/>
        <v>0</v>
      </c>
      <c r="BY17" s="62"/>
      <c r="BZ17" s="67">
        <f t="shared" si="58"/>
        <v>0</v>
      </c>
      <c r="CA17" s="62"/>
      <c r="CB17" s="67">
        <f t="shared" si="59"/>
        <v>0</v>
      </c>
      <c r="CC17" s="62"/>
      <c r="CD17" s="67">
        <f t="shared" si="60"/>
        <v>0</v>
      </c>
      <c r="CE17" s="62"/>
      <c r="CF17" s="67">
        <f t="shared" si="61"/>
        <v>0</v>
      </c>
      <c r="CG17" s="62"/>
      <c r="CH17" s="67">
        <f t="shared" si="62"/>
        <v>0</v>
      </c>
      <c r="CI17" s="62"/>
      <c r="CJ17" s="67">
        <f t="shared" si="63"/>
        <v>0</v>
      </c>
      <c r="CK17" s="62"/>
      <c r="CL17" s="66">
        <f t="shared" si="64"/>
        <v>0</v>
      </c>
      <c r="CM17" s="67"/>
      <c r="CN17" s="64">
        <v>0</v>
      </c>
      <c r="CO17" s="64">
        <v>0</v>
      </c>
    </row>
    <row r="18" spans="1:93" ht="25.5" customHeight="1" thickBot="1" x14ac:dyDescent="0.45">
      <c r="A18" s="65">
        <v>43966</v>
      </c>
      <c r="B18" s="45"/>
      <c r="C18" s="60"/>
      <c r="D18" s="66">
        <f t="shared" si="42"/>
        <v>0</v>
      </c>
      <c r="E18" s="60"/>
      <c r="F18" s="66">
        <f t="shared" si="43"/>
        <v>0</v>
      </c>
      <c r="G18" s="60"/>
      <c r="H18" s="66">
        <f t="shared" si="44"/>
        <v>0</v>
      </c>
      <c r="I18" s="60"/>
      <c r="J18" s="66">
        <f t="shared" si="85"/>
        <v>0</v>
      </c>
      <c r="K18" s="60"/>
      <c r="L18" s="66">
        <f t="shared" si="45"/>
        <v>0</v>
      </c>
      <c r="M18" s="60"/>
      <c r="N18" s="66">
        <f t="shared" si="46"/>
        <v>0</v>
      </c>
      <c r="O18" s="60"/>
      <c r="P18" s="67">
        <f t="shared" si="47"/>
        <v>0</v>
      </c>
      <c r="Q18" s="60"/>
      <c r="R18" s="67">
        <f t="shared" si="48"/>
        <v>0</v>
      </c>
      <c r="S18" s="60"/>
      <c r="T18" s="67">
        <f t="shared" si="86"/>
        <v>0</v>
      </c>
      <c r="U18" s="60"/>
      <c r="V18" s="67">
        <f t="shared" si="50"/>
        <v>0</v>
      </c>
      <c r="W18" s="60"/>
      <c r="X18" s="67">
        <f t="shared" si="65"/>
        <v>0</v>
      </c>
      <c r="Y18" s="60"/>
      <c r="Z18" s="67">
        <f t="shared" si="66"/>
        <v>0</v>
      </c>
      <c r="AA18" s="60"/>
      <c r="AB18" s="67">
        <f t="shared" si="67"/>
        <v>0</v>
      </c>
      <c r="AC18" s="60"/>
      <c r="AD18" s="67">
        <f t="shared" si="68"/>
        <v>0</v>
      </c>
      <c r="AE18" s="60"/>
      <c r="AF18" s="67">
        <f t="shared" si="69"/>
        <v>0</v>
      </c>
      <c r="AG18" s="60"/>
      <c r="AH18" s="67">
        <f t="shared" si="51"/>
        <v>0</v>
      </c>
      <c r="AI18" s="60"/>
      <c r="AJ18" s="67">
        <f t="shared" si="70"/>
        <v>0</v>
      </c>
      <c r="AK18" s="60"/>
      <c r="AL18" s="67">
        <f t="shared" si="52"/>
        <v>0</v>
      </c>
      <c r="AM18" s="60"/>
      <c r="AN18" s="67">
        <f t="shared" si="53"/>
        <v>0</v>
      </c>
      <c r="AO18" s="60"/>
      <c r="AP18" s="67">
        <f t="shared" si="54"/>
        <v>0</v>
      </c>
      <c r="AQ18" s="60"/>
      <c r="AR18" s="67">
        <f t="shared" si="71"/>
        <v>0</v>
      </c>
      <c r="AS18" s="60"/>
      <c r="AT18" s="67">
        <f t="shared" si="72"/>
        <v>0</v>
      </c>
      <c r="AU18" s="60"/>
      <c r="AV18" s="67">
        <f t="shared" si="73"/>
        <v>0</v>
      </c>
      <c r="AW18" s="60"/>
      <c r="AX18" s="67">
        <f t="shared" si="74"/>
        <v>0</v>
      </c>
      <c r="AY18" s="60"/>
      <c r="AZ18" s="67">
        <f t="shared" si="75"/>
        <v>0</v>
      </c>
      <c r="BA18" s="60"/>
      <c r="BB18" s="67">
        <f t="shared" si="76"/>
        <v>0</v>
      </c>
      <c r="BC18" s="60"/>
      <c r="BD18" s="67">
        <f t="shared" si="77"/>
        <v>0</v>
      </c>
      <c r="BE18" s="61"/>
      <c r="BF18" s="67">
        <f t="shared" si="55"/>
        <v>0</v>
      </c>
      <c r="BG18" s="62"/>
      <c r="BH18" s="67">
        <f t="shared" si="78"/>
        <v>0</v>
      </c>
      <c r="BI18" s="62"/>
      <c r="BJ18" s="67">
        <f t="shared" si="79"/>
        <v>0</v>
      </c>
      <c r="BK18" s="62"/>
      <c r="BL18" s="67">
        <f t="shared" si="80"/>
        <v>0</v>
      </c>
      <c r="BM18" s="62"/>
      <c r="BN18" s="67">
        <f t="shared" si="81"/>
        <v>0</v>
      </c>
      <c r="BO18" s="62"/>
      <c r="BP18" s="67">
        <f t="shared" si="82"/>
        <v>0</v>
      </c>
      <c r="BQ18" s="62"/>
      <c r="BR18" s="67">
        <f t="shared" si="56"/>
        <v>0</v>
      </c>
      <c r="BS18" s="62"/>
      <c r="BT18" s="67">
        <f t="shared" si="83"/>
        <v>0</v>
      </c>
      <c r="BU18" s="62"/>
      <c r="BV18" s="67">
        <f t="shared" si="57"/>
        <v>0</v>
      </c>
      <c r="BW18" s="62"/>
      <c r="BX18" s="67">
        <f t="shared" si="84"/>
        <v>0</v>
      </c>
      <c r="BY18" s="62"/>
      <c r="BZ18" s="67">
        <f t="shared" si="58"/>
        <v>0</v>
      </c>
      <c r="CA18" s="62"/>
      <c r="CB18" s="67">
        <f t="shared" si="59"/>
        <v>0</v>
      </c>
      <c r="CC18" s="62"/>
      <c r="CD18" s="67">
        <f t="shared" si="60"/>
        <v>0</v>
      </c>
      <c r="CE18" s="62"/>
      <c r="CF18" s="67">
        <f t="shared" si="61"/>
        <v>0</v>
      </c>
      <c r="CG18" s="62"/>
      <c r="CH18" s="67">
        <f t="shared" si="62"/>
        <v>0</v>
      </c>
      <c r="CI18" s="62"/>
      <c r="CJ18" s="67">
        <f t="shared" si="63"/>
        <v>0</v>
      </c>
      <c r="CK18" s="62"/>
      <c r="CL18" s="66">
        <f t="shared" si="64"/>
        <v>0</v>
      </c>
      <c r="CM18" s="67"/>
      <c r="CN18" s="64">
        <v>0</v>
      </c>
      <c r="CO18" s="64">
        <v>0</v>
      </c>
    </row>
    <row r="19" spans="1:93" ht="25.5" customHeight="1" thickBot="1" x14ac:dyDescent="0.45">
      <c r="A19" s="65">
        <v>43967</v>
      </c>
      <c r="B19" s="45"/>
      <c r="C19" s="60"/>
      <c r="D19" s="66">
        <f t="shared" si="42"/>
        <v>0</v>
      </c>
      <c r="E19" s="60"/>
      <c r="F19" s="66">
        <f t="shared" si="43"/>
        <v>0</v>
      </c>
      <c r="G19" s="60"/>
      <c r="H19" s="66">
        <f t="shared" si="44"/>
        <v>0</v>
      </c>
      <c r="I19" s="60"/>
      <c r="J19" s="66">
        <f t="shared" si="85"/>
        <v>0</v>
      </c>
      <c r="K19" s="60"/>
      <c r="L19" s="66">
        <f t="shared" si="45"/>
        <v>0</v>
      </c>
      <c r="M19" s="60"/>
      <c r="N19" s="66">
        <f t="shared" si="46"/>
        <v>0</v>
      </c>
      <c r="O19" s="60"/>
      <c r="P19" s="67">
        <f t="shared" si="47"/>
        <v>0</v>
      </c>
      <c r="Q19" s="60"/>
      <c r="R19" s="67">
        <f t="shared" si="48"/>
        <v>0</v>
      </c>
      <c r="S19" s="60"/>
      <c r="T19" s="67">
        <f t="shared" si="86"/>
        <v>0</v>
      </c>
      <c r="U19" s="60"/>
      <c r="V19" s="67">
        <f t="shared" si="50"/>
        <v>0</v>
      </c>
      <c r="W19" s="60"/>
      <c r="X19" s="67">
        <f t="shared" si="65"/>
        <v>0</v>
      </c>
      <c r="Y19" s="60"/>
      <c r="Z19" s="67">
        <f t="shared" si="66"/>
        <v>0</v>
      </c>
      <c r="AA19" s="60"/>
      <c r="AB19" s="67">
        <f t="shared" si="67"/>
        <v>0</v>
      </c>
      <c r="AC19" s="60"/>
      <c r="AD19" s="67">
        <f t="shared" si="68"/>
        <v>0</v>
      </c>
      <c r="AE19" s="60"/>
      <c r="AF19" s="67">
        <f t="shared" si="69"/>
        <v>0</v>
      </c>
      <c r="AG19" s="60"/>
      <c r="AH19" s="67">
        <f t="shared" si="51"/>
        <v>0</v>
      </c>
      <c r="AI19" s="60"/>
      <c r="AJ19" s="67">
        <f t="shared" si="70"/>
        <v>0</v>
      </c>
      <c r="AK19" s="60"/>
      <c r="AL19" s="67">
        <f t="shared" si="52"/>
        <v>0</v>
      </c>
      <c r="AM19" s="60"/>
      <c r="AN19" s="67">
        <f t="shared" si="53"/>
        <v>0</v>
      </c>
      <c r="AO19" s="60"/>
      <c r="AP19" s="67">
        <f t="shared" si="54"/>
        <v>0</v>
      </c>
      <c r="AQ19" s="60"/>
      <c r="AR19" s="67">
        <f t="shared" si="71"/>
        <v>0</v>
      </c>
      <c r="AS19" s="60"/>
      <c r="AT19" s="67">
        <f t="shared" si="72"/>
        <v>0</v>
      </c>
      <c r="AU19" s="60"/>
      <c r="AV19" s="67">
        <f t="shared" si="73"/>
        <v>0</v>
      </c>
      <c r="AW19" s="60"/>
      <c r="AX19" s="67">
        <f t="shared" si="74"/>
        <v>0</v>
      </c>
      <c r="AY19" s="60"/>
      <c r="AZ19" s="67">
        <f t="shared" si="75"/>
        <v>0</v>
      </c>
      <c r="BA19" s="60"/>
      <c r="BB19" s="67">
        <f t="shared" si="76"/>
        <v>0</v>
      </c>
      <c r="BC19" s="60"/>
      <c r="BD19" s="67">
        <f t="shared" si="77"/>
        <v>0</v>
      </c>
      <c r="BE19" s="61"/>
      <c r="BF19" s="67">
        <f t="shared" si="55"/>
        <v>0</v>
      </c>
      <c r="BG19" s="62"/>
      <c r="BH19" s="67">
        <f t="shared" si="78"/>
        <v>0</v>
      </c>
      <c r="BI19" s="62"/>
      <c r="BJ19" s="67">
        <f t="shared" si="79"/>
        <v>0</v>
      </c>
      <c r="BK19" s="62"/>
      <c r="BL19" s="67">
        <f t="shared" si="80"/>
        <v>0</v>
      </c>
      <c r="BM19" s="62"/>
      <c r="BN19" s="67">
        <f t="shared" si="81"/>
        <v>0</v>
      </c>
      <c r="BO19" s="62"/>
      <c r="BP19" s="67">
        <f t="shared" si="82"/>
        <v>0</v>
      </c>
      <c r="BQ19" s="62"/>
      <c r="BR19" s="67">
        <f t="shared" si="56"/>
        <v>0</v>
      </c>
      <c r="BS19" s="62"/>
      <c r="BT19" s="67">
        <f t="shared" si="83"/>
        <v>0</v>
      </c>
      <c r="BU19" s="62"/>
      <c r="BV19" s="67">
        <f t="shared" si="57"/>
        <v>0</v>
      </c>
      <c r="BW19" s="62"/>
      <c r="BX19" s="67">
        <f t="shared" si="84"/>
        <v>0</v>
      </c>
      <c r="BY19" s="62"/>
      <c r="BZ19" s="67">
        <f t="shared" si="58"/>
        <v>0</v>
      </c>
      <c r="CA19" s="62"/>
      <c r="CB19" s="67">
        <f t="shared" si="59"/>
        <v>0</v>
      </c>
      <c r="CC19" s="62"/>
      <c r="CD19" s="67">
        <f t="shared" si="60"/>
        <v>0</v>
      </c>
      <c r="CE19" s="62"/>
      <c r="CF19" s="67">
        <f t="shared" si="61"/>
        <v>0</v>
      </c>
      <c r="CG19" s="62"/>
      <c r="CH19" s="67">
        <f t="shared" si="62"/>
        <v>0</v>
      </c>
      <c r="CI19" s="62"/>
      <c r="CJ19" s="67">
        <f t="shared" si="63"/>
        <v>0</v>
      </c>
      <c r="CK19" s="62"/>
      <c r="CL19" s="66">
        <f t="shared" si="64"/>
        <v>0</v>
      </c>
      <c r="CM19" s="67"/>
      <c r="CN19" s="64">
        <v>0</v>
      </c>
      <c r="CO19" s="64">
        <v>0</v>
      </c>
    </row>
    <row r="20" spans="1:93" ht="25.5" customHeight="1" thickBot="1" x14ac:dyDescent="0.45">
      <c r="A20" s="65">
        <v>43968</v>
      </c>
      <c r="B20" s="45"/>
      <c r="C20" s="60"/>
      <c r="D20" s="66">
        <f t="shared" si="42"/>
        <v>0</v>
      </c>
      <c r="E20" s="60"/>
      <c r="F20" s="66">
        <f t="shared" si="43"/>
        <v>0</v>
      </c>
      <c r="G20" s="60"/>
      <c r="H20" s="66">
        <f t="shared" si="44"/>
        <v>0</v>
      </c>
      <c r="I20" s="60"/>
      <c r="J20" s="66">
        <f t="shared" si="85"/>
        <v>0</v>
      </c>
      <c r="K20" s="60"/>
      <c r="L20" s="66">
        <f t="shared" si="45"/>
        <v>0</v>
      </c>
      <c r="M20" s="60"/>
      <c r="N20" s="66">
        <f t="shared" si="46"/>
        <v>0</v>
      </c>
      <c r="O20" s="60"/>
      <c r="P20" s="67">
        <f t="shared" si="47"/>
        <v>0</v>
      </c>
      <c r="Q20" s="60"/>
      <c r="R20" s="67">
        <f t="shared" si="48"/>
        <v>0</v>
      </c>
      <c r="S20" s="60"/>
      <c r="T20" s="67">
        <f t="shared" si="86"/>
        <v>0</v>
      </c>
      <c r="U20" s="60"/>
      <c r="V20" s="67">
        <f t="shared" si="50"/>
        <v>0</v>
      </c>
      <c r="W20" s="60"/>
      <c r="X20" s="67">
        <f t="shared" si="65"/>
        <v>0</v>
      </c>
      <c r="Y20" s="60"/>
      <c r="Z20" s="67">
        <f t="shared" si="66"/>
        <v>0</v>
      </c>
      <c r="AA20" s="60"/>
      <c r="AB20" s="67">
        <f t="shared" si="67"/>
        <v>0</v>
      </c>
      <c r="AC20" s="60"/>
      <c r="AD20" s="67">
        <f t="shared" si="68"/>
        <v>0</v>
      </c>
      <c r="AE20" s="60"/>
      <c r="AF20" s="67">
        <f t="shared" si="69"/>
        <v>0</v>
      </c>
      <c r="AG20" s="60"/>
      <c r="AH20" s="67">
        <f t="shared" si="51"/>
        <v>0</v>
      </c>
      <c r="AI20" s="60"/>
      <c r="AJ20" s="67">
        <f t="shared" si="70"/>
        <v>0</v>
      </c>
      <c r="AK20" s="60"/>
      <c r="AL20" s="67">
        <f t="shared" si="52"/>
        <v>0</v>
      </c>
      <c r="AM20" s="60"/>
      <c r="AN20" s="67">
        <f t="shared" si="53"/>
        <v>0</v>
      </c>
      <c r="AO20" s="60"/>
      <c r="AP20" s="67">
        <f t="shared" si="54"/>
        <v>0</v>
      </c>
      <c r="AQ20" s="60"/>
      <c r="AR20" s="67">
        <f t="shared" si="71"/>
        <v>0</v>
      </c>
      <c r="AS20" s="60"/>
      <c r="AT20" s="67">
        <f t="shared" si="72"/>
        <v>0</v>
      </c>
      <c r="AU20" s="60"/>
      <c r="AV20" s="67">
        <f t="shared" si="73"/>
        <v>0</v>
      </c>
      <c r="AW20" s="60"/>
      <c r="AX20" s="67">
        <f t="shared" si="74"/>
        <v>0</v>
      </c>
      <c r="AY20" s="60"/>
      <c r="AZ20" s="67">
        <f t="shared" si="75"/>
        <v>0</v>
      </c>
      <c r="BA20" s="60"/>
      <c r="BB20" s="67">
        <f t="shared" si="76"/>
        <v>0</v>
      </c>
      <c r="BC20" s="60"/>
      <c r="BD20" s="67">
        <f t="shared" si="77"/>
        <v>0</v>
      </c>
      <c r="BE20" s="61"/>
      <c r="BF20" s="67">
        <f t="shared" si="55"/>
        <v>0</v>
      </c>
      <c r="BG20" s="62"/>
      <c r="BH20" s="67">
        <f t="shared" si="78"/>
        <v>0</v>
      </c>
      <c r="BI20" s="62"/>
      <c r="BJ20" s="67">
        <f t="shared" si="79"/>
        <v>0</v>
      </c>
      <c r="BK20" s="62"/>
      <c r="BL20" s="67">
        <f t="shared" si="80"/>
        <v>0</v>
      </c>
      <c r="BM20" s="62"/>
      <c r="BN20" s="67">
        <f t="shared" si="81"/>
        <v>0</v>
      </c>
      <c r="BO20" s="62"/>
      <c r="BP20" s="67">
        <f t="shared" si="82"/>
        <v>0</v>
      </c>
      <c r="BQ20" s="62"/>
      <c r="BR20" s="67">
        <f t="shared" si="56"/>
        <v>0</v>
      </c>
      <c r="BS20" s="62"/>
      <c r="BT20" s="67">
        <f t="shared" si="83"/>
        <v>0</v>
      </c>
      <c r="BU20" s="62"/>
      <c r="BV20" s="67">
        <f t="shared" si="57"/>
        <v>0</v>
      </c>
      <c r="BW20" s="62"/>
      <c r="BX20" s="67">
        <f t="shared" si="84"/>
        <v>0</v>
      </c>
      <c r="BY20" s="62"/>
      <c r="BZ20" s="67">
        <f t="shared" si="58"/>
        <v>0</v>
      </c>
      <c r="CA20" s="62"/>
      <c r="CB20" s="67">
        <f t="shared" si="59"/>
        <v>0</v>
      </c>
      <c r="CC20" s="62"/>
      <c r="CD20" s="67">
        <f t="shared" si="60"/>
        <v>0</v>
      </c>
      <c r="CE20" s="62"/>
      <c r="CF20" s="67">
        <f t="shared" si="61"/>
        <v>0</v>
      </c>
      <c r="CG20" s="62"/>
      <c r="CH20" s="67">
        <f t="shared" si="62"/>
        <v>0</v>
      </c>
      <c r="CI20" s="62"/>
      <c r="CJ20" s="67">
        <f t="shared" si="63"/>
        <v>0</v>
      </c>
      <c r="CK20" s="62"/>
      <c r="CL20" s="66">
        <f t="shared" si="64"/>
        <v>0</v>
      </c>
      <c r="CM20" s="67"/>
      <c r="CN20" s="64">
        <v>0</v>
      </c>
      <c r="CO20" s="64">
        <v>0</v>
      </c>
    </row>
    <row r="21" spans="1:93" ht="25.5" customHeight="1" thickBot="1" x14ac:dyDescent="0.45">
      <c r="A21" s="65">
        <v>43969</v>
      </c>
      <c r="B21" s="45"/>
      <c r="C21" s="60"/>
      <c r="D21" s="66">
        <f t="shared" si="42"/>
        <v>0</v>
      </c>
      <c r="E21" s="60"/>
      <c r="F21" s="66">
        <f t="shared" si="43"/>
        <v>0</v>
      </c>
      <c r="G21" s="60"/>
      <c r="H21" s="66">
        <f t="shared" si="44"/>
        <v>0</v>
      </c>
      <c r="I21" s="60"/>
      <c r="J21" s="66">
        <f t="shared" si="85"/>
        <v>0</v>
      </c>
      <c r="K21" s="60"/>
      <c r="L21" s="66">
        <f t="shared" si="45"/>
        <v>0</v>
      </c>
      <c r="M21" s="60"/>
      <c r="N21" s="66">
        <f t="shared" si="46"/>
        <v>0</v>
      </c>
      <c r="O21" s="60"/>
      <c r="P21" s="67">
        <f t="shared" si="47"/>
        <v>0</v>
      </c>
      <c r="Q21" s="60"/>
      <c r="R21" s="67">
        <f t="shared" si="48"/>
        <v>0</v>
      </c>
      <c r="S21" s="60"/>
      <c r="T21" s="67">
        <f t="shared" si="86"/>
        <v>0</v>
      </c>
      <c r="U21" s="60"/>
      <c r="V21" s="67">
        <f t="shared" si="50"/>
        <v>0</v>
      </c>
      <c r="W21" s="60"/>
      <c r="X21" s="67">
        <f t="shared" si="65"/>
        <v>0</v>
      </c>
      <c r="Y21" s="60"/>
      <c r="Z21" s="67">
        <f t="shared" si="66"/>
        <v>0</v>
      </c>
      <c r="AA21" s="60"/>
      <c r="AB21" s="67">
        <f t="shared" si="67"/>
        <v>0</v>
      </c>
      <c r="AC21" s="60"/>
      <c r="AD21" s="67">
        <f t="shared" si="68"/>
        <v>0</v>
      </c>
      <c r="AE21" s="60"/>
      <c r="AF21" s="67">
        <f t="shared" si="69"/>
        <v>0</v>
      </c>
      <c r="AG21" s="60"/>
      <c r="AH21" s="67">
        <f t="shared" si="51"/>
        <v>0</v>
      </c>
      <c r="AI21" s="60"/>
      <c r="AJ21" s="67">
        <f t="shared" si="70"/>
        <v>0</v>
      </c>
      <c r="AK21" s="60"/>
      <c r="AL21" s="67">
        <f t="shared" si="52"/>
        <v>0</v>
      </c>
      <c r="AM21" s="60"/>
      <c r="AN21" s="67">
        <f t="shared" si="53"/>
        <v>0</v>
      </c>
      <c r="AO21" s="60"/>
      <c r="AP21" s="67">
        <f t="shared" si="54"/>
        <v>0</v>
      </c>
      <c r="AQ21" s="60"/>
      <c r="AR21" s="67">
        <f t="shared" si="71"/>
        <v>0</v>
      </c>
      <c r="AS21" s="60"/>
      <c r="AT21" s="67">
        <f t="shared" si="72"/>
        <v>0</v>
      </c>
      <c r="AU21" s="60"/>
      <c r="AV21" s="67">
        <f t="shared" si="73"/>
        <v>0</v>
      </c>
      <c r="AW21" s="60"/>
      <c r="AX21" s="67">
        <f t="shared" si="74"/>
        <v>0</v>
      </c>
      <c r="AY21" s="60"/>
      <c r="AZ21" s="67">
        <f t="shared" si="75"/>
        <v>0</v>
      </c>
      <c r="BA21" s="60"/>
      <c r="BB21" s="67">
        <f t="shared" si="76"/>
        <v>0</v>
      </c>
      <c r="BC21" s="60"/>
      <c r="BD21" s="67">
        <f t="shared" si="77"/>
        <v>0</v>
      </c>
      <c r="BE21" s="61"/>
      <c r="BF21" s="67">
        <f t="shared" si="55"/>
        <v>0</v>
      </c>
      <c r="BG21" s="62"/>
      <c r="BH21" s="67">
        <f t="shared" si="78"/>
        <v>0</v>
      </c>
      <c r="BI21" s="62"/>
      <c r="BJ21" s="67">
        <f t="shared" si="79"/>
        <v>0</v>
      </c>
      <c r="BK21" s="62"/>
      <c r="BL21" s="67">
        <f t="shared" si="80"/>
        <v>0</v>
      </c>
      <c r="BM21" s="62"/>
      <c r="BN21" s="67">
        <f t="shared" si="81"/>
        <v>0</v>
      </c>
      <c r="BO21" s="62"/>
      <c r="BP21" s="67">
        <f t="shared" si="82"/>
        <v>0</v>
      </c>
      <c r="BQ21" s="62"/>
      <c r="BR21" s="67">
        <f t="shared" si="56"/>
        <v>0</v>
      </c>
      <c r="BS21" s="62"/>
      <c r="BT21" s="67">
        <f t="shared" si="83"/>
        <v>0</v>
      </c>
      <c r="BU21" s="62"/>
      <c r="BV21" s="67">
        <f t="shared" si="57"/>
        <v>0</v>
      </c>
      <c r="BW21" s="62"/>
      <c r="BX21" s="67">
        <f t="shared" si="84"/>
        <v>0</v>
      </c>
      <c r="BY21" s="62"/>
      <c r="BZ21" s="67">
        <f t="shared" si="58"/>
        <v>0</v>
      </c>
      <c r="CA21" s="62"/>
      <c r="CB21" s="67">
        <f t="shared" si="59"/>
        <v>0</v>
      </c>
      <c r="CC21" s="62"/>
      <c r="CD21" s="67">
        <f t="shared" si="60"/>
        <v>0</v>
      </c>
      <c r="CE21" s="62"/>
      <c r="CF21" s="67">
        <f t="shared" si="61"/>
        <v>0</v>
      </c>
      <c r="CG21" s="62"/>
      <c r="CH21" s="67">
        <f t="shared" si="62"/>
        <v>0</v>
      </c>
      <c r="CI21" s="62"/>
      <c r="CJ21" s="67">
        <f t="shared" si="63"/>
        <v>0</v>
      </c>
      <c r="CK21" s="62"/>
      <c r="CL21" s="66">
        <f t="shared" si="64"/>
        <v>0</v>
      </c>
      <c r="CM21" s="67"/>
      <c r="CN21" s="64">
        <v>0</v>
      </c>
      <c r="CO21" s="64">
        <v>0</v>
      </c>
    </row>
    <row r="22" spans="1:93" ht="25.5" customHeight="1" thickBot="1" x14ac:dyDescent="0.45">
      <c r="A22" s="65">
        <v>43970</v>
      </c>
      <c r="B22" s="45"/>
      <c r="C22" s="60"/>
      <c r="D22" s="66">
        <f t="shared" si="42"/>
        <v>0</v>
      </c>
      <c r="E22" s="60"/>
      <c r="F22" s="66">
        <f t="shared" si="43"/>
        <v>0</v>
      </c>
      <c r="G22" s="60"/>
      <c r="H22" s="66">
        <f t="shared" si="44"/>
        <v>0</v>
      </c>
      <c r="I22" s="60"/>
      <c r="J22" s="66">
        <f t="shared" si="85"/>
        <v>0</v>
      </c>
      <c r="K22" s="60"/>
      <c r="L22" s="66">
        <f t="shared" si="45"/>
        <v>0</v>
      </c>
      <c r="M22" s="60"/>
      <c r="N22" s="66">
        <f t="shared" si="46"/>
        <v>0</v>
      </c>
      <c r="O22" s="60"/>
      <c r="P22" s="67">
        <f t="shared" si="47"/>
        <v>0</v>
      </c>
      <c r="Q22" s="60"/>
      <c r="R22" s="67">
        <f t="shared" si="48"/>
        <v>0</v>
      </c>
      <c r="S22" s="60"/>
      <c r="T22" s="67">
        <f t="shared" si="86"/>
        <v>0</v>
      </c>
      <c r="U22" s="60"/>
      <c r="V22" s="67">
        <f t="shared" si="50"/>
        <v>0</v>
      </c>
      <c r="W22" s="60"/>
      <c r="X22" s="67">
        <f t="shared" si="65"/>
        <v>0</v>
      </c>
      <c r="Y22" s="60"/>
      <c r="Z22" s="67">
        <f t="shared" si="66"/>
        <v>0</v>
      </c>
      <c r="AA22" s="60"/>
      <c r="AB22" s="67">
        <f t="shared" si="67"/>
        <v>0</v>
      </c>
      <c r="AC22" s="60"/>
      <c r="AD22" s="67">
        <f t="shared" si="68"/>
        <v>0</v>
      </c>
      <c r="AE22" s="60"/>
      <c r="AF22" s="67">
        <f t="shared" si="69"/>
        <v>0</v>
      </c>
      <c r="AG22" s="60"/>
      <c r="AH22" s="67">
        <f t="shared" si="51"/>
        <v>0</v>
      </c>
      <c r="AI22" s="60"/>
      <c r="AJ22" s="67">
        <f t="shared" si="70"/>
        <v>0</v>
      </c>
      <c r="AK22" s="60"/>
      <c r="AL22" s="67">
        <f t="shared" si="52"/>
        <v>0</v>
      </c>
      <c r="AM22" s="60"/>
      <c r="AN22" s="67">
        <f t="shared" si="53"/>
        <v>0</v>
      </c>
      <c r="AO22" s="60"/>
      <c r="AP22" s="67">
        <f t="shared" si="54"/>
        <v>0</v>
      </c>
      <c r="AQ22" s="60"/>
      <c r="AR22" s="67">
        <f t="shared" si="71"/>
        <v>0</v>
      </c>
      <c r="AS22" s="60"/>
      <c r="AT22" s="67">
        <f t="shared" si="72"/>
        <v>0</v>
      </c>
      <c r="AU22" s="60"/>
      <c r="AV22" s="67">
        <f t="shared" si="73"/>
        <v>0</v>
      </c>
      <c r="AW22" s="60"/>
      <c r="AX22" s="67">
        <f t="shared" si="74"/>
        <v>0</v>
      </c>
      <c r="AY22" s="60"/>
      <c r="AZ22" s="67">
        <f t="shared" si="75"/>
        <v>0</v>
      </c>
      <c r="BA22" s="60"/>
      <c r="BB22" s="67">
        <f t="shared" si="76"/>
        <v>0</v>
      </c>
      <c r="BC22" s="60"/>
      <c r="BD22" s="67">
        <f t="shared" si="77"/>
        <v>0</v>
      </c>
      <c r="BE22" s="61"/>
      <c r="BF22" s="67">
        <f t="shared" si="55"/>
        <v>0</v>
      </c>
      <c r="BG22" s="62"/>
      <c r="BH22" s="67">
        <f t="shared" si="78"/>
        <v>0</v>
      </c>
      <c r="BI22" s="62"/>
      <c r="BJ22" s="67">
        <f t="shared" si="79"/>
        <v>0</v>
      </c>
      <c r="BK22" s="62"/>
      <c r="BL22" s="67">
        <f t="shared" si="80"/>
        <v>0</v>
      </c>
      <c r="BM22" s="62"/>
      <c r="BN22" s="67">
        <f t="shared" si="81"/>
        <v>0</v>
      </c>
      <c r="BO22" s="62"/>
      <c r="BP22" s="67">
        <f t="shared" si="82"/>
        <v>0</v>
      </c>
      <c r="BQ22" s="62"/>
      <c r="BR22" s="67">
        <f t="shared" si="56"/>
        <v>0</v>
      </c>
      <c r="BS22" s="62"/>
      <c r="BT22" s="67">
        <f t="shared" si="83"/>
        <v>0</v>
      </c>
      <c r="BU22" s="62"/>
      <c r="BV22" s="67">
        <f t="shared" si="57"/>
        <v>0</v>
      </c>
      <c r="BW22" s="62"/>
      <c r="BX22" s="67">
        <f t="shared" si="84"/>
        <v>0</v>
      </c>
      <c r="BY22" s="62"/>
      <c r="BZ22" s="67">
        <f t="shared" si="58"/>
        <v>0</v>
      </c>
      <c r="CA22" s="62"/>
      <c r="CB22" s="67">
        <f t="shared" si="59"/>
        <v>0</v>
      </c>
      <c r="CC22" s="62"/>
      <c r="CD22" s="67">
        <f>IF((CC23-CC21&lt;0), "",CC23-CC21)</f>
        <v>0</v>
      </c>
      <c r="CE22" s="62"/>
      <c r="CF22" s="67">
        <f t="shared" si="61"/>
        <v>0</v>
      </c>
      <c r="CG22" s="62"/>
      <c r="CH22" s="67">
        <f t="shared" si="62"/>
        <v>0</v>
      </c>
      <c r="CI22" s="62"/>
      <c r="CJ22" s="67">
        <f t="shared" si="63"/>
        <v>0</v>
      </c>
      <c r="CK22" s="62"/>
      <c r="CL22" s="66">
        <f t="shared" si="64"/>
        <v>0</v>
      </c>
      <c r="CM22" s="67"/>
      <c r="CN22" s="64">
        <v>0</v>
      </c>
      <c r="CO22" s="64">
        <v>0</v>
      </c>
    </row>
    <row r="23" spans="1:93" ht="25.5" customHeight="1" thickBot="1" x14ac:dyDescent="0.45">
      <c r="A23" s="65">
        <v>43971</v>
      </c>
      <c r="B23" s="45"/>
      <c r="C23" s="60"/>
      <c r="D23" s="66">
        <f t="shared" si="42"/>
        <v>0</v>
      </c>
      <c r="E23" s="60"/>
      <c r="F23" s="66">
        <f t="shared" si="43"/>
        <v>0</v>
      </c>
      <c r="G23" s="60"/>
      <c r="H23" s="66">
        <f t="shared" si="44"/>
        <v>0</v>
      </c>
      <c r="I23" s="60"/>
      <c r="J23" s="66">
        <f t="shared" si="85"/>
        <v>0</v>
      </c>
      <c r="K23" s="60"/>
      <c r="L23" s="66">
        <f t="shared" si="45"/>
        <v>0</v>
      </c>
      <c r="M23" s="60"/>
      <c r="N23" s="66">
        <f t="shared" si="46"/>
        <v>0</v>
      </c>
      <c r="O23" s="60"/>
      <c r="P23" s="67">
        <f t="shared" si="47"/>
        <v>0</v>
      </c>
      <c r="Q23" s="60"/>
      <c r="R23" s="67">
        <f t="shared" si="48"/>
        <v>0</v>
      </c>
      <c r="S23" s="60"/>
      <c r="T23" s="67">
        <f t="shared" si="86"/>
        <v>0</v>
      </c>
      <c r="U23" s="60"/>
      <c r="V23" s="67">
        <f t="shared" si="50"/>
        <v>0</v>
      </c>
      <c r="W23" s="60"/>
      <c r="X23" s="67">
        <f t="shared" si="65"/>
        <v>0</v>
      </c>
      <c r="Y23" s="60"/>
      <c r="Z23" s="67">
        <f t="shared" si="66"/>
        <v>0</v>
      </c>
      <c r="AA23" s="60"/>
      <c r="AB23" s="67">
        <f t="shared" si="67"/>
        <v>0</v>
      </c>
      <c r="AC23" s="60"/>
      <c r="AD23" s="67">
        <f t="shared" si="68"/>
        <v>0</v>
      </c>
      <c r="AE23" s="60"/>
      <c r="AF23" s="67">
        <f t="shared" si="69"/>
        <v>0</v>
      </c>
      <c r="AG23" s="60"/>
      <c r="AH23" s="67">
        <f t="shared" si="51"/>
        <v>0</v>
      </c>
      <c r="AI23" s="60"/>
      <c r="AJ23" s="67">
        <f t="shared" si="70"/>
        <v>0</v>
      </c>
      <c r="AK23" s="60"/>
      <c r="AL23" s="67"/>
      <c r="AM23" s="60"/>
      <c r="AN23" s="67">
        <f t="shared" si="53"/>
        <v>0</v>
      </c>
      <c r="AO23" s="60"/>
      <c r="AP23" s="67">
        <f t="shared" si="54"/>
        <v>0</v>
      </c>
      <c r="AQ23" s="60"/>
      <c r="AR23" s="67">
        <f t="shared" si="71"/>
        <v>0</v>
      </c>
      <c r="AS23" s="60"/>
      <c r="AT23" s="67">
        <f t="shared" si="72"/>
        <v>0</v>
      </c>
      <c r="AU23" s="60"/>
      <c r="AV23" s="67">
        <f t="shared" si="73"/>
        <v>0</v>
      </c>
      <c r="AW23" s="60"/>
      <c r="AX23" s="67">
        <f t="shared" si="74"/>
        <v>0</v>
      </c>
      <c r="AY23" s="60"/>
      <c r="AZ23" s="67">
        <f t="shared" si="75"/>
        <v>0</v>
      </c>
      <c r="BA23" s="60"/>
      <c r="BB23" s="67">
        <f t="shared" si="76"/>
        <v>0</v>
      </c>
      <c r="BC23" s="60"/>
      <c r="BD23" s="67">
        <f t="shared" si="77"/>
        <v>0</v>
      </c>
      <c r="BE23" s="61"/>
      <c r="BF23" s="67">
        <f t="shared" si="55"/>
        <v>0</v>
      </c>
      <c r="BG23" s="62"/>
      <c r="BH23" s="67">
        <f t="shared" si="78"/>
        <v>0</v>
      </c>
      <c r="BI23" s="62"/>
      <c r="BJ23" s="67">
        <f t="shared" si="79"/>
        <v>0</v>
      </c>
      <c r="BK23" s="62"/>
      <c r="BL23" s="67">
        <f t="shared" si="80"/>
        <v>0</v>
      </c>
      <c r="BM23" s="62"/>
      <c r="BN23" s="67">
        <f t="shared" si="81"/>
        <v>0</v>
      </c>
      <c r="BO23" s="62"/>
      <c r="BP23" s="67">
        <f t="shared" si="82"/>
        <v>0</v>
      </c>
      <c r="BQ23" s="62"/>
      <c r="BR23" s="67">
        <f t="shared" si="56"/>
        <v>0</v>
      </c>
      <c r="BS23" s="62"/>
      <c r="BT23" s="67">
        <f t="shared" si="83"/>
        <v>0</v>
      </c>
      <c r="BU23" s="62"/>
      <c r="BV23" s="67">
        <f t="shared" si="57"/>
        <v>0</v>
      </c>
      <c r="BW23" s="62"/>
      <c r="BX23" s="67">
        <f t="shared" si="84"/>
        <v>0</v>
      </c>
      <c r="BY23" s="62"/>
      <c r="BZ23" s="67">
        <f t="shared" si="58"/>
        <v>0</v>
      </c>
      <c r="CA23" s="62"/>
      <c r="CB23" s="67">
        <f t="shared" si="59"/>
        <v>0</v>
      </c>
      <c r="CC23" s="62"/>
      <c r="CD23" s="67">
        <f t="shared" ref="CD23:CD24" si="87">IF((CC24-CC22&lt;0), "",CC24-CC22)</f>
        <v>0</v>
      </c>
      <c r="CE23" s="62"/>
      <c r="CF23" s="67">
        <f t="shared" si="61"/>
        <v>0</v>
      </c>
      <c r="CG23" s="62"/>
      <c r="CH23" s="67">
        <f t="shared" si="62"/>
        <v>0</v>
      </c>
      <c r="CI23" s="62"/>
      <c r="CJ23" s="67">
        <f t="shared" si="63"/>
        <v>0</v>
      </c>
      <c r="CK23" s="62"/>
      <c r="CL23" s="66">
        <f t="shared" si="64"/>
        <v>0</v>
      </c>
      <c r="CM23" s="67"/>
      <c r="CN23" s="64">
        <v>0</v>
      </c>
      <c r="CO23" s="64">
        <v>0</v>
      </c>
    </row>
    <row r="24" spans="1:93" ht="25.5" customHeight="1" thickBot="1" x14ac:dyDescent="0.45">
      <c r="A24" s="65">
        <v>43972</v>
      </c>
      <c r="B24" s="45"/>
      <c r="C24" s="60"/>
      <c r="D24" s="66">
        <f t="shared" si="42"/>
        <v>0</v>
      </c>
      <c r="E24" s="60"/>
      <c r="F24" s="66">
        <f t="shared" si="43"/>
        <v>0</v>
      </c>
      <c r="G24" s="60"/>
      <c r="H24" s="66">
        <f t="shared" si="44"/>
        <v>0</v>
      </c>
      <c r="I24" s="60"/>
      <c r="J24" s="66">
        <f t="shared" si="85"/>
        <v>0</v>
      </c>
      <c r="K24" s="60"/>
      <c r="L24" s="66">
        <f t="shared" si="45"/>
        <v>0</v>
      </c>
      <c r="M24" s="60"/>
      <c r="N24" s="66">
        <f t="shared" si="46"/>
        <v>0</v>
      </c>
      <c r="O24" s="60"/>
      <c r="P24" s="67">
        <f t="shared" si="47"/>
        <v>0</v>
      </c>
      <c r="Q24" s="60"/>
      <c r="R24" s="67">
        <f t="shared" si="48"/>
        <v>0</v>
      </c>
      <c r="S24" s="60"/>
      <c r="T24" s="67">
        <f t="shared" si="86"/>
        <v>0</v>
      </c>
      <c r="U24" s="60"/>
      <c r="V24" s="67">
        <f t="shared" si="50"/>
        <v>0</v>
      </c>
      <c r="W24" s="60"/>
      <c r="X24" s="67">
        <f t="shared" si="65"/>
        <v>0</v>
      </c>
      <c r="Y24" s="60"/>
      <c r="Z24" s="67">
        <f t="shared" si="66"/>
        <v>0</v>
      </c>
      <c r="AA24" s="60"/>
      <c r="AB24" s="67">
        <f t="shared" si="67"/>
        <v>0</v>
      </c>
      <c r="AC24" s="60"/>
      <c r="AD24" s="67">
        <f t="shared" si="68"/>
        <v>0</v>
      </c>
      <c r="AE24" s="60"/>
      <c r="AF24" s="67">
        <f t="shared" si="69"/>
        <v>0</v>
      </c>
      <c r="AG24" s="60"/>
      <c r="AH24" s="67">
        <f t="shared" si="51"/>
        <v>0</v>
      </c>
      <c r="AI24" s="60"/>
      <c r="AJ24" s="67">
        <f t="shared" si="70"/>
        <v>0</v>
      </c>
      <c r="AK24" s="60"/>
      <c r="AL24" s="67">
        <f t="shared" si="52"/>
        <v>0</v>
      </c>
      <c r="AM24" s="60"/>
      <c r="AN24" s="67">
        <f t="shared" si="53"/>
        <v>0</v>
      </c>
      <c r="AO24" s="60"/>
      <c r="AP24" s="67">
        <f t="shared" si="54"/>
        <v>0</v>
      </c>
      <c r="AQ24" s="60"/>
      <c r="AR24" s="67">
        <f t="shared" si="71"/>
        <v>0</v>
      </c>
      <c r="AS24" s="60"/>
      <c r="AT24" s="67">
        <f t="shared" si="72"/>
        <v>0</v>
      </c>
      <c r="AU24" s="60"/>
      <c r="AV24" s="67">
        <f t="shared" si="73"/>
        <v>0</v>
      </c>
      <c r="AW24" s="60"/>
      <c r="AX24" s="67">
        <f t="shared" si="74"/>
        <v>0</v>
      </c>
      <c r="AY24" s="60"/>
      <c r="AZ24" s="67">
        <f t="shared" si="75"/>
        <v>0</v>
      </c>
      <c r="BA24" s="60"/>
      <c r="BB24" s="67">
        <f t="shared" si="76"/>
        <v>0</v>
      </c>
      <c r="BC24" s="60"/>
      <c r="BD24" s="67">
        <f t="shared" si="77"/>
        <v>0</v>
      </c>
      <c r="BE24" s="61"/>
      <c r="BF24" s="67">
        <f t="shared" si="55"/>
        <v>0</v>
      </c>
      <c r="BG24" s="62"/>
      <c r="BH24" s="67">
        <f t="shared" si="78"/>
        <v>0</v>
      </c>
      <c r="BI24" s="62"/>
      <c r="BJ24" s="67">
        <f t="shared" si="79"/>
        <v>0</v>
      </c>
      <c r="BK24" s="62"/>
      <c r="BL24" s="67">
        <f t="shared" si="80"/>
        <v>0</v>
      </c>
      <c r="BM24" s="62"/>
      <c r="BN24" s="67">
        <f t="shared" si="81"/>
        <v>0</v>
      </c>
      <c r="BO24" s="62"/>
      <c r="BP24" s="67">
        <f t="shared" si="82"/>
        <v>0</v>
      </c>
      <c r="BQ24" s="62"/>
      <c r="BR24" s="67">
        <f t="shared" si="56"/>
        <v>0</v>
      </c>
      <c r="BS24" s="62"/>
      <c r="BT24" s="67">
        <f t="shared" si="83"/>
        <v>0</v>
      </c>
      <c r="BU24" s="62"/>
      <c r="BV24" s="67">
        <f t="shared" si="57"/>
        <v>0</v>
      </c>
      <c r="BW24" s="62"/>
      <c r="BX24" s="67">
        <f t="shared" si="84"/>
        <v>0</v>
      </c>
      <c r="BY24" s="62"/>
      <c r="BZ24" s="67">
        <f t="shared" si="58"/>
        <v>0</v>
      </c>
      <c r="CA24" s="62"/>
      <c r="CB24" s="67">
        <f t="shared" si="59"/>
        <v>0</v>
      </c>
      <c r="CC24" s="62"/>
      <c r="CD24" s="67">
        <f t="shared" si="87"/>
        <v>0</v>
      </c>
      <c r="CE24" s="62"/>
      <c r="CF24" s="67">
        <f t="shared" si="61"/>
        <v>0</v>
      </c>
      <c r="CG24" s="62"/>
      <c r="CH24" s="67">
        <f t="shared" si="62"/>
        <v>0</v>
      </c>
      <c r="CI24" s="62"/>
      <c r="CJ24" s="67">
        <f t="shared" si="63"/>
        <v>0</v>
      </c>
      <c r="CK24" s="62"/>
      <c r="CL24" s="66">
        <f t="shared" si="64"/>
        <v>0</v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43973</v>
      </c>
      <c r="B25" s="45"/>
      <c r="C25" s="60"/>
      <c r="D25" s="66">
        <f t="shared" si="42"/>
        <v>0</v>
      </c>
      <c r="E25" s="60"/>
      <c r="F25" s="66">
        <f t="shared" si="43"/>
        <v>0</v>
      </c>
      <c r="G25" s="60"/>
      <c r="H25" s="66">
        <f t="shared" si="44"/>
        <v>0</v>
      </c>
      <c r="I25" s="60"/>
      <c r="J25" s="66">
        <f t="shared" si="85"/>
        <v>0</v>
      </c>
      <c r="K25" s="60"/>
      <c r="L25" s="66">
        <f t="shared" si="45"/>
        <v>0</v>
      </c>
      <c r="M25" s="60"/>
      <c r="N25" s="66">
        <f t="shared" si="46"/>
        <v>0</v>
      </c>
      <c r="O25" s="60"/>
      <c r="P25" s="67">
        <f t="shared" si="47"/>
        <v>0</v>
      </c>
      <c r="Q25" s="60"/>
      <c r="R25" s="67">
        <f t="shared" si="48"/>
        <v>0</v>
      </c>
      <c r="S25" s="60"/>
      <c r="T25" s="67">
        <f t="shared" si="86"/>
        <v>0</v>
      </c>
      <c r="U25" s="60"/>
      <c r="V25" s="67">
        <f t="shared" si="50"/>
        <v>0</v>
      </c>
      <c r="W25" s="60"/>
      <c r="X25" s="67">
        <f t="shared" si="65"/>
        <v>0</v>
      </c>
      <c r="Y25" s="60"/>
      <c r="Z25" s="67">
        <f t="shared" si="66"/>
        <v>0</v>
      </c>
      <c r="AA25" s="60"/>
      <c r="AB25" s="67">
        <f t="shared" si="67"/>
        <v>0</v>
      </c>
      <c r="AC25" s="60"/>
      <c r="AD25" s="67">
        <f t="shared" si="68"/>
        <v>0</v>
      </c>
      <c r="AE25" s="60"/>
      <c r="AF25" s="67">
        <f t="shared" si="69"/>
        <v>0</v>
      </c>
      <c r="AG25" s="60"/>
      <c r="AH25" s="67">
        <f t="shared" si="51"/>
        <v>0</v>
      </c>
      <c r="AI25" s="60"/>
      <c r="AJ25" s="67">
        <f t="shared" si="70"/>
        <v>0</v>
      </c>
      <c r="AK25" s="60"/>
      <c r="AL25" s="67">
        <f t="shared" si="52"/>
        <v>0</v>
      </c>
      <c r="AM25" s="60"/>
      <c r="AN25" s="67">
        <f t="shared" si="53"/>
        <v>0</v>
      </c>
      <c r="AO25" s="60"/>
      <c r="AP25" s="67">
        <f t="shared" si="54"/>
        <v>0</v>
      </c>
      <c r="AQ25" s="60"/>
      <c r="AR25" s="67">
        <f t="shared" si="71"/>
        <v>0</v>
      </c>
      <c r="AS25" s="60"/>
      <c r="AT25" s="67">
        <f t="shared" si="72"/>
        <v>0</v>
      </c>
      <c r="AU25" s="60"/>
      <c r="AV25" s="67">
        <f t="shared" si="73"/>
        <v>0</v>
      </c>
      <c r="AW25" s="60"/>
      <c r="AX25" s="67">
        <f t="shared" si="74"/>
        <v>0</v>
      </c>
      <c r="AY25" s="60"/>
      <c r="AZ25" s="67">
        <f t="shared" si="75"/>
        <v>0</v>
      </c>
      <c r="BA25" s="60"/>
      <c r="BB25" s="67">
        <f t="shared" si="76"/>
        <v>0</v>
      </c>
      <c r="BC25" s="60"/>
      <c r="BD25" s="67">
        <f t="shared" si="77"/>
        <v>0</v>
      </c>
      <c r="BE25" s="61"/>
      <c r="BF25" s="67">
        <f t="shared" si="55"/>
        <v>0</v>
      </c>
      <c r="BG25" s="62"/>
      <c r="BH25" s="67">
        <f t="shared" si="78"/>
        <v>0</v>
      </c>
      <c r="BI25" s="62"/>
      <c r="BJ25" s="67">
        <f t="shared" si="79"/>
        <v>0</v>
      </c>
      <c r="BK25" s="62"/>
      <c r="BL25" s="67">
        <f t="shared" si="80"/>
        <v>0</v>
      </c>
      <c r="BM25" s="62"/>
      <c r="BN25" s="67">
        <f t="shared" si="81"/>
        <v>0</v>
      </c>
      <c r="BO25" s="62"/>
      <c r="BP25" s="67">
        <f t="shared" si="82"/>
        <v>0</v>
      </c>
      <c r="BQ25" s="62"/>
      <c r="BR25" s="67">
        <f t="shared" si="56"/>
        <v>0</v>
      </c>
      <c r="BS25" s="62"/>
      <c r="BT25" s="67">
        <f t="shared" si="83"/>
        <v>0</v>
      </c>
      <c r="BU25" s="62"/>
      <c r="BV25" s="67">
        <f t="shared" si="57"/>
        <v>0</v>
      </c>
      <c r="BW25" s="62"/>
      <c r="BX25" s="67">
        <f t="shared" si="84"/>
        <v>0</v>
      </c>
      <c r="BY25" s="62"/>
      <c r="BZ25" s="67">
        <f t="shared" si="58"/>
        <v>0</v>
      </c>
      <c r="CA25" s="62"/>
      <c r="CB25" s="67">
        <f t="shared" si="59"/>
        <v>0</v>
      </c>
      <c r="CC25" s="62"/>
      <c r="CD25" s="67">
        <f t="shared" si="60"/>
        <v>0</v>
      </c>
      <c r="CE25" s="62"/>
      <c r="CF25" s="67">
        <f t="shared" si="61"/>
        <v>0</v>
      </c>
      <c r="CG25" s="62"/>
      <c r="CH25" s="67">
        <f t="shared" si="62"/>
        <v>0</v>
      </c>
      <c r="CI25" s="62"/>
      <c r="CJ25" s="67">
        <f t="shared" si="63"/>
        <v>0</v>
      </c>
      <c r="CK25" s="62"/>
      <c r="CL25" s="66">
        <f t="shared" si="64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43974</v>
      </c>
      <c r="B26" s="45"/>
      <c r="C26" s="60"/>
      <c r="D26" s="66">
        <f t="shared" si="42"/>
        <v>0</v>
      </c>
      <c r="E26" s="60"/>
      <c r="F26" s="66">
        <f t="shared" si="43"/>
        <v>0</v>
      </c>
      <c r="G26" s="60"/>
      <c r="H26" s="66">
        <f t="shared" si="44"/>
        <v>0</v>
      </c>
      <c r="I26" s="60"/>
      <c r="J26" s="66">
        <f t="shared" si="85"/>
        <v>0</v>
      </c>
      <c r="K26" s="60"/>
      <c r="L26" s="66">
        <f t="shared" si="45"/>
        <v>0</v>
      </c>
      <c r="M26" s="60"/>
      <c r="N26" s="66">
        <f t="shared" si="46"/>
        <v>0</v>
      </c>
      <c r="O26" s="60"/>
      <c r="P26" s="67">
        <f t="shared" si="47"/>
        <v>0</v>
      </c>
      <c r="Q26" s="60"/>
      <c r="R26" s="67">
        <f t="shared" si="48"/>
        <v>0</v>
      </c>
      <c r="S26" s="60"/>
      <c r="T26" s="67">
        <f t="shared" si="86"/>
        <v>0</v>
      </c>
      <c r="U26" s="60"/>
      <c r="V26" s="67">
        <f t="shared" si="50"/>
        <v>0</v>
      </c>
      <c r="W26" s="60"/>
      <c r="X26" s="67">
        <f t="shared" si="65"/>
        <v>0</v>
      </c>
      <c r="Y26" s="60"/>
      <c r="Z26" s="67">
        <f t="shared" si="66"/>
        <v>0</v>
      </c>
      <c r="AA26" s="60"/>
      <c r="AB26" s="67">
        <f t="shared" si="67"/>
        <v>0</v>
      </c>
      <c r="AC26" s="60"/>
      <c r="AD26" s="67">
        <f t="shared" si="68"/>
        <v>0</v>
      </c>
      <c r="AE26" s="60"/>
      <c r="AF26" s="67">
        <f t="shared" si="69"/>
        <v>0</v>
      </c>
      <c r="AG26" s="60"/>
      <c r="AH26" s="67">
        <f t="shared" si="51"/>
        <v>0</v>
      </c>
      <c r="AI26" s="60"/>
      <c r="AJ26" s="67">
        <f t="shared" si="70"/>
        <v>0</v>
      </c>
      <c r="AK26" s="60"/>
      <c r="AL26" s="67">
        <f t="shared" si="52"/>
        <v>0</v>
      </c>
      <c r="AM26" s="60"/>
      <c r="AN26" s="67">
        <f t="shared" si="53"/>
        <v>0</v>
      </c>
      <c r="AO26" s="60"/>
      <c r="AP26" s="67">
        <f t="shared" si="54"/>
        <v>0</v>
      </c>
      <c r="AQ26" s="60"/>
      <c r="AR26" s="67">
        <f t="shared" si="71"/>
        <v>0</v>
      </c>
      <c r="AS26" s="60"/>
      <c r="AT26" s="67">
        <f t="shared" si="72"/>
        <v>0</v>
      </c>
      <c r="AU26" s="60"/>
      <c r="AV26" s="67">
        <f t="shared" si="73"/>
        <v>0</v>
      </c>
      <c r="AW26" s="60"/>
      <c r="AX26" s="67">
        <f t="shared" si="74"/>
        <v>0</v>
      </c>
      <c r="AY26" s="60"/>
      <c r="AZ26" s="67">
        <f t="shared" si="75"/>
        <v>0</v>
      </c>
      <c r="BA26" s="60"/>
      <c r="BB26" s="67">
        <f t="shared" si="76"/>
        <v>0</v>
      </c>
      <c r="BC26" s="60"/>
      <c r="BD26" s="67">
        <f t="shared" si="77"/>
        <v>0</v>
      </c>
      <c r="BE26" s="61"/>
      <c r="BF26" s="67">
        <f t="shared" si="55"/>
        <v>0</v>
      </c>
      <c r="BG26" s="62"/>
      <c r="BH26" s="67">
        <f t="shared" si="78"/>
        <v>0</v>
      </c>
      <c r="BI26" s="62"/>
      <c r="BJ26" s="67">
        <f t="shared" si="79"/>
        <v>0</v>
      </c>
      <c r="BK26" s="62"/>
      <c r="BL26" s="67">
        <f t="shared" si="80"/>
        <v>0</v>
      </c>
      <c r="BM26" s="62"/>
      <c r="BN26" s="67">
        <f t="shared" si="81"/>
        <v>0</v>
      </c>
      <c r="BO26" s="62"/>
      <c r="BP26" s="67">
        <f t="shared" si="82"/>
        <v>0</v>
      </c>
      <c r="BQ26" s="62"/>
      <c r="BR26" s="67">
        <f t="shared" si="56"/>
        <v>0</v>
      </c>
      <c r="BS26" s="62"/>
      <c r="BT26" s="67">
        <f t="shared" si="83"/>
        <v>0</v>
      </c>
      <c r="BU26" s="62"/>
      <c r="BV26" s="67">
        <f t="shared" si="57"/>
        <v>0</v>
      </c>
      <c r="BW26" s="62"/>
      <c r="BX26" s="67">
        <f t="shared" si="84"/>
        <v>0</v>
      </c>
      <c r="BY26" s="62"/>
      <c r="BZ26" s="67">
        <f t="shared" si="58"/>
        <v>0</v>
      </c>
      <c r="CA26" s="62"/>
      <c r="CB26" s="67">
        <f t="shared" si="59"/>
        <v>0</v>
      </c>
      <c r="CC26" s="62"/>
      <c r="CD26" s="67">
        <f t="shared" si="60"/>
        <v>0</v>
      </c>
      <c r="CE26" s="62"/>
      <c r="CF26" s="67">
        <f t="shared" si="61"/>
        <v>0</v>
      </c>
      <c r="CG26" s="62"/>
      <c r="CH26" s="67">
        <f t="shared" si="62"/>
        <v>0</v>
      </c>
      <c r="CI26" s="62"/>
      <c r="CJ26" s="67">
        <f t="shared" si="63"/>
        <v>0</v>
      </c>
      <c r="CK26" s="62"/>
      <c r="CL26" s="66">
        <f t="shared" si="64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43975</v>
      </c>
      <c r="B27" s="45"/>
      <c r="C27" s="60"/>
      <c r="D27" s="66">
        <f t="shared" si="42"/>
        <v>0</v>
      </c>
      <c r="E27" s="60"/>
      <c r="F27" s="66">
        <f t="shared" si="43"/>
        <v>0</v>
      </c>
      <c r="G27" s="60"/>
      <c r="H27" s="66">
        <f t="shared" si="44"/>
        <v>0</v>
      </c>
      <c r="I27" s="60"/>
      <c r="J27" s="66">
        <f t="shared" si="85"/>
        <v>0</v>
      </c>
      <c r="K27" s="60"/>
      <c r="L27" s="66">
        <f t="shared" si="45"/>
        <v>0</v>
      </c>
      <c r="M27" s="60"/>
      <c r="N27" s="66">
        <f t="shared" si="46"/>
        <v>0</v>
      </c>
      <c r="O27" s="60"/>
      <c r="P27" s="67">
        <f t="shared" si="47"/>
        <v>0</v>
      </c>
      <c r="Q27" s="60"/>
      <c r="R27" s="67">
        <f t="shared" si="48"/>
        <v>0</v>
      </c>
      <c r="S27" s="60"/>
      <c r="T27" s="67">
        <f t="shared" si="86"/>
        <v>0</v>
      </c>
      <c r="U27" s="60"/>
      <c r="V27" s="67">
        <f t="shared" si="50"/>
        <v>0</v>
      </c>
      <c r="W27" s="60"/>
      <c r="X27" s="67">
        <f t="shared" si="65"/>
        <v>0</v>
      </c>
      <c r="Y27" s="60"/>
      <c r="Z27" s="67">
        <f t="shared" si="66"/>
        <v>0</v>
      </c>
      <c r="AA27" s="60"/>
      <c r="AB27" s="67">
        <f t="shared" si="67"/>
        <v>0</v>
      </c>
      <c r="AC27" s="60"/>
      <c r="AD27" s="67">
        <f t="shared" si="68"/>
        <v>0</v>
      </c>
      <c r="AE27" s="60"/>
      <c r="AF27" s="67">
        <f t="shared" si="69"/>
        <v>0</v>
      </c>
      <c r="AG27" s="60"/>
      <c r="AH27" s="67">
        <f t="shared" si="51"/>
        <v>0</v>
      </c>
      <c r="AI27" s="60"/>
      <c r="AJ27" s="67">
        <f t="shared" si="70"/>
        <v>0</v>
      </c>
      <c r="AK27" s="60"/>
      <c r="AL27" s="67">
        <f t="shared" si="52"/>
        <v>0</v>
      </c>
      <c r="AM27" s="60"/>
      <c r="AN27" s="67">
        <f t="shared" si="53"/>
        <v>0</v>
      </c>
      <c r="AO27" s="60"/>
      <c r="AP27" s="67">
        <f t="shared" si="54"/>
        <v>0</v>
      </c>
      <c r="AQ27" s="60"/>
      <c r="AR27" s="67">
        <f t="shared" si="71"/>
        <v>0</v>
      </c>
      <c r="AS27" s="60"/>
      <c r="AT27" s="67">
        <f t="shared" si="72"/>
        <v>0</v>
      </c>
      <c r="AU27" s="60"/>
      <c r="AV27" s="67">
        <f t="shared" si="73"/>
        <v>0</v>
      </c>
      <c r="AW27" s="60"/>
      <c r="AX27" s="67">
        <f t="shared" si="74"/>
        <v>0</v>
      </c>
      <c r="AY27" s="60"/>
      <c r="AZ27" s="67">
        <f t="shared" si="75"/>
        <v>0</v>
      </c>
      <c r="BA27" s="60"/>
      <c r="BB27" s="67">
        <f t="shared" si="76"/>
        <v>0</v>
      </c>
      <c r="BC27" s="60"/>
      <c r="BD27" s="67">
        <f t="shared" si="77"/>
        <v>0</v>
      </c>
      <c r="BE27" s="61"/>
      <c r="BF27" s="67">
        <f t="shared" si="55"/>
        <v>0</v>
      </c>
      <c r="BG27" s="62"/>
      <c r="BH27" s="67">
        <f t="shared" si="78"/>
        <v>0</v>
      </c>
      <c r="BI27" s="62"/>
      <c r="BJ27" s="67">
        <f t="shared" si="79"/>
        <v>0</v>
      </c>
      <c r="BK27" s="62"/>
      <c r="BL27" s="67">
        <f t="shared" si="80"/>
        <v>0</v>
      </c>
      <c r="BM27" s="62"/>
      <c r="BN27" s="67">
        <f t="shared" si="81"/>
        <v>0</v>
      </c>
      <c r="BO27" s="62"/>
      <c r="BP27" s="67">
        <f t="shared" si="82"/>
        <v>0</v>
      </c>
      <c r="BQ27" s="62"/>
      <c r="BR27" s="67">
        <f t="shared" si="56"/>
        <v>0</v>
      </c>
      <c r="BS27" s="62"/>
      <c r="BT27" s="67">
        <f t="shared" si="83"/>
        <v>0</v>
      </c>
      <c r="BU27" s="62"/>
      <c r="BV27" s="67">
        <f t="shared" si="57"/>
        <v>0</v>
      </c>
      <c r="BW27" s="62"/>
      <c r="BX27" s="67">
        <f t="shared" si="84"/>
        <v>0</v>
      </c>
      <c r="BY27" s="62"/>
      <c r="BZ27" s="67">
        <f t="shared" si="58"/>
        <v>0</v>
      </c>
      <c r="CA27" s="62"/>
      <c r="CB27" s="67">
        <f t="shared" si="59"/>
        <v>0</v>
      </c>
      <c r="CC27" s="62"/>
      <c r="CD27" s="67">
        <f t="shared" si="60"/>
        <v>0</v>
      </c>
      <c r="CE27" s="62"/>
      <c r="CF27" s="67">
        <f t="shared" si="61"/>
        <v>0</v>
      </c>
      <c r="CG27" s="62"/>
      <c r="CH27" s="67">
        <f t="shared" si="62"/>
        <v>0</v>
      </c>
      <c r="CI27" s="62"/>
      <c r="CJ27" s="67">
        <f t="shared" si="63"/>
        <v>0</v>
      </c>
      <c r="CK27" s="62"/>
      <c r="CL27" s="66">
        <f t="shared" si="64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43976</v>
      </c>
      <c r="B28" s="45"/>
      <c r="C28" s="60"/>
      <c r="D28" s="66">
        <f t="shared" si="42"/>
        <v>0</v>
      </c>
      <c r="E28" s="60"/>
      <c r="F28" s="66">
        <f t="shared" si="43"/>
        <v>0</v>
      </c>
      <c r="G28" s="60"/>
      <c r="H28" s="66">
        <f t="shared" si="44"/>
        <v>0</v>
      </c>
      <c r="I28" s="60"/>
      <c r="J28" s="66">
        <f t="shared" si="85"/>
        <v>0</v>
      </c>
      <c r="K28" s="60"/>
      <c r="L28" s="66">
        <f t="shared" si="45"/>
        <v>0</v>
      </c>
      <c r="M28" s="60"/>
      <c r="N28" s="66">
        <f t="shared" si="46"/>
        <v>0</v>
      </c>
      <c r="O28" s="60"/>
      <c r="P28" s="67">
        <f t="shared" si="47"/>
        <v>0</v>
      </c>
      <c r="Q28" s="60"/>
      <c r="R28" s="67">
        <f t="shared" si="48"/>
        <v>0</v>
      </c>
      <c r="S28" s="60"/>
      <c r="T28" s="67">
        <f t="shared" si="86"/>
        <v>0</v>
      </c>
      <c r="U28" s="60"/>
      <c r="V28" s="67">
        <f t="shared" si="50"/>
        <v>0</v>
      </c>
      <c r="W28" s="60"/>
      <c r="X28" s="67">
        <f t="shared" si="65"/>
        <v>0</v>
      </c>
      <c r="Y28" s="60"/>
      <c r="Z28" s="67">
        <f t="shared" si="66"/>
        <v>0</v>
      </c>
      <c r="AA28" s="60"/>
      <c r="AB28" s="67">
        <f t="shared" si="67"/>
        <v>0</v>
      </c>
      <c r="AC28" s="60"/>
      <c r="AD28" s="67">
        <f t="shared" si="68"/>
        <v>0</v>
      </c>
      <c r="AE28" s="60"/>
      <c r="AF28" s="67">
        <f t="shared" si="69"/>
        <v>0</v>
      </c>
      <c r="AG28" s="60"/>
      <c r="AH28" s="67">
        <f t="shared" si="51"/>
        <v>0</v>
      </c>
      <c r="AI28" s="60"/>
      <c r="AJ28" s="67">
        <f t="shared" si="70"/>
        <v>0</v>
      </c>
      <c r="AK28" s="60"/>
      <c r="AL28" s="67">
        <f t="shared" si="52"/>
        <v>0</v>
      </c>
      <c r="AM28" s="60"/>
      <c r="AN28" s="67">
        <f t="shared" si="53"/>
        <v>0</v>
      </c>
      <c r="AO28" s="60"/>
      <c r="AP28" s="67">
        <f t="shared" si="54"/>
        <v>0</v>
      </c>
      <c r="AQ28" s="60"/>
      <c r="AR28" s="67">
        <f t="shared" si="71"/>
        <v>0</v>
      </c>
      <c r="AS28" s="60"/>
      <c r="AT28" s="67">
        <f t="shared" si="72"/>
        <v>0</v>
      </c>
      <c r="AU28" s="60"/>
      <c r="AV28" s="67">
        <f t="shared" si="73"/>
        <v>0</v>
      </c>
      <c r="AW28" s="60"/>
      <c r="AX28" s="67">
        <f t="shared" si="74"/>
        <v>0</v>
      </c>
      <c r="AY28" s="60"/>
      <c r="AZ28" s="67">
        <f t="shared" si="75"/>
        <v>0</v>
      </c>
      <c r="BA28" s="60"/>
      <c r="BB28" s="67">
        <f t="shared" si="76"/>
        <v>0</v>
      </c>
      <c r="BC28" s="60"/>
      <c r="BD28" s="67">
        <f t="shared" si="77"/>
        <v>0</v>
      </c>
      <c r="BE28" s="61"/>
      <c r="BF28" s="67">
        <f t="shared" si="55"/>
        <v>0</v>
      </c>
      <c r="BG28" s="62"/>
      <c r="BH28" s="67">
        <f t="shared" si="78"/>
        <v>0</v>
      </c>
      <c r="BI28" s="62"/>
      <c r="BJ28" s="67">
        <f t="shared" si="79"/>
        <v>0</v>
      </c>
      <c r="BK28" s="62"/>
      <c r="BL28" s="67">
        <f t="shared" si="80"/>
        <v>0</v>
      </c>
      <c r="BM28" s="62"/>
      <c r="BN28" s="67">
        <f t="shared" si="81"/>
        <v>0</v>
      </c>
      <c r="BO28" s="62"/>
      <c r="BP28" s="67">
        <f t="shared" si="82"/>
        <v>0</v>
      </c>
      <c r="BQ28" s="62"/>
      <c r="BR28" s="67">
        <f t="shared" si="56"/>
        <v>0</v>
      </c>
      <c r="BS28" s="62"/>
      <c r="BT28" s="67">
        <f t="shared" si="83"/>
        <v>0</v>
      </c>
      <c r="BU28" s="62"/>
      <c r="BV28" s="67">
        <f t="shared" si="57"/>
        <v>0</v>
      </c>
      <c r="BW28" s="62"/>
      <c r="BX28" s="67">
        <f t="shared" si="84"/>
        <v>0</v>
      </c>
      <c r="BY28" s="62"/>
      <c r="BZ28" s="67">
        <f t="shared" si="58"/>
        <v>0</v>
      </c>
      <c r="CA28" s="62"/>
      <c r="CB28" s="67">
        <f t="shared" si="59"/>
        <v>0</v>
      </c>
      <c r="CC28" s="62"/>
      <c r="CD28" s="67">
        <f t="shared" si="60"/>
        <v>0</v>
      </c>
      <c r="CE28" s="62"/>
      <c r="CF28" s="67">
        <f t="shared" si="61"/>
        <v>0</v>
      </c>
      <c r="CG28" s="62"/>
      <c r="CH28" s="67">
        <f t="shared" si="62"/>
        <v>0</v>
      </c>
      <c r="CI28" s="62"/>
      <c r="CJ28" s="67">
        <f t="shared" si="63"/>
        <v>0</v>
      </c>
      <c r="CK28" s="62"/>
      <c r="CL28" s="66">
        <f t="shared" si="64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43977</v>
      </c>
      <c r="B29" s="45"/>
      <c r="C29" s="60"/>
      <c r="D29" s="66">
        <f t="shared" si="42"/>
        <v>0</v>
      </c>
      <c r="E29" s="60"/>
      <c r="F29" s="66">
        <f t="shared" si="43"/>
        <v>0</v>
      </c>
      <c r="G29" s="60"/>
      <c r="H29" s="66">
        <f t="shared" si="44"/>
        <v>0</v>
      </c>
      <c r="I29" s="60"/>
      <c r="J29" s="66">
        <f t="shared" si="85"/>
        <v>0</v>
      </c>
      <c r="K29" s="60"/>
      <c r="L29" s="66">
        <f t="shared" si="45"/>
        <v>0</v>
      </c>
      <c r="M29" s="60"/>
      <c r="N29" s="66">
        <f t="shared" si="46"/>
        <v>0</v>
      </c>
      <c r="O29" s="60"/>
      <c r="P29" s="67">
        <f t="shared" si="47"/>
        <v>0</v>
      </c>
      <c r="Q29" s="60"/>
      <c r="R29" s="67">
        <f t="shared" si="48"/>
        <v>0</v>
      </c>
      <c r="S29" s="60"/>
      <c r="T29" s="67">
        <f t="shared" si="86"/>
        <v>0</v>
      </c>
      <c r="U29" s="60"/>
      <c r="V29" s="67">
        <f t="shared" si="50"/>
        <v>0</v>
      </c>
      <c r="W29" s="60"/>
      <c r="X29" s="67">
        <f t="shared" si="65"/>
        <v>0</v>
      </c>
      <c r="Y29" s="60"/>
      <c r="Z29" s="67">
        <f t="shared" si="66"/>
        <v>0</v>
      </c>
      <c r="AA29" s="60"/>
      <c r="AB29" s="67">
        <f t="shared" si="67"/>
        <v>0</v>
      </c>
      <c r="AC29" s="60"/>
      <c r="AD29" s="67">
        <f t="shared" si="68"/>
        <v>0</v>
      </c>
      <c r="AE29" s="60"/>
      <c r="AF29" s="67">
        <f t="shared" si="69"/>
        <v>0</v>
      </c>
      <c r="AG29" s="60"/>
      <c r="AH29" s="67">
        <f t="shared" si="51"/>
        <v>0</v>
      </c>
      <c r="AI29" s="60"/>
      <c r="AJ29" s="67">
        <f t="shared" si="70"/>
        <v>0</v>
      </c>
      <c r="AK29" s="60"/>
      <c r="AL29" s="67">
        <f t="shared" si="52"/>
        <v>0</v>
      </c>
      <c r="AM29" s="60"/>
      <c r="AN29" s="67">
        <f t="shared" si="53"/>
        <v>0</v>
      </c>
      <c r="AO29" s="60"/>
      <c r="AP29" s="67">
        <f t="shared" si="54"/>
        <v>0</v>
      </c>
      <c r="AQ29" s="60"/>
      <c r="AR29" s="67">
        <f t="shared" si="71"/>
        <v>0</v>
      </c>
      <c r="AS29" s="60"/>
      <c r="AT29" s="67">
        <f t="shared" si="72"/>
        <v>0</v>
      </c>
      <c r="AU29" s="60"/>
      <c r="AV29" s="67">
        <f t="shared" si="73"/>
        <v>0</v>
      </c>
      <c r="AW29" s="60"/>
      <c r="AX29" s="67">
        <f t="shared" si="74"/>
        <v>0</v>
      </c>
      <c r="AY29" s="60"/>
      <c r="AZ29" s="67">
        <f t="shared" si="75"/>
        <v>0</v>
      </c>
      <c r="BA29" s="60"/>
      <c r="BB29" s="67">
        <f t="shared" si="76"/>
        <v>0</v>
      </c>
      <c r="BC29" s="60"/>
      <c r="BD29" s="67">
        <f t="shared" si="77"/>
        <v>0</v>
      </c>
      <c r="BE29" s="61"/>
      <c r="BF29" s="67">
        <f t="shared" si="55"/>
        <v>0</v>
      </c>
      <c r="BG29" s="62"/>
      <c r="BH29" s="67">
        <f t="shared" si="78"/>
        <v>0</v>
      </c>
      <c r="BI29" s="62"/>
      <c r="BJ29" s="67">
        <f t="shared" si="79"/>
        <v>0</v>
      </c>
      <c r="BK29" s="62"/>
      <c r="BL29" s="67">
        <f t="shared" si="80"/>
        <v>0</v>
      </c>
      <c r="BM29" s="62"/>
      <c r="BN29" s="67">
        <f t="shared" si="81"/>
        <v>0</v>
      </c>
      <c r="BO29" s="62"/>
      <c r="BP29" s="67">
        <f t="shared" si="82"/>
        <v>0</v>
      </c>
      <c r="BQ29" s="62"/>
      <c r="BR29" s="67">
        <f t="shared" si="56"/>
        <v>0</v>
      </c>
      <c r="BS29" s="62"/>
      <c r="BT29" s="67">
        <f t="shared" si="83"/>
        <v>0</v>
      </c>
      <c r="BU29" s="62"/>
      <c r="BV29" s="67">
        <f t="shared" si="57"/>
        <v>0</v>
      </c>
      <c r="BW29" s="62"/>
      <c r="BX29" s="67">
        <f t="shared" si="84"/>
        <v>0</v>
      </c>
      <c r="BY29" s="62"/>
      <c r="BZ29" s="67">
        <f t="shared" si="58"/>
        <v>0</v>
      </c>
      <c r="CA29" s="62"/>
      <c r="CB29" s="67">
        <f t="shared" si="59"/>
        <v>0</v>
      </c>
      <c r="CC29" s="62"/>
      <c r="CD29" s="67">
        <f t="shared" si="60"/>
        <v>0</v>
      </c>
      <c r="CE29" s="62"/>
      <c r="CF29" s="67">
        <f t="shared" si="61"/>
        <v>0</v>
      </c>
      <c r="CG29" s="62"/>
      <c r="CH29" s="67">
        <f t="shared" si="62"/>
        <v>0</v>
      </c>
      <c r="CI29" s="62"/>
      <c r="CJ29" s="67">
        <f t="shared" si="63"/>
        <v>0</v>
      </c>
      <c r="CK29" s="62"/>
      <c r="CL29" s="66">
        <f t="shared" si="64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43978</v>
      </c>
      <c r="B30" s="45"/>
      <c r="C30" s="60"/>
      <c r="D30" s="66">
        <f t="shared" si="42"/>
        <v>0</v>
      </c>
      <c r="E30" s="60"/>
      <c r="F30" s="66">
        <f t="shared" si="43"/>
        <v>0</v>
      </c>
      <c r="G30" s="60"/>
      <c r="H30" s="66">
        <f t="shared" si="44"/>
        <v>0</v>
      </c>
      <c r="I30" s="60"/>
      <c r="J30" s="66">
        <f t="shared" si="85"/>
        <v>0</v>
      </c>
      <c r="K30" s="60"/>
      <c r="L30" s="66">
        <f t="shared" si="45"/>
        <v>0</v>
      </c>
      <c r="M30" s="60"/>
      <c r="N30" s="66">
        <f t="shared" si="46"/>
        <v>0</v>
      </c>
      <c r="O30" s="60"/>
      <c r="P30" s="67">
        <f t="shared" si="47"/>
        <v>0</v>
      </c>
      <c r="Q30" s="60"/>
      <c r="R30" s="67">
        <f t="shared" si="48"/>
        <v>0</v>
      </c>
      <c r="S30" s="60"/>
      <c r="T30" s="67">
        <f t="shared" si="86"/>
        <v>0</v>
      </c>
      <c r="U30" s="60"/>
      <c r="V30" s="67">
        <f t="shared" si="50"/>
        <v>0</v>
      </c>
      <c r="W30" s="60"/>
      <c r="X30" s="67">
        <f t="shared" si="65"/>
        <v>0</v>
      </c>
      <c r="Y30" s="60"/>
      <c r="Z30" s="67">
        <f t="shared" si="66"/>
        <v>0</v>
      </c>
      <c r="AA30" s="60"/>
      <c r="AB30" s="67">
        <f t="shared" si="67"/>
        <v>0</v>
      </c>
      <c r="AC30" s="60"/>
      <c r="AD30" s="67">
        <f t="shared" si="68"/>
        <v>0</v>
      </c>
      <c r="AE30" s="60"/>
      <c r="AF30" s="67">
        <f t="shared" si="69"/>
        <v>0</v>
      </c>
      <c r="AG30" s="60"/>
      <c r="AH30" s="67">
        <f t="shared" si="51"/>
        <v>0</v>
      </c>
      <c r="AI30" s="60"/>
      <c r="AJ30" s="67">
        <f t="shared" si="70"/>
        <v>0</v>
      </c>
      <c r="AK30" s="60"/>
      <c r="AL30" s="67">
        <f t="shared" si="52"/>
        <v>0</v>
      </c>
      <c r="AM30" s="60"/>
      <c r="AN30" s="67">
        <f t="shared" si="53"/>
        <v>0</v>
      </c>
      <c r="AO30" s="60"/>
      <c r="AP30" s="67">
        <f t="shared" si="54"/>
        <v>0</v>
      </c>
      <c r="AQ30" s="60"/>
      <c r="AR30" s="67">
        <f t="shared" si="71"/>
        <v>0</v>
      </c>
      <c r="AS30" s="60"/>
      <c r="AT30" s="67">
        <f t="shared" si="72"/>
        <v>0</v>
      </c>
      <c r="AU30" s="60"/>
      <c r="AV30" s="67">
        <f t="shared" si="73"/>
        <v>0</v>
      </c>
      <c r="AW30" s="60"/>
      <c r="AX30" s="67">
        <f t="shared" si="74"/>
        <v>0</v>
      </c>
      <c r="AY30" s="60"/>
      <c r="AZ30" s="67">
        <f t="shared" si="75"/>
        <v>0</v>
      </c>
      <c r="BA30" s="60"/>
      <c r="BB30" s="67">
        <f t="shared" si="76"/>
        <v>0</v>
      </c>
      <c r="BC30" s="60"/>
      <c r="BD30" s="67">
        <f t="shared" si="77"/>
        <v>0</v>
      </c>
      <c r="BE30" s="61"/>
      <c r="BF30" s="67">
        <f t="shared" si="55"/>
        <v>0</v>
      </c>
      <c r="BG30" s="62"/>
      <c r="BH30" s="67">
        <f t="shared" si="78"/>
        <v>0</v>
      </c>
      <c r="BI30" s="62"/>
      <c r="BJ30" s="67">
        <f t="shared" si="79"/>
        <v>0</v>
      </c>
      <c r="BK30" s="62"/>
      <c r="BL30" s="67">
        <f t="shared" si="80"/>
        <v>0</v>
      </c>
      <c r="BM30" s="62"/>
      <c r="BN30" s="67">
        <f t="shared" si="81"/>
        <v>0</v>
      </c>
      <c r="BO30" s="62"/>
      <c r="BP30" s="67">
        <f t="shared" si="82"/>
        <v>0</v>
      </c>
      <c r="BQ30" s="62"/>
      <c r="BR30" s="67">
        <f t="shared" si="56"/>
        <v>0</v>
      </c>
      <c r="BS30" s="62"/>
      <c r="BT30" s="67">
        <f t="shared" si="83"/>
        <v>0</v>
      </c>
      <c r="BU30" s="62"/>
      <c r="BV30" s="67">
        <f t="shared" si="57"/>
        <v>0</v>
      </c>
      <c r="BW30" s="62"/>
      <c r="BX30" s="67">
        <f t="shared" si="84"/>
        <v>0</v>
      </c>
      <c r="BY30" s="62"/>
      <c r="BZ30" s="67">
        <f t="shared" si="58"/>
        <v>0</v>
      </c>
      <c r="CA30" s="62"/>
      <c r="CB30" s="67">
        <f t="shared" si="59"/>
        <v>0</v>
      </c>
      <c r="CC30" s="62"/>
      <c r="CD30" s="67">
        <f t="shared" si="60"/>
        <v>0</v>
      </c>
      <c r="CE30" s="62"/>
      <c r="CF30" s="67">
        <f t="shared" si="61"/>
        <v>0</v>
      </c>
      <c r="CG30" s="62"/>
      <c r="CH30" s="67">
        <f t="shared" si="62"/>
        <v>0</v>
      </c>
      <c r="CI30" s="62"/>
      <c r="CJ30" s="67">
        <f t="shared" si="63"/>
        <v>0</v>
      </c>
      <c r="CK30" s="62"/>
      <c r="CL30" s="66">
        <f t="shared" si="64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43979</v>
      </c>
      <c r="B31" s="68"/>
      <c r="C31" s="60"/>
      <c r="D31" s="66">
        <f t="shared" si="42"/>
        <v>0</v>
      </c>
      <c r="E31" s="60"/>
      <c r="F31" s="66">
        <f t="shared" si="43"/>
        <v>0</v>
      </c>
      <c r="G31" s="60"/>
      <c r="H31" s="66">
        <f t="shared" si="44"/>
        <v>0</v>
      </c>
      <c r="I31" s="60"/>
      <c r="J31" s="66">
        <f t="shared" si="85"/>
        <v>0</v>
      </c>
      <c r="K31" s="60"/>
      <c r="L31" s="66">
        <f t="shared" si="45"/>
        <v>0</v>
      </c>
      <c r="M31" s="60"/>
      <c r="N31" s="66">
        <f t="shared" si="46"/>
        <v>0</v>
      </c>
      <c r="O31" s="60"/>
      <c r="P31" s="69">
        <f t="shared" si="47"/>
        <v>0</v>
      </c>
      <c r="Q31" s="60"/>
      <c r="R31" s="69">
        <f t="shared" si="48"/>
        <v>0</v>
      </c>
      <c r="S31" s="60"/>
      <c r="T31" s="69">
        <f t="shared" si="86"/>
        <v>0</v>
      </c>
      <c r="U31" s="60"/>
      <c r="V31" s="69">
        <f t="shared" si="50"/>
        <v>0</v>
      </c>
      <c r="W31" s="60"/>
      <c r="X31" s="67">
        <f t="shared" si="65"/>
        <v>0</v>
      </c>
      <c r="Y31" s="60"/>
      <c r="Z31" s="67">
        <f t="shared" si="66"/>
        <v>0</v>
      </c>
      <c r="AA31" s="60"/>
      <c r="AB31" s="67">
        <f t="shared" si="67"/>
        <v>0</v>
      </c>
      <c r="AC31" s="60"/>
      <c r="AD31" s="67">
        <f t="shared" si="68"/>
        <v>0</v>
      </c>
      <c r="AE31" s="60"/>
      <c r="AF31" s="67">
        <f t="shared" si="69"/>
        <v>0</v>
      </c>
      <c r="AG31" s="60"/>
      <c r="AH31" s="69">
        <f t="shared" si="51"/>
        <v>0</v>
      </c>
      <c r="AI31" s="60"/>
      <c r="AJ31" s="67">
        <f t="shared" si="70"/>
        <v>0</v>
      </c>
      <c r="AK31" s="60"/>
      <c r="AL31" s="67">
        <f t="shared" si="52"/>
        <v>0</v>
      </c>
      <c r="AM31" s="60"/>
      <c r="AN31" s="67">
        <f t="shared" si="53"/>
        <v>0</v>
      </c>
      <c r="AO31" s="60"/>
      <c r="AP31" s="67">
        <f t="shared" si="54"/>
        <v>0</v>
      </c>
      <c r="AQ31" s="60"/>
      <c r="AR31" s="67">
        <f t="shared" si="71"/>
        <v>0</v>
      </c>
      <c r="AS31" s="60"/>
      <c r="AT31" s="67">
        <f t="shared" si="72"/>
        <v>0</v>
      </c>
      <c r="AU31" s="60"/>
      <c r="AV31" s="67">
        <f t="shared" si="73"/>
        <v>0</v>
      </c>
      <c r="AW31" s="60"/>
      <c r="AX31" s="67">
        <f t="shared" si="74"/>
        <v>0</v>
      </c>
      <c r="AY31" s="60"/>
      <c r="AZ31" s="67">
        <f t="shared" si="75"/>
        <v>0</v>
      </c>
      <c r="BA31" s="60"/>
      <c r="BB31" s="67">
        <f t="shared" si="76"/>
        <v>0</v>
      </c>
      <c r="BC31" s="60"/>
      <c r="BD31" s="67">
        <f t="shared" si="77"/>
        <v>0</v>
      </c>
      <c r="BE31" s="61"/>
      <c r="BF31" s="69">
        <f t="shared" si="55"/>
        <v>0</v>
      </c>
      <c r="BG31" s="62"/>
      <c r="BH31" s="67">
        <f t="shared" si="78"/>
        <v>0</v>
      </c>
      <c r="BI31" s="62"/>
      <c r="BJ31" s="67">
        <f t="shared" si="79"/>
        <v>0</v>
      </c>
      <c r="BK31" s="62"/>
      <c r="BL31" s="67">
        <f t="shared" si="80"/>
        <v>0</v>
      </c>
      <c r="BM31" s="62"/>
      <c r="BN31" s="67">
        <f t="shared" si="81"/>
        <v>0</v>
      </c>
      <c r="BO31" s="62"/>
      <c r="BP31" s="67">
        <f t="shared" si="82"/>
        <v>0</v>
      </c>
      <c r="BQ31" s="62"/>
      <c r="BR31" s="67">
        <f t="shared" si="56"/>
        <v>0</v>
      </c>
      <c r="BS31" s="62"/>
      <c r="BT31" s="67">
        <f t="shared" si="83"/>
        <v>0</v>
      </c>
      <c r="BU31" s="62"/>
      <c r="BV31" s="67">
        <f t="shared" si="57"/>
        <v>0</v>
      </c>
      <c r="BW31" s="62"/>
      <c r="BX31" s="67">
        <f t="shared" si="84"/>
        <v>0</v>
      </c>
      <c r="BY31" s="62"/>
      <c r="BZ31" s="67">
        <f t="shared" si="58"/>
        <v>0</v>
      </c>
      <c r="CA31" s="62"/>
      <c r="CB31" s="69">
        <f t="shared" si="59"/>
        <v>0</v>
      </c>
      <c r="CC31" s="62"/>
      <c r="CD31" s="69">
        <f t="shared" si="60"/>
        <v>0</v>
      </c>
      <c r="CE31" s="62"/>
      <c r="CF31" s="69">
        <f t="shared" si="61"/>
        <v>0</v>
      </c>
      <c r="CG31" s="62"/>
      <c r="CH31" s="69">
        <f t="shared" si="62"/>
        <v>0</v>
      </c>
      <c r="CI31" s="62"/>
      <c r="CJ31" s="69">
        <f t="shared" si="63"/>
        <v>0</v>
      </c>
      <c r="CK31" s="62"/>
      <c r="CL31" s="66">
        <f t="shared" si="64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43980</v>
      </c>
      <c r="B32" s="70"/>
      <c r="C32" s="60"/>
      <c r="D32" s="66">
        <f t="shared" si="42"/>
        <v>0</v>
      </c>
      <c r="E32" s="60"/>
      <c r="F32" s="66">
        <f t="shared" si="43"/>
        <v>0</v>
      </c>
      <c r="G32" s="60"/>
      <c r="H32" s="66">
        <f t="shared" si="44"/>
        <v>0</v>
      </c>
      <c r="I32" s="60"/>
      <c r="J32" s="66">
        <f t="shared" si="85"/>
        <v>0</v>
      </c>
      <c r="K32" s="60"/>
      <c r="L32" s="66">
        <f t="shared" si="45"/>
        <v>0</v>
      </c>
      <c r="M32" s="60"/>
      <c r="N32" s="66">
        <f t="shared" si="46"/>
        <v>0</v>
      </c>
      <c r="O32" s="60"/>
      <c r="P32" s="69">
        <f t="shared" si="47"/>
        <v>0</v>
      </c>
      <c r="Q32" s="60"/>
      <c r="R32" s="69">
        <f t="shared" si="48"/>
        <v>0</v>
      </c>
      <c r="S32" s="60"/>
      <c r="T32" s="69">
        <f t="shared" si="86"/>
        <v>0</v>
      </c>
      <c r="U32" s="60"/>
      <c r="V32" s="69">
        <f t="shared" si="50"/>
        <v>0</v>
      </c>
      <c r="W32" s="60"/>
      <c r="X32" s="67">
        <f t="shared" si="65"/>
        <v>0</v>
      </c>
      <c r="Y32" s="60"/>
      <c r="Z32" s="67">
        <f t="shared" si="66"/>
        <v>0</v>
      </c>
      <c r="AA32" s="60"/>
      <c r="AB32" s="67">
        <f t="shared" si="67"/>
        <v>0</v>
      </c>
      <c r="AC32" s="60"/>
      <c r="AD32" s="67">
        <f t="shared" si="68"/>
        <v>0</v>
      </c>
      <c r="AE32" s="60"/>
      <c r="AF32" s="67">
        <f t="shared" si="69"/>
        <v>0</v>
      </c>
      <c r="AG32" s="60"/>
      <c r="AH32" s="69">
        <f t="shared" si="51"/>
        <v>0</v>
      </c>
      <c r="AI32" s="60"/>
      <c r="AJ32" s="67">
        <f t="shared" si="70"/>
        <v>0</v>
      </c>
      <c r="AK32" s="60"/>
      <c r="AL32" s="67">
        <f t="shared" si="52"/>
        <v>0</v>
      </c>
      <c r="AM32" s="60"/>
      <c r="AN32" s="67">
        <f t="shared" si="53"/>
        <v>0</v>
      </c>
      <c r="AO32" s="60"/>
      <c r="AP32" s="67">
        <f t="shared" si="54"/>
        <v>0</v>
      </c>
      <c r="AQ32" s="60"/>
      <c r="AR32" s="67">
        <f t="shared" si="71"/>
        <v>0</v>
      </c>
      <c r="AS32" s="60"/>
      <c r="AT32" s="67">
        <f t="shared" si="72"/>
        <v>0</v>
      </c>
      <c r="AU32" s="60"/>
      <c r="AV32" s="67">
        <f t="shared" si="73"/>
        <v>0</v>
      </c>
      <c r="AW32" s="60"/>
      <c r="AX32" s="67">
        <f t="shared" si="74"/>
        <v>0</v>
      </c>
      <c r="AY32" s="60"/>
      <c r="AZ32" s="67">
        <f t="shared" si="75"/>
        <v>0</v>
      </c>
      <c r="BA32" s="60"/>
      <c r="BB32" s="67">
        <f t="shared" si="76"/>
        <v>0</v>
      </c>
      <c r="BC32" s="60"/>
      <c r="BD32" s="67">
        <f t="shared" si="77"/>
        <v>0</v>
      </c>
      <c r="BE32" s="61"/>
      <c r="BF32" s="69">
        <f t="shared" si="55"/>
        <v>0</v>
      </c>
      <c r="BG32" s="62"/>
      <c r="BH32" s="67">
        <f t="shared" si="78"/>
        <v>0</v>
      </c>
      <c r="BI32" s="62"/>
      <c r="BJ32" s="67">
        <f t="shared" si="79"/>
        <v>0</v>
      </c>
      <c r="BK32" s="62"/>
      <c r="BL32" s="67">
        <f t="shared" si="80"/>
        <v>0</v>
      </c>
      <c r="BM32" s="62"/>
      <c r="BN32" s="67">
        <f t="shared" si="81"/>
        <v>0</v>
      </c>
      <c r="BO32" s="62"/>
      <c r="BP32" s="67">
        <f t="shared" si="82"/>
        <v>0</v>
      </c>
      <c r="BQ32" s="62"/>
      <c r="BR32" s="67">
        <f t="shared" si="56"/>
        <v>0</v>
      </c>
      <c r="BS32" s="62"/>
      <c r="BT32" s="67">
        <f t="shared" si="83"/>
        <v>0</v>
      </c>
      <c r="BU32" s="62"/>
      <c r="BV32" s="67">
        <f t="shared" si="57"/>
        <v>0</v>
      </c>
      <c r="BW32" s="62"/>
      <c r="BX32" s="67">
        <f t="shared" si="84"/>
        <v>0</v>
      </c>
      <c r="BY32" s="62"/>
      <c r="BZ32" s="67">
        <f t="shared" si="58"/>
        <v>0</v>
      </c>
      <c r="CA32" s="62"/>
      <c r="CB32" s="69">
        <f t="shared" si="59"/>
        <v>0</v>
      </c>
      <c r="CC32" s="62"/>
      <c r="CD32" s="69">
        <f t="shared" si="60"/>
        <v>0</v>
      </c>
      <c r="CE32" s="62"/>
      <c r="CF32" s="69">
        <f t="shared" si="61"/>
        <v>0</v>
      </c>
      <c r="CG32" s="62"/>
      <c r="CH32" s="69">
        <f t="shared" si="62"/>
        <v>0</v>
      </c>
      <c r="CI32" s="62"/>
      <c r="CJ32" s="69">
        <f t="shared" si="63"/>
        <v>0</v>
      </c>
      <c r="CK32" s="62"/>
      <c r="CL32" s="66">
        <f t="shared" si="64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43981</v>
      </c>
      <c r="B33" s="70"/>
      <c r="C33" s="60"/>
      <c r="D33" s="66">
        <f t="shared" si="42"/>
        <v>0</v>
      </c>
      <c r="E33" s="60"/>
      <c r="F33" s="66">
        <f t="shared" si="43"/>
        <v>0</v>
      </c>
      <c r="G33" s="60"/>
      <c r="H33" s="66">
        <f t="shared" si="44"/>
        <v>0</v>
      </c>
      <c r="I33" s="60"/>
      <c r="J33" s="66">
        <f t="shared" si="85"/>
        <v>0</v>
      </c>
      <c r="K33" s="60"/>
      <c r="L33" s="66">
        <f t="shared" si="45"/>
        <v>0</v>
      </c>
      <c r="M33" s="60"/>
      <c r="N33" s="66">
        <f t="shared" si="46"/>
        <v>0</v>
      </c>
      <c r="O33" s="60"/>
      <c r="P33" s="69">
        <f>IF((O33-O32&lt;0), "",O33-O32)</f>
        <v>0</v>
      </c>
      <c r="Q33" s="60"/>
      <c r="R33" s="69">
        <f t="shared" si="48"/>
        <v>0</v>
      </c>
      <c r="S33" s="60"/>
      <c r="T33" s="69">
        <f t="shared" si="86"/>
        <v>0</v>
      </c>
      <c r="U33" s="60"/>
      <c r="V33" s="69">
        <f t="shared" si="50"/>
        <v>0</v>
      </c>
      <c r="W33" s="60"/>
      <c r="X33" s="67">
        <f t="shared" si="65"/>
        <v>0</v>
      </c>
      <c r="Y33" s="60"/>
      <c r="Z33" s="67">
        <f t="shared" si="66"/>
        <v>0</v>
      </c>
      <c r="AA33" s="60"/>
      <c r="AB33" s="67">
        <f t="shared" si="67"/>
        <v>0</v>
      </c>
      <c r="AC33" s="60"/>
      <c r="AD33" s="67">
        <f t="shared" si="68"/>
        <v>0</v>
      </c>
      <c r="AE33" s="60"/>
      <c r="AF33" s="67">
        <f t="shared" si="69"/>
        <v>0</v>
      </c>
      <c r="AG33" s="60"/>
      <c r="AH33" s="69">
        <f t="shared" si="51"/>
        <v>0</v>
      </c>
      <c r="AI33" s="60"/>
      <c r="AJ33" s="67">
        <f t="shared" si="70"/>
        <v>0</v>
      </c>
      <c r="AK33" s="60"/>
      <c r="AL33" s="67">
        <f t="shared" si="52"/>
        <v>0</v>
      </c>
      <c r="AM33" s="60"/>
      <c r="AN33" s="67">
        <f t="shared" si="53"/>
        <v>0</v>
      </c>
      <c r="AO33" s="60"/>
      <c r="AP33" s="67">
        <f t="shared" si="54"/>
        <v>0</v>
      </c>
      <c r="AQ33" s="60"/>
      <c r="AR33" s="67">
        <f t="shared" si="71"/>
        <v>0</v>
      </c>
      <c r="AS33" s="60"/>
      <c r="AT33" s="67">
        <f t="shared" si="72"/>
        <v>0</v>
      </c>
      <c r="AU33" s="60"/>
      <c r="AV33" s="67">
        <f t="shared" si="73"/>
        <v>0</v>
      </c>
      <c r="AW33" s="60"/>
      <c r="AX33" s="67">
        <f t="shared" si="74"/>
        <v>0</v>
      </c>
      <c r="AY33" s="60"/>
      <c r="AZ33" s="67">
        <f t="shared" si="75"/>
        <v>0</v>
      </c>
      <c r="BA33" s="60"/>
      <c r="BB33" s="67">
        <f t="shared" si="76"/>
        <v>0</v>
      </c>
      <c r="BC33" s="60"/>
      <c r="BD33" s="67">
        <f t="shared" si="77"/>
        <v>0</v>
      </c>
      <c r="BE33" s="61"/>
      <c r="BF33" s="69">
        <f t="shared" si="55"/>
        <v>0</v>
      </c>
      <c r="BG33" s="62"/>
      <c r="BH33" s="67">
        <f t="shared" si="78"/>
        <v>0</v>
      </c>
      <c r="BI33" s="62"/>
      <c r="BJ33" s="67">
        <f t="shared" si="79"/>
        <v>0</v>
      </c>
      <c r="BK33" s="62"/>
      <c r="BL33" s="67">
        <f t="shared" si="80"/>
        <v>0</v>
      </c>
      <c r="BM33" s="62"/>
      <c r="BN33" s="67">
        <f t="shared" si="81"/>
        <v>0</v>
      </c>
      <c r="BO33" s="62"/>
      <c r="BP33" s="67">
        <f t="shared" si="82"/>
        <v>0</v>
      </c>
      <c r="BQ33" s="62"/>
      <c r="BR33" s="67">
        <f t="shared" si="56"/>
        <v>0</v>
      </c>
      <c r="BS33" s="62"/>
      <c r="BT33" s="67">
        <f t="shared" si="83"/>
        <v>0</v>
      </c>
      <c r="BU33" s="62"/>
      <c r="BV33" s="67">
        <f t="shared" si="57"/>
        <v>0</v>
      </c>
      <c r="BW33" s="62"/>
      <c r="BX33" s="67">
        <f t="shared" si="84"/>
        <v>0</v>
      </c>
      <c r="BY33" s="62"/>
      <c r="BZ33" s="67">
        <f t="shared" si="58"/>
        <v>0</v>
      </c>
      <c r="CA33" s="62"/>
      <c r="CB33" s="69">
        <f t="shared" si="59"/>
        <v>0</v>
      </c>
      <c r="CC33" s="62"/>
      <c r="CD33" s="69">
        <f t="shared" si="60"/>
        <v>0</v>
      </c>
      <c r="CE33" s="62"/>
      <c r="CF33" s="69">
        <f t="shared" si="61"/>
        <v>0</v>
      </c>
      <c r="CG33" s="62"/>
      <c r="CH33" s="69">
        <f t="shared" si="62"/>
        <v>0</v>
      </c>
      <c r="CI33" s="62"/>
      <c r="CJ33" s="69">
        <f t="shared" si="63"/>
        <v>0</v>
      </c>
      <c r="CK33" s="62"/>
      <c r="CL33" s="66">
        <f t="shared" si="64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43982</v>
      </c>
      <c r="B34" s="70"/>
      <c r="C34" s="60"/>
      <c r="D34" s="66">
        <f t="shared" si="42"/>
        <v>0</v>
      </c>
      <c r="E34" s="60"/>
      <c r="F34" s="66">
        <f t="shared" si="43"/>
        <v>0</v>
      </c>
      <c r="G34" s="60"/>
      <c r="H34" s="66">
        <f t="shared" si="44"/>
        <v>0</v>
      </c>
      <c r="I34" s="60"/>
      <c r="J34" s="66">
        <f t="shared" si="85"/>
        <v>0</v>
      </c>
      <c r="K34" s="60"/>
      <c r="L34" s="66">
        <f t="shared" si="45"/>
        <v>0</v>
      </c>
      <c r="M34" s="60"/>
      <c r="N34" s="66">
        <f t="shared" si="46"/>
        <v>0</v>
      </c>
      <c r="O34" s="60"/>
      <c r="P34" s="69">
        <f>IF((O34-O33&lt;0), "",O34-O33)</f>
        <v>0</v>
      </c>
      <c r="Q34" s="60"/>
      <c r="R34" s="69">
        <f t="shared" si="48"/>
        <v>0</v>
      </c>
      <c r="S34" s="60"/>
      <c r="T34" s="69">
        <f t="shared" si="86"/>
        <v>0</v>
      </c>
      <c r="U34" s="60"/>
      <c r="V34" s="69">
        <f t="shared" si="50"/>
        <v>0</v>
      </c>
      <c r="W34" s="60"/>
      <c r="X34" s="67">
        <f t="shared" si="65"/>
        <v>0</v>
      </c>
      <c r="Y34" s="60"/>
      <c r="Z34" s="67">
        <f t="shared" si="66"/>
        <v>0</v>
      </c>
      <c r="AA34" s="60"/>
      <c r="AB34" s="67">
        <f t="shared" si="67"/>
        <v>0</v>
      </c>
      <c r="AC34" s="60"/>
      <c r="AD34" s="67">
        <f t="shared" si="68"/>
        <v>0</v>
      </c>
      <c r="AE34" s="60"/>
      <c r="AF34" s="67">
        <f t="shared" si="69"/>
        <v>0</v>
      </c>
      <c r="AG34" s="60"/>
      <c r="AH34" s="69">
        <f t="shared" si="51"/>
        <v>0</v>
      </c>
      <c r="AI34" s="60"/>
      <c r="AJ34" s="67">
        <f t="shared" si="70"/>
        <v>0</v>
      </c>
      <c r="AK34" s="60"/>
      <c r="AL34" s="67">
        <f t="shared" si="52"/>
        <v>0</v>
      </c>
      <c r="AM34" s="60"/>
      <c r="AN34" s="67">
        <f t="shared" si="53"/>
        <v>0</v>
      </c>
      <c r="AO34" s="60"/>
      <c r="AP34" s="67">
        <f t="shared" si="54"/>
        <v>0</v>
      </c>
      <c r="AQ34" s="60"/>
      <c r="AR34" s="67">
        <f t="shared" si="71"/>
        <v>0</v>
      </c>
      <c r="AS34" s="60"/>
      <c r="AT34" s="67">
        <f t="shared" si="72"/>
        <v>0</v>
      </c>
      <c r="AU34" s="60"/>
      <c r="AV34" s="67">
        <f t="shared" si="73"/>
        <v>0</v>
      </c>
      <c r="AW34" s="60"/>
      <c r="AX34" s="67">
        <f t="shared" si="74"/>
        <v>0</v>
      </c>
      <c r="AY34" s="60"/>
      <c r="AZ34" s="67">
        <f t="shared" si="75"/>
        <v>0</v>
      </c>
      <c r="BA34" s="60"/>
      <c r="BB34" s="67">
        <f t="shared" si="76"/>
        <v>0</v>
      </c>
      <c r="BC34" s="60"/>
      <c r="BD34" s="67">
        <f t="shared" si="77"/>
        <v>0</v>
      </c>
      <c r="BE34" s="61"/>
      <c r="BF34" s="69">
        <f>IF((BE34-BE33&lt;0), "",BE34-BE33)</f>
        <v>0</v>
      </c>
      <c r="BG34" s="62"/>
      <c r="BH34" s="67">
        <f t="shared" si="78"/>
        <v>0</v>
      </c>
      <c r="BI34" s="62"/>
      <c r="BJ34" s="67">
        <f t="shared" si="79"/>
        <v>0</v>
      </c>
      <c r="BK34" s="62"/>
      <c r="BL34" s="67">
        <f t="shared" si="80"/>
        <v>0</v>
      </c>
      <c r="BM34" s="62"/>
      <c r="BN34" s="67">
        <f t="shared" si="81"/>
        <v>0</v>
      </c>
      <c r="BO34" s="62"/>
      <c r="BP34" s="67">
        <f t="shared" si="82"/>
        <v>0</v>
      </c>
      <c r="BQ34" s="62"/>
      <c r="BR34" s="67">
        <f t="shared" si="56"/>
        <v>0</v>
      </c>
      <c r="BS34" s="62"/>
      <c r="BT34" s="67">
        <f t="shared" si="83"/>
        <v>0</v>
      </c>
      <c r="BU34" s="62"/>
      <c r="BV34" s="67">
        <f t="shared" si="57"/>
        <v>0</v>
      </c>
      <c r="BW34" s="62"/>
      <c r="BX34" s="67">
        <f t="shared" si="84"/>
        <v>0</v>
      </c>
      <c r="BY34" s="62"/>
      <c r="BZ34" s="69">
        <f t="shared" si="58"/>
        <v>0</v>
      </c>
      <c r="CA34" s="62"/>
      <c r="CB34" s="69">
        <f t="shared" si="59"/>
        <v>0</v>
      </c>
      <c r="CC34" s="62"/>
      <c r="CD34" s="69">
        <f t="shared" si="60"/>
        <v>0</v>
      </c>
      <c r="CE34" s="62"/>
      <c r="CF34" s="69">
        <f t="shared" si="61"/>
        <v>0</v>
      </c>
      <c r="CG34" s="62"/>
      <c r="CH34" s="69">
        <f t="shared" si="62"/>
        <v>0</v>
      </c>
      <c r="CI34" s="62"/>
      <c r="CJ34" s="69">
        <f t="shared" si="63"/>
        <v>0</v>
      </c>
      <c r="CK34" s="62"/>
      <c r="CL34" s="66">
        <f t="shared" si="64"/>
        <v>0</v>
      </c>
      <c r="CM34" s="67"/>
      <c r="CN34" s="64">
        <v>0</v>
      </c>
      <c r="CO34" s="64">
        <v>0</v>
      </c>
    </row>
    <row r="35" spans="1:93" ht="21.75" x14ac:dyDescent="0.4">
      <c r="P35" s="71">
        <f>SUM(P4:P33)</f>
        <v>0</v>
      </c>
      <c r="R35" s="71"/>
      <c r="AX35" s="67">
        <f t="shared" si="74"/>
        <v>0</v>
      </c>
      <c r="BF35" s="71">
        <f>SUM(BF4:BF33)</f>
        <v>169</v>
      </c>
      <c r="BJ35" s="67">
        <f t="shared" si="79"/>
        <v>0</v>
      </c>
      <c r="BL35" s="67">
        <f t="shared" si="80"/>
        <v>0</v>
      </c>
      <c r="BT35" s="67">
        <f t="shared" si="83"/>
        <v>0</v>
      </c>
      <c r="BV35" s="67">
        <f t="shared" si="57"/>
        <v>0</v>
      </c>
    </row>
    <row r="36" spans="1:93" ht="21.75" x14ac:dyDescent="0.4">
      <c r="AX36" s="67">
        <f t="shared" si="74"/>
        <v>0</v>
      </c>
    </row>
    <row r="37" spans="1:93" ht="22.5" thickBot="1" x14ac:dyDescent="0.45">
      <c r="AX37" s="67">
        <f t="shared" si="74"/>
        <v>0</v>
      </c>
    </row>
    <row r="38" spans="1:93" ht="19.5" thickBot="1" x14ac:dyDescent="0.35">
      <c r="Q38" s="60"/>
      <c r="T38" s="60"/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Q12" sqref="Q1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79" t="s">
        <v>0</v>
      </c>
      <c r="B4" s="82" t="s">
        <v>53</v>
      </c>
      <c r="C4" s="82" t="s">
        <v>54</v>
      </c>
      <c r="D4" s="85" t="s">
        <v>55</v>
      </c>
      <c r="E4" s="88" t="s">
        <v>56</v>
      </c>
      <c r="F4" s="89"/>
      <c r="G4" s="89"/>
      <c r="H4" s="89"/>
      <c r="I4" s="89"/>
      <c r="J4" s="90"/>
      <c r="K4" s="98" t="s">
        <v>57</v>
      </c>
      <c r="L4" s="99"/>
      <c r="M4" s="100"/>
      <c r="N4" s="91" t="s">
        <v>36</v>
      </c>
      <c r="O4" s="91"/>
      <c r="P4" s="91"/>
      <c r="Q4" s="91"/>
    </row>
    <row r="5" spans="1:17" ht="33.75" customHeight="1" x14ac:dyDescent="0.25">
      <c r="A5" s="80"/>
      <c r="B5" s="83"/>
      <c r="C5" s="83"/>
      <c r="D5" s="86"/>
      <c r="E5" s="88" t="s">
        <v>58</v>
      </c>
      <c r="F5" s="90"/>
      <c r="G5" s="88" t="s">
        <v>59</v>
      </c>
      <c r="H5" s="90"/>
      <c r="I5" s="88" t="s">
        <v>60</v>
      </c>
      <c r="J5" s="90"/>
      <c r="K5" s="92" t="s">
        <v>61</v>
      </c>
      <c r="L5" s="93"/>
      <c r="M5" s="94"/>
      <c r="N5" s="95" t="s">
        <v>62</v>
      </c>
      <c r="O5" s="96"/>
      <c r="P5" s="96"/>
      <c r="Q5" s="97"/>
    </row>
    <row r="6" spans="1:17" x14ac:dyDescent="0.25">
      <c r="A6" s="81"/>
      <c r="B6" s="84"/>
      <c r="C6" s="84"/>
      <c r="D6" s="87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>
        <v>43951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82</v>
      </c>
      <c r="O7" s="40">
        <v>0</v>
      </c>
      <c r="P7" s="40">
        <v>0</v>
      </c>
      <c r="Q7" s="40">
        <v>2383</v>
      </c>
    </row>
    <row r="8" spans="1:17" x14ac:dyDescent="0.25">
      <c r="A8" s="27">
        <v>43952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78</v>
      </c>
      <c r="O8" s="40">
        <v>0</v>
      </c>
      <c r="P8" s="40">
        <v>0</v>
      </c>
      <c r="Q8" s="40">
        <v>2388</v>
      </c>
    </row>
    <row r="9" spans="1:17" x14ac:dyDescent="0.25">
      <c r="A9" s="27">
        <v>43953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68</v>
      </c>
      <c r="O9" s="40">
        <v>0</v>
      </c>
      <c r="P9" s="40">
        <v>0</v>
      </c>
      <c r="Q9" s="40">
        <v>2396</v>
      </c>
    </row>
    <row r="10" spans="1:17" x14ac:dyDescent="0.25">
      <c r="A10" s="27">
        <v>43954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65</v>
      </c>
      <c r="O10" s="40">
        <v>0</v>
      </c>
      <c r="P10" s="40">
        <v>0</v>
      </c>
      <c r="Q10" s="40">
        <v>2400</v>
      </c>
    </row>
    <row r="11" spans="1:17" x14ac:dyDescent="0.25">
      <c r="A11" s="27">
        <v>43955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61</v>
      </c>
      <c r="O11" s="40">
        <v>0</v>
      </c>
      <c r="P11" s="40">
        <v>0</v>
      </c>
      <c r="Q11" s="40">
        <v>2404</v>
      </c>
    </row>
    <row r="12" spans="1:17" x14ac:dyDescent="0.25">
      <c r="A12" s="27">
        <v>43956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55</v>
      </c>
      <c r="O12" s="40">
        <v>0</v>
      </c>
      <c r="P12" s="40">
        <v>0</v>
      </c>
      <c r="Q12" s="40">
        <v>2408</v>
      </c>
    </row>
    <row r="13" spans="1:17" x14ac:dyDescent="0.25">
      <c r="A13" s="27">
        <v>43957</v>
      </c>
      <c r="B13" s="41"/>
      <c r="C13" s="41"/>
      <c r="D13" s="41"/>
      <c r="E13" s="42"/>
      <c r="F13" s="42"/>
      <c r="G13" s="42"/>
      <c r="H13" s="42"/>
      <c r="I13" s="42"/>
      <c r="J13" s="42"/>
      <c r="K13" s="43"/>
      <c r="L13" s="43"/>
      <c r="M13" s="43"/>
      <c r="N13" s="40"/>
      <c r="O13" s="40"/>
      <c r="P13" s="40"/>
      <c r="Q13" s="40"/>
    </row>
    <row r="14" spans="1:17" x14ac:dyDescent="0.25">
      <c r="A14" s="27">
        <v>43958</v>
      </c>
      <c r="B14" s="41"/>
      <c r="C14" s="41"/>
      <c r="D14" s="41"/>
      <c r="E14" s="42"/>
      <c r="F14" s="42"/>
      <c r="G14" s="42"/>
      <c r="H14" s="42"/>
      <c r="I14" s="42"/>
      <c r="J14" s="42"/>
      <c r="K14" s="43"/>
      <c r="L14" s="43"/>
      <c r="M14" s="43"/>
      <c r="N14" s="40"/>
      <c r="O14" s="40"/>
      <c r="P14" s="40"/>
      <c r="Q14" s="40"/>
    </row>
    <row r="15" spans="1:17" x14ac:dyDescent="0.25">
      <c r="A15" s="27">
        <v>43959</v>
      </c>
      <c r="B15" s="41"/>
      <c r="C15" s="41"/>
      <c r="D15" s="41"/>
      <c r="E15" s="42"/>
      <c r="F15" s="42"/>
      <c r="G15" s="42"/>
      <c r="H15" s="42"/>
      <c r="I15" s="42"/>
      <c r="J15" s="42"/>
      <c r="K15" s="43"/>
      <c r="L15" s="43"/>
      <c r="M15" s="43"/>
      <c r="N15" s="40"/>
      <c r="O15" s="40"/>
      <c r="P15" s="40"/>
      <c r="Q15" s="40"/>
    </row>
    <row r="16" spans="1:17" x14ac:dyDescent="0.25">
      <c r="A16" s="27">
        <v>43960</v>
      </c>
      <c r="B16" s="41"/>
      <c r="C16" s="41"/>
      <c r="D16" s="41"/>
      <c r="E16" s="42"/>
      <c r="F16" s="42"/>
      <c r="G16" s="42"/>
      <c r="H16" s="42"/>
      <c r="I16" s="42"/>
      <c r="J16" s="42"/>
      <c r="K16" s="43"/>
      <c r="L16" s="43"/>
      <c r="M16" s="43"/>
      <c r="N16" s="40"/>
      <c r="O16" s="40"/>
      <c r="P16" s="40"/>
      <c r="Q16" s="40"/>
    </row>
    <row r="17" spans="1:17" x14ac:dyDescent="0.25">
      <c r="A17" s="27">
        <v>43961</v>
      </c>
      <c r="B17" s="41"/>
      <c r="C17" s="41"/>
      <c r="D17" s="41"/>
      <c r="E17" s="42"/>
      <c r="F17" s="42"/>
      <c r="G17" s="42"/>
      <c r="H17" s="42"/>
      <c r="I17" s="42"/>
      <c r="J17" s="42"/>
      <c r="K17" s="43"/>
      <c r="L17" s="43"/>
      <c r="M17" s="43"/>
      <c r="N17" s="40"/>
      <c r="O17" s="40"/>
      <c r="P17" s="40"/>
      <c r="Q17" s="40"/>
    </row>
    <row r="18" spans="1:17" x14ac:dyDescent="0.25">
      <c r="A18" s="27">
        <v>43962</v>
      </c>
      <c r="B18" s="41"/>
      <c r="C18" s="41"/>
      <c r="D18" s="41"/>
      <c r="E18" s="42"/>
      <c r="F18" s="42"/>
      <c r="G18" s="42"/>
      <c r="H18" s="42"/>
      <c r="I18" s="42"/>
      <c r="J18" s="42"/>
      <c r="K18" s="43"/>
      <c r="L18" s="43"/>
      <c r="M18" s="43"/>
      <c r="N18" s="40"/>
      <c r="O18" s="40"/>
      <c r="P18" s="40"/>
      <c r="Q18" s="40"/>
    </row>
    <row r="19" spans="1:17" x14ac:dyDescent="0.25">
      <c r="A19" s="27">
        <v>43963</v>
      </c>
      <c r="B19" s="41"/>
      <c r="C19" s="41"/>
      <c r="D19" s="41"/>
      <c r="E19" s="42"/>
      <c r="F19" s="42"/>
      <c r="G19" s="42"/>
      <c r="H19" s="42"/>
      <c r="I19" s="42"/>
      <c r="J19" s="42"/>
      <c r="K19" s="43"/>
      <c r="L19" s="43"/>
      <c r="M19" s="43"/>
      <c r="N19" s="40"/>
      <c r="O19" s="40"/>
      <c r="P19" s="40"/>
      <c r="Q19" s="40"/>
    </row>
    <row r="20" spans="1:17" x14ac:dyDescent="0.25">
      <c r="A20" s="27">
        <v>43964</v>
      </c>
      <c r="B20" s="41"/>
      <c r="C20" s="41"/>
      <c r="D20" s="41"/>
      <c r="E20" s="42"/>
      <c r="F20" s="42"/>
      <c r="G20" s="42"/>
      <c r="H20" s="42"/>
      <c r="I20" s="42"/>
      <c r="J20" s="42"/>
      <c r="K20" s="43"/>
      <c r="L20" s="43"/>
      <c r="M20" s="43"/>
      <c r="N20" s="40"/>
      <c r="O20" s="40"/>
      <c r="P20" s="40"/>
      <c r="Q20" s="40"/>
    </row>
    <row r="21" spans="1:17" x14ac:dyDescent="0.25">
      <c r="A21" s="27">
        <v>43965</v>
      </c>
      <c r="B21" s="41"/>
      <c r="C21" s="41"/>
      <c r="D21" s="41"/>
      <c r="E21" s="42"/>
      <c r="F21" s="42"/>
      <c r="G21" s="42"/>
      <c r="H21" s="42"/>
      <c r="I21" s="42"/>
      <c r="J21" s="42"/>
      <c r="K21" s="43"/>
      <c r="L21" s="43"/>
      <c r="M21" s="43"/>
      <c r="N21" s="40"/>
      <c r="O21" s="40"/>
      <c r="P21" s="40"/>
      <c r="Q21" s="40"/>
    </row>
    <row r="22" spans="1:17" x14ac:dyDescent="0.25">
      <c r="A22" s="27">
        <v>43966</v>
      </c>
      <c r="B22" s="41"/>
      <c r="C22" s="41"/>
      <c r="D22" s="41"/>
      <c r="E22" s="42"/>
      <c r="F22" s="42"/>
      <c r="G22" s="42"/>
      <c r="H22" s="42"/>
      <c r="I22" s="42"/>
      <c r="J22" s="42"/>
      <c r="K22" s="43"/>
      <c r="L22" s="43"/>
      <c r="M22" s="43"/>
      <c r="N22" s="40"/>
      <c r="O22" s="40"/>
      <c r="P22" s="40"/>
      <c r="Q22" s="40"/>
    </row>
    <row r="23" spans="1:17" x14ac:dyDescent="0.25">
      <c r="A23" s="27">
        <v>43967</v>
      </c>
      <c r="B23" s="41"/>
      <c r="C23" s="41"/>
      <c r="D23" s="41"/>
      <c r="E23" s="42"/>
      <c r="F23" s="42"/>
      <c r="G23" s="42"/>
      <c r="H23" s="42"/>
      <c r="I23" s="42"/>
      <c r="J23" s="42"/>
      <c r="K23" s="43"/>
      <c r="L23" s="43"/>
      <c r="M23" s="43"/>
      <c r="N23" s="40"/>
      <c r="O23" s="40"/>
      <c r="P23" s="40"/>
      <c r="Q23" s="40"/>
    </row>
    <row r="24" spans="1:17" x14ac:dyDescent="0.25">
      <c r="A24" s="27">
        <v>43968</v>
      </c>
      <c r="B24" s="41"/>
      <c r="C24" s="41"/>
      <c r="D24" s="41"/>
      <c r="E24" s="42"/>
      <c r="F24" s="42"/>
      <c r="G24" s="42"/>
      <c r="H24" s="42"/>
      <c r="I24" s="42"/>
      <c r="J24" s="42"/>
      <c r="K24" s="43"/>
      <c r="L24" s="43"/>
      <c r="M24" s="43"/>
      <c r="N24" s="40"/>
      <c r="O24" s="40"/>
      <c r="P24" s="40"/>
      <c r="Q24" s="40"/>
    </row>
    <row r="25" spans="1:17" x14ac:dyDescent="0.25">
      <c r="A25" s="27">
        <v>43969</v>
      </c>
      <c r="B25" s="41"/>
      <c r="C25" s="41"/>
      <c r="D25" s="41"/>
      <c r="E25" s="42"/>
      <c r="F25" s="42"/>
      <c r="G25" s="42"/>
      <c r="H25" s="42"/>
      <c r="I25" s="42"/>
      <c r="J25" s="42"/>
      <c r="K25" s="43"/>
      <c r="L25" s="43"/>
      <c r="M25" s="43"/>
      <c r="N25" s="40"/>
      <c r="O25" s="40"/>
      <c r="P25" s="40"/>
      <c r="Q25" s="40"/>
    </row>
    <row r="26" spans="1:17" x14ac:dyDescent="0.25">
      <c r="A26" s="27">
        <v>43970</v>
      </c>
      <c r="B26" s="41"/>
      <c r="C26" s="41"/>
      <c r="D26" s="41"/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25">
      <c r="A27" s="27">
        <v>43971</v>
      </c>
      <c r="B27" s="41"/>
      <c r="C27" s="41"/>
      <c r="D27" s="41"/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25">
      <c r="A28" s="27">
        <v>43972</v>
      </c>
      <c r="B28" s="41"/>
      <c r="C28" s="41"/>
      <c r="D28" s="41"/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25">
      <c r="A29" s="27">
        <v>43973</v>
      </c>
      <c r="B29" s="41"/>
      <c r="C29" s="41"/>
      <c r="D29" s="41"/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27">
        <v>43974</v>
      </c>
      <c r="B30" s="41"/>
      <c r="C30" s="41"/>
      <c r="D30" s="41"/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27">
        <v>43975</v>
      </c>
      <c r="B31" s="41"/>
      <c r="C31" s="41"/>
      <c r="D31" s="41"/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27">
        <v>43976</v>
      </c>
      <c r="B32" s="41"/>
      <c r="C32" s="41"/>
      <c r="D32" s="41"/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27">
        <v>43977</v>
      </c>
      <c r="B33" s="41"/>
      <c r="C33" s="41"/>
      <c r="D33" s="41"/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27">
        <v>43978</v>
      </c>
      <c r="B34" s="41"/>
      <c r="C34" s="41"/>
      <c r="D34" s="41"/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27">
        <v>43979</v>
      </c>
      <c r="B35" s="41"/>
      <c r="C35" s="41"/>
      <c r="D35" s="41"/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27">
        <v>43980</v>
      </c>
      <c r="B36" s="41"/>
      <c r="C36" s="41"/>
      <c r="D36" s="41"/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27">
        <v>43981</v>
      </c>
      <c r="B37" s="41"/>
      <c r="C37" s="41"/>
      <c r="D37" s="41"/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27">
        <v>43982</v>
      </c>
      <c r="B38" s="41"/>
      <c r="C38" s="41"/>
      <c r="D38" s="41"/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>
        <v>43983</v>
      </c>
      <c r="B39" s="41"/>
      <c r="C39" s="41"/>
      <c r="D39" s="41"/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2020-05-06T10:18:47Z</dcterms:modified>
</cp:coreProperties>
</file>