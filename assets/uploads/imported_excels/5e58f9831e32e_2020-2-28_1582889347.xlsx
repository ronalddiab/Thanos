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7995" windowHeight="2760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AB26" i="2" l="1"/>
  <c r="AB27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E3" i="1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E19" i="1" s="1"/>
  <c r="F20" i="3"/>
  <c r="F21" i="3"/>
  <c r="F22" i="3"/>
  <c r="E22" i="1" s="1"/>
  <c r="F23" i="3"/>
  <c r="F24" i="3"/>
  <c r="F25" i="3"/>
  <c r="F26" i="3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8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26" i="1" l="1"/>
  <c r="E25" i="1"/>
  <c r="E23" i="1"/>
  <c r="E17" i="1"/>
  <c r="E16" i="1"/>
  <c r="I5" i="1"/>
  <c r="E13" i="1"/>
  <c r="E18" i="1"/>
  <c r="E7" i="1"/>
  <c r="E15" i="1"/>
  <c r="E14" i="1"/>
  <c r="E12" i="1"/>
  <c r="E10" i="1"/>
  <c r="E9" i="1"/>
  <c r="E11" i="1"/>
  <c r="E5" i="1"/>
  <c r="E6" i="1"/>
  <c r="G2" i="1"/>
  <c r="E4" i="1"/>
  <c r="E2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<sst xmlns="http://schemas.openxmlformats.org/spreadsheetml/2006/main" count="190" uniqueCount="58">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</sst>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D29" sqref="D29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2</v>
      </c>
      <c r="D2" s="10">
        <v>2020</v>
      </c>
      <c r="E2" s="19">
        <f>Submetering!E2+Submetering!F2+Submetering!G2</f>
        <v>17693</v>
      </c>
      <c r="F2" s="15">
        <v>0.10888582793936676</v>
      </c>
      <c r="G2" s="19">
        <f>Submetering!AC2-Submetering!AD2</f>
        <v>968</v>
      </c>
      <c r="H2" s="15">
        <v>0.25512900304306657</v>
      </c>
      <c r="I2" s="19">
        <f>Submetering!Y2+Submetering!Z2</f>
        <v>4447</v>
      </c>
      <c r="J2" s="15">
        <v>2.3196172978505634</v>
      </c>
      <c r="K2" s="19">
        <f>Submetering!AE2</f>
        <v>11</v>
      </c>
      <c r="L2" s="19">
        <f>Submetering!AF2</f>
        <v>152</v>
      </c>
    </row>
    <row r="3" spans="1:24" x14ac:dyDescent="0.25">
      <c r="A3" s="16" t="s">
        <v>52</v>
      </c>
      <c r="B3" s="10">
        <f>B2+1</f>
        <v>2</v>
      </c>
      <c r="C3" s="10">
        <v>2</v>
      </c>
      <c r="D3" s="10">
        <v>2020</v>
      </c>
      <c r="E3" s="19">
        <f>Submetering!E3+Submetering!F3+Submetering!G3</f>
        <v>16915</v>
      </c>
      <c r="F3" s="15">
        <v>0.10888582793936676</v>
      </c>
      <c r="G3" s="19">
        <f>Submetering!AC3-Submetering!AD3</f>
        <v>984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123</v>
      </c>
      <c r="L3" s="19">
        <f>Submetering!AF3</f>
        <v>154</v>
      </c>
    </row>
    <row r="4" spans="1:24" x14ac:dyDescent="0.25">
      <c r="A4" s="16" t="s">
        <v>52</v>
      </c>
      <c r="B4" s="10">
        <f t="shared" ref="B4:B30" si="0">B3+1</f>
        <v>3</v>
      </c>
      <c r="C4" s="10">
        <v>2</v>
      </c>
      <c r="D4" s="10">
        <v>2020</v>
      </c>
      <c r="E4" s="19">
        <f>Submetering!E4+Submetering!F4+Submetering!G4</f>
        <v>16211</v>
      </c>
      <c r="F4" s="15">
        <v>0.10888582793936676</v>
      </c>
      <c r="G4" s="19">
        <f>Submetering!AC4-Submetering!AD4</f>
        <v>950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134</v>
      </c>
      <c r="L4" s="19">
        <f>Submetering!AF4</f>
        <v>170</v>
      </c>
    </row>
    <row r="5" spans="1:24" x14ac:dyDescent="0.25">
      <c r="A5" s="16" t="s">
        <v>52</v>
      </c>
      <c r="B5" s="10">
        <f t="shared" si="0"/>
        <v>4</v>
      </c>
      <c r="C5" s="10">
        <v>2</v>
      </c>
      <c r="D5" s="10">
        <v>2020</v>
      </c>
      <c r="E5" s="19">
        <f>Submetering!E5+Submetering!F5+Submetering!G5</f>
        <v>17684</v>
      </c>
      <c r="F5" s="15">
        <v>0.10888582793936676</v>
      </c>
      <c r="G5" s="19">
        <f>Submetering!AC5-Submetering!AD5</f>
        <v>1166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145</v>
      </c>
      <c r="L5" s="19">
        <f>Submetering!AF5</f>
        <v>192</v>
      </c>
    </row>
    <row r="6" spans="1:24" x14ac:dyDescent="0.25">
      <c r="A6" s="16" t="s">
        <v>52</v>
      </c>
      <c r="B6" s="10">
        <f t="shared" si="0"/>
        <v>5</v>
      </c>
      <c r="C6" s="10">
        <v>2</v>
      </c>
      <c r="D6" s="10">
        <v>2020</v>
      </c>
      <c r="E6" s="19">
        <f>Submetering!E6+Submetering!F6+Submetering!G6</f>
        <v>17630</v>
      </c>
      <c r="F6" s="15">
        <v>0.10888582793936676</v>
      </c>
      <c r="G6" s="19">
        <f>Submetering!AC6-Submetering!AD6</f>
        <v>1122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138</v>
      </c>
      <c r="L6" s="19">
        <f>Submetering!AF6</f>
        <v>187</v>
      </c>
    </row>
    <row r="7" spans="1:24" x14ac:dyDescent="0.25">
      <c r="A7" s="16" t="s">
        <v>52</v>
      </c>
      <c r="B7" s="10">
        <f t="shared" si="0"/>
        <v>6</v>
      </c>
      <c r="C7" s="10">
        <v>2</v>
      </c>
      <c r="D7" s="10">
        <v>2020</v>
      </c>
      <c r="E7" s="19">
        <f>Submetering!E7+Submetering!F7+Submetering!G7</f>
        <v>17285</v>
      </c>
      <c r="F7" s="15">
        <v>0.10888582793936676</v>
      </c>
      <c r="G7" s="19">
        <f>Submetering!AC7-Submetering!AD7</f>
        <v>1511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131</v>
      </c>
      <c r="L7" s="19">
        <f>Submetering!AF7</f>
        <v>175</v>
      </c>
    </row>
    <row r="8" spans="1:24" x14ac:dyDescent="0.25">
      <c r="A8" s="16" t="s">
        <v>52</v>
      </c>
      <c r="B8" s="10">
        <f t="shared" si="0"/>
        <v>7</v>
      </c>
      <c r="C8" s="10">
        <v>2</v>
      </c>
      <c r="D8" s="10">
        <v>2020</v>
      </c>
      <c r="E8" s="19">
        <f>Submetering!E8+Submetering!F8+Submetering!G8</f>
        <v>17438</v>
      </c>
      <c r="F8" s="15">
        <v>0.10888582793936676</v>
      </c>
      <c r="G8" s="19">
        <f>Submetering!AC8-Submetering!AD8</f>
        <v>1309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114</v>
      </c>
      <c r="L8" s="19">
        <f>Submetering!AF8</f>
        <v>160</v>
      </c>
    </row>
    <row r="9" spans="1:24" x14ac:dyDescent="0.25">
      <c r="A9" s="16" t="s">
        <v>52</v>
      </c>
      <c r="B9" s="10">
        <f t="shared" si="0"/>
        <v>8</v>
      </c>
      <c r="C9" s="10">
        <v>2</v>
      </c>
      <c r="D9" s="10">
        <v>2020</v>
      </c>
      <c r="E9" s="19">
        <f>Submetering!E9+Submetering!F9+Submetering!G9</f>
        <v>16757</v>
      </c>
      <c r="F9" s="15">
        <v>0.10888582793936676</v>
      </c>
      <c r="G9" s="19">
        <f>Submetering!AC9-Submetering!AD9</f>
        <v>1191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123</v>
      </c>
      <c r="L9" s="19">
        <f>Submetering!AF9</f>
        <v>173</v>
      </c>
    </row>
    <row r="10" spans="1:24" x14ac:dyDescent="0.25">
      <c r="A10" s="16" t="s">
        <v>52</v>
      </c>
      <c r="B10" s="10">
        <f t="shared" si="0"/>
        <v>9</v>
      </c>
      <c r="C10" s="10">
        <v>2</v>
      </c>
      <c r="D10" s="10">
        <v>2020</v>
      </c>
      <c r="E10" s="19">
        <f>Submetering!E10+Submetering!F10+Submetering!G10</f>
        <v>16611</v>
      </c>
      <c r="F10" s="15">
        <v>0.10888582793936676</v>
      </c>
      <c r="G10" s="19">
        <f>Submetering!AC10-Submetering!AD10</f>
        <v>1124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102</v>
      </c>
      <c r="L10" s="19">
        <f>Submetering!AF10</f>
        <v>137</v>
      </c>
    </row>
    <row r="11" spans="1:24" x14ac:dyDescent="0.25">
      <c r="A11" s="16" t="s">
        <v>52</v>
      </c>
      <c r="B11" s="10">
        <f t="shared" si="0"/>
        <v>10</v>
      </c>
      <c r="C11" s="10">
        <v>2</v>
      </c>
      <c r="D11" s="10">
        <v>2020</v>
      </c>
      <c r="E11" s="19">
        <f>Submetering!E11+Submetering!F11+Submetering!G11</f>
        <v>16970</v>
      </c>
      <c r="F11" s="15">
        <v>0.10888582793936676</v>
      </c>
      <c r="G11" s="19">
        <f>Submetering!AC11-Submetering!AD11</f>
        <v>1049</v>
      </c>
      <c r="H11" s="15">
        <v>0.25512900304306657</v>
      </c>
      <c r="I11" s="19">
        <f>Submetering!Y11+Submetering!Z11</f>
        <v>739</v>
      </c>
      <c r="J11" s="15">
        <v>2.3196172978505634</v>
      </c>
      <c r="K11" s="19">
        <f>Submetering!AE11</f>
        <v>110</v>
      </c>
      <c r="L11" s="19">
        <f>Submetering!AF11</f>
        <v>139</v>
      </c>
    </row>
    <row r="12" spans="1:24" x14ac:dyDescent="0.25">
      <c r="A12" s="16" t="s">
        <v>52</v>
      </c>
      <c r="B12" s="10">
        <f t="shared" si="0"/>
        <v>11</v>
      </c>
      <c r="C12" s="10">
        <v>2</v>
      </c>
      <c r="D12" s="10">
        <v>2020</v>
      </c>
      <c r="E12" s="19">
        <f>Submetering!E12+Submetering!F12+Submetering!G12</f>
        <v>16036</v>
      </c>
      <c r="F12" s="15">
        <v>0.10888582793936676</v>
      </c>
      <c r="G12" s="19">
        <f>Submetering!AC12-Submetering!AD12</f>
        <v>1132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129</v>
      </c>
      <c r="L12" s="19">
        <f>Submetering!AF12</f>
        <v>163</v>
      </c>
    </row>
    <row r="13" spans="1:24" x14ac:dyDescent="0.25">
      <c r="A13" s="16" t="s">
        <v>52</v>
      </c>
      <c r="B13" s="10">
        <f t="shared" si="0"/>
        <v>12</v>
      </c>
      <c r="C13" s="10">
        <v>2</v>
      </c>
      <c r="D13" s="10">
        <v>2020</v>
      </c>
      <c r="E13" s="19">
        <f>Submetering!E13+Submetering!F13+Submetering!G13</f>
        <v>16154</v>
      </c>
      <c r="F13" s="15">
        <v>0.10888582793936676</v>
      </c>
      <c r="G13" s="19">
        <f>Submetering!AC13-Submetering!AD13</f>
        <v>1153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136</v>
      </c>
      <c r="L13" s="19">
        <f>Submetering!AF13</f>
        <v>174</v>
      </c>
    </row>
    <row r="14" spans="1:24" x14ac:dyDescent="0.25">
      <c r="A14" s="16" t="s">
        <v>52</v>
      </c>
      <c r="B14" s="10">
        <f t="shared" si="0"/>
        <v>13</v>
      </c>
      <c r="C14" s="10">
        <v>2</v>
      </c>
      <c r="D14" s="10">
        <v>2020</v>
      </c>
      <c r="E14" s="19">
        <f>Submetering!E14+Submetering!F14+Submetering!G14</f>
        <v>16666</v>
      </c>
      <c r="F14" s="15">
        <v>0.10888582793936676</v>
      </c>
      <c r="G14" s="19">
        <f>Submetering!AC14-Submetering!AD14</f>
        <v>1159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121</v>
      </c>
      <c r="L14" s="19">
        <f>Submetering!AF14</f>
        <v>166</v>
      </c>
    </row>
    <row r="15" spans="1:24" x14ac:dyDescent="0.25">
      <c r="A15" s="16" t="s">
        <v>52</v>
      </c>
      <c r="B15" s="10">
        <f t="shared" si="0"/>
        <v>14</v>
      </c>
      <c r="C15" s="10">
        <v>2</v>
      </c>
      <c r="D15" s="10">
        <v>2020</v>
      </c>
      <c r="E15" s="19">
        <f>Submetering!E15+Submetering!F15+Submetering!G15</f>
        <v>17357</v>
      </c>
      <c r="F15" s="15">
        <v>0.10888582793936676</v>
      </c>
      <c r="G15" s="19">
        <f>Submetering!AC15-Submetering!AD15</f>
        <v>1326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107</v>
      </c>
      <c r="L15" s="19">
        <f>Submetering!AF15</f>
        <v>158</v>
      </c>
    </row>
    <row r="16" spans="1:24" x14ac:dyDescent="0.25">
      <c r="A16" s="16" t="s">
        <v>52</v>
      </c>
      <c r="B16" s="10">
        <f t="shared" si="0"/>
        <v>15</v>
      </c>
      <c r="C16" s="10">
        <v>2</v>
      </c>
      <c r="D16" s="10">
        <v>2020</v>
      </c>
      <c r="E16" s="19">
        <f>Submetering!E16+Submetering!F16+Submetering!G16</f>
        <v>17311</v>
      </c>
      <c r="F16" s="15">
        <v>0.10888582793936676</v>
      </c>
      <c r="G16" s="19">
        <f>Submetering!AC16-Submetering!AD16</f>
        <v>1041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105</v>
      </c>
      <c r="L16" s="19">
        <f>Submetering!AF16</f>
        <v>150</v>
      </c>
    </row>
    <row r="17" spans="1:12" x14ac:dyDescent="0.25">
      <c r="A17" s="16" t="s">
        <v>52</v>
      </c>
      <c r="B17" s="10">
        <f t="shared" si="0"/>
        <v>16</v>
      </c>
      <c r="C17" s="10">
        <v>2</v>
      </c>
      <c r="D17" s="10">
        <v>2020</v>
      </c>
      <c r="E17" s="19">
        <f>Submetering!E17+Submetering!F17+Submetering!G17</f>
        <v>16628</v>
      </c>
      <c r="F17" s="15">
        <v>0.10888582793936676</v>
      </c>
      <c r="G17" s="19">
        <f>Submetering!AC17-Submetering!AD17</f>
        <v>-93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120</v>
      </c>
      <c r="L17" s="19">
        <f>Submetering!AF17</f>
        <v>156</v>
      </c>
    </row>
    <row r="18" spans="1:12" x14ac:dyDescent="0.25">
      <c r="A18" s="16" t="s">
        <v>52</v>
      </c>
      <c r="B18" s="10">
        <f t="shared" si="0"/>
        <v>17</v>
      </c>
      <c r="C18" s="10">
        <v>2</v>
      </c>
      <c r="D18" s="10">
        <v>2020</v>
      </c>
      <c r="E18" s="19">
        <f>Submetering!E18+Submetering!F18+Submetering!G18</f>
        <v>16789</v>
      </c>
      <c r="F18" s="15">
        <v>0.10888582793936676</v>
      </c>
      <c r="G18" s="19">
        <f>Submetering!AC18-Submetering!AD18</f>
        <v>2085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123</v>
      </c>
      <c r="L18" s="19">
        <f>Submetering!AF18</f>
        <v>150</v>
      </c>
    </row>
    <row r="19" spans="1:12" x14ac:dyDescent="0.25">
      <c r="A19" s="16" t="s">
        <v>52</v>
      </c>
      <c r="B19" s="10">
        <f t="shared" si="0"/>
        <v>18</v>
      </c>
      <c r="C19" s="10">
        <v>2</v>
      </c>
      <c r="D19" s="10">
        <v>2020</v>
      </c>
      <c r="E19" s="19">
        <f>Submetering!E19+Submetering!F19+Submetering!G19</f>
        <v>16941</v>
      </c>
      <c r="F19" s="15">
        <v>0.10888582793936676</v>
      </c>
      <c r="G19" s="19">
        <f>Submetering!AC19-Submetering!AD19</f>
        <v>1203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110</v>
      </c>
      <c r="L19" s="19">
        <f>Submetering!AF19</f>
        <v>133</v>
      </c>
    </row>
    <row r="20" spans="1:12" x14ac:dyDescent="0.25">
      <c r="A20" s="16" t="s">
        <v>52</v>
      </c>
      <c r="B20" s="10">
        <f t="shared" si="0"/>
        <v>19</v>
      </c>
      <c r="C20" s="10">
        <v>2</v>
      </c>
      <c r="D20" s="10">
        <v>2020</v>
      </c>
      <c r="E20" s="19">
        <f>Submetering!E20+Submetering!F20+Submetering!G20</f>
        <v>16866</v>
      </c>
      <c r="F20" s="15">
        <v>0.10888582793936676</v>
      </c>
      <c r="G20" s="19">
        <f>Submetering!AC20-Submetering!AD20</f>
        <v>1315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112</v>
      </c>
      <c r="L20" s="19">
        <f>Submetering!AF20</f>
        <v>137</v>
      </c>
    </row>
    <row r="21" spans="1:12" x14ac:dyDescent="0.25">
      <c r="A21" s="16" t="s">
        <v>52</v>
      </c>
      <c r="B21" s="10">
        <f t="shared" si="0"/>
        <v>20</v>
      </c>
      <c r="C21" s="10">
        <v>2</v>
      </c>
      <c r="D21" s="10">
        <v>2020</v>
      </c>
      <c r="E21" s="19">
        <f>Submetering!E21+Submetering!F21+Submetering!G21</f>
        <v>16978</v>
      </c>
      <c r="F21" s="15">
        <v>0.10888582793936676</v>
      </c>
      <c r="G21" s="19">
        <f>Submetering!AC21-Submetering!AD21</f>
        <v>1131</v>
      </c>
      <c r="H21" s="15">
        <v>0.25512900304306657</v>
      </c>
      <c r="I21" s="19">
        <f>Submetering!Y21+Submetering!Z21</f>
        <v>975</v>
      </c>
      <c r="J21" s="15">
        <v>2.3196172978505634</v>
      </c>
      <c r="K21" s="19">
        <f>Submetering!AE21</f>
        <v>76</v>
      </c>
      <c r="L21" s="19">
        <f>Submetering!AF21</f>
        <v>103</v>
      </c>
    </row>
    <row r="22" spans="1:12" x14ac:dyDescent="0.25">
      <c r="A22" s="16" t="s">
        <v>52</v>
      </c>
      <c r="B22" s="10">
        <f t="shared" si="0"/>
        <v>21</v>
      </c>
      <c r="C22" s="10">
        <v>2</v>
      </c>
      <c r="D22" s="10">
        <v>2020</v>
      </c>
      <c r="E22" s="19">
        <f>Submetering!E22+Submetering!F22+Submetering!G22</f>
        <v>17067</v>
      </c>
      <c r="F22" s="15">
        <v>0.10888582793936676</v>
      </c>
      <c r="G22" s="19">
        <f>Submetering!AC22-Submetering!AD22</f>
        <v>1202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72</v>
      </c>
      <c r="L22" s="19">
        <f>Submetering!AF22</f>
        <v>107</v>
      </c>
    </row>
    <row r="23" spans="1:12" x14ac:dyDescent="0.25">
      <c r="A23" s="16" t="s">
        <v>52</v>
      </c>
      <c r="B23" s="10">
        <f t="shared" si="0"/>
        <v>22</v>
      </c>
      <c r="C23" s="10">
        <v>2</v>
      </c>
      <c r="D23" s="10">
        <v>2020</v>
      </c>
      <c r="E23" s="19">
        <f>Submetering!E23+Submetering!F23+Submetering!G23</f>
        <v>16613</v>
      </c>
      <c r="F23" s="15">
        <v>0.10888582793936676</v>
      </c>
      <c r="G23" s="19">
        <f>Submetering!AC23-Submetering!AD23</f>
        <v>991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76</v>
      </c>
      <c r="L23" s="19">
        <f>Submetering!AF23</f>
        <v>110</v>
      </c>
    </row>
    <row r="24" spans="1:12" x14ac:dyDescent="0.25">
      <c r="A24" s="16" t="s">
        <v>52</v>
      </c>
      <c r="B24" s="10">
        <f t="shared" si="0"/>
        <v>23</v>
      </c>
      <c r="C24" s="10">
        <v>2</v>
      </c>
      <c r="D24" s="10">
        <v>2020</v>
      </c>
      <c r="E24" s="19">
        <f>Submetering!E24+Submetering!F24+Submetering!G24</f>
        <v>16297</v>
      </c>
      <c r="F24" s="15">
        <v>0.10888582793936676</v>
      </c>
      <c r="G24" s="19">
        <f>Submetering!AC24-Submetering!AD24</f>
        <v>866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99</v>
      </c>
      <c r="L24" s="19">
        <f>Submetering!AF24</f>
        <v>137</v>
      </c>
    </row>
    <row r="25" spans="1:12" x14ac:dyDescent="0.25">
      <c r="A25" s="16" t="s">
        <v>52</v>
      </c>
      <c r="B25" s="10">
        <f t="shared" si="0"/>
        <v>24</v>
      </c>
      <c r="C25" s="10">
        <v>2</v>
      </c>
      <c r="D25" s="10">
        <v>2020</v>
      </c>
      <c r="E25" s="19">
        <f>Submetering!E25+Submetering!F25+Submetering!G25</f>
        <v>16185</v>
      </c>
      <c r="F25" s="15">
        <v>0.10888582793936676</v>
      </c>
      <c r="G25" s="19">
        <f>Submetering!AC25-Submetering!AD25</f>
        <v>923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123</v>
      </c>
      <c r="L25" s="19">
        <f>Submetering!AF25</f>
        <v>166</v>
      </c>
    </row>
    <row r="26" spans="1:12" x14ac:dyDescent="0.25">
      <c r="A26" s="16" t="s">
        <v>52</v>
      </c>
      <c r="B26" s="10">
        <f>B25+1</f>
        <v>25</v>
      </c>
      <c r="C26" s="10">
        <v>2</v>
      </c>
      <c r="D26" s="10">
        <v>2020</v>
      </c>
      <c r="E26" s="19">
        <f>Submetering!E26+Submetering!F26+Submetering!G26</f>
        <v>16895</v>
      </c>
      <c r="F26" s="15">
        <v>0.10888582793936676</v>
      </c>
      <c r="G26" s="19">
        <f>Submetering!AC26-Submetering!AD26</f>
        <v>1008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141</v>
      </c>
      <c r="L26" s="19">
        <f>Submetering!AF26</f>
        <v>199</v>
      </c>
    </row>
    <row r="27" spans="1:12" x14ac:dyDescent="0.25">
      <c r="A27" s="16" t="s">
        <v>52</v>
      </c>
      <c r="B27" s="10">
        <f t="shared" si="0"/>
        <v>26</v>
      </c>
      <c r="C27" s="10">
        <v>2</v>
      </c>
      <c r="D27" s="10">
        <v>2020</v>
      </c>
      <c r="E27" s="19">
        <f>Submetering!E27+Submetering!F27+Submetering!G27</f>
        <v>17472</v>
      </c>
      <c r="F27" s="15">
        <v>0.10888582793936676</v>
      </c>
      <c r="G27" s="19">
        <f>Submetering!AC27-Submetering!AD27</f>
        <v>1382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133</v>
      </c>
      <c r="L27" s="19">
        <f>Submetering!AF27</f>
        <v>189</v>
      </c>
    </row>
    <row r="28" spans="1:12" x14ac:dyDescent="0.25">
      <c r="A28" s="16" t="s">
        <v>52</v>
      </c>
      <c r="B28" s="10">
        <f t="shared" si="0"/>
        <v>27</v>
      </c>
      <c r="C28" s="10">
        <v>2</v>
      </c>
      <c r="D28" s="10">
        <v>2020</v>
      </c>
      <c r="E28" s="19">
        <f>Submetering!E28+Submetering!F28+Submetering!G28</f>
        <v>17130</v>
      </c>
      <c r="F28" s="15">
        <v>0.10888582793936676</v>
      </c>
      <c r="G28" s="19">
        <f>Submetering!AC28-Submetering!AD28</f>
        <v>1435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127</v>
      </c>
      <c r="L28" s="19">
        <f>Submetering!AF28</f>
        <v>186</v>
      </c>
    </row>
    <row r="29" spans="1:12" x14ac:dyDescent="0.25">
      <c r="A29" s="16" t="s">
        <v>52</v>
      </c>
      <c r="B29" s="10">
        <f t="shared" si="0"/>
        <v>28</v>
      </c>
      <c r="C29" s="10">
        <v>2</v>
      </c>
      <c r="D29" s="10">
        <v>2020</v>
      </c>
      <c r="E29" s="19">
        <f>Submetering!E29+Submetering!F29+Submetering!G29</f>
        <v>17272</v>
      </c>
      <c r="F29" s="15">
        <v>0.10888582793936676</v>
      </c>
      <c r="G29" s="19">
        <f>Submetering!AC29-Submetering!AD29</f>
        <v>1405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98</v>
      </c>
      <c r="L29" s="19">
        <f>Submetering!AF29</f>
        <v>146</v>
      </c>
    </row>
    <row r="30" spans="1:12" x14ac:dyDescent="0.25">
      <c r="A30" s="16" t="s">
        <v>52</v>
      </c>
      <c r="B30" s="10">
        <f t="shared" si="0"/>
        <v>29</v>
      </c>
      <c r="C30" s="10">
        <v>2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2</v>
      </c>
      <c r="D2" s="7">
        <v>2020</v>
      </c>
      <c r="E2" s="19">
        <f>IF(('FSLPL Daily '!C4-'FSLPL Daily '!C3&lt;0), "0",'FSLPL Daily '!C4-'FSLPL Daily '!C3)</f>
        <v>7921</v>
      </c>
      <c r="F2" s="19">
        <f>IF(('FSLPL Daily '!E4-'FSLPL Daily '!E3&lt;0), "0",'FSLPL Daily '!E4-'FSLPL Daily '!E3)</f>
        <v>5781</v>
      </c>
      <c r="G2" s="19">
        <f>IF(('FSLPL Daily '!G4-'FSLPL Daily '!G3&lt;0), "0",'FSLPL Daily '!G4-'FSLPL Daily '!G3)</f>
        <v>3991</v>
      </c>
      <c r="H2" s="19">
        <f>IF(('FSLPL Daily '!I4-'FSLPL Daily '!I3&lt;0), "0",'FSLPL Daily '!I4-'FSLPL Daily '!I3)</f>
        <v>474</v>
      </c>
      <c r="I2" s="19">
        <f>IF(('FSLPL Daily '!K4-'FSLPL Daily '!K3&lt;0), "0",'FSLPL Daily '!K4-'FSLPL Daily '!K3)</f>
        <v>842</v>
      </c>
      <c r="J2" s="19">
        <f>IF(('FSLPL Daily '!M4-'FSLPL Daily '!M3&lt;0), "0",'FSLPL Daily '!M4-'FSLPL Daily '!M3)</f>
        <v>1310</v>
      </c>
      <c r="K2" s="19">
        <f>IF(('FSLPL Daily '!O4-'FSLPL Daily '!O3&lt;0), "0",'FSLPL Daily '!O4-'FSLPL Daily '!O3)</f>
        <v>586</v>
      </c>
      <c r="L2" s="19">
        <f>IF(('FSLPL Daily '!Q4-'FSLPL Daily '!Q3&lt;0), "0",'FSLPL Daily '!Q4-'FSLPL Daily '!Q3)</f>
        <v>364</v>
      </c>
      <c r="M2" s="19">
        <f>IF(('FSLPL Daily '!S4-'FSLPL Daily '!S3&lt;0), "0",'FSLPL Daily '!S4-'FSLPL Daily '!S3)</f>
        <v>87</v>
      </c>
      <c r="N2" s="19">
        <f>IF(('FSLPL Daily '!U4-'FSLPL Daily '!U3&lt;0), "0",'FSLPL Daily '!U4-'FSLPL Daily '!U3)</f>
        <v>995</v>
      </c>
      <c r="O2" s="19">
        <f>IF(('FSLPL Daily '!W4-'FSLPL Daily '!W3&lt;0), "0",'FSLPL Daily '!W4-'FSLPL Daily '!W3)</f>
        <v>153</v>
      </c>
      <c r="P2" s="19">
        <f>IF(('FSLPL Daily '!Y4-'FSLPL Daily '!Y3&lt;0), "0",'FSLPL Daily '!Y4-'FSLPL Daily '!Y3)</f>
        <v>1250</v>
      </c>
      <c r="Q2" s="19">
        <f>IF(('FSLPL Daily '!AA4-'FSLPL Daily '!AA3&lt;0), "0",'FSLPL Daily '!AA4-'FSLPL Daily '!AA3)</f>
        <v>2</v>
      </c>
      <c r="R2" s="19">
        <f>IF(('FSLPL Daily '!AC4-'FSLPL Daily '!AC3&lt;0), "0",'FSLPL Daily '!AC4-'FSLPL Daily '!AC3)</f>
        <v>1447</v>
      </c>
      <c r="S2" s="19">
        <f>IF(('FSLPL Daily '!AE4-'FSLPL Daily '!AE3&lt;0), "0",'FSLPL Daily '!AE4-'FSLPL Daily '!AE3)</f>
        <v>1954</v>
      </c>
      <c r="T2" s="19">
        <f>IF(('FSLPL Daily '!AG4-'FSLPL Daily '!AG3&lt;0), "0",'FSLPL Daily '!AG4-'FSLPL Daily '!AG3)</f>
        <v>263</v>
      </c>
      <c r="U2" s="19">
        <f>IF(('FSLPL Daily '!AI4-'FSLPL Daily '!AI3&lt;0), "0",'FSLPL Daily '!AI4-'FSLPL Daily '!AI3)</f>
        <v>76</v>
      </c>
      <c r="V2" s="19">
        <f>IF(('FSLPL Daily '!AK4-'FSLPL Daily '!AK3&lt;0), "0",'FSLPL Daily '!AK4-'FSLPL Daily '!AK3)</f>
        <v>353</v>
      </c>
      <c r="W2" s="19">
        <f>IF(('FSLPL Daily '!AM4-'FSLPL Daily '!AM3&lt;0), "0",'FSLPL Daily '!AM4-'FSLPL Daily '!AM3)</f>
        <v>576</v>
      </c>
      <c r="X2" s="19">
        <f>IF(('FSLPL Daily '!AO4-'FSLPL Daily '!AO3&lt;0), "0",'FSLPL Daily '!AO4-'FSLPL Daily '!AO3)</f>
        <v>827</v>
      </c>
      <c r="Y2" s="19">
        <f>'FSLPL Daily '!AS4</f>
        <v>3419</v>
      </c>
      <c r="Z2" s="19">
        <f>'FSLPL Daily '!AU4</f>
        <v>1028</v>
      </c>
      <c r="AA2" s="19">
        <f>IF(('FSLPL Daily '!AV4-'FSLPL Daily '!AV3&lt;0), "0",'FSLPL Daily '!AV4-'FSLPL Daily '!AV3)</f>
        <v>23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2117</v>
      </c>
      <c r="AD2" s="19">
        <f>IF(('FSLPL Daily '!BB4-'FSLPL Daily '!BB3&lt;0), "0",'FSLPL Daily '!BB4-'FSLPL Daily '!BB3)</f>
        <v>1149</v>
      </c>
      <c r="AE2" s="19">
        <f>'FSLPL Daily '!BD4</f>
        <v>11</v>
      </c>
      <c r="AF2" s="19">
        <f>'FSLPL Daily '!BE4</f>
        <v>152</v>
      </c>
    </row>
    <row r="3" spans="1:32" x14ac:dyDescent="0.25">
      <c r="A3" s="16" t="s">
        <v>52</v>
      </c>
      <c r="B3" s="7">
        <f>B2+1</f>
        <v>2</v>
      </c>
      <c r="C3" s="7">
        <v>2</v>
      </c>
      <c r="D3" s="7">
        <v>2020</v>
      </c>
      <c r="E3" s="19">
        <f>IF(('FSLPL Daily '!C5-'FSLPL Daily '!C4&lt;0), "0",'FSLPL Daily '!C5-'FSLPL Daily '!C4)</f>
        <v>7565</v>
      </c>
      <c r="F3" s="19">
        <f>IF(('FSLPL Daily '!E5-'FSLPL Daily '!E4&lt;0), "0",'FSLPL Daily '!E5-'FSLPL Daily '!E4)</f>
        <v>5486</v>
      </c>
      <c r="G3" s="19">
        <f>IF(('FSLPL Daily '!G5-'FSLPL Daily '!G4&lt;0), "0",'FSLPL Daily '!G5-'FSLPL Daily '!G4)</f>
        <v>3864</v>
      </c>
      <c r="H3" s="19">
        <f>IF(('FSLPL Daily '!I5-'FSLPL Daily '!I4&lt;0), "0",'FSLPL Daily '!I5-'FSLPL Daily '!I4)</f>
        <v>489</v>
      </c>
      <c r="I3" s="19">
        <f>IF(('FSLPL Daily '!K5-'FSLPL Daily '!K4&lt;0), "0",'FSLPL Daily '!K5-'FSLPL Daily '!K4)</f>
        <v>790</v>
      </c>
      <c r="J3" s="19">
        <f>IF(('FSLPL Daily '!M5-'FSLPL Daily '!M4&lt;0), "0",'FSLPL Daily '!M5-'FSLPL Daily '!M4)</f>
        <v>1366</v>
      </c>
      <c r="K3" s="19">
        <f>IF(('FSLPL Daily '!O5-'FSLPL Daily '!O4&lt;0), "0",'FSLPL Daily '!O5-'FSLPL Daily '!O4)</f>
        <v>606</v>
      </c>
      <c r="L3" s="19">
        <f>IF(('FSLPL Daily '!Q5-'FSLPL Daily '!Q4&lt;0), "0",'FSLPL Daily '!Q5-'FSLPL Daily '!Q4)</f>
        <v>347</v>
      </c>
      <c r="M3" s="19">
        <f>IF(('FSLPL Daily '!S5-'FSLPL Daily '!S4&lt;0), "0",'FSLPL Daily '!S5-'FSLPL Daily '!S4)</f>
        <v>84</v>
      </c>
      <c r="N3" s="19">
        <f>IF(('FSLPL Daily '!U5-'FSLPL Daily '!U4&lt;0), "0",'FSLPL Daily '!U5-'FSLPL Daily '!U4)</f>
        <v>935</v>
      </c>
      <c r="O3" s="19">
        <f>IF(('FSLPL Daily '!W5-'FSLPL Daily '!W4&lt;0), "0",'FSLPL Daily '!W5-'FSLPL Daily '!W4)</f>
        <v>195</v>
      </c>
      <c r="P3" s="19">
        <f>IF(('FSLPL Daily '!Y5-'FSLPL Daily '!Y4&lt;0), "0",'FSLPL Daily '!Y5-'FSLPL Daily '!Y4)</f>
        <v>990</v>
      </c>
      <c r="Q3" s="19">
        <f>IF(('FSLPL Daily '!AA5-'FSLPL Daily '!AA4&lt;0), "0",'FSLPL Daily '!AA5-'FSLPL Daily '!AA4)</f>
        <v>3</v>
      </c>
      <c r="R3" s="19">
        <f>IF(('FSLPL Daily '!AC5-'FSLPL Daily '!AC4&lt;0), "0",'FSLPL Daily '!AC5-'FSLPL Daily '!AC4)</f>
        <v>1410</v>
      </c>
      <c r="S3" s="19">
        <f>IF(('FSLPL Daily '!AE5-'FSLPL Daily '!AE4&lt;0), "0",'FSLPL Daily '!AE5-'FSLPL Daily '!AE4)</f>
        <v>1835</v>
      </c>
      <c r="T3" s="19">
        <f>IF(('FSLPL Daily '!AG5-'FSLPL Daily '!AG4&lt;0), "0",'FSLPL Daily '!AG5-'FSLPL Daily '!AG4)</f>
        <v>231</v>
      </c>
      <c r="U3" s="19">
        <f>IF(('FSLPL Daily '!AI5-'FSLPL Daily '!AI4&lt;0), "0",'FSLPL Daily '!AI5-'FSLPL Daily '!AI4)</f>
        <v>74</v>
      </c>
      <c r="V3" s="19">
        <f>IF(('FSLPL Daily '!AK5-'FSLPL Daily '!AK4&lt;0), "0",'FSLPL Daily '!AK5-'FSLPL Daily '!AK4)</f>
        <v>327</v>
      </c>
      <c r="W3" s="19">
        <f>IF(('FSLPL Daily '!AM5-'FSLPL Daily '!AM4&lt;0), "0",'FSLPL Daily '!AM5-'FSLPL Daily '!AM4)</f>
        <v>578</v>
      </c>
      <c r="X3" s="19">
        <f>IF(('FSLPL Daily '!AO5-'FSLPL Daily '!AO4&lt;0), "0",'FSLPL Daily '!AO5-'FSLPL Daily '!AO4)</f>
        <v>847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23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2095</v>
      </c>
      <c r="AD3" s="19">
        <f>IF(('FSLPL Daily '!BB5-'FSLPL Daily '!BB4&lt;0), "0",'FSLPL Daily '!BB5-'FSLPL Daily '!BB4)</f>
        <v>1111</v>
      </c>
      <c r="AE3" s="19">
        <f>'FSLPL Daily '!BD5</f>
        <v>123</v>
      </c>
      <c r="AF3" s="19">
        <f>'FSLPL Daily '!BE5</f>
        <v>154</v>
      </c>
    </row>
    <row r="4" spans="1:32" x14ac:dyDescent="0.25">
      <c r="A4" s="16" t="s">
        <v>52</v>
      </c>
      <c r="B4" s="7">
        <f t="shared" ref="B4:B30" si="0">B3+1</f>
        <v>3</v>
      </c>
      <c r="C4" s="7">
        <v>2</v>
      </c>
      <c r="D4" s="7">
        <v>2020</v>
      </c>
      <c r="E4" s="19">
        <f>IF(('FSLPL Daily '!C6-'FSLPL Daily '!C5&lt;0), "0",'FSLPL Daily '!C6-'FSLPL Daily '!C5)</f>
        <v>7087</v>
      </c>
      <c r="F4" s="19">
        <f>IF(('FSLPL Daily '!E6-'FSLPL Daily '!E5&lt;0), "0",'FSLPL Daily '!E6-'FSLPL Daily '!E5)</f>
        <v>5324</v>
      </c>
      <c r="G4" s="19">
        <f>IF(('FSLPL Daily '!G6-'FSLPL Daily '!G5&lt;0), "0",'FSLPL Daily '!G6-'FSLPL Daily '!G5)</f>
        <v>3800</v>
      </c>
      <c r="H4" s="19">
        <f>IF(('FSLPL Daily '!I6-'FSLPL Daily '!I5&lt;0), "0",'FSLPL Daily '!I6-'FSLPL Daily '!I5)</f>
        <v>476</v>
      </c>
      <c r="I4" s="19">
        <f>IF(('FSLPL Daily '!K6-'FSLPL Daily '!K5&lt;0), "0",'FSLPL Daily '!K6-'FSLPL Daily '!K5)</f>
        <v>777</v>
      </c>
      <c r="J4" s="19">
        <f>IF(('FSLPL Daily '!M6-'FSLPL Daily '!M5&lt;0), "0",'FSLPL Daily '!M6-'FSLPL Daily '!M5)</f>
        <v>1216</v>
      </c>
      <c r="K4" s="19">
        <f>IF(('FSLPL Daily '!O6-'FSLPL Daily '!O5&lt;0), "0",'FSLPL Daily '!O6-'FSLPL Daily '!O5)</f>
        <v>562</v>
      </c>
      <c r="L4" s="19">
        <f>IF(('FSLPL Daily '!Q6-'FSLPL Daily '!Q5&lt;0), "0",'FSLPL Daily '!Q6-'FSLPL Daily '!Q5)</f>
        <v>339</v>
      </c>
      <c r="M4" s="19">
        <f>IF(('FSLPL Daily '!S6-'FSLPL Daily '!S5&lt;0), "0",'FSLPL Daily '!S6-'FSLPL Daily '!S5)</f>
        <v>82</v>
      </c>
      <c r="N4" s="19">
        <f>IF(('FSLPL Daily '!U6-'FSLPL Daily '!U5&lt;0), "0",'FSLPL Daily '!U6-'FSLPL Daily '!U5)</f>
        <v>770</v>
      </c>
      <c r="O4" s="19">
        <f>IF(('FSLPL Daily '!W6-'FSLPL Daily '!W5&lt;0), "0",'FSLPL Daily '!W6-'FSLPL Daily '!W5)</f>
        <v>100</v>
      </c>
      <c r="P4" s="19">
        <f>IF(('FSLPL Daily '!Y6-'FSLPL Daily '!Y5&lt;0), "0",'FSLPL Daily '!Y6-'FSLPL Daily '!Y5)</f>
        <v>1067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1384</v>
      </c>
      <c r="S4" s="19">
        <f>IF(('FSLPL Daily '!AE6-'FSLPL Daily '!AE5&lt;0), "0",'FSLPL Daily '!AE6-'FSLPL Daily '!AE5)</f>
        <v>1781</v>
      </c>
      <c r="T4" s="19">
        <f>IF(('FSLPL Daily '!AG6-'FSLPL Daily '!AG5&lt;0), "0",'FSLPL Daily '!AG6-'FSLPL Daily '!AG5)</f>
        <v>230</v>
      </c>
      <c r="U4" s="19">
        <f>IF(('FSLPL Daily '!AI6-'FSLPL Daily '!AI5&lt;0), "0",'FSLPL Daily '!AI6-'FSLPL Daily '!AI5)</f>
        <v>73</v>
      </c>
      <c r="V4" s="19">
        <f>IF(('FSLPL Daily '!AK6-'FSLPL Daily '!AK5&lt;0), "0",'FSLPL Daily '!AK6-'FSLPL Daily '!AK5)</f>
        <v>329</v>
      </c>
      <c r="W4" s="19">
        <f>IF(('FSLPL Daily '!AM6-'FSLPL Daily '!AM5&lt;0), "0",'FSLPL Daily '!AM6-'FSLPL Daily '!AM5)</f>
        <v>562</v>
      </c>
      <c r="X4" s="19">
        <f>IF(('FSLPL Daily '!AO6-'FSLPL Daily '!AO5&lt;0), "0",'FSLPL Daily '!AO6-'FSLPL Daily '!AO5)</f>
        <v>755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18</v>
      </c>
      <c r="AB4" s="19">
        <f>IF(('FSLPL Daily '!AX6-'FSLPL Daily '!AX5&lt;0), "0",'FSLPL Daily '!AX6-'FSLPL Daily '!AX5)</f>
        <v>2</v>
      </c>
      <c r="AC4" s="19">
        <f>IF(('FSLPL Daily '!AZ6-'FSLPL Daily '!AZ5&lt;0), "0",'FSLPL Daily '!AZ6-'FSLPL Daily '!AZ5)</f>
        <v>2041</v>
      </c>
      <c r="AD4" s="19">
        <f>IF(('FSLPL Daily '!BB6-'FSLPL Daily '!BB5&lt;0), "0",'FSLPL Daily '!BB6-'FSLPL Daily '!BB5)</f>
        <v>1091</v>
      </c>
      <c r="AE4" s="19">
        <f>'FSLPL Daily '!BD6</f>
        <v>134</v>
      </c>
      <c r="AF4" s="19">
        <f>'FSLPL Daily '!BE6</f>
        <v>170</v>
      </c>
    </row>
    <row r="5" spans="1:32" x14ac:dyDescent="0.25">
      <c r="A5" s="16" t="s">
        <v>52</v>
      </c>
      <c r="B5" s="7">
        <f t="shared" si="0"/>
        <v>4</v>
      </c>
      <c r="C5" s="7">
        <v>2</v>
      </c>
      <c r="D5" s="7">
        <v>2020</v>
      </c>
      <c r="E5" s="19">
        <f>IF(('FSLPL Daily '!C7-'FSLPL Daily '!C6&lt;0), "0",'FSLPL Daily '!C7-'FSLPL Daily '!C6)</f>
        <v>8056</v>
      </c>
      <c r="F5" s="19">
        <f>IF(('FSLPL Daily '!E7-'FSLPL Daily '!E6&lt;0), "0",'FSLPL Daily '!E7-'FSLPL Daily '!E6)</f>
        <v>5605</v>
      </c>
      <c r="G5" s="19">
        <f>IF(('FSLPL Daily '!G7-'FSLPL Daily '!G6&lt;0), "0",'FSLPL Daily '!G7-'FSLPL Daily '!G6)</f>
        <v>4023</v>
      </c>
      <c r="H5" s="19">
        <f>IF(('FSLPL Daily '!I7-'FSLPL Daily '!I6&lt;0), "0",'FSLPL Daily '!I7-'FSLPL Daily '!I6)</f>
        <v>606</v>
      </c>
      <c r="I5" s="19">
        <f>IF(('FSLPL Daily '!K7-'FSLPL Daily '!K6&lt;0), "0",'FSLPL Daily '!K7-'FSLPL Daily '!K6)</f>
        <v>831</v>
      </c>
      <c r="J5" s="19">
        <f>IF(('FSLPL Daily '!M7-'FSLPL Daily '!M6&lt;0), "0",'FSLPL Daily '!M7-'FSLPL Daily '!M6)</f>
        <v>1367</v>
      </c>
      <c r="K5" s="19">
        <f>IF(('FSLPL Daily '!O7-'FSLPL Daily '!O6&lt;0), "0",'FSLPL Daily '!O7-'FSLPL Daily '!O6)</f>
        <v>613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87</v>
      </c>
      <c r="N5" s="19">
        <f>IF(('FSLPL Daily '!U7-'FSLPL Daily '!U6&lt;0), "0",'FSLPL Daily '!U7-'FSLPL Daily '!U6)</f>
        <v>1122</v>
      </c>
      <c r="O5" s="19">
        <f>IF(('FSLPL Daily '!W7-'FSLPL Daily '!W6&lt;0), "0",'FSLPL Daily '!W7-'FSLPL Daily '!W6)</f>
        <v>254</v>
      </c>
      <c r="P5" s="19">
        <f>IF(('FSLPL Daily '!Y7-'FSLPL Daily '!Y6&lt;0), "0",'FSLPL Daily '!Y7-'FSLPL Daily '!Y6)</f>
        <v>1071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1468</v>
      </c>
      <c r="S5" s="19">
        <f>IF(('FSLPL Daily '!AE7-'FSLPL Daily '!AE6&lt;0), "0",'FSLPL Daily '!AE7-'FSLPL Daily '!AE6)</f>
        <v>1878</v>
      </c>
      <c r="T5" s="19">
        <f>IF(('FSLPL Daily '!AG7-'FSLPL Daily '!AG6&lt;0), "0",'FSLPL Daily '!AG7-'FSLPL Daily '!AG6)</f>
        <v>253</v>
      </c>
      <c r="U5" s="19">
        <f>IF(('FSLPL Daily '!AI7-'FSLPL Daily '!AI6&lt;0), "0",'FSLPL Daily '!AI7-'FSLPL Daily '!AI6)</f>
        <v>76</v>
      </c>
      <c r="V5" s="19">
        <f>IF(('FSLPL Daily '!AK7-'FSLPL Daily '!AK6&lt;0), "0",'FSLPL Daily '!AK7-'FSLPL Daily '!AK6)</f>
        <v>376</v>
      </c>
      <c r="W5" s="19">
        <f>IF(('FSLPL Daily '!AM7-'FSLPL Daily '!AM6&lt;0), "0",'FSLPL Daily '!AM7-'FSLPL Daily '!AM6)</f>
        <v>592</v>
      </c>
      <c r="X5" s="19">
        <f>IF(('FSLPL Daily '!AO7-'FSLPL Daily '!AO6&lt;0), "0",'FSLPL Daily '!AO7-'FSLPL Daily '!AO6)</f>
        <v>688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19</v>
      </c>
      <c r="AB5" s="19">
        <f>IF(('FSLPL Daily '!AX7-'FSLPL Daily '!AX6&lt;0), "0",'FSLPL Daily '!AX7-'FSLPL Daily '!AX6)</f>
        <v>5</v>
      </c>
      <c r="AC5" s="19">
        <f>IF(('FSLPL Daily '!AZ7-'FSLPL Daily '!AZ6&lt;0), "0",'FSLPL Daily '!AZ7-'FSLPL Daily '!AZ6)</f>
        <v>2310</v>
      </c>
      <c r="AD5" s="19">
        <f>IF(('FSLPL Daily '!BB7-'FSLPL Daily '!BB6&lt;0), "0",'FSLPL Daily '!BB7-'FSLPL Daily '!BB6)</f>
        <v>1144</v>
      </c>
      <c r="AE5" s="19">
        <f>'FSLPL Daily '!BD7</f>
        <v>145</v>
      </c>
      <c r="AF5" s="19">
        <f>'FSLPL Daily '!BE7</f>
        <v>192</v>
      </c>
    </row>
    <row r="6" spans="1:32" x14ac:dyDescent="0.25">
      <c r="A6" s="16" t="s">
        <v>52</v>
      </c>
      <c r="B6" s="7">
        <f t="shared" si="0"/>
        <v>5</v>
      </c>
      <c r="C6" s="7">
        <v>2</v>
      </c>
      <c r="D6" s="7">
        <v>2020</v>
      </c>
      <c r="E6" s="19">
        <f>IF(('FSLPL Daily '!C8-'FSLPL Daily '!C7&lt;0), "0",'FSLPL Daily '!C8-'FSLPL Daily '!C7)</f>
        <v>7910</v>
      </c>
      <c r="F6" s="19">
        <f>IF(('FSLPL Daily '!E8-'FSLPL Daily '!E7&lt;0), "0",'FSLPL Daily '!E8-'FSLPL Daily '!E7)</f>
        <v>5670</v>
      </c>
      <c r="G6" s="19">
        <f>IF(('FSLPL Daily '!G8-'FSLPL Daily '!G7&lt;0), "0",'FSLPL Daily '!G8-'FSLPL Daily '!G7)</f>
        <v>4050</v>
      </c>
      <c r="H6" s="19">
        <f>IF(('FSLPL Daily '!I8-'FSLPL Daily '!I7&lt;0), "0",'FSLPL Daily '!I8-'FSLPL Daily '!I7)</f>
        <v>362</v>
      </c>
      <c r="I6" s="19">
        <f>IF(('FSLPL Daily '!K8-'FSLPL Daily '!K7&lt;0), "0",'FSLPL Daily '!K8-'FSLPL Daily '!K7)</f>
        <v>811</v>
      </c>
      <c r="J6" s="19">
        <f>IF(('FSLPL Daily '!M8-'FSLPL Daily '!M7&lt;0), "0",'FSLPL Daily '!M8-'FSLPL Daily '!M7)</f>
        <v>1408</v>
      </c>
      <c r="K6" s="19">
        <f>IF(('FSLPL Daily '!O8-'FSLPL Daily '!O7&lt;0), "0",'FSLPL Daily '!O8-'FSLPL Daily '!O7)</f>
        <v>661</v>
      </c>
      <c r="L6" s="19">
        <f>IF(('FSLPL Daily '!Q8-'FSLPL Daily '!Q7&lt;0), "0",'FSLPL Daily '!Q8-'FSLPL Daily '!Q7)</f>
        <v>381</v>
      </c>
      <c r="M6" s="19">
        <f>IF(('FSLPL Daily '!S8-'FSLPL Daily '!S7&lt;0), "0",'FSLPL Daily '!S8-'FSLPL Daily '!S7)</f>
        <v>118</v>
      </c>
      <c r="N6" s="19">
        <f>IF(('FSLPL Daily '!U8-'FSLPL Daily '!U7&lt;0), "0",'FSLPL Daily '!U8-'FSLPL Daily '!U7)</f>
        <v>1073</v>
      </c>
      <c r="O6" s="19">
        <f>IF(('FSLPL Daily '!W8-'FSLPL Daily '!W7&lt;0), "0",'FSLPL Daily '!W8-'FSLPL Daily '!W7)</f>
        <v>210</v>
      </c>
      <c r="P6" s="19">
        <f>IF(('FSLPL Daily '!Y8-'FSLPL Daily '!Y7&lt;0), "0",'FSLPL Daily '!Y8-'FSLPL Daily '!Y7)</f>
        <v>1041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1453</v>
      </c>
      <c r="S6" s="19">
        <f>IF(('FSLPL Daily '!AE8-'FSLPL Daily '!AE7&lt;0), "0",'FSLPL Daily '!AE8-'FSLPL Daily '!AE7)</f>
        <v>1914</v>
      </c>
      <c r="T6" s="19">
        <f>IF(('FSLPL Daily '!AG8-'FSLPL Daily '!AG7&lt;0), "0",'FSLPL Daily '!AG8-'FSLPL Daily '!AG7)</f>
        <v>236</v>
      </c>
      <c r="U6" s="19">
        <f>IF(('FSLPL Daily '!AI8-'FSLPL Daily '!AI7&lt;0), "0",'FSLPL Daily '!AI8-'FSLPL Daily '!AI7)</f>
        <v>76</v>
      </c>
      <c r="V6" s="19">
        <f>IF(('FSLPL Daily '!AK8-'FSLPL Daily '!AK7&lt;0), "0",'FSLPL Daily '!AK8-'FSLPL Daily '!AK7)</f>
        <v>369</v>
      </c>
      <c r="W6" s="19">
        <f>IF(('FSLPL Daily '!AM8-'FSLPL Daily '!AM7&lt;0), "0",'FSLPL Daily '!AM8-'FSLPL Daily '!AM7)</f>
        <v>576</v>
      </c>
      <c r="X6" s="19">
        <f>IF(('FSLPL Daily '!AO8-'FSLPL Daily '!AO7&lt;0), "0",'FSLPL Daily '!AO8-'FSLPL Daily '!AO7)</f>
        <v>660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20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2222</v>
      </c>
      <c r="AD6" s="19">
        <f>IF(('FSLPL Daily '!BB8-'FSLPL Daily '!BB7&lt;0), "0",'FSLPL Daily '!BB8-'FSLPL Daily '!BB7)</f>
        <v>1100</v>
      </c>
      <c r="AE6" s="19">
        <f>'FSLPL Daily '!BD8</f>
        <v>138</v>
      </c>
      <c r="AF6" s="19">
        <f>'FSLPL Daily '!BE8</f>
        <v>187</v>
      </c>
    </row>
    <row r="7" spans="1:32" x14ac:dyDescent="0.25">
      <c r="A7" s="16" t="s">
        <v>52</v>
      </c>
      <c r="B7" s="7">
        <f t="shared" si="0"/>
        <v>6</v>
      </c>
      <c r="C7" s="7">
        <v>2</v>
      </c>
      <c r="D7" s="7">
        <v>2020</v>
      </c>
      <c r="E7" s="19">
        <f>IF(('FSLPL Daily '!C9-'FSLPL Daily '!C8&lt;0), "0",'FSLPL Daily '!C9-'FSLPL Daily '!C8)</f>
        <v>7911</v>
      </c>
      <c r="F7" s="19">
        <f>IF(('FSLPL Daily '!E9-'FSLPL Daily '!E8&lt;0), "0",'FSLPL Daily '!E9-'FSLPL Daily '!E8)</f>
        <v>5546</v>
      </c>
      <c r="G7" s="19">
        <f>IF(('FSLPL Daily '!G9-'FSLPL Daily '!G8&lt;0), "0",'FSLPL Daily '!G9-'FSLPL Daily '!G8)</f>
        <v>3828</v>
      </c>
      <c r="H7" s="19">
        <f>IF(('FSLPL Daily '!I9-'FSLPL Daily '!I8&lt;0), "0",'FSLPL Daily '!I9-'FSLPL Daily '!I8)</f>
        <v>472</v>
      </c>
      <c r="I7" s="19">
        <f>IF(('FSLPL Daily '!K9-'FSLPL Daily '!K8&lt;0), "0",'FSLPL Daily '!K9-'FSLPL Daily '!K8)</f>
        <v>832</v>
      </c>
      <c r="J7" s="19">
        <f>IF(('FSLPL Daily '!M9-'FSLPL Daily '!M8&lt;0), "0",'FSLPL Daily '!M9-'FSLPL Daily '!M8)</f>
        <v>1314</v>
      </c>
      <c r="K7" s="19">
        <f>IF(('FSLPL Daily '!O9-'FSLPL Daily '!O8&lt;0), "0",'FSLPL Daily '!O9-'FSLPL Daily '!O8)</f>
        <v>624</v>
      </c>
      <c r="L7" s="19">
        <f>IF(('FSLPL Daily '!Q9-'FSLPL Daily '!Q8&lt;0), "0",'FSLPL Daily '!Q9-'FSLPL Daily '!Q8)</f>
        <v>355</v>
      </c>
      <c r="M7" s="19">
        <f>IF(('FSLPL Daily '!S9-'FSLPL Daily '!S8&lt;0), "0",'FSLPL Daily '!S9-'FSLPL Daily '!S8)</f>
        <v>53</v>
      </c>
      <c r="N7" s="19">
        <f>IF(('FSLPL Daily '!U9-'FSLPL Daily '!U8&lt;0), "0",'FSLPL Daily '!U9-'FSLPL Daily '!U8)</f>
        <v>1128</v>
      </c>
      <c r="O7" s="19">
        <f>IF(('FSLPL Daily '!W9-'FSLPL Daily '!W8&lt;0), "0",'FSLPL Daily '!W9-'FSLPL Daily '!W8)</f>
        <v>226</v>
      </c>
      <c r="P7" s="19">
        <f>IF(('FSLPL Daily '!Y9-'FSLPL Daily '!Y8&lt;0), "0",'FSLPL Daily '!Y9-'FSLPL Daily '!Y8)</f>
        <v>1088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1409</v>
      </c>
      <c r="S7" s="19">
        <f>IF(('FSLPL Daily '!AE9-'FSLPL Daily '!AE8&lt;0), "0",'FSLPL Daily '!AE9-'FSLPL Daily '!AE8)</f>
        <v>1943</v>
      </c>
      <c r="T7" s="19">
        <f>IF(('FSLPL Daily '!AG9-'FSLPL Daily '!AG8&lt;0), "0",'FSLPL Daily '!AG9-'FSLPL Daily '!AG8)</f>
        <v>236</v>
      </c>
      <c r="U7" s="19">
        <f>IF(('FSLPL Daily '!AI9-'FSLPL Daily '!AI8&lt;0), "0",'FSLPL Daily '!AI9-'FSLPL Daily '!AI8)</f>
        <v>77</v>
      </c>
      <c r="V7" s="19">
        <f>IF(('FSLPL Daily '!AK9-'FSLPL Daily '!AK8&lt;0), "0",'FSLPL Daily '!AK9-'FSLPL Daily '!AK8)</f>
        <v>359</v>
      </c>
      <c r="W7" s="19">
        <f>IF(('FSLPL Daily '!AM9-'FSLPL Daily '!AM8&lt;0), "0",'FSLPL Daily '!AM9-'FSLPL Daily '!AM8)</f>
        <v>583</v>
      </c>
      <c r="X7" s="19">
        <f>IF(('FSLPL Daily '!AO9-'FSLPL Daily '!AO8&lt;0), "0",'FSLPL Daily '!AO9-'FSLPL Daily '!AO8)</f>
        <v>672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19</v>
      </c>
      <c r="AB7" s="19">
        <f>IF(('FSLPL Daily '!AX9-'FSLPL Daily '!AX8&lt;0), "0",'FSLPL Daily '!AX9-'FSLPL Daily '!AX8)</f>
        <v>1</v>
      </c>
      <c r="AC7" s="19">
        <f>IF(('FSLPL Daily '!AZ9-'FSLPL Daily '!AZ8&lt;0), "0",'FSLPL Daily '!AZ9-'FSLPL Daily '!AZ8)</f>
        <v>2607</v>
      </c>
      <c r="AD7" s="19">
        <f>IF(('FSLPL Daily '!BB9-'FSLPL Daily '!BB8&lt;0), "0",'FSLPL Daily '!BB9-'FSLPL Daily '!BB8)</f>
        <v>1096</v>
      </c>
      <c r="AE7" s="19">
        <f>'FSLPL Daily '!BD9</f>
        <v>131</v>
      </c>
      <c r="AF7" s="19">
        <f>'FSLPL Daily '!BE9</f>
        <v>175</v>
      </c>
    </row>
    <row r="8" spans="1:32" x14ac:dyDescent="0.25">
      <c r="A8" s="16" t="s">
        <v>52</v>
      </c>
      <c r="B8" s="7">
        <f t="shared" si="0"/>
        <v>7</v>
      </c>
      <c r="C8" s="7">
        <v>2</v>
      </c>
      <c r="D8" s="7">
        <v>2020</v>
      </c>
      <c r="E8" s="19">
        <f>IF(('FSLPL Daily '!C10-'FSLPL Daily '!C9&lt;0), "0",'FSLPL Daily '!C10-'FSLPL Daily '!C9)</f>
        <v>8030</v>
      </c>
      <c r="F8" s="19">
        <f>IF(('FSLPL Daily '!E10-'FSLPL Daily '!E9&lt;0), "0",'FSLPL Daily '!E10-'FSLPL Daily '!E9)</f>
        <v>5479</v>
      </c>
      <c r="G8" s="19">
        <f>IF(('FSLPL Daily '!G10-'FSLPL Daily '!G9&lt;0), "0",'FSLPL Daily '!G10-'FSLPL Daily '!G9)</f>
        <v>3929</v>
      </c>
      <c r="H8" s="19">
        <f>IF(('FSLPL Daily '!I10-'FSLPL Daily '!I9&lt;0), "0",'FSLPL Daily '!I10-'FSLPL Daily '!I9)</f>
        <v>491</v>
      </c>
      <c r="I8" s="19">
        <f>IF(('FSLPL Daily '!K10-'FSLPL Daily '!K9&lt;0), "0",'FSLPL Daily '!K10-'FSLPL Daily '!K9)</f>
        <v>824</v>
      </c>
      <c r="J8" s="19">
        <f>IF(('FSLPL Daily '!M10-'FSLPL Daily '!M9&lt;0), "0",'FSLPL Daily '!M10-'FSLPL Daily '!M9)</f>
        <v>1437</v>
      </c>
      <c r="K8" s="19">
        <f>IF(('FSLPL Daily '!O10-'FSLPL Daily '!O9&lt;0), "0",'FSLPL Daily '!O10-'FSLPL Daily '!O9)</f>
        <v>666</v>
      </c>
      <c r="L8" s="19">
        <f>IF(('FSLPL Daily '!Q10-'FSLPL Daily '!Q9&lt;0), "0",'FSLPL Daily '!Q10-'FSLPL Daily '!Q9)</f>
        <v>353</v>
      </c>
      <c r="M8" s="19">
        <f>IF(('FSLPL Daily '!S10-'FSLPL Daily '!S9&lt;0), "0",'FSLPL Daily '!S10-'FSLPL Daily '!S9)</f>
        <v>85</v>
      </c>
      <c r="N8" s="19">
        <f>IF(('FSLPL Daily '!U10-'FSLPL Daily '!U9&lt;0), "0",'FSLPL Daily '!U10-'FSLPL Daily '!U9)</f>
        <v>1093</v>
      </c>
      <c r="O8" s="19">
        <f>IF(('FSLPL Daily '!W10-'FSLPL Daily '!W9&lt;0), "0",'FSLPL Daily '!W10-'FSLPL Daily '!W9)</f>
        <v>253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1461</v>
      </c>
      <c r="S8" s="19">
        <f>IF(('FSLPL Daily '!AE10-'FSLPL Daily '!AE9&lt;0), "0",'FSLPL Daily '!AE10-'FSLPL Daily '!AE9)</f>
        <v>1838</v>
      </c>
      <c r="T8" s="19">
        <f>IF(('FSLPL Daily '!AG10-'FSLPL Daily '!AG9&lt;0), "0",'FSLPL Daily '!AG10-'FSLPL Daily '!AG9)</f>
        <v>233</v>
      </c>
      <c r="U8" s="19">
        <f>IF(('FSLPL Daily '!AI10-'FSLPL Daily '!AI9&lt;0), "0",'FSLPL Daily '!AI10-'FSLPL Daily '!AI9)</f>
        <v>76</v>
      </c>
      <c r="V8" s="19">
        <f>IF(('FSLPL Daily '!AK10-'FSLPL Daily '!AK9&lt;0), "0",'FSLPL Daily '!AK10-'FSLPL Daily '!AK9)</f>
        <v>339</v>
      </c>
      <c r="W8" s="19">
        <f>IF(('FSLPL Daily '!AM10-'FSLPL Daily '!AM9&lt;0), "0",'FSLPL Daily '!AM10-'FSLPL Daily '!AM9)</f>
        <v>582</v>
      </c>
      <c r="X8" s="19">
        <f>IF(('FSLPL Daily '!AO10-'FSLPL Daily '!AO9&lt;0), "0",'FSLPL Daily '!AO10-'FSLPL Daily '!AO9)</f>
        <v>640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19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2403</v>
      </c>
      <c r="AD8" s="19">
        <f>IF(('FSLPL Daily '!BB10-'FSLPL Daily '!BB9&lt;0), "0",'FSLPL Daily '!BB10-'FSLPL Daily '!BB9)</f>
        <v>1094</v>
      </c>
      <c r="AE8" s="19">
        <f>'FSLPL Daily '!BD10</f>
        <v>114</v>
      </c>
      <c r="AF8" s="19">
        <f>'FSLPL Daily '!BE10</f>
        <v>160</v>
      </c>
    </row>
    <row r="9" spans="1:32" x14ac:dyDescent="0.25">
      <c r="A9" s="16" t="s">
        <v>52</v>
      </c>
      <c r="B9" s="7">
        <f t="shared" si="0"/>
        <v>8</v>
      </c>
      <c r="C9" s="7">
        <v>2</v>
      </c>
      <c r="D9" s="7">
        <v>2020</v>
      </c>
      <c r="E9" s="19">
        <f>IF(('FSLPL Daily '!C11-'FSLPL Daily '!C10&lt;0), "0",'FSLPL Daily '!C11-'FSLPL Daily '!C10)</f>
        <v>7545</v>
      </c>
      <c r="F9" s="19">
        <f>IF(('FSLPL Daily '!E11-'FSLPL Daily '!E10&lt;0), "0",'FSLPL Daily '!E11-'FSLPL Daily '!E10)</f>
        <v>5363</v>
      </c>
      <c r="G9" s="19">
        <f>IF(('FSLPL Daily '!G11-'FSLPL Daily '!G10&lt;0), "0",'FSLPL Daily '!G11-'FSLPL Daily '!G10)</f>
        <v>3849</v>
      </c>
      <c r="H9" s="19">
        <f>IF(('FSLPL Daily '!I11-'FSLPL Daily '!I10&lt;0), "0",'FSLPL Daily '!I11-'FSLPL Daily '!I10)</f>
        <v>483</v>
      </c>
      <c r="I9" s="19">
        <f>IF(('FSLPL Daily '!K11-'FSLPL Daily '!K10&lt;0), "0",'FSLPL Daily '!K11-'FSLPL Daily '!K10)</f>
        <v>811</v>
      </c>
      <c r="J9" s="19">
        <f>IF(('FSLPL Daily '!M11-'FSLPL Daily '!M10&lt;0), "0",'FSLPL Daily '!M11-'FSLPL Daily '!M10)</f>
        <v>1260</v>
      </c>
      <c r="K9" s="19">
        <f>IF(('FSLPL Daily '!O11-'FSLPL Daily '!O10&lt;0), "0",'FSLPL Daily '!O11-'FSLPL Daily '!O10)</f>
        <v>664</v>
      </c>
      <c r="L9" s="19">
        <f>IF(('FSLPL Daily '!Q11-'FSLPL Daily '!Q10&lt;0), "0",'FSLPL Daily '!Q11-'FSLPL Daily '!Q10)</f>
        <v>355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929</v>
      </c>
      <c r="O9" s="19">
        <f>IF(('FSLPL Daily '!W11-'FSLPL Daily '!W10&lt;0), "0",'FSLPL Daily '!W11-'FSLPL Daily '!W10)</f>
        <v>133</v>
      </c>
      <c r="P9" s="19">
        <f>IF(('FSLPL Daily '!Y11-'FSLPL Daily '!Y10&lt;0), "0",'FSLPL Daily '!Y11-'FSLPL Daily '!Y10)</f>
        <v>1073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1422</v>
      </c>
      <c r="S9" s="19">
        <f>IF(('FSLPL Daily '!AE11-'FSLPL Daily '!AE10&lt;0), "0",'FSLPL Daily '!AE11-'FSLPL Daily '!AE10)</f>
        <v>1708</v>
      </c>
      <c r="T9" s="19">
        <f>IF(('FSLPL Daily '!AG11-'FSLPL Daily '!AG10&lt;0), "0",'FSLPL Daily '!AG11-'FSLPL Daily '!AG10)</f>
        <v>228</v>
      </c>
      <c r="U9" s="19">
        <f>IF(('FSLPL Daily '!AI11-'FSLPL Daily '!AI10&lt;0), "0",'FSLPL Daily '!AI11-'FSLPL Daily '!AI10)</f>
        <v>74</v>
      </c>
      <c r="V9" s="19">
        <f>IF(('FSLPL Daily '!AK11-'FSLPL Daily '!AK10&lt;0), "0",'FSLPL Daily '!AK11-'FSLPL Daily '!AK10)</f>
        <v>343</v>
      </c>
      <c r="W9" s="19">
        <f>IF(('FSLPL Daily '!AM11-'FSLPL Daily '!AM10&lt;0), "0",'FSLPL Daily '!AM11-'FSLPL Daily '!AM10)</f>
        <v>577</v>
      </c>
      <c r="X9" s="19">
        <f>IF(('FSLPL Daily '!AO11-'FSLPL Daily '!AO10&lt;0), "0",'FSLPL Daily '!AO11-'FSLPL Daily '!AO10)</f>
        <v>719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26</v>
      </c>
      <c r="AB9" s="19">
        <f>IF(('FSLPL Daily '!AX11-'FSLPL Daily '!AX10&lt;0), "0",'FSLPL Daily '!AX11-'FSLPL Daily '!AX10)</f>
        <v>6</v>
      </c>
      <c r="AC9" s="19">
        <f>IF(('FSLPL Daily '!AZ11-'FSLPL Daily '!AZ10&lt;0), "0",'FSLPL Daily '!AZ11-'FSLPL Daily '!AZ10)</f>
        <v>2271</v>
      </c>
      <c r="AD9" s="19">
        <f>IF(('FSLPL Daily '!BB11-'FSLPL Daily '!BB10&lt;0), "0",'FSLPL Daily '!BB11-'FSLPL Daily '!BB10)</f>
        <v>1080</v>
      </c>
      <c r="AE9" s="19">
        <f>'FSLPL Daily '!BD11</f>
        <v>123</v>
      </c>
      <c r="AF9" s="19">
        <f>'FSLPL Daily '!BE11</f>
        <v>173</v>
      </c>
    </row>
    <row r="10" spans="1:32" x14ac:dyDescent="0.25">
      <c r="A10" s="16" t="s">
        <v>52</v>
      </c>
      <c r="B10" s="7">
        <f t="shared" si="0"/>
        <v>9</v>
      </c>
      <c r="C10" s="7">
        <v>2</v>
      </c>
      <c r="D10" s="7">
        <v>2020</v>
      </c>
      <c r="E10" s="19">
        <f>IF(('FSLPL Daily '!C12-'FSLPL Daily '!C11&lt;0), "0",'FSLPL Daily '!C12-'FSLPL Daily '!C11)</f>
        <v>7422</v>
      </c>
      <c r="F10" s="19">
        <f>IF(('FSLPL Daily '!E12-'FSLPL Daily '!E11&lt;0), "0",'FSLPL Daily '!E12-'FSLPL Daily '!E11)</f>
        <v>5239</v>
      </c>
      <c r="G10" s="19">
        <f>IF(('FSLPL Daily '!G12-'FSLPL Daily '!G11&lt;0), "0",'FSLPL Daily '!G12-'FSLPL Daily '!G11)</f>
        <v>3950</v>
      </c>
      <c r="H10" s="19">
        <f>IF(('FSLPL Daily '!I12-'FSLPL Daily '!I11&lt;0), "0",'FSLPL Daily '!I12-'FSLPL Daily '!I11)</f>
        <v>446</v>
      </c>
      <c r="I10" s="19">
        <f>IF(('FSLPL Daily '!K12-'FSLPL Daily '!K11&lt;0), "0",'FSLPL Daily '!K12-'FSLPL Daily '!K11)</f>
        <v>812</v>
      </c>
      <c r="J10" s="19">
        <f>IF(('FSLPL Daily '!M12-'FSLPL Daily '!M11&lt;0), "0",'FSLPL Daily '!M12-'FSLPL Daily '!M11)</f>
        <v>1272</v>
      </c>
      <c r="K10" s="19">
        <f>IF(('FSLPL Daily '!O12-'FSLPL Daily '!O11&lt;0), "0",'FSLPL Daily '!O12-'FSLPL Daily '!O11)</f>
        <v>644</v>
      </c>
      <c r="L10" s="19">
        <f>IF(('FSLPL Daily '!Q12-'FSLPL Daily '!Q11&lt;0), "0",'FSLPL Daily '!Q12-'FSLPL Daily '!Q11)</f>
        <v>351</v>
      </c>
      <c r="M10" s="19">
        <f>IF(('FSLPL Daily '!S12-'FSLPL Daily '!S11&lt;0), "0",'FSLPL Daily '!S12-'FSLPL Daily '!S11)</f>
        <v>85</v>
      </c>
      <c r="N10" s="19">
        <f>IF(('FSLPL Daily '!U12-'FSLPL Daily '!U11&lt;0), "0",'FSLPL Daily '!U12-'FSLPL Daily '!U11)</f>
        <v>860</v>
      </c>
      <c r="O10" s="19">
        <f>IF(('FSLPL Daily '!W12-'FSLPL Daily '!W11&lt;0), "0",'FSLPL Daily '!W12-'FSLPL Daily '!W11)</f>
        <v>137</v>
      </c>
      <c r="P10" s="19">
        <f>IF(('FSLPL Daily '!Y12-'FSLPL Daily '!Y11&lt;0), "0",'FSLPL Daily '!Y12-'FSLPL Daily '!Y11)</f>
        <v>1074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1448</v>
      </c>
      <c r="S10" s="19">
        <f>IF(('FSLPL Daily '!AE12-'FSLPL Daily '!AE11&lt;0), "0",'FSLPL Daily '!AE12-'FSLPL Daily '!AE11)</f>
        <v>1766</v>
      </c>
      <c r="T10" s="19">
        <f>IF(('FSLPL Daily '!AG12-'FSLPL Daily '!AG11&lt;0), "0",'FSLPL Daily '!AG12-'FSLPL Daily '!AG11)</f>
        <v>236</v>
      </c>
      <c r="U10" s="19">
        <f>IF(('FSLPL Daily '!AI12-'FSLPL Daily '!AI11&lt;0), "0",'FSLPL Daily '!AI12-'FSLPL Daily '!AI11)</f>
        <v>76</v>
      </c>
      <c r="V10" s="19">
        <f>IF(('FSLPL Daily '!AK12-'FSLPL Daily '!AK11&lt;0), "0",'FSLPL Daily '!AK12-'FSLPL Daily '!AK11)</f>
        <v>337</v>
      </c>
      <c r="W10" s="19">
        <f>IF(('FSLPL Daily '!AM12-'FSLPL Daily '!AM11&lt;0), "0",'FSLPL Daily '!AM12-'FSLPL Daily '!AM11)</f>
        <v>589</v>
      </c>
      <c r="X10" s="19">
        <f>IF(('FSLPL Daily '!AO12-'FSLPL Daily '!AO11&lt;0), "0",'FSLPL Daily '!AO12-'FSLPL Daily '!AO11)</f>
        <v>642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26</v>
      </c>
      <c r="AB10" s="19">
        <f>IF(('FSLPL Daily '!AX12-'FSLPL Daily '!AX11&lt;0), "0",'FSLPL Daily '!AX12-'FSLPL Daily '!AX11)</f>
        <v>4</v>
      </c>
      <c r="AC10" s="19">
        <f>IF(('FSLPL Daily '!AZ12-'FSLPL Daily '!AZ11&lt;0), "0",'FSLPL Daily '!AZ12-'FSLPL Daily '!AZ11)</f>
        <v>2249</v>
      </c>
      <c r="AD10" s="19">
        <f>IF(('FSLPL Daily '!BB12-'FSLPL Daily '!BB11&lt;0), "0",'FSLPL Daily '!BB12-'FSLPL Daily '!BB11)</f>
        <v>1125</v>
      </c>
      <c r="AE10" s="19">
        <f>'FSLPL Daily '!BD12</f>
        <v>102</v>
      </c>
      <c r="AF10" s="19">
        <f>'FSLPL Daily '!BE12</f>
        <v>137</v>
      </c>
    </row>
    <row r="11" spans="1:32" x14ac:dyDescent="0.25">
      <c r="A11" s="16" t="s">
        <v>52</v>
      </c>
      <c r="B11" s="7">
        <f t="shared" si="0"/>
        <v>10</v>
      </c>
      <c r="C11" s="7">
        <v>2</v>
      </c>
      <c r="D11" s="7">
        <v>2020</v>
      </c>
      <c r="E11" s="19">
        <f>IF(('FSLPL Daily '!C13-'FSLPL Daily '!C12&lt;0), "0",'FSLPL Daily '!C13-'FSLPL Daily '!C12)</f>
        <v>7664</v>
      </c>
      <c r="F11" s="19">
        <f>IF(('FSLPL Daily '!E13-'FSLPL Daily '!E12&lt;0), "0",'FSLPL Daily '!E13-'FSLPL Daily '!E12)</f>
        <v>5332</v>
      </c>
      <c r="G11" s="19">
        <f>IF(('FSLPL Daily '!G13-'FSLPL Daily '!G12&lt;0), "0",'FSLPL Daily '!G13-'FSLPL Daily '!G12)</f>
        <v>3974</v>
      </c>
      <c r="H11" s="19">
        <f>IF(('FSLPL Daily '!I13-'FSLPL Daily '!I12&lt;0), "0",'FSLPL Daily '!I13-'FSLPL Daily '!I12)</f>
        <v>483</v>
      </c>
      <c r="I11" s="19">
        <f>IF(('FSLPL Daily '!K13-'FSLPL Daily '!K12&lt;0), "0",'FSLPL Daily '!K13-'FSLPL Daily '!K12)</f>
        <v>840</v>
      </c>
      <c r="J11" s="19">
        <f>IF(('FSLPL Daily '!M13-'FSLPL Daily '!M12&lt;0), "0",'FSLPL Daily '!M13-'FSLPL Daily '!M12)</f>
        <v>1373</v>
      </c>
      <c r="K11" s="19">
        <f>IF(('FSLPL Daily '!O13-'FSLPL Daily '!O12&lt;0), "0",'FSLPL Daily '!O13-'FSLPL Daily '!O12)</f>
        <v>627</v>
      </c>
      <c r="L11" s="19">
        <f>IF(('FSLPL Daily '!Q13-'FSLPL Daily '!Q12&lt;0), "0",'FSLPL Daily '!Q13-'FSLPL Daily '!Q12)</f>
        <v>351</v>
      </c>
      <c r="M11" s="19">
        <f>IF(('FSLPL Daily '!S13-'FSLPL Daily '!S12&lt;0), "0",'FSLPL Daily '!S13-'FSLPL Daily '!S12)</f>
        <v>85</v>
      </c>
      <c r="N11" s="19">
        <f>IF(('FSLPL Daily '!U13-'FSLPL Daily '!U12&lt;0), "0",'FSLPL Daily '!U13-'FSLPL Daily '!U12)</f>
        <v>993</v>
      </c>
      <c r="O11" s="19">
        <f>IF(('FSLPL Daily '!W13-'FSLPL Daily '!W12&lt;0), "0",'FSLPL Daily '!W13-'FSLPL Daily '!W12)</f>
        <v>141</v>
      </c>
      <c r="P11" s="19">
        <f>IF(('FSLPL Daily '!Y13-'FSLPL Daily '!Y12&lt;0), "0",'FSLPL Daily '!Y13-'FSLPL Daily '!Y12)</f>
        <v>1011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1431</v>
      </c>
      <c r="S11" s="19">
        <f>IF(('FSLPL Daily '!AE13-'FSLPL Daily '!AE12&lt;0), "0",'FSLPL Daily '!AE13-'FSLPL Daily '!AE12)</f>
        <v>1877</v>
      </c>
      <c r="T11" s="19">
        <f>IF(('FSLPL Daily '!AG13-'FSLPL Daily '!AG12&lt;0), "0",'FSLPL Daily '!AG13-'FSLPL Daily '!AG12)</f>
        <v>235</v>
      </c>
      <c r="U11" s="19">
        <f>IF(('FSLPL Daily '!AI13-'FSLPL Daily '!AI12&lt;0), "0",'FSLPL Daily '!AI13-'FSLPL Daily '!AI12)</f>
        <v>75</v>
      </c>
      <c r="V11" s="19">
        <f>IF(('FSLPL Daily '!AK13-'FSLPL Daily '!AK12&lt;0), "0",'FSLPL Daily '!AK13-'FSLPL Daily '!AK12)</f>
        <v>337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687</v>
      </c>
      <c r="Y11" s="19">
        <f>'FSLPL Daily '!AS13</f>
        <v>220</v>
      </c>
      <c r="Z11" s="19">
        <f>'FSLPL Daily '!AU13</f>
        <v>519</v>
      </c>
      <c r="AA11" s="19">
        <f>IF(('FSLPL Daily '!AV13-'FSLPL Daily '!AV12&lt;0), "0",'FSLPL Daily '!AV13-'FSLPL Daily '!AV12)</f>
        <v>21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2202</v>
      </c>
      <c r="AD11" s="19">
        <f>IF(('FSLPL Daily '!BB13-'FSLPL Daily '!BB12&lt;0), "0",'FSLPL Daily '!BB13-'FSLPL Daily '!BB12)</f>
        <v>1153</v>
      </c>
      <c r="AE11" s="19">
        <f>'FSLPL Daily '!BD13</f>
        <v>110</v>
      </c>
      <c r="AF11" s="19">
        <f>'FSLPL Daily '!BE13</f>
        <v>139</v>
      </c>
    </row>
    <row r="12" spans="1:32" x14ac:dyDescent="0.25">
      <c r="A12" s="16" t="s">
        <v>52</v>
      </c>
      <c r="B12" s="7">
        <f t="shared" si="0"/>
        <v>11</v>
      </c>
      <c r="C12" s="7">
        <v>2</v>
      </c>
      <c r="D12" s="7">
        <v>2020</v>
      </c>
      <c r="E12" s="19">
        <f>IF(('FSLPL Daily '!C14-'FSLPL Daily '!C13&lt;0), "0",'FSLPL Daily '!C14-'FSLPL Daily '!C13)</f>
        <v>7241</v>
      </c>
      <c r="F12" s="19">
        <f>IF(('FSLPL Daily '!E14-'FSLPL Daily '!E13&lt;0), "0",'FSLPL Daily '!E14-'FSLPL Daily '!E13)</f>
        <v>4938</v>
      </c>
      <c r="G12" s="19">
        <f>IF(('FSLPL Daily '!G14-'FSLPL Daily '!G13&lt;0), "0",'FSLPL Daily '!G14-'FSLPL Daily '!G13)</f>
        <v>3857</v>
      </c>
      <c r="H12" s="19">
        <f>IF(('FSLPL Daily '!I14-'FSLPL Daily '!I13&lt;0), "0",'FSLPL Daily '!I14-'FSLPL Daily '!I13)</f>
        <v>454</v>
      </c>
      <c r="I12" s="19">
        <f>IF(('FSLPL Daily '!K14-'FSLPL Daily '!K13&lt;0), "0",'FSLPL Daily '!K14-'FSLPL Daily '!K13)</f>
        <v>825</v>
      </c>
      <c r="J12" s="19">
        <f>IF(('FSLPL Daily '!M14-'FSLPL Daily '!M13&lt;0), "0",'FSLPL Daily '!M14-'FSLPL Daily '!M13)</f>
        <v>1120</v>
      </c>
      <c r="K12" s="19">
        <f>IF(('FSLPL Daily '!O14-'FSLPL Daily '!O13&lt;0), "0",'FSLPL Daily '!O14-'FSLPL Daily '!O13)</f>
        <v>574</v>
      </c>
      <c r="L12" s="19">
        <f>IF(('FSLPL Daily '!Q14-'FSLPL Daily '!Q13&lt;0), "0",'FSLPL Daily '!Q14-'FSLPL Daily '!Q13)</f>
        <v>328</v>
      </c>
      <c r="M12" s="19">
        <f>IF(('FSLPL Daily '!S14-'FSLPL Daily '!S13&lt;0), "0",'FSLPL Daily '!S14-'FSLPL Daily '!S13)</f>
        <v>85</v>
      </c>
      <c r="N12" s="19">
        <f>IF(('FSLPL Daily '!U14-'FSLPL Daily '!U13&lt;0), "0",'FSLPL Daily '!U14-'FSLPL Daily '!U13)</f>
        <v>977</v>
      </c>
      <c r="O12" s="19">
        <f>IF(('FSLPL Daily '!W14-'FSLPL Daily '!W13&lt;0), "0",'FSLPL Daily '!W14-'FSLPL Daily '!W13)</f>
        <v>120</v>
      </c>
      <c r="P12" s="19">
        <f>IF(('FSLPL Daily '!Y14-'FSLPL Daily '!Y13&lt;0), "0",'FSLPL Daily '!Y14-'FSLPL Daily '!Y13)</f>
        <v>870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1122</v>
      </c>
      <c r="S12" s="19">
        <f>IF(('FSLPL Daily '!AE14-'FSLPL Daily '!AE13&lt;0), "0",'FSLPL Daily '!AE14-'FSLPL Daily '!AE13)</f>
        <v>1895</v>
      </c>
      <c r="T12" s="19">
        <f>IF(('FSLPL Daily '!AG14-'FSLPL Daily '!AG13&lt;0), "0",'FSLPL Daily '!AG14-'FSLPL Daily '!AG13)</f>
        <v>153</v>
      </c>
      <c r="U12" s="19">
        <f>IF(('FSLPL Daily '!AI14-'FSLPL Daily '!AI13&lt;0), "0",'FSLPL Daily '!AI14-'FSLPL Daily '!AI13)</f>
        <v>67</v>
      </c>
      <c r="V12" s="19">
        <f>IF(('FSLPL Daily '!AK14-'FSLPL Daily '!AK13&lt;0), "0",'FSLPL Daily '!AK14-'FSLPL Daily '!AK13)</f>
        <v>345</v>
      </c>
      <c r="W12" s="19">
        <f>IF(('FSLPL Daily '!AM14-'FSLPL Daily '!AM13&lt;0), "0",'FSLPL Daily '!AM14-'FSLPL Daily '!AM13)</f>
        <v>599</v>
      </c>
      <c r="X12" s="19">
        <f>IF(('FSLPL Daily '!AO14-'FSLPL Daily '!AO13&lt;0), "0",'FSLPL Daily '!AO14-'FSLPL Daily '!AO13)</f>
        <v>581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20</v>
      </c>
      <c r="AB12" s="19">
        <f>IF(('FSLPL Daily '!AX14-'FSLPL Daily '!AX13&lt;0), "0",'FSLPL Daily '!AX14-'FSLPL Daily '!AX13)</f>
        <v>4</v>
      </c>
      <c r="AC12" s="19">
        <f>IF(('FSLPL Daily '!AZ14-'FSLPL Daily '!AZ13&lt;0), "0",'FSLPL Daily '!AZ14-'FSLPL Daily '!AZ13)</f>
        <v>2233</v>
      </c>
      <c r="AD12" s="19">
        <f>IF(('FSLPL Daily '!BB14-'FSLPL Daily '!BB13&lt;0), "0",'FSLPL Daily '!BB14-'FSLPL Daily '!BB13)</f>
        <v>1101</v>
      </c>
      <c r="AE12" s="19">
        <f>'FSLPL Daily '!BD14</f>
        <v>129</v>
      </c>
      <c r="AF12" s="19">
        <f>'FSLPL Daily '!BE14</f>
        <v>163</v>
      </c>
    </row>
    <row r="13" spans="1:32" x14ac:dyDescent="0.25">
      <c r="A13" s="16" t="s">
        <v>52</v>
      </c>
      <c r="B13" s="7">
        <f t="shared" si="0"/>
        <v>12</v>
      </c>
      <c r="C13" s="7">
        <v>2</v>
      </c>
      <c r="D13" s="7">
        <v>2020</v>
      </c>
      <c r="E13" s="19">
        <f>IF(('FSLPL Daily '!C15-'FSLPL Daily '!C14&lt;0), "0",'FSLPL Daily '!C15-'FSLPL Daily '!C14)</f>
        <v>7484</v>
      </c>
      <c r="F13" s="19">
        <f>IF(('FSLPL Daily '!E15-'FSLPL Daily '!E14&lt;0), "0",'FSLPL Daily '!E15-'FSLPL Daily '!E14)</f>
        <v>4732</v>
      </c>
      <c r="G13" s="19">
        <f>IF(('FSLPL Daily '!G15-'FSLPL Daily '!G14&lt;0), "0",'FSLPL Daily '!G15-'FSLPL Daily '!G14)</f>
        <v>3938</v>
      </c>
      <c r="H13" s="19">
        <f>IF(('FSLPL Daily '!I15-'FSLPL Daily '!I14&lt;0), "0",'FSLPL Daily '!I15-'FSLPL Daily '!I14)</f>
        <v>472</v>
      </c>
      <c r="I13" s="19">
        <f>IF(('FSLPL Daily '!K15-'FSLPL Daily '!K14&lt;0), "0",'FSLPL Daily '!K15-'FSLPL Daily '!K14)</f>
        <v>816</v>
      </c>
      <c r="J13" s="19">
        <f>IF(('FSLPL Daily '!M15-'FSLPL Daily '!M14&lt;0), "0",'FSLPL Daily '!M15-'FSLPL Daily '!M14)</f>
        <v>1147</v>
      </c>
      <c r="K13" s="19">
        <f>IF(('FSLPL Daily '!O15-'FSLPL Daily '!O14&lt;0), "0",'FSLPL Daily '!O15-'FSLPL Daily '!O14)</f>
        <v>585</v>
      </c>
      <c r="L13" s="19">
        <f>IF(('FSLPL Daily '!Q15-'FSLPL Daily '!Q14&lt;0), "0",'FSLPL Daily '!Q15-'FSLPL Daily '!Q14)</f>
        <v>377</v>
      </c>
      <c r="M13" s="19">
        <f>IF(('FSLPL Daily '!S15-'FSLPL Daily '!S14&lt;0), "0",'FSLPL Daily '!S15-'FSLPL Daily '!S14)</f>
        <v>84</v>
      </c>
      <c r="N13" s="19">
        <f>IF(('FSLPL Daily '!U15-'FSLPL Daily '!U14&lt;0), "0",'FSLPL Daily '!U15-'FSLPL Daily '!U14)</f>
        <v>1142</v>
      </c>
      <c r="O13" s="19">
        <f>IF(('FSLPL Daily '!W15-'FSLPL Daily '!W14&lt;0), "0",'FSLPL Daily '!W15-'FSLPL Daily '!W14)</f>
        <v>155</v>
      </c>
      <c r="P13" s="19">
        <f>IF(('FSLPL Daily '!Y15-'FSLPL Daily '!Y14&lt;0), "0",'FSLPL Daily '!Y15-'FSLPL Daily '!Y14)</f>
        <v>847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882</v>
      </c>
      <c r="S13" s="19">
        <f>IF(('FSLPL Daily '!AE15-'FSLPL Daily '!AE14&lt;0), "0",'FSLPL Daily '!AE15-'FSLPL Daily '!AE14)</f>
        <v>1899</v>
      </c>
      <c r="T13" s="19">
        <f>IF(('FSLPL Daily '!AG15-'FSLPL Daily '!AG14&lt;0), "0",'FSLPL Daily '!AG15-'FSLPL Daily '!AG14)</f>
        <v>78</v>
      </c>
      <c r="U13" s="19">
        <f>IF(('FSLPL Daily '!AI15-'FSLPL Daily '!AI14&lt;0), "0",'FSLPL Daily '!AI15-'FSLPL Daily '!AI14)</f>
        <v>76</v>
      </c>
      <c r="V13" s="19">
        <f>IF(('FSLPL Daily '!AK15-'FSLPL Daily '!AK14&lt;0), "0",'FSLPL Daily '!AK15-'FSLPL Daily '!AK14)</f>
        <v>327</v>
      </c>
      <c r="W13" s="19">
        <f>IF(('FSLPL Daily '!AM15-'FSLPL Daily '!AM14&lt;0), "0",'FSLPL Daily '!AM15-'FSLPL Daily '!AM14)</f>
        <v>612</v>
      </c>
      <c r="X13" s="19">
        <f>IF(('FSLPL Daily '!AO15-'FSLPL Daily '!AO14&lt;0), "0",'FSLPL Daily '!AO15-'FSLPL Daily '!AO14)</f>
        <v>638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21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2267</v>
      </c>
      <c r="AD13" s="19">
        <f>IF(('FSLPL Daily '!BB15-'FSLPL Daily '!BB14&lt;0), "0",'FSLPL Daily '!BB15-'FSLPL Daily '!BB14)</f>
        <v>1114</v>
      </c>
      <c r="AE13" s="19">
        <f>'FSLPL Daily '!BD15</f>
        <v>136</v>
      </c>
      <c r="AF13" s="19">
        <f>'FSLPL Daily '!BE15</f>
        <v>174</v>
      </c>
    </row>
    <row r="14" spans="1:32" x14ac:dyDescent="0.25">
      <c r="A14" s="16" t="s">
        <v>52</v>
      </c>
      <c r="B14" s="7">
        <f t="shared" si="0"/>
        <v>13</v>
      </c>
      <c r="C14" s="7">
        <v>2</v>
      </c>
      <c r="D14" s="7">
        <v>2020</v>
      </c>
      <c r="E14" s="19">
        <f>IF(('FSLPL Daily '!C16-'FSLPL Daily '!C15&lt;0), "0",'FSLPL Daily '!C16-'FSLPL Daily '!C15)</f>
        <v>7484</v>
      </c>
      <c r="F14" s="19">
        <f>IF(('FSLPL Daily '!E16-'FSLPL Daily '!E15&lt;0), "0",'FSLPL Daily '!E16-'FSLPL Daily '!E15)</f>
        <v>5308</v>
      </c>
      <c r="G14" s="19">
        <f>IF(('FSLPL Daily '!G16-'FSLPL Daily '!G15&lt;0), "0",'FSLPL Daily '!G16-'FSLPL Daily '!G15)</f>
        <v>3874</v>
      </c>
      <c r="H14" s="19">
        <f>IF(('FSLPL Daily '!I16-'FSLPL Daily '!I15&lt;0), "0",'FSLPL Daily '!I16-'FSLPL Daily '!I15)</f>
        <v>441</v>
      </c>
      <c r="I14" s="19">
        <f>IF(('FSLPL Daily '!K16-'FSLPL Daily '!K15&lt;0), "0",'FSLPL Daily '!K16-'FSLPL Daily '!K15)</f>
        <v>828</v>
      </c>
      <c r="J14" s="19">
        <f>IF(('FSLPL Daily '!M16-'FSLPL Daily '!M15&lt;0), "0",'FSLPL Daily '!M16-'FSLPL Daily '!M15)</f>
        <v>1187</v>
      </c>
      <c r="K14" s="19">
        <f>IF(('FSLPL Daily '!O16-'FSLPL Daily '!O15&lt;0), "0",'FSLPL Daily '!O16-'FSLPL Daily '!O15)</f>
        <v>590</v>
      </c>
      <c r="L14" s="19">
        <f>IF(('FSLPL Daily '!Q16-'FSLPL Daily '!Q15&lt;0), "0",'FSLPL Daily '!Q16-'FSLPL Daily '!Q15)</f>
        <v>344</v>
      </c>
      <c r="M14" s="19">
        <f>IF(('FSLPL Daily '!S16-'FSLPL Daily '!S15&lt;0), "0",'FSLPL Daily '!S16-'FSLPL Daily '!S15)</f>
        <v>84</v>
      </c>
      <c r="N14" s="19">
        <f>IF(('FSLPL Daily '!U16-'FSLPL Daily '!U15&lt;0), "0",'FSLPL Daily '!U16-'FSLPL Daily '!U15)</f>
        <v>1052</v>
      </c>
      <c r="O14" s="19">
        <f>IF(('FSLPL Daily '!W16-'FSLPL Daily '!W15&lt;0), "0",'FSLPL Daily '!W16-'FSLPL Daily '!W15)</f>
        <v>195</v>
      </c>
      <c r="P14" s="19">
        <f>IF(('FSLPL Daily '!Y16-'FSLPL Daily '!Y15&lt;0), "0",'FSLPL Daily '!Y16-'FSLPL Daily '!Y15)</f>
        <v>960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1248</v>
      </c>
      <c r="S14" s="19">
        <f>IF(('FSLPL Daily '!AE16-'FSLPL Daily '!AE15&lt;0), "0",'FSLPL Daily '!AE16-'FSLPL Daily '!AE15)</f>
        <v>1952</v>
      </c>
      <c r="T14" s="19">
        <f>IF(('FSLPL Daily '!AG16-'FSLPL Daily '!AG15&lt;0), "0",'FSLPL Daily '!AG16-'FSLPL Daily '!AG15)</f>
        <v>167</v>
      </c>
      <c r="U14" s="19">
        <f>IF(('FSLPL Daily '!AI16-'FSLPL Daily '!AI15&lt;0), "0",'FSLPL Daily '!AI16-'FSLPL Daily '!AI15)</f>
        <v>75</v>
      </c>
      <c r="V14" s="19">
        <f>IF(('FSLPL Daily '!AK16-'FSLPL Daily '!AK15&lt;0), "0",'FSLPL Daily '!AK16-'FSLPL Daily '!AK15)</f>
        <v>345</v>
      </c>
      <c r="W14" s="19">
        <f>IF(('FSLPL Daily '!AM16-'FSLPL Daily '!AM15&lt;0), "0",'FSLPL Daily '!AM16-'FSLPL Daily '!AM15)</f>
        <v>602</v>
      </c>
      <c r="X14" s="19">
        <f>IF(('FSLPL Daily '!AO16-'FSLPL Daily '!AO15&lt;0), "0",'FSLPL Daily '!AO16-'FSLPL Daily '!AO15)</f>
        <v>614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20</v>
      </c>
      <c r="AB14" s="19">
        <f>IF(('FSLPL Daily '!AX16-'FSLPL Daily '!AX15&lt;0), "0",'FSLPL Daily '!AX16-'FSLPL Daily '!AX15)</f>
        <v>3</v>
      </c>
      <c r="AC14" s="19">
        <f>IF(('FSLPL Daily '!AZ16-'FSLPL Daily '!AZ15&lt;0), "0",'FSLPL Daily '!AZ16-'FSLPL Daily '!AZ15)</f>
        <v>2257</v>
      </c>
      <c r="AD14" s="19">
        <f>IF(('FSLPL Daily '!BB16-'FSLPL Daily '!BB15&lt;0), "0",'FSLPL Daily '!BB16-'FSLPL Daily '!BB15)</f>
        <v>1098</v>
      </c>
      <c r="AE14" s="19">
        <f>'FSLPL Daily '!BD16</f>
        <v>121</v>
      </c>
      <c r="AF14" s="19">
        <f>'FSLPL Daily '!BE16</f>
        <v>166</v>
      </c>
    </row>
    <row r="15" spans="1:32" x14ac:dyDescent="0.25">
      <c r="A15" s="16" t="s">
        <v>52</v>
      </c>
      <c r="B15" s="7">
        <f t="shared" si="0"/>
        <v>14</v>
      </c>
      <c r="C15" s="7">
        <v>2</v>
      </c>
      <c r="D15" s="7">
        <v>2020</v>
      </c>
      <c r="E15" s="19">
        <f>IF(('FSLPL Daily '!C17-'FSLPL Daily '!C16&lt;0), "0",'FSLPL Daily '!C17-'FSLPL Daily '!C16)</f>
        <v>7818</v>
      </c>
      <c r="F15" s="19">
        <f>IF(('FSLPL Daily '!E17-'FSLPL Daily '!E16&lt;0), "0",'FSLPL Daily '!E17-'FSLPL Daily '!E16)</f>
        <v>5586</v>
      </c>
      <c r="G15" s="19">
        <f>IF(('FSLPL Daily '!G17-'FSLPL Daily '!G16&lt;0), "0",'FSLPL Daily '!G17-'FSLPL Daily '!G16)</f>
        <v>3953</v>
      </c>
      <c r="H15" s="19">
        <f>IF(('FSLPL Daily '!I17-'FSLPL Daily '!I16&lt;0), "0",'FSLPL Daily '!I17-'FSLPL Daily '!I16)</f>
        <v>445</v>
      </c>
      <c r="I15" s="19">
        <f>IF(('FSLPL Daily '!K17-'FSLPL Daily '!K16&lt;0), "0",'FSLPL Daily '!K17-'FSLPL Daily '!K16)</f>
        <v>791</v>
      </c>
      <c r="J15" s="19">
        <f>IF(('FSLPL Daily '!M17-'FSLPL Daily '!M16&lt;0), "0",'FSLPL Daily '!M17-'FSLPL Daily '!M16)</f>
        <v>1316</v>
      </c>
      <c r="K15" s="19">
        <f>IF(('FSLPL Daily '!O17-'FSLPL Daily '!O16&lt;0), "0",'FSLPL Daily '!O17-'FSLPL Daily '!O16)</f>
        <v>573</v>
      </c>
      <c r="L15" s="19">
        <f>IF(('FSLPL Daily '!Q17-'FSLPL Daily '!Q16&lt;0), "0",'FSLPL Daily '!Q17-'FSLPL Daily '!Q16)</f>
        <v>348</v>
      </c>
      <c r="M15" s="19">
        <f>IF(('FSLPL Daily '!S17-'FSLPL Daily '!S16&lt;0), "0",'FSLPL Daily '!S17-'FSLPL Daily '!S16)</f>
        <v>84</v>
      </c>
      <c r="N15" s="19">
        <f>IF(('FSLPL Daily '!U17-'FSLPL Daily '!U16&lt;0), "0",'FSLPL Daily '!U17-'FSLPL Daily '!U16)</f>
        <v>1150</v>
      </c>
      <c r="O15" s="19">
        <f>IF(('FSLPL Daily '!W17-'FSLPL Daily '!W16&lt;0), "0",'FSLPL Daily '!W17-'FSLPL Daily '!W16)</f>
        <v>154</v>
      </c>
      <c r="P15" s="19">
        <f>IF(('FSLPL Daily '!Y17-'FSLPL Daily '!Y16&lt;0), "0",'FSLPL Daily '!Y17-'FSLPL Daily '!Y16)</f>
        <v>1082</v>
      </c>
      <c r="Q15" s="19">
        <f>IF(('FSLPL Daily '!AA17-'FSLPL Daily '!AA16&lt;0), "0",'FSLPL Daily '!AA17-'FSLPL Daily '!AA16)</f>
        <v>3</v>
      </c>
      <c r="R15" s="19">
        <f>IF(('FSLPL Daily '!AC17-'FSLPL Daily '!AC16&lt;0), "0",'FSLPL Daily '!AC17-'FSLPL Daily '!AC16)</f>
        <v>1429</v>
      </c>
      <c r="S15" s="19">
        <f>IF(('FSLPL Daily '!AE17-'FSLPL Daily '!AE16&lt;0), "0",'FSLPL Daily '!AE17-'FSLPL Daily '!AE16)</f>
        <v>1965</v>
      </c>
      <c r="T15" s="19">
        <f>IF(('FSLPL Daily '!AG17-'FSLPL Daily '!AG16&lt;0), "0",'FSLPL Daily '!AG17-'FSLPL Daily '!AG16)</f>
        <v>223</v>
      </c>
      <c r="U15" s="19">
        <f>IF(('FSLPL Daily '!AI17-'FSLPL Daily '!AI16&lt;0), "0",'FSLPL Daily '!AI17-'FSLPL Daily '!AI16)</f>
        <v>74</v>
      </c>
      <c r="V15" s="19">
        <f>IF(('FSLPL Daily '!AK17-'FSLPL Daily '!AK16&lt;0), "0",'FSLPL Daily '!AK17-'FSLPL Daily '!AK16)</f>
        <v>347</v>
      </c>
      <c r="W15" s="19">
        <f>IF(('FSLPL Daily '!AM17-'FSLPL Daily '!AM16&lt;0), "0",'FSLPL Daily '!AM17-'FSLPL Daily '!AM16)</f>
        <v>602</v>
      </c>
      <c r="X15" s="19">
        <f>IF(('FSLPL Daily '!AO17-'FSLPL Daily '!AO16&lt;0), "0",'FSLPL Daily '!AO17-'FSLPL Daily '!AO16)</f>
        <v>651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20</v>
      </c>
      <c r="AB15" s="19" t="str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2461</v>
      </c>
      <c r="AD15" s="19">
        <f>IF(('FSLPL Daily '!BB17-'FSLPL Daily '!BB16&lt;0), "0",'FSLPL Daily '!BB17-'FSLPL Daily '!BB16)</f>
        <v>1135</v>
      </c>
      <c r="AE15" s="19">
        <f>'FSLPL Daily '!BD17</f>
        <v>107</v>
      </c>
      <c r="AF15" s="19">
        <f>'FSLPL Daily '!BE17</f>
        <v>158</v>
      </c>
    </row>
    <row r="16" spans="1:32" x14ac:dyDescent="0.25">
      <c r="A16" s="16" t="s">
        <v>52</v>
      </c>
      <c r="B16" s="7">
        <f t="shared" si="0"/>
        <v>15</v>
      </c>
      <c r="C16" s="7">
        <v>2</v>
      </c>
      <c r="D16" s="7">
        <v>2020</v>
      </c>
      <c r="E16" s="19">
        <f>IF(('FSLPL Daily '!C18-'FSLPL Daily '!C17&lt;0), "0",'FSLPL Daily '!C18-'FSLPL Daily '!C17)</f>
        <v>7671</v>
      </c>
      <c r="F16" s="19">
        <f>IF(('FSLPL Daily '!E18-'FSLPL Daily '!E17&lt;0), "0",'FSLPL Daily '!E18-'FSLPL Daily '!E17)</f>
        <v>5681</v>
      </c>
      <c r="G16" s="19">
        <f>IF(('FSLPL Daily '!G18-'FSLPL Daily '!G17&lt;0), "0",'FSLPL Daily '!G18-'FSLPL Daily '!G17)</f>
        <v>3959</v>
      </c>
      <c r="H16" s="19">
        <f>IF(('FSLPL Daily '!I18-'FSLPL Daily '!I17&lt;0), "0",'FSLPL Daily '!I18-'FSLPL Daily '!I17)</f>
        <v>470</v>
      </c>
      <c r="I16" s="19">
        <f>IF(('FSLPL Daily '!K18-'FSLPL Daily '!K17&lt;0), "0",'FSLPL Daily '!K18-'FSLPL Daily '!K17)</f>
        <v>818</v>
      </c>
      <c r="J16" s="19">
        <f>IF(('FSLPL Daily '!M18-'FSLPL Daily '!M17&lt;0), "0",'FSLPL Daily '!M18-'FSLPL Daily '!M17)</f>
        <v>1167</v>
      </c>
      <c r="K16" s="19">
        <f>IF(('FSLPL Daily '!O18-'FSLPL Daily '!O17&lt;0), "0",'FSLPL Daily '!O18-'FSLPL Daily '!O17)</f>
        <v>626</v>
      </c>
      <c r="L16" s="19">
        <f>IF(('FSLPL Daily '!Q18-'FSLPL Daily '!Q17&lt;0), "0",'FSLPL Daily '!Q18-'FSLPL Daily '!Q17)</f>
        <v>365</v>
      </c>
      <c r="M16" s="19">
        <f>IF(('FSLPL Daily '!S18-'FSLPL Daily '!S17&lt;0), "0",'FSLPL Daily '!S18-'FSLPL Daily '!S17)</f>
        <v>85</v>
      </c>
      <c r="N16" s="19">
        <f>IF(('FSLPL Daily '!U18-'FSLPL Daily '!U17&lt;0), "0",'FSLPL Daily '!U18-'FSLPL Daily '!U17)</f>
        <v>1018</v>
      </c>
      <c r="O16" s="19">
        <f>IF(('FSLPL Daily '!W18-'FSLPL Daily '!W17&lt;0), "0",'FSLPL Daily '!W18-'FSLPL Daily '!W17)</f>
        <v>116</v>
      </c>
      <c r="P16" s="19">
        <f>IF(('FSLPL Daily '!Y18-'FSLPL Daily '!Y17&lt;0), "0",'FSLPL Daily '!Y18-'FSLPL Daily '!Y17)</f>
        <v>1126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1465</v>
      </c>
      <c r="S16" s="19">
        <f>IF(('FSLPL Daily '!AE18-'FSLPL Daily '!AE17&lt;0), "0",'FSLPL Daily '!AE18-'FSLPL Daily '!AE17)</f>
        <v>2018</v>
      </c>
      <c r="T16" s="19">
        <f>IF(('FSLPL Daily '!AG18-'FSLPL Daily '!AG17&lt;0), "0",'FSLPL Daily '!AG18-'FSLPL Daily '!AG17)</f>
        <v>232</v>
      </c>
      <c r="U16" s="19">
        <f>IF(('FSLPL Daily '!AI18-'FSLPL Daily '!AI17&lt;0), "0",'FSLPL Daily '!AI18-'FSLPL Daily '!AI17)</f>
        <v>77</v>
      </c>
      <c r="V16" s="19">
        <f>IF(('FSLPL Daily '!AK18-'FSLPL Daily '!AK17&lt;0), "0",'FSLPL Daily '!AK18-'FSLPL Daily '!AK17)</f>
        <v>359</v>
      </c>
      <c r="W16" s="19">
        <f>IF(('FSLPL Daily '!AM18-'FSLPL Daily '!AM17&lt;0), "0",'FSLPL Daily '!AM18-'FSLPL Daily '!AM17)</f>
        <v>604</v>
      </c>
      <c r="X16" s="19">
        <f>IF(('FSLPL Daily '!AO18-'FSLPL Daily '!AO17&lt;0), "0",'FSLPL Daily '!AO18-'FSLPL Daily '!AO17)</f>
        <v>675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21</v>
      </c>
      <c r="AB16" s="19">
        <f>IF(('FSLPL Daily '!AX18-'FSLPL Daily '!AX17&lt;0), "0",'FSLPL Daily '!AX18-'FSLPL Daily '!AX17)</f>
        <v>2</v>
      </c>
      <c r="AC16" s="19">
        <f>IF(('FSLPL Daily '!AZ18-'FSLPL Daily '!AZ17&lt;0), "0",'FSLPL Daily '!AZ18-'FSLPL Daily '!AZ17)</f>
        <v>2161</v>
      </c>
      <c r="AD16" s="19">
        <f>IF(('FSLPL Daily '!BB18-'FSLPL Daily '!BB17&lt;0), "0",'FSLPL Daily '!BB18-'FSLPL Daily '!BB17)</f>
        <v>1120</v>
      </c>
      <c r="AE16" s="19">
        <f>'FSLPL Daily '!BD18</f>
        <v>105</v>
      </c>
      <c r="AF16" s="19">
        <f>'FSLPL Daily '!BE18</f>
        <v>150</v>
      </c>
    </row>
    <row r="17" spans="1:32" x14ac:dyDescent="0.25">
      <c r="A17" s="16" t="s">
        <v>52</v>
      </c>
      <c r="B17" s="7">
        <f t="shared" si="0"/>
        <v>16</v>
      </c>
      <c r="C17" s="7">
        <v>2</v>
      </c>
      <c r="D17" s="7">
        <v>2020</v>
      </c>
      <c r="E17" s="19">
        <f>IF(('FSLPL Daily '!C19-'FSLPL Daily '!C18&lt;0), "0",'FSLPL Daily '!C19-'FSLPL Daily '!C18)</f>
        <v>7322</v>
      </c>
      <c r="F17" s="19">
        <f>IF(('FSLPL Daily '!E19-'FSLPL Daily '!E18&lt;0), "0",'FSLPL Daily '!E19-'FSLPL Daily '!E18)</f>
        <v>5361</v>
      </c>
      <c r="G17" s="19">
        <f>IF(('FSLPL Daily '!G19-'FSLPL Daily '!G18&lt;0), "0",'FSLPL Daily '!G19-'FSLPL Daily '!G18)</f>
        <v>3945</v>
      </c>
      <c r="H17" s="19">
        <f>IF(('FSLPL Daily '!I19-'FSLPL Daily '!I18&lt;0), "0",'FSLPL Daily '!I19-'FSLPL Daily '!I18)</f>
        <v>473</v>
      </c>
      <c r="I17" s="19">
        <f>IF(('FSLPL Daily '!K19-'FSLPL Daily '!K18&lt;0), "0",'FSLPL Daily '!K19-'FSLPL Daily '!K18)</f>
        <v>794</v>
      </c>
      <c r="J17" s="19">
        <f>IF(('FSLPL Daily '!M19-'FSLPL Daily '!M18&lt;0), "0",'FSLPL Daily '!M19-'FSLPL Daily '!M18)</f>
        <v>1196</v>
      </c>
      <c r="K17" s="19">
        <f>IF(('FSLPL Daily '!O19-'FSLPL Daily '!O18&lt;0), "0",'FSLPL Daily '!O19-'FSLPL Daily '!O18)</f>
        <v>584</v>
      </c>
      <c r="L17" s="19">
        <f>IF(('FSLPL Daily '!Q19-'FSLPL Daily '!Q18&lt;0), "0",'FSLPL Daily '!Q19-'FSLPL Daily '!Q18)</f>
        <v>339</v>
      </c>
      <c r="M17" s="19">
        <f>IF(('FSLPL Daily '!S19-'FSLPL Daily '!S18&lt;0), "0",'FSLPL Daily '!S19-'FSLPL Daily '!S18)</f>
        <v>84</v>
      </c>
      <c r="N17" s="19">
        <f>IF(('FSLPL Daily '!U19-'FSLPL Daily '!U18&lt;0), "0",'FSLPL Daily '!U19-'FSLPL Daily '!U18)</f>
        <v>811</v>
      </c>
      <c r="O17" s="19">
        <f>IF(('FSLPL Daily '!W19-'FSLPL Daily '!W18&lt;0), "0",'FSLPL Daily '!W19-'FSLPL Daily '!W18)</f>
        <v>94</v>
      </c>
      <c r="P17" s="19">
        <f>IF(('FSLPL Daily '!Y19-'FSLPL Daily '!Y18&lt;0), "0",'FSLPL Daily '!Y19-'FSLPL Daily '!Y18)</f>
        <v>1149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1469</v>
      </c>
      <c r="S17" s="19">
        <f>IF(('FSLPL Daily '!AE19-'FSLPL Daily '!AE18&lt;0), "0",'FSLPL Daily '!AE19-'FSLPL Daily '!AE18)</f>
        <v>1968</v>
      </c>
      <c r="T17" s="19">
        <f>IF(('FSLPL Daily '!AG19-'FSLPL Daily '!AG18&lt;0), "0",'FSLPL Daily '!AG19-'FSLPL Daily '!AG18)</f>
        <v>218</v>
      </c>
      <c r="U17" s="19">
        <f>IF(('FSLPL Daily '!AI19-'FSLPL Daily '!AI18&lt;0), "0",'FSLPL Daily '!AI19-'FSLPL Daily '!AI18)</f>
        <v>74</v>
      </c>
      <c r="V17" s="19">
        <f>IF(('FSLPL Daily '!AK19-'FSLPL Daily '!AK18&lt;0), "0",'FSLPL Daily '!AK19-'FSLPL Daily '!AK18)</f>
        <v>329</v>
      </c>
      <c r="W17" s="19">
        <f>IF(('FSLPL Daily '!AM19-'FSLPL Daily '!AM18&lt;0), "0",'FSLPL Daily '!AM19-'FSLPL Daily '!AM18)</f>
        <v>584</v>
      </c>
      <c r="X17" s="19">
        <f>IF(('FSLPL Daily '!AO19-'FSLPL Daily '!AO18&lt;0), "0",'FSLPL Daily '!AO19-'FSLPL Daily '!AO18)</f>
        <v>614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16</v>
      </c>
      <c r="AB17" s="19">
        <f>IF(('FSLPL Daily '!AX19-'FSLPL Daily '!AX18&lt;0), "0",'FSLPL Daily '!AX19-'FSLPL Daily '!AX18)</f>
        <v>3</v>
      </c>
      <c r="AC17" s="19">
        <f>IF(('FSLPL Daily '!AZ19-'FSLPL Daily '!AZ18&lt;0), "0",'FSLPL Daily '!AZ19-'FSLPL Daily '!AZ18)</f>
        <v>1044</v>
      </c>
      <c r="AD17" s="19">
        <f>IF(('FSLPL Daily '!BB19-'FSLPL Daily '!BB18&lt;0), "0",'FSLPL Daily '!BB19-'FSLPL Daily '!BB18)</f>
        <v>1137</v>
      </c>
      <c r="AE17" s="19">
        <f>'FSLPL Daily '!BD19</f>
        <v>120</v>
      </c>
      <c r="AF17" s="19">
        <f>'FSLPL Daily '!BE19</f>
        <v>156</v>
      </c>
    </row>
    <row r="18" spans="1:32" x14ac:dyDescent="0.25">
      <c r="A18" s="16" t="s">
        <v>52</v>
      </c>
      <c r="B18" s="7">
        <f t="shared" si="0"/>
        <v>17</v>
      </c>
      <c r="C18" s="7">
        <v>2</v>
      </c>
      <c r="D18" s="7">
        <v>2020</v>
      </c>
      <c r="E18" s="19">
        <f>IF(('FSLPL Daily '!C20-'FSLPL Daily '!C19&lt;0), "0",'FSLPL Daily '!C20-'FSLPL Daily '!C19)</f>
        <v>7524</v>
      </c>
      <c r="F18" s="19">
        <f>IF(('FSLPL Daily '!E20-'FSLPL Daily '!E19&lt;0), "0",'FSLPL Daily '!E20-'FSLPL Daily '!E19)</f>
        <v>5328</v>
      </c>
      <c r="G18" s="19">
        <f>IF(('FSLPL Daily '!G20-'FSLPL Daily '!G19&lt;0), "0",'FSLPL Daily '!G20-'FSLPL Daily '!G19)</f>
        <v>3937</v>
      </c>
      <c r="H18" s="19">
        <f>IF(('FSLPL Daily '!I20-'FSLPL Daily '!I19&lt;0), "0",'FSLPL Daily '!I20-'FSLPL Daily '!I19)</f>
        <v>467</v>
      </c>
      <c r="I18" s="19">
        <f>IF(('FSLPL Daily '!K20-'FSLPL Daily '!K19&lt;0), "0",'FSLPL Daily '!K20-'FSLPL Daily '!K19)</f>
        <v>816</v>
      </c>
      <c r="J18" s="19">
        <f>IF(('FSLPL Daily '!M20-'FSLPL Daily '!M19&lt;0), "0",'FSLPL Daily '!M20-'FSLPL Daily '!M19)</f>
        <v>1349</v>
      </c>
      <c r="K18" s="19">
        <f>IF(('FSLPL Daily '!O20-'FSLPL Daily '!O19&lt;0), "0",'FSLPL Daily '!O20-'FSLPL Daily '!O19)</f>
        <v>553</v>
      </c>
      <c r="L18" s="19">
        <f>IF(('FSLPL Daily '!Q20-'FSLPL Daily '!Q19&lt;0), "0",'FSLPL Daily '!Q20-'FSLPL Daily '!Q19)</f>
        <v>349</v>
      </c>
      <c r="M18" s="19">
        <f>IF(('FSLPL Daily '!S20-'FSLPL Daily '!S19&lt;0), "0",'FSLPL Daily '!S20-'FSLPL Daily '!S19)</f>
        <v>79</v>
      </c>
      <c r="N18" s="19">
        <f>IF(('FSLPL Daily '!U20-'FSLPL Daily '!U19&lt;0), "0",'FSLPL Daily '!U20-'FSLPL Daily '!U19)</f>
        <v>903</v>
      </c>
      <c r="O18" s="19">
        <f>IF(('FSLPL Daily '!W20-'FSLPL Daily '!W19&lt;0), "0",'FSLPL Daily '!W20-'FSLPL Daily '!W19)</f>
        <v>126</v>
      </c>
      <c r="P18" s="19">
        <f>IF(('FSLPL Daily '!Y20-'FSLPL Daily '!Y19&lt;0), "0",'FSLPL Daily '!Y20-'FSLPL Daily '!Y19)</f>
        <v>1023</v>
      </c>
      <c r="Q18" s="19">
        <f>IF(('FSLPL Daily '!AA20-'FSLPL Daily '!AA19&lt;0), "0",'FSLPL Daily '!AA20-'FSLPL Daily '!AA19)</f>
        <v>3</v>
      </c>
      <c r="R18" s="19">
        <f>IF(('FSLPL Daily '!AC20-'FSLPL Daily '!AC19&lt;0), "0",'FSLPL Daily '!AC20-'FSLPL Daily '!AC19)</f>
        <v>1367</v>
      </c>
      <c r="S18" s="19">
        <f>IF(('FSLPL Daily '!AE20-'FSLPL Daily '!AE19&lt;0), "0",'FSLPL Daily '!AE20-'FSLPL Daily '!AE19)</f>
        <v>1970</v>
      </c>
      <c r="T18" s="19">
        <f>IF(('FSLPL Daily '!AG20-'FSLPL Daily '!AG19&lt;0), "0",'FSLPL Daily '!AG20-'FSLPL Daily '!AG19)</f>
        <v>233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340</v>
      </c>
      <c r="W18" s="19">
        <f>IF(('FSLPL Daily '!AM20-'FSLPL Daily '!AM19&lt;0), "0",'FSLPL Daily '!AM20-'FSLPL Daily '!AM19)</f>
        <v>599</v>
      </c>
      <c r="X18" s="19">
        <f>IF(('FSLPL Daily '!AO20-'FSLPL Daily '!AO19&lt;0), "0",'FSLPL Daily '!AO20-'FSLPL Daily '!AO19)</f>
        <v>681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19</v>
      </c>
      <c r="AB18" s="19">
        <f>IF(('FSLPL Daily '!AX20-'FSLPL Daily '!AX19&lt;0), "0",'FSLPL Daily '!AX20-'FSLPL Daily '!AX19)</f>
        <v>2</v>
      </c>
      <c r="AC18" s="19">
        <f>IF(('FSLPL Daily '!AZ20-'FSLPL Daily '!AZ19&lt;0), "0",'FSLPL Daily '!AZ20-'FSLPL Daily '!AZ19)</f>
        <v>3222</v>
      </c>
      <c r="AD18" s="19">
        <f>IF(('FSLPL Daily '!BB20-'FSLPL Daily '!BB19&lt;0), "0",'FSLPL Daily '!BB20-'FSLPL Daily '!BB19)</f>
        <v>1137</v>
      </c>
      <c r="AE18" s="19">
        <f>'FSLPL Daily '!BD20</f>
        <v>123</v>
      </c>
      <c r="AF18" s="19">
        <f>'FSLPL Daily '!BE20</f>
        <v>150</v>
      </c>
    </row>
    <row r="19" spans="1:32" x14ac:dyDescent="0.25">
      <c r="A19" s="16" t="s">
        <v>52</v>
      </c>
      <c r="B19" s="7">
        <f t="shared" si="0"/>
        <v>18</v>
      </c>
      <c r="C19" s="7">
        <v>2</v>
      </c>
      <c r="D19" s="7">
        <v>2020</v>
      </c>
      <c r="E19" s="19">
        <f>IF(('FSLPL Daily '!C21-'FSLPL Daily '!C20&lt;0), "0",'FSLPL Daily '!C21-'FSLPL Daily '!C20)</f>
        <v>7605</v>
      </c>
      <c r="F19" s="19">
        <f>IF(('FSLPL Daily '!E21-'FSLPL Daily '!E20&lt;0), "0",'FSLPL Daily '!E21-'FSLPL Daily '!E20)</f>
        <v>5366</v>
      </c>
      <c r="G19" s="19">
        <f>IF(('FSLPL Daily '!G21-'FSLPL Daily '!G20&lt;0), "0",'FSLPL Daily '!G21-'FSLPL Daily '!G20)</f>
        <v>3970</v>
      </c>
      <c r="H19" s="19">
        <f>IF(('FSLPL Daily '!I21-'FSLPL Daily '!I20&lt;0), "0",'FSLPL Daily '!I21-'FSLPL Daily '!I20)</f>
        <v>420</v>
      </c>
      <c r="I19" s="19">
        <f>IF(('FSLPL Daily '!K21-'FSLPL Daily '!K20&lt;0), "0",'FSLPL Daily '!K21-'FSLPL Daily '!K20)</f>
        <v>801</v>
      </c>
      <c r="J19" s="19">
        <f>IF(('FSLPL Daily '!M21-'FSLPL Daily '!M20&lt;0), "0",'FSLPL Daily '!M21-'FSLPL Daily '!M20)</f>
        <v>1161</v>
      </c>
      <c r="K19" s="19">
        <f>IF(('FSLPL Daily '!O21-'FSLPL Daily '!O20&lt;0), "0",'FSLPL Daily '!O21-'FSLPL Daily '!O20)</f>
        <v>550</v>
      </c>
      <c r="L19" s="19">
        <f>IF(('FSLPL Daily '!Q21-'FSLPL Daily '!Q20&lt;0), "0",'FSLPL Daily '!Q21-'FSLPL Daily '!Q20)</f>
        <v>351</v>
      </c>
      <c r="M19" s="19">
        <f>IF(('FSLPL Daily '!S21-'FSLPL Daily '!S20&lt;0), "0",'FSLPL Daily '!S21-'FSLPL Daily '!S20)</f>
        <v>91</v>
      </c>
      <c r="N19" s="19">
        <f>IF(('FSLPL Daily '!U21-'FSLPL Daily '!U20&lt;0), "0",'FSLPL Daily '!U21-'FSLPL Daily '!U20)</f>
        <v>1054</v>
      </c>
      <c r="O19" s="19">
        <f>IF(('FSLPL Daily '!W21-'FSLPL Daily '!W20&lt;0), "0",'FSLPL Daily '!W21-'FSLPL Daily '!W20)</f>
        <v>263</v>
      </c>
      <c r="P19" s="19">
        <f>IF(('FSLPL Daily '!Y21-'FSLPL Daily '!Y20&lt;0), "0",'FSLPL Daily '!Y21-'FSLPL Daily '!Y20)</f>
        <v>1000</v>
      </c>
      <c r="Q19" s="19">
        <f>IF(('FSLPL Daily '!AA21-'FSLPL Daily '!AA20&lt;0), "0",'FSLPL Daily '!AA21-'FSLPL Daily '!AA20)</f>
        <v>2</v>
      </c>
      <c r="R19" s="19">
        <f>IF(('FSLPL Daily '!AC21-'FSLPL Daily '!AC20&lt;0), "0",'FSLPL Daily '!AC21-'FSLPL Daily '!AC20)</f>
        <v>1456</v>
      </c>
      <c r="S19" s="19">
        <f>IF(('FSLPL Daily '!AE21-'FSLPL Daily '!AE20&lt;0), "0",'FSLPL Daily '!AE21-'FSLPL Daily '!AE20)</f>
        <v>1910</v>
      </c>
      <c r="T19" s="19">
        <f>IF(('FSLPL Daily '!AG21-'FSLPL Daily '!AG20&lt;0), "0",'FSLPL Daily '!AG21-'FSLPL Daily '!AG20)</f>
        <v>242</v>
      </c>
      <c r="U19" s="19">
        <f>IF(('FSLPL Daily '!AI21-'FSLPL Daily '!AI20&lt;0), "0",'FSLPL Daily '!AI21-'FSLPL Daily '!AI20)</f>
        <v>72</v>
      </c>
      <c r="V19" s="19">
        <f>IF(('FSLPL Daily '!AK21-'FSLPL Daily '!AK20&lt;0), "0",'FSLPL Daily '!AK21-'FSLPL Daily '!AK20)</f>
        <v>338</v>
      </c>
      <c r="W19" s="19">
        <f>IF(('FSLPL Daily '!AM21-'FSLPL Daily '!AM20&lt;0), "0",'FSLPL Daily '!AM21-'FSLPL Daily '!AM20)</f>
        <v>592</v>
      </c>
      <c r="X19" s="19">
        <f>IF(('FSLPL Daily '!AO21-'FSLPL Daily '!AO20&lt;0), "0",'FSLPL Daily '!AO21-'FSLPL Daily '!AO20)</f>
        <v>697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24</v>
      </c>
      <c r="AB19" s="19">
        <f>IF(('FSLPL Daily '!AX21-'FSLPL Daily '!AX20&lt;0), "0",'FSLPL Daily '!AX21-'FSLPL Daily '!AX20)</f>
        <v>3</v>
      </c>
      <c r="AC19" s="19">
        <f>IF(('FSLPL Daily '!AZ21-'FSLPL Daily '!AZ20&lt;0), "0",'FSLPL Daily '!AZ21-'FSLPL Daily '!AZ20)</f>
        <v>2326</v>
      </c>
      <c r="AD19" s="19">
        <f>IF(('FSLPL Daily '!BB21-'FSLPL Daily '!BB20&lt;0), "0",'FSLPL Daily '!BB21-'FSLPL Daily '!BB20)</f>
        <v>1123</v>
      </c>
      <c r="AE19" s="19">
        <f>'FSLPL Daily '!BD21</f>
        <v>110</v>
      </c>
      <c r="AF19" s="19">
        <f>'FSLPL Daily '!BE21</f>
        <v>133</v>
      </c>
    </row>
    <row r="20" spans="1:32" x14ac:dyDescent="0.25">
      <c r="A20" s="16" t="s">
        <v>52</v>
      </c>
      <c r="B20" s="7">
        <f t="shared" si="0"/>
        <v>19</v>
      </c>
      <c r="C20" s="7">
        <v>2</v>
      </c>
      <c r="D20" s="7">
        <v>2020</v>
      </c>
      <c r="E20" s="19">
        <f>IF(('FSLPL Daily '!C22-'FSLPL Daily '!C21&lt;0), "0",'FSLPL Daily '!C22-'FSLPL Daily '!C21)</f>
        <v>7713</v>
      </c>
      <c r="F20" s="19">
        <f>IF(('FSLPL Daily '!E22-'FSLPL Daily '!E21&lt;0), "0",'FSLPL Daily '!E22-'FSLPL Daily '!E21)</f>
        <v>5513</v>
      </c>
      <c r="G20" s="19">
        <f>IF(('FSLPL Daily '!G22-'FSLPL Daily '!G21&lt;0), "0",'FSLPL Daily '!G22-'FSLPL Daily '!G21)</f>
        <v>3640</v>
      </c>
      <c r="H20" s="19">
        <f>IF(('FSLPL Daily '!I22-'FSLPL Daily '!I21&lt;0), "0",'FSLPL Daily '!I22-'FSLPL Daily '!I21)</f>
        <v>432</v>
      </c>
      <c r="I20" s="19">
        <f>IF(('FSLPL Daily '!K22-'FSLPL Daily '!K21&lt;0), "0",'FSLPL Daily '!K22-'FSLPL Daily '!K21)</f>
        <v>799</v>
      </c>
      <c r="J20" s="19">
        <f>IF(('FSLPL Daily '!M22-'FSLPL Daily '!M21&lt;0), "0",'FSLPL Daily '!M22-'FSLPL Daily '!M21)</f>
        <v>1251</v>
      </c>
      <c r="K20" s="19">
        <f>IF(('FSLPL Daily '!O22-'FSLPL Daily '!O21&lt;0), "0",'FSLPL Daily '!O22-'FSLPL Daily '!O21)</f>
        <v>544</v>
      </c>
      <c r="L20" s="19">
        <f>IF(('FSLPL Daily '!Q22-'FSLPL Daily '!Q21&lt;0), "0",'FSLPL Daily '!Q22-'FSLPL Daily '!Q21)</f>
        <v>380</v>
      </c>
      <c r="M20" s="19">
        <f>IF(('FSLPL Daily '!S22-'FSLPL Daily '!S21&lt;0), "0",'FSLPL Daily '!S22-'FSLPL Daily '!S21)</f>
        <v>85</v>
      </c>
      <c r="N20" s="19">
        <f>IF(('FSLPL Daily '!U22-'FSLPL Daily '!U21&lt;0), "0",'FSLPL Daily '!U22-'FSLPL Daily '!U21)</f>
        <v>1124</v>
      </c>
      <c r="O20" s="19">
        <f>IF(('FSLPL Daily '!W22-'FSLPL Daily '!W21&lt;0), "0",'FSLPL Daily '!W22-'FSLPL Daily '!W21)</f>
        <v>219</v>
      </c>
      <c r="P20" s="19">
        <f>IF(('FSLPL Daily '!Y22-'FSLPL Daily '!Y21&lt;0), "0",'FSLPL Daily '!Y22-'FSLPL Daily '!Y21)</f>
        <v>961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1442</v>
      </c>
      <c r="S20" s="19">
        <f>IF(('FSLPL Daily '!AE22-'FSLPL Daily '!AE21&lt;0), "0",'FSLPL Daily '!AE22-'FSLPL Daily '!AE21)</f>
        <v>1973</v>
      </c>
      <c r="T20" s="19">
        <f>IF(('FSLPL Daily '!AG22-'FSLPL Daily '!AG21&lt;0), "0",'FSLPL Daily '!AG22-'FSLPL Daily '!AG21)</f>
        <v>230</v>
      </c>
      <c r="U20" s="19">
        <f>IF(('FSLPL Daily '!AI22-'FSLPL Daily '!AI21&lt;0), "0",'FSLPL Daily '!AI22-'FSLPL Daily '!AI21)</f>
        <v>75</v>
      </c>
      <c r="V20" s="19">
        <f>IF(('FSLPL Daily '!AK22-'FSLPL Daily '!AK21&lt;0), "0",'FSLPL Daily '!AK22-'FSLPL Daily '!AK21)</f>
        <v>329</v>
      </c>
      <c r="W20" s="19">
        <f>IF(('FSLPL Daily '!AM22-'FSLPL Daily '!AM21&lt;0), "0",'FSLPL Daily '!AM22-'FSLPL Daily '!AM21)</f>
        <v>584</v>
      </c>
      <c r="X20" s="19">
        <f>IF(('FSLPL Daily '!AO22-'FSLPL Daily '!AO21&lt;0), "0",'FSLPL Daily '!AO22-'FSLPL Daily '!AO21)</f>
        <v>647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19</v>
      </c>
      <c r="AB20" s="19">
        <f>IF(('FSLPL Daily '!AX22-'FSLPL Daily '!AX21&lt;0), "0",'FSLPL Daily '!AX22-'FSLPL Daily '!AX21)</f>
        <v>2</v>
      </c>
      <c r="AC20" s="19">
        <f>IF(('FSLPL Daily '!AZ22-'FSLPL Daily '!AZ21&lt;0), "0",'FSLPL Daily '!AZ22-'FSLPL Daily '!AZ21)</f>
        <v>2341</v>
      </c>
      <c r="AD20" s="19">
        <f>IF(('FSLPL Daily '!BB22-'FSLPL Daily '!BB21&lt;0), "0",'FSLPL Daily '!BB22-'FSLPL Daily '!BB21)</f>
        <v>1026</v>
      </c>
      <c r="AE20" s="19">
        <f>'FSLPL Daily '!BD22</f>
        <v>112</v>
      </c>
      <c r="AF20" s="19">
        <f>'FSLPL Daily '!BE22</f>
        <v>137</v>
      </c>
    </row>
    <row r="21" spans="1:32" x14ac:dyDescent="0.25">
      <c r="A21" s="16" t="s">
        <v>52</v>
      </c>
      <c r="B21" s="7">
        <f t="shared" si="0"/>
        <v>20</v>
      </c>
      <c r="C21" s="7">
        <v>2</v>
      </c>
      <c r="D21" s="7">
        <v>2020</v>
      </c>
      <c r="E21" s="19">
        <f>IF(('FSLPL Daily '!C23-'FSLPL Daily '!C22&lt;0), "0",'FSLPL Daily '!C23-'FSLPL Daily '!C22)</f>
        <v>7867</v>
      </c>
      <c r="F21" s="19">
        <f>IF(('FSLPL Daily '!E23-'FSLPL Daily '!E22&lt;0), "0",'FSLPL Daily '!E23-'FSLPL Daily '!E22)</f>
        <v>5216</v>
      </c>
      <c r="G21" s="19">
        <f>IF(('FSLPL Daily '!G23-'FSLPL Daily '!G22&lt;0), "0",'FSLPL Daily '!G23-'FSLPL Daily '!G22)</f>
        <v>3895</v>
      </c>
      <c r="H21" s="19">
        <f>IF(('FSLPL Daily '!I23-'FSLPL Daily '!I22&lt;0), "0",'FSLPL Daily '!I23-'FSLPL Daily '!I22)</f>
        <v>472</v>
      </c>
      <c r="I21" s="19">
        <f>IF(('FSLPL Daily '!K23-'FSLPL Daily '!K22&lt;0), "0",'FSLPL Daily '!K23-'FSLPL Daily '!K22)</f>
        <v>809</v>
      </c>
      <c r="J21" s="19">
        <f>IF(('FSLPL Daily '!M23-'FSLPL Daily '!M22&lt;0), "0",'FSLPL Daily '!M23-'FSLPL Daily '!M22)</f>
        <v>1293</v>
      </c>
      <c r="K21" s="19">
        <f>IF(('FSLPL Daily '!O23-'FSLPL Daily '!O22&lt;0), "0",'FSLPL Daily '!O23-'FSLPL Daily '!O22)</f>
        <v>566</v>
      </c>
      <c r="L21" s="19">
        <f>IF(('FSLPL Daily '!Q23-'FSLPL Daily '!Q22&lt;0), "0",'FSLPL Daily '!Q23-'FSLPL Daily '!Q22)</f>
        <v>337</v>
      </c>
      <c r="M21" s="19">
        <f>IF(('FSLPL Daily '!S23-'FSLPL Daily '!S22&lt;0), "0",'FSLPL Daily '!S23-'FSLPL Daily '!S22)</f>
        <v>84</v>
      </c>
      <c r="N21" s="19">
        <f>IF(('FSLPL Daily '!U23-'FSLPL Daily '!U22&lt;0), "0",'FSLPL Daily '!U23-'FSLPL Daily '!U22)</f>
        <v>1200</v>
      </c>
      <c r="O21" s="19">
        <f>IF(('FSLPL Daily '!W23-'FSLPL Daily '!W22&lt;0), "0",'FSLPL Daily '!W23-'FSLPL Daily '!W22)</f>
        <v>202</v>
      </c>
      <c r="P21" s="19">
        <f>IF(('FSLPL Daily '!Y23-'FSLPL Daily '!Y22&lt;0), "0",'FSLPL Daily '!Y23-'FSLPL Daily '!Y22)</f>
        <v>987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1435</v>
      </c>
      <c r="S21" s="19">
        <f>IF(('FSLPL Daily '!AE23-'FSLPL Daily '!AE22&lt;0), "0",'FSLPL Daily '!AE23-'FSLPL Daily '!AE22)</f>
        <v>1962</v>
      </c>
      <c r="T21" s="19">
        <f>IF(('FSLPL Daily '!AG23-'FSLPL Daily '!AG22&lt;0), "0",'FSLPL Daily '!AG23-'FSLPL Daily '!AG22)</f>
        <v>228</v>
      </c>
      <c r="U21" s="19">
        <f>IF(('FSLPL Daily '!AI23-'FSLPL Daily '!AI22&lt;0), "0",'FSLPL Daily '!AI23-'FSLPL Daily '!AI22)</f>
        <v>75</v>
      </c>
      <c r="V21" s="19">
        <f>IF(('FSLPL Daily '!AK23-'FSLPL Daily '!AK22&lt;0), "0",'FSLPL Daily '!AK23-'FSLPL Daily '!AK22)</f>
        <v>329</v>
      </c>
      <c r="W21" s="19">
        <f>IF(('FSLPL Daily '!AM23-'FSLPL Daily '!AM22&lt;0), "0",'FSLPL Daily '!AM23-'FSLPL Daily '!AM22)</f>
        <v>592</v>
      </c>
      <c r="X21" s="19">
        <f>IF(('FSLPL Daily '!AO23-'FSLPL Daily '!AO22&lt;0), "0",'FSLPL Daily '!AO23-'FSLPL Daily '!AO22)</f>
        <v>573</v>
      </c>
      <c r="Y21" s="19">
        <f>'FSLPL Daily '!AS23</f>
        <v>290</v>
      </c>
      <c r="Z21" s="19">
        <f>'FSLPL Daily '!AU23</f>
        <v>685</v>
      </c>
      <c r="AA21" s="19">
        <f>IF(('FSLPL Daily '!AV23-'FSLPL Daily '!AV22&lt;0), "0",'FSLPL Daily '!AV23-'FSLPL Daily '!AV22)</f>
        <v>16</v>
      </c>
      <c r="AB21" s="19">
        <f>IF(('FSLPL Daily '!AX23-'FSLPL Daily '!AX22&lt;0), "0",'FSLPL Daily '!AX23-'FSLPL Daily '!AX22)</f>
        <v>2</v>
      </c>
      <c r="AC21" s="19">
        <f>IF(('FSLPL Daily '!AZ23-'FSLPL Daily '!AZ22&lt;0), "0",'FSLPL Daily '!AZ23-'FSLPL Daily '!AZ22)</f>
        <v>2222</v>
      </c>
      <c r="AD21" s="19">
        <f>IF(('FSLPL Daily '!BB23-'FSLPL Daily '!BB22&lt;0), "0",'FSLPL Daily '!BB23-'FSLPL Daily '!BB22)</f>
        <v>1091</v>
      </c>
      <c r="AE21" s="19">
        <f>'FSLPL Daily '!BD23</f>
        <v>76</v>
      </c>
      <c r="AF21" s="19">
        <f>'FSLPL Daily '!BE23</f>
        <v>103</v>
      </c>
    </row>
    <row r="22" spans="1:32" x14ac:dyDescent="0.25">
      <c r="A22" s="16" t="s">
        <v>52</v>
      </c>
      <c r="B22" s="7">
        <f t="shared" si="0"/>
        <v>21</v>
      </c>
      <c r="C22" s="7">
        <v>2</v>
      </c>
      <c r="D22" s="7">
        <v>2020</v>
      </c>
      <c r="E22" s="19">
        <f>IF(('FSLPL Daily '!C24-'FSLPL Daily '!C23&lt;0), "0",'FSLPL Daily '!C24-'FSLPL Daily '!C23)</f>
        <v>7741</v>
      </c>
      <c r="F22" s="19">
        <f>IF(('FSLPL Daily '!E24-'FSLPL Daily '!E23&lt;0), "0",'FSLPL Daily '!E24-'FSLPL Daily '!E23)</f>
        <v>5342</v>
      </c>
      <c r="G22" s="19">
        <f>IF(('FSLPL Daily '!G24-'FSLPL Daily '!G23&lt;0), "0",'FSLPL Daily '!G24-'FSLPL Daily '!G23)</f>
        <v>3984</v>
      </c>
      <c r="H22" s="19">
        <f>IF(('FSLPL Daily '!I24-'FSLPL Daily '!I23&lt;0), "0",'FSLPL Daily '!I24-'FSLPL Daily '!I23)</f>
        <v>507</v>
      </c>
      <c r="I22" s="19">
        <f>IF(('FSLPL Daily '!K24-'FSLPL Daily '!K23&lt;0), "0",'FSLPL Daily '!K24-'FSLPL Daily '!K23)</f>
        <v>826</v>
      </c>
      <c r="J22" s="19">
        <f>IF(('FSLPL Daily '!M24-'FSLPL Daily '!M23&lt;0), "0",'FSLPL Daily '!M24-'FSLPL Daily '!M23)</f>
        <v>1219</v>
      </c>
      <c r="K22" s="19">
        <f>IF(('FSLPL Daily '!O24-'FSLPL Daily '!O23&lt;0), "0",'FSLPL Daily '!O24-'FSLPL Daily '!O23)</f>
        <v>585</v>
      </c>
      <c r="L22" s="19">
        <f>IF(('FSLPL Daily '!Q24-'FSLPL Daily '!Q23&lt;0), "0",'FSLPL Daily '!Q24-'FSLPL Daily '!Q23)</f>
        <v>350</v>
      </c>
      <c r="M22" s="19">
        <f>IF(('FSLPL Daily '!S24-'FSLPL Daily '!S23&lt;0), "0",'FSLPL Daily '!S24-'FSLPL Daily '!S23)</f>
        <v>86</v>
      </c>
      <c r="N22" s="19">
        <f>IF(('FSLPL Daily '!U24-'FSLPL Daily '!U23&lt;0), "0",'FSLPL Daily '!U24-'FSLPL Daily '!U23)</f>
        <v>1159</v>
      </c>
      <c r="O22" s="19">
        <f>IF(('FSLPL Daily '!W24-'FSLPL Daily '!W23&lt;0), "0",'FSLPL Daily '!W24-'FSLPL Daily '!W23)</f>
        <v>201</v>
      </c>
      <c r="P22" s="19">
        <f>IF(('FSLPL Daily '!Y24-'FSLPL Daily '!Y23&lt;0), "0",'FSLPL Daily '!Y24-'FSLPL Daily '!Y23)</f>
        <v>903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1465</v>
      </c>
      <c r="S22" s="19">
        <f>IF(('FSLPL Daily '!AE24-'FSLPL Daily '!AE23&lt;0), "0",'FSLPL Daily '!AE24-'FSLPL Daily '!AE23)</f>
        <v>2007</v>
      </c>
      <c r="T22" s="19">
        <f>IF(('FSLPL Daily '!AG24-'FSLPL Daily '!AG23&lt;0), "0",'FSLPL Daily '!AG24-'FSLPL Daily '!AG23)</f>
        <v>232</v>
      </c>
      <c r="U22" s="19">
        <f>IF(('FSLPL Daily '!AI24-'FSLPL Daily '!AI23&lt;0), "0",'FSLPL Daily '!AI24-'FSLPL Daily '!AI23)</f>
        <v>77</v>
      </c>
      <c r="V22" s="19">
        <f>IF(('FSLPL Daily '!AK24-'FSLPL Daily '!AK23&lt;0), "0",'FSLPL Daily '!AK24-'FSLPL Daily '!AK23)</f>
        <v>322</v>
      </c>
      <c r="W22" s="19">
        <f>IF(('FSLPL Daily '!AM24-'FSLPL Daily '!AM23&lt;0), "0",'FSLPL Daily '!AM24-'FSLPL Daily '!AM23)</f>
        <v>609</v>
      </c>
      <c r="X22" s="19">
        <f>IF(('FSLPL Daily '!AO24-'FSLPL Daily '!AO23&lt;0), "0",'FSLPL Daily '!AO24-'FSLPL Daily '!AO23)</f>
        <v>666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21</v>
      </c>
      <c r="AB22" s="19">
        <f>IF(('FSLPL Daily '!AX24-'FSLPL Daily '!AX23&lt;0), "0",'FSLPL Daily '!AX24-'FSLPL Daily '!AX23)</f>
        <v>3</v>
      </c>
      <c r="AC22" s="19">
        <f>IF(('FSLPL Daily '!AZ24-'FSLPL Daily '!AZ23&lt;0), "0",'FSLPL Daily '!AZ24-'FSLPL Daily '!AZ23)</f>
        <v>2327</v>
      </c>
      <c r="AD22" s="19">
        <f>IF(('FSLPL Daily '!BB24-'FSLPL Daily '!BB23&lt;0), "0",'FSLPL Daily '!BB24-'FSLPL Daily '!BB23)</f>
        <v>1125</v>
      </c>
      <c r="AE22" s="19">
        <f>'FSLPL Daily '!BD24</f>
        <v>72</v>
      </c>
      <c r="AF22" s="19">
        <f>'FSLPL Daily '!BE24</f>
        <v>107</v>
      </c>
    </row>
    <row r="23" spans="1:32" x14ac:dyDescent="0.25">
      <c r="A23" s="16" t="s">
        <v>52</v>
      </c>
      <c r="B23" s="7">
        <f t="shared" si="0"/>
        <v>22</v>
      </c>
      <c r="C23" s="7">
        <v>2</v>
      </c>
      <c r="D23" s="7">
        <v>2020</v>
      </c>
      <c r="E23" s="19">
        <f>IF(('FSLPL Daily '!C25-'FSLPL Daily '!C24&lt;0), "0",'FSLPL Daily '!C25-'FSLPL Daily '!C24)</f>
        <v>7506</v>
      </c>
      <c r="F23" s="19">
        <f>IF(('FSLPL Daily '!E25-'FSLPL Daily '!E24&lt;0), "0",'FSLPL Daily '!E25-'FSLPL Daily '!E24)</f>
        <v>5195</v>
      </c>
      <c r="G23" s="19">
        <f>IF(('FSLPL Daily '!G25-'FSLPL Daily '!G24&lt;0), "0",'FSLPL Daily '!G25-'FSLPL Daily '!G24)</f>
        <v>3912</v>
      </c>
      <c r="H23" s="19">
        <f>IF(('FSLPL Daily '!I25-'FSLPL Daily '!I24&lt;0), "0",'FSLPL Daily '!I25-'FSLPL Daily '!I24)</f>
        <v>484</v>
      </c>
      <c r="I23" s="19">
        <f>IF(('FSLPL Daily '!K25-'FSLPL Daily '!K24&lt;0), "0",'FSLPL Daily '!K25-'FSLPL Daily '!K24)</f>
        <v>815</v>
      </c>
      <c r="J23" s="19">
        <f>IF(('FSLPL Daily '!M25-'FSLPL Daily '!M24&lt;0), "0",'FSLPL Daily '!M25-'FSLPL Daily '!M24)</f>
        <v>1208</v>
      </c>
      <c r="K23" s="19">
        <f>IF(('FSLPL Daily '!O25-'FSLPL Daily '!O24&lt;0), "0",'FSLPL Daily '!O25-'FSLPL Daily '!O24)</f>
        <v>573</v>
      </c>
      <c r="L23" s="19">
        <f>IF(('FSLPL Daily '!Q25-'FSLPL Daily '!Q24&lt;0), "0",'FSLPL Daily '!Q25-'FSLPL Daily '!Q24)</f>
        <v>362</v>
      </c>
      <c r="M23" s="19">
        <f>IF(('FSLPL Daily '!S25-'FSLPL Daily '!S24&lt;0), "0",'FSLPL Daily '!S25-'FSLPL Daily '!S24)</f>
        <v>85</v>
      </c>
      <c r="N23" s="19">
        <f>IF(('FSLPL Daily '!U25-'FSLPL Daily '!U24&lt;0), "0",'FSLPL Daily '!U25-'FSLPL Daily '!U24)</f>
        <v>1087</v>
      </c>
      <c r="O23" s="19">
        <f>IF(('FSLPL Daily '!W25-'FSLPL Daily '!W24&lt;0), "0",'FSLPL Daily '!W25-'FSLPL Daily '!W24)</f>
        <v>116</v>
      </c>
      <c r="P23" s="19">
        <f>IF(('FSLPL Daily '!Y25-'FSLPL Daily '!Y24&lt;0), "0",'FSLPL Daily '!Y25-'FSLPL Daily '!Y24)</f>
        <v>934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1448</v>
      </c>
      <c r="S23" s="19">
        <f>IF(('FSLPL Daily '!AE25-'FSLPL Daily '!AE24&lt;0), "0",'FSLPL Daily '!AE25-'FSLPL Daily '!AE24)</f>
        <v>1997</v>
      </c>
      <c r="T23" s="19">
        <f>IF(('FSLPL Daily '!AG25-'FSLPL Daily '!AG24&lt;0), "0",'FSLPL Daily '!AG25-'FSLPL Daily '!AG24)</f>
        <v>230</v>
      </c>
      <c r="U23" s="19">
        <f>IF(('FSLPL Daily '!AI25-'FSLPL Daily '!AI24&lt;0), "0",'FSLPL Daily '!AI25-'FSLPL Daily '!AI24)</f>
        <v>76</v>
      </c>
      <c r="V23" s="19">
        <f>IF(('FSLPL Daily '!AK25-'FSLPL Daily '!AK24&lt;0), "0",'FSLPL Daily '!AK25-'FSLPL Daily '!AK24)</f>
        <v>312</v>
      </c>
      <c r="W23" s="19">
        <f>IF(('FSLPL Daily '!AM25-'FSLPL Daily '!AM24&lt;0), "0",'FSLPL Daily '!AM25-'FSLPL Daily '!AM24)</f>
        <v>595</v>
      </c>
      <c r="X23" s="19">
        <f>IF(('FSLPL Daily '!AO25-'FSLPL Daily '!AO24&lt;0), "0",'FSLPL Daily '!AO25-'FSLPL Daily '!AO24)</f>
        <v>615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18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2091</v>
      </c>
      <c r="AD23" s="19">
        <f>IF(('FSLPL Daily '!BB25-'FSLPL Daily '!BB24&lt;0), "0",'FSLPL Daily '!BB25-'FSLPL Daily '!BB24)</f>
        <v>1100</v>
      </c>
      <c r="AE23" s="19">
        <f>'FSLPL Daily '!BD25</f>
        <v>76</v>
      </c>
      <c r="AF23" s="19">
        <f>'FSLPL Daily '!BE25</f>
        <v>110</v>
      </c>
    </row>
    <row r="24" spans="1:32" x14ac:dyDescent="0.25">
      <c r="A24" s="16" t="s">
        <v>52</v>
      </c>
      <c r="B24" s="7">
        <f t="shared" si="0"/>
        <v>23</v>
      </c>
      <c r="C24" s="7">
        <v>2</v>
      </c>
      <c r="D24" s="7">
        <v>2020</v>
      </c>
      <c r="E24" s="19">
        <f>IF(('FSLPL Daily '!C26-'FSLPL Daily '!C25&lt;0), "0",'FSLPL Daily '!C26-'FSLPL Daily '!C25)</f>
        <v>7213</v>
      </c>
      <c r="F24" s="19">
        <f>IF(('FSLPL Daily '!E26-'FSLPL Daily '!E25&lt;0), "0",'FSLPL Daily '!E26-'FSLPL Daily '!E25)</f>
        <v>5080</v>
      </c>
      <c r="G24" s="19">
        <f>IF(('FSLPL Daily '!G26-'FSLPL Daily '!G25&lt;0), "0",'FSLPL Daily '!G26-'FSLPL Daily '!G25)</f>
        <v>4004</v>
      </c>
      <c r="H24" s="19">
        <f>IF(('FSLPL Daily '!I26-'FSLPL Daily '!I25&lt;0), "0",'FSLPL Daily '!I26-'FSLPL Daily '!I25)</f>
        <v>511</v>
      </c>
      <c r="I24" s="19">
        <f>IF(('FSLPL Daily '!K26-'FSLPL Daily '!K25&lt;0), "0",'FSLPL Daily '!K26-'FSLPL Daily '!K25)</f>
        <v>813</v>
      </c>
      <c r="J24" s="19">
        <f>IF(('FSLPL Daily '!M26-'FSLPL Daily '!M25&lt;0), "0",'FSLPL Daily '!M26-'FSLPL Daily '!M25)</f>
        <v>1140</v>
      </c>
      <c r="K24" s="19">
        <f>IF(('FSLPL Daily '!O26-'FSLPL Daily '!O25&lt;0), "0",'FSLPL Daily '!O26-'FSLPL Daily '!O25)</f>
        <v>577</v>
      </c>
      <c r="L24" s="19">
        <f>IF(('FSLPL Daily '!Q26-'FSLPL Daily '!Q25&lt;0), "0",'FSLPL Daily '!Q26-'FSLPL Daily '!Q25)</f>
        <v>346</v>
      </c>
      <c r="M24" s="19">
        <f>IF(('FSLPL Daily '!S26-'FSLPL Daily '!S25&lt;0), "0",'FSLPL Daily '!S26-'FSLPL Daily '!S25)</f>
        <v>86</v>
      </c>
      <c r="N24" s="19">
        <f>IF(('FSLPL Daily '!U26-'FSLPL Daily '!U25&lt;0), "0",'FSLPL Daily '!U26-'FSLPL Daily '!U25)</f>
        <v>837</v>
      </c>
      <c r="O24" s="19">
        <f>IF(('FSLPL Daily '!W26-'FSLPL Daily '!W25&lt;0), "0",'FSLPL Daily '!W26-'FSLPL Daily '!W25)</f>
        <v>80</v>
      </c>
      <c r="P24" s="19">
        <f>IF(('FSLPL Daily '!Y26-'FSLPL Daily '!Y25&lt;0), "0",'FSLPL Daily '!Y26-'FSLPL Daily '!Y25)</f>
        <v>979</v>
      </c>
      <c r="Q24" s="19">
        <f>IF(('FSLPL Daily '!AA26-'FSLPL Daily '!AA25&lt;0), "0",'FSLPL Daily '!AA26-'FSLPL Daily '!AA25)</f>
        <v>2</v>
      </c>
      <c r="R24" s="19">
        <f>IF(('FSLPL Daily '!AC26-'FSLPL Daily '!AC25&lt;0), "0",'FSLPL Daily '!AC26-'FSLPL Daily '!AC25)</f>
        <v>1459</v>
      </c>
      <c r="S24" s="19">
        <f>IF(('FSLPL Daily '!AE26-'FSLPL Daily '!AE25&lt;0), "0",'FSLPL Daily '!AE26-'FSLPL Daily '!AE25)</f>
        <v>2016</v>
      </c>
      <c r="T24" s="19">
        <f>IF(('FSLPL Daily '!AG26-'FSLPL Daily '!AG25&lt;0), "0",'FSLPL Daily '!AG26-'FSLPL Daily '!AG25)</f>
        <v>229</v>
      </c>
      <c r="U24" s="19">
        <f>IF(('FSLPL Daily '!AI26-'FSLPL Daily '!AI25&lt;0), "0",'FSLPL Daily '!AI26-'FSLPL Daily '!AI25)</f>
        <v>76</v>
      </c>
      <c r="V24" s="19">
        <f>IF(('FSLPL Daily '!AK26-'FSLPL Daily '!AK25&lt;0), "0",'FSLPL Daily '!AK26-'FSLPL Daily '!AK25)</f>
        <v>313</v>
      </c>
      <c r="W24" s="19">
        <f>IF(('FSLPL Daily '!AM26-'FSLPL Daily '!AM25&lt;0), "0",'FSLPL Daily '!AM26-'FSLPL Daily '!AM25)</f>
        <v>596</v>
      </c>
      <c r="X24" s="19">
        <f>IF(('FSLPL Daily '!AO26-'FSLPL Daily '!AO25&lt;0), "0",'FSLPL Daily '!AO26-'FSLPL Daily '!AO25)</f>
        <v>628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19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1999</v>
      </c>
      <c r="AD24" s="19">
        <f>IF(('FSLPL Daily '!BB26-'FSLPL Daily '!BB25&lt;0), "0",'FSLPL Daily '!BB26-'FSLPL Daily '!BB25)</f>
        <v>1133</v>
      </c>
      <c r="AE24" s="19">
        <f>'FSLPL Daily '!BD26</f>
        <v>99</v>
      </c>
      <c r="AF24" s="19">
        <f>'FSLPL Daily '!BE26</f>
        <v>137</v>
      </c>
    </row>
    <row r="25" spans="1:32" x14ac:dyDescent="0.25">
      <c r="A25" s="16" t="s">
        <v>52</v>
      </c>
      <c r="B25" s="7">
        <f t="shared" si="0"/>
        <v>24</v>
      </c>
      <c r="C25" s="7">
        <v>2</v>
      </c>
      <c r="D25" s="7">
        <v>2020</v>
      </c>
      <c r="E25" s="19">
        <f>IF(('FSLPL Daily '!C27-'FSLPL Daily '!C26&lt;0), "0",'FSLPL Daily '!C27-'FSLPL Daily '!C26)</f>
        <v>7395</v>
      </c>
      <c r="F25" s="19">
        <f>IF(('FSLPL Daily '!E27-'FSLPL Daily '!E26&lt;0), "0",'FSLPL Daily '!E27-'FSLPL Daily '!E26)</f>
        <v>4965</v>
      </c>
      <c r="G25" s="19">
        <f>IF(('FSLPL Daily '!G27-'FSLPL Daily '!G26&lt;0), "0",'FSLPL Daily '!G27-'FSLPL Daily '!G26)</f>
        <v>3825</v>
      </c>
      <c r="H25" s="19">
        <f>IF(('FSLPL Daily '!I27-'FSLPL Daily '!I26&lt;0), "0",'FSLPL Daily '!I27-'FSLPL Daily '!I26)</f>
        <v>499</v>
      </c>
      <c r="I25" s="19">
        <f>IF(('FSLPL Daily '!K27-'FSLPL Daily '!K26&lt;0), "0",'FSLPL Daily '!K27-'FSLPL Daily '!K26)</f>
        <v>779</v>
      </c>
      <c r="J25" s="19">
        <f>IF(('FSLPL Daily '!M27-'FSLPL Daily '!M26&lt;0), "0",'FSLPL Daily '!M27-'FSLPL Daily '!M26)</f>
        <v>1284</v>
      </c>
      <c r="K25" s="19">
        <f>IF(('FSLPL Daily '!O27-'FSLPL Daily '!O26&lt;0), "0",'FSLPL Daily '!O27-'FSLPL Daily '!O26)</f>
        <v>604</v>
      </c>
      <c r="L25" s="19">
        <f>IF(('FSLPL Daily '!Q27-'FSLPL Daily '!Q26&lt;0), "0",'FSLPL Daily '!Q27-'FSLPL Daily '!Q26)</f>
        <v>329</v>
      </c>
      <c r="M25" s="19">
        <f>IF(('FSLPL Daily '!S27-'FSLPL Daily '!S26&lt;0), "0",'FSLPL Daily '!S27-'FSLPL Daily '!S26)</f>
        <v>84</v>
      </c>
      <c r="N25" s="19">
        <f>IF(('FSLPL Daily '!U27-'FSLPL Daily '!U26&lt;0), "0",'FSLPL Daily '!U27-'FSLPL Daily '!U26)</f>
        <v>896</v>
      </c>
      <c r="O25" s="19">
        <f>IF(('FSLPL Daily '!W27-'FSLPL Daily '!W26&lt;0), "0",'FSLPL Daily '!W27-'FSLPL Daily '!W26)</f>
        <v>97</v>
      </c>
      <c r="P25" s="19">
        <f>IF(('FSLPL Daily '!Y27-'FSLPL Daily '!Y26&lt;0), "0",'FSLPL Daily '!Y27-'FSLPL Daily '!Y26)</f>
        <v>1059</v>
      </c>
      <c r="Q25" s="19">
        <f>IF(('FSLPL Daily '!AA27-'FSLPL Daily '!AA26&lt;0), "0",'FSLPL Daily '!AA27-'FSLPL Daily '!AA26)</f>
        <v>2</v>
      </c>
      <c r="R25" s="19">
        <f>IF(('FSLPL Daily '!AC27-'FSLPL Daily '!AC26&lt;0), "0",'FSLPL Daily '!AC27-'FSLPL Daily '!AC26)</f>
        <v>1414</v>
      </c>
      <c r="S25" s="19">
        <f>IF(('FSLPL Daily '!AE27-'FSLPL Daily '!AE26&lt;0), "0",'FSLPL Daily '!AE27-'FSLPL Daily '!AE26)</f>
        <v>1949</v>
      </c>
      <c r="T25" s="19">
        <f>IF(('FSLPL Daily '!AG27-'FSLPL Daily '!AG26&lt;0), "0",'FSLPL Daily '!AG27-'FSLPL Daily '!AG26)</f>
        <v>223</v>
      </c>
      <c r="U25" s="19">
        <f>IF(('FSLPL Daily '!AI27-'FSLPL Daily '!AI26&lt;0), "0",'FSLPL Daily '!AI27-'FSLPL Daily '!AI26)</f>
        <v>75</v>
      </c>
      <c r="V25" s="19">
        <f>IF(('FSLPL Daily '!AK27-'FSLPL Daily '!AK26&lt;0), "0",'FSLPL Daily '!AK27-'FSLPL Daily '!AK26)</f>
        <v>318</v>
      </c>
      <c r="W25" s="19">
        <f>IF(('FSLPL Daily '!AM27-'FSLPL Daily '!AM26&lt;0), "0",'FSLPL Daily '!AM27-'FSLPL Daily '!AM26)</f>
        <v>577</v>
      </c>
      <c r="X25" s="19">
        <f>IF(('FSLPL Daily '!AO27-'FSLPL Daily '!AO26&lt;0), "0",'FSLPL Daily '!AO27-'FSLPL Daily '!AO26)</f>
        <v>612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17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2009</v>
      </c>
      <c r="AD25" s="19">
        <f>IF(('FSLPL Daily '!BB27-'FSLPL Daily '!BB26&lt;0), "0",'FSLPL Daily '!BB27-'FSLPL Daily '!BB26)</f>
        <v>1086</v>
      </c>
      <c r="AE25" s="19">
        <f>'FSLPL Daily '!BD27</f>
        <v>123</v>
      </c>
      <c r="AF25" s="19">
        <f>'FSLPL Daily '!BE27</f>
        <v>166</v>
      </c>
    </row>
    <row r="26" spans="1:32" x14ac:dyDescent="0.25">
      <c r="A26" s="16" t="s">
        <v>52</v>
      </c>
      <c r="B26" s="7">
        <f>B25+1</f>
        <v>25</v>
      </c>
      <c r="C26" s="7">
        <v>2</v>
      </c>
      <c r="D26" s="7">
        <v>2020</v>
      </c>
      <c r="E26" s="19">
        <f>IF(('FSLPL Daily '!C28-'FSLPL Daily '!C27&lt;0), "0",'FSLPL Daily '!C28-'FSLPL Daily '!C27)</f>
        <v>7729</v>
      </c>
      <c r="F26" s="19">
        <f>IF(('FSLPL Daily '!E28-'FSLPL Daily '!E27&lt;0), "0",'FSLPL Daily '!E28-'FSLPL Daily '!E27)</f>
        <v>5273</v>
      </c>
      <c r="G26" s="19">
        <f>IF(('FSLPL Daily '!G28-'FSLPL Daily '!G27&lt;0), "0",'FSLPL Daily '!G28-'FSLPL Daily '!G27)</f>
        <v>3893</v>
      </c>
      <c r="H26" s="19">
        <f>IF(('FSLPL Daily '!I28-'FSLPL Daily '!I27&lt;0), "0",'FSLPL Daily '!I28-'FSLPL Daily '!I27)</f>
        <v>501</v>
      </c>
      <c r="I26" s="19">
        <f>IF(('FSLPL Daily '!K28-'FSLPL Daily '!K27&lt;0), "0",'FSLPL Daily '!K28-'FSLPL Daily '!K27)</f>
        <v>792</v>
      </c>
      <c r="J26" s="19">
        <f>IF(('FSLPL Daily '!M28-'FSLPL Daily '!M27&lt;0), "0",'FSLPL Daily '!M28-'FSLPL Daily '!M27)</f>
        <v>1255</v>
      </c>
      <c r="K26" s="19">
        <f>IF(('FSLPL Daily '!O28-'FSLPL Daily '!O27&lt;0), "0",'FSLPL Daily '!O28-'FSLPL Daily '!O27)</f>
        <v>579</v>
      </c>
      <c r="L26" s="19">
        <f>IF(('FSLPL Daily '!Q28-'FSLPL Daily '!Q27&lt;0), "0",'FSLPL Daily '!Q28-'FSLPL Daily '!Q27)</f>
        <v>326</v>
      </c>
      <c r="M26" s="19">
        <f>IF(('FSLPL Daily '!S28-'FSLPL Daily '!S27&lt;0), "0",'FSLPL Daily '!S28-'FSLPL Daily '!S27)</f>
        <v>84</v>
      </c>
      <c r="N26" s="19">
        <f>IF(('FSLPL Daily '!U28-'FSLPL Daily '!U27&lt;0), "0",'FSLPL Daily '!U28-'FSLPL Daily '!U27)</f>
        <v>1093</v>
      </c>
      <c r="O26" s="19">
        <f>IF(('FSLPL Daily '!W28-'FSLPL Daily '!W27&lt;0), "0",'FSLPL Daily '!W28-'FSLPL Daily '!W27)</f>
        <v>140</v>
      </c>
      <c r="P26" s="19">
        <f>IF(('FSLPL Daily '!Y28-'FSLPL Daily '!Y27&lt;0), "0",'FSLPL Daily '!Y28-'FSLPL Daily '!Y27)</f>
        <v>1088</v>
      </c>
      <c r="Q26" s="19">
        <f>IF(('FSLPL Daily '!AA28-'FSLPL Daily '!AA27&lt;0), "0",'FSLPL Daily '!AA28-'FSLPL Daily '!AA27)</f>
        <v>3</v>
      </c>
      <c r="R26" s="19">
        <f>IF(('FSLPL Daily '!AC28-'FSLPL Daily '!AC27&lt;0), "0",'FSLPL Daily '!AC28-'FSLPL Daily '!AC27)</f>
        <v>1409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247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353</v>
      </c>
      <c r="W26" s="19">
        <f>IF(('FSLPL Daily '!AM28-'FSLPL Daily '!AM27&lt;0), "0",'FSLPL Daily '!AM28-'FSLPL Daily '!AM27)</f>
        <v>597</v>
      </c>
      <c r="X26" s="19">
        <f>IF(('FSLPL Daily '!AO28-'FSLPL Daily '!AO27&lt;0), "0",'FSLPL Daily '!AO28-'FSLPL Daily '!AO27)</f>
        <v>611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16</v>
      </c>
      <c r="AB26" s="19">
        <f>IF(('FSLPL Daily '!AX28-'FSLPL Daily '!AX27&lt;0), "0",'FSLPL Daily '!AX28-'FSLPL Daily '!AX27)</f>
        <v>2</v>
      </c>
      <c r="AC26" s="19">
        <f>IF(('FSLPL Daily '!AZ28-'FSLPL Daily '!AZ27&lt;0), "0",'FSLPL Daily '!AZ28-'FSLPL Daily '!AZ27)</f>
        <v>2124</v>
      </c>
      <c r="AD26" s="19">
        <f>IF(('FSLPL Daily '!BB28-'FSLPL Daily '!BB27&lt;0), "0",'FSLPL Daily '!BB28-'FSLPL Daily '!BB27)</f>
        <v>1116</v>
      </c>
      <c r="AE26" s="19">
        <f>'FSLPL Daily '!BD28</f>
        <v>141</v>
      </c>
      <c r="AF26" s="19">
        <f>'FSLPL Daily '!BE28</f>
        <v>199</v>
      </c>
    </row>
    <row r="27" spans="1:32" x14ac:dyDescent="0.25">
      <c r="A27" s="16" t="s">
        <v>52</v>
      </c>
      <c r="B27" s="7">
        <f t="shared" si="0"/>
        <v>26</v>
      </c>
      <c r="C27" s="7">
        <v>2</v>
      </c>
      <c r="D27" s="7">
        <v>2020</v>
      </c>
      <c r="E27" s="19">
        <f>IF(('FSLPL Daily '!C29-'FSLPL Daily '!C28&lt;0), "0",'FSLPL Daily '!C29-'FSLPL Daily '!C28)</f>
        <v>7083</v>
      </c>
      <c r="F27" s="19">
        <f>IF(('FSLPL Daily '!E29-'FSLPL Daily '!E28&lt;0), "0",'FSLPL Daily '!E29-'FSLPL Daily '!E28)</f>
        <v>6415</v>
      </c>
      <c r="G27" s="19">
        <f>IF(('FSLPL Daily '!G29-'FSLPL Daily '!G28&lt;0), "0",'FSLPL Daily '!G29-'FSLPL Daily '!G28)</f>
        <v>3974</v>
      </c>
      <c r="H27" s="19">
        <f>IF(('FSLPL Daily '!I29-'FSLPL Daily '!I28&lt;0), "0",'FSLPL Daily '!I29-'FSLPL Daily '!I28)</f>
        <v>511</v>
      </c>
      <c r="I27" s="19">
        <f>IF(('FSLPL Daily '!K29-'FSLPL Daily '!K28&lt;0), "0",'FSLPL Daily '!K29-'FSLPL Daily '!K28)</f>
        <v>805</v>
      </c>
      <c r="J27" s="19">
        <f>IF(('FSLPL Daily '!M29-'FSLPL Daily '!M28&lt;0), "0",'FSLPL Daily '!M29-'FSLPL Daily '!M28)</f>
        <v>1217</v>
      </c>
      <c r="K27" s="19">
        <f>IF(('FSLPL Daily '!O29-'FSLPL Daily '!O28&lt;0), "0",'FSLPL Daily '!O29-'FSLPL Daily '!O28)</f>
        <v>649</v>
      </c>
      <c r="L27" s="19">
        <f>IF(('FSLPL Daily '!Q29-'FSLPL Daily '!Q28&lt;0), "0",'FSLPL Daily '!Q29-'FSLPL Daily '!Q28)</f>
        <v>379</v>
      </c>
      <c r="M27" s="19">
        <f>IF(('FSLPL Daily '!S29-'FSLPL Daily '!S28&lt;0), "0",'FSLPL Daily '!S29-'FSLPL Daily '!S28)</f>
        <v>86</v>
      </c>
      <c r="N27" s="19">
        <f>IF(('FSLPL Daily '!U29-'FSLPL Daily '!U28&lt;0), "0",'FSLPL Daily '!U29-'FSLPL Daily '!U28)</f>
        <v>1131</v>
      </c>
      <c r="O27" s="19">
        <f>IF(('FSLPL Daily '!W29-'FSLPL Daily '!W28&lt;0), "0",'FSLPL Daily '!W29-'FSLPL Daily '!W28)</f>
        <v>223</v>
      </c>
      <c r="P27" s="19">
        <f>IF(('FSLPL Daily '!Y29-'FSLPL Daily '!Y28&lt;0), "0",'FSLPL Daily '!Y29-'FSLPL Daily '!Y28)</f>
        <v>103</v>
      </c>
      <c r="Q27" s="19">
        <f>IF(('FSLPL Daily '!AA29-'FSLPL Daily '!AA28&lt;0), "0",'FSLPL Daily '!AA29-'FSLPL Daily '!AA28)</f>
        <v>649</v>
      </c>
      <c r="R27" s="19">
        <f>IF(('FSLPL Daily '!AC29-'FSLPL Daily '!AC28&lt;0), "0",'FSLPL Daily '!AC29-'FSLPL Daily '!AC28)</f>
        <v>1441</v>
      </c>
      <c r="S27" s="19">
        <f>IF(('FSLPL Daily '!AE29-'FSLPL Daily '!AE28&lt;0), "0",'FSLPL Daily '!AE29-'FSLPL Daily '!AE28)</f>
        <v>2009</v>
      </c>
      <c r="T27" s="19">
        <f>IF(('FSLPL Daily '!AG29-'FSLPL Daily '!AG28&lt;0), "0",'FSLPL Daily '!AG29-'FSLPL Daily '!AG28)</f>
        <v>230</v>
      </c>
      <c r="U27" s="19">
        <f>IF(('FSLPL Daily '!AI29-'FSLPL Daily '!AI28&lt;0), "0",'FSLPL Daily '!AI29-'FSLPL Daily '!AI28)</f>
        <v>76</v>
      </c>
      <c r="V27" s="19">
        <f>IF(('FSLPL Daily '!AK29-'FSLPL Daily '!AK28&lt;0), "0",'FSLPL Daily '!AK29-'FSLPL Daily '!AK28)</f>
        <v>361</v>
      </c>
      <c r="W27" s="19">
        <f>IF(('FSLPL Daily '!AM29-'FSLPL Daily '!AM28&lt;0), "0",'FSLPL Daily '!AM29-'FSLPL Daily '!AM28)</f>
        <v>610</v>
      </c>
      <c r="X27" s="19">
        <f>IF(('FSLPL Daily '!AO29-'FSLPL Daily '!AO28&lt;0), "0",'FSLPL Daily '!AO29-'FSLPL Daily '!AO28)</f>
        <v>686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20</v>
      </c>
      <c r="AB27" s="19">
        <f>IF(('FSLPL Daily '!AX29-'FSLPL Daily '!AX28&lt;0), "0",'FSLPL Daily '!AX29-'FSLPL Daily '!AX28)</f>
        <v>3</v>
      </c>
      <c r="AC27" s="19">
        <f>IF(('FSLPL Daily '!AZ29-'FSLPL Daily '!AZ28&lt;0), "0",'FSLPL Daily '!AZ29-'FSLPL Daily '!AZ28)</f>
        <v>2524</v>
      </c>
      <c r="AD27" s="19">
        <f>IF(('FSLPL Daily '!BB29-'FSLPL Daily '!BB28&lt;0), "0",'FSLPL Daily '!BB29-'FSLPL Daily '!BB28)</f>
        <v>1142</v>
      </c>
      <c r="AE27" s="19">
        <f>'FSLPL Daily '!BD29</f>
        <v>133</v>
      </c>
      <c r="AF27" s="19">
        <f>'FSLPL Daily '!BE29</f>
        <v>189</v>
      </c>
    </row>
    <row r="28" spans="1:32" x14ac:dyDescent="0.25">
      <c r="A28" s="16" t="s">
        <v>52</v>
      </c>
      <c r="B28" s="7">
        <f t="shared" si="0"/>
        <v>27</v>
      </c>
      <c r="C28" s="7">
        <v>2</v>
      </c>
      <c r="D28" s="7">
        <v>2020</v>
      </c>
      <c r="E28" s="19">
        <f>IF(('FSLPL Daily '!C30-'FSLPL Daily '!C29&lt;0), "0",'FSLPL Daily '!C30-'FSLPL Daily '!C29)</f>
        <v>6636</v>
      </c>
      <c r="F28" s="19">
        <f>IF(('FSLPL Daily '!E30-'FSLPL Daily '!E29&lt;0), "0",'FSLPL Daily '!E30-'FSLPL Daily '!E29)</f>
        <v>6612</v>
      </c>
      <c r="G28" s="19">
        <f>IF(('FSLPL Daily '!G30-'FSLPL Daily '!G29&lt;0), "0",'FSLPL Daily '!G30-'FSLPL Daily '!G29)</f>
        <v>3882</v>
      </c>
      <c r="H28" s="19">
        <f>IF(('FSLPL Daily '!I30-'FSLPL Daily '!I29&lt;0), "0",'FSLPL Daily '!I30-'FSLPL Daily '!I29)</f>
        <v>491</v>
      </c>
      <c r="I28" s="19">
        <f>IF(('FSLPL Daily '!K30-'FSLPL Daily '!K29&lt;0), "0",'FSLPL Daily '!K30-'FSLPL Daily '!K29)</f>
        <v>808</v>
      </c>
      <c r="J28" s="19">
        <f>IF(('FSLPL Daily '!M30-'FSLPL Daily '!M29&lt;0), "0",'FSLPL Daily '!M30-'FSLPL Daily '!M29)</f>
        <v>1138</v>
      </c>
      <c r="K28" s="19">
        <f>IF(('FSLPL Daily '!O30-'FSLPL Daily '!O29&lt;0), "0",'FSLPL Daily '!O30-'FSLPL Daily '!O29)</f>
        <v>645</v>
      </c>
      <c r="L28" s="19">
        <f>IF(('FSLPL Daily '!Q30-'FSLPL Daily '!Q29&lt;0), "0",'FSLPL Daily '!Q30-'FSLPL Daily '!Q29)</f>
        <v>353</v>
      </c>
      <c r="M28" s="19">
        <f>IF(('FSLPL Daily '!S30-'FSLPL Daily '!S29&lt;0), "0",'FSLPL Daily '!S30-'FSLPL Daily '!S29)</f>
        <v>85</v>
      </c>
      <c r="N28" s="19">
        <f>IF(('FSLPL Daily '!U30-'FSLPL Daily '!U29&lt;0), "0",'FSLPL Daily '!U30-'FSLPL Daily '!U29)</f>
        <v>1015</v>
      </c>
      <c r="O28" s="19">
        <f>IF(('FSLPL Daily '!W30-'FSLPL Daily '!W29&lt;0), "0",'FSLPL Daily '!W30-'FSLPL Daily '!W29)</f>
        <v>184</v>
      </c>
      <c r="P28" s="19">
        <f>IF(('FSLPL Daily '!Y30-'FSLPL Daily '!Y29&lt;0), "0",'FSLPL Daily '!Y30-'FSLPL Daily '!Y29)</f>
        <v>3</v>
      </c>
      <c r="Q28" s="19">
        <f>IF(('FSLPL Daily '!AA30-'FSLPL Daily '!AA29&lt;0), "0",'FSLPL Daily '!AA30-'FSLPL Daily '!AA29)</f>
        <v>730</v>
      </c>
      <c r="R28" s="19">
        <f>IF(('FSLPL Daily '!AC30-'FSLPL Daily '!AC29&lt;0), "0",'FSLPL Daily '!AC30-'FSLPL Daily '!AC29)</f>
        <v>1434</v>
      </c>
      <c r="S28" s="19">
        <f>IF(('FSLPL Daily '!AE30-'FSLPL Daily '!AE29&lt;0), "0",'FSLPL Daily '!AE30-'FSLPL Daily '!AE29)</f>
        <v>2000</v>
      </c>
      <c r="T28" s="19">
        <f>IF(('FSLPL Daily '!AG30-'FSLPL Daily '!AG29&lt;0), "0",'FSLPL Daily '!AG30-'FSLPL Daily '!AG29)</f>
        <v>231</v>
      </c>
      <c r="U28" s="19">
        <f>IF(('FSLPL Daily '!AI30-'FSLPL Daily '!AI29&lt;0), "0",'FSLPL Daily '!AI30-'FSLPL Daily '!AI29)</f>
        <v>75</v>
      </c>
      <c r="V28" s="19">
        <f>IF(('FSLPL Daily '!AK30-'FSLPL Daily '!AK29&lt;0), "0",'FSLPL Daily '!AK30-'FSLPL Daily '!AK29)</f>
        <v>355</v>
      </c>
      <c r="W28" s="19">
        <f>IF(('FSLPL Daily '!AM30-'FSLPL Daily '!AM29&lt;0), "0",'FSLPL Daily '!AM30-'FSLPL Daily '!AM29)</f>
        <v>607</v>
      </c>
      <c r="X28" s="19">
        <f>IF(('FSLPL Daily '!AO30-'FSLPL Daily '!AO29&lt;0), "0",'FSLPL Daily '!AO30-'FSLPL Daily '!AO29)</f>
        <v>647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18</v>
      </c>
      <c r="AB28" s="19">
        <f>IF(('FSLPL Daily '!AX30-'FSLPL Daily '!AX29&lt;0), "0",'FSLPL Daily '!AX30-'FSLPL Daily '!AX29)</f>
        <v>2</v>
      </c>
      <c r="AC28" s="19">
        <f>IF(('FSLPL Daily '!AZ30-'FSLPL Daily '!AZ29&lt;0), "0",'FSLPL Daily '!AZ30-'FSLPL Daily '!AZ29)</f>
        <v>2541</v>
      </c>
      <c r="AD28" s="19">
        <f>IF(('FSLPL Daily '!BB30-'FSLPL Daily '!BB29&lt;0), "0",'FSLPL Daily '!BB30-'FSLPL Daily '!BB29)</f>
        <v>1106</v>
      </c>
      <c r="AE28" s="19">
        <f>'FSLPL Daily '!BD30</f>
        <v>127</v>
      </c>
      <c r="AF28" s="19">
        <f>'FSLPL Daily '!BE30</f>
        <v>186</v>
      </c>
    </row>
    <row r="29" spans="1:32" x14ac:dyDescent="0.25">
      <c r="A29" s="16" t="s">
        <v>52</v>
      </c>
      <c r="B29" s="7">
        <f t="shared" si="0"/>
        <v>28</v>
      </c>
      <c r="C29" s="7">
        <v>2</v>
      </c>
      <c r="D29" s="7">
        <v>2020</v>
      </c>
      <c r="E29" s="19">
        <f>IF(('FSLPL Daily '!C31-'FSLPL Daily '!C30&lt;0), "0",'FSLPL Daily '!C31-'FSLPL Daily '!C30)</f>
        <v>6636</v>
      </c>
      <c r="F29" s="19">
        <f>IF(('FSLPL Daily '!E31-'FSLPL Daily '!E30&lt;0), "0",'FSLPL Daily '!E31-'FSLPL Daily '!E30)</f>
        <v>6700</v>
      </c>
      <c r="G29" s="19">
        <f>IF(('FSLPL Daily '!G31-'FSLPL Daily '!G30&lt;0), "0",'FSLPL Daily '!G31-'FSLPL Daily '!G30)</f>
        <v>3936</v>
      </c>
      <c r="H29" s="19">
        <f>IF(('FSLPL Daily '!I31-'FSLPL Daily '!I30&lt;0), "0",'FSLPL Daily '!I31-'FSLPL Daily '!I30)</f>
        <v>482</v>
      </c>
      <c r="I29" s="19">
        <f>IF(('FSLPL Daily '!K31-'FSLPL Daily '!K30&lt;0), "0",'FSLPL Daily '!K31-'FSLPL Daily '!K30)</f>
        <v>822</v>
      </c>
      <c r="J29" s="19">
        <f>IF(('FSLPL Daily '!M31-'FSLPL Daily '!M30&lt;0), "0",'FSLPL Daily '!M31-'FSLPL Daily '!M30)</f>
        <v>1205</v>
      </c>
      <c r="K29" s="19">
        <f>IF(('FSLPL Daily '!O31-'FSLPL Daily '!O30&lt;0), "0",'FSLPL Daily '!O31-'FSLPL Daily '!O30)</f>
        <v>598</v>
      </c>
      <c r="L29" s="19">
        <f>IF(('FSLPL Daily '!Q31-'FSLPL Daily '!Q30&lt;0), "0",'FSLPL Daily '!Q31-'FSLPL Daily '!Q30)</f>
        <v>354</v>
      </c>
      <c r="M29" s="19">
        <f>IF(('FSLPL Daily '!S31-'FSLPL Daily '!S30&lt;0), "0",'FSLPL Daily '!S31-'FSLPL Daily '!S30)</f>
        <v>84</v>
      </c>
      <c r="N29" s="19">
        <f>IF(('FSLPL Daily '!U31-'FSLPL Daily '!U30&lt;0), "0",'FSLPL Daily '!U31-'FSLPL Daily '!U30)</f>
        <v>1012</v>
      </c>
      <c r="O29" s="19">
        <f>IF(('FSLPL Daily '!W31-'FSLPL Daily '!W30&lt;0), "0",'FSLPL Daily '!W31-'FSLPL Daily '!W30)</f>
        <v>148</v>
      </c>
      <c r="P29" s="19">
        <f>IF(('FSLPL Daily '!Y31-'FSLPL Daily '!Y30&lt;0), "0",'FSLPL Daily '!Y31-'FSLPL Daily '!Y30)</f>
        <v>4</v>
      </c>
      <c r="Q29" s="19">
        <f>IF(('FSLPL Daily '!AA31-'FSLPL Daily '!AA30&lt;0), "0",'FSLPL Daily '!AA31-'FSLPL Daily '!AA30)</f>
        <v>750</v>
      </c>
      <c r="R29" s="19">
        <f>IF(('FSLPL Daily '!AC31-'FSLPL Daily '!AC30&lt;0), "0",'FSLPL Daily '!AC31-'FSLPL Daily '!AC30)</f>
        <v>1430</v>
      </c>
      <c r="S29" s="19">
        <f>IF(('FSLPL Daily '!AE31-'FSLPL Daily '!AE30&lt;0), "0",'FSLPL Daily '!AE31-'FSLPL Daily '!AE30)</f>
        <v>1988</v>
      </c>
      <c r="T29" s="19">
        <f>IF(('FSLPL Daily '!AG31-'FSLPL Daily '!AG30&lt;0), "0",'FSLPL Daily '!AG31-'FSLPL Daily '!AG30)</f>
        <v>228</v>
      </c>
      <c r="U29" s="19">
        <f>IF(('FSLPL Daily '!AI31-'FSLPL Daily '!AI30&lt;0), "0",'FSLPL Daily '!AI31-'FSLPL Daily '!AI30)</f>
        <v>75</v>
      </c>
      <c r="V29" s="19">
        <f>IF(('FSLPL Daily '!AK31-'FSLPL Daily '!AK30&lt;0), "0",'FSLPL Daily '!AK31-'FSLPL Daily '!AK30)</f>
        <v>350</v>
      </c>
      <c r="W29" s="19">
        <f>IF(('FSLPL Daily '!AM31-'FSLPL Daily '!AM30&lt;0), "0",'FSLPL Daily '!AM31-'FSLPL Daily '!AM30)</f>
        <v>603</v>
      </c>
      <c r="X29" s="19">
        <f>IF(('FSLPL Daily '!AO31-'FSLPL Daily '!AO30&lt;0), "0",'FSLPL Daily '!AO31-'FSLPL Daily '!AO30)</f>
        <v>665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21</v>
      </c>
      <c r="AB29" s="19">
        <f>IF(('FSLPL Daily '!AX31-'FSLPL Daily '!AX30&lt;0), "0",'FSLPL Daily '!AX31-'FSLPL Daily '!AX30)</f>
        <v>2</v>
      </c>
      <c r="AC29" s="19">
        <f>IF(('FSLPL Daily '!AZ31-'FSLPL Daily '!AZ30&lt;0), "0",'FSLPL Daily '!AZ31-'FSLPL Daily '!AZ30)</f>
        <v>2525</v>
      </c>
      <c r="AD29" s="19">
        <f>IF(('FSLPL Daily '!BB31-'FSLPL Daily '!BB30&lt;0), "0",'FSLPL Daily '!BB31-'FSLPL Daily '!BB30)</f>
        <v>1120</v>
      </c>
      <c r="AE29" s="19">
        <f>'FSLPL Daily '!BD31</f>
        <v>98</v>
      </c>
      <c r="AF29" s="19">
        <f>'FSLPL Daily '!BE31</f>
        <v>146</v>
      </c>
    </row>
    <row r="30" spans="1:32" x14ac:dyDescent="0.25">
      <c r="A30" s="16" t="s">
        <v>52</v>
      </c>
      <c r="B30" s="7">
        <f t="shared" si="0"/>
        <v>29</v>
      </c>
      <c r="C30" s="7">
        <v>2</v>
      </c>
      <c r="D30" s="7">
        <v>2020</v>
      </c>
      <c r="E30" s="19" t="str">
        <f>IF(('FSLPL Daily '!C32-'FSLPL Daily '!C31&lt;0), "0",'FSLPL Daily '!C32-'FSLPL Daily '!C31)</f>
        <v>0</v>
      </c>
      <c r="F30" s="19" t="str">
        <f>IF(('FSLPL Daily '!E32-'FSLPL Daily '!E31&lt;0), "0",'FSLPL Daily '!E32-'FSLPL Daily '!E31)</f>
        <v>0</v>
      </c>
      <c r="G30" s="19" t="str">
        <f>IF(('FSLPL Daily '!G32-'FSLPL Daily '!G31&lt;0), "0",'FSLPL Daily '!G32-'FSLPL Daily '!G31)</f>
        <v>0</v>
      </c>
      <c r="H30" s="19" t="str">
        <f>IF(('FSLPL Daily '!I32-'FSLPL Daily '!I31&lt;0), "0",'FSLPL Daily '!I32-'FSLPL Daily '!I31)</f>
        <v>0</v>
      </c>
      <c r="I30" s="19" t="str">
        <f>IF(('FSLPL Daily '!K32-'FSLPL Daily '!K31&lt;0), "0",'FSLPL Daily '!K32-'FSLPL Daily '!K31)</f>
        <v>0</v>
      </c>
      <c r="J30" s="19" t="str">
        <f>IF(('FSLPL Daily '!M32-'FSLPL Daily '!M31&lt;0), "0",'FSLPL Daily '!M32-'FSLPL Daily '!M31)</f>
        <v>0</v>
      </c>
      <c r="K30" s="19" t="str">
        <f>IF(('FSLPL Daily '!O32-'FSLPL Daily '!O31&lt;0), "0",'FSLPL Daily '!O32-'FSLPL Daily '!O31)</f>
        <v>0</v>
      </c>
      <c r="L30" s="19" t="str">
        <f>IF(('FSLPL Daily '!Q32-'FSLPL Daily '!Q31&lt;0), "0",'FSLPL Daily '!Q32-'FSLPL Daily '!Q31)</f>
        <v>0</v>
      </c>
      <c r="M30" s="19" t="str">
        <f>IF(('FSLPL Daily '!S32-'FSLPL Daily '!S31&lt;0), "0",'FSLPL Daily '!S32-'FSLPL Daily '!S31)</f>
        <v>0</v>
      </c>
      <c r="N30" s="19" t="str">
        <f>IF(('FSLPL Daily '!U32-'FSLPL Daily '!U31&lt;0), "0",'FSLPL Daily '!U32-'FSLPL Daily '!U31)</f>
        <v>0</v>
      </c>
      <c r="O30" s="19" t="str">
        <f>IF(('FSLPL Daily '!W32-'FSLPL Daily '!W31&lt;0), "0",'FSLPL Daily '!W32-'FSLPL Daily '!W31)</f>
        <v>0</v>
      </c>
      <c r="P30" s="19" t="str">
        <f>IF(('FSLPL Daily '!Y32-'FSLPL Daily '!Y31&lt;0), "0",'FSLPL Daily '!Y32-'FSLPL Daily '!Y31)</f>
        <v>0</v>
      </c>
      <c r="Q30" s="19" t="str">
        <f>IF(('FSLPL Daily '!AA32-'FSLPL Daily '!AA31&lt;0), "0",'FSLPL Daily '!AA32-'FSLPL Daily '!AA31)</f>
        <v>0</v>
      </c>
      <c r="R30" s="19" t="str">
        <f>IF(('FSLPL Daily '!AC32-'FSLPL Daily '!AC31&lt;0), "0",'FSLPL Daily '!AC32-'FSLPL Daily '!AC31)</f>
        <v>0</v>
      </c>
      <c r="S30" s="19" t="str">
        <f>IF(('FSLPL Daily '!AE32-'FSLPL Daily '!AE31&lt;0), "0",'FSLPL Daily '!AE32-'FSLPL Daily '!AE31)</f>
        <v>0</v>
      </c>
      <c r="T30" s="19" t="str">
        <f>IF(('FSLPL Daily '!AG32-'FSLPL Daily '!AG31&lt;0), "0",'FSLPL Daily '!AG32-'FSLPL Daily '!AG31)</f>
        <v>0</v>
      </c>
      <c r="U30" s="19" t="str">
        <f>IF(('FSLPL Daily '!AI32-'FSLPL Daily '!AI31&lt;0), "0",'FSLPL Daily '!AI32-'FSLPL Daily '!AI31)</f>
        <v>0</v>
      </c>
      <c r="V30" s="19" t="str">
        <f>IF(('FSLPL Daily '!AK32-'FSLPL Daily '!AK31&lt;0), "0",'FSLPL Daily '!AK32-'FSLPL Daily '!AK31)</f>
        <v>0</v>
      </c>
      <c r="W30" s="19" t="str">
        <f>IF(('FSLPL Daily '!AM32-'FSLPL Daily '!AM31&lt;0), "0",'FSLPL Daily '!AM32-'FSLPL Daily '!AM31)</f>
        <v>0</v>
      </c>
      <c r="X30" s="19" t="str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 t="str">
        <f>IF(('FSLPL Daily '!AV32-'FSLPL Daily '!AV31&lt;0), "0",'FSLPL Daily '!AV32-'FSLPL Daily '!AV31)</f>
        <v>0</v>
      </c>
      <c r="AB30" s="19" t="str">
        <f>IF(('FSLPL Daily '!AX32-'FSLPL Daily '!AX31&lt;0), "0",'FSLPL Daily '!AX32-'FSLPL Daily '!AX31)</f>
        <v>0</v>
      </c>
      <c r="AC30" s="19" t="str">
        <f>IF(('FSLPL Daily '!AZ32-'FSLPL Daily '!AZ31&lt;0), "0",'FSLPL Daily '!AZ32-'FSLPL Daily '!AZ31)</f>
        <v>0</v>
      </c>
      <c r="AD30" s="19" t="str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2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 t="str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2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opLeftCell="AN1" zoomScale="86" zoomScaleNormal="86" workbookViewId="0">
      <pane ySplit="1" topLeftCell="A23" activePane="bottomLeft" state="frozen"/>
      <selection pane="bottomLeft" activeCell="BE32" sqref="BE32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36"/>
      <c r="C1" s="47" t="s">
        <v>47</v>
      </c>
      <c r="D1" s="48"/>
      <c r="E1" s="41" t="s">
        <v>22</v>
      </c>
      <c r="F1" s="41"/>
      <c r="G1" s="41" t="s">
        <v>23</v>
      </c>
      <c r="H1" s="41"/>
      <c r="I1" s="41" t="s">
        <v>24</v>
      </c>
      <c r="J1" s="41"/>
      <c r="K1" s="41" t="s">
        <v>25</v>
      </c>
      <c r="L1" s="41"/>
      <c r="M1" s="41" t="s">
        <v>56</v>
      </c>
      <c r="N1" s="41"/>
      <c r="O1" s="41" t="s">
        <v>31</v>
      </c>
      <c r="P1" s="41"/>
      <c r="Q1" s="41" t="s">
        <v>27</v>
      </c>
      <c r="R1" s="41"/>
      <c r="S1" s="41" t="s">
        <v>28</v>
      </c>
      <c r="T1" s="41"/>
      <c r="U1" s="41" t="s">
        <v>57</v>
      </c>
      <c r="V1" s="41"/>
      <c r="W1" s="41" t="s">
        <v>30</v>
      </c>
      <c r="X1" s="41"/>
      <c r="Y1" s="41" t="s">
        <v>32</v>
      </c>
      <c r="Z1" s="41"/>
      <c r="AA1" s="41" t="s">
        <v>33</v>
      </c>
      <c r="AB1" s="41"/>
      <c r="AC1" s="41" t="s">
        <v>34</v>
      </c>
      <c r="AD1" s="41"/>
      <c r="AE1" s="41" t="s">
        <v>35</v>
      </c>
      <c r="AF1" s="41"/>
      <c r="AG1" s="41" t="s">
        <v>36</v>
      </c>
      <c r="AH1" s="41"/>
      <c r="AI1" s="41" t="s">
        <v>37</v>
      </c>
      <c r="AJ1" s="41"/>
      <c r="AK1" s="41" t="s">
        <v>38</v>
      </c>
      <c r="AL1" s="41"/>
      <c r="AM1" s="41" t="s">
        <v>39</v>
      </c>
      <c r="AN1" s="41"/>
      <c r="AO1" s="41" t="s">
        <v>40</v>
      </c>
      <c r="AP1" s="41"/>
      <c r="AQ1" s="38"/>
      <c r="AR1" s="45" t="s">
        <v>53</v>
      </c>
      <c r="AS1" s="46"/>
      <c r="AT1" s="44" t="s">
        <v>54</v>
      </c>
      <c r="AU1" s="44"/>
      <c r="AV1" s="44" t="s">
        <v>43</v>
      </c>
      <c r="AW1" s="44"/>
      <c r="AX1" s="44" t="s">
        <v>44</v>
      </c>
      <c r="AY1" s="44"/>
      <c r="AZ1" s="42" t="s">
        <v>45</v>
      </c>
      <c r="BA1" s="43"/>
      <c r="BB1" s="42" t="s">
        <v>46</v>
      </c>
      <c r="BC1" s="43"/>
      <c r="BD1" s="11"/>
      <c r="BE1" s="11"/>
    </row>
    <row r="2" spans="1:57" ht="44.25" customHeight="1" x14ac:dyDescent="0.25">
      <c r="A2" s="1" t="s">
        <v>0</v>
      </c>
      <c r="B2" s="3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3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43861</v>
      </c>
      <c r="B3" s="36"/>
      <c r="C3" s="17">
        <v>25301330</v>
      </c>
      <c r="D3" s="40">
        <f>IF((C4-C3&lt;0), "0",C4-C3)</f>
        <v>7921</v>
      </c>
      <c r="E3" s="17">
        <v>26078962</v>
      </c>
      <c r="F3" s="40">
        <f>IF((E4-E3&lt;0), "",E4-E3)</f>
        <v>5781</v>
      </c>
      <c r="G3" s="17">
        <v>11035314</v>
      </c>
      <c r="H3" s="40">
        <f>IF((G4-G3&lt;0), "",G4-G3)</f>
        <v>3991</v>
      </c>
      <c r="I3" s="17">
        <v>1551591</v>
      </c>
      <c r="J3" s="40">
        <f>IF((I4-I3&lt;0), "",I4-I3)</f>
        <v>474</v>
      </c>
      <c r="K3" s="17">
        <v>3131200</v>
      </c>
      <c r="L3" s="40">
        <f>IF((K4-K3&lt;0), "",K4-K3)</f>
        <v>842</v>
      </c>
      <c r="M3" s="17">
        <v>4550863</v>
      </c>
      <c r="N3" s="40">
        <f>IF((M4-M3&lt;0), "",M4-M3)</f>
        <v>1310</v>
      </c>
      <c r="O3" s="17">
        <v>2180224</v>
      </c>
      <c r="P3" s="40">
        <f>IF((O4-O3&lt;0), "",O4-O3)</f>
        <v>586</v>
      </c>
      <c r="Q3" s="17">
        <v>1220767</v>
      </c>
      <c r="R3" s="40">
        <f>IF((Q4-Q3&lt;0), "",Q4-Q3)</f>
        <v>364</v>
      </c>
      <c r="S3" s="7">
        <v>393519</v>
      </c>
      <c r="T3" s="40">
        <f>IF((S4-S3&lt;0), "",S4-S3)</f>
        <v>87</v>
      </c>
      <c r="U3" s="7">
        <v>4098110</v>
      </c>
      <c r="V3" s="40">
        <f>IF((U4-U3&lt;0), "",U4-U3)</f>
        <v>995</v>
      </c>
      <c r="W3" s="7">
        <v>944250</v>
      </c>
      <c r="X3" s="40">
        <f>IF((W4-W3&lt;0), "",W4-W3)</f>
        <v>153</v>
      </c>
      <c r="Y3" s="7">
        <v>3749104</v>
      </c>
      <c r="Z3" s="40">
        <f>IF((Y4-Y3&lt;0), "",Y4-Y3)</f>
        <v>1250</v>
      </c>
      <c r="AA3" s="7">
        <v>1966697</v>
      </c>
      <c r="AB3" s="40">
        <f>IF((AA4-AA3&lt;0), "",AA4-AA3)</f>
        <v>2</v>
      </c>
      <c r="AC3" s="7">
        <v>5042012</v>
      </c>
      <c r="AD3" s="40">
        <f>IF((AC4-AC3&lt;0), "",AC4-AC3)</f>
        <v>1447</v>
      </c>
      <c r="AE3" s="7">
        <v>7179359</v>
      </c>
      <c r="AF3" s="40">
        <f>IF((AE4-AE3&lt;0), "",AE4-AE3)</f>
        <v>1954</v>
      </c>
      <c r="AG3" s="7">
        <v>1269342</v>
      </c>
      <c r="AH3" s="40">
        <f>IF((AG4-AG3&lt;0), "",AG4-AG3)</f>
        <v>263</v>
      </c>
      <c r="AI3" s="17">
        <v>249627</v>
      </c>
      <c r="AJ3" s="40">
        <f>IF((AI4-AI3&lt;0), "",AI4-AI3)</f>
        <v>76</v>
      </c>
      <c r="AK3" s="17">
        <v>926199</v>
      </c>
      <c r="AL3" s="40">
        <f>IF((AK4-AK3&lt;0), "",AK4-AK3)</f>
        <v>353</v>
      </c>
      <c r="AM3" s="17">
        <v>1718347</v>
      </c>
      <c r="AN3" s="40">
        <f>IF((AM4-AM3&lt;0), "",AM4-AM3)</f>
        <v>576</v>
      </c>
      <c r="AO3" s="17">
        <v>1838735</v>
      </c>
      <c r="AP3" s="40">
        <f>IF((AO4-AO3&lt;0), "",AO4-AO3)</f>
        <v>827</v>
      </c>
      <c r="AQ3" s="38"/>
      <c r="AR3" s="17"/>
      <c r="AS3" s="28" t="s">
        <v>55</v>
      </c>
      <c r="AT3" s="17"/>
      <c r="AU3" s="28" t="s">
        <v>55</v>
      </c>
      <c r="AV3" s="17">
        <v>86535</v>
      </c>
      <c r="AW3" s="40">
        <f>IF((AV4-AV3&lt;0), "",AV4-AV3)</f>
        <v>23</v>
      </c>
      <c r="AX3" s="17">
        <v>10961</v>
      </c>
      <c r="AY3" s="40">
        <f>IF((AX4-AX3&lt;0), "",AX4-AX3)</f>
        <v>3</v>
      </c>
      <c r="AZ3" s="17">
        <v>6754051</v>
      </c>
      <c r="BA3" s="40">
        <f>IF((AZ4-AZ3&lt;0), "",AZ4-AZ3)</f>
        <v>2117</v>
      </c>
      <c r="BB3" s="17">
        <v>1160816</v>
      </c>
      <c r="BC3" s="40">
        <f>IF((BB4-BB3&lt;0), "",BB4-BB3)</f>
        <v>1149</v>
      </c>
      <c r="BD3" s="22">
        <v>121</v>
      </c>
      <c r="BE3" s="22">
        <v>161</v>
      </c>
    </row>
    <row r="4" spans="1:57" ht="33" customHeight="1" x14ac:dyDescent="0.25">
      <c r="A4" s="8">
        <v>43862</v>
      </c>
      <c r="B4" s="36"/>
      <c r="C4" s="17">
        <v>25309251</v>
      </c>
      <c r="D4" s="40"/>
      <c r="E4" s="17">
        <v>26084743</v>
      </c>
      <c r="F4" s="40"/>
      <c r="G4" s="17">
        <v>11039305</v>
      </c>
      <c r="H4" s="40"/>
      <c r="I4" s="17">
        <v>1552065</v>
      </c>
      <c r="J4" s="40"/>
      <c r="K4" s="17">
        <v>3132042</v>
      </c>
      <c r="L4" s="40"/>
      <c r="M4" s="17">
        <v>4552173</v>
      </c>
      <c r="N4" s="40"/>
      <c r="O4" s="17">
        <v>2180810</v>
      </c>
      <c r="P4" s="40"/>
      <c r="Q4" s="17">
        <v>1221131</v>
      </c>
      <c r="R4" s="40"/>
      <c r="S4" s="17">
        <v>393606</v>
      </c>
      <c r="T4" s="40"/>
      <c r="U4" s="17">
        <v>4099105</v>
      </c>
      <c r="V4" s="40"/>
      <c r="W4" s="17">
        <v>944403</v>
      </c>
      <c r="X4" s="40"/>
      <c r="Y4" s="17">
        <v>3750354</v>
      </c>
      <c r="Z4" s="40"/>
      <c r="AA4" s="17">
        <v>1966699</v>
      </c>
      <c r="AB4" s="40"/>
      <c r="AC4" s="17">
        <v>5043459</v>
      </c>
      <c r="AD4" s="40"/>
      <c r="AE4" s="7">
        <v>7181313</v>
      </c>
      <c r="AF4" s="40"/>
      <c r="AG4" s="7">
        <v>1269605</v>
      </c>
      <c r="AH4" s="40"/>
      <c r="AI4" s="17">
        <v>249703</v>
      </c>
      <c r="AJ4" s="40"/>
      <c r="AK4" s="17">
        <v>926552</v>
      </c>
      <c r="AL4" s="40"/>
      <c r="AM4" s="17">
        <v>1718923</v>
      </c>
      <c r="AN4" s="40"/>
      <c r="AO4" s="17">
        <v>1839562</v>
      </c>
      <c r="AP4" s="40"/>
      <c r="AQ4" s="38"/>
      <c r="AR4" s="17">
        <v>0</v>
      </c>
      <c r="AS4" s="28">
        <v>3419</v>
      </c>
      <c r="AT4" s="17"/>
      <c r="AU4" s="28">
        <v>1028</v>
      </c>
      <c r="AV4" s="17">
        <v>86558</v>
      </c>
      <c r="AW4" s="40"/>
      <c r="AX4" s="17">
        <v>10964</v>
      </c>
      <c r="AY4" s="40"/>
      <c r="AZ4" s="17">
        <v>6756168</v>
      </c>
      <c r="BA4" s="40"/>
      <c r="BB4" s="17">
        <v>1161965</v>
      </c>
      <c r="BC4" s="40"/>
      <c r="BD4" s="22">
        <v>11</v>
      </c>
      <c r="BE4" s="22">
        <v>152</v>
      </c>
    </row>
    <row r="5" spans="1:57" ht="45" customHeight="1" x14ac:dyDescent="0.3">
      <c r="A5" s="8">
        <v>43863</v>
      </c>
      <c r="B5" s="36"/>
      <c r="C5" s="17">
        <v>25316816</v>
      </c>
      <c r="D5" s="9">
        <f>IF((C5-C4&lt;0), "0",C5-C4)</f>
        <v>7565</v>
      </c>
      <c r="E5" s="17">
        <v>26090229</v>
      </c>
      <c r="F5" s="9">
        <f>IF((E5-E4&lt;0), "0",E5-E4)</f>
        <v>5486</v>
      </c>
      <c r="G5" s="17">
        <v>11043169</v>
      </c>
      <c r="H5" s="9">
        <f>IF((G5-G4&lt;0), "0",G5-G4)</f>
        <v>3864</v>
      </c>
      <c r="I5" s="17">
        <v>1552554</v>
      </c>
      <c r="J5" s="9">
        <f>IF((I5-I4&lt;0), "0",I5-I4)</f>
        <v>489</v>
      </c>
      <c r="K5" s="17">
        <v>3132832</v>
      </c>
      <c r="L5" s="9">
        <f>IF((K5-K4&lt;0), "0",K5-K4)</f>
        <v>790</v>
      </c>
      <c r="M5" s="17">
        <v>4553539</v>
      </c>
      <c r="N5" s="9">
        <f>IF((M5-M4&lt;0), "0",M5-M4)</f>
        <v>1366</v>
      </c>
      <c r="O5" s="17">
        <v>2181416</v>
      </c>
      <c r="P5" s="9">
        <f>IF((O5-O4&lt;0), "0",O5-O4)</f>
        <v>606</v>
      </c>
      <c r="Q5" s="17">
        <v>1221478</v>
      </c>
      <c r="R5" s="9">
        <f>IF((Q5-Q4&lt;0), "0",Q5-Q4)</f>
        <v>347</v>
      </c>
      <c r="S5" s="17">
        <v>393690</v>
      </c>
      <c r="T5" s="9">
        <f>IF((S5-S4&lt;0), "0",S5-S4)</f>
        <v>84</v>
      </c>
      <c r="U5" s="17">
        <v>4100040</v>
      </c>
      <c r="V5" s="9">
        <f t="shared" ref="V5:AP15" si="0">IF((U5-U4&lt;0), "",U5-U4)</f>
        <v>935</v>
      </c>
      <c r="W5" s="17">
        <v>944598</v>
      </c>
      <c r="X5" s="9">
        <f t="shared" si="0"/>
        <v>195</v>
      </c>
      <c r="Y5" s="17">
        <v>3751344</v>
      </c>
      <c r="Z5" s="9">
        <f t="shared" si="0"/>
        <v>990</v>
      </c>
      <c r="AA5" s="17">
        <v>1966702</v>
      </c>
      <c r="AB5" s="9">
        <f t="shared" si="0"/>
        <v>3</v>
      </c>
      <c r="AC5" s="17">
        <v>5044869</v>
      </c>
      <c r="AD5" s="9">
        <f t="shared" si="0"/>
        <v>1410</v>
      </c>
      <c r="AE5" s="7">
        <v>7183148</v>
      </c>
      <c r="AF5" s="9">
        <f t="shared" si="0"/>
        <v>1835</v>
      </c>
      <c r="AG5" s="7">
        <v>1269836</v>
      </c>
      <c r="AH5" s="9">
        <f t="shared" si="0"/>
        <v>231</v>
      </c>
      <c r="AI5" s="17">
        <v>249777</v>
      </c>
      <c r="AJ5" s="9">
        <f t="shared" si="0"/>
        <v>74</v>
      </c>
      <c r="AK5" s="17">
        <v>926879</v>
      </c>
      <c r="AL5" s="9">
        <f t="shared" si="0"/>
        <v>327</v>
      </c>
      <c r="AM5" s="17">
        <v>1719501</v>
      </c>
      <c r="AN5" s="9">
        <f t="shared" si="0"/>
        <v>578</v>
      </c>
      <c r="AO5" s="17">
        <v>1840409</v>
      </c>
      <c r="AP5" s="9">
        <f t="shared" si="0"/>
        <v>847</v>
      </c>
      <c r="AQ5" s="39"/>
      <c r="AR5" s="17">
        <v>0</v>
      </c>
      <c r="AS5" s="9">
        <v>0</v>
      </c>
      <c r="AT5" s="17">
        <v>0</v>
      </c>
      <c r="AU5" s="9">
        <v>0</v>
      </c>
      <c r="AV5" s="17">
        <v>86581</v>
      </c>
      <c r="AW5" s="9">
        <f t="shared" ref="AW5:AW34" si="1">IF((AV5-AV4&lt;0), "",AV5-AV4)</f>
        <v>23</v>
      </c>
      <c r="AX5" s="17">
        <v>10966</v>
      </c>
      <c r="AY5" s="9">
        <f t="shared" ref="AY5:AY34" si="2">IF((AX5-AX4&lt;0), "",AX5-AX4)</f>
        <v>2</v>
      </c>
      <c r="AZ5" s="17">
        <v>6758263</v>
      </c>
      <c r="BA5" s="9">
        <f t="shared" ref="BA5:BA34" si="3">IF((AZ5-AZ4&lt;0), "",AZ5-AZ4)</f>
        <v>2095</v>
      </c>
      <c r="BB5" s="17">
        <v>1163076</v>
      </c>
      <c r="BC5" s="9">
        <f t="shared" ref="BC5:BC34" si="4">IF((BB5-BB4&lt;0), "",BB5-BB4)</f>
        <v>1111</v>
      </c>
      <c r="BD5" s="20">
        <v>123</v>
      </c>
      <c r="BE5" s="20">
        <v>154</v>
      </c>
    </row>
    <row r="6" spans="1:57" ht="42.75" customHeight="1" x14ac:dyDescent="0.3">
      <c r="A6" s="8">
        <v>43864</v>
      </c>
      <c r="B6" s="36"/>
      <c r="C6" s="17">
        <v>25323903</v>
      </c>
      <c r="D6" s="9">
        <f t="shared" ref="D6:D34" si="5">IF((C6-C5&lt;0), "0",C6-C5)</f>
        <v>7087</v>
      </c>
      <c r="E6" s="17">
        <v>26095553</v>
      </c>
      <c r="F6" s="9">
        <f t="shared" ref="F6:F34" si="6">IF((E6-E5&lt;0), "0",E6-E5)</f>
        <v>5324</v>
      </c>
      <c r="G6" s="17">
        <v>11046969</v>
      </c>
      <c r="H6" s="9">
        <f t="shared" ref="H6:H34" si="7">IF((G6-G5&lt;0), "0",G6-G5)</f>
        <v>3800</v>
      </c>
      <c r="I6" s="17">
        <v>1553030</v>
      </c>
      <c r="J6" s="9">
        <f t="shared" ref="J6:L34" si="8">IF((I6-I5&lt;0), "0",I6-I5)</f>
        <v>476</v>
      </c>
      <c r="K6" s="17">
        <v>3133609</v>
      </c>
      <c r="L6" s="9">
        <f t="shared" si="8"/>
        <v>777</v>
      </c>
      <c r="M6" s="17">
        <v>4554755</v>
      </c>
      <c r="N6" s="9">
        <f t="shared" ref="N6" si="9">IF((M6-M5&lt;0), "0",M6-M5)</f>
        <v>1216</v>
      </c>
      <c r="O6" s="17">
        <v>2181978</v>
      </c>
      <c r="P6" s="9">
        <f t="shared" ref="P6" si="10">IF((O6-O5&lt;0), "0",O6-O5)</f>
        <v>562</v>
      </c>
      <c r="Q6" s="17">
        <v>1221817</v>
      </c>
      <c r="R6" s="9">
        <f t="shared" ref="R6" si="11">IF((Q6-Q5&lt;0), "0",Q6-Q5)</f>
        <v>339</v>
      </c>
      <c r="S6" s="17">
        <v>393772</v>
      </c>
      <c r="T6" s="9">
        <f t="shared" ref="T6" si="12">IF((S6-S5&lt;0), "0",S6-S5)</f>
        <v>82</v>
      </c>
      <c r="U6" s="17">
        <v>4100810</v>
      </c>
      <c r="V6" s="9">
        <f t="shared" si="0"/>
        <v>770</v>
      </c>
      <c r="W6" s="17">
        <v>944698</v>
      </c>
      <c r="X6" s="9">
        <f t="shared" si="0"/>
        <v>100</v>
      </c>
      <c r="Y6" s="17">
        <v>3752411</v>
      </c>
      <c r="Z6" s="9">
        <f t="shared" si="0"/>
        <v>1067</v>
      </c>
      <c r="AA6" s="17">
        <v>1966704</v>
      </c>
      <c r="AB6" s="9">
        <f t="shared" si="0"/>
        <v>2</v>
      </c>
      <c r="AC6" s="17">
        <v>5046253</v>
      </c>
      <c r="AD6" s="9">
        <f t="shared" si="0"/>
        <v>1384</v>
      </c>
      <c r="AE6" s="7">
        <v>7184929</v>
      </c>
      <c r="AF6" s="9">
        <f t="shared" si="0"/>
        <v>1781</v>
      </c>
      <c r="AG6" s="7">
        <v>1270066</v>
      </c>
      <c r="AH6" s="9">
        <f t="shared" si="0"/>
        <v>230</v>
      </c>
      <c r="AI6" s="17">
        <v>249850</v>
      </c>
      <c r="AJ6" s="9">
        <f t="shared" si="0"/>
        <v>73</v>
      </c>
      <c r="AK6" s="17">
        <v>927208</v>
      </c>
      <c r="AL6" s="9">
        <f t="shared" si="0"/>
        <v>329</v>
      </c>
      <c r="AM6" s="17">
        <v>1720063</v>
      </c>
      <c r="AN6" s="9">
        <f t="shared" si="0"/>
        <v>562</v>
      </c>
      <c r="AO6" s="17">
        <v>1841164</v>
      </c>
      <c r="AP6" s="9">
        <f t="shared" si="0"/>
        <v>755</v>
      </c>
      <c r="AQ6" s="38"/>
      <c r="AR6" s="17">
        <v>0</v>
      </c>
      <c r="AS6" s="9">
        <v>0</v>
      </c>
      <c r="AT6" s="17">
        <v>0</v>
      </c>
      <c r="AU6" s="9">
        <v>0</v>
      </c>
      <c r="AV6" s="17">
        <v>86599</v>
      </c>
      <c r="AW6" s="9">
        <f t="shared" si="1"/>
        <v>18</v>
      </c>
      <c r="AX6" s="17">
        <v>10968</v>
      </c>
      <c r="AY6" s="9">
        <f t="shared" si="2"/>
        <v>2</v>
      </c>
      <c r="AZ6" s="17">
        <v>6760304</v>
      </c>
      <c r="BA6" s="9">
        <f t="shared" si="3"/>
        <v>2041</v>
      </c>
      <c r="BB6" s="17">
        <v>1164167</v>
      </c>
      <c r="BC6" s="9">
        <f t="shared" si="4"/>
        <v>1091</v>
      </c>
      <c r="BD6" s="20">
        <v>134</v>
      </c>
      <c r="BE6" s="20">
        <v>170</v>
      </c>
    </row>
    <row r="7" spans="1:57" ht="45" customHeight="1" x14ac:dyDescent="0.3">
      <c r="A7" s="8">
        <v>43865</v>
      </c>
      <c r="B7" s="36"/>
      <c r="C7" s="17">
        <v>25331959</v>
      </c>
      <c r="D7" s="9">
        <f t="shared" si="5"/>
        <v>8056</v>
      </c>
      <c r="E7" s="17">
        <v>26101158</v>
      </c>
      <c r="F7" s="9">
        <f t="shared" si="6"/>
        <v>5605</v>
      </c>
      <c r="G7" s="17">
        <v>11050992</v>
      </c>
      <c r="H7" s="9">
        <f t="shared" si="7"/>
        <v>4023</v>
      </c>
      <c r="I7" s="17">
        <v>1553636</v>
      </c>
      <c r="J7" s="9">
        <f t="shared" si="8"/>
        <v>606</v>
      </c>
      <c r="K7" s="17">
        <v>3134440</v>
      </c>
      <c r="L7" s="9">
        <f t="shared" si="8"/>
        <v>831</v>
      </c>
      <c r="M7" s="17">
        <v>4556122</v>
      </c>
      <c r="N7" s="9">
        <f t="shared" ref="N7" si="13">IF((M7-M6&lt;0), "0",M7-M6)</f>
        <v>1367</v>
      </c>
      <c r="O7" s="17">
        <v>2182591</v>
      </c>
      <c r="P7" s="9">
        <f t="shared" ref="P7" si="14">IF((O7-O6&lt;0), "0",O7-O6)</f>
        <v>613</v>
      </c>
      <c r="Q7" s="17">
        <v>1222172</v>
      </c>
      <c r="R7" s="9">
        <f t="shared" ref="R7" si="15">IF((Q7-Q6&lt;0), "0",Q7-Q6)</f>
        <v>355</v>
      </c>
      <c r="S7" s="17">
        <v>393859</v>
      </c>
      <c r="T7" s="9">
        <f t="shared" ref="T7" si="16">IF((S7-S6&lt;0), "0",S7-S6)</f>
        <v>87</v>
      </c>
      <c r="U7" s="17">
        <v>4101932</v>
      </c>
      <c r="V7" s="9">
        <f t="shared" si="0"/>
        <v>1122</v>
      </c>
      <c r="W7" s="17">
        <v>944952</v>
      </c>
      <c r="X7" s="9">
        <f t="shared" si="0"/>
        <v>254</v>
      </c>
      <c r="Y7" s="17">
        <v>3753482</v>
      </c>
      <c r="Z7" s="9">
        <f t="shared" si="0"/>
        <v>1071</v>
      </c>
      <c r="AA7" s="17">
        <v>1966706</v>
      </c>
      <c r="AB7" s="9">
        <f t="shared" si="0"/>
        <v>2</v>
      </c>
      <c r="AC7" s="17">
        <v>5047721</v>
      </c>
      <c r="AD7" s="9">
        <f t="shared" si="0"/>
        <v>1468</v>
      </c>
      <c r="AE7" s="7">
        <v>7186807</v>
      </c>
      <c r="AF7" s="9">
        <f t="shared" si="0"/>
        <v>1878</v>
      </c>
      <c r="AG7" s="7">
        <v>1270319</v>
      </c>
      <c r="AH7" s="9">
        <f t="shared" si="0"/>
        <v>253</v>
      </c>
      <c r="AI7" s="17">
        <v>249926</v>
      </c>
      <c r="AJ7" s="9">
        <f t="shared" si="0"/>
        <v>76</v>
      </c>
      <c r="AK7" s="17">
        <v>927584</v>
      </c>
      <c r="AL7" s="9">
        <f t="shared" si="0"/>
        <v>376</v>
      </c>
      <c r="AM7" s="17">
        <v>1720655</v>
      </c>
      <c r="AN7" s="9">
        <f t="shared" si="0"/>
        <v>592</v>
      </c>
      <c r="AO7" s="17">
        <v>1841852</v>
      </c>
      <c r="AP7" s="9">
        <f t="shared" si="0"/>
        <v>688</v>
      </c>
      <c r="AQ7" s="38"/>
      <c r="AR7" s="17">
        <v>0</v>
      </c>
      <c r="AS7" s="9">
        <v>0</v>
      </c>
      <c r="AT7" s="17">
        <v>0</v>
      </c>
      <c r="AU7" s="9">
        <v>0</v>
      </c>
      <c r="AV7" s="17">
        <v>86618</v>
      </c>
      <c r="AW7" s="9">
        <f t="shared" si="1"/>
        <v>19</v>
      </c>
      <c r="AX7" s="17">
        <v>10973</v>
      </c>
      <c r="AY7" s="9">
        <f t="shared" si="2"/>
        <v>5</v>
      </c>
      <c r="AZ7" s="17">
        <v>6762614</v>
      </c>
      <c r="BA7" s="9">
        <f t="shared" si="3"/>
        <v>2310</v>
      </c>
      <c r="BB7" s="17">
        <v>1165311</v>
      </c>
      <c r="BC7" s="9">
        <f t="shared" si="4"/>
        <v>1144</v>
      </c>
      <c r="BD7" s="20">
        <v>145</v>
      </c>
      <c r="BE7" s="20">
        <v>192</v>
      </c>
    </row>
    <row r="8" spans="1:57" ht="45" customHeight="1" x14ac:dyDescent="0.3">
      <c r="A8" s="8">
        <v>43866</v>
      </c>
      <c r="B8" s="36"/>
      <c r="C8" s="17">
        <v>25339869</v>
      </c>
      <c r="D8" s="9">
        <f t="shared" si="5"/>
        <v>7910</v>
      </c>
      <c r="E8" s="17">
        <v>26106828</v>
      </c>
      <c r="F8" s="9">
        <f t="shared" si="6"/>
        <v>5670</v>
      </c>
      <c r="G8" s="17">
        <v>11055042</v>
      </c>
      <c r="H8" s="9">
        <f t="shared" si="7"/>
        <v>4050</v>
      </c>
      <c r="I8" s="17">
        <v>1553998</v>
      </c>
      <c r="J8" s="9">
        <f t="shared" si="8"/>
        <v>362</v>
      </c>
      <c r="K8" s="17">
        <v>3135251</v>
      </c>
      <c r="L8" s="9">
        <f t="shared" si="8"/>
        <v>811</v>
      </c>
      <c r="M8" s="17">
        <v>4557530</v>
      </c>
      <c r="N8" s="9">
        <f t="shared" ref="N8" si="17">IF((M8-M7&lt;0), "0",M8-M7)</f>
        <v>1408</v>
      </c>
      <c r="O8" s="17">
        <v>2183252</v>
      </c>
      <c r="P8" s="9">
        <f t="shared" ref="P8" si="18">IF((O8-O7&lt;0), "0",O8-O7)</f>
        <v>661</v>
      </c>
      <c r="Q8" s="17">
        <v>1222553</v>
      </c>
      <c r="R8" s="9">
        <f t="shared" ref="R8" si="19">IF((Q8-Q7&lt;0), "0",Q8-Q7)</f>
        <v>381</v>
      </c>
      <c r="S8" s="17">
        <v>393977</v>
      </c>
      <c r="T8" s="9">
        <f t="shared" ref="T8" si="20">IF((S8-S7&lt;0), "0",S8-S7)</f>
        <v>118</v>
      </c>
      <c r="U8" s="17">
        <v>4103005</v>
      </c>
      <c r="V8" s="9">
        <f t="shared" si="0"/>
        <v>1073</v>
      </c>
      <c r="W8" s="17">
        <v>945162</v>
      </c>
      <c r="X8" s="9">
        <f t="shared" si="0"/>
        <v>210</v>
      </c>
      <c r="Y8" s="17">
        <v>3754523</v>
      </c>
      <c r="Z8" s="9">
        <f t="shared" si="0"/>
        <v>1041</v>
      </c>
      <c r="AA8" s="17">
        <v>1966708</v>
      </c>
      <c r="AB8" s="9">
        <f t="shared" si="0"/>
        <v>2</v>
      </c>
      <c r="AC8" s="17">
        <v>5049174</v>
      </c>
      <c r="AD8" s="9">
        <f t="shared" si="0"/>
        <v>1453</v>
      </c>
      <c r="AE8" s="7">
        <v>7188721</v>
      </c>
      <c r="AF8" s="9">
        <f t="shared" si="0"/>
        <v>1914</v>
      </c>
      <c r="AG8" s="7">
        <v>1270555</v>
      </c>
      <c r="AH8" s="9">
        <f t="shared" si="0"/>
        <v>236</v>
      </c>
      <c r="AI8" s="17">
        <v>250002</v>
      </c>
      <c r="AJ8" s="9">
        <f t="shared" si="0"/>
        <v>76</v>
      </c>
      <c r="AK8" s="17">
        <v>927953</v>
      </c>
      <c r="AL8" s="9">
        <f t="shared" si="0"/>
        <v>369</v>
      </c>
      <c r="AM8" s="17">
        <v>1721231</v>
      </c>
      <c r="AN8" s="9">
        <f t="shared" si="0"/>
        <v>576</v>
      </c>
      <c r="AO8" s="17">
        <v>1842512</v>
      </c>
      <c r="AP8" s="9">
        <f t="shared" si="0"/>
        <v>660</v>
      </c>
      <c r="AQ8" s="38"/>
      <c r="AR8" s="17">
        <v>0</v>
      </c>
      <c r="AS8" s="9">
        <v>0</v>
      </c>
      <c r="AT8" s="17">
        <v>0</v>
      </c>
      <c r="AU8" s="9">
        <v>0</v>
      </c>
      <c r="AV8" s="17">
        <v>86638</v>
      </c>
      <c r="AW8" s="9">
        <f t="shared" si="1"/>
        <v>20</v>
      </c>
      <c r="AX8" s="17">
        <v>10974</v>
      </c>
      <c r="AY8" s="9">
        <f t="shared" si="2"/>
        <v>1</v>
      </c>
      <c r="AZ8" s="17">
        <v>6764836</v>
      </c>
      <c r="BA8" s="9">
        <f t="shared" si="3"/>
        <v>2222</v>
      </c>
      <c r="BB8" s="17">
        <v>1166411</v>
      </c>
      <c r="BC8" s="9">
        <f t="shared" si="4"/>
        <v>1100</v>
      </c>
      <c r="BD8" s="20">
        <v>138</v>
      </c>
      <c r="BE8" s="20">
        <v>187</v>
      </c>
    </row>
    <row r="9" spans="1:57" ht="45" customHeight="1" x14ac:dyDescent="0.3">
      <c r="A9" s="8">
        <v>43867</v>
      </c>
      <c r="B9" s="36"/>
      <c r="C9" s="17">
        <v>25347780</v>
      </c>
      <c r="D9" s="9">
        <f t="shared" si="5"/>
        <v>7911</v>
      </c>
      <c r="E9" s="17">
        <v>26112374</v>
      </c>
      <c r="F9" s="9">
        <f t="shared" si="6"/>
        <v>5546</v>
      </c>
      <c r="G9" s="17">
        <v>11058870</v>
      </c>
      <c r="H9" s="9">
        <f t="shared" si="7"/>
        <v>3828</v>
      </c>
      <c r="I9" s="17">
        <v>1554470</v>
      </c>
      <c r="J9" s="9">
        <f t="shared" si="8"/>
        <v>472</v>
      </c>
      <c r="K9" s="17">
        <v>3136083</v>
      </c>
      <c r="L9" s="9">
        <f t="shared" si="8"/>
        <v>832</v>
      </c>
      <c r="M9" s="17">
        <v>4558844</v>
      </c>
      <c r="N9" s="9">
        <f t="shared" ref="N9" si="21">IF((M9-M8&lt;0), "0",M9-M8)</f>
        <v>1314</v>
      </c>
      <c r="O9" s="17">
        <v>2183876</v>
      </c>
      <c r="P9" s="9">
        <f t="shared" ref="P9" si="22">IF((O9-O8&lt;0), "0",O9-O8)</f>
        <v>624</v>
      </c>
      <c r="Q9" s="17">
        <v>1222908</v>
      </c>
      <c r="R9" s="9">
        <f t="shared" ref="R9" si="23">IF((Q9-Q8&lt;0), "0",Q9-Q8)</f>
        <v>355</v>
      </c>
      <c r="S9" s="17">
        <v>394030</v>
      </c>
      <c r="T9" s="9">
        <f t="shared" ref="T9" si="24">IF((S9-S8&lt;0), "0",S9-S8)</f>
        <v>53</v>
      </c>
      <c r="U9" s="17">
        <v>4104133</v>
      </c>
      <c r="V9" s="9">
        <f t="shared" si="0"/>
        <v>1128</v>
      </c>
      <c r="W9" s="17">
        <v>945388</v>
      </c>
      <c r="X9" s="9">
        <f t="shared" si="0"/>
        <v>226</v>
      </c>
      <c r="Y9" s="17">
        <v>3755611</v>
      </c>
      <c r="Z9" s="9">
        <f t="shared" si="0"/>
        <v>1088</v>
      </c>
      <c r="AA9" s="17">
        <v>1966711</v>
      </c>
      <c r="AB9" s="9">
        <f t="shared" si="0"/>
        <v>3</v>
      </c>
      <c r="AC9" s="17">
        <v>5050583</v>
      </c>
      <c r="AD9" s="9">
        <f t="shared" si="0"/>
        <v>1409</v>
      </c>
      <c r="AE9" s="7">
        <v>7190664</v>
      </c>
      <c r="AF9" s="9">
        <f t="shared" si="0"/>
        <v>1943</v>
      </c>
      <c r="AG9" s="7">
        <v>1270791</v>
      </c>
      <c r="AH9" s="9">
        <f t="shared" si="0"/>
        <v>236</v>
      </c>
      <c r="AI9" s="17">
        <v>250079</v>
      </c>
      <c r="AJ9" s="9">
        <f t="shared" si="0"/>
        <v>77</v>
      </c>
      <c r="AK9" s="17">
        <v>928312</v>
      </c>
      <c r="AL9" s="9">
        <f t="shared" si="0"/>
        <v>359</v>
      </c>
      <c r="AM9" s="17">
        <v>1721814</v>
      </c>
      <c r="AN9" s="9">
        <f t="shared" si="0"/>
        <v>583</v>
      </c>
      <c r="AO9" s="17">
        <v>1843184</v>
      </c>
      <c r="AP9" s="9">
        <f t="shared" si="0"/>
        <v>672</v>
      </c>
      <c r="AQ9" s="38"/>
      <c r="AR9" s="17">
        <v>0</v>
      </c>
      <c r="AS9" s="9">
        <v>0</v>
      </c>
      <c r="AT9" s="17">
        <v>0</v>
      </c>
      <c r="AU9" s="9">
        <v>0</v>
      </c>
      <c r="AV9" s="17">
        <v>86657</v>
      </c>
      <c r="AW9" s="9">
        <f t="shared" si="1"/>
        <v>19</v>
      </c>
      <c r="AX9" s="17">
        <v>10975</v>
      </c>
      <c r="AY9" s="9">
        <f t="shared" si="2"/>
        <v>1</v>
      </c>
      <c r="AZ9" s="17">
        <v>6767443</v>
      </c>
      <c r="BA9" s="9">
        <f t="shared" si="3"/>
        <v>2607</v>
      </c>
      <c r="BB9" s="17">
        <v>1167507</v>
      </c>
      <c r="BC9" s="9">
        <f t="shared" si="4"/>
        <v>1096</v>
      </c>
      <c r="BD9" s="20">
        <v>131</v>
      </c>
      <c r="BE9" s="20">
        <v>175</v>
      </c>
    </row>
    <row r="10" spans="1:57" ht="45" customHeight="1" x14ac:dyDescent="0.3">
      <c r="A10" s="8">
        <v>43868</v>
      </c>
      <c r="B10" s="36"/>
      <c r="C10" s="17">
        <v>25355810</v>
      </c>
      <c r="D10" s="9">
        <f t="shared" si="5"/>
        <v>8030</v>
      </c>
      <c r="E10" s="17">
        <v>26117853</v>
      </c>
      <c r="F10" s="9">
        <f t="shared" si="6"/>
        <v>5479</v>
      </c>
      <c r="G10" s="17">
        <v>11062799</v>
      </c>
      <c r="H10" s="9">
        <f t="shared" si="7"/>
        <v>3929</v>
      </c>
      <c r="I10" s="17">
        <v>1554961</v>
      </c>
      <c r="J10" s="9">
        <f t="shared" si="8"/>
        <v>491</v>
      </c>
      <c r="K10" s="17">
        <v>3136907</v>
      </c>
      <c r="L10" s="9">
        <f t="shared" si="8"/>
        <v>824</v>
      </c>
      <c r="M10" s="17">
        <v>4560281</v>
      </c>
      <c r="N10" s="9">
        <f t="shared" ref="N10" si="25">IF((M10-M9&lt;0), "0",M10-M9)</f>
        <v>1437</v>
      </c>
      <c r="O10" s="17">
        <v>2184542</v>
      </c>
      <c r="P10" s="9">
        <f t="shared" ref="P10" si="26">IF((O10-O9&lt;0), "0",O10-O9)</f>
        <v>666</v>
      </c>
      <c r="Q10" s="17">
        <v>1223261</v>
      </c>
      <c r="R10" s="9">
        <f t="shared" ref="R10" si="27">IF((Q10-Q9&lt;0), "0",Q10-Q9)</f>
        <v>353</v>
      </c>
      <c r="S10" s="17">
        <v>394115</v>
      </c>
      <c r="T10" s="9">
        <f t="shared" ref="T10" si="28">IF((S10-S9&lt;0), "0",S10-S9)</f>
        <v>85</v>
      </c>
      <c r="U10" s="17">
        <v>4105226</v>
      </c>
      <c r="V10" s="9">
        <f t="shared" si="0"/>
        <v>1093</v>
      </c>
      <c r="W10" s="17">
        <v>945641</v>
      </c>
      <c r="X10" s="9">
        <f t="shared" si="0"/>
        <v>253</v>
      </c>
      <c r="Y10" s="17">
        <v>3756669</v>
      </c>
      <c r="Z10" s="9">
        <f t="shared" si="0"/>
        <v>1058</v>
      </c>
      <c r="AA10" s="17">
        <v>1966713</v>
      </c>
      <c r="AB10" s="9">
        <f t="shared" si="0"/>
        <v>2</v>
      </c>
      <c r="AC10" s="17">
        <v>5052044</v>
      </c>
      <c r="AD10" s="9">
        <f t="shared" si="0"/>
        <v>1461</v>
      </c>
      <c r="AE10" s="7">
        <v>7192502</v>
      </c>
      <c r="AF10" s="9">
        <f t="shared" si="0"/>
        <v>1838</v>
      </c>
      <c r="AG10" s="7">
        <v>1271024</v>
      </c>
      <c r="AH10" s="9">
        <f t="shared" si="0"/>
        <v>233</v>
      </c>
      <c r="AI10" s="17">
        <v>250155</v>
      </c>
      <c r="AJ10" s="9">
        <f t="shared" si="0"/>
        <v>76</v>
      </c>
      <c r="AK10" s="17">
        <v>928651</v>
      </c>
      <c r="AL10" s="9">
        <f t="shared" si="0"/>
        <v>339</v>
      </c>
      <c r="AM10" s="17">
        <v>1722396</v>
      </c>
      <c r="AN10" s="9">
        <f t="shared" si="0"/>
        <v>582</v>
      </c>
      <c r="AO10" s="17">
        <v>1843824</v>
      </c>
      <c r="AP10" s="9">
        <f t="shared" si="0"/>
        <v>640</v>
      </c>
      <c r="AQ10" s="38"/>
      <c r="AR10" s="17">
        <v>0</v>
      </c>
      <c r="AS10" s="9">
        <v>0</v>
      </c>
      <c r="AT10" s="17">
        <v>0</v>
      </c>
      <c r="AU10" s="9">
        <v>0</v>
      </c>
      <c r="AV10" s="17">
        <v>86676</v>
      </c>
      <c r="AW10" s="9">
        <f t="shared" si="1"/>
        <v>19</v>
      </c>
      <c r="AX10" s="17">
        <v>10977</v>
      </c>
      <c r="AY10" s="9">
        <f t="shared" si="2"/>
        <v>2</v>
      </c>
      <c r="AZ10" s="17">
        <v>6769846</v>
      </c>
      <c r="BA10" s="9">
        <f t="shared" si="3"/>
        <v>2403</v>
      </c>
      <c r="BB10" s="17">
        <v>1168601</v>
      </c>
      <c r="BC10" s="9">
        <f t="shared" si="4"/>
        <v>1094</v>
      </c>
      <c r="BD10" s="20">
        <v>114</v>
      </c>
      <c r="BE10" s="20">
        <v>160</v>
      </c>
    </row>
    <row r="11" spans="1:57" ht="45" customHeight="1" x14ac:dyDescent="0.3">
      <c r="A11" s="8">
        <v>43869</v>
      </c>
      <c r="B11" s="36"/>
      <c r="C11" s="17">
        <v>25363355</v>
      </c>
      <c r="D11" s="9">
        <f t="shared" si="5"/>
        <v>7545</v>
      </c>
      <c r="E11" s="17">
        <v>26123216</v>
      </c>
      <c r="F11" s="9">
        <f t="shared" si="6"/>
        <v>5363</v>
      </c>
      <c r="G11" s="17">
        <v>11066648</v>
      </c>
      <c r="H11" s="9">
        <f t="shared" si="7"/>
        <v>3849</v>
      </c>
      <c r="I11" s="17">
        <v>1555444</v>
      </c>
      <c r="J11" s="9">
        <f t="shared" si="8"/>
        <v>483</v>
      </c>
      <c r="K11" s="17">
        <v>3137718</v>
      </c>
      <c r="L11" s="9">
        <f t="shared" si="8"/>
        <v>811</v>
      </c>
      <c r="M11" s="17">
        <v>4561541</v>
      </c>
      <c r="N11" s="9">
        <f t="shared" ref="N11" si="29">IF((M11-M10&lt;0), "0",M11-M10)</f>
        <v>1260</v>
      </c>
      <c r="O11" s="17">
        <v>2185206</v>
      </c>
      <c r="P11" s="9">
        <f t="shared" ref="P11" si="30">IF((O11-O10&lt;0), "0",O11-O10)</f>
        <v>664</v>
      </c>
      <c r="Q11" s="17">
        <v>1223616</v>
      </c>
      <c r="R11" s="9">
        <f t="shared" ref="R11" si="31">IF((Q11-Q10&lt;0), "0",Q11-Q10)</f>
        <v>355</v>
      </c>
      <c r="S11" s="17">
        <v>394199</v>
      </c>
      <c r="T11" s="9">
        <f t="shared" ref="T11" si="32">IF((S11-S10&lt;0), "0",S11-S10)</f>
        <v>84</v>
      </c>
      <c r="U11" s="17">
        <v>4106155</v>
      </c>
      <c r="V11" s="9">
        <f t="shared" si="0"/>
        <v>929</v>
      </c>
      <c r="W11" s="17">
        <v>945774</v>
      </c>
      <c r="X11" s="9">
        <f t="shared" si="0"/>
        <v>133</v>
      </c>
      <c r="Y11" s="17">
        <v>3757742</v>
      </c>
      <c r="Z11" s="9">
        <f t="shared" si="0"/>
        <v>1073</v>
      </c>
      <c r="AA11" s="17">
        <v>1966715</v>
      </c>
      <c r="AB11" s="9">
        <f t="shared" si="0"/>
        <v>2</v>
      </c>
      <c r="AC11" s="17">
        <v>5053466</v>
      </c>
      <c r="AD11" s="9">
        <f t="shared" si="0"/>
        <v>1422</v>
      </c>
      <c r="AE11" s="7">
        <v>7194210</v>
      </c>
      <c r="AF11" s="9">
        <f t="shared" si="0"/>
        <v>1708</v>
      </c>
      <c r="AG11" s="7">
        <v>1271252</v>
      </c>
      <c r="AH11" s="9">
        <f t="shared" si="0"/>
        <v>228</v>
      </c>
      <c r="AI11" s="17">
        <v>250229</v>
      </c>
      <c r="AJ11" s="9">
        <f t="shared" si="0"/>
        <v>74</v>
      </c>
      <c r="AK11" s="17">
        <v>928994</v>
      </c>
      <c r="AL11" s="9">
        <f t="shared" si="0"/>
        <v>343</v>
      </c>
      <c r="AM11" s="17">
        <v>1722973</v>
      </c>
      <c r="AN11" s="9">
        <f t="shared" si="0"/>
        <v>577</v>
      </c>
      <c r="AO11" s="17">
        <v>1844543</v>
      </c>
      <c r="AP11" s="9">
        <f t="shared" si="0"/>
        <v>719</v>
      </c>
      <c r="AQ11" s="38"/>
      <c r="AR11" s="17">
        <v>0</v>
      </c>
      <c r="AS11" s="9">
        <v>0</v>
      </c>
      <c r="AT11" s="17">
        <v>0</v>
      </c>
      <c r="AU11" s="9">
        <v>0</v>
      </c>
      <c r="AV11" s="17">
        <v>86702</v>
      </c>
      <c r="AW11" s="9">
        <f t="shared" si="1"/>
        <v>26</v>
      </c>
      <c r="AX11" s="17">
        <v>10983</v>
      </c>
      <c r="AY11" s="9">
        <f t="shared" si="2"/>
        <v>6</v>
      </c>
      <c r="AZ11" s="17">
        <v>6772117</v>
      </c>
      <c r="BA11" s="9">
        <f t="shared" si="3"/>
        <v>2271</v>
      </c>
      <c r="BB11" s="17">
        <v>1169681</v>
      </c>
      <c r="BC11" s="9">
        <f t="shared" si="4"/>
        <v>1080</v>
      </c>
      <c r="BD11" s="20">
        <v>123</v>
      </c>
      <c r="BE11" s="20">
        <v>173</v>
      </c>
    </row>
    <row r="12" spans="1:57" ht="45" customHeight="1" x14ac:dyDescent="0.3">
      <c r="A12" s="8">
        <v>43870</v>
      </c>
      <c r="B12" s="36"/>
      <c r="C12" s="17">
        <v>25370777</v>
      </c>
      <c r="D12" s="9">
        <f t="shared" si="5"/>
        <v>7422</v>
      </c>
      <c r="E12" s="17">
        <v>26128455</v>
      </c>
      <c r="F12" s="9">
        <f t="shared" si="6"/>
        <v>5239</v>
      </c>
      <c r="G12" s="17">
        <v>11070598</v>
      </c>
      <c r="H12" s="9">
        <f t="shared" si="7"/>
        <v>3950</v>
      </c>
      <c r="I12" s="17">
        <v>1555890</v>
      </c>
      <c r="J12" s="9">
        <f t="shared" si="8"/>
        <v>446</v>
      </c>
      <c r="K12" s="17">
        <v>3138530</v>
      </c>
      <c r="L12" s="9">
        <f t="shared" si="8"/>
        <v>812</v>
      </c>
      <c r="M12" s="17">
        <v>4562813</v>
      </c>
      <c r="N12" s="9">
        <f t="shared" ref="N12" si="33">IF((M12-M11&lt;0), "0",M12-M11)</f>
        <v>1272</v>
      </c>
      <c r="O12" s="17">
        <v>2185850</v>
      </c>
      <c r="P12" s="9">
        <f t="shared" ref="P12" si="34">IF((O12-O11&lt;0), "0",O12-O11)</f>
        <v>644</v>
      </c>
      <c r="Q12" s="17">
        <v>1223967</v>
      </c>
      <c r="R12" s="9">
        <f t="shared" ref="R12" si="35">IF((Q12-Q11&lt;0), "0",Q12-Q11)</f>
        <v>351</v>
      </c>
      <c r="S12" s="17">
        <v>394284</v>
      </c>
      <c r="T12" s="9">
        <f t="shared" ref="T12" si="36">IF((S12-S11&lt;0), "0",S12-S11)</f>
        <v>85</v>
      </c>
      <c r="U12" s="17">
        <v>4107015</v>
      </c>
      <c r="V12" s="9">
        <f t="shared" si="0"/>
        <v>860</v>
      </c>
      <c r="W12" s="17">
        <v>945911</v>
      </c>
      <c r="X12" s="9">
        <f t="shared" si="0"/>
        <v>137</v>
      </c>
      <c r="Y12" s="17">
        <v>3758816</v>
      </c>
      <c r="Z12" s="9">
        <f t="shared" si="0"/>
        <v>1074</v>
      </c>
      <c r="AA12" s="17">
        <v>1966717</v>
      </c>
      <c r="AB12" s="9">
        <f t="shared" si="0"/>
        <v>2</v>
      </c>
      <c r="AC12" s="17">
        <v>5054914</v>
      </c>
      <c r="AD12" s="9">
        <f t="shared" si="0"/>
        <v>1448</v>
      </c>
      <c r="AE12" s="7">
        <v>7195976</v>
      </c>
      <c r="AF12" s="9">
        <f t="shared" si="0"/>
        <v>1766</v>
      </c>
      <c r="AG12" s="7">
        <v>1271488</v>
      </c>
      <c r="AH12" s="9">
        <f t="shared" si="0"/>
        <v>236</v>
      </c>
      <c r="AI12" s="17">
        <v>250305</v>
      </c>
      <c r="AJ12" s="9">
        <f t="shared" si="0"/>
        <v>76</v>
      </c>
      <c r="AK12" s="17">
        <v>929331</v>
      </c>
      <c r="AL12" s="9">
        <f t="shared" si="0"/>
        <v>337</v>
      </c>
      <c r="AM12" s="17">
        <v>1723562</v>
      </c>
      <c r="AN12" s="9">
        <f t="shared" si="0"/>
        <v>589</v>
      </c>
      <c r="AO12" s="17">
        <v>1845185</v>
      </c>
      <c r="AP12" s="9">
        <f t="shared" si="0"/>
        <v>642</v>
      </c>
      <c r="AQ12" s="38"/>
      <c r="AR12" s="17">
        <v>0</v>
      </c>
      <c r="AS12" s="9"/>
      <c r="AT12" s="17"/>
      <c r="AU12" s="9"/>
      <c r="AV12" s="17">
        <v>86728</v>
      </c>
      <c r="AW12" s="9">
        <f t="shared" si="1"/>
        <v>26</v>
      </c>
      <c r="AX12" s="17">
        <v>10987</v>
      </c>
      <c r="AY12" s="9">
        <f t="shared" si="2"/>
        <v>4</v>
      </c>
      <c r="AZ12" s="17">
        <v>6774366</v>
      </c>
      <c r="BA12" s="9">
        <f t="shared" si="3"/>
        <v>2249</v>
      </c>
      <c r="BB12" s="17">
        <v>1170806</v>
      </c>
      <c r="BC12" s="9">
        <f t="shared" si="4"/>
        <v>1125</v>
      </c>
      <c r="BD12" s="20">
        <v>102</v>
      </c>
      <c r="BE12" s="20">
        <v>137</v>
      </c>
    </row>
    <row r="13" spans="1:57" ht="45" customHeight="1" x14ac:dyDescent="0.3">
      <c r="A13" s="8">
        <v>43871</v>
      </c>
      <c r="B13" s="36"/>
      <c r="C13" s="17">
        <v>25378441</v>
      </c>
      <c r="D13" s="9">
        <f t="shared" si="5"/>
        <v>7664</v>
      </c>
      <c r="E13" s="17">
        <v>26133787</v>
      </c>
      <c r="F13" s="9">
        <f t="shared" si="6"/>
        <v>5332</v>
      </c>
      <c r="G13" s="17">
        <v>11074572</v>
      </c>
      <c r="H13" s="9">
        <f t="shared" si="7"/>
        <v>3974</v>
      </c>
      <c r="I13" s="17">
        <v>1556373</v>
      </c>
      <c r="J13" s="9">
        <f t="shared" si="8"/>
        <v>483</v>
      </c>
      <c r="K13" s="17">
        <v>3139370</v>
      </c>
      <c r="L13" s="9">
        <f t="shared" si="8"/>
        <v>840</v>
      </c>
      <c r="M13" s="17">
        <v>4564186</v>
      </c>
      <c r="N13" s="9">
        <f t="shared" ref="N13" si="37">IF((M13-M12&lt;0), "0",M13-M12)</f>
        <v>1373</v>
      </c>
      <c r="O13" s="17">
        <v>2186477</v>
      </c>
      <c r="P13" s="9">
        <f t="shared" ref="P13" si="38">IF((O13-O12&lt;0), "0",O13-O12)</f>
        <v>627</v>
      </c>
      <c r="Q13" s="17">
        <v>1224318</v>
      </c>
      <c r="R13" s="9">
        <f t="shared" ref="R13" si="39">IF((Q13-Q12&lt;0), "0",Q13-Q12)</f>
        <v>351</v>
      </c>
      <c r="S13" s="17">
        <v>394369</v>
      </c>
      <c r="T13" s="9">
        <f t="shared" ref="T13" si="40">IF((S13-S12&lt;0), "0",S13-S12)</f>
        <v>85</v>
      </c>
      <c r="U13" s="17">
        <v>4108008</v>
      </c>
      <c r="V13" s="9">
        <f t="shared" si="0"/>
        <v>993</v>
      </c>
      <c r="W13" s="17">
        <v>946052</v>
      </c>
      <c r="X13" s="9">
        <f t="shared" si="0"/>
        <v>141</v>
      </c>
      <c r="Y13" s="17">
        <v>3759827</v>
      </c>
      <c r="Z13" s="9">
        <f t="shared" si="0"/>
        <v>1011</v>
      </c>
      <c r="AA13" s="17">
        <v>1966720</v>
      </c>
      <c r="AB13" s="9">
        <f t="shared" si="0"/>
        <v>3</v>
      </c>
      <c r="AC13" s="17">
        <v>5056345</v>
      </c>
      <c r="AD13" s="9">
        <f t="shared" si="0"/>
        <v>1431</v>
      </c>
      <c r="AE13" s="7">
        <v>7197853</v>
      </c>
      <c r="AF13" s="9">
        <f t="shared" si="0"/>
        <v>1877</v>
      </c>
      <c r="AG13" s="7">
        <v>1271723</v>
      </c>
      <c r="AH13" s="9">
        <f t="shared" si="0"/>
        <v>235</v>
      </c>
      <c r="AI13" s="17">
        <v>250380</v>
      </c>
      <c r="AJ13" s="9">
        <f t="shared" si="0"/>
        <v>75</v>
      </c>
      <c r="AK13" s="17">
        <v>929668</v>
      </c>
      <c r="AL13" s="9">
        <f t="shared" si="0"/>
        <v>337</v>
      </c>
      <c r="AM13" s="17">
        <v>1724157</v>
      </c>
      <c r="AN13" s="9">
        <f t="shared" si="0"/>
        <v>595</v>
      </c>
      <c r="AO13" s="17">
        <v>1845872</v>
      </c>
      <c r="AP13" s="9">
        <f t="shared" si="0"/>
        <v>687</v>
      </c>
      <c r="AQ13" s="38"/>
      <c r="AR13" s="17">
        <v>0</v>
      </c>
      <c r="AS13" s="9">
        <v>220</v>
      </c>
      <c r="AT13" s="17">
        <v>0</v>
      </c>
      <c r="AU13" s="9">
        <v>519</v>
      </c>
      <c r="AV13" s="17">
        <v>86749</v>
      </c>
      <c r="AW13" s="9">
        <f t="shared" si="1"/>
        <v>21</v>
      </c>
      <c r="AX13" s="17">
        <v>10989</v>
      </c>
      <c r="AY13" s="9">
        <f t="shared" si="2"/>
        <v>2</v>
      </c>
      <c r="AZ13" s="17">
        <v>6776568</v>
      </c>
      <c r="BA13" s="9">
        <f t="shared" si="3"/>
        <v>2202</v>
      </c>
      <c r="BB13" s="17">
        <v>1171959</v>
      </c>
      <c r="BC13" s="9">
        <f t="shared" si="4"/>
        <v>1153</v>
      </c>
      <c r="BD13" s="20">
        <v>110</v>
      </c>
      <c r="BE13" s="20">
        <v>139</v>
      </c>
    </row>
    <row r="14" spans="1:57" ht="45" customHeight="1" x14ac:dyDescent="0.3">
      <c r="A14" s="8">
        <v>43872</v>
      </c>
      <c r="B14" s="36"/>
      <c r="C14" s="17">
        <v>25385682</v>
      </c>
      <c r="D14" s="9">
        <f t="shared" si="5"/>
        <v>7241</v>
      </c>
      <c r="E14" s="17">
        <v>26138725</v>
      </c>
      <c r="F14" s="9">
        <f t="shared" si="6"/>
        <v>4938</v>
      </c>
      <c r="G14" s="17">
        <v>11078429</v>
      </c>
      <c r="H14" s="9">
        <f t="shared" si="7"/>
        <v>3857</v>
      </c>
      <c r="I14" s="17">
        <v>1556827</v>
      </c>
      <c r="J14" s="9">
        <f t="shared" si="8"/>
        <v>454</v>
      </c>
      <c r="K14" s="17">
        <v>3140195</v>
      </c>
      <c r="L14" s="9">
        <f t="shared" si="8"/>
        <v>825</v>
      </c>
      <c r="M14" s="17">
        <v>4565306</v>
      </c>
      <c r="N14" s="9">
        <f t="shared" ref="N14" si="41">IF((M14-M13&lt;0), "0",M14-M13)</f>
        <v>1120</v>
      </c>
      <c r="O14" s="17">
        <v>2187051</v>
      </c>
      <c r="P14" s="9">
        <f t="shared" ref="P14" si="42">IF((O14-O13&lt;0), "0",O14-O13)</f>
        <v>574</v>
      </c>
      <c r="Q14" s="17">
        <v>1224646</v>
      </c>
      <c r="R14" s="9">
        <f t="shared" ref="R14" si="43">IF((Q14-Q13&lt;0), "0",Q14-Q13)</f>
        <v>328</v>
      </c>
      <c r="S14" s="17">
        <v>394454</v>
      </c>
      <c r="T14" s="9">
        <f t="shared" ref="T14" si="44">IF((S14-S13&lt;0), "0",S14-S13)</f>
        <v>85</v>
      </c>
      <c r="U14" s="17">
        <v>4108985</v>
      </c>
      <c r="V14" s="9">
        <f t="shared" si="0"/>
        <v>977</v>
      </c>
      <c r="W14" s="17">
        <v>946172</v>
      </c>
      <c r="X14" s="9">
        <f t="shared" si="0"/>
        <v>120</v>
      </c>
      <c r="Y14" s="17">
        <v>3760697</v>
      </c>
      <c r="Z14" s="9">
        <f t="shared" si="0"/>
        <v>870</v>
      </c>
      <c r="AA14" s="17">
        <v>1966722</v>
      </c>
      <c r="AB14" s="9">
        <f t="shared" si="0"/>
        <v>2</v>
      </c>
      <c r="AC14" s="17">
        <v>5057467</v>
      </c>
      <c r="AD14" s="9">
        <f t="shared" si="0"/>
        <v>1122</v>
      </c>
      <c r="AE14" s="7">
        <v>7199748</v>
      </c>
      <c r="AF14" s="9">
        <f t="shared" si="0"/>
        <v>1895</v>
      </c>
      <c r="AG14" s="7">
        <v>1271876</v>
      </c>
      <c r="AH14" s="9">
        <f t="shared" si="0"/>
        <v>153</v>
      </c>
      <c r="AI14" s="17">
        <v>250447</v>
      </c>
      <c r="AJ14" s="9">
        <f t="shared" si="0"/>
        <v>67</v>
      </c>
      <c r="AK14" s="17">
        <v>930013</v>
      </c>
      <c r="AL14" s="9">
        <f t="shared" si="0"/>
        <v>345</v>
      </c>
      <c r="AM14" s="17">
        <v>1724756</v>
      </c>
      <c r="AN14" s="9">
        <f t="shared" si="0"/>
        <v>599</v>
      </c>
      <c r="AO14" s="17">
        <v>1846453</v>
      </c>
      <c r="AP14" s="9">
        <f t="shared" si="0"/>
        <v>581</v>
      </c>
      <c r="AQ14" s="38"/>
      <c r="AR14" s="17">
        <v>0</v>
      </c>
      <c r="AS14" s="9"/>
      <c r="AT14" s="17">
        <v>0</v>
      </c>
      <c r="AU14" s="9"/>
      <c r="AV14" s="17">
        <v>86769</v>
      </c>
      <c r="AW14" s="9">
        <f t="shared" si="1"/>
        <v>20</v>
      </c>
      <c r="AX14" s="17">
        <v>10993</v>
      </c>
      <c r="AY14" s="9">
        <f t="shared" si="2"/>
        <v>4</v>
      </c>
      <c r="AZ14" s="17">
        <v>6778801</v>
      </c>
      <c r="BA14" s="9">
        <f t="shared" si="3"/>
        <v>2233</v>
      </c>
      <c r="BB14" s="17">
        <v>1173060</v>
      </c>
      <c r="BC14" s="9">
        <f t="shared" si="4"/>
        <v>1101</v>
      </c>
      <c r="BD14" s="20">
        <v>129</v>
      </c>
      <c r="BE14" s="20">
        <v>163</v>
      </c>
    </row>
    <row r="15" spans="1:57" ht="45" customHeight="1" x14ac:dyDescent="0.3">
      <c r="A15" s="8">
        <v>43873</v>
      </c>
      <c r="B15" s="36"/>
      <c r="C15" s="17">
        <v>25393166</v>
      </c>
      <c r="D15" s="9">
        <f t="shared" si="5"/>
        <v>7484</v>
      </c>
      <c r="E15" s="17">
        <v>26143457</v>
      </c>
      <c r="F15" s="9">
        <f t="shared" si="6"/>
        <v>4732</v>
      </c>
      <c r="G15" s="17">
        <v>11082367</v>
      </c>
      <c r="H15" s="9">
        <f t="shared" si="7"/>
        <v>3938</v>
      </c>
      <c r="I15" s="17">
        <v>1557299</v>
      </c>
      <c r="J15" s="9">
        <f t="shared" si="8"/>
        <v>472</v>
      </c>
      <c r="K15" s="17">
        <v>3141011</v>
      </c>
      <c r="L15" s="9">
        <f t="shared" si="8"/>
        <v>816</v>
      </c>
      <c r="M15" s="17">
        <v>4566453</v>
      </c>
      <c r="N15" s="9">
        <f t="shared" ref="N15" si="45">IF((M15-M14&lt;0), "0",M15-M14)</f>
        <v>1147</v>
      </c>
      <c r="O15" s="17">
        <v>2187636</v>
      </c>
      <c r="P15" s="9">
        <f t="shared" ref="P15" si="46">IF((O15-O14&lt;0), "0",O15-O14)</f>
        <v>585</v>
      </c>
      <c r="Q15" s="17">
        <v>1225023</v>
      </c>
      <c r="R15" s="9">
        <f t="shared" ref="R15" si="47">IF((Q15-Q14&lt;0), "0",Q15-Q14)</f>
        <v>377</v>
      </c>
      <c r="S15" s="17">
        <v>394538</v>
      </c>
      <c r="T15" s="9">
        <f t="shared" ref="T15" si="48">IF((S15-S14&lt;0), "0",S15-S14)</f>
        <v>84</v>
      </c>
      <c r="U15" s="17">
        <v>4110127</v>
      </c>
      <c r="V15" s="9">
        <f t="shared" si="0"/>
        <v>1142</v>
      </c>
      <c r="W15" s="17">
        <v>946327</v>
      </c>
      <c r="X15" s="9">
        <f t="shared" si="0"/>
        <v>155</v>
      </c>
      <c r="Y15" s="17">
        <v>3761544</v>
      </c>
      <c r="Z15" s="9">
        <f t="shared" si="0"/>
        <v>847</v>
      </c>
      <c r="AA15" s="17">
        <v>1966724</v>
      </c>
      <c r="AB15" s="9">
        <f t="shared" si="0"/>
        <v>2</v>
      </c>
      <c r="AC15" s="17">
        <v>5058349</v>
      </c>
      <c r="AD15" s="9">
        <f t="shared" si="0"/>
        <v>882</v>
      </c>
      <c r="AE15" s="7">
        <v>7201647</v>
      </c>
      <c r="AF15" s="9">
        <f t="shared" si="0"/>
        <v>1899</v>
      </c>
      <c r="AG15" s="7">
        <v>1271954</v>
      </c>
      <c r="AH15" s="9">
        <f t="shared" si="0"/>
        <v>78</v>
      </c>
      <c r="AI15" s="17">
        <v>250523</v>
      </c>
      <c r="AJ15" s="9">
        <f t="shared" si="0"/>
        <v>76</v>
      </c>
      <c r="AK15" s="17">
        <v>930340</v>
      </c>
      <c r="AL15" s="9">
        <f t="shared" si="0"/>
        <v>327</v>
      </c>
      <c r="AM15" s="17">
        <v>1725368</v>
      </c>
      <c r="AN15" s="9">
        <f t="shared" si="0"/>
        <v>612</v>
      </c>
      <c r="AO15" s="17">
        <v>1847091</v>
      </c>
      <c r="AP15" s="9">
        <f t="shared" si="0"/>
        <v>638</v>
      </c>
      <c r="AQ15" s="38"/>
      <c r="AR15" s="17">
        <v>0</v>
      </c>
      <c r="AS15" s="9">
        <v>0</v>
      </c>
      <c r="AT15" s="17">
        <v>0</v>
      </c>
      <c r="AU15" s="9">
        <v>0</v>
      </c>
      <c r="AV15" s="17">
        <v>86790</v>
      </c>
      <c r="AW15" s="9">
        <f t="shared" si="1"/>
        <v>21</v>
      </c>
      <c r="AX15" s="17">
        <v>10994</v>
      </c>
      <c r="AY15" s="9">
        <f t="shared" si="2"/>
        <v>1</v>
      </c>
      <c r="AZ15" s="17">
        <v>6781068</v>
      </c>
      <c r="BA15" s="9">
        <f t="shared" si="3"/>
        <v>2267</v>
      </c>
      <c r="BB15" s="17">
        <v>1174174</v>
      </c>
      <c r="BC15" s="9">
        <f t="shared" si="4"/>
        <v>1114</v>
      </c>
      <c r="BD15" s="20">
        <v>136</v>
      </c>
      <c r="BE15" s="20">
        <v>174</v>
      </c>
    </row>
    <row r="16" spans="1:57" ht="45" customHeight="1" x14ac:dyDescent="0.3">
      <c r="A16" s="8">
        <v>43874</v>
      </c>
      <c r="B16" s="36"/>
      <c r="C16" s="17">
        <v>25400650</v>
      </c>
      <c r="D16" s="9">
        <f t="shared" si="5"/>
        <v>7484</v>
      </c>
      <c r="E16" s="17">
        <v>26148765</v>
      </c>
      <c r="F16" s="9">
        <f t="shared" si="6"/>
        <v>5308</v>
      </c>
      <c r="G16" s="17">
        <v>11086241</v>
      </c>
      <c r="H16" s="9">
        <f t="shared" si="7"/>
        <v>3874</v>
      </c>
      <c r="I16" s="17">
        <v>1557740</v>
      </c>
      <c r="J16" s="9">
        <f t="shared" si="8"/>
        <v>441</v>
      </c>
      <c r="K16" s="17">
        <v>3141839</v>
      </c>
      <c r="L16" s="9">
        <f t="shared" si="8"/>
        <v>828</v>
      </c>
      <c r="M16" s="17">
        <v>4567640</v>
      </c>
      <c r="N16" s="9">
        <f t="shared" ref="N16" si="49">IF((M16-M15&lt;0), "0",M16-M15)</f>
        <v>1187</v>
      </c>
      <c r="O16" s="17">
        <v>2188226</v>
      </c>
      <c r="P16" s="9">
        <f t="shared" ref="P16" si="50">IF((O16-O15&lt;0), "0",O16-O15)</f>
        <v>590</v>
      </c>
      <c r="Q16" s="17">
        <v>1225367</v>
      </c>
      <c r="R16" s="9">
        <f t="shared" ref="R16" si="51">IF((Q16-Q15&lt;0), "0",Q16-Q15)</f>
        <v>344</v>
      </c>
      <c r="S16" s="17">
        <v>394622</v>
      </c>
      <c r="T16" s="9">
        <f t="shared" ref="T16" si="52">IF((S16-S15&lt;0), "0",S16-S15)</f>
        <v>84</v>
      </c>
      <c r="U16" s="17">
        <v>4111179</v>
      </c>
      <c r="V16" s="9">
        <f t="shared" ref="V16:AP34" si="53">IF((U16-U15&lt;0), "",U16-U15)</f>
        <v>1052</v>
      </c>
      <c r="W16" s="17">
        <v>946522</v>
      </c>
      <c r="X16" s="9">
        <f t="shared" si="53"/>
        <v>195</v>
      </c>
      <c r="Y16" s="17">
        <v>3762504</v>
      </c>
      <c r="Z16" s="9">
        <f t="shared" si="53"/>
        <v>960</v>
      </c>
      <c r="AA16" s="17">
        <v>1966726</v>
      </c>
      <c r="AB16" s="9">
        <f t="shared" si="53"/>
        <v>2</v>
      </c>
      <c r="AC16" s="17">
        <v>5059597</v>
      </c>
      <c r="AD16" s="9">
        <f t="shared" si="53"/>
        <v>1248</v>
      </c>
      <c r="AE16" s="7">
        <v>7203599</v>
      </c>
      <c r="AF16" s="9">
        <f t="shared" si="53"/>
        <v>1952</v>
      </c>
      <c r="AG16" s="7">
        <v>1272121</v>
      </c>
      <c r="AH16" s="9">
        <f t="shared" si="53"/>
        <v>167</v>
      </c>
      <c r="AI16" s="17">
        <v>250598</v>
      </c>
      <c r="AJ16" s="9">
        <f t="shared" si="53"/>
        <v>75</v>
      </c>
      <c r="AK16" s="17">
        <v>930685</v>
      </c>
      <c r="AL16" s="9">
        <f t="shared" si="53"/>
        <v>345</v>
      </c>
      <c r="AM16" s="17">
        <v>1725970</v>
      </c>
      <c r="AN16" s="9">
        <f t="shared" si="53"/>
        <v>602</v>
      </c>
      <c r="AO16" s="17">
        <v>1847705</v>
      </c>
      <c r="AP16" s="9">
        <f t="shared" si="53"/>
        <v>614</v>
      </c>
      <c r="AQ16" s="38"/>
      <c r="AR16" s="17">
        <v>0</v>
      </c>
      <c r="AS16" s="9">
        <v>0</v>
      </c>
      <c r="AT16" s="17">
        <v>0</v>
      </c>
      <c r="AU16" s="9">
        <v>0</v>
      </c>
      <c r="AV16" s="17">
        <v>86810</v>
      </c>
      <c r="AW16" s="9">
        <f t="shared" si="1"/>
        <v>20</v>
      </c>
      <c r="AX16" s="17">
        <v>10997</v>
      </c>
      <c r="AY16" s="9">
        <f t="shared" si="2"/>
        <v>3</v>
      </c>
      <c r="AZ16" s="17">
        <v>6783325</v>
      </c>
      <c r="BA16" s="9">
        <f t="shared" si="3"/>
        <v>2257</v>
      </c>
      <c r="BB16" s="17">
        <v>1175272</v>
      </c>
      <c r="BC16" s="9">
        <f t="shared" si="4"/>
        <v>1098</v>
      </c>
      <c r="BD16" s="20">
        <v>121</v>
      </c>
      <c r="BE16" s="20">
        <v>166</v>
      </c>
    </row>
    <row r="17" spans="1:57" ht="45" customHeight="1" x14ac:dyDescent="0.3">
      <c r="A17" s="8">
        <v>43875</v>
      </c>
      <c r="B17" s="36"/>
      <c r="C17" s="17">
        <v>25408468</v>
      </c>
      <c r="D17" s="9">
        <f t="shared" si="5"/>
        <v>7818</v>
      </c>
      <c r="E17" s="17">
        <v>26154351</v>
      </c>
      <c r="F17" s="9">
        <f t="shared" si="6"/>
        <v>5586</v>
      </c>
      <c r="G17" s="17">
        <v>11090194</v>
      </c>
      <c r="H17" s="9">
        <f t="shared" si="7"/>
        <v>3953</v>
      </c>
      <c r="I17" s="17">
        <v>1558185</v>
      </c>
      <c r="J17" s="9">
        <f t="shared" si="8"/>
        <v>445</v>
      </c>
      <c r="K17" s="17">
        <v>3142630</v>
      </c>
      <c r="L17" s="9">
        <f t="shared" si="8"/>
        <v>791</v>
      </c>
      <c r="M17" s="17">
        <v>4568956</v>
      </c>
      <c r="N17" s="9">
        <f t="shared" ref="N17" si="54">IF((M17-M16&lt;0), "0",M17-M16)</f>
        <v>1316</v>
      </c>
      <c r="O17" s="17">
        <v>2188799</v>
      </c>
      <c r="P17" s="9">
        <f t="shared" ref="P17" si="55">IF((O17-O16&lt;0), "0",O17-O16)</f>
        <v>573</v>
      </c>
      <c r="Q17" s="17">
        <v>1225715</v>
      </c>
      <c r="R17" s="9">
        <f t="shared" ref="R17" si="56">IF((Q17-Q16&lt;0), "0",Q17-Q16)</f>
        <v>348</v>
      </c>
      <c r="S17" s="17">
        <v>394706</v>
      </c>
      <c r="T17" s="9">
        <f t="shared" ref="T17" si="57">IF((S17-S16&lt;0), "0",S17-S16)</f>
        <v>84</v>
      </c>
      <c r="U17" s="17">
        <v>4112329</v>
      </c>
      <c r="V17" s="9">
        <f t="shared" si="53"/>
        <v>1150</v>
      </c>
      <c r="W17" s="17">
        <v>946676</v>
      </c>
      <c r="X17" s="9">
        <f t="shared" si="53"/>
        <v>154</v>
      </c>
      <c r="Y17" s="17">
        <v>3763586</v>
      </c>
      <c r="Z17" s="9">
        <f t="shared" si="53"/>
        <v>1082</v>
      </c>
      <c r="AA17" s="17">
        <v>1966729</v>
      </c>
      <c r="AB17" s="9">
        <f t="shared" si="53"/>
        <v>3</v>
      </c>
      <c r="AC17" s="17">
        <v>5061026</v>
      </c>
      <c r="AD17" s="9">
        <f t="shared" si="53"/>
        <v>1429</v>
      </c>
      <c r="AE17" s="7">
        <v>7205564</v>
      </c>
      <c r="AF17" s="9">
        <f t="shared" si="53"/>
        <v>1965</v>
      </c>
      <c r="AG17" s="7">
        <v>1272344</v>
      </c>
      <c r="AH17" s="9">
        <f t="shared" si="53"/>
        <v>223</v>
      </c>
      <c r="AI17" s="17">
        <v>250672</v>
      </c>
      <c r="AJ17" s="9">
        <f t="shared" si="53"/>
        <v>74</v>
      </c>
      <c r="AK17" s="17">
        <v>931032</v>
      </c>
      <c r="AL17" s="9">
        <f t="shared" si="53"/>
        <v>347</v>
      </c>
      <c r="AM17" s="17">
        <v>1726572</v>
      </c>
      <c r="AN17" s="9">
        <f t="shared" si="53"/>
        <v>602</v>
      </c>
      <c r="AO17" s="17">
        <v>1848356</v>
      </c>
      <c r="AP17" s="9">
        <f t="shared" si="53"/>
        <v>651</v>
      </c>
      <c r="AQ17" s="38"/>
      <c r="AR17" s="17">
        <v>0</v>
      </c>
      <c r="AS17" s="9">
        <v>0</v>
      </c>
      <c r="AT17" s="17">
        <v>0</v>
      </c>
      <c r="AU17" s="9">
        <v>0</v>
      </c>
      <c r="AV17" s="17">
        <v>86830</v>
      </c>
      <c r="AW17" s="9">
        <f t="shared" si="1"/>
        <v>20</v>
      </c>
      <c r="AX17" s="17">
        <v>5</v>
      </c>
      <c r="AY17" s="9">
        <v>4</v>
      </c>
      <c r="AZ17" s="17">
        <v>6785786</v>
      </c>
      <c r="BA17" s="9">
        <f t="shared" si="3"/>
        <v>2461</v>
      </c>
      <c r="BB17" s="17">
        <v>1176407</v>
      </c>
      <c r="BC17" s="9">
        <f t="shared" si="4"/>
        <v>1135</v>
      </c>
      <c r="BD17" s="20">
        <v>107</v>
      </c>
      <c r="BE17" s="20">
        <v>158</v>
      </c>
    </row>
    <row r="18" spans="1:57" ht="45" customHeight="1" x14ac:dyDescent="0.3">
      <c r="A18" s="8">
        <v>43876</v>
      </c>
      <c r="B18" s="36"/>
      <c r="C18" s="17">
        <v>25416139</v>
      </c>
      <c r="D18" s="9">
        <f t="shared" si="5"/>
        <v>7671</v>
      </c>
      <c r="E18" s="17">
        <v>26160032</v>
      </c>
      <c r="F18" s="9">
        <f t="shared" si="6"/>
        <v>5681</v>
      </c>
      <c r="G18" s="17">
        <v>11094153</v>
      </c>
      <c r="H18" s="9">
        <f t="shared" si="7"/>
        <v>3959</v>
      </c>
      <c r="I18" s="17">
        <v>1558655</v>
      </c>
      <c r="J18" s="9">
        <f t="shared" si="8"/>
        <v>470</v>
      </c>
      <c r="K18" s="17">
        <v>3143448</v>
      </c>
      <c r="L18" s="9">
        <f t="shared" si="8"/>
        <v>818</v>
      </c>
      <c r="M18" s="17">
        <v>4570123</v>
      </c>
      <c r="N18" s="9">
        <f t="shared" ref="N18" si="58">IF((M18-M17&lt;0), "0",M18-M17)</f>
        <v>1167</v>
      </c>
      <c r="O18" s="17">
        <v>2189425</v>
      </c>
      <c r="P18" s="9">
        <f t="shared" ref="P18" si="59">IF((O18-O17&lt;0), "0",O18-O17)</f>
        <v>626</v>
      </c>
      <c r="Q18" s="17">
        <v>1226080</v>
      </c>
      <c r="R18" s="9">
        <f t="shared" ref="R18" si="60">IF((Q18-Q17&lt;0), "0",Q18-Q17)</f>
        <v>365</v>
      </c>
      <c r="S18" s="17">
        <v>394791</v>
      </c>
      <c r="T18" s="9">
        <f t="shared" ref="T18" si="61">IF((S18-S17&lt;0), "0",S18-S17)</f>
        <v>85</v>
      </c>
      <c r="U18" s="17">
        <v>4113347</v>
      </c>
      <c r="V18" s="9">
        <f t="shared" si="53"/>
        <v>1018</v>
      </c>
      <c r="W18" s="17">
        <v>946792</v>
      </c>
      <c r="X18" s="9">
        <f t="shared" si="53"/>
        <v>116</v>
      </c>
      <c r="Y18" s="17">
        <v>3764712</v>
      </c>
      <c r="Z18" s="9">
        <f t="shared" si="53"/>
        <v>1126</v>
      </c>
      <c r="AA18" s="17">
        <v>1966731</v>
      </c>
      <c r="AB18" s="9">
        <f t="shared" si="53"/>
        <v>2</v>
      </c>
      <c r="AC18" s="17">
        <v>5062491</v>
      </c>
      <c r="AD18" s="9">
        <f t="shared" si="53"/>
        <v>1465</v>
      </c>
      <c r="AE18" s="7">
        <v>7207582</v>
      </c>
      <c r="AF18" s="9">
        <f t="shared" si="53"/>
        <v>2018</v>
      </c>
      <c r="AG18" s="7">
        <v>1272576</v>
      </c>
      <c r="AH18" s="9">
        <f t="shared" si="53"/>
        <v>232</v>
      </c>
      <c r="AI18" s="17">
        <v>250749</v>
      </c>
      <c r="AJ18" s="9">
        <f t="shared" si="53"/>
        <v>77</v>
      </c>
      <c r="AK18" s="17">
        <v>931391</v>
      </c>
      <c r="AL18" s="9">
        <f t="shared" si="53"/>
        <v>359</v>
      </c>
      <c r="AM18" s="17">
        <v>1727176</v>
      </c>
      <c r="AN18" s="9">
        <f t="shared" si="53"/>
        <v>604</v>
      </c>
      <c r="AO18" s="17">
        <v>1849031</v>
      </c>
      <c r="AP18" s="9">
        <f t="shared" si="53"/>
        <v>675</v>
      </c>
      <c r="AQ18" s="38"/>
      <c r="AR18" s="17">
        <v>0</v>
      </c>
      <c r="AS18" s="9">
        <v>0</v>
      </c>
      <c r="AT18" s="17">
        <v>0</v>
      </c>
      <c r="AU18" s="9">
        <v>0</v>
      </c>
      <c r="AV18" s="17">
        <v>86851</v>
      </c>
      <c r="AW18" s="9">
        <f t="shared" si="1"/>
        <v>21</v>
      </c>
      <c r="AX18" s="17">
        <v>7</v>
      </c>
      <c r="AY18" s="9">
        <f t="shared" si="2"/>
        <v>2</v>
      </c>
      <c r="AZ18" s="17">
        <v>6787947</v>
      </c>
      <c r="BA18" s="9">
        <f t="shared" si="3"/>
        <v>2161</v>
      </c>
      <c r="BB18" s="17">
        <v>1177527</v>
      </c>
      <c r="BC18" s="9">
        <f t="shared" si="4"/>
        <v>1120</v>
      </c>
      <c r="BD18" s="20">
        <v>105</v>
      </c>
      <c r="BE18" s="20">
        <v>150</v>
      </c>
    </row>
    <row r="19" spans="1:57" ht="45" customHeight="1" x14ac:dyDescent="0.3">
      <c r="A19" s="8">
        <v>43877</v>
      </c>
      <c r="B19" s="36"/>
      <c r="C19" s="17">
        <v>25423461</v>
      </c>
      <c r="D19" s="9">
        <f t="shared" si="5"/>
        <v>7322</v>
      </c>
      <c r="E19" s="17">
        <v>26165393</v>
      </c>
      <c r="F19" s="9">
        <f t="shared" si="6"/>
        <v>5361</v>
      </c>
      <c r="G19" s="17">
        <v>11098098</v>
      </c>
      <c r="H19" s="9">
        <f t="shared" si="7"/>
        <v>3945</v>
      </c>
      <c r="I19" s="17">
        <v>1559128</v>
      </c>
      <c r="J19" s="9">
        <f t="shared" si="8"/>
        <v>473</v>
      </c>
      <c r="K19" s="17">
        <v>3144242</v>
      </c>
      <c r="L19" s="9">
        <f t="shared" si="8"/>
        <v>794</v>
      </c>
      <c r="M19" s="17">
        <v>4571319</v>
      </c>
      <c r="N19" s="9">
        <f t="shared" ref="N19" si="62">IF((M19-M18&lt;0), "0",M19-M18)</f>
        <v>1196</v>
      </c>
      <c r="O19" s="17">
        <v>2190009</v>
      </c>
      <c r="P19" s="9">
        <f t="shared" ref="P19" si="63">IF((O19-O18&lt;0), "0",O19-O18)</f>
        <v>584</v>
      </c>
      <c r="Q19" s="17">
        <v>1226419</v>
      </c>
      <c r="R19" s="9">
        <f t="shared" ref="R19" si="64">IF((Q19-Q18&lt;0), "0",Q19-Q18)</f>
        <v>339</v>
      </c>
      <c r="S19" s="17">
        <v>394875</v>
      </c>
      <c r="T19" s="9">
        <f t="shared" ref="T19" si="65">IF((S19-S18&lt;0), "0",S19-S18)</f>
        <v>84</v>
      </c>
      <c r="U19" s="17">
        <v>4114158</v>
      </c>
      <c r="V19" s="9">
        <f t="shared" si="53"/>
        <v>811</v>
      </c>
      <c r="W19" s="17">
        <v>946886</v>
      </c>
      <c r="X19" s="9">
        <f t="shared" si="53"/>
        <v>94</v>
      </c>
      <c r="Y19" s="17">
        <v>3765861</v>
      </c>
      <c r="Z19" s="9">
        <f t="shared" si="53"/>
        <v>1149</v>
      </c>
      <c r="AA19" s="17">
        <v>1966733</v>
      </c>
      <c r="AB19" s="9">
        <f t="shared" si="53"/>
        <v>2</v>
      </c>
      <c r="AC19" s="17">
        <v>5063960</v>
      </c>
      <c r="AD19" s="9">
        <f t="shared" si="53"/>
        <v>1469</v>
      </c>
      <c r="AE19" s="7">
        <v>7209550</v>
      </c>
      <c r="AF19" s="9">
        <f t="shared" si="53"/>
        <v>1968</v>
      </c>
      <c r="AG19" s="7">
        <v>1272794</v>
      </c>
      <c r="AH19" s="9">
        <f t="shared" si="53"/>
        <v>218</v>
      </c>
      <c r="AI19" s="17">
        <v>250823</v>
      </c>
      <c r="AJ19" s="9">
        <f t="shared" si="53"/>
        <v>74</v>
      </c>
      <c r="AK19" s="17">
        <v>931720</v>
      </c>
      <c r="AL19" s="9">
        <f t="shared" si="53"/>
        <v>329</v>
      </c>
      <c r="AM19" s="17">
        <v>1727760</v>
      </c>
      <c r="AN19" s="9">
        <f t="shared" si="53"/>
        <v>584</v>
      </c>
      <c r="AO19" s="17">
        <v>1849645</v>
      </c>
      <c r="AP19" s="9">
        <f t="shared" si="53"/>
        <v>614</v>
      </c>
      <c r="AQ19" s="38"/>
      <c r="AR19" s="17">
        <v>0</v>
      </c>
      <c r="AS19" s="9">
        <v>0</v>
      </c>
      <c r="AT19" s="17">
        <v>0</v>
      </c>
      <c r="AU19" s="9">
        <v>0</v>
      </c>
      <c r="AV19" s="17">
        <v>86867</v>
      </c>
      <c r="AW19" s="9">
        <f t="shared" si="1"/>
        <v>16</v>
      </c>
      <c r="AX19" s="17">
        <v>10</v>
      </c>
      <c r="AY19" s="9">
        <f t="shared" si="2"/>
        <v>3</v>
      </c>
      <c r="AZ19" s="17">
        <v>6788991</v>
      </c>
      <c r="BA19" s="9">
        <f t="shared" si="3"/>
        <v>1044</v>
      </c>
      <c r="BB19" s="17">
        <v>1178664</v>
      </c>
      <c r="BC19" s="9">
        <f t="shared" si="4"/>
        <v>1137</v>
      </c>
      <c r="BD19" s="20">
        <v>120</v>
      </c>
      <c r="BE19" s="20">
        <v>156</v>
      </c>
    </row>
    <row r="20" spans="1:57" ht="45" customHeight="1" x14ac:dyDescent="0.3">
      <c r="A20" s="8">
        <v>43878</v>
      </c>
      <c r="B20" s="36"/>
      <c r="C20" s="17">
        <v>25430985</v>
      </c>
      <c r="D20" s="9">
        <f t="shared" si="5"/>
        <v>7524</v>
      </c>
      <c r="E20" s="17">
        <v>26170721</v>
      </c>
      <c r="F20" s="9">
        <f t="shared" si="6"/>
        <v>5328</v>
      </c>
      <c r="G20" s="17">
        <v>11102035</v>
      </c>
      <c r="H20" s="9">
        <f t="shared" si="7"/>
        <v>3937</v>
      </c>
      <c r="I20" s="17">
        <v>1559595</v>
      </c>
      <c r="J20" s="9">
        <f t="shared" si="8"/>
        <v>467</v>
      </c>
      <c r="K20" s="17">
        <v>3145058</v>
      </c>
      <c r="L20" s="9">
        <f t="shared" si="8"/>
        <v>816</v>
      </c>
      <c r="M20" s="17">
        <v>4572668</v>
      </c>
      <c r="N20" s="9">
        <f t="shared" ref="N20" si="66">IF((M20-M19&lt;0), "0",M20-M19)</f>
        <v>1349</v>
      </c>
      <c r="O20" s="17">
        <v>2190562</v>
      </c>
      <c r="P20" s="9">
        <f t="shared" ref="P20" si="67">IF((O20-O19&lt;0), "0",O20-O19)</f>
        <v>553</v>
      </c>
      <c r="Q20" s="17">
        <v>1226768</v>
      </c>
      <c r="R20" s="9">
        <f t="shared" ref="R20" si="68">IF((Q20-Q19&lt;0), "0",Q20-Q19)</f>
        <v>349</v>
      </c>
      <c r="S20" s="17">
        <v>394954</v>
      </c>
      <c r="T20" s="9">
        <f t="shared" ref="T20" si="69">IF((S20-S19&lt;0), "0",S20-S19)</f>
        <v>79</v>
      </c>
      <c r="U20" s="17">
        <v>4115061</v>
      </c>
      <c r="V20" s="9">
        <f t="shared" si="53"/>
        <v>903</v>
      </c>
      <c r="W20" s="17">
        <v>947012</v>
      </c>
      <c r="X20" s="9">
        <f t="shared" si="53"/>
        <v>126</v>
      </c>
      <c r="Y20" s="17">
        <v>3766884</v>
      </c>
      <c r="Z20" s="9">
        <f t="shared" si="53"/>
        <v>1023</v>
      </c>
      <c r="AA20" s="17">
        <v>1966736</v>
      </c>
      <c r="AB20" s="9">
        <f t="shared" si="53"/>
        <v>3</v>
      </c>
      <c r="AC20" s="17">
        <v>5065327</v>
      </c>
      <c r="AD20" s="9">
        <f t="shared" si="53"/>
        <v>1367</v>
      </c>
      <c r="AE20" s="7">
        <v>7211520</v>
      </c>
      <c r="AF20" s="9">
        <f t="shared" si="53"/>
        <v>1970</v>
      </c>
      <c r="AG20" s="7">
        <v>1273027</v>
      </c>
      <c r="AH20" s="9">
        <f t="shared" si="53"/>
        <v>233</v>
      </c>
      <c r="AI20" s="17">
        <v>250898</v>
      </c>
      <c r="AJ20" s="9">
        <f t="shared" si="53"/>
        <v>75</v>
      </c>
      <c r="AK20" s="17">
        <v>932060</v>
      </c>
      <c r="AL20" s="9">
        <f t="shared" si="53"/>
        <v>340</v>
      </c>
      <c r="AM20" s="17">
        <v>1728359</v>
      </c>
      <c r="AN20" s="9">
        <f t="shared" si="53"/>
        <v>599</v>
      </c>
      <c r="AO20" s="17">
        <v>1850326</v>
      </c>
      <c r="AP20" s="9">
        <f t="shared" si="53"/>
        <v>681</v>
      </c>
      <c r="AQ20" s="38"/>
      <c r="AR20" s="17">
        <v>0</v>
      </c>
      <c r="AS20" s="9">
        <v>0</v>
      </c>
      <c r="AT20" s="17">
        <v>0</v>
      </c>
      <c r="AU20" s="9">
        <v>0</v>
      </c>
      <c r="AV20" s="17">
        <v>86886</v>
      </c>
      <c r="AW20" s="9">
        <f t="shared" si="1"/>
        <v>19</v>
      </c>
      <c r="AX20" s="17">
        <v>12</v>
      </c>
      <c r="AY20" s="9">
        <f t="shared" si="2"/>
        <v>2</v>
      </c>
      <c r="AZ20" s="17">
        <v>6792213</v>
      </c>
      <c r="BA20" s="9">
        <f t="shared" si="3"/>
        <v>3222</v>
      </c>
      <c r="BB20" s="17">
        <v>1179801</v>
      </c>
      <c r="BC20" s="9">
        <f t="shared" si="4"/>
        <v>1137</v>
      </c>
      <c r="BD20" s="20">
        <v>123</v>
      </c>
      <c r="BE20" s="20">
        <v>150</v>
      </c>
    </row>
    <row r="21" spans="1:57" ht="45" customHeight="1" x14ac:dyDescent="0.3">
      <c r="A21" s="8">
        <v>43879</v>
      </c>
      <c r="B21" s="36"/>
      <c r="C21" s="17">
        <v>25438590</v>
      </c>
      <c r="D21" s="9">
        <f t="shared" si="5"/>
        <v>7605</v>
      </c>
      <c r="E21" s="17">
        <v>26176087</v>
      </c>
      <c r="F21" s="9">
        <f t="shared" si="6"/>
        <v>5366</v>
      </c>
      <c r="G21" s="17">
        <v>11106005</v>
      </c>
      <c r="H21" s="9">
        <f t="shared" si="7"/>
        <v>3970</v>
      </c>
      <c r="I21" s="17">
        <v>1560015</v>
      </c>
      <c r="J21" s="9">
        <f t="shared" si="8"/>
        <v>420</v>
      </c>
      <c r="K21" s="17">
        <v>3145859</v>
      </c>
      <c r="L21" s="9">
        <f t="shared" si="8"/>
        <v>801</v>
      </c>
      <c r="M21" s="17">
        <v>4573829</v>
      </c>
      <c r="N21" s="9">
        <f t="shared" ref="N21" si="70">IF((M21-M20&lt;0), "0",M21-M20)</f>
        <v>1161</v>
      </c>
      <c r="O21" s="17">
        <v>2191112</v>
      </c>
      <c r="P21" s="9">
        <f t="shared" ref="P21" si="71">IF((O21-O20&lt;0), "0",O21-O20)</f>
        <v>550</v>
      </c>
      <c r="Q21" s="17">
        <v>1227119</v>
      </c>
      <c r="R21" s="9">
        <f t="shared" ref="R21" si="72">IF((Q21-Q20&lt;0), "0",Q21-Q20)</f>
        <v>351</v>
      </c>
      <c r="S21" s="17">
        <v>395045</v>
      </c>
      <c r="T21" s="9">
        <f t="shared" ref="T21" si="73">IF((S21-S20&lt;0), "0",S21-S20)</f>
        <v>91</v>
      </c>
      <c r="U21" s="17">
        <v>4116115</v>
      </c>
      <c r="V21" s="9">
        <f t="shared" si="53"/>
        <v>1054</v>
      </c>
      <c r="W21" s="17">
        <v>947275</v>
      </c>
      <c r="X21" s="9">
        <f t="shared" si="53"/>
        <v>263</v>
      </c>
      <c r="Y21" s="17">
        <v>3767884</v>
      </c>
      <c r="Z21" s="9">
        <f t="shared" si="53"/>
        <v>1000</v>
      </c>
      <c r="AA21" s="17">
        <v>1966738</v>
      </c>
      <c r="AB21" s="9">
        <f t="shared" si="53"/>
        <v>2</v>
      </c>
      <c r="AC21" s="17">
        <v>5066783</v>
      </c>
      <c r="AD21" s="9">
        <f t="shared" si="53"/>
        <v>1456</v>
      </c>
      <c r="AE21" s="7">
        <v>7213430</v>
      </c>
      <c r="AF21" s="9">
        <f t="shared" si="53"/>
        <v>1910</v>
      </c>
      <c r="AG21" s="7">
        <v>1273269</v>
      </c>
      <c r="AH21" s="9">
        <f t="shared" si="53"/>
        <v>242</v>
      </c>
      <c r="AI21" s="17">
        <v>250970</v>
      </c>
      <c r="AJ21" s="9">
        <f t="shared" si="53"/>
        <v>72</v>
      </c>
      <c r="AK21" s="17">
        <v>932398</v>
      </c>
      <c r="AL21" s="9">
        <f t="shared" si="53"/>
        <v>338</v>
      </c>
      <c r="AM21" s="17">
        <v>1728951</v>
      </c>
      <c r="AN21" s="9">
        <f t="shared" si="53"/>
        <v>592</v>
      </c>
      <c r="AO21" s="17">
        <v>1851023</v>
      </c>
      <c r="AP21" s="9">
        <f t="shared" si="53"/>
        <v>697</v>
      </c>
      <c r="AQ21" s="38"/>
      <c r="AR21" s="17">
        <v>0</v>
      </c>
      <c r="AS21" s="9">
        <v>0</v>
      </c>
      <c r="AT21" s="17">
        <v>0</v>
      </c>
      <c r="AU21" s="9">
        <v>0</v>
      </c>
      <c r="AV21" s="17">
        <v>86910</v>
      </c>
      <c r="AW21" s="9">
        <f t="shared" si="1"/>
        <v>24</v>
      </c>
      <c r="AX21" s="17">
        <v>15</v>
      </c>
      <c r="AY21" s="9">
        <f t="shared" si="2"/>
        <v>3</v>
      </c>
      <c r="AZ21" s="17">
        <v>6794539</v>
      </c>
      <c r="BA21" s="9">
        <f t="shared" si="3"/>
        <v>2326</v>
      </c>
      <c r="BB21" s="17">
        <v>1180924</v>
      </c>
      <c r="BC21" s="9">
        <f t="shared" si="4"/>
        <v>1123</v>
      </c>
      <c r="BD21" s="20">
        <v>110</v>
      </c>
      <c r="BE21" s="20">
        <v>133</v>
      </c>
    </row>
    <row r="22" spans="1:57" ht="45" customHeight="1" x14ac:dyDescent="0.3">
      <c r="A22" s="8">
        <v>43880</v>
      </c>
      <c r="B22" s="36"/>
      <c r="C22" s="17">
        <v>25446303</v>
      </c>
      <c r="D22" s="9">
        <f t="shared" si="5"/>
        <v>7713</v>
      </c>
      <c r="E22" s="17">
        <v>26181600</v>
      </c>
      <c r="F22" s="9">
        <f t="shared" si="6"/>
        <v>5513</v>
      </c>
      <c r="G22" s="17">
        <v>11109645</v>
      </c>
      <c r="H22" s="9">
        <f t="shared" si="7"/>
        <v>3640</v>
      </c>
      <c r="I22" s="17">
        <v>1560447</v>
      </c>
      <c r="J22" s="9">
        <f t="shared" si="8"/>
        <v>432</v>
      </c>
      <c r="K22" s="17">
        <v>3146658</v>
      </c>
      <c r="L22" s="9">
        <f t="shared" si="8"/>
        <v>799</v>
      </c>
      <c r="M22" s="17">
        <v>4575080</v>
      </c>
      <c r="N22" s="9">
        <f t="shared" ref="N22" si="74">IF((M22-M21&lt;0), "0",M22-M21)</f>
        <v>1251</v>
      </c>
      <c r="O22" s="17">
        <v>2191656</v>
      </c>
      <c r="P22" s="9">
        <f t="shared" ref="P22" si="75">IF((O22-O21&lt;0), "0",O22-O21)</f>
        <v>544</v>
      </c>
      <c r="Q22" s="17">
        <v>1227499</v>
      </c>
      <c r="R22" s="9">
        <f t="shared" ref="R22" si="76">IF((Q22-Q21&lt;0), "0",Q22-Q21)</f>
        <v>380</v>
      </c>
      <c r="S22" s="17">
        <v>395130</v>
      </c>
      <c r="T22" s="9">
        <f t="shared" ref="T22" si="77">IF((S22-S21&lt;0), "0",S22-S21)</f>
        <v>85</v>
      </c>
      <c r="U22" s="17">
        <v>4117239</v>
      </c>
      <c r="V22" s="9">
        <f t="shared" si="53"/>
        <v>1124</v>
      </c>
      <c r="W22" s="17">
        <v>947494</v>
      </c>
      <c r="X22" s="9">
        <f t="shared" si="53"/>
        <v>219</v>
      </c>
      <c r="Y22" s="17">
        <v>3768845</v>
      </c>
      <c r="Z22" s="9">
        <f t="shared" si="53"/>
        <v>961</v>
      </c>
      <c r="AA22" s="17">
        <v>1966740</v>
      </c>
      <c r="AB22" s="9">
        <f t="shared" si="53"/>
        <v>2</v>
      </c>
      <c r="AC22" s="17">
        <v>5068225</v>
      </c>
      <c r="AD22" s="9">
        <f t="shared" si="53"/>
        <v>1442</v>
      </c>
      <c r="AE22" s="7">
        <v>7215403</v>
      </c>
      <c r="AF22" s="9">
        <f t="shared" si="53"/>
        <v>1973</v>
      </c>
      <c r="AG22" s="7">
        <v>1273499</v>
      </c>
      <c r="AH22" s="9">
        <f t="shared" si="53"/>
        <v>230</v>
      </c>
      <c r="AI22" s="17">
        <v>251045</v>
      </c>
      <c r="AJ22" s="9">
        <f t="shared" si="53"/>
        <v>75</v>
      </c>
      <c r="AK22" s="17">
        <v>932727</v>
      </c>
      <c r="AL22" s="9">
        <f t="shared" si="53"/>
        <v>329</v>
      </c>
      <c r="AM22" s="17">
        <v>1729535</v>
      </c>
      <c r="AN22" s="9">
        <f t="shared" si="53"/>
        <v>584</v>
      </c>
      <c r="AO22" s="17">
        <v>1851670</v>
      </c>
      <c r="AP22" s="9">
        <f t="shared" si="53"/>
        <v>647</v>
      </c>
      <c r="AQ22" s="38"/>
      <c r="AR22" s="17">
        <v>0</v>
      </c>
      <c r="AS22" s="9">
        <v>0</v>
      </c>
      <c r="AT22" s="17">
        <v>0</v>
      </c>
      <c r="AU22" s="9">
        <v>0</v>
      </c>
      <c r="AV22" s="17">
        <v>86929</v>
      </c>
      <c r="AW22" s="9">
        <f t="shared" si="1"/>
        <v>19</v>
      </c>
      <c r="AX22" s="17">
        <v>17</v>
      </c>
      <c r="AY22" s="9">
        <f t="shared" si="2"/>
        <v>2</v>
      </c>
      <c r="AZ22" s="17">
        <v>6796880</v>
      </c>
      <c r="BA22" s="9">
        <f t="shared" si="3"/>
        <v>2341</v>
      </c>
      <c r="BB22" s="17">
        <v>1181950</v>
      </c>
      <c r="BC22" s="9">
        <f t="shared" si="4"/>
        <v>1026</v>
      </c>
      <c r="BD22" s="20">
        <v>112</v>
      </c>
      <c r="BE22" s="20">
        <v>137</v>
      </c>
    </row>
    <row r="23" spans="1:57" ht="45" customHeight="1" x14ac:dyDescent="0.3">
      <c r="A23" s="8">
        <v>43881</v>
      </c>
      <c r="B23" s="36"/>
      <c r="C23" s="17">
        <v>25454170</v>
      </c>
      <c r="D23" s="9">
        <f t="shared" si="5"/>
        <v>7867</v>
      </c>
      <c r="E23" s="17">
        <v>26186816</v>
      </c>
      <c r="F23" s="9">
        <f t="shared" si="6"/>
        <v>5216</v>
      </c>
      <c r="G23" s="17">
        <v>11113540</v>
      </c>
      <c r="H23" s="9">
        <f t="shared" si="7"/>
        <v>3895</v>
      </c>
      <c r="I23" s="17">
        <v>1560919</v>
      </c>
      <c r="J23" s="9">
        <f t="shared" si="8"/>
        <v>472</v>
      </c>
      <c r="K23" s="17">
        <v>3147467</v>
      </c>
      <c r="L23" s="9">
        <f t="shared" si="8"/>
        <v>809</v>
      </c>
      <c r="M23" s="17">
        <v>4576373</v>
      </c>
      <c r="N23" s="9">
        <f t="shared" ref="N23" si="78">IF((M23-M22&lt;0), "0",M23-M22)</f>
        <v>1293</v>
      </c>
      <c r="O23" s="17">
        <v>2192222</v>
      </c>
      <c r="P23" s="9">
        <f t="shared" ref="P23" si="79">IF((O23-O22&lt;0), "0",O23-O22)</f>
        <v>566</v>
      </c>
      <c r="Q23" s="17">
        <v>1227836</v>
      </c>
      <c r="R23" s="9">
        <f t="shared" ref="R23" si="80">IF((Q23-Q22&lt;0), "0",Q23-Q22)</f>
        <v>337</v>
      </c>
      <c r="S23" s="17">
        <v>395214</v>
      </c>
      <c r="T23" s="9">
        <f t="shared" ref="T23" si="81">IF((S23-S22&lt;0), "0",S23-S22)</f>
        <v>84</v>
      </c>
      <c r="U23" s="17">
        <v>4118439</v>
      </c>
      <c r="V23" s="9">
        <f t="shared" si="53"/>
        <v>1200</v>
      </c>
      <c r="W23" s="17">
        <v>947696</v>
      </c>
      <c r="X23" s="9">
        <f t="shared" si="53"/>
        <v>202</v>
      </c>
      <c r="Y23" s="17">
        <v>3769832</v>
      </c>
      <c r="Z23" s="9">
        <f t="shared" si="53"/>
        <v>987</v>
      </c>
      <c r="AA23" s="17">
        <v>1966742</v>
      </c>
      <c r="AB23" s="9">
        <f t="shared" si="53"/>
        <v>2</v>
      </c>
      <c r="AC23" s="17">
        <v>5069660</v>
      </c>
      <c r="AD23" s="9">
        <f t="shared" si="53"/>
        <v>1435</v>
      </c>
      <c r="AE23" s="7">
        <v>7217365</v>
      </c>
      <c r="AF23" s="9">
        <f t="shared" si="53"/>
        <v>1962</v>
      </c>
      <c r="AG23" s="7">
        <v>1273727</v>
      </c>
      <c r="AH23" s="9">
        <f t="shared" si="53"/>
        <v>228</v>
      </c>
      <c r="AI23" s="17">
        <v>251120</v>
      </c>
      <c r="AJ23" s="9">
        <f t="shared" si="53"/>
        <v>75</v>
      </c>
      <c r="AK23" s="17">
        <v>933056</v>
      </c>
      <c r="AL23" s="9">
        <f t="shared" si="53"/>
        <v>329</v>
      </c>
      <c r="AM23" s="17">
        <v>1730127</v>
      </c>
      <c r="AN23" s="9">
        <f t="shared" si="53"/>
        <v>592</v>
      </c>
      <c r="AO23" s="17">
        <v>1852243</v>
      </c>
      <c r="AP23" s="9">
        <f t="shared" si="53"/>
        <v>573</v>
      </c>
      <c r="AQ23" s="38"/>
      <c r="AR23" s="17">
        <v>0</v>
      </c>
      <c r="AS23" s="9">
        <v>290</v>
      </c>
      <c r="AT23" s="17"/>
      <c r="AU23" s="9">
        <v>685</v>
      </c>
      <c r="AV23" s="17">
        <v>86945</v>
      </c>
      <c r="AW23" s="9">
        <f t="shared" si="1"/>
        <v>16</v>
      </c>
      <c r="AX23" s="17">
        <v>19</v>
      </c>
      <c r="AY23" s="9">
        <f t="shared" si="2"/>
        <v>2</v>
      </c>
      <c r="AZ23" s="17">
        <v>6799102</v>
      </c>
      <c r="BA23" s="9">
        <f t="shared" si="3"/>
        <v>2222</v>
      </c>
      <c r="BB23" s="17">
        <v>1183041</v>
      </c>
      <c r="BC23" s="9">
        <f t="shared" si="4"/>
        <v>1091</v>
      </c>
      <c r="BD23" s="20">
        <v>76</v>
      </c>
      <c r="BE23" s="20">
        <v>103</v>
      </c>
    </row>
    <row r="24" spans="1:57" ht="45" customHeight="1" x14ac:dyDescent="0.3">
      <c r="A24" s="8">
        <v>43882</v>
      </c>
      <c r="B24" s="36"/>
      <c r="C24" s="17">
        <v>25461911</v>
      </c>
      <c r="D24" s="9">
        <f t="shared" si="5"/>
        <v>7741</v>
      </c>
      <c r="E24" s="17">
        <v>26192158</v>
      </c>
      <c r="F24" s="9">
        <f t="shared" si="6"/>
        <v>5342</v>
      </c>
      <c r="G24" s="17">
        <v>11117524</v>
      </c>
      <c r="H24" s="9">
        <f t="shared" si="7"/>
        <v>3984</v>
      </c>
      <c r="I24" s="17">
        <v>1561426</v>
      </c>
      <c r="J24" s="9">
        <f t="shared" si="8"/>
        <v>507</v>
      </c>
      <c r="K24" s="17">
        <v>3148293</v>
      </c>
      <c r="L24" s="9">
        <f t="shared" si="8"/>
        <v>826</v>
      </c>
      <c r="M24" s="17">
        <v>4577592</v>
      </c>
      <c r="N24" s="9">
        <f t="shared" ref="N24" si="82">IF((M24-M23&lt;0), "0",M24-M23)</f>
        <v>1219</v>
      </c>
      <c r="O24" s="17">
        <v>2192807</v>
      </c>
      <c r="P24" s="9">
        <f t="shared" ref="P24" si="83">IF((O24-O23&lt;0), "0",O24-O23)</f>
        <v>585</v>
      </c>
      <c r="Q24" s="17">
        <v>1228186</v>
      </c>
      <c r="R24" s="9">
        <f t="shared" ref="R24" si="84">IF((Q24-Q23&lt;0), "0",Q24-Q23)</f>
        <v>350</v>
      </c>
      <c r="S24" s="17">
        <v>395300</v>
      </c>
      <c r="T24" s="9">
        <f t="shared" ref="T24" si="85">IF((S24-S23&lt;0), "0",S24-S23)</f>
        <v>86</v>
      </c>
      <c r="U24" s="17">
        <v>4119598</v>
      </c>
      <c r="V24" s="9">
        <f t="shared" si="53"/>
        <v>1159</v>
      </c>
      <c r="W24" s="17">
        <v>947897</v>
      </c>
      <c r="X24" s="9">
        <f t="shared" si="53"/>
        <v>201</v>
      </c>
      <c r="Y24" s="17">
        <v>3770735</v>
      </c>
      <c r="Z24" s="9">
        <f t="shared" si="53"/>
        <v>903</v>
      </c>
      <c r="AA24" s="17">
        <v>1966745</v>
      </c>
      <c r="AB24" s="9">
        <f t="shared" si="53"/>
        <v>3</v>
      </c>
      <c r="AC24" s="17">
        <v>5071125</v>
      </c>
      <c r="AD24" s="9">
        <f t="shared" si="53"/>
        <v>1465</v>
      </c>
      <c r="AE24" s="7">
        <v>7219372</v>
      </c>
      <c r="AF24" s="9">
        <f t="shared" si="53"/>
        <v>2007</v>
      </c>
      <c r="AG24" s="7">
        <v>1273959</v>
      </c>
      <c r="AH24" s="9">
        <f t="shared" si="53"/>
        <v>232</v>
      </c>
      <c r="AI24" s="17">
        <v>251197</v>
      </c>
      <c r="AJ24" s="9">
        <f t="shared" si="53"/>
        <v>77</v>
      </c>
      <c r="AK24" s="17">
        <v>933378</v>
      </c>
      <c r="AL24" s="9">
        <f t="shared" si="53"/>
        <v>322</v>
      </c>
      <c r="AM24" s="17">
        <v>1730736</v>
      </c>
      <c r="AN24" s="9">
        <f t="shared" si="53"/>
        <v>609</v>
      </c>
      <c r="AO24" s="17">
        <v>1852909</v>
      </c>
      <c r="AP24" s="9">
        <f t="shared" si="53"/>
        <v>666</v>
      </c>
      <c r="AQ24" s="38"/>
      <c r="AR24" s="17">
        <v>0</v>
      </c>
      <c r="AS24" s="9">
        <v>0</v>
      </c>
      <c r="AT24" s="17">
        <v>0</v>
      </c>
      <c r="AU24" s="9">
        <v>0</v>
      </c>
      <c r="AV24" s="17">
        <v>86966</v>
      </c>
      <c r="AW24" s="9">
        <f t="shared" si="1"/>
        <v>21</v>
      </c>
      <c r="AX24" s="17">
        <v>22</v>
      </c>
      <c r="AY24" s="9">
        <f t="shared" si="2"/>
        <v>3</v>
      </c>
      <c r="AZ24" s="17">
        <v>6801429</v>
      </c>
      <c r="BA24" s="9">
        <f t="shared" si="3"/>
        <v>2327</v>
      </c>
      <c r="BB24" s="17">
        <v>1184166</v>
      </c>
      <c r="BC24" s="9">
        <f t="shared" si="4"/>
        <v>1125</v>
      </c>
      <c r="BD24" s="20">
        <v>72</v>
      </c>
      <c r="BE24" s="20">
        <v>107</v>
      </c>
    </row>
    <row r="25" spans="1:57" ht="45" customHeight="1" x14ac:dyDescent="0.3">
      <c r="A25" s="8">
        <v>43883</v>
      </c>
      <c r="B25" s="36"/>
      <c r="C25" s="17">
        <v>25469417</v>
      </c>
      <c r="D25" s="9">
        <f t="shared" si="5"/>
        <v>7506</v>
      </c>
      <c r="E25" s="17">
        <v>26197353</v>
      </c>
      <c r="F25" s="9">
        <f t="shared" si="6"/>
        <v>5195</v>
      </c>
      <c r="G25" s="17">
        <v>11121436</v>
      </c>
      <c r="H25" s="9">
        <f t="shared" si="7"/>
        <v>3912</v>
      </c>
      <c r="I25" s="17">
        <v>1561910</v>
      </c>
      <c r="J25" s="9">
        <f t="shared" si="8"/>
        <v>484</v>
      </c>
      <c r="K25" s="17">
        <v>3149108</v>
      </c>
      <c r="L25" s="9">
        <f t="shared" si="8"/>
        <v>815</v>
      </c>
      <c r="M25" s="17">
        <v>4578800</v>
      </c>
      <c r="N25" s="9">
        <f t="shared" ref="N25" si="86">IF((M25-M24&lt;0), "0",M25-M24)</f>
        <v>1208</v>
      </c>
      <c r="O25" s="17">
        <v>2193380</v>
      </c>
      <c r="P25" s="9">
        <f t="shared" ref="P25" si="87">IF((O25-O24&lt;0), "0",O25-O24)</f>
        <v>573</v>
      </c>
      <c r="Q25" s="17">
        <v>1228548</v>
      </c>
      <c r="R25" s="9">
        <f t="shared" ref="R25" si="88">IF((Q25-Q24&lt;0), "0",Q25-Q24)</f>
        <v>362</v>
      </c>
      <c r="S25" s="17">
        <v>395385</v>
      </c>
      <c r="T25" s="9">
        <f t="shared" ref="T25" si="89">IF((S25-S24&lt;0), "0",S25-S24)</f>
        <v>85</v>
      </c>
      <c r="U25" s="17">
        <v>4120685</v>
      </c>
      <c r="V25" s="9">
        <f t="shared" si="53"/>
        <v>1087</v>
      </c>
      <c r="W25" s="17">
        <v>948013</v>
      </c>
      <c r="X25" s="9">
        <f t="shared" si="53"/>
        <v>116</v>
      </c>
      <c r="Y25" s="17">
        <v>3771669</v>
      </c>
      <c r="Z25" s="9">
        <f t="shared" si="53"/>
        <v>934</v>
      </c>
      <c r="AA25" s="17">
        <v>1966747</v>
      </c>
      <c r="AB25" s="9">
        <f t="shared" si="53"/>
        <v>2</v>
      </c>
      <c r="AC25" s="17">
        <v>5072573</v>
      </c>
      <c r="AD25" s="9">
        <f t="shared" si="53"/>
        <v>1448</v>
      </c>
      <c r="AE25" s="7">
        <v>7221369</v>
      </c>
      <c r="AF25" s="9">
        <f t="shared" si="53"/>
        <v>1997</v>
      </c>
      <c r="AG25" s="7">
        <v>1274189</v>
      </c>
      <c r="AH25" s="9">
        <f t="shared" si="53"/>
        <v>230</v>
      </c>
      <c r="AI25" s="17">
        <v>251273</v>
      </c>
      <c r="AJ25" s="9">
        <f t="shared" si="53"/>
        <v>76</v>
      </c>
      <c r="AK25" s="17">
        <v>933690</v>
      </c>
      <c r="AL25" s="9">
        <f t="shared" si="53"/>
        <v>312</v>
      </c>
      <c r="AM25" s="17">
        <v>1731331</v>
      </c>
      <c r="AN25" s="9">
        <f t="shared" si="53"/>
        <v>595</v>
      </c>
      <c r="AO25" s="17">
        <v>1853524</v>
      </c>
      <c r="AP25" s="9">
        <f t="shared" si="53"/>
        <v>615</v>
      </c>
      <c r="AQ25" s="38"/>
      <c r="AR25" s="17">
        <v>0</v>
      </c>
      <c r="AS25" s="9">
        <v>0</v>
      </c>
      <c r="AT25" s="17">
        <v>0</v>
      </c>
      <c r="AU25" s="9">
        <v>0</v>
      </c>
      <c r="AV25" s="17">
        <v>86984</v>
      </c>
      <c r="AW25" s="9">
        <f t="shared" si="1"/>
        <v>18</v>
      </c>
      <c r="AX25" s="17">
        <v>24</v>
      </c>
      <c r="AY25" s="9">
        <f t="shared" si="2"/>
        <v>2</v>
      </c>
      <c r="AZ25" s="17">
        <v>6803520</v>
      </c>
      <c r="BA25" s="9">
        <f t="shared" si="3"/>
        <v>2091</v>
      </c>
      <c r="BB25" s="17">
        <v>1185266</v>
      </c>
      <c r="BC25" s="9">
        <f t="shared" si="4"/>
        <v>1100</v>
      </c>
      <c r="BD25" s="20">
        <v>76</v>
      </c>
      <c r="BE25" s="20">
        <v>110</v>
      </c>
    </row>
    <row r="26" spans="1:57" ht="45" customHeight="1" x14ac:dyDescent="0.3">
      <c r="A26" s="8">
        <v>43884</v>
      </c>
      <c r="B26" s="36"/>
      <c r="C26" s="17">
        <v>25476630</v>
      </c>
      <c r="D26" s="9">
        <f t="shared" si="5"/>
        <v>7213</v>
      </c>
      <c r="E26" s="17">
        <v>26202433</v>
      </c>
      <c r="F26" s="9">
        <f t="shared" si="6"/>
        <v>5080</v>
      </c>
      <c r="G26" s="17">
        <v>11125440</v>
      </c>
      <c r="H26" s="9">
        <f t="shared" si="7"/>
        <v>4004</v>
      </c>
      <c r="I26" s="17">
        <v>1562421</v>
      </c>
      <c r="J26" s="9">
        <f t="shared" si="8"/>
        <v>511</v>
      </c>
      <c r="K26" s="17">
        <v>3149921</v>
      </c>
      <c r="L26" s="9">
        <f t="shared" si="8"/>
        <v>813</v>
      </c>
      <c r="M26" s="17">
        <v>4579940</v>
      </c>
      <c r="N26" s="9">
        <f t="shared" ref="N26" si="90">IF((M26-M25&lt;0), "0",M26-M25)</f>
        <v>1140</v>
      </c>
      <c r="O26" s="17">
        <v>2193957</v>
      </c>
      <c r="P26" s="9">
        <f t="shared" ref="P26" si="91">IF((O26-O25&lt;0), "0",O26-O25)</f>
        <v>577</v>
      </c>
      <c r="Q26" s="17">
        <v>1228894</v>
      </c>
      <c r="R26" s="9">
        <f t="shared" ref="R26" si="92">IF((Q26-Q25&lt;0), "0",Q26-Q25)</f>
        <v>346</v>
      </c>
      <c r="S26" s="17">
        <v>395471</v>
      </c>
      <c r="T26" s="9">
        <f t="shared" ref="T26" si="93">IF((S26-S25&lt;0), "0",S26-S25)</f>
        <v>86</v>
      </c>
      <c r="U26" s="17">
        <v>4121522</v>
      </c>
      <c r="V26" s="9">
        <f t="shared" si="53"/>
        <v>837</v>
      </c>
      <c r="W26" s="17">
        <v>948093</v>
      </c>
      <c r="X26" s="9">
        <f t="shared" si="53"/>
        <v>80</v>
      </c>
      <c r="Y26" s="17">
        <v>3772648</v>
      </c>
      <c r="Z26" s="9">
        <f t="shared" si="53"/>
        <v>979</v>
      </c>
      <c r="AA26" s="17">
        <v>1966749</v>
      </c>
      <c r="AB26" s="9">
        <f t="shared" si="53"/>
        <v>2</v>
      </c>
      <c r="AC26" s="17">
        <v>5074032</v>
      </c>
      <c r="AD26" s="9">
        <f t="shared" si="53"/>
        <v>1459</v>
      </c>
      <c r="AE26" s="7">
        <v>7223385</v>
      </c>
      <c r="AF26" s="9">
        <f t="shared" si="53"/>
        <v>2016</v>
      </c>
      <c r="AG26" s="7">
        <v>1274418</v>
      </c>
      <c r="AH26" s="9">
        <f t="shared" si="53"/>
        <v>229</v>
      </c>
      <c r="AI26" s="17">
        <v>251349</v>
      </c>
      <c r="AJ26" s="9">
        <f t="shared" si="53"/>
        <v>76</v>
      </c>
      <c r="AK26" s="17">
        <v>934003</v>
      </c>
      <c r="AL26" s="9">
        <f t="shared" si="53"/>
        <v>313</v>
      </c>
      <c r="AM26" s="17">
        <v>1731927</v>
      </c>
      <c r="AN26" s="9">
        <f t="shared" si="53"/>
        <v>596</v>
      </c>
      <c r="AO26" s="17">
        <v>1854152</v>
      </c>
      <c r="AP26" s="9">
        <f t="shared" si="53"/>
        <v>628</v>
      </c>
      <c r="AQ26" s="38"/>
      <c r="AR26" s="17">
        <v>0</v>
      </c>
      <c r="AS26" s="9">
        <v>0</v>
      </c>
      <c r="AT26" s="17">
        <v>0</v>
      </c>
      <c r="AU26" s="9">
        <v>0</v>
      </c>
      <c r="AV26" s="17">
        <v>87003</v>
      </c>
      <c r="AW26" s="9">
        <f t="shared" si="1"/>
        <v>19</v>
      </c>
      <c r="AX26" s="17">
        <v>27</v>
      </c>
      <c r="AY26" s="9">
        <f t="shared" si="2"/>
        <v>3</v>
      </c>
      <c r="AZ26" s="17">
        <v>6805519</v>
      </c>
      <c r="BA26" s="9">
        <f t="shared" si="3"/>
        <v>1999</v>
      </c>
      <c r="BB26" s="17">
        <v>1186399</v>
      </c>
      <c r="BC26" s="9">
        <f t="shared" si="4"/>
        <v>1133</v>
      </c>
      <c r="BD26" s="20">
        <v>99</v>
      </c>
      <c r="BE26" s="20">
        <v>137</v>
      </c>
    </row>
    <row r="27" spans="1:57" ht="45" customHeight="1" x14ac:dyDescent="0.3">
      <c r="A27" s="8">
        <v>43885</v>
      </c>
      <c r="B27" s="36"/>
      <c r="C27" s="17">
        <v>25484025</v>
      </c>
      <c r="D27" s="9">
        <f t="shared" si="5"/>
        <v>7395</v>
      </c>
      <c r="E27" s="17">
        <v>26207398</v>
      </c>
      <c r="F27" s="9">
        <f t="shared" si="6"/>
        <v>4965</v>
      </c>
      <c r="G27" s="17">
        <v>11129265</v>
      </c>
      <c r="H27" s="9">
        <f t="shared" si="7"/>
        <v>3825</v>
      </c>
      <c r="I27" s="17">
        <v>1562920</v>
      </c>
      <c r="J27" s="9">
        <f t="shared" si="8"/>
        <v>499</v>
      </c>
      <c r="K27" s="17">
        <v>3150700</v>
      </c>
      <c r="L27" s="9">
        <f t="shared" si="8"/>
        <v>779</v>
      </c>
      <c r="M27" s="17">
        <v>4581224</v>
      </c>
      <c r="N27" s="9">
        <f t="shared" ref="N27" si="94">IF((M27-M26&lt;0), "0",M27-M26)</f>
        <v>1284</v>
      </c>
      <c r="O27" s="17">
        <v>2194561</v>
      </c>
      <c r="P27" s="9">
        <f t="shared" ref="P27" si="95">IF((O27-O26&lt;0), "0",O27-O26)</f>
        <v>604</v>
      </c>
      <c r="Q27" s="17">
        <v>1229223</v>
      </c>
      <c r="R27" s="9">
        <f t="shared" ref="R27" si="96">IF((Q27-Q26&lt;0), "0",Q27-Q26)</f>
        <v>329</v>
      </c>
      <c r="S27" s="17">
        <v>395555</v>
      </c>
      <c r="T27" s="9">
        <f t="shared" ref="T27" si="97">IF((S27-S26&lt;0), "0",S27-S26)</f>
        <v>84</v>
      </c>
      <c r="U27" s="17">
        <v>4122418</v>
      </c>
      <c r="V27" s="9">
        <f t="shared" si="53"/>
        <v>896</v>
      </c>
      <c r="W27" s="17">
        <v>948190</v>
      </c>
      <c r="X27" s="9">
        <f t="shared" si="53"/>
        <v>97</v>
      </c>
      <c r="Y27" s="17">
        <v>3773707</v>
      </c>
      <c r="Z27" s="9">
        <f t="shared" si="53"/>
        <v>1059</v>
      </c>
      <c r="AA27" s="17">
        <v>1966751</v>
      </c>
      <c r="AB27" s="9">
        <f t="shared" si="53"/>
        <v>2</v>
      </c>
      <c r="AC27" s="17">
        <v>5075446</v>
      </c>
      <c r="AD27" s="9">
        <f t="shared" si="53"/>
        <v>1414</v>
      </c>
      <c r="AE27" s="7">
        <v>7225334</v>
      </c>
      <c r="AF27" s="9">
        <f t="shared" si="53"/>
        <v>1949</v>
      </c>
      <c r="AG27" s="7">
        <v>1274641</v>
      </c>
      <c r="AH27" s="9">
        <f t="shared" si="53"/>
        <v>223</v>
      </c>
      <c r="AI27" s="17">
        <v>251424</v>
      </c>
      <c r="AJ27" s="9">
        <f t="shared" si="53"/>
        <v>75</v>
      </c>
      <c r="AK27" s="17">
        <v>934321</v>
      </c>
      <c r="AL27" s="9">
        <f t="shared" si="53"/>
        <v>318</v>
      </c>
      <c r="AM27" s="17">
        <v>1732504</v>
      </c>
      <c r="AN27" s="9">
        <f t="shared" si="53"/>
        <v>577</v>
      </c>
      <c r="AO27" s="17">
        <v>1854764</v>
      </c>
      <c r="AP27" s="9">
        <f t="shared" si="53"/>
        <v>612</v>
      </c>
      <c r="AQ27" s="38"/>
      <c r="AR27" s="17">
        <v>0</v>
      </c>
      <c r="AS27" s="9">
        <v>0</v>
      </c>
      <c r="AT27" s="17">
        <v>0</v>
      </c>
      <c r="AU27" s="9">
        <v>0</v>
      </c>
      <c r="AV27" s="17">
        <v>87020</v>
      </c>
      <c r="AW27" s="9">
        <f t="shared" si="1"/>
        <v>17</v>
      </c>
      <c r="AX27" s="17">
        <v>29</v>
      </c>
      <c r="AY27" s="9">
        <f t="shared" si="2"/>
        <v>2</v>
      </c>
      <c r="AZ27" s="17">
        <v>6807528</v>
      </c>
      <c r="BA27" s="9">
        <f t="shared" si="3"/>
        <v>2009</v>
      </c>
      <c r="BB27" s="17">
        <v>1187485</v>
      </c>
      <c r="BC27" s="9">
        <f t="shared" si="4"/>
        <v>1086</v>
      </c>
      <c r="BD27" s="20">
        <v>123</v>
      </c>
      <c r="BE27" s="20">
        <v>166</v>
      </c>
    </row>
    <row r="28" spans="1:57" ht="45" customHeight="1" x14ac:dyDescent="0.3">
      <c r="A28" s="8">
        <v>43886</v>
      </c>
      <c r="B28" s="36"/>
      <c r="C28" s="17">
        <v>25491754</v>
      </c>
      <c r="D28" s="9">
        <f t="shared" si="5"/>
        <v>7729</v>
      </c>
      <c r="E28" s="17">
        <v>26212671</v>
      </c>
      <c r="F28" s="9">
        <f t="shared" si="6"/>
        <v>5273</v>
      </c>
      <c r="G28" s="17">
        <v>11133158</v>
      </c>
      <c r="H28" s="9">
        <f t="shared" si="7"/>
        <v>3893</v>
      </c>
      <c r="I28" s="17">
        <v>1563421</v>
      </c>
      <c r="J28" s="9">
        <f t="shared" si="8"/>
        <v>501</v>
      </c>
      <c r="K28" s="17">
        <v>3151492</v>
      </c>
      <c r="L28" s="9">
        <f t="shared" si="8"/>
        <v>792</v>
      </c>
      <c r="M28" s="17">
        <v>4582479</v>
      </c>
      <c r="N28" s="9">
        <f t="shared" ref="N28" si="98">IF((M28-M27&lt;0), "0",M28-M27)</f>
        <v>1255</v>
      </c>
      <c r="O28" s="17">
        <v>2195140</v>
      </c>
      <c r="P28" s="9">
        <f t="shared" ref="P28" si="99">IF((O28-O27&lt;0), "0",O28-O27)</f>
        <v>579</v>
      </c>
      <c r="Q28" s="17">
        <v>1229549</v>
      </c>
      <c r="R28" s="9">
        <f t="shared" ref="R28" si="100">IF((Q28-Q27&lt;0), "0",Q28-Q27)</f>
        <v>326</v>
      </c>
      <c r="S28" s="17">
        <v>395639</v>
      </c>
      <c r="T28" s="9">
        <f t="shared" ref="T28" si="101">IF((S28-S27&lt;0), "0",S28-S27)</f>
        <v>84</v>
      </c>
      <c r="U28" s="17">
        <v>4123511</v>
      </c>
      <c r="V28" s="9">
        <f t="shared" si="53"/>
        <v>1093</v>
      </c>
      <c r="W28" s="17">
        <v>948330</v>
      </c>
      <c r="X28" s="9">
        <f t="shared" si="53"/>
        <v>140</v>
      </c>
      <c r="Y28" s="17">
        <v>3774795</v>
      </c>
      <c r="Z28" s="9">
        <f t="shared" si="53"/>
        <v>1088</v>
      </c>
      <c r="AA28" s="17">
        <v>1966754</v>
      </c>
      <c r="AB28" s="9">
        <f t="shared" si="53"/>
        <v>3</v>
      </c>
      <c r="AC28" s="17">
        <v>5076855</v>
      </c>
      <c r="AD28" s="9">
        <f t="shared" si="53"/>
        <v>1409</v>
      </c>
      <c r="AE28" s="7">
        <v>7227303</v>
      </c>
      <c r="AF28" s="9">
        <f t="shared" si="53"/>
        <v>1969</v>
      </c>
      <c r="AG28" s="7">
        <v>1274888</v>
      </c>
      <c r="AH28" s="9">
        <f t="shared" si="53"/>
        <v>247</v>
      </c>
      <c r="AI28" s="17">
        <v>251498</v>
      </c>
      <c r="AJ28" s="9">
        <f t="shared" si="53"/>
        <v>74</v>
      </c>
      <c r="AK28" s="17">
        <v>934674</v>
      </c>
      <c r="AL28" s="9">
        <f t="shared" si="53"/>
        <v>353</v>
      </c>
      <c r="AM28" s="17">
        <v>1733101</v>
      </c>
      <c r="AN28" s="9">
        <f t="shared" si="53"/>
        <v>597</v>
      </c>
      <c r="AO28" s="17">
        <v>1855375</v>
      </c>
      <c r="AP28" s="9">
        <f t="shared" si="53"/>
        <v>611</v>
      </c>
      <c r="AQ28" s="38"/>
      <c r="AR28" s="17">
        <v>0</v>
      </c>
      <c r="AS28" s="9">
        <v>0</v>
      </c>
      <c r="AT28" s="17">
        <v>0</v>
      </c>
      <c r="AU28" s="9">
        <v>0</v>
      </c>
      <c r="AV28" s="17">
        <v>87036</v>
      </c>
      <c r="AW28" s="9">
        <f t="shared" si="1"/>
        <v>16</v>
      </c>
      <c r="AX28" s="17">
        <v>31</v>
      </c>
      <c r="AY28" s="9">
        <f t="shared" si="2"/>
        <v>2</v>
      </c>
      <c r="AZ28" s="17">
        <v>6809652</v>
      </c>
      <c r="BA28" s="9">
        <f t="shared" si="3"/>
        <v>2124</v>
      </c>
      <c r="BB28" s="17">
        <v>1188601</v>
      </c>
      <c r="BC28" s="9">
        <f t="shared" si="4"/>
        <v>1116</v>
      </c>
      <c r="BD28" s="20">
        <v>141</v>
      </c>
      <c r="BE28" s="20">
        <v>199</v>
      </c>
    </row>
    <row r="29" spans="1:57" ht="45" customHeight="1" x14ac:dyDescent="0.3">
      <c r="A29" s="8">
        <v>43887</v>
      </c>
      <c r="B29" s="36"/>
      <c r="C29" s="17">
        <v>25498837</v>
      </c>
      <c r="D29" s="9">
        <f t="shared" si="5"/>
        <v>7083</v>
      </c>
      <c r="E29" s="17">
        <v>26219086</v>
      </c>
      <c r="F29" s="9">
        <f t="shared" si="6"/>
        <v>6415</v>
      </c>
      <c r="G29" s="17">
        <v>11137132</v>
      </c>
      <c r="H29" s="9">
        <f t="shared" si="7"/>
        <v>3974</v>
      </c>
      <c r="I29" s="17">
        <v>1563932</v>
      </c>
      <c r="J29" s="9">
        <f t="shared" si="8"/>
        <v>511</v>
      </c>
      <c r="K29" s="17">
        <v>3152297</v>
      </c>
      <c r="L29" s="9">
        <f t="shared" si="8"/>
        <v>805</v>
      </c>
      <c r="M29" s="17">
        <v>4583696</v>
      </c>
      <c r="N29" s="9">
        <f t="shared" ref="N29" si="102">IF((M29-M28&lt;0), "0",M29-M28)</f>
        <v>1217</v>
      </c>
      <c r="O29" s="17">
        <v>2195789</v>
      </c>
      <c r="P29" s="9">
        <f t="shared" ref="P29" si="103">IF((O29-O28&lt;0), "0",O29-O28)</f>
        <v>649</v>
      </c>
      <c r="Q29" s="17">
        <v>1229928</v>
      </c>
      <c r="R29" s="9">
        <f t="shared" ref="R29" si="104">IF((Q29-Q28&lt;0), "0",Q29-Q28)</f>
        <v>379</v>
      </c>
      <c r="S29" s="17">
        <v>395725</v>
      </c>
      <c r="T29" s="9">
        <f t="shared" ref="T29" si="105">IF((S29-S28&lt;0), "0",S29-S28)</f>
        <v>86</v>
      </c>
      <c r="U29" s="17">
        <v>4124642</v>
      </c>
      <c r="V29" s="9">
        <f t="shared" si="53"/>
        <v>1131</v>
      </c>
      <c r="W29" s="17">
        <v>948553</v>
      </c>
      <c r="X29" s="9">
        <f t="shared" si="53"/>
        <v>223</v>
      </c>
      <c r="Y29" s="17">
        <v>3774898</v>
      </c>
      <c r="Z29" s="9">
        <f t="shared" si="53"/>
        <v>103</v>
      </c>
      <c r="AA29" s="17">
        <v>1967403</v>
      </c>
      <c r="AB29" s="9">
        <f t="shared" si="53"/>
        <v>649</v>
      </c>
      <c r="AC29" s="17">
        <v>5078296</v>
      </c>
      <c r="AD29" s="9">
        <f t="shared" si="53"/>
        <v>1441</v>
      </c>
      <c r="AE29" s="7">
        <v>7229312</v>
      </c>
      <c r="AF29" s="9">
        <f t="shared" si="53"/>
        <v>2009</v>
      </c>
      <c r="AG29" s="7">
        <v>1275118</v>
      </c>
      <c r="AH29" s="9">
        <f t="shared" si="53"/>
        <v>230</v>
      </c>
      <c r="AI29" s="17">
        <v>251574</v>
      </c>
      <c r="AJ29" s="9">
        <f t="shared" si="53"/>
        <v>76</v>
      </c>
      <c r="AK29" s="17">
        <v>935035</v>
      </c>
      <c r="AL29" s="9">
        <f t="shared" si="53"/>
        <v>361</v>
      </c>
      <c r="AM29" s="17">
        <v>1733711</v>
      </c>
      <c r="AN29" s="9">
        <f t="shared" si="53"/>
        <v>610</v>
      </c>
      <c r="AO29" s="17">
        <v>1856061</v>
      </c>
      <c r="AP29" s="9">
        <f t="shared" si="53"/>
        <v>686</v>
      </c>
      <c r="AQ29" s="39"/>
      <c r="AR29" s="17">
        <v>0</v>
      </c>
      <c r="AS29" s="9">
        <v>0</v>
      </c>
      <c r="AT29" s="17">
        <v>0</v>
      </c>
      <c r="AU29" s="9">
        <v>0</v>
      </c>
      <c r="AV29" s="17">
        <v>87056</v>
      </c>
      <c r="AW29" s="9">
        <f t="shared" si="1"/>
        <v>20</v>
      </c>
      <c r="AX29" s="17">
        <v>34</v>
      </c>
      <c r="AY29" s="9">
        <f t="shared" si="2"/>
        <v>3</v>
      </c>
      <c r="AZ29" s="17">
        <v>6812176</v>
      </c>
      <c r="BA29" s="9">
        <f t="shared" si="3"/>
        <v>2524</v>
      </c>
      <c r="BB29" s="17">
        <v>1189743</v>
      </c>
      <c r="BC29" s="9">
        <f t="shared" si="4"/>
        <v>1142</v>
      </c>
      <c r="BD29" s="20">
        <v>133</v>
      </c>
      <c r="BE29" s="20">
        <v>189</v>
      </c>
    </row>
    <row r="30" spans="1:57" ht="45" customHeight="1" x14ac:dyDescent="0.3">
      <c r="A30" s="8">
        <v>43888</v>
      </c>
      <c r="B30" s="36"/>
      <c r="C30" s="17">
        <v>25505473</v>
      </c>
      <c r="D30" s="9">
        <f t="shared" si="5"/>
        <v>6636</v>
      </c>
      <c r="E30" s="17">
        <v>26225698</v>
      </c>
      <c r="F30" s="9">
        <f t="shared" si="6"/>
        <v>6612</v>
      </c>
      <c r="G30" s="17">
        <v>11141014</v>
      </c>
      <c r="H30" s="9">
        <f t="shared" si="7"/>
        <v>3882</v>
      </c>
      <c r="I30" s="17">
        <v>1564423</v>
      </c>
      <c r="J30" s="9">
        <f t="shared" si="8"/>
        <v>491</v>
      </c>
      <c r="K30" s="17">
        <v>3153105</v>
      </c>
      <c r="L30" s="9">
        <f t="shared" si="8"/>
        <v>808</v>
      </c>
      <c r="M30" s="17">
        <v>4584834</v>
      </c>
      <c r="N30" s="9">
        <f t="shared" ref="N30" si="106">IF((M30-M29&lt;0), "0",M30-M29)</f>
        <v>1138</v>
      </c>
      <c r="O30" s="17">
        <v>2196434</v>
      </c>
      <c r="P30" s="9">
        <f t="shared" ref="P30" si="107">IF((O30-O29&lt;0), "0",O30-O29)</f>
        <v>645</v>
      </c>
      <c r="Q30" s="17">
        <v>1230281</v>
      </c>
      <c r="R30" s="9">
        <f t="shared" ref="R30" si="108">IF((Q30-Q29&lt;0), "0",Q30-Q29)</f>
        <v>353</v>
      </c>
      <c r="S30" s="17">
        <v>395810</v>
      </c>
      <c r="T30" s="9">
        <f t="shared" ref="T30" si="109">IF((S30-S29&lt;0), "0",S30-S29)</f>
        <v>85</v>
      </c>
      <c r="U30" s="17">
        <v>4125657</v>
      </c>
      <c r="V30" s="9">
        <f t="shared" si="53"/>
        <v>1015</v>
      </c>
      <c r="W30" s="17">
        <v>948737</v>
      </c>
      <c r="X30" s="9">
        <f t="shared" si="53"/>
        <v>184</v>
      </c>
      <c r="Y30" s="17">
        <v>3774901</v>
      </c>
      <c r="Z30" s="9">
        <f t="shared" si="53"/>
        <v>3</v>
      </c>
      <c r="AA30" s="17">
        <v>1968133</v>
      </c>
      <c r="AB30" s="9">
        <f t="shared" si="53"/>
        <v>730</v>
      </c>
      <c r="AC30" s="17">
        <v>5079730</v>
      </c>
      <c r="AD30" s="9">
        <f t="shared" si="53"/>
        <v>1434</v>
      </c>
      <c r="AE30" s="7">
        <v>7231312</v>
      </c>
      <c r="AF30" s="9">
        <f t="shared" si="53"/>
        <v>2000</v>
      </c>
      <c r="AG30" s="7">
        <v>1275349</v>
      </c>
      <c r="AH30" s="9">
        <f t="shared" si="53"/>
        <v>231</v>
      </c>
      <c r="AI30" s="17">
        <v>251649</v>
      </c>
      <c r="AJ30" s="9">
        <f t="shared" si="53"/>
        <v>75</v>
      </c>
      <c r="AK30" s="17">
        <v>935390</v>
      </c>
      <c r="AL30" s="9">
        <f t="shared" si="53"/>
        <v>355</v>
      </c>
      <c r="AM30" s="17">
        <v>1734318</v>
      </c>
      <c r="AN30" s="9">
        <f t="shared" si="53"/>
        <v>607</v>
      </c>
      <c r="AO30" s="17">
        <v>1856708</v>
      </c>
      <c r="AP30" s="9">
        <f t="shared" si="53"/>
        <v>647</v>
      </c>
      <c r="AQ30" s="39"/>
      <c r="AR30" s="17">
        <v>0</v>
      </c>
      <c r="AS30" s="9">
        <v>0</v>
      </c>
      <c r="AT30" s="17">
        <v>0</v>
      </c>
      <c r="AU30" s="9">
        <v>0</v>
      </c>
      <c r="AV30" s="17">
        <v>87074</v>
      </c>
      <c r="AW30" s="9">
        <f t="shared" si="1"/>
        <v>18</v>
      </c>
      <c r="AX30" s="17">
        <v>36</v>
      </c>
      <c r="AY30" s="9">
        <f t="shared" si="2"/>
        <v>2</v>
      </c>
      <c r="AZ30" s="17">
        <v>6814717</v>
      </c>
      <c r="BA30" s="9">
        <f t="shared" si="3"/>
        <v>2541</v>
      </c>
      <c r="BB30" s="17">
        <v>1190849</v>
      </c>
      <c r="BC30" s="9">
        <f t="shared" si="4"/>
        <v>1106</v>
      </c>
      <c r="BD30" s="20">
        <v>127</v>
      </c>
      <c r="BE30" s="20">
        <v>186</v>
      </c>
    </row>
    <row r="31" spans="1:57" ht="45" customHeight="1" x14ac:dyDescent="0.3">
      <c r="A31" s="8">
        <v>43889</v>
      </c>
      <c r="B31" s="37"/>
      <c r="C31" s="29">
        <v>25512109</v>
      </c>
      <c r="D31" s="9">
        <f t="shared" si="5"/>
        <v>6636</v>
      </c>
      <c r="E31" s="29">
        <v>26232398</v>
      </c>
      <c r="F31" s="9">
        <f t="shared" si="6"/>
        <v>6700</v>
      </c>
      <c r="G31" s="29">
        <v>11144950</v>
      </c>
      <c r="H31" s="9">
        <f t="shared" si="7"/>
        <v>3936</v>
      </c>
      <c r="I31" s="29">
        <v>1564905</v>
      </c>
      <c r="J31" s="9">
        <f t="shared" si="8"/>
        <v>482</v>
      </c>
      <c r="K31" s="29">
        <v>3153927</v>
      </c>
      <c r="L31" s="9">
        <f t="shared" si="8"/>
        <v>822</v>
      </c>
      <c r="M31" s="29">
        <v>4586039</v>
      </c>
      <c r="N31" s="9">
        <f t="shared" ref="N31" si="110">IF((M31-M30&lt;0), "0",M31-M30)</f>
        <v>1205</v>
      </c>
      <c r="O31" s="29">
        <v>2197032</v>
      </c>
      <c r="P31" s="9">
        <f t="shared" ref="P31" si="111">IF((O31-O30&lt;0), "0",O31-O30)</f>
        <v>598</v>
      </c>
      <c r="Q31" s="29">
        <v>1230635</v>
      </c>
      <c r="R31" s="9">
        <f t="shared" ref="R31" si="112">IF((Q31-Q30&lt;0), "0",Q31-Q30)</f>
        <v>354</v>
      </c>
      <c r="S31" s="29">
        <v>395894</v>
      </c>
      <c r="T31" s="9">
        <f t="shared" ref="T31" si="113">IF((S31-S30&lt;0), "0",S31-S30)</f>
        <v>84</v>
      </c>
      <c r="U31" s="29">
        <v>4126669</v>
      </c>
      <c r="V31" s="30">
        <f t="shared" si="53"/>
        <v>1012</v>
      </c>
      <c r="W31" s="29">
        <v>948885</v>
      </c>
      <c r="X31" s="30">
        <f t="shared" si="53"/>
        <v>148</v>
      </c>
      <c r="Y31" s="29">
        <v>3774905</v>
      </c>
      <c r="Z31" s="30">
        <f t="shared" si="53"/>
        <v>4</v>
      </c>
      <c r="AA31" s="29">
        <v>1968883</v>
      </c>
      <c r="AB31" s="30">
        <f t="shared" si="53"/>
        <v>750</v>
      </c>
      <c r="AC31" s="29">
        <v>5081160</v>
      </c>
      <c r="AD31" s="30">
        <f t="shared" si="53"/>
        <v>1430</v>
      </c>
      <c r="AE31" s="7">
        <v>7233300</v>
      </c>
      <c r="AF31" s="30">
        <f t="shared" si="53"/>
        <v>1988</v>
      </c>
      <c r="AG31" s="7">
        <v>1275577</v>
      </c>
      <c r="AH31" s="30">
        <f t="shared" si="53"/>
        <v>228</v>
      </c>
      <c r="AI31" s="29">
        <v>251724</v>
      </c>
      <c r="AJ31" s="30">
        <f t="shared" si="53"/>
        <v>75</v>
      </c>
      <c r="AK31" s="29">
        <v>935740</v>
      </c>
      <c r="AL31" s="30">
        <f t="shared" si="53"/>
        <v>350</v>
      </c>
      <c r="AM31" s="29">
        <v>1734921</v>
      </c>
      <c r="AN31" s="30">
        <f t="shared" si="53"/>
        <v>603</v>
      </c>
      <c r="AO31" s="29">
        <v>1857373</v>
      </c>
      <c r="AP31" s="9">
        <f t="shared" si="53"/>
        <v>665</v>
      </c>
      <c r="AQ31" s="39"/>
      <c r="AR31" s="29">
        <v>0</v>
      </c>
      <c r="AS31" s="30">
        <v>0</v>
      </c>
      <c r="AT31" s="29">
        <v>0</v>
      </c>
      <c r="AU31" s="30">
        <v>0</v>
      </c>
      <c r="AV31" s="29">
        <v>87095</v>
      </c>
      <c r="AW31" s="30">
        <f t="shared" si="1"/>
        <v>21</v>
      </c>
      <c r="AX31" s="29">
        <v>38</v>
      </c>
      <c r="AY31" s="30">
        <f t="shared" si="2"/>
        <v>2</v>
      </c>
      <c r="AZ31" s="29">
        <v>6817242</v>
      </c>
      <c r="BA31" s="30">
        <f t="shared" si="3"/>
        <v>2525</v>
      </c>
      <c r="BB31" s="29">
        <v>1191969</v>
      </c>
      <c r="BC31" s="30">
        <f t="shared" si="4"/>
        <v>1120</v>
      </c>
      <c r="BD31" s="31">
        <v>98</v>
      </c>
      <c r="BE31" s="31">
        <v>146</v>
      </c>
    </row>
    <row r="32" spans="1:57" ht="34.5" customHeight="1" x14ac:dyDescent="0.3">
      <c r="A32" s="8">
        <v>43890</v>
      </c>
      <c r="B32" s="32"/>
      <c r="C32" s="17"/>
      <c r="D32" s="9" t="str">
        <f t="shared" si="5"/>
        <v>0</v>
      </c>
      <c r="E32" s="32"/>
      <c r="F32" s="9" t="str">
        <f t="shared" si="6"/>
        <v>0</v>
      </c>
      <c r="G32" s="17"/>
      <c r="H32" s="9" t="str">
        <f t="shared" si="7"/>
        <v>0</v>
      </c>
      <c r="I32" s="17">
        <v>5</v>
      </c>
      <c r="J32" s="9" t="str">
        <f t="shared" si="8"/>
        <v>0</v>
      </c>
      <c r="K32" s="32"/>
      <c r="L32" s="9" t="str">
        <f t="shared" si="8"/>
        <v>0</v>
      </c>
      <c r="M32" s="32"/>
      <c r="N32" s="9" t="str">
        <f t="shared" ref="N32" si="114">IF((M32-M31&lt;0), "0",M32-M31)</f>
        <v>0</v>
      </c>
      <c r="O32" s="33"/>
      <c r="P32" s="9" t="str">
        <f t="shared" ref="P32" si="115">IF((O32-O31&lt;0), "0",O32-O31)</f>
        <v>0</v>
      </c>
      <c r="Q32" s="17"/>
      <c r="R32" s="9" t="str">
        <f t="shared" ref="R32" si="116">IF((Q32-Q31&lt;0), "0",Q32-Q31)</f>
        <v>0</v>
      </c>
      <c r="S32" s="17"/>
      <c r="T32" s="9" t="str">
        <f t="shared" ref="T32" si="117">IF((S32-S31&lt;0), "0",S32-S31)</f>
        <v>0</v>
      </c>
      <c r="U32" s="17"/>
      <c r="V32" s="30" t="str">
        <f t="shared" si="53"/>
        <v/>
      </c>
      <c r="W32" s="17"/>
      <c r="X32" s="30" t="str">
        <f t="shared" si="53"/>
        <v/>
      </c>
      <c r="Y32" s="32"/>
      <c r="Z32" s="30" t="str">
        <f t="shared" si="53"/>
        <v/>
      </c>
      <c r="AA32" s="32"/>
      <c r="AB32" s="30" t="str">
        <f t="shared" si="53"/>
        <v/>
      </c>
      <c r="AC32" s="32"/>
      <c r="AD32" s="30" t="str">
        <f t="shared" si="53"/>
        <v/>
      </c>
      <c r="AE32" s="17"/>
      <c r="AF32" s="30" t="str">
        <f t="shared" si="53"/>
        <v/>
      </c>
      <c r="AG32" s="17"/>
      <c r="AH32" s="30" t="str">
        <f t="shared" si="53"/>
        <v/>
      </c>
      <c r="AI32" s="17"/>
      <c r="AJ32" s="30" t="str">
        <f t="shared" si="53"/>
        <v/>
      </c>
      <c r="AK32" s="17"/>
      <c r="AL32" s="30" t="str">
        <f t="shared" si="53"/>
        <v/>
      </c>
      <c r="AM32" s="17"/>
      <c r="AN32" s="30" t="str">
        <f t="shared" si="53"/>
        <v/>
      </c>
      <c r="AO32" s="17"/>
      <c r="AP32" s="9" t="str">
        <f t="shared" si="53"/>
        <v/>
      </c>
      <c r="AQ32" s="33"/>
      <c r="AR32" s="17"/>
      <c r="AS32" s="30"/>
      <c r="AT32" s="32"/>
      <c r="AU32" s="30"/>
      <c r="AV32" s="17"/>
      <c r="AW32" s="30" t="str">
        <f t="shared" si="1"/>
        <v/>
      </c>
      <c r="AX32" s="17"/>
      <c r="AY32" s="30" t="str">
        <f t="shared" si="2"/>
        <v/>
      </c>
      <c r="AZ32" s="17"/>
      <c r="BA32" s="30" t="str">
        <f t="shared" si="3"/>
        <v/>
      </c>
      <c r="BB32" s="17"/>
      <c r="BC32" s="30" t="str">
        <f t="shared" si="4"/>
        <v/>
      </c>
      <c r="BD32" s="20"/>
      <c r="BE32" s="20"/>
    </row>
    <row r="33" spans="1:57" ht="34.5" customHeight="1" x14ac:dyDescent="0.3">
      <c r="A33" s="8"/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 t="str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/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2020-02-28T11:23:57Z</dcterms:modified>
</cp:coreProperties>
</file>