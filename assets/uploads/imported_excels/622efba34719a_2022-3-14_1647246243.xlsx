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880" yWindow="165" windowWidth="14325" windowHeight="12060" tabRatio="578" firstSheet="4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2" i="3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7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6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6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6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5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5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5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X37" s="1"/>
  <c r="AX42" s="1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<sst xmlns="http://schemas.openxmlformats.org/spreadsheetml/2006/main" count="666" uniqueCount="418">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</sst>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2589440"/>
        <c:axId val="92644480"/>
      </c:lineChart>
      <c:catAx>
        <c:axId val="925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44480"/>
        <c:crosses val="autoZero"/>
        <c:auto val="1"/>
        <c:lblAlgn val="ctr"/>
        <c:lblOffset val="100"/>
      </c:catAx>
      <c:valAx>
        <c:axId val="92644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2664960"/>
        <c:axId val="92666496"/>
      </c:lineChart>
      <c:catAx>
        <c:axId val="9266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6496"/>
        <c:crosses val="autoZero"/>
        <c:auto val="1"/>
        <c:lblAlgn val="ctr"/>
        <c:lblOffset val="100"/>
      </c:catAx>
      <c:valAx>
        <c:axId val="9266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42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2678784"/>
        <c:axId val="92696960"/>
      </c:lineChart>
      <c:catAx>
        <c:axId val="9267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96960"/>
        <c:crosses val="autoZero"/>
        <c:auto val="1"/>
        <c:lblAlgn val="ctr"/>
        <c:lblOffset val="100"/>
      </c:catAx>
      <c:valAx>
        <c:axId val="92696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2725632"/>
        <c:axId val="92727168"/>
      </c:lineChart>
      <c:catAx>
        <c:axId val="927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27168"/>
        <c:crosses val="autoZero"/>
        <c:auto val="1"/>
        <c:lblAlgn val="ctr"/>
        <c:lblOffset val="100"/>
      </c:catAx>
      <c:valAx>
        <c:axId val="927271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92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2809088"/>
        <c:axId val="92810624"/>
      </c:lineChart>
      <c:catAx>
        <c:axId val="928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0624"/>
        <c:crosses val="autoZero"/>
        <c:auto val="1"/>
        <c:lblAlgn val="ctr"/>
        <c:lblOffset val="100"/>
      </c:catAx>
      <c:valAx>
        <c:axId val="92810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88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3433856"/>
        <c:axId val="93435392"/>
      </c:lineChart>
      <c:catAx>
        <c:axId val="9343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5392"/>
        <c:crosses val="autoZero"/>
        <c:auto val="1"/>
        <c:lblAlgn val="ctr"/>
        <c:lblOffset val="100"/>
      </c:catAx>
      <c:valAx>
        <c:axId val="9343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3496832"/>
        <c:axId val="93498368"/>
      </c:lineChart>
      <c:catAx>
        <c:axId val="9349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8368"/>
        <c:crosses val="autoZero"/>
        <c:auto val="1"/>
        <c:lblAlgn val="ctr"/>
        <c:lblOffset val="100"/>
      </c:catAx>
      <c:valAx>
        <c:axId val="9349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543424"/>
        <c:axId val="93549312"/>
      </c:lineChart>
      <c:catAx>
        <c:axId val="9354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9312"/>
        <c:crosses val="autoZero"/>
        <c:auto val="1"/>
        <c:lblAlgn val="ctr"/>
        <c:lblOffset val="100"/>
      </c:catAx>
      <c:valAx>
        <c:axId val="9354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586176"/>
        <c:axId val="93587712"/>
      </c:lineChart>
      <c:catAx>
        <c:axId val="9358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7712"/>
        <c:crosses val="autoZero"/>
        <c:auto val="1"/>
        <c:lblAlgn val="ctr"/>
        <c:lblOffset val="100"/>
      </c:catAx>
      <c:valAx>
        <c:axId val="93587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43"/>
          <c:w val="0.127240331517765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3636864"/>
        <c:axId val="93642752"/>
      </c:lineChart>
      <c:catAx>
        <c:axId val="936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42752"/>
        <c:crosses val="autoZero"/>
        <c:auto val="1"/>
        <c:lblAlgn val="ctr"/>
        <c:lblOffset val="100"/>
      </c:catAx>
      <c:valAx>
        <c:axId val="9364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3798400"/>
        <c:axId val="93799936"/>
      </c:lineChart>
      <c:catAx>
        <c:axId val="9379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9936"/>
        <c:crosses val="autoZero"/>
        <c:auto val="1"/>
        <c:lblAlgn val="ctr"/>
        <c:lblOffset val="100"/>
      </c:catAx>
      <c:valAx>
        <c:axId val="93799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4107520"/>
        <c:axId val="94109056"/>
      </c:lineChart>
      <c:catAx>
        <c:axId val="9410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09056"/>
        <c:crosses val="autoZero"/>
        <c:auto val="1"/>
        <c:lblAlgn val="ctr"/>
        <c:lblOffset val="100"/>
      </c:catAx>
      <c:valAx>
        <c:axId val="9410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31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5363072"/>
        <c:axId val="95364608"/>
      </c:lineChart>
      <c:catAx>
        <c:axId val="9536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4608"/>
        <c:crosses val="autoZero"/>
        <c:auto val="1"/>
        <c:lblAlgn val="ctr"/>
        <c:lblOffset val="100"/>
      </c:catAx>
      <c:valAx>
        <c:axId val="95364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43"/>
          <c:w val="0.1354168853893799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5417856"/>
        <c:axId val="95419392"/>
      </c:lineChart>
      <c:catAx>
        <c:axId val="954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9392"/>
        <c:crosses val="autoZero"/>
        <c:auto val="1"/>
        <c:lblAlgn val="ctr"/>
        <c:lblOffset val="100"/>
      </c:catAx>
      <c:valAx>
        <c:axId val="95419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4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5448448"/>
        <c:axId val="95450240"/>
      </c:lineChart>
      <c:catAx>
        <c:axId val="954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50240"/>
        <c:crosses val="autoZero"/>
        <c:auto val="1"/>
        <c:lblAlgn val="ctr"/>
        <c:lblOffset val="100"/>
      </c:catAx>
      <c:valAx>
        <c:axId val="95450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5478912"/>
        <c:axId val="95480448"/>
      </c:lineChart>
      <c:catAx>
        <c:axId val="954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0448"/>
        <c:crosses val="autoZero"/>
        <c:auto val="1"/>
        <c:lblAlgn val="ctr"/>
        <c:lblOffset val="100"/>
      </c:catAx>
      <c:valAx>
        <c:axId val="9548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43"/>
          <c:w val="0.1354168853893799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5517312"/>
        <c:axId val="95535488"/>
      </c:lineChart>
      <c:catAx>
        <c:axId val="9551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5488"/>
        <c:crosses val="autoZero"/>
        <c:auto val="1"/>
        <c:lblAlgn val="ctr"/>
        <c:lblOffset val="100"/>
      </c:catAx>
      <c:valAx>
        <c:axId val="95535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36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5641984"/>
        <c:axId val="95643520"/>
      </c:lineChart>
      <c:catAx>
        <c:axId val="9564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3520"/>
        <c:crosses val="autoZero"/>
        <c:auto val="1"/>
        <c:lblAlgn val="ctr"/>
        <c:lblOffset val="100"/>
      </c:catAx>
      <c:valAx>
        <c:axId val="95643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5664384"/>
        <c:axId val="95686656"/>
      </c:lineChart>
      <c:catAx>
        <c:axId val="9566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86656"/>
        <c:crosses val="autoZero"/>
        <c:auto val="1"/>
        <c:lblAlgn val="ctr"/>
        <c:lblOffset val="100"/>
      </c:catAx>
      <c:valAx>
        <c:axId val="9568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6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5903744"/>
        <c:axId val="95905280"/>
      </c:lineChart>
      <c:catAx>
        <c:axId val="959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5280"/>
        <c:crosses val="autoZero"/>
        <c:auto val="1"/>
        <c:lblAlgn val="ctr"/>
        <c:lblOffset val="100"/>
      </c:catAx>
      <c:valAx>
        <c:axId val="959052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5929856"/>
        <c:axId val="95931392"/>
      </c:lineChart>
      <c:catAx>
        <c:axId val="959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1392"/>
        <c:crosses val="autoZero"/>
        <c:auto val="1"/>
        <c:lblAlgn val="ctr"/>
        <c:lblOffset val="100"/>
      </c:catAx>
      <c:valAx>
        <c:axId val="95931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5947776"/>
        <c:axId val="95974144"/>
      </c:lineChart>
      <c:catAx>
        <c:axId val="959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4144"/>
        <c:crosses val="autoZero"/>
        <c:auto val="1"/>
        <c:lblAlgn val="ctr"/>
        <c:lblOffset val="100"/>
      </c:catAx>
      <c:valAx>
        <c:axId val="9597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04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5982336"/>
        <c:axId val="95983872"/>
      </c:lineChart>
      <c:catAx>
        <c:axId val="9598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3872"/>
        <c:crosses val="autoZero"/>
        <c:auto val="1"/>
        <c:lblAlgn val="ctr"/>
        <c:lblOffset val="100"/>
      </c:catAx>
      <c:valAx>
        <c:axId val="9598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4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6004352"/>
        <c:axId val="97529856"/>
      </c:lineChart>
      <c:catAx>
        <c:axId val="9600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29856"/>
        <c:crosses val="autoZero"/>
        <c:auto val="1"/>
        <c:lblAlgn val="ctr"/>
        <c:lblOffset val="100"/>
      </c:catAx>
      <c:valAx>
        <c:axId val="97529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929"/>
          <c:w val="0.1234311819809447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7559680"/>
        <c:axId val="97561216"/>
      </c:lineChart>
      <c:catAx>
        <c:axId val="975596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61216"/>
        <c:crosses val="autoZero"/>
        <c:auto val="1"/>
        <c:lblAlgn val="ctr"/>
        <c:lblOffset val="100"/>
      </c:catAx>
      <c:valAx>
        <c:axId val="975612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477"/>
          <c:w val="0.156903985328244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2279040"/>
        <c:axId val="102280576"/>
      </c:lineChart>
      <c:catAx>
        <c:axId val="10227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0576"/>
        <c:crosses val="autoZero"/>
        <c:auto val="1"/>
        <c:lblAlgn val="ctr"/>
        <c:lblOffset val="100"/>
      </c:catAx>
      <c:valAx>
        <c:axId val="1022805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7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2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2973440"/>
        <c:axId val="102974976"/>
      </c:lineChart>
      <c:catAx>
        <c:axId val="10297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4976"/>
        <c:crosses val="autoZero"/>
        <c:auto val="1"/>
        <c:lblAlgn val="ctr"/>
        <c:lblOffset val="100"/>
      </c:catAx>
      <c:valAx>
        <c:axId val="10297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99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6601472"/>
        <c:axId val="107959040"/>
      </c:lineChart>
      <c:catAx>
        <c:axId val="1066014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59040"/>
        <c:crosses val="autoZero"/>
        <c:auto val="1"/>
        <c:lblAlgn val="ctr"/>
        <c:lblOffset val="100"/>
      </c:catAx>
      <c:valAx>
        <c:axId val="107959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0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4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0.24017646946125915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0.43041213510084986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0.39771033945406081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0.3539481236092053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0.43446412231862958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0.33859232302108028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0.14041405898768619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-0.18456083272785501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0.37927768495378122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0.31487935056652983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1.2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1.2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1.2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1.2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1.2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1.2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1.2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1.2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1.2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1.2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6" sqref="Q16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232870</v>
      </c>
      <c r="E17" s="580">
        <f t="shared" si="7"/>
        <v>0</v>
      </c>
      <c r="F17" s="569">
        <f t="shared" si="24"/>
        <v>4122415</v>
      </c>
      <c r="G17" s="449">
        <f t="shared" si="15"/>
        <v>0</v>
      </c>
      <c r="H17" s="426">
        <f t="shared" si="25"/>
        <v>18023842</v>
      </c>
      <c r="I17" s="449">
        <f t="shared" si="16"/>
        <v>0</v>
      </c>
      <c r="J17" s="426">
        <f t="shared" si="26"/>
        <v>29732620</v>
      </c>
      <c r="K17" s="449">
        <f t="shared" si="17"/>
        <v>0</v>
      </c>
      <c r="L17" s="426">
        <f t="shared" si="27"/>
        <v>24548858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19049.883000000002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232870</v>
      </c>
      <c r="E18" s="580">
        <f t="shared" si="7"/>
        <v>0</v>
      </c>
      <c r="F18" s="569">
        <f t="shared" si="24"/>
        <v>4122415</v>
      </c>
      <c r="G18" s="449">
        <f t="shared" si="15"/>
        <v>0</v>
      </c>
      <c r="H18" s="426">
        <f t="shared" si="25"/>
        <v>18023842</v>
      </c>
      <c r="I18" s="449">
        <f t="shared" si="16"/>
        <v>0</v>
      </c>
      <c r="J18" s="426">
        <f t="shared" si="26"/>
        <v>29732620</v>
      </c>
      <c r="K18" s="449">
        <f t="shared" si="17"/>
        <v>0</v>
      </c>
      <c r="L18" s="426">
        <f t="shared" si="27"/>
        <v>24548858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19049.883000000002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232870</v>
      </c>
      <c r="E19" s="580">
        <f t="shared" si="7"/>
        <v>0</v>
      </c>
      <c r="F19" s="569">
        <f t="shared" si="24"/>
        <v>4122415</v>
      </c>
      <c r="G19" s="449">
        <f t="shared" si="15"/>
        <v>0</v>
      </c>
      <c r="H19" s="426">
        <f t="shared" si="25"/>
        <v>18023842</v>
      </c>
      <c r="I19" s="449">
        <f t="shared" si="16"/>
        <v>0</v>
      </c>
      <c r="J19" s="426">
        <f t="shared" si="26"/>
        <v>29732620</v>
      </c>
      <c r="K19" s="449">
        <f t="shared" si="17"/>
        <v>0</v>
      </c>
      <c r="L19" s="426">
        <f t="shared" si="27"/>
        <v>24548858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19049.883000000002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232870</v>
      </c>
      <c r="E20" s="580">
        <f t="shared" si="7"/>
        <v>0</v>
      </c>
      <c r="F20" s="569">
        <f t="shared" si="24"/>
        <v>4122415</v>
      </c>
      <c r="G20" s="449">
        <f t="shared" si="15"/>
        <v>0</v>
      </c>
      <c r="H20" s="426">
        <f t="shared" si="25"/>
        <v>18023842</v>
      </c>
      <c r="I20" s="449">
        <f t="shared" si="16"/>
        <v>0</v>
      </c>
      <c r="J20" s="426">
        <f t="shared" si="26"/>
        <v>29732620</v>
      </c>
      <c r="K20" s="449">
        <f t="shared" si="17"/>
        <v>0</v>
      </c>
      <c r="L20" s="426">
        <f t="shared" si="27"/>
        <v>24548858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19049.883000000002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232870</v>
      </c>
      <c r="E21" s="580">
        <f t="shared" si="7"/>
        <v>0</v>
      </c>
      <c r="F21" s="569">
        <f t="shared" si="24"/>
        <v>4122415</v>
      </c>
      <c r="G21" s="449">
        <f t="shared" si="15"/>
        <v>0</v>
      </c>
      <c r="H21" s="426">
        <f t="shared" si="25"/>
        <v>18023842</v>
      </c>
      <c r="I21" s="449">
        <f t="shared" si="16"/>
        <v>0</v>
      </c>
      <c r="J21" s="426">
        <f t="shared" si="26"/>
        <v>29732620</v>
      </c>
      <c r="K21" s="449">
        <f t="shared" si="17"/>
        <v>0</v>
      </c>
      <c r="L21" s="426">
        <f t="shared" si="27"/>
        <v>24548858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19049.883000000002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232870</v>
      </c>
      <c r="E22" s="580">
        <f t="shared" ref="E22" si="36">D22-D21</f>
        <v>0</v>
      </c>
      <c r="F22" s="569">
        <f t="shared" si="24"/>
        <v>4122415</v>
      </c>
      <c r="G22" s="449">
        <f t="shared" ref="G22" si="37">F22-F21</f>
        <v>0</v>
      </c>
      <c r="H22" s="426">
        <f t="shared" si="25"/>
        <v>18023842</v>
      </c>
      <c r="I22" s="449">
        <f t="shared" ref="I22" si="38">H22-H21</f>
        <v>0</v>
      </c>
      <c r="J22" s="426">
        <f t="shared" si="26"/>
        <v>29732620</v>
      </c>
      <c r="K22" s="449">
        <f t="shared" ref="K22" si="39">J22-J21</f>
        <v>0</v>
      </c>
      <c r="L22" s="426">
        <f t="shared" si="27"/>
        <v>24548858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19049.883000000002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232870</v>
      </c>
      <c r="E23" s="580">
        <f t="shared" si="7"/>
        <v>0</v>
      </c>
      <c r="F23" s="569">
        <f t="shared" si="24"/>
        <v>4122415</v>
      </c>
      <c r="G23" s="449">
        <f t="shared" si="15"/>
        <v>0</v>
      </c>
      <c r="H23" s="426">
        <f t="shared" si="25"/>
        <v>18023842</v>
      </c>
      <c r="I23" s="449">
        <f t="shared" si="16"/>
        <v>0</v>
      </c>
      <c r="J23" s="426">
        <f t="shared" si="26"/>
        <v>29732620</v>
      </c>
      <c r="K23" s="449">
        <f t="shared" si="17"/>
        <v>0</v>
      </c>
      <c r="L23" s="426">
        <f t="shared" si="27"/>
        <v>24548858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19049.883000000002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232870</v>
      </c>
      <c r="E24" s="580">
        <f t="shared" si="7"/>
        <v>0</v>
      </c>
      <c r="F24" s="569">
        <f t="shared" si="24"/>
        <v>4122415</v>
      </c>
      <c r="G24" s="449">
        <f t="shared" si="15"/>
        <v>0</v>
      </c>
      <c r="H24" s="426">
        <f t="shared" si="25"/>
        <v>18023842</v>
      </c>
      <c r="I24" s="599">
        <f t="shared" si="16"/>
        <v>0</v>
      </c>
      <c r="J24" s="426">
        <f t="shared" si="26"/>
        <v>29732620</v>
      </c>
      <c r="K24" s="449">
        <f t="shared" si="17"/>
        <v>0</v>
      </c>
      <c r="L24" s="426">
        <f t="shared" si="27"/>
        <v>24548858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19049.883000000002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232870</v>
      </c>
      <c r="E25" s="580">
        <f t="shared" si="7"/>
        <v>0</v>
      </c>
      <c r="F25" s="569">
        <f t="shared" si="24"/>
        <v>4122415</v>
      </c>
      <c r="G25" s="449">
        <f t="shared" si="15"/>
        <v>0</v>
      </c>
      <c r="H25" s="426">
        <f t="shared" si="25"/>
        <v>18023842</v>
      </c>
      <c r="I25" s="449">
        <f t="shared" si="16"/>
        <v>0</v>
      </c>
      <c r="J25" s="426">
        <f t="shared" si="26"/>
        <v>29732620</v>
      </c>
      <c r="K25" s="449">
        <f t="shared" si="17"/>
        <v>0</v>
      </c>
      <c r="L25" s="426">
        <f t="shared" si="27"/>
        <v>24548858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19049.883000000002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232870</v>
      </c>
      <c r="E26" s="580">
        <f t="shared" si="7"/>
        <v>0</v>
      </c>
      <c r="F26" s="569">
        <f t="shared" si="24"/>
        <v>4122415</v>
      </c>
      <c r="G26" s="449">
        <f t="shared" si="15"/>
        <v>0</v>
      </c>
      <c r="H26" s="426">
        <f t="shared" si="25"/>
        <v>18023842</v>
      </c>
      <c r="I26" s="449">
        <f t="shared" si="16"/>
        <v>0</v>
      </c>
      <c r="J26" s="426">
        <f t="shared" si="26"/>
        <v>29732620</v>
      </c>
      <c r="K26" s="449">
        <f t="shared" si="17"/>
        <v>0</v>
      </c>
      <c r="L26" s="426">
        <f t="shared" si="27"/>
        <v>24548858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19049.883000000002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232870</v>
      </c>
      <c r="E27" s="580">
        <f t="shared" si="7"/>
        <v>0</v>
      </c>
      <c r="F27" s="569">
        <f t="shared" si="24"/>
        <v>4122415</v>
      </c>
      <c r="G27" s="449">
        <f t="shared" si="15"/>
        <v>0</v>
      </c>
      <c r="H27" s="426">
        <f t="shared" si="25"/>
        <v>18023842</v>
      </c>
      <c r="I27" s="449">
        <f t="shared" si="16"/>
        <v>0</v>
      </c>
      <c r="J27" s="426">
        <f t="shared" si="26"/>
        <v>29732620</v>
      </c>
      <c r="K27" s="449">
        <f t="shared" si="17"/>
        <v>0</v>
      </c>
      <c r="L27" s="426">
        <f t="shared" si="27"/>
        <v>24548858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19049.883000000002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232870</v>
      </c>
      <c r="E28" s="580">
        <f t="shared" si="7"/>
        <v>0</v>
      </c>
      <c r="F28" s="569">
        <f t="shared" si="24"/>
        <v>4122415</v>
      </c>
      <c r="G28" s="449">
        <f>F28-F27</f>
        <v>0</v>
      </c>
      <c r="H28" s="426">
        <f t="shared" si="25"/>
        <v>18023842</v>
      </c>
      <c r="I28" s="449">
        <f t="shared" si="16"/>
        <v>0</v>
      </c>
      <c r="J28" s="426">
        <f t="shared" si="26"/>
        <v>29732620</v>
      </c>
      <c r="K28" s="449">
        <f t="shared" si="17"/>
        <v>0</v>
      </c>
      <c r="L28" s="426">
        <f t="shared" si="27"/>
        <v>24548858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19049.883000000002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232870</v>
      </c>
      <c r="E29" s="580">
        <f t="shared" si="7"/>
        <v>0</v>
      </c>
      <c r="F29" s="569">
        <f t="shared" si="24"/>
        <v>4122415</v>
      </c>
      <c r="G29" s="449">
        <f>F29-F28</f>
        <v>0</v>
      </c>
      <c r="H29" s="426">
        <f t="shared" si="25"/>
        <v>18023842</v>
      </c>
      <c r="I29" s="449">
        <f>H29-H28</f>
        <v>0</v>
      </c>
      <c r="J29" s="426">
        <f t="shared" si="26"/>
        <v>29732620</v>
      </c>
      <c r="K29" s="449">
        <f>J29-J28</f>
        <v>0</v>
      </c>
      <c r="L29" s="426">
        <f t="shared" si="27"/>
        <v>24548858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19049.883000000002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232870</v>
      </c>
      <c r="E30" s="580">
        <f t="shared" si="7"/>
        <v>0</v>
      </c>
      <c r="F30" s="569">
        <f t="shared" si="24"/>
        <v>4122415</v>
      </c>
      <c r="G30" s="449">
        <f t="shared" si="15"/>
        <v>0</v>
      </c>
      <c r="H30" s="426">
        <f t="shared" si="25"/>
        <v>18023842</v>
      </c>
      <c r="I30" s="449">
        <f t="shared" si="16"/>
        <v>0</v>
      </c>
      <c r="J30" s="426">
        <f t="shared" si="26"/>
        <v>29732620</v>
      </c>
      <c r="K30" s="449">
        <f t="shared" si="17"/>
        <v>0</v>
      </c>
      <c r="L30" s="426">
        <f t="shared" si="27"/>
        <v>24548858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19049.883000000002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232870</v>
      </c>
      <c r="E31" s="580">
        <f t="shared" si="7"/>
        <v>0</v>
      </c>
      <c r="F31" s="569">
        <f t="shared" si="24"/>
        <v>4122415</v>
      </c>
      <c r="G31" s="449">
        <f t="shared" si="15"/>
        <v>0</v>
      </c>
      <c r="H31" s="426">
        <f t="shared" si="25"/>
        <v>18023842</v>
      </c>
      <c r="I31" s="449">
        <f t="shared" si="16"/>
        <v>0</v>
      </c>
      <c r="J31" s="426">
        <f t="shared" si="26"/>
        <v>29732620</v>
      </c>
      <c r="K31" s="449">
        <f t="shared" si="17"/>
        <v>0</v>
      </c>
      <c r="L31" s="426">
        <f t="shared" si="27"/>
        <v>24548858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19049.883000000002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232870</v>
      </c>
      <c r="E32" s="580">
        <f t="shared" si="7"/>
        <v>0</v>
      </c>
      <c r="F32" s="569">
        <f t="shared" si="24"/>
        <v>4122415</v>
      </c>
      <c r="G32" s="449">
        <f t="shared" si="15"/>
        <v>0</v>
      </c>
      <c r="H32" s="426">
        <f t="shared" si="25"/>
        <v>18023842</v>
      </c>
      <c r="I32" s="449">
        <f t="shared" si="16"/>
        <v>0</v>
      </c>
      <c r="J32" s="426">
        <f t="shared" si="26"/>
        <v>29732620</v>
      </c>
      <c r="K32" s="449">
        <f t="shared" si="17"/>
        <v>0</v>
      </c>
      <c r="L32" s="426">
        <f t="shared" si="27"/>
        <v>24548858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19049.883000000002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232870</v>
      </c>
      <c r="E33" s="580">
        <f t="shared" si="7"/>
        <v>0</v>
      </c>
      <c r="F33" s="569">
        <f t="shared" si="24"/>
        <v>4122415</v>
      </c>
      <c r="G33" s="449">
        <f t="shared" si="15"/>
        <v>0</v>
      </c>
      <c r="H33" s="426">
        <f t="shared" si="25"/>
        <v>18023842</v>
      </c>
      <c r="I33" s="449">
        <f t="shared" si="16"/>
        <v>0</v>
      </c>
      <c r="J33" s="426">
        <f t="shared" si="26"/>
        <v>29732620</v>
      </c>
      <c r="K33" s="449">
        <f t="shared" si="17"/>
        <v>0</v>
      </c>
      <c r="L33" s="426">
        <f t="shared" si="27"/>
        <v>24548858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19049.883000000002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232870</v>
      </c>
      <c r="E34" s="580">
        <f t="shared" si="7"/>
        <v>0</v>
      </c>
      <c r="F34" s="569">
        <f t="shared" si="24"/>
        <v>4122415</v>
      </c>
      <c r="G34" s="449">
        <f t="shared" si="15"/>
        <v>0</v>
      </c>
      <c r="H34" s="426">
        <f t="shared" si="25"/>
        <v>18023842</v>
      </c>
      <c r="I34" s="449">
        <f t="shared" si="16"/>
        <v>0</v>
      </c>
      <c r="J34" s="426">
        <f t="shared" si="26"/>
        <v>29732620</v>
      </c>
      <c r="K34" s="449">
        <f t="shared" si="17"/>
        <v>0</v>
      </c>
      <c r="L34" s="426">
        <f t="shared" si="27"/>
        <v>24548858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19049.883000000002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17" sqref="I1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69.142857142857139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228</v>
      </c>
      <c r="C18" s="537">
        <f t="shared" si="41"/>
        <v>234</v>
      </c>
      <c r="D18" s="45">
        <f t="shared" si="32"/>
        <v>0</v>
      </c>
      <c r="E18" s="45">
        <f t="shared" si="12"/>
        <v>0</v>
      </c>
      <c r="F18" s="537">
        <f t="shared" si="42"/>
        <v>2154</v>
      </c>
      <c r="G18" s="52">
        <f t="shared" si="0"/>
        <v>0</v>
      </c>
      <c r="H18" s="537">
        <f t="shared" si="43"/>
        <v>36887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228</v>
      </c>
      <c r="C19" s="537">
        <f t="shared" si="41"/>
        <v>234</v>
      </c>
      <c r="D19" s="45">
        <f t="shared" si="32"/>
        <v>0</v>
      </c>
      <c r="E19" s="45">
        <f t="shared" si="12"/>
        <v>0</v>
      </c>
      <c r="F19" s="537">
        <f t="shared" si="42"/>
        <v>2154</v>
      </c>
      <c r="G19" s="52">
        <f t="shared" si="0"/>
        <v>0</v>
      </c>
      <c r="H19" s="537">
        <f t="shared" si="43"/>
        <v>36887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228</v>
      </c>
      <c r="C20" s="537">
        <f t="shared" si="41"/>
        <v>234</v>
      </c>
      <c r="D20" s="45">
        <f>C19-C20</f>
        <v>0</v>
      </c>
      <c r="E20" s="45">
        <f t="shared" si="12"/>
        <v>0</v>
      </c>
      <c r="F20" s="537">
        <f t="shared" si="42"/>
        <v>2154</v>
      </c>
      <c r="G20" s="52">
        <f t="shared" si="0"/>
        <v>0</v>
      </c>
      <c r="H20" s="537">
        <f t="shared" si="43"/>
        <v>36887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228</v>
      </c>
      <c r="C21" s="537">
        <f t="shared" si="41"/>
        <v>234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2154</v>
      </c>
      <c r="G21" s="52">
        <f t="shared" si="0"/>
        <v>0</v>
      </c>
      <c r="H21" s="537">
        <f t="shared" si="43"/>
        <v>36887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228</v>
      </c>
      <c r="C22" s="537">
        <f t="shared" si="41"/>
        <v>234</v>
      </c>
      <c r="D22" s="45">
        <f t="shared" si="49"/>
        <v>0</v>
      </c>
      <c r="E22" s="45">
        <f t="shared" si="12"/>
        <v>0</v>
      </c>
      <c r="F22" s="537">
        <f t="shared" si="42"/>
        <v>2154</v>
      </c>
      <c r="G22" s="52">
        <f t="shared" si="0"/>
        <v>0</v>
      </c>
      <c r="H22" s="537">
        <f t="shared" si="43"/>
        <v>36887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228</v>
      </c>
      <c r="C23" s="537">
        <f t="shared" si="41"/>
        <v>234</v>
      </c>
      <c r="D23" s="45">
        <f t="shared" si="49"/>
        <v>0</v>
      </c>
      <c r="E23" s="45">
        <f t="shared" si="12"/>
        <v>0</v>
      </c>
      <c r="F23" s="537">
        <f t="shared" si="42"/>
        <v>2154</v>
      </c>
      <c r="G23" s="52">
        <f t="shared" si="0"/>
        <v>0</v>
      </c>
      <c r="H23" s="537">
        <f t="shared" si="43"/>
        <v>36887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228</v>
      </c>
      <c r="C24" s="537">
        <f t="shared" si="41"/>
        <v>234</v>
      </c>
      <c r="D24" s="45">
        <f t="shared" si="49"/>
        <v>0</v>
      </c>
      <c r="E24" s="45">
        <f t="shared" si="12"/>
        <v>0</v>
      </c>
      <c r="F24" s="537">
        <f t="shared" si="42"/>
        <v>2154</v>
      </c>
      <c r="G24" s="52">
        <f t="shared" si="0"/>
        <v>0</v>
      </c>
      <c r="H24" s="537">
        <f t="shared" si="43"/>
        <v>36887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228</v>
      </c>
      <c r="C25" s="537">
        <f t="shared" si="41"/>
        <v>234</v>
      </c>
      <c r="D25" s="45">
        <f t="shared" si="49"/>
        <v>0</v>
      </c>
      <c r="E25" s="45">
        <f t="shared" si="12"/>
        <v>0</v>
      </c>
      <c r="F25" s="537">
        <f t="shared" si="42"/>
        <v>2154</v>
      </c>
      <c r="G25" s="52">
        <f t="shared" si="0"/>
        <v>0</v>
      </c>
      <c r="H25" s="537">
        <f t="shared" si="43"/>
        <v>36887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228</v>
      </c>
      <c r="C26" s="537">
        <f t="shared" si="41"/>
        <v>234</v>
      </c>
      <c r="D26" s="45">
        <f t="shared" si="49"/>
        <v>0</v>
      </c>
      <c r="E26" s="45">
        <f t="shared" si="12"/>
        <v>0</v>
      </c>
      <c r="F26" s="537">
        <f t="shared" si="42"/>
        <v>2154</v>
      </c>
      <c r="G26" s="52">
        <f t="shared" si="0"/>
        <v>0</v>
      </c>
      <c r="H26" s="537">
        <f t="shared" si="43"/>
        <v>36887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228</v>
      </c>
      <c r="C27" s="537">
        <f t="shared" si="41"/>
        <v>234</v>
      </c>
      <c r="D27" s="45">
        <f t="shared" si="49"/>
        <v>0</v>
      </c>
      <c r="E27" s="45">
        <f t="shared" si="12"/>
        <v>0</v>
      </c>
      <c r="F27" s="537">
        <f t="shared" si="42"/>
        <v>2154</v>
      </c>
      <c r="G27" s="52">
        <f t="shared" si="0"/>
        <v>0</v>
      </c>
      <c r="H27" s="537">
        <f t="shared" si="43"/>
        <v>36887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228</v>
      </c>
      <c r="C28" s="537">
        <f t="shared" si="41"/>
        <v>234</v>
      </c>
      <c r="D28" s="45">
        <f t="shared" si="49"/>
        <v>0</v>
      </c>
      <c r="E28" s="45">
        <f t="shared" si="12"/>
        <v>0</v>
      </c>
      <c r="F28" s="537">
        <f t="shared" si="42"/>
        <v>2154</v>
      </c>
      <c r="G28" s="52">
        <f t="shared" si="0"/>
        <v>0</v>
      </c>
      <c r="H28" s="537">
        <f t="shared" si="43"/>
        <v>36887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228</v>
      </c>
      <c r="C29" s="537">
        <f t="shared" si="41"/>
        <v>234</v>
      </c>
      <c r="D29" s="45">
        <f t="shared" si="49"/>
        <v>0</v>
      </c>
      <c r="E29" s="45">
        <f t="shared" si="12"/>
        <v>0</v>
      </c>
      <c r="F29" s="537">
        <f t="shared" si="42"/>
        <v>2154</v>
      </c>
      <c r="G29" s="52">
        <f t="shared" si="0"/>
        <v>0</v>
      </c>
      <c r="H29" s="537">
        <f t="shared" si="43"/>
        <v>36887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228</v>
      </c>
      <c r="C30" s="537">
        <f t="shared" si="41"/>
        <v>234</v>
      </c>
      <c r="D30" s="45">
        <f>C29-C30</f>
        <v>0</v>
      </c>
      <c r="E30" s="45">
        <f>D30*8.38</f>
        <v>0</v>
      </c>
      <c r="F30" s="537">
        <f t="shared" si="42"/>
        <v>2154</v>
      </c>
      <c r="G30" s="52">
        <f>F30-F29</f>
        <v>0</v>
      </c>
      <c r="H30" s="537">
        <f t="shared" si="43"/>
        <v>36887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228</v>
      </c>
      <c r="C31" s="537">
        <f t="shared" si="41"/>
        <v>234</v>
      </c>
      <c r="D31" s="45">
        <f t="shared" si="49"/>
        <v>0</v>
      </c>
      <c r="E31" s="45">
        <f t="shared" si="12"/>
        <v>0</v>
      </c>
      <c r="F31" s="537">
        <f t="shared" si="42"/>
        <v>2154</v>
      </c>
      <c r="G31" s="52">
        <f t="shared" si="0"/>
        <v>0</v>
      </c>
      <c r="H31" s="537">
        <f t="shared" si="43"/>
        <v>36887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228</v>
      </c>
      <c r="C32" s="537">
        <f t="shared" si="41"/>
        <v>234</v>
      </c>
      <c r="D32" s="45">
        <f t="shared" si="49"/>
        <v>0</v>
      </c>
      <c r="E32" s="45">
        <f t="shared" si="12"/>
        <v>0</v>
      </c>
      <c r="F32" s="537">
        <f t="shared" si="42"/>
        <v>2154</v>
      </c>
      <c r="G32" s="52">
        <f t="shared" si="0"/>
        <v>0</v>
      </c>
      <c r="H32" s="537">
        <f t="shared" si="43"/>
        <v>36887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228</v>
      </c>
      <c r="C33" s="537">
        <f t="shared" si="41"/>
        <v>234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2154</v>
      </c>
      <c r="G33" s="52">
        <f t="shared" ref="G33:G35" si="56">F33-F32</f>
        <v>0</v>
      </c>
      <c r="H33" s="537">
        <f t="shared" si="43"/>
        <v>36887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228</v>
      </c>
      <c r="C34" s="537">
        <f t="shared" si="41"/>
        <v>234</v>
      </c>
      <c r="D34" s="45">
        <f t="shared" si="54"/>
        <v>0</v>
      </c>
      <c r="E34" s="45">
        <f t="shared" si="55"/>
        <v>0</v>
      </c>
      <c r="F34" s="537">
        <f t="shared" si="42"/>
        <v>2154</v>
      </c>
      <c r="G34" s="52">
        <f t="shared" si="56"/>
        <v>0</v>
      </c>
      <c r="H34" s="537">
        <f t="shared" si="43"/>
        <v>36887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228</v>
      </c>
      <c r="C35" s="537">
        <f t="shared" si="41"/>
        <v>234</v>
      </c>
      <c r="D35" s="45">
        <f t="shared" si="54"/>
        <v>0</v>
      </c>
      <c r="E35" s="45">
        <f t="shared" si="55"/>
        <v>0</v>
      </c>
      <c r="F35" s="537">
        <f t="shared" si="42"/>
        <v>2154</v>
      </c>
      <c r="G35" s="52">
        <f t="shared" si="56"/>
        <v>0</v>
      </c>
      <c r="H35" s="537">
        <f t="shared" si="43"/>
        <v>36887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69.142857142857139</v>
      </c>
      <c r="U36" s="70">
        <f>SUM(U5:U35)</f>
        <v>44</v>
      </c>
      <c r="V36" s="62">
        <f>SUM(V5:V35)</f>
        <v>3412</v>
      </c>
      <c r="AE36" s="71" t="s">
        <v>379</v>
      </c>
      <c r="AG36" s="329"/>
      <c r="AH36" s="62">
        <f>SUM(AH5:AH35)</f>
        <v>0</v>
      </c>
      <c r="AL36" s="62">
        <f>SUM(AL5:AL35)</f>
        <v>44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77.545454545454547</v>
      </c>
      <c r="AH37" s="62">
        <f>AF37+AA37</f>
        <v>0</v>
      </c>
      <c r="AI37" s="306">
        <f>SUM(AI5:AI35)</f>
        <v>3412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4" activePane="bottomLeft" state="frozen"/>
      <selection pane="bottomLeft" activeCell="AY18" sqref="AY1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</v>
      </c>
      <c r="AU19" s="408">
        <f t="shared" si="41"/>
        <v>1.1000000000000001</v>
      </c>
      <c r="AV19" s="201">
        <f t="shared" si="42"/>
        <v>111</v>
      </c>
      <c r="AW19" s="5">
        <v>2.9</v>
      </c>
      <c r="AX19" s="201">
        <f t="shared" si="43"/>
        <v>116</v>
      </c>
      <c r="AY19" s="409">
        <f>AS19*AT19</f>
        <v>16.2</v>
      </c>
      <c r="AZ19" s="409">
        <f>AU19*AV19</f>
        <v>122.10000000000001</v>
      </c>
      <c r="BA19" s="409">
        <f>AW19*AX19</f>
        <v>336.4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</v>
      </c>
      <c r="AU20" s="408">
        <f t="shared" si="41"/>
        <v>1.1000000000000001</v>
      </c>
      <c r="AV20" s="201">
        <f t="shared" si="42"/>
        <v>111</v>
      </c>
      <c r="AW20" s="5">
        <v>2.9</v>
      </c>
      <c r="AX20" s="201">
        <f t="shared" si="43"/>
        <v>116</v>
      </c>
      <c r="AY20" s="409">
        <f>AS20*AT20</f>
        <v>16.2</v>
      </c>
      <c r="AZ20" s="409">
        <f>AU20*AV20</f>
        <v>122.10000000000001</v>
      </c>
      <c r="BA20" s="409">
        <f>AW20*AX20</f>
        <v>336.4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</v>
      </c>
      <c r="AU21" s="408">
        <f t="shared" si="41"/>
        <v>1.1000000000000001</v>
      </c>
      <c r="AV21" s="201">
        <f t="shared" si="42"/>
        <v>111</v>
      </c>
      <c r="AW21" s="5">
        <v>2.9</v>
      </c>
      <c r="AX21" s="201">
        <f t="shared" si="43"/>
        <v>116</v>
      </c>
      <c r="AY21" s="409">
        <f>AS21*AT21</f>
        <v>16.2</v>
      </c>
      <c r="AZ21" s="409">
        <f>AU21*AV21</f>
        <v>122.10000000000001</v>
      </c>
      <c r="BA21" s="409">
        <f>AW21*AX21</f>
        <v>336.4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</v>
      </c>
      <c r="AU22" s="408">
        <f t="shared" si="41"/>
        <v>1.1000000000000001</v>
      </c>
      <c r="AV22" s="201">
        <f t="shared" si="42"/>
        <v>111</v>
      </c>
      <c r="AW22" s="5">
        <v>2.9</v>
      </c>
      <c r="AX22" s="201">
        <f t="shared" si="43"/>
        <v>116</v>
      </c>
      <c r="AY22" s="409">
        <f t="shared" si="35"/>
        <v>16.2</v>
      </c>
      <c r="AZ22" s="409">
        <f t="shared" si="36"/>
        <v>122.10000000000001</v>
      </c>
      <c r="BA22" s="409">
        <f t="shared" si="37"/>
        <v>336.4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</v>
      </c>
      <c r="AU23" s="408">
        <f t="shared" si="41"/>
        <v>1.1000000000000001</v>
      </c>
      <c r="AV23" s="201">
        <f t="shared" si="42"/>
        <v>111</v>
      </c>
      <c r="AW23" s="5">
        <v>2.9</v>
      </c>
      <c r="AX23" s="201">
        <f t="shared" si="43"/>
        <v>116</v>
      </c>
      <c r="AY23" s="409">
        <f t="shared" si="35"/>
        <v>16.2</v>
      </c>
      <c r="AZ23" s="409">
        <f t="shared" si="36"/>
        <v>122.10000000000001</v>
      </c>
      <c r="BA23" s="409">
        <f t="shared" si="37"/>
        <v>336.4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</v>
      </c>
      <c r="AU24" s="408">
        <f t="shared" si="41"/>
        <v>1.1000000000000001</v>
      </c>
      <c r="AV24" s="201">
        <f t="shared" si="42"/>
        <v>111</v>
      </c>
      <c r="AW24" s="5">
        <v>2.9</v>
      </c>
      <c r="AX24" s="201">
        <f t="shared" si="43"/>
        <v>116</v>
      </c>
      <c r="AY24" s="409">
        <f t="shared" si="35"/>
        <v>16.2</v>
      </c>
      <c r="AZ24" s="409">
        <f t="shared" si="36"/>
        <v>122.10000000000001</v>
      </c>
      <c r="BA24" s="409">
        <f t="shared" si="37"/>
        <v>336.4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</v>
      </c>
      <c r="AU25" s="408">
        <f t="shared" si="41"/>
        <v>1.1000000000000001</v>
      </c>
      <c r="AV25" s="201">
        <f t="shared" si="42"/>
        <v>111</v>
      </c>
      <c r="AW25" s="5">
        <v>2.9</v>
      </c>
      <c r="AX25" s="201">
        <f t="shared" si="43"/>
        <v>116</v>
      </c>
      <c r="AY25" s="409">
        <f t="shared" si="35"/>
        <v>16.2</v>
      </c>
      <c r="AZ25" s="409">
        <f t="shared" si="36"/>
        <v>122.10000000000001</v>
      </c>
      <c r="BA25" s="409">
        <f t="shared" si="37"/>
        <v>336.4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155017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</v>
      </c>
      <c r="AU26" s="408">
        <f t="shared" si="41"/>
        <v>1.1000000000000001</v>
      </c>
      <c r="AV26" s="201">
        <f t="shared" si="42"/>
        <v>111</v>
      </c>
      <c r="AW26" s="5">
        <v>2.9</v>
      </c>
      <c r="AX26" s="201">
        <f t="shared" si="43"/>
        <v>116</v>
      </c>
      <c r="AY26" s="409">
        <f t="shared" si="35"/>
        <v>16.2</v>
      </c>
      <c r="AZ26" s="409">
        <f t="shared" si="36"/>
        <v>122.10000000000001</v>
      </c>
      <c r="BA26" s="409">
        <f t="shared" si="37"/>
        <v>336.4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155017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</v>
      </c>
      <c r="AU27" s="408">
        <f t="shared" si="41"/>
        <v>1.1000000000000001</v>
      </c>
      <c r="AV27" s="201">
        <f t="shared" si="42"/>
        <v>111</v>
      </c>
      <c r="AW27" s="5">
        <v>2.9</v>
      </c>
      <c r="AX27" s="201">
        <f t="shared" si="43"/>
        <v>116</v>
      </c>
      <c r="AY27" s="409">
        <f t="shared" si="35"/>
        <v>16.2</v>
      </c>
      <c r="AZ27" s="409">
        <f t="shared" si="36"/>
        <v>122.10000000000001</v>
      </c>
      <c r="BA27" s="409">
        <f t="shared" si="37"/>
        <v>336.4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155017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</v>
      </c>
      <c r="AU28" s="408">
        <f t="shared" si="41"/>
        <v>1.1000000000000001</v>
      </c>
      <c r="AV28" s="201">
        <f t="shared" si="42"/>
        <v>111</v>
      </c>
      <c r="AW28" s="5">
        <v>2.9</v>
      </c>
      <c r="AX28" s="201">
        <f t="shared" si="43"/>
        <v>116</v>
      </c>
      <c r="AY28" s="409">
        <f t="shared" si="35"/>
        <v>16.2</v>
      </c>
      <c r="AZ28" s="409">
        <f t="shared" si="36"/>
        <v>122.10000000000001</v>
      </c>
      <c r="BA28" s="409">
        <f t="shared" si="37"/>
        <v>336.4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155017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</v>
      </c>
      <c r="AU29" s="408">
        <f t="shared" si="41"/>
        <v>1.1000000000000001</v>
      </c>
      <c r="AV29" s="201">
        <f t="shared" si="42"/>
        <v>111</v>
      </c>
      <c r="AW29" s="5">
        <v>2.9</v>
      </c>
      <c r="AX29" s="201">
        <f t="shared" si="43"/>
        <v>116</v>
      </c>
      <c r="AY29" s="409">
        <f t="shared" si="35"/>
        <v>16.2</v>
      </c>
      <c r="AZ29" s="409">
        <f t="shared" si="36"/>
        <v>122.10000000000001</v>
      </c>
      <c r="BA29" s="409">
        <f t="shared" si="37"/>
        <v>336.4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155017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</v>
      </c>
      <c r="AU30" s="408">
        <f t="shared" si="41"/>
        <v>1.1000000000000001</v>
      </c>
      <c r="AV30" s="201">
        <f t="shared" si="42"/>
        <v>111</v>
      </c>
      <c r="AW30" s="5">
        <v>2.9</v>
      </c>
      <c r="AX30" s="201">
        <f t="shared" si="43"/>
        <v>116</v>
      </c>
      <c r="AY30" s="409">
        <f t="shared" si="35"/>
        <v>16.2</v>
      </c>
      <c r="AZ30" s="409">
        <f t="shared" si="36"/>
        <v>122.10000000000001</v>
      </c>
      <c r="BA30" s="409">
        <f t="shared" si="37"/>
        <v>336.4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155017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</v>
      </c>
      <c r="AU31" s="408">
        <f t="shared" si="41"/>
        <v>1.1000000000000001</v>
      </c>
      <c r="AV31" s="201">
        <f t="shared" si="42"/>
        <v>111</v>
      </c>
      <c r="AW31" s="5">
        <v>2.9</v>
      </c>
      <c r="AX31" s="201">
        <f t="shared" si="43"/>
        <v>116</v>
      </c>
      <c r="AY31" s="409">
        <f t="shared" si="35"/>
        <v>16.2</v>
      </c>
      <c r="AZ31" s="409">
        <f>AU31*AV31</f>
        <v>122.10000000000001</v>
      </c>
      <c r="BA31" s="409">
        <f t="shared" si="37"/>
        <v>336.4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155017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</v>
      </c>
      <c r="AU32" s="408">
        <f t="shared" si="41"/>
        <v>1.1000000000000001</v>
      </c>
      <c r="AV32" s="201">
        <f t="shared" si="42"/>
        <v>111</v>
      </c>
      <c r="AW32" s="5">
        <v>2.9</v>
      </c>
      <c r="AX32" s="201">
        <f t="shared" si="43"/>
        <v>116</v>
      </c>
      <c r="AY32" s="409">
        <f t="shared" si="35"/>
        <v>16.2</v>
      </c>
      <c r="AZ32" s="409">
        <f t="shared" si="36"/>
        <v>122.10000000000001</v>
      </c>
      <c r="BA32" s="409">
        <f t="shared" si="37"/>
        <v>336.4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155017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</v>
      </c>
      <c r="AU33" s="408">
        <f t="shared" si="41"/>
        <v>1.1000000000000001</v>
      </c>
      <c r="AV33" s="201">
        <f t="shared" si="42"/>
        <v>111</v>
      </c>
      <c r="AW33" s="5">
        <v>2.9</v>
      </c>
      <c r="AX33" s="201">
        <f t="shared" si="43"/>
        <v>116</v>
      </c>
      <c r="AY33" s="409">
        <f t="shared" si="35"/>
        <v>16.2</v>
      </c>
      <c r="AZ33" s="409">
        <f t="shared" si="36"/>
        <v>122.10000000000001</v>
      </c>
      <c r="BA33" s="409">
        <f t="shared" si="37"/>
        <v>336.4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155017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</v>
      </c>
      <c r="AU34" s="408">
        <f t="shared" si="41"/>
        <v>1.1000000000000001</v>
      </c>
      <c r="AV34" s="201">
        <f t="shared" si="42"/>
        <v>111</v>
      </c>
      <c r="AW34" s="5">
        <v>2.9</v>
      </c>
      <c r="AX34" s="201">
        <f t="shared" si="43"/>
        <v>116</v>
      </c>
      <c r="AY34" s="409">
        <f t="shared" ref="AY34:AY36" si="71">AS34*AT34</f>
        <v>16.2</v>
      </c>
      <c r="AZ34" s="409">
        <f t="shared" ref="AZ34:AZ36" si="72">AU34*AV34</f>
        <v>122.10000000000001</v>
      </c>
      <c r="BA34" s="409">
        <f t="shared" ref="BA34:BA36" si="73">AW34*AX34</f>
        <v>336.4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155017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</v>
      </c>
      <c r="AU35" s="408">
        <f t="shared" si="41"/>
        <v>1.1000000000000001</v>
      </c>
      <c r="AV35" s="201">
        <f t="shared" si="42"/>
        <v>111</v>
      </c>
      <c r="AW35" s="5">
        <v>2.9</v>
      </c>
      <c r="AX35" s="201">
        <f t="shared" si="43"/>
        <v>116</v>
      </c>
      <c r="AY35" s="409">
        <f t="shared" si="71"/>
        <v>16.2</v>
      </c>
      <c r="AZ35" s="409">
        <f t="shared" si="72"/>
        <v>122.10000000000001</v>
      </c>
      <c r="BA35" s="409">
        <f t="shared" si="73"/>
        <v>336.4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155017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</v>
      </c>
      <c r="AU36" s="408">
        <f t="shared" si="41"/>
        <v>1.1000000000000001</v>
      </c>
      <c r="AV36" s="201">
        <f t="shared" si="42"/>
        <v>111</v>
      </c>
      <c r="AW36" s="5">
        <v>2.9</v>
      </c>
      <c r="AX36" s="201">
        <f t="shared" si="43"/>
        <v>116</v>
      </c>
      <c r="AY36" s="409">
        <f t="shared" si="71"/>
        <v>16.2</v>
      </c>
      <c r="AZ36" s="409">
        <f t="shared" si="72"/>
        <v>122.10000000000001</v>
      </c>
      <c r="BA36" s="409">
        <f t="shared" si="73"/>
        <v>336.4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70</v>
      </c>
      <c r="AJ37" s="307">
        <f>SUM(AJ6:AJ36)</f>
        <v>0</v>
      </c>
      <c r="AK37" s="312">
        <f>SUM(Y37-L37)</f>
        <v>68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70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H10" sqref="H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9"/>
        <v>9</v>
      </c>
      <c r="D11" s="503">
        <f t="shared" si="10"/>
        <v>650516</v>
      </c>
      <c r="E11" s="276">
        <f t="shared" si="11"/>
        <v>2250</v>
      </c>
      <c r="F11" s="276">
        <f>IF(C11&gt;0,E11/C11,0)</f>
        <v>250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7"/>
        <v>0.25738396624472576</v>
      </c>
      <c r="AK11" s="278">
        <f t="shared" si="8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9"/>
        <v>2</v>
      </c>
      <c r="D12" s="503">
        <f t="shared" si="10"/>
        <v>651016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13704</v>
      </c>
      <c r="S12" s="276">
        <f t="shared" si="4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7"/>
        <v>0.25738396624472576</v>
      </c>
      <c r="AK12" s="278">
        <f t="shared" si="8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9"/>
        <v>10</v>
      </c>
      <c r="D13" s="503">
        <f t="shared" si="10"/>
        <v>653516</v>
      </c>
      <c r="E13" s="276">
        <f t="shared" si="11"/>
        <v>2500</v>
      </c>
      <c r="F13" s="276">
        <f t="shared" si="0"/>
        <v>250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13704</v>
      </c>
      <c r="S13" s="276">
        <f t="shared" si="4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7"/>
        <v>0.25738396624472576</v>
      </c>
      <c r="AK13" s="278">
        <f t="shared" si="8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9"/>
        <v>0</v>
      </c>
      <c r="D14" s="503">
        <f t="shared" si="10"/>
        <v>653516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13704</v>
      </c>
      <c r="S14" s="276">
        <f t="shared" si="4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9"/>
        <v>7</v>
      </c>
      <c r="D15" s="503">
        <f t="shared" si="10"/>
        <v>655266</v>
      </c>
      <c r="E15" s="276">
        <f t="shared" si="11"/>
        <v>1750</v>
      </c>
      <c r="F15" s="276">
        <f t="shared" si="0"/>
        <v>250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13704</v>
      </c>
      <c r="S15" s="276">
        <f t="shared" si="4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7"/>
        <v>0.25738396624472576</v>
      </c>
      <c r="AK15" s="278">
        <f t="shared" si="8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f t="shared" si="28"/>
        <v>11569</v>
      </c>
      <c r="C16" s="276">
        <f t="shared" si="9"/>
        <v>0</v>
      </c>
      <c r="D16" s="503">
        <f t="shared" si="10"/>
        <v>655266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13704</v>
      </c>
      <c r="S16" s="276">
        <f t="shared" si="4"/>
        <v>0</v>
      </c>
      <c r="T16" s="503">
        <f t="shared" si="30"/>
        <v>365512</v>
      </c>
      <c r="U16" s="276">
        <f t="shared" si="31"/>
        <v>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7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44635</v>
      </c>
      <c r="B17" s="502">
        <f t="shared" si="28"/>
        <v>11569</v>
      </c>
      <c r="C17" s="276">
        <f t="shared" si="9"/>
        <v>0</v>
      </c>
      <c r="D17" s="503">
        <f t="shared" si="10"/>
        <v>655266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13704</v>
      </c>
      <c r="S17" s="276">
        <f t="shared" si="4"/>
        <v>0</v>
      </c>
      <c r="T17" s="503">
        <f t="shared" si="30"/>
        <v>365512</v>
      </c>
      <c r="U17" s="276">
        <f t="shared" si="31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11569</v>
      </c>
      <c r="C18" s="276">
        <f t="shared" si="9"/>
        <v>0</v>
      </c>
      <c r="D18" s="503">
        <f t="shared" si="10"/>
        <v>655266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13704</v>
      </c>
      <c r="S18" s="276">
        <f t="shared" si="4"/>
        <v>0</v>
      </c>
      <c r="T18" s="503">
        <f t="shared" si="30"/>
        <v>365512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11569</v>
      </c>
      <c r="C19" s="276">
        <f t="shared" si="9"/>
        <v>0</v>
      </c>
      <c r="D19" s="503">
        <f t="shared" si="10"/>
        <v>655266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11690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13704</v>
      </c>
      <c r="S19" s="276">
        <f t="shared" si="4"/>
        <v>0</v>
      </c>
      <c r="T19" s="503">
        <f t="shared" si="30"/>
        <v>365512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11569</v>
      </c>
      <c r="C20" s="276">
        <f>B20-B19</f>
        <v>0</v>
      </c>
      <c r="D20" s="503">
        <f t="shared" si="10"/>
        <v>655266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13704</v>
      </c>
      <c r="S20" s="276">
        <f t="shared" si="4"/>
        <v>0</v>
      </c>
      <c r="T20" s="503">
        <f t="shared" si="30"/>
        <v>365512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11569</v>
      </c>
      <c r="C21" s="276">
        <f>B21-B20</f>
        <v>0</v>
      </c>
      <c r="D21" s="503">
        <f t="shared" si="10"/>
        <v>655266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13704</v>
      </c>
      <c r="S21" s="276">
        <f t="shared" si="4"/>
        <v>0</v>
      </c>
      <c r="T21" s="503">
        <f t="shared" si="30"/>
        <v>365512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11569</v>
      </c>
      <c r="C22" s="276">
        <f t="shared" si="9"/>
        <v>0</v>
      </c>
      <c r="D22" s="503">
        <f t="shared" si="10"/>
        <v>655266</v>
      </c>
      <c r="E22" s="276">
        <f>150*C22</f>
        <v>0</v>
      </c>
      <c r="F22" s="276">
        <f t="shared" si="0"/>
        <v>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13704</v>
      </c>
      <c r="S22" s="276">
        <f t="shared" si="4"/>
        <v>0</v>
      </c>
      <c r="T22" s="503">
        <f t="shared" si="30"/>
        <v>365512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11569</v>
      </c>
      <c r="C23" s="276">
        <f t="shared" si="9"/>
        <v>0</v>
      </c>
      <c r="D23" s="503">
        <f t="shared" si="10"/>
        <v>655266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13704</v>
      </c>
      <c r="S23" s="276">
        <f>R23-R22</f>
        <v>0</v>
      </c>
      <c r="T23" s="503">
        <f t="shared" si="30"/>
        <v>365512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11569</v>
      </c>
      <c r="C24" s="276">
        <f t="shared" si="9"/>
        <v>0</v>
      </c>
      <c r="D24" s="503">
        <f t="shared" si="10"/>
        <v>655266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13704</v>
      </c>
      <c r="S24" s="276">
        <f t="shared" si="4"/>
        <v>0</v>
      </c>
      <c r="T24" s="503">
        <f t="shared" si="30"/>
        <v>365512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11569</v>
      </c>
      <c r="C25" s="276">
        <f t="shared" si="9"/>
        <v>0</v>
      </c>
      <c r="D25" s="503">
        <f t="shared" si="10"/>
        <v>655266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13704</v>
      </c>
      <c r="S25" s="276">
        <f t="shared" si="4"/>
        <v>0</v>
      </c>
      <c r="T25" s="503">
        <f t="shared" si="30"/>
        <v>365512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11569</v>
      </c>
      <c r="C26" s="276">
        <f>B26-B25</f>
        <v>0</v>
      </c>
      <c r="D26" s="503">
        <f t="shared" si="10"/>
        <v>655266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13704</v>
      </c>
      <c r="S26" s="276">
        <f>R26-R25</f>
        <v>0</v>
      </c>
      <c r="T26" s="503">
        <f t="shared" si="30"/>
        <v>365512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11569</v>
      </c>
      <c r="C27" s="276">
        <f>B27-B26</f>
        <v>0</v>
      </c>
      <c r="D27" s="503">
        <f t="shared" si="10"/>
        <v>655266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13704</v>
      </c>
      <c r="S27" s="276">
        <f t="shared" si="4"/>
        <v>0</v>
      </c>
      <c r="T27" s="503">
        <f t="shared" si="30"/>
        <v>365512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11569</v>
      </c>
      <c r="C28" s="276">
        <f t="shared" si="9"/>
        <v>0</v>
      </c>
      <c r="D28" s="503">
        <f t="shared" si="10"/>
        <v>655266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13704</v>
      </c>
      <c r="S28" s="276">
        <f t="shared" si="4"/>
        <v>0</v>
      </c>
      <c r="T28" s="503">
        <f t="shared" si="30"/>
        <v>365512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11569</v>
      </c>
      <c r="C29" s="276">
        <f t="shared" si="9"/>
        <v>0</v>
      </c>
      <c r="D29" s="503">
        <f t="shared" si="10"/>
        <v>655266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13704</v>
      </c>
      <c r="S29" s="276">
        <f t="shared" si="4"/>
        <v>0</v>
      </c>
      <c r="T29" s="503">
        <f t="shared" si="30"/>
        <v>365512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11569</v>
      </c>
      <c r="C30" s="276">
        <f t="shared" si="9"/>
        <v>0</v>
      </c>
      <c r="D30" s="503">
        <f t="shared" si="10"/>
        <v>655266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13704</v>
      </c>
      <c r="S30" s="276">
        <f t="shared" si="4"/>
        <v>0</v>
      </c>
      <c r="T30" s="503">
        <f t="shared" si="30"/>
        <v>365512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11569</v>
      </c>
      <c r="C31" s="276">
        <f t="shared" ref="C31:C33" si="34">B31-B30</f>
        <v>0</v>
      </c>
      <c r="D31" s="503">
        <f t="shared" ref="D31:D33" si="35">D30+C31*250</f>
        <v>655266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13704</v>
      </c>
      <c r="S31" s="276">
        <f t="shared" ref="S31:S33" si="43">R31-R30</f>
        <v>0</v>
      </c>
      <c r="T31" s="503">
        <f t="shared" si="30"/>
        <v>365512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11569</v>
      </c>
      <c r="C32" s="276">
        <f t="shared" si="34"/>
        <v>0</v>
      </c>
      <c r="D32" s="503">
        <f t="shared" si="35"/>
        <v>655266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13704</v>
      </c>
      <c r="S32" s="276">
        <f t="shared" si="43"/>
        <v>0</v>
      </c>
      <c r="T32" s="503">
        <f t="shared" si="30"/>
        <v>365512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11569</v>
      </c>
      <c r="C33" s="276">
        <f t="shared" si="34"/>
        <v>0</v>
      </c>
      <c r="D33" s="503">
        <f t="shared" si="35"/>
        <v>655266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13704</v>
      </c>
      <c r="S33" s="276">
        <f t="shared" si="43"/>
        <v>0</v>
      </c>
      <c r="T33" s="503">
        <f t="shared" si="30"/>
        <v>365512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101</v>
      </c>
      <c r="V34" s="40"/>
      <c r="X34">
        <v>341</v>
      </c>
      <c r="Z34" s="404">
        <f>SUM(Z3:Z33)</f>
        <v>101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64</v>
      </c>
      <c r="K35" s="40">
        <f>SUM(K3:K33)</f>
        <v>0</v>
      </c>
      <c r="S35" s="40">
        <f>SUM(S3:S33)</f>
        <v>37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BO28" sqref="BO2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228</v>
      </c>
      <c r="C19" s="203">
        <f t="shared" si="18"/>
        <v>4905.677419354839</v>
      </c>
      <c r="D19">
        <f t="shared" si="19"/>
        <v>228</v>
      </c>
      <c r="E19" s="203">
        <f t="shared" si="18"/>
        <v>4905.677419354839</v>
      </c>
      <c r="F19">
        <f t="shared" si="20"/>
        <v>228</v>
      </c>
      <c r="G19" s="203">
        <f t="shared" si="1"/>
        <v>4905.677419354839</v>
      </c>
      <c r="H19" s="203">
        <f t="shared" si="21"/>
        <v>228</v>
      </c>
      <c r="I19" s="203">
        <f t="shared" si="2"/>
        <v>4905.677419354839</v>
      </c>
      <c r="J19" s="203">
        <f t="shared" si="22"/>
        <v>228</v>
      </c>
      <c r="K19" s="203">
        <f t="shared" si="3"/>
        <v>4905.677419354839</v>
      </c>
      <c r="L19" s="203">
        <f t="shared" si="23"/>
        <v>228</v>
      </c>
      <c r="M19" s="203">
        <f t="shared" si="4"/>
        <v>4905.677419354839</v>
      </c>
      <c r="N19" s="203">
        <f t="shared" si="24"/>
        <v>228</v>
      </c>
      <c r="O19" s="203">
        <f t="shared" si="5"/>
        <v>4905.677419354839</v>
      </c>
      <c r="P19" s="203">
        <f t="shared" si="25"/>
        <v>228</v>
      </c>
      <c r="Q19" s="203">
        <f t="shared" si="6"/>
        <v>4905.677419354839</v>
      </c>
      <c r="R19" s="203">
        <f t="shared" si="26"/>
        <v>228</v>
      </c>
      <c r="S19" s="203">
        <f t="shared" si="7"/>
        <v>4905.677419354839</v>
      </c>
      <c r="T19" s="203">
        <f t="shared" si="27"/>
        <v>228</v>
      </c>
      <c r="U19" s="203">
        <f t="shared" si="8"/>
        <v>4905.677419354839</v>
      </c>
      <c r="V19" s="203">
        <f t="shared" si="28"/>
        <v>228</v>
      </c>
      <c r="W19" s="203">
        <f t="shared" si="9"/>
        <v>4905.677419354839</v>
      </c>
      <c r="X19" s="35">
        <f t="shared" si="10"/>
        <v>0.73548387096774215</v>
      </c>
      <c r="Y19" s="36">
        <f t="shared" si="29"/>
        <v>53962.451612903242</v>
      </c>
      <c r="Z19" s="203">
        <f>'B5'!C18</f>
        <v>234</v>
      </c>
      <c r="AA19" s="203">
        <f t="shared" si="30"/>
        <v>2340</v>
      </c>
      <c r="AB19" s="203">
        <f t="shared" si="31"/>
        <v>234</v>
      </c>
      <c r="AC19" s="203">
        <f t="shared" si="30"/>
        <v>2340</v>
      </c>
      <c r="AD19" s="203">
        <f t="shared" si="32"/>
        <v>234</v>
      </c>
      <c r="AE19" s="203">
        <f t="shared" si="11"/>
        <v>2340</v>
      </c>
      <c r="AF19" s="203">
        <f t="shared" si="33"/>
        <v>234</v>
      </c>
      <c r="AG19" s="203">
        <f t="shared" si="12"/>
        <v>2340</v>
      </c>
      <c r="AH19" s="203">
        <f t="shared" si="34"/>
        <v>234</v>
      </c>
      <c r="AI19" s="203">
        <f t="shared" si="13"/>
        <v>2340</v>
      </c>
      <c r="AJ19" s="203">
        <f t="shared" si="35"/>
        <v>234</v>
      </c>
      <c r="AK19" s="203">
        <f t="shared" si="14"/>
        <v>2340</v>
      </c>
      <c r="AL19" s="203">
        <f t="shared" si="36"/>
        <v>234</v>
      </c>
      <c r="AM19" s="203">
        <f t="shared" si="15"/>
        <v>2340</v>
      </c>
      <c r="AN19" s="35">
        <f t="shared" si="16"/>
        <v>0.83571428571428574</v>
      </c>
      <c r="AO19" s="36">
        <f t="shared" si="40"/>
        <v>16380</v>
      </c>
      <c r="AQ19" s="223">
        <f t="shared" si="41"/>
        <v>0.75661451664949164</v>
      </c>
      <c r="AR19" s="38">
        <f t="shared" si="37"/>
        <v>70342.451612903242</v>
      </c>
      <c r="AS19" s="197">
        <f t="shared" ref="AS19:AS32" si="47">SUM(AR19-AR18-AT19)</f>
        <v>0</v>
      </c>
      <c r="AT19" s="340"/>
      <c r="AU19" s="548"/>
      <c r="AV19" s="485">
        <f t="shared" si="45"/>
        <v>1.2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228</v>
      </c>
      <c r="C20" s="203">
        <f t="shared" si="18"/>
        <v>4905.677419354839</v>
      </c>
      <c r="D20">
        <f t="shared" si="19"/>
        <v>228</v>
      </c>
      <c r="E20" s="203">
        <f t="shared" si="18"/>
        <v>4905.677419354839</v>
      </c>
      <c r="F20">
        <f t="shared" si="20"/>
        <v>228</v>
      </c>
      <c r="G20" s="203">
        <f t="shared" si="1"/>
        <v>4905.677419354839</v>
      </c>
      <c r="H20" s="203">
        <f t="shared" si="21"/>
        <v>228</v>
      </c>
      <c r="I20" s="203">
        <f t="shared" si="2"/>
        <v>4905.677419354839</v>
      </c>
      <c r="J20" s="203">
        <f t="shared" si="22"/>
        <v>228</v>
      </c>
      <c r="K20" s="203">
        <f t="shared" si="3"/>
        <v>4905.677419354839</v>
      </c>
      <c r="L20" s="203">
        <f t="shared" si="23"/>
        <v>228</v>
      </c>
      <c r="M20" s="203">
        <f t="shared" si="4"/>
        <v>4905.677419354839</v>
      </c>
      <c r="N20" s="203">
        <f t="shared" si="24"/>
        <v>228</v>
      </c>
      <c r="O20" s="203">
        <f t="shared" si="5"/>
        <v>4905.677419354839</v>
      </c>
      <c r="P20" s="203">
        <f t="shared" si="25"/>
        <v>228</v>
      </c>
      <c r="Q20" s="203">
        <f t="shared" si="6"/>
        <v>4905.677419354839</v>
      </c>
      <c r="R20" s="203">
        <f t="shared" si="26"/>
        <v>228</v>
      </c>
      <c r="S20" s="203">
        <f t="shared" si="7"/>
        <v>4905.677419354839</v>
      </c>
      <c r="T20" s="203">
        <f t="shared" si="27"/>
        <v>228</v>
      </c>
      <c r="U20" s="203">
        <f t="shared" si="8"/>
        <v>4905.677419354839</v>
      </c>
      <c r="V20" s="203">
        <f t="shared" si="28"/>
        <v>228</v>
      </c>
      <c r="W20" s="203">
        <f t="shared" si="9"/>
        <v>4905.677419354839</v>
      </c>
      <c r="X20" s="35">
        <f t="shared" si="10"/>
        <v>0.73548387096774215</v>
      </c>
      <c r="Y20" s="36">
        <f t="shared" si="29"/>
        <v>53962.451612903242</v>
      </c>
      <c r="Z20" s="203">
        <f>'B5'!C19</f>
        <v>234</v>
      </c>
      <c r="AA20" s="203">
        <f t="shared" si="30"/>
        <v>2340</v>
      </c>
      <c r="AB20" s="203">
        <f t="shared" si="31"/>
        <v>234</v>
      </c>
      <c r="AC20" s="203">
        <f t="shared" si="30"/>
        <v>2340</v>
      </c>
      <c r="AD20" s="203">
        <f t="shared" si="32"/>
        <v>234</v>
      </c>
      <c r="AE20" s="203">
        <f t="shared" si="11"/>
        <v>2340</v>
      </c>
      <c r="AF20" s="203">
        <f t="shared" si="33"/>
        <v>234</v>
      </c>
      <c r="AG20" s="203">
        <f t="shared" si="12"/>
        <v>2340</v>
      </c>
      <c r="AH20" s="203">
        <f t="shared" si="34"/>
        <v>234</v>
      </c>
      <c r="AI20" s="203">
        <f t="shared" si="13"/>
        <v>2340</v>
      </c>
      <c r="AJ20" s="203">
        <f t="shared" si="35"/>
        <v>234</v>
      </c>
      <c r="AK20" s="203">
        <f t="shared" si="14"/>
        <v>2340</v>
      </c>
      <c r="AL20" s="203">
        <f t="shared" si="36"/>
        <v>234</v>
      </c>
      <c r="AM20" s="203">
        <f t="shared" si="15"/>
        <v>2340</v>
      </c>
      <c r="AN20" s="35">
        <f t="shared" si="16"/>
        <v>0.83571428571428574</v>
      </c>
      <c r="AO20" s="36">
        <f t="shared" si="40"/>
        <v>16380</v>
      </c>
      <c r="AQ20" s="223">
        <f t="shared" si="41"/>
        <v>0.75661451664949164</v>
      </c>
      <c r="AR20" s="38">
        <f t="shared" si="37"/>
        <v>70342.451612903242</v>
      </c>
      <c r="AS20" s="197">
        <f>SUM(AR20-AR19-AT20)</f>
        <v>0</v>
      </c>
      <c r="AT20" s="340"/>
      <c r="AU20" s="548"/>
      <c r="AV20" s="485">
        <f t="shared" si="45"/>
        <v>1.2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234</v>
      </c>
      <c r="AA21" s="203">
        <f t="shared" si="30"/>
        <v>2340</v>
      </c>
      <c r="AB21" s="203">
        <f t="shared" si="31"/>
        <v>234</v>
      </c>
      <c r="AC21" s="203">
        <f t="shared" si="30"/>
        <v>2340</v>
      </c>
      <c r="AD21" s="203">
        <f t="shared" si="32"/>
        <v>234</v>
      </c>
      <c r="AE21" s="203">
        <f t="shared" si="11"/>
        <v>2340</v>
      </c>
      <c r="AF21" s="203">
        <f t="shared" si="33"/>
        <v>234</v>
      </c>
      <c r="AG21" s="203">
        <f t="shared" si="12"/>
        <v>2340</v>
      </c>
      <c r="AH21" s="203">
        <f t="shared" si="34"/>
        <v>234</v>
      </c>
      <c r="AI21" s="203">
        <f t="shared" si="13"/>
        <v>2340</v>
      </c>
      <c r="AJ21" s="203">
        <f t="shared" si="35"/>
        <v>234</v>
      </c>
      <c r="AK21" s="203">
        <f t="shared" si="14"/>
        <v>2340</v>
      </c>
      <c r="AL21" s="203">
        <f t="shared" si="36"/>
        <v>234</v>
      </c>
      <c r="AM21" s="203">
        <f t="shared" si="15"/>
        <v>2340</v>
      </c>
      <c r="AN21" s="35">
        <f t="shared" si="16"/>
        <v>0.83571428571428574</v>
      </c>
      <c r="AO21" s="36">
        <f t="shared" si="40"/>
        <v>16380</v>
      </c>
      <c r="AQ21" s="223">
        <f t="shared" si="41"/>
        <v>0.75661451664949164</v>
      </c>
      <c r="AR21" s="38">
        <f t="shared" si="37"/>
        <v>70342.451612903242</v>
      </c>
      <c r="AS21" s="197">
        <f>SUM(AR21-AR20-AT21)</f>
        <v>0</v>
      </c>
      <c r="AT21" s="340"/>
      <c r="AU21" s="548"/>
      <c r="AV21" s="485">
        <f t="shared" si="45"/>
        <v>1.2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203">
        <f>'B5'!C21</f>
        <v>234</v>
      </c>
      <c r="AA22" s="203">
        <f t="shared" si="30"/>
        <v>2340</v>
      </c>
      <c r="AB22" s="203">
        <f t="shared" si="31"/>
        <v>234</v>
      </c>
      <c r="AC22" s="203">
        <f t="shared" si="30"/>
        <v>2340</v>
      </c>
      <c r="AD22" s="203">
        <f t="shared" si="32"/>
        <v>234</v>
      </c>
      <c r="AE22" s="203">
        <f t="shared" si="11"/>
        <v>2340</v>
      </c>
      <c r="AF22" s="203">
        <f t="shared" si="33"/>
        <v>234</v>
      </c>
      <c r="AG22" s="203">
        <f t="shared" si="12"/>
        <v>2340</v>
      </c>
      <c r="AH22" s="203">
        <f t="shared" si="34"/>
        <v>234</v>
      </c>
      <c r="AI22" s="203">
        <f t="shared" si="13"/>
        <v>2340</v>
      </c>
      <c r="AJ22" s="203">
        <f t="shared" si="35"/>
        <v>234</v>
      </c>
      <c r="AK22" s="203">
        <f t="shared" si="14"/>
        <v>2340</v>
      </c>
      <c r="AL22" s="203">
        <f t="shared" si="36"/>
        <v>234</v>
      </c>
      <c r="AM22" s="203">
        <f t="shared" si="15"/>
        <v>2340</v>
      </c>
      <c r="AN22" s="35">
        <f t="shared" si="16"/>
        <v>0.83571428571428574</v>
      </c>
      <c r="AO22" s="36">
        <f t="shared" si="40"/>
        <v>16380</v>
      </c>
      <c r="AQ22" s="223">
        <f t="shared" si="41"/>
        <v>0.75661451664949164</v>
      </c>
      <c r="AR22" s="38">
        <f t="shared" si="37"/>
        <v>70342.451612903242</v>
      </c>
      <c r="AS22" s="197">
        <f t="shared" si="47"/>
        <v>0</v>
      </c>
      <c r="AT22" s="340"/>
      <c r="AU22" s="548"/>
      <c r="AV22" s="485">
        <f t="shared" si="43"/>
        <v>1.2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228</v>
      </c>
      <c r="C23" s="203">
        <f t="shared" si="18"/>
        <v>4905.677419354839</v>
      </c>
      <c r="D23">
        <f t="shared" si="19"/>
        <v>228</v>
      </c>
      <c r="E23" s="203">
        <f t="shared" si="18"/>
        <v>4905.677419354839</v>
      </c>
      <c r="F23">
        <f t="shared" si="20"/>
        <v>228</v>
      </c>
      <c r="G23" s="203">
        <f t="shared" si="1"/>
        <v>4905.677419354839</v>
      </c>
      <c r="H23" s="203">
        <f t="shared" si="21"/>
        <v>228</v>
      </c>
      <c r="I23" s="203">
        <f t="shared" si="2"/>
        <v>4905.677419354839</v>
      </c>
      <c r="J23" s="203">
        <f t="shared" si="22"/>
        <v>228</v>
      </c>
      <c r="K23" s="203">
        <f t="shared" si="3"/>
        <v>4905.677419354839</v>
      </c>
      <c r="L23" s="203">
        <f t="shared" si="23"/>
        <v>228</v>
      </c>
      <c r="M23" s="203">
        <f t="shared" si="4"/>
        <v>4905.677419354839</v>
      </c>
      <c r="N23" s="203">
        <f t="shared" si="24"/>
        <v>228</v>
      </c>
      <c r="O23" s="203">
        <f t="shared" si="5"/>
        <v>4905.677419354839</v>
      </c>
      <c r="P23" s="203">
        <f t="shared" si="25"/>
        <v>228</v>
      </c>
      <c r="Q23" s="203">
        <f t="shared" si="6"/>
        <v>4905.677419354839</v>
      </c>
      <c r="R23" s="203">
        <f t="shared" si="26"/>
        <v>228</v>
      </c>
      <c r="S23" s="203">
        <f t="shared" si="7"/>
        <v>4905.677419354839</v>
      </c>
      <c r="T23" s="203">
        <f t="shared" si="27"/>
        <v>228</v>
      </c>
      <c r="U23" s="203">
        <f t="shared" si="8"/>
        <v>4905.677419354839</v>
      </c>
      <c r="V23" s="203">
        <f t="shared" si="28"/>
        <v>228</v>
      </c>
      <c r="W23" s="203">
        <f t="shared" si="9"/>
        <v>4905.677419354839</v>
      </c>
      <c r="X23" s="35">
        <f t="shared" si="10"/>
        <v>0.73548387096774215</v>
      </c>
      <c r="Y23" s="36">
        <f t="shared" si="29"/>
        <v>53962.451612903242</v>
      </c>
      <c r="Z23" s="203">
        <f>'B5'!C22</f>
        <v>234</v>
      </c>
      <c r="AA23" s="203">
        <f t="shared" si="30"/>
        <v>2340</v>
      </c>
      <c r="AB23" s="203">
        <f t="shared" si="31"/>
        <v>234</v>
      </c>
      <c r="AC23" s="203">
        <f t="shared" si="30"/>
        <v>2340</v>
      </c>
      <c r="AD23" s="203">
        <f t="shared" si="32"/>
        <v>234</v>
      </c>
      <c r="AE23" s="203">
        <f t="shared" si="11"/>
        <v>2340</v>
      </c>
      <c r="AF23" s="203">
        <f t="shared" si="33"/>
        <v>234</v>
      </c>
      <c r="AG23" s="203">
        <f t="shared" si="12"/>
        <v>2340</v>
      </c>
      <c r="AH23" s="203">
        <f t="shared" si="34"/>
        <v>234</v>
      </c>
      <c r="AI23" s="203">
        <f t="shared" si="13"/>
        <v>2340</v>
      </c>
      <c r="AJ23" s="203">
        <f t="shared" si="35"/>
        <v>234</v>
      </c>
      <c r="AK23" s="203">
        <f t="shared" si="14"/>
        <v>2340</v>
      </c>
      <c r="AL23" s="203">
        <f t="shared" si="36"/>
        <v>234</v>
      </c>
      <c r="AM23" s="203">
        <f t="shared" si="15"/>
        <v>2340</v>
      </c>
      <c r="AN23" s="35">
        <f t="shared" si="16"/>
        <v>0.83571428571428574</v>
      </c>
      <c r="AO23" s="36">
        <f t="shared" si="40"/>
        <v>16380</v>
      </c>
      <c r="AQ23" s="223">
        <f t="shared" si="41"/>
        <v>0.75661451664949164</v>
      </c>
      <c r="AR23" s="38">
        <f t="shared" si="37"/>
        <v>70342.451612903242</v>
      </c>
      <c r="AS23" s="197">
        <f t="shared" si="47"/>
        <v>0</v>
      </c>
      <c r="AT23" s="340"/>
      <c r="AU23" s="548"/>
      <c r="AV23" s="485">
        <f t="shared" si="43"/>
        <v>1.2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228</v>
      </c>
      <c r="C24" s="203">
        <f t="shared" si="18"/>
        <v>4905.677419354839</v>
      </c>
      <c r="D24">
        <f t="shared" si="19"/>
        <v>228</v>
      </c>
      <c r="E24" s="203">
        <f t="shared" si="18"/>
        <v>4905.677419354839</v>
      </c>
      <c r="F24">
        <f t="shared" si="20"/>
        <v>228</v>
      </c>
      <c r="G24" s="203">
        <f t="shared" si="1"/>
        <v>4905.677419354839</v>
      </c>
      <c r="H24" s="203">
        <f t="shared" si="21"/>
        <v>228</v>
      </c>
      <c r="I24" s="203">
        <f t="shared" si="2"/>
        <v>4905.677419354839</v>
      </c>
      <c r="J24" s="203">
        <f t="shared" si="22"/>
        <v>228</v>
      </c>
      <c r="K24" s="203">
        <f t="shared" si="3"/>
        <v>4905.677419354839</v>
      </c>
      <c r="L24" s="203">
        <f t="shared" si="23"/>
        <v>228</v>
      </c>
      <c r="M24" s="203">
        <f t="shared" si="4"/>
        <v>4905.677419354839</v>
      </c>
      <c r="N24" s="203">
        <f t="shared" si="24"/>
        <v>228</v>
      </c>
      <c r="O24" s="203">
        <f t="shared" si="5"/>
        <v>4905.677419354839</v>
      </c>
      <c r="P24" s="203">
        <f t="shared" si="25"/>
        <v>228</v>
      </c>
      <c r="Q24" s="203">
        <f t="shared" si="6"/>
        <v>4905.677419354839</v>
      </c>
      <c r="R24" s="203">
        <f t="shared" si="26"/>
        <v>228</v>
      </c>
      <c r="S24" s="203">
        <f t="shared" si="7"/>
        <v>4905.677419354839</v>
      </c>
      <c r="T24" s="203">
        <f t="shared" si="27"/>
        <v>228</v>
      </c>
      <c r="U24" s="203">
        <f t="shared" si="8"/>
        <v>4905.677419354839</v>
      </c>
      <c r="V24" s="203">
        <f t="shared" si="28"/>
        <v>228</v>
      </c>
      <c r="W24" s="203">
        <f t="shared" si="9"/>
        <v>4905.677419354839</v>
      </c>
      <c r="X24" s="35">
        <f t="shared" si="10"/>
        <v>0.73548387096774215</v>
      </c>
      <c r="Y24" s="36">
        <f t="shared" si="29"/>
        <v>53962.451612903242</v>
      </c>
      <c r="Z24" s="203">
        <f>'B5'!C23</f>
        <v>234</v>
      </c>
      <c r="AA24" s="203">
        <f t="shared" si="30"/>
        <v>2340</v>
      </c>
      <c r="AB24" s="203">
        <f t="shared" si="31"/>
        <v>234</v>
      </c>
      <c r="AC24" s="203">
        <f t="shared" si="30"/>
        <v>2340</v>
      </c>
      <c r="AD24" s="203">
        <f t="shared" si="32"/>
        <v>234</v>
      </c>
      <c r="AE24" s="203">
        <f t="shared" si="11"/>
        <v>2340</v>
      </c>
      <c r="AF24" s="203">
        <f t="shared" si="33"/>
        <v>234</v>
      </c>
      <c r="AG24" s="203">
        <f t="shared" si="12"/>
        <v>2340</v>
      </c>
      <c r="AH24" s="203">
        <f t="shared" si="34"/>
        <v>234</v>
      </c>
      <c r="AI24" s="203">
        <f t="shared" si="13"/>
        <v>2340</v>
      </c>
      <c r="AJ24" s="203">
        <f t="shared" si="35"/>
        <v>234</v>
      </c>
      <c r="AK24" s="203">
        <f t="shared" si="14"/>
        <v>2340</v>
      </c>
      <c r="AL24" s="203">
        <f t="shared" si="36"/>
        <v>234</v>
      </c>
      <c r="AM24" s="203">
        <f t="shared" si="15"/>
        <v>2340</v>
      </c>
      <c r="AN24" s="35">
        <f t="shared" si="16"/>
        <v>0.83571428571428574</v>
      </c>
      <c r="AO24" s="36">
        <f t="shared" si="40"/>
        <v>16380</v>
      </c>
      <c r="AQ24" s="223">
        <f t="shared" si="41"/>
        <v>0.75661451664949164</v>
      </c>
      <c r="AR24" s="38">
        <f t="shared" si="37"/>
        <v>70342.451612903242</v>
      </c>
      <c r="AS24" s="197">
        <f t="shared" si="47"/>
        <v>0</v>
      </c>
      <c r="AT24" s="340"/>
      <c r="AU24" s="548"/>
      <c r="AV24" s="485">
        <f t="shared" si="43"/>
        <v>1.2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228</v>
      </c>
      <c r="C25" s="203">
        <f t="shared" si="18"/>
        <v>4905.677419354839</v>
      </c>
      <c r="D25">
        <f t="shared" si="19"/>
        <v>228</v>
      </c>
      <c r="E25" s="203">
        <f t="shared" si="18"/>
        <v>4905.677419354839</v>
      </c>
      <c r="F25">
        <f t="shared" si="20"/>
        <v>228</v>
      </c>
      <c r="G25" s="203">
        <f t="shared" si="1"/>
        <v>4905.677419354839</v>
      </c>
      <c r="H25" s="203">
        <f t="shared" si="21"/>
        <v>228</v>
      </c>
      <c r="I25" s="203">
        <f t="shared" si="2"/>
        <v>4905.677419354839</v>
      </c>
      <c r="J25" s="203">
        <f t="shared" si="22"/>
        <v>228</v>
      </c>
      <c r="K25" s="203">
        <f t="shared" si="3"/>
        <v>4905.677419354839</v>
      </c>
      <c r="L25" s="203">
        <f t="shared" si="23"/>
        <v>228</v>
      </c>
      <c r="M25" s="203">
        <f t="shared" si="4"/>
        <v>4905.677419354839</v>
      </c>
      <c r="N25" s="203">
        <f t="shared" si="24"/>
        <v>228</v>
      </c>
      <c r="O25" s="203">
        <f t="shared" si="5"/>
        <v>4905.677419354839</v>
      </c>
      <c r="P25" s="203">
        <f t="shared" si="25"/>
        <v>228</v>
      </c>
      <c r="Q25" s="203">
        <f t="shared" si="6"/>
        <v>4905.677419354839</v>
      </c>
      <c r="R25" s="203">
        <f t="shared" si="26"/>
        <v>228</v>
      </c>
      <c r="S25" s="203">
        <f t="shared" si="7"/>
        <v>4905.677419354839</v>
      </c>
      <c r="T25" s="203">
        <f t="shared" si="27"/>
        <v>228</v>
      </c>
      <c r="U25" s="203">
        <f t="shared" si="8"/>
        <v>4905.677419354839</v>
      </c>
      <c r="V25" s="203">
        <f t="shared" si="28"/>
        <v>228</v>
      </c>
      <c r="W25" s="203">
        <f t="shared" si="9"/>
        <v>4905.677419354839</v>
      </c>
      <c r="X25" s="35">
        <f t="shared" si="10"/>
        <v>0.73548387096774215</v>
      </c>
      <c r="Y25" s="36">
        <f t="shared" si="29"/>
        <v>53962.451612903242</v>
      </c>
      <c r="Z25" s="203">
        <f>'B5'!C24</f>
        <v>234</v>
      </c>
      <c r="AA25" s="203">
        <f t="shared" si="30"/>
        <v>2340</v>
      </c>
      <c r="AB25" s="203">
        <f t="shared" si="31"/>
        <v>234</v>
      </c>
      <c r="AC25" s="203">
        <f t="shared" si="30"/>
        <v>2340</v>
      </c>
      <c r="AD25" s="203">
        <f t="shared" si="32"/>
        <v>234</v>
      </c>
      <c r="AE25" s="203">
        <f t="shared" si="11"/>
        <v>2340</v>
      </c>
      <c r="AF25" s="203">
        <f t="shared" si="33"/>
        <v>234</v>
      </c>
      <c r="AG25" s="203">
        <f t="shared" si="12"/>
        <v>2340</v>
      </c>
      <c r="AH25" s="203">
        <f t="shared" si="34"/>
        <v>234</v>
      </c>
      <c r="AI25" s="203">
        <f t="shared" si="13"/>
        <v>2340</v>
      </c>
      <c r="AJ25" s="203">
        <f t="shared" si="35"/>
        <v>234</v>
      </c>
      <c r="AK25" s="203">
        <f t="shared" si="14"/>
        <v>2340</v>
      </c>
      <c r="AL25" s="203">
        <f t="shared" si="36"/>
        <v>234</v>
      </c>
      <c r="AM25" s="203">
        <f t="shared" si="15"/>
        <v>2340</v>
      </c>
      <c r="AN25" s="35">
        <f t="shared" si="16"/>
        <v>0.83571428571428574</v>
      </c>
      <c r="AO25" s="36">
        <f t="shared" si="40"/>
        <v>16380</v>
      </c>
      <c r="AQ25" s="223">
        <f t="shared" si="41"/>
        <v>0.75661451664949164</v>
      </c>
      <c r="AR25" s="38">
        <f>Y25+AO25</f>
        <v>70342.451612903242</v>
      </c>
      <c r="AS25" s="197">
        <f t="shared" si="47"/>
        <v>0</v>
      </c>
      <c r="AT25" s="340"/>
      <c r="AU25" s="549"/>
      <c r="AV25" s="485">
        <f t="shared" si="43"/>
        <v>1.2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228</v>
      </c>
      <c r="C26" s="203">
        <f t="shared" si="18"/>
        <v>4905.677419354839</v>
      </c>
      <c r="D26">
        <f t="shared" si="19"/>
        <v>228</v>
      </c>
      <c r="E26" s="203">
        <f t="shared" si="18"/>
        <v>4905.677419354839</v>
      </c>
      <c r="F26">
        <f t="shared" si="20"/>
        <v>228</v>
      </c>
      <c r="G26" s="203">
        <f t="shared" si="1"/>
        <v>4905.677419354839</v>
      </c>
      <c r="H26" s="203">
        <f t="shared" si="21"/>
        <v>228</v>
      </c>
      <c r="I26" s="203">
        <f t="shared" si="2"/>
        <v>4905.677419354839</v>
      </c>
      <c r="J26" s="203">
        <f t="shared" si="22"/>
        <v>228</v>
      </c>
      <c r="K26" s="203">
        <f t="shared" si="3"/>
        <v>4905.677419354839</v>
      </c>
      <c r="L26" s="203">
        <f t="shared" si="23"/>
        <v>228</v>
      </c>
      <c r="M26" s="203">
        <f t="shared" si="4"/>
        <v>4905.677419354839</v>
      </c>
      <c r="N26" s="203">
        <f t="shared" si="24"/>
        <v>228</v>
      </c>
      <c r="O26" s="203">
        <f t="shared" si="5"/>
        <v>4905.677419354839</v>
      </c>
      <c r="P26" s="203">
        <f t="shared" si="25"/>
        <v>228</v>
      </c>
      <c r="Q26" s="203">
        <f t="shared" si="6"/>
        <v>4905.677419354839</v>
      </c>
      <c r="R26" s="203">
        <f t="shared" si="26"/>
        <v>228</v>
      </c>
      <c r="S26" s="203">
        <f t="shared" si="7"/>
        <v>4905.677419354839</v>
      </c>
      <c r="T26" s="203">
        <f t="shared" si="27"/>
        <v>228</v>
      </c>
      <c r="U26" s="203">
        <f t="shared" si="8"/>
        <v>4905.677419354839</v>
      </c>
      <c r="V26" s="203">
        <f t="shared" si="28"/>
        <v>228</v>
      </c>
      <c r="W26" s="203">
        <f t="shared" si="9"/>
        <v>4905.677419354839</v>
      </c>
      <c r="X26" s="35">
        <f t="shared" si="10"/>
        <v>0.73548387096774215</v>
      </c>
      <c r="Y26" s="36">
        <f t="shared" si="29"/>
        <v>53962.451612903242</v>
      </c>
      <c r="Z26" s="203">
        <f>'B5'!C25</f>
        <v>234</v>
      </c>
      <c r="AA26" s="203">
        <f t="shared" si="30"/>
        <v>2340</v>
      </c>
      <c r="AB26" s="203">
        <f t="shared" si="31"/>
        <v>234</v>
      </c>
      <c r="AC26" s="203">
        <f t="shared" si="30"/>
        <v>2340</v>
      </c>
      <c r="AD26" s="203">
        <f t="shared" si="32"/>
        <v>234</v>
      </c>
      <c r="AE26" s="203">
        <f t="shared" si="11"/>
        <v>2340</v>
      </c>
      <c r="AF26" s="203">
        <f t="shared" si="33"/>
        <v>234</v>
      </c>
      <c r="AG26" s="203">
        <f t="shared" si="12"/>
        <v>2340</v>
      </c>
      <c r="AH26" s="203">
        <f t="shared" si="34"/>
        <v>234</v>
      </c>
      <c r="AI26" s="203">
        <f t="shared" si="13"/>
        <v>2340</v>
      </c>
      <c r="AJ26" s="203">
        <f t="shared" si="35"/>
        <v>234</v>
      </c>
      <c r="AK26" s="203">
        <f t="shared" si="14"/>
        <v>2340</v>
      </c>
      <c r="AL26" s="203">
        <f t="shared" si="36"/>
        <v>234</v>
      </c>
      <c r="AM26" s="203">
        <f t="shared" si="15"/>
        <v>2340</v>
      </c>
      <c r="AN26" s="35">
        <f t="shared" si="16"/>
        <v>0.83571428571428574</v>
      </c>
      <c r="AO26" s="36">
        <f t="shared" si="40"/>
        <v>16380</v>
      </c>
      <c r="AQ26" s="223">
        <f t="shared" si="41"/>
        <v>0.75661451664949164</v>
      </c>
      <c r="AR26" s="38">
        <f>Y26+AO26</f>
        <v>70342.451612903242</v>
      </c>
      <c r="AS26" s="197">
        <f t="shared" si="47"/>
        <v>0</v>
      </c>
      <c r="AT26" s="340"/>
      <c r="AU26" s="548"/>
      <c r="AV26" s="485">
        <f t="shared" si="43"/>
        <v>1.2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228</v>
      </c>
      <c r="C27" s="203">
        <f t="shared" si="18"/>
        <v>4905.677419354839</v>
      </c>
      <c r="D27">
        <f t="shared" si="19"/>
        <v>228</v>
      </c>
      <c r="E27" s="203">
        <f t="shared" si="18"/>
        <v>4905.677419354839</v>
      </c>
      <c r="F27">
        <f t="shared" si="20"/>
        <v>228</v>
      </c>
      <c r="G27" s="203">
        <f t="shared" si="1"/>
        <v>4905.677419354839</v>
      </c>
      <c r="H27" s="203">
        <f t="shared" si="21"/>
        <v>228</v>
      </c>
      <c r="I27" s="203">
        <f t="shared" si="2"/>
        <v>4905.677419354839</v>
      </c>
      <c r="J27" s="203">
        <f t="shared" si="22"/>
        <v>228</v>
      </c>
      <c r="K27" s="203">
        <f t="shared" si="3"/>
        <v>4905.677419354839</v>
      </c>
      <c r="L27" s="203">
        <f t="shared" si="23"/>
        <v>228</v>
      </c>
      <c r="M27" s="203">
        <f t="shared" si="4"/>
        <v>4905.677419354839</v>
      </c>
      <c r="N27" s="203">
        <f t="shared" si="24"/>
        <v>228</v>
      </c>
      <c r="O27" s="203">
        <f t="shared" si="5"/>
        <v>4905.677419354839</v>
      </c>
      <c r="P27" s="203">
        <f t="shared" si="25"/>
        <v>228</v>
      </c>
      <c r="Q27" s="203">
        <f t="shared" si="6"/>
        <v>4905.677419354839</v>
      </c>
      <c r="R27" s="203">
        <f t="shared" si="26"/>
        <v>228</v>
      </c>
      <c r="S27" s="203">
        <f t="shared" si="7"/>
        <v>4905.677419354839</v>
      </c>
      <c r="T27" s="203">
        <f t="shared" si="27"/>
        <v>228</v>
      </c>
      <c r="U27" s="203">
        <f t="shared" si="8"/>
        <v>4905.677419354839</v>
      </c>
      <c r="V27" s="203">
        <f t="shared" si="28"/>
        <v>228</v>
      </c>
      <c r="W27" s="203">
        <f t="shared" si="9"/>
        <v>4905.677419354839</v>
      </c>
      <c r="X27" s="35">
        <f t="shared" si="10"/>
        <v>0.73548387096774215</v>
      </c>
      <c r="Y27" s="36">
        <f t="shared" si="29"/>
        <v>53962.451612903242</v>
      </c>
      <c r="Z27" s="203">
        <f>'B5'!C26</f>
        <v>234</v>
      </c>
      <c r="AA27" s="203">
        <f t="shared" si="30"/>
        <v>2340</v>
      </c>
      <c r="AB27" s="203">
        <f t="shared" si="31"/>
        <v>234</v>
      </c>
      <c r="AC27" s="203">
        <f t="shared" si="30"/>
        <v>2340</v>
      </c>
      <c r="AD27" s="203">
        <f t="shared" si="32"/>
        <v>234</v>
      </c>
      <c r="AE27" s="203">
        <f t="shared" si="11"/>
        <v>2340</v>
      </c>
      <c r="AF27" s="203">
        <f t="shared" si="33"/>
        <v>234</v>
      </c>
      <c r="AG27" s="203">
        <f t="shared" si="12"/>
        <v>2340</v>
      </c>
      <c r="AH27" s="203">
        <f t="shared" si="34"/>
        <v>234</v>
      </c>
      <c r="AI27" s="203">
        <f t="shared" si="13"/>
        <v>2340</v>
      </c>
      <c r="AJ27" s="203">
        <f t="shared" si="35"/>
        <v>234</v>
      </c>
      <c r="AK27" s="203">
        <f t="shared" si="14"/>
        <v>2340</v>
      </c>
      <c r="AL27" s="203">
        <f t="shared" si="36"/>
        <v>234</v>
      </c>
      <c r="AM27" s="203">
        <f t="shared" si="15"/>
        <v>2340</v>
      </c>
      <c r="AN27" s="35">
        <f t="shared" si="16"/>
        <v>0.83571428571428574</v>
      </c>
      <c r="AO27" s="36">
        <f t="shared" si="40"/>
        <v>16380</v>
      </c>
      <c r="AQ27" s="223">
        <f t="shared" si="41"/>
        <v>0.75661451664949164</v>
      </c>
      <c r="AR27" s="38">
        <f t="shared" si="37"/>
        <v>70342.451612903242</v>
      </c>
      <c r="AS27" s="197">
        <f t="shared" si="47"/>
        <v>0</v>
      </c>
      <c r="AT27" s="340"/>
      <c r="AU27" s="548"/>
      <c r="AV27" s="485">
        <f t="shared" si="43"/>
        <v>1.2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228</v>
      </c>
      <c r="C28" s="203">
        <f t="shared" si="18"/>
        <v>4905.677419354839</v>
      </c>
      <c r="D28">
        <f t="shared" si="19"/>
        <v>228</v>
      </c>
      <c r="E28" s="203">
        <f t="shared" si="18"/>
        <v>4905.677419354839</v>
      </c>
      <c r="F28">
        <f t="shared" si="20"/>
        <v>228</v>
      </c>
      <c r="G28" s="203">
        <f t="shared" si="1"/>
        <v>4905.677419354839</v>
      </c>
      <c r="H28" s="203">
        <f t="shared" si="21"/>
        <v>228</v>
      </c>
      <c r="I28" s="203">
        <f t="shared" si="2"/>
        <v>4905.677419354839</v>
      </c>
      <c r="J28" s="203">
        <f t="shared" si="22"/>
        <v>228</v>
      </c>
      <c r="K28" s="203">
        <f t="shared" si="3"/>
        <v>4905.677419354839</v>
      </c>
      <c r="L28" s="203">
        <f t="shared" si="23"/>
        <v>228</v>
      </c>
      <c r="M28" s="203">
        <f t="shared" si="4"/>
        <v>4905.677419354839</v>
      </c>
      <c r="N28" s="203">
        <f t="shared" si="24"/>
        <v>228</v>
      </c>
      <c r="O28" s="203">
        <f t="shared" si="5"/>
        <v>4905.677419354839</v>
      </c>
      <c r="P28" s="203">
        <f t="shared" si="25"/>
        <v>228</v>
      </c>
      <c r="Q28" s="203">
        <f t="shared" si="6"/>
        <v>4905.677419354839</v>
      </c>
      <c r="R28" s="203">
        <f t="shared" si="26"/>
        <v>228</v>
      </c>
      <c r="S28" s="203">
        <f t="shared" si="7"/>
        <v>4905.677419354839</v>
      </c>
      <c r="T28" s="203">
        <f t="shared" si="27"/>
        <v>228</v>
      </c>
      <c r="U28" s="203">
        <f t="shared" si="8"/>
        <v>4905.677419354839</v>
      </c>
      <c r="V28" s="203">
        <f t="shared" si="28"/>
        <v>228</v>
      </c>
      <c r="W28" s="203">
        <f t="shared" si="9"/>
        <v>4905.677419354839</v>
      </c>
      <c r="X28" s="35">
        <f t="shared" si="10"/>
        <v>0.73548387096774215</v>
      </c>
      <c r="Y28" s="36">
        <f t="shared" si="29"/>
        <v>53962.451612903242</v>
      </c>
      <c r="Z28" s="203">
        <f>'B5'!C27</f>
        <v>234</v>
      </c>
      <c r="AA28" s="203">
        <f t="shared" si="30"/>
        <v>2340</v>
      </c>
      <c r="AB28" s="203">
        <f t="shared" si="31"/>
        <v>234</v>
      </c>
      <c r="AC28" s="203">
        <f t="shared" si="30"/>
        <v>2340</v>
      </c>
      <c r="AD28" s="203">
        <f t="shared" si="32"/>
        <v>234</v>
      </c>
      <c r="AE28" s="203">
        <f t="shared" si="11"/>
        <v>2340</v>
      </c>
      <c r="AF28" s="203">
        <f t="shared" si="33"/>
        <v>234</v>
      </c>
      <c r="AG28" s="203">
        <f t="shared" si="12"/>
        <v>2340</v>
      </c>
      <c r="AH28" s="203">
        <f t="shared" si="34"/>
        <v>234</v>
      </c>
      <c r="AI28" s="203">
        <f t="shared" si="13"/>
        <v>2340</v>
      </c>
      <c r="AJ28" s="203">
        <f t="shared" si="35"/>
        <v>234</v>
      </c>
      <c r="AK28" s="203">
        <f t="shared" si="14"/>
        <v>2340</v>
      </c>
      <c r="AL28" s="203">
        <f t="shared" si="36"/>
        <v>234</v>
      </c>
      <c r="AM28" s="203">
        <f t="shared" si="15"/>
        <v>2340</v>
      </c>
      <c r="AN28" s="35">
        <f t="shared" si="16"/>
        <v>0.83571428571428574</v>
      </c>
      <c r="AO28" s="36">
        <f t="shared" si="40"/>
        <v>16380</v>
      </c>
      <c r="AQ28" s="223">
        <f t="shared" si="41"/>
        <v>0.75661451664949164</v>
      </c>
      <c r="AR28" s="38">
        <f t="shared" si="37"/>
        <v>70342.451612903242</v>
      </c>
      <c r="AS28" s="197">
        <f t="shared" si="47"/>
        <v>0</v>
      </c>
      <c r="AT28" s="340"/>
      <c r="AU28" s="549"/>
      <c r="AV28" s="485">
        <f t="shared" si="43"/>
        <v>1.2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228</v>
      </c>
      <c r="C29" s="203">
        <f t="shared" si="18"/>
        <v>4905.677419354839</v>
      </c>
      <c r="D29">
        <f t="shared" si="19"/>
        <v>228</v>
      </c>
      <c r="E29" s="203">
        <f t="shared" si="18"/>
        <v>4905.677419354839</v>
      </c>
      <c r="F29">
        <f t="shared" si="20"/>
        <v>228</v>
      </c>
      <c r="G29" s="203">
        <f t="shared" si="1"/>
        <v>4905.677419354839</v>
      </c>
      <c r="H29" s="203">
        <f t="shared" si="21"/>
        <v>228</v>
      </c>
      <c r="I29" s="203">
        <f t="shared" si="2"/>
        <v>4905.677419354839</v>
      </c>
      <c r="J29" s="203">
        <f t="shared" si="22"/>
        <v>228</v>
      </c>
      <c r="K29" s="203">
        <f t="shared" si="3"/>
        <v>4905.677419354839</v>
      </c>
      <c r="L29" s="203">
        <f t="shared" si="23"/>
        <v>228</v>
      </c>
      <c r="M29" s="203">
        <f t="shared" si="4"/>
        <v>4905.677419354839</v>
      </c>
      <c r="N29" s="203">
        <f t="shared" si="24"/>
        <v>228</v>
      </c>
      <c r="O29" s="203">
        <f t="shared" si="5"/>
        <v>4905.677419354839</v>
      </c>
      <c r="P29" s="203">
        <f t="shared" si="25"/>
        <v>228</v>
      </c>
      <c r="Q29" s="203">
        <f t="shared" si="6"/>
        <v>4905.677419354839</v>
      </c>
      <c r="R29" s="203">
        <f t="shared" si="26"/>
        <v>228</v>
      </c>
      <c r="S29" s="203">
        <f t="shared" si="7"/>
        <v>4905.677419354839</v>
      </c>
      <c r="T29" s="203">
        <f t="shared" si="27"/>
        <v>228</v>
      </c>
      <c r="U29" s="203">
        <f t="shared" si="8"/>
        <v>4905.677419354839</v>
      </c>
      <c r="V29" s="203">
        <f t="shared" si="28"/>
        <v>228</v>
      </c>
      <c r="W29" s="203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3">
        <f>'B5'!C28</f>
        <v>234</v>
      </c>
      <c r="AA29" s="203">
        <f t="shared" si="30"/>
        <v>2340</v>
      </c>
      <c r="AB29" s="203">
        <f t="shared" si="31"/>
        <v>234</v>
      </c>
      <c r="AC29" s="203">
        <f t="shared" si="30"/>
        <v>2340</v>
      </c>
      <c r="AD29" s="203">
        <f t="shared" si="32"/>
        <v>234</v>
      </c>
      <c r="AE29" s="203">
        <f t="shared" si="11"/>
        <v>2340</v>
      </c>
      <c r="AF29" s="203">
        <f t="shared" si="33"/>
        <v>234</v>
      </c>
      <c r="AG29" s="203">
        <f t="shared" si="12"/>
        <v>2340</v>
      </c>
      <c r="AH29" s="203">
        <f t="shared" si="34"/>
        <v>234</v>
      </c>
      <c r="AI29" s="203">
        <f t="shared" si="13"/>
        <v>2340</v>
      </c>
      <c r="AJ29" s="203">
        <f t="shared" si="35"/>
        <v>234</v>
      </c>
      <c r="AK29" s="203">
        <f t="shared" si="14"/>
        <v>2340</v>
      </c>
      <c r="AL29" s="203">
        <f t="shared" si="36"/>
        <v>234</v>
      </c>
      <c r="AM29" s="203">
        <f t="shared" si="15"/>
        <v>2340</v>
      </c>
      <c r="AN29" s="35">
        <f t="shared" si="16"/>
        <v>0.83571428571428574</v>
      </c>
      <c r="AO29" s="36">
        <f t="shared" si="40"/>
        <v>16380</v>
      </c>
      <c r="AQ29" s="223">
        <f t="shared" si="41"/>
        <v>0.75661451664949164</v>
      </c>
      <c r="AR29" s="38">
        <f t="shared" si="37"/>
        <v>70342.451612903242</v>
      </c>
      <c r="AS29" s="197">
        <f>SUM(AR29-AR28-AT29)</f>
        <v>0</v>
      </c>
      <c r="AT29" s="340"/>
      <c r="AU29" s="549"/>
      <c r="AV29" s="485">
        <f t="shared" si="43"/>
        <v>1.2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228</v>
      </c>
      <c r="C30" s="203">
        <f t="shared" si="18"/>
        <v>4905.677419354839</v>
      </c>
      <c r="D30">
        <f>SUM(B30)</f>
        <v>228</v>
      </c>
      <c r="E30" s="203">
        <f t="shared" si="18"/>
        <v>4905.677419354839</v>
      </c>
      <c r="F30">
        <f>SUM(D30)</f>
        <v>228</v>
      </c>
      <c r="G30" s="203">
        <f t="shared" si="1"/>
        <v>4905.677419354839</v>
      </c>
      <c r="H30" s="203">
        <f>SUM(F30)</f>
        <v>228</v>
      </c>
      <c r="I30" s="203">
        <f t="shared" si="2"/>
        <v>4905.677419354839</v>
      </c>
      <c r="J30" s="203">
        <f>SUM(H30)</f>
        <v>228</v>
      </c>
      <c r="K30" s="203">
        <f t="shared" si="3"/>
        <v>4905.677419354839</v>
      </c>
      <c r="L30" s="203">
        <f>SUM(J30)</f>
        <v>228</v>
      </c>
      <c r="M30" s="203">
        <f t="shared" si="4"/>
        <v>4905.677419354839</v>
      </c>
      <c r="N30" s="203">
        <f>SUM(L30)</f>
        <v>228</v>
      </c>
      <c r="O30" s="203">
        <f t="shared" si="5"/>
        <v>4905.677419354839</v>
      </c>
      <c r="P30" s="203">
        <f>SUM(N30)</f>
        <v>228</v>
      </c>
      <c r="Q30" s="203">
        <f t="shared" si="6"/>
        <v>4905.677419354839</v>
      </c>
      <c r="R30" s="203">
        <f>SUM(P30)</f>
        <v>228</v>
      </c>
      <c r="S30" s="203">
        <f t="shared" si="7"/>
        <v>4905.677419354839</v>
      </c>
      <c r="T30" s="203">
        <f>SUM(R30)</f>
        <v>228</v>
      </c>
      <c r="U30" s="203">
        <f t="shared" si="8"/>
        <v>4905.677419354839</v>
      </c>
      <c r="V30" s="203">
        <f>SUM(T30)</f>
        <v>228</v>
      </c>
      <c r="W30" s="203">
        <f t="shared" si="9"/>
        <v>4905.677419354839</v>
      </c>
      <c r="X30" s="35">
        <f>SUM(Y30/73370)</f>
        <v>0.73548387096774215</v>
      </c>
      <c r="Y30" s="36">
        <f>SUM(C30+E30+G30+I30+K30+M30+O30+Q30+S30+U30+W30)</f>
        <v>53962.451612903242</v>
      </c>
      <c r="Z30" s="203">
        <f>'B5'!C29</f>
        <v>234</v>
      </c>
      <c r="AA30" s="203">
        <f t="shared" si="30"/>
        <v>2340</v>
      </c>
      <c r="AB30" s="203">
        <f>SUM(Z30)</f>
        <v>234</v>
      </c>
      <c r="AC30" s="203">
        <f t="shared" si="30"/>
        <v>2340</v>
      </c>
      <c r="AD30" s="203">
        <f>SUM(AB30)</f>
        <v>234</v>
      </c>
      <c r="AE30" s="203">
        <f t="shared" si="11"/>
        <v>2340</v>
      </c>
      <c r="AF30" s="203">
        <f>SUM(AD30)</f>
        <v>234</v>
      </c>
      <c r="AG30" s="203">
        <f t="shared" si="12"/>
        <v>2340</v>
      </c>
      <c r="AH30" s="203">
        <f>SUM(AF30)</f>
        <v>234</v>
      </c>
      <c r="AI30" s="203">
        <f t="shared" si="13"/>
        <v>2340</v>
      </c>
      <c r="AJ30" s="203">
        <f>SUM(AH30)</f>
        <v>234</v>
      </c>
      <c r="AK30" s="203">
        <f t="shared" si="14"/>
        <v>2340</v>
      </c>
      <c r="AL30" s="203">
        <f>SUM(AJ30)</f>
        <v>234</v>
      </c>
      <c r="AM30" s="203">
        <f t="shared" si="15"/>
        <v>2340</v>
      </c>
      <c r="AN30" s="35">
        <f>SUM(AO30/19600)</f>
        <v>0.83571428571428574</v>
      </c>
      <c r="AO30" s="36">
        <f>SUM(AA30+AC30+AE30+AG30+AI30+AK30+AM30)</f>
        <v>16380</v>
      </c>
      <c r="AQ30" s="223">
        <f t="shared" si="41"/>
        <v>0.75661451664949164</v>
      </c>
      <c r="AR30" s="38">
        <f t="shared" si="37"/>
        <v>70342.451612903242</v>
      </c>
      <c r="AS30" s="197">
        <f>SUM(AR30-AR29-AT30)</f>
        <v>0</v>
      </c>
      <c r="AT30" s="340"/>
      <c r="AU30" s="549"/>
      <c r="AV30" s="485">
        <f t="shared" si="43"/>
        <v>1.2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228</v>
      </c>
      <c r="C31" s="203">
        <f t="shared" si="18"/>
        <v>4905.677419354839</v>
      </c>
      <c r="D31">
        <f>SUM(B31)</f>
        <v>228</v>
      </c>
      <c r="E31" s="203">
        <f t="shared" si="18"/>
        <v>4905.677419354839</v>
      </c>
      <c r="F31">
        <f>SUM(D31)</f>
        <v>228</v>
      </c>
      <c r="G31" s="203">
        <f t="shared" si="1"/>
        <v>4905.677419354839</v>
      </c>
      <c r="H31" s="203">
        <f>SUM(F31)</f>
        <v>228</v>
      </c>
      <c r="I31" s="203">
        <f t="shared" si="2"/>
        <v>4905.677419354839</v>
      </c>
      <c r="J31" s="203">
        <f>SUM(H31)</f>
        <v>228</v>
      </c>
      <c r="K31" s="203">
        <f t="shared" si="3"/>
        <v>4905.677419354839</v>
      </c>
      <c r="L31" s="203">
        <f>SUM(J31)</f>
        <v>228</v>
      </c>
      <c r="M31" s="203">
        <f t="shared" si="4"/>
        <v>4905.677419354839</v>
      </c>
      <c r="N31" s="203">
        <f>SUM(L31)</f>
        <v>228</v>
      </c>
      <c r="O31" s="203">
        <f t="shared" si="5"/>
        <v>4905.677419354839</v>
      </c>
      <c r="P31" s="203">
        <f>SUM(N31)</f>
        <v>228</v>
      </c>
      <c r="Q31" s="203">
        <f t="shared" si="6"/>
        <v>4905.677419354839</v>
      </c>
      <c r="R31" s="203">
        <f>SUM(P31)</f>
        <v>228</v>
      </c>
      <c r="S31" s="203">
        <f t="shared" si="7"/>
        <v>4905.677419354839</v>
      </c>
      <c r="T31" s="203">
        <f>SUM(R31)</f>
        <v>228</v>
      </c>
      <c r="U31" s="203">
        <f t="shared" si="8"/>
        <v>4905.677419354839</v>
      </c>
      <c r="V31" s="203">
        <f>SUM(T31)</f>
        <v>228</v>
      </c>
      <c r="W31" s="203">
        <f t="shared" si="9"/>
        <v>4905.677419354839</v>
      </c>
      <c r="X31" s="35">
        <f>SUM(Y31/73370)</f>
        <v>0.73548387096774215</v>
      </c>
      <c r="Y31" s="36">
        <f>SUM(C31+E31+G31+I31+K31+M31+O31+Q31+S31+U31+W31)</f>
        <v>53962.451612903242</v>
      </c>
      <c r="Z31" s="203">
        <f>'B5'!C30</f>
        <v>234</v>
      </c>
      <c r="AA31" s="203">
        <f t="shared" si="30"/>
        <v>2340</v>
      </c>
      <c r="AB31" s="203">
        <f>SUM(Z31)</f>
        <v>234</v>
      </c>
      <c r="AC31" s="203">
        <f t="shared" si="30"/>
        <v>2340</v>
      </c>
      <c r="AD31" s="203">
        <f>SUM(AB31)</f>
        <v>234</v>
      </c>
      <c r="AE31" s="203">
        <f t="shared" si="11"/>
        <v>2340</v>
      </c>
      <c r="AF31" s="203">
        <f>SUM(AD31)</f>
        <v>234</v>
      </c>
      <c r="AG31" s="203">
        <f t="shared" si="12"/>
        <v>2340</v>
      </c>
      <c r="AH31" s="203">
        <f>SUM(AF31)</f>
        <v>234</v>
      </c>
      <c r="AI31" s="203">
        <f t="shared" si="13"/>
        <v>2340</v>
      </c>
      <c r="AJ31" s="203">
        <f>SUM(AH31)</f>
        <v>234</v>
      </c>
      <c r="AK31" s="203">
        <f t="shared" si="14"/>
        <v>2340</v>
      </c>
      <c r="AL31" s="203">
        <f>SUM(AJ31)</f>
        <v>234</v>
      </c>
      <c r="AM31" s="203">
        <f t="shared" si="15"/>
        <v>2340</v>
      </c>
      <c r="AN31" s="35">
        <f>SUM(AO31/19600)</f>
        <v>0.83571428571428574</v>
      </c>
      <c r="AO31" s="36">
        <f>SUM(AA31+AC31+AE31+AG31+AI31+AK31+AM31)</f>
        <v>16380</v>
      </c>
      <c r="AQ31" s="223">
        <f t="shared" si="41"/>
        <v>0.75661451664949164</v>
      </c>
      <c r="AR31" s="38">
        <f t="shared" si="37"/>
        <v>70342.451612903242</v>
      </c>
      <c r="AS31" s="197">
        <f t="shared" si="47"/>
        <v>0</v>
      </c>
      <c r="AT31" s="340"/>
      <c r="AU31" s="571"/>
      <c r="AV31" s="485">
        <f t="shared" si="43"/>
        <v>1.2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228</v>
      </c>
      <c r="C32" s="203">
        <f t="shared" si="18"/>
        <v>4905.677419354839</v>
      </c>
      <c r="D32">
        <f>SUM(B32)</f>
        <v>228</v>
      </c>
      <c r="E32" s="203">
        <f t="shared" si="18"/>
        <v>4905.677419354839</v>
      </c>
      <c r="F32">
        <f>SUM(D32)</f>
        <v>228</v>
      </c>
      <c r="G32" s="203">
        <f t="shared" si="1"/>
        <v>4905.677419354839</v>
      </c>
      <c r="H32" s="203">
        <f>SUM(F32)</f>
        <v>228</v>
      </c>
      <c r="I32" s="203">
        <f t="shared" si="2"/>
        <v>4905.677419354839</v>
      </c>
      <c r="J32" s="203">
        <f>SUM(H32)</f>
        <v>228</v>
      </c>
      <c r="K32" s="203">
        <f t="shared" si="3"/>
        <v>4905.677419354839</v>
      </c>
      <c r="L32" s="203">
        <f>SUM(J32)</f>
        <v>228</v>
      </c>
      <c r="M32" s="203">
        <f t="shared" si="4"/>
        <v>4905.677419354839</v>
      </c>
      <c r="N32" s="203">
        <f>SUM(L32)</f>
        <v>228</v>
      </c>
      <c r="O32" s="203">
        <f t="shared" si="5"/>
        <v>4905.677419354839</v>
      </c>
      <c r="P32" s="203">
        <f>SUM(N32)</f>
        <v>228</v>
      </c>
      <c r="Q32" s="203">
        <f t="shared" si="6"/>
        <v>4905.677419354839</v>
      </c>
      <c r="R32" s="203">
        <f>SUM(P32)</f>
        <v>228</v>
      </c>
      <c r="S32" s="203">
        <f t="shared" si="7"/>
        <v>4905.677419354839</v>
      </c>
      <c r="T32" s="203">
        <f>SUM(R32)</f>
        <v>228</v>
      </c>
      <c r="U32" s="203">
        <f t="shared" si="8"/>
        <v>4905.677419354839</v>
      </c>
      <c r="V32" s="203">
        <f>SUM(T32)</f>
        <v>228</v>
      </c>
      <c r="W32" s="203">
        <f t="shared" si="9"/>
        <v>4905.677419354839</v>
      </c>
      <c r="X32" s="35">
        <f>SUM(Y32/73370)</f>
        <v>0.73548387096774215</v>
      </c>
      <c r="Y32" s="36">
        <f>SUM(C32+E32+G32+I32+K32+M32+O32+Q32+S32+U32+W32)</f>
        <v>53962.451612903242</v>
      </c>
      <c r="Z32" s="203">
        <f>'B5'!C31</f>
        <v>234</v>
      </c>
      <c r="AA32" s="203">
        <f t="shared" si="30"/>
        <v>2340</v>
      </c>
      <c r="AB32" s="203">
        <f>SUM(Z32)</f>
        <v>234</v>
      </c>
      <c r="AC32" s="203">
        <f t="shared" si="30"/>
        <v>2340</v>
      </c>
      <c r="AD32" s="203">
        <f>SUM(AB32)</f>
        <v>234</v>
      </c>
      <c r="AE32" s="203">
        <f t="shared" si="11"/>
        <v>2340</v>
      </c>
      <c r="AF32" s="203">
        <f>SUM(AD32)</f>
        <v>234</v>
      </c>
      <c r="AG32" s="203">
        <f t="shared" si="12"/>
        <v>2340</v>
      </c>
      <c r="AH32" s="203">
        <f>SUM(AF32)</f>
        <v>234</v>
      </c>
      <c r="AI32" s="203">
        <f t="shared" si="13"/>
        <v>2340</v>
      </c>
      <c r="AJ32" s="203">
        <f>SUM(AH32)</f>
        <v>234</v>
      </c>
      <c r="AK32" s="203">
        <f t="shared" si="14"/>
        <v>2340</v>
      </c>
      <c r="AL32" s="203">
        <f>SUM(AJ32)</f>
        <v>234</v>
      </c>
      <c r="AM32" s="203">
        <f t="shared" si="15"/>
        <v>2340</v>
      </c>
      <c r="AN32" s="35">
        <f>SUM(AO32/19600)</f>
        <v>0.83571428571428574</v>
      </c>
      <c r="AO32" s="36">
        <f>SUM(AA32+AC32+AE32+AG32+AI32+AK32+AM32)</f>
        <v>16380</v>
      </c>
      <c r="AQ32" s="223">
        <f t="shared" si="41"/>
        <v>0.75661451664949164</v>
      </c>
      <c r="AR32" s="38">
        <f t="shared" si="37"/>
        <v>70342.451612903242</v>
      </c>
      <c r="AS32" s="197">
        <f t="shared" si="47"/>
        <v>0</v>
      </c>
      <c r="AT32" s="340"/>
      <c r="AU32" s="548"/>
      <c r="AV32" s="485">
        <f>IF(AT32&gt;0,AU32,AV31)</f>
        <v>1.2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228</v>
      </c>
      <c r="C33" s="203">
        <f t="shared" si="18"/>
        <v>4905.677419354839</v>
      </c>
      <c r="D33">
        <f>SUM(B33)</f>
        <v>228</v>
      </c>
      <c r="E33" s="203">
        <f t="shared" si="18"/>
        <v>4905.677419354839</v>
      </c>
      <c r="F33">
        <f>SUM(D33)</f>
        <v>228</v>
      </c>
      <c r="G33" s="203">
        <f t="shared" si="1"/>
        <v>4905.677419354839</v>
      </c>
      <c r="H33" s="203">
        <f>SUM(F33)</f>
        <v>228</v>
      </c>
      <c r="I33" s="203">
        <f t="shared" si="2"/>
        <v>4905.677419354839</v>
      </c>
      <c r="J33" s="203">
        <f>SUM(H33)</f>
        <v>228</v>
      </c>
      <c r="K33" s="203">
        <f t="shared" si="3"/>
        <v>4905.677419354839</v>
      </c>
      <c r="L33" s="203">
        <f>SUM(J33)</f>
        <v>228</v>
      </c>
      <c r="M33" s="203">
        <f t="shared" si="4"/>
        <v>4905.677419354839</v>
      </c>
      <c r="N33" s="203">
        <f>SUM(L33)</f>
        <v>228</v>
      </c>
      <c r="O33" s="203">
        <f t="shared" si="5"/>
        <v>4905.677419354839</v>
      </c>
      <c r="P33" s="203">
        <f>SUM(N33)</f>
        <v>228</v>
      </c>
      <c r="Q33" s="203">
        <f t="shared" si="6"/>
        <v>4905.677419354839</v>
      </c>
      <c r="R33" s="203">
        <f>SUM(P33)</f>
        <v>228</v>
      </c>
      <c r="S33" s="203">
        <f t="shared" si="7"/>
        <v>4905.677419354839</v>
      </c>
      <c r="T33" s="203">
        <f>SUM(R33)</f>
        <v>228</v>
      </c>
      <c r="U33" s="203">
        <f t="shared" si="8"/>
        <v>4905.677419354839</v>
      </c>
      <c r="V33" s="203">
        <f>SUM(T33)</f>
        <v>228</v>
      </c>
      <c r="W33" s="203">
        <f t="shared" si="9"/>
        <v>4905.677419354839</v>
      </c>
      <c r="X33" s="35">
        <f>SUM(Y33/73370)</f>
        <v>0.73548387096774215</v>
      </c>
      <c r="Y33" s="36">
        <f>SUM(C33+E33+G33+I33+K33+M33+O33+Q33+S33+U33+W33)</f>
        <v>53962.451612903242</v>
      </c>
      <c r="Z33" s="203">
        <f>'B5'!C32</f>
        <v>234</v>
      </c>
      <c r="AA33" s="203">
        <f t="shared" si="30"/>
        <v>2340</v>
      </c>
      <c r="AB33" s="203">
        <f>SUM(Z33)</f>
        <v>234</v>
      </c>
      <c r="AC33" s="203">
        <f t="shared" si="30"/>
        <v>2340</v>
      </c>
      <c r="AD33" s="203">
        <f>SUM(AB33)</f>
        <v>234</v>
      </c>
      <c r="AE33" s="203">
        <f t="shared" si="11"/>
        <v>2340</v>
      </c>
      <c r="AF33" s="203">
        <f>SUM(AD33)</f>
        <v>234</v>
      </c>
      <c r="AG33" s="203">
        <f t="shared" si="12"/>
        <v>2340</v>
      </c>
      <c r="AH33" s="203">
        <f>SUM(AF33)</f>
        <v>234</v>
      </c>
      <c r="AI33" s="203">
        <f t="shared" si="13"/>
        <v>2340</v>
      </c>
      <c r="AJ33" s="203">
        <f>SUM(AH33)</f>
        <v>234</v>
      </c>
      <c r="AK33" s="203">
        <f t="shared" si="14"/>
        <v>2340</v>
      </c>
      <c r="AL33" s="203">
        <f>SUM(AJ33)</f>
        <v>234</v>
      </c>
      <c r="AM33" s="203">
        <f t="shared" si="15"/>
        <v>2340</v>
      </c>
      <c r="AN33" s="35">
        <f>SUM(AO33/19600)</f>
        <v>0.83571428571428574</v>
      </c>
      <c r="AO33" s="36">
        <f>SUM(AA33+AC33+AE33+AG33+AI33+AK33+AM33)</f>
        <v>16380</v>
      </c>
      <c r="AQ33" s="223">
        <f t="shared" si="41"/>
        <v>0.75661451664949164</v>
      </c>
      <c r="AR33" s="38">
        <f t="shared" si="37"/>
        <v>70342.451612903242</v>
      </c>
      <c r="AS33" s="197">
        <f>SUM(AR33-AR32-AT33)</f>
        <v>0</v>
      </c>
      <c r="AT33" s="340"/>
      <c r="AU33" s="548"/>
      <c r="AV33" s="485">
        <f>IF(AT33&gt;0,AU33,AV32)</f>
        <v>1.2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228</v>
      </c>
      <c r="C34" s="203">
        <f t="shared" ref="C34:C36" si="48">B34*$B$4</f>
        <v>4905.677419354839</v>
      </c>
      <c r="D34">
        <f t="shared" ref="D34:D36" si="49">SUM(B34)</f>
        <v>228</v>
      </c>
      <c r="E34" s="203">
        <f t="shared" ref="E34:E36" si="50">D34*$B$4</f>
        <v>4905.677419354839</v>
      </c>
      <c r="F34">
        <f t="shared" ref="F34:F36" si="51">SUM(D34)</f>
        <v>228</v>
      </c>
      <c r="G34" s="203">
        <f t="shared" ref="G34:G36" si="52">F34*$B$4</f>
        <v>4905.677419354839</v>
      </c>
      <c r="H34" s="203">
        <f t="shared" ref="H34:H36" si="53">SUM(F34)</f>
        <v>228</v>
      </c>
      <c r="I34" s="203">
        <f t="shared" ref="I34:I36" si="54">H34*$B$4</f>
        <v>4905.677419354839</v>
      </c>
      <c r="J34" s="203">
        <f t="shared" ref="J34:J36" si="55">SUM(H34)</f>
        <v>228</v>
      </c>
      <c r="K34" s="203">
        <f t="shared" ref="K34:K36" si="56">J34*$B$4</f>
        <v>4905.677419354839</v>
      </c>
      <c r="L34" s="203">
        <f t="shared" ref="L34:L36" si="57">SUM(J34)</f>
        <v>228</v>
      </c>
      <c r="M34" s="203">
        <f t="shared" ref="M34:M36" si="58">L34*$B$4</f>
        <v>4905.677419354839</v>
      </c>
      <c r="N34" s="203">
        <f t="shared" ref="N34:N36" si="59">SUM(L34)</f>
        <v>228</v>
      </c>
      <c r="O34" s="203">
        <f t="shared" ref="O34:O36" si="60">N34*$B$4</f>
        <v>4905.677419354839</v>
      </c>
      <c r="P34" s="203">
        <f t="shared" ref="P34:P36" si="61">SUM(N34)</f>
        <v>228</v>
      </c>
      <c r="Q34" s="203">
        <f t="shared" ref="Q34:Q36" si="62">P34*$B$4</f>
        <v>4905.677419354839</v>
      </c>
      <c r="R34" s="203">
        <f t="shared" ref="R34:R36" si="63">SUM(P34)</f>
        <v>228</v>
      </c>
      <c r="S34" s="203">
        <f t="shared" ref="S34:S36" si="64">R34*$B$4</f>
        <v>4905.677419354839</v>
      </c>
      <c r="T34" s="203">
        <f t="shared" ref="T34:T36" si="65">SUM(R34)</f>
        <v>228</v>
      </c>
      <c r="U34" s="203">
        <f t="shared" ref="U34:U36" si="66">T34*$B$4</f>
        <v>4905.677419354839</v>
      </c>
      <c r="V34" s="203">
        <f t="shared" ref="V34:V36" si="67">SUM(T34)</f>
        <v>228</v>
      </c>
      <c r="W34" s="203">
        <f t="shared" ref="W34:W36" si="68">V34*$B$4</f>
        <v>4905.677419354839</v>
      </c>
      <c r="X34" s="35">
        <f t="shared" ref="X34:X36" si="69">SUM(Y34/73370)</f>
        <v>0.73548387096774215</v>
      </c>
      <c r="Y34" s="36">
        <f t="shared" ref="Y34:Y36" si="70">SUM(C34+E34+G34+I34+K34+M34+O34+Q34+S34+U34+W34)</f>
        <v>53962.451612903242</v>
      </c>
      <c r="Z34" s="203">
        <f>'B5'!C33</f>
        <v>234</v>
      </c>
      <c r="AA34" s="203">
        <f t="shared" ref="AA34:AA36" si="71">SUM(Z34*$Z$4)</f>
        <v>2340</v>
      </c>
      <c r="AB34" s="203">
        <f t="shared" ref="AB34:AB36" si="72">SUM(Z34)</f>
        <v>234</v>
      </c>
      <c r="AC34" s="203">
        <f t="shared" ref="AC34:AC36" si="73">SUM(AB34*$Z$4)</f>
        <v>2340</v>
      </c>
      <c r="AD34" s="203">
        <f t="shared" ref="AD34:AD36" si="74">SUM(AB34)</f>
        <v>234</v>
      </c>
      <c r="AE34" s="203">
        <f t="shared" ref="AE34:AE36" si="75">SUM(AD34*$Z$4)</f>
        <v>2340</v>
      </c>
      <c r="AF34" s="203">
        <f t="shared" ref="AF34:AF36" si="76">SUM(AD34)</f>
        <v>234</v>
      </c>
      <c r="AG34" s="203">
        <f t="shared" ref="AG34:AG36" si="77">SUM(AF34*$Z$4)</f>
        <v>2340</v>
      </c>
      <c r="AH34" s="203">
        <f t="shared" ref="AH34:AH36" si="78">SUM(AF34)</f>
        <v>234</v>
      </c>
      <c r="AI34" s="203">
        <f t="shared" ref="AI34:AI36" si="79">SUM(AH34*$Z$4)</f>
        <v>2340</v>
      </c>
      <c r="AJ34" s="203">
        <f t="shared" ref="AJ34:AJ36" si="80">SUM(AH34)</f>
        <v>234</v>
      </c>
      <c r="AK34" s="203">
        <f t="shared" ref="AK34:AK36" si="81">SUM(AJ34*$Z$4)</f>
        <v>2340</v>
      </c>
      <c r="AL34" s="203">
        <f t="shared" ref="AL34:AL36" si="82">SUM(AJ34)</f>
        <v>234</v>
      </c>
      <c r="AM34" s="203">
        <f t="shared" ref="AM34:AM36" si="83">SUM(AL34*$Z$4)</f>
        <v>2340</v>
      </c>
      <c r="AN34" s="35">
        <f t="shared" ref="AN34:AN36" si="84">SUM(AO34/19600)</f>
        <v>0.83571428571428574</v>
      </c>
      <c r="AO34" s="36">
        <f t="shared" ref="AO34:AO36" si="85">SUM(AA34+AC34+AE34+AG34+AI34+AK34+AM34)</f>
        <v>16380</v>
      </c>
      <c r="AQ34" s="223">
        <f t="shared" ref="AQ34:AQ36" si="86">SUM(AR34/92970)</f>
        <v>0.75661451664949164</v>
      </c>
      <c r="AR34" s="38">
        <f t="shared" ref="AR34:AR36" si="87">Y34+AO34</f>
        <v>70342.451612903242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1.2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228</v>
      </c>
      <c r="C35" s="203">
        <f t="shared" si="48"/>
        <v>4905.677419354839</v>
      </c>
      <c r="D35">
        <f t="shared" si="49"/>
        <v>228</v>
      </c>
      <c r="E35" s="203">
        <f t="shared" si="50"/>
        <v>4905.677419354839</v>
      </c>
      <c r="F35">
        <f t="shared" si="51"/>
        <v>228</v>
      </c>
      <c r="G35" s="203">
        <f t="shared" si="52"/>
        <v>4905.677419354839</v>
      </c>
      <c r="H35" s="203">
        <f t="shared" si="53"/>
        <v>228</v>
      </c>
      <c r="I35" s="203">
        <f t="shared" si="54"/>
        <v>4905.677419354839</v>
      </c>
      <c r="J35" s="203">
        <f t="shared" si="55"/>
        <v>228</v>
      </c>
      <c r="K35" s="203">
        <f t="shared" si="56"/>
        <v>4905.677419354839</v>
      </c>
      <c r="L35" s="203">
        <f t="shared" si="57"/>
        <v>228</v>
      </c>
      <c r="M35" s="203">
        <f t="shared" si="58"/>
        <v>4905.677419354839</v>
      </c>
      <c r="N35" s="203">
        <f t="shared" si="59"/>
        <v>228</v>
      </c>
      <c r="O35" s="203">
        <f t="shared" si="60"/>
        <v>4905.677419354839</v>
      </c>
      <c r="P35" s="203">
        <f t="shared" si="61"/>
        <v>228</v>
      </c>
      <c r="Q35" s="203">
        <f t="shared" si="62"/>
        <v>4905.677419354839</v>
      </c>
      <c r="R35" s="203">
        <f t="shared" si="63"/>
        <v>228</v>
      </c>
      <c r="S35" s="203">
        <f t="shared" si="64"/>
        <v>4905.677419354839</v>
      </c>
      <c r="T35" s="203">
        <f t="shared" si="65"/>
        <v>228</v>
      </c>
      <c r="U35" s="203">
        <f t="shared" si="66"/>
        <v>4905.677419354839</v>
      </c>
      <c r="V35" s="203">
        <f t="shared" si="67"/>
        <v>228</v>
      </c>
      <c r="W35" s="203">
        <f t="shared" si="68"/>
        <v>4905.677419354839</v>
      </c>
      <c r="X35" s="35">
        <f t="shared" si="69"/>
        <v>0.73548387096774215</v>
      </c>
      <c r="Y35" s="36">
        <f t="shared" si="70"/>
        <v>53962.451612903242</v>
      </c>
      <c r="Z35" s="203">
        <f>'B5'!C34</f>
        <v>234</v>
      </c>
      <c r="AA35" s="203">
        <f t="shared" si="71"/>
        <v>2340</v>
      </c>
      <c r="AB35" s="203">
        <f t="shared" si="72"/>
        <v>234</v>
      </c>
      <c r="AC35" s="203">
        <f t="shared" si="73"/>
        <v>2340</v>
      </c>
      <c r="AD35" s="203">
        <f t="shared" si="74"/>
        <v>234</v>
      </c>
      <c r="AE35" s="203">
        <f t="shared" si="75"/>
        <v>2340</v>
      </c>
      <c r="AF35" s="203">
        <f t="shared" si="76"/>
        <v>234</v>
      </c>
      <c r="AG35" s="203">
        <f t="shared" si="77"/>
        <v>2340</v>
      </c>
      <c r="AH35" s="203">
        <f t="shared" si="78"/>
        <v>234</v>
      </c>
      <c r="AI35" s="203">
        <f t="shared" si="79"/>
        <v>2340</v>
      </c>
      <c r="AJ35" s="203">
        <f t="shared" si="80"/>
        <v>234</v>
      </c>
      <c r="AK35" s="203">
        <f t="shared" si="81"/>
        <v>2340</v>
      </c>
      <c r="AL35" s="203">
        <f t="shared" si="82"/>
        <v>234</v>
      </c>
      <c r="AM35" s="203">
        <f t="shared" si="83"/>
        <v>2340</v>
      </c>
      <c r="AN35" s="35">
        <f t="shared" si="84"/>
        <v>0.83571428571428574</v>
      </c>
      <c r="AO35" s="36">
        <f t="shared" si="85"/>
        <v>16380</v>
      </c>
      <c r="AQ35" s="223">
        <f t="shared" si="86"/>
        <v>0.75661451664949164</v>
      </c>
      <c r="AR35" s="38">
        <f t="shared" si="87"/>
        <v>70342.451612903242</v>
      </c>
      <c r="AS35" s="197">
        <f t="shared" si="88"/>
        <v>0</v>
      </c>
      <c r="AT35" s="340"/>
      <c r="AU35" s="548"/>
      <c r="AV35" s="485">
        <f t="shared" si="89"/>
        <v>1.2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228</v>
      </c>
      <c r="C36" s="203">
        <f t="shared" si="48"/>
        <v>4905.677419354839</v>
      </c>
      <c r="D36">
        <f t="shared" si="49"/>
        <v>228</v>
      </c>
      <c r="E36" s="203">
        <f t="shared" si="50"/>
        <v>4905.677419354839</v>
      </c>
      <c r="F36">
        <f t="shared" si="51"/>
        <v>228</v>
      </c>
      <c r="G36" s="203">
        <f t="shared" si="52"/>
        <v>4905.677419354839</v>
      </c>
      <c r="H36" s="203">
        <f t="shared" si="53"/>
        <v>228</v>
      </c>
      <c r="I36" s="203">
        <f t="shared" si="54"/>
        <v>4905.677419354839</v>
      </c>
      <c r="J36" s="203">
        <f t="shared" si="55"/>
        <v>228</v>
      </c>
      <c r="K36" s="203">
        <f t="shared" si="56"/>
        <v>4905.677419354839</v>
      </c>
      <c r="L36" s="203">
        <f t="shared" si="57"/>
        <v>228</v>
      </c>
      <c r="M36" s="203">
        <f t="shared" si="58"/>
        <v>4905.677419354839</v>
      </c>
      <c r="N36" s="203">
        <f t="shared" si="59"/>
        <v>228</v>
      </c>
      <c r="O36" s="203">
        <f t="shared" si="60"/>
        <v>4905.677419354839</v>
      </c>
      <c r="P36" s="203">
        <f t="shared" si="61"/>
        <v>228</v>
      </c>
      <c r="Q36" s="203">
        <f t="shared" si="62"/>
        <v>4905.677419354839</v>
      </c>
      <c r="R36" s="203">
        <f t="shared" si="63"/>
        <v>228</v>
      </c>
      <c r="S36" s="203">
        <f t="shared" si="64"/>
        <v>4905.677419354839</v>
      </c>
      <c r="T36" s="203">
        <f t="shared" si="65"/>
        <v>228</v>
      </c>
      <c r="U36" s="203">
        <f t="shared" si="66"/>
        <v>4905.677419354839</v>
      </c>
      <c r="V36" s="203">
        <f t="shared" si="67"/>
        <v>228</v>
      </c>
      <c r="W36" s="203">
        <f t="shared" si="68"/>
        <v>4905.677419354839</v>
      </c>
      <c r="X36" s="35">
        <f t="shared" si="69"/>
        <v>0.73548387096774215</v>
      </c>
      <c r="Y36" s="36">
        <f t="shared" si="70"/>
        <v>53962.451612903242</v>
      </c>
      <c r="Z36" s="203">
        <f>'B5'!C35</f>
        <v>234</v>
      </c>
      <c r="AA36" s="203">
        <f t="shared" si="71"/>
        <v>2340</v>
      </c>
      <c r="AB36" s="203">
        <f t="shared" si="72"/>
        <v>234</v>
      </c>
      <c r="AC36" s="203">
        <f t="shared" si="73"/>
        <v>2340</v>
      </c>
      <c r="AD36" s="203">
        <f t="shared" si="74"/>
        <v>234</v>
      </c>
      <c r="AE36" s="203">
        <f t="shared" si="75"/>
        <v>2340</v>
      </c>
      <c r="AF36" s="203">
        <f t="shared" si="76"/>
        <v>234</v>
      </c>
      <c r="AG36" s="203">
        <f t="shared" si="77"/>
        <v>2340</v>
      </c>
      <c r="AH36" s="203">
        <f t="shared" si="78"/>
        <v>234</v>
      </c>
      <c r="AI36" s="203">
        <f t="shared" si="79"/>
        <v>2340</v>
      </c>
      <c r="AJ36" s="203">
        <f t="shared" si="80"/>
        <v>234</v>
      </c>
      <c r="AK36" s="203">
        <f t="shared" si="81"/>
        <v>2340</v>
      </c>
      <c r="AL36" s="203">
        <f t="shared" si="82"/>
        <v>234</v>
      </c>
      <c r="AM36" s="203">
        <f t="shared" si="83"/>
        <v>2340</v>
      </c>
      <c r="AN36" s="35">
        <f t="shared" si="84"/>
        <v>0.83571428571428574</v>
      </c>
      <c r="AO36" s="36">
        <f t="shared" si="85"/>
        <v>16380</v>
      </c>
      <c r="AQ36" s="223">
        <f t="shared" si="86"/>
        <v>0.75661451664949164</v>
      </c>
      <c r="AR36" s="38">
        <f t="shared" si="87"/>
        <v>70342.451612903242</v>
      </c>
      <c r="AS36" s="197">
        <f t="shared" si="88"/>
        <v>0</v>
      </c>
      <c r="AT36" s="340"/>
      <c r="AU36" s="548"/>
      <c r="AV36" s="485">
        <f t="shared" si="89"/>
        <v>1.2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36440</v>
      </c>
      <c r="AU37" s="544">
        <f>SUM(AU6:AU36)/AS37</f>
        <v>1.0190000000000001</v>
      </c>
      <c r="AX37" s="203">
        <f>SUM(AX6:AX36)</f>
        <v>-13033.999999999978</v>
      </c>
      <c r="AY37" s="203">
        <f>SUM(AY6:AY36)</f>
        <v>-16445.999999999978</v>
      </c>
    </row>
    <row r="38" spans="1:63">
      <c r="AS38" s="206"/>
      <c r="AT38" s="82">
        <f>+AT37*AU37</f>
        <v>37132.360000000008</v>
      </c>
    </row>
    <row r="40" spans="1:63">
      <c r="AS40" s="165">
        <f>SUM(AS6:AS36)/'EDl log'!A35</f>
        <v>-2055.7499999999973</v>
      </c>
      <c r="AT40" s="203"/>
    </row>
    <row r="41" spans="1:63">
      <c r="AX41">
        <v>43309</v>
      </c>
    </row>
    <row r="42" spans="1:63">
      <c r="AR42" s="203">
        <f>AR36-22000</f>
        <v>48342.451612903242</v>
      </c>
      <c r="AU42" s="203"/>
      <c r="AX42">
        <f>AX37/AX41</f>
        <v>-0.30095361241312379</v>
      </c>
    </row>
    <row r="43" spans="1:63">
      <c r="AR43">
        <f>AR42/5500</f>
        <v>8.7895366568914977</v>
      </c>
    </row>
    <row r="44" spans="1:63">
      <c r="AR44">
        <f>AR43*2</f>
        <v>17.579073313782995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G13" sqref="G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1451.8449032257986</v>
      </c>
      <c r="R4" s="285">
        <f>SUM(P4:Q4)</f>
        <v>1614.2260512491227</v>
      </c>
      <c r="S4" s="287">
        <f>SUM(ELEC!N4)</f>
        <v>6721</v>
      </c>
      <c r="T4" s="321">
        <f>IF(S4&gt;0,R4/S4,0)</f>
        <v>0.24017646946125915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2379.463612903216</v>
      </c>
      <c r="R5" s="285">
        <f t="shared" ref="R5:R30" si="13">SUM(P5:Q5)</f>
        <v>2534.2666514738039</v>
      </c>
      <c r="S5" s="287">
        <f>SUM(ELEC!N5)</f>
        <v>5888</v>
      </c>
      <c r="T5" s="321">
        <f>IF(S5&gt;0,R5/S5,0)</f>
        <v>0.43041213510084986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2085.3013225806626</v>
      </c>
      <c r="R6" s="285">
        <f t="shared" si="13"/>
        <v>2277.6871140534063</v>
      </c>
      <c r="S6" s="287">
        <f>SUM(ELEC!N6)</f>
        <v>5727</v>
      </c>
      <c r="T6" s="321">
        <f t="shared" ref="T6:T30" si="16">IF(S6&gt;0,R6/S6,0)</f>
        <v>0.39771033945406081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1962.0023225806478</v>
      </c>
      <c r="R9" s="285">
        <f>SUM(P9:Q9)</f>
        <v>2134.3071853635079</v>
      </c>
      <c r="S9" s="287">
        <f>SUM(ELEC!N9)</f>
        <v>6030</v>
      </c>
      <c r="T9" s="321">
        <f t="shared" si="16"/>
        <v>0.3539481236092053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1723.1947419354747</v>
      </c>
      <c r="R10" s="285">
        <f t="shared" si="13"/>
        <v>1891.2223244529946</v>
      </c>
      <c r="S10" s="287">
        <f>SUM(ELEC!N10)</f>
        <v>4353</v>
      </c>
      <c r="T10" s="321">
        <f t="shared" si="16"/>
        <v>0.43446412231862958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1550.9837419354897</v>
      </c>
      <c r="R11" s="285">
        <f t="shared" si="13"/>
        <v>1726.1436627614673</v>
      </c>
      <c r="S11" s="287">
        <f>SUM(ELEC!N11)</f>
        <v>5098</v>
      </c>
      <c r="T11" s="321">
        <f t="shared" si="16"/>
        <v>0.33859232302108028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537.73616129032382</v>
      </c>
      <c r="R12" s="285">
        <f t="shared" si="13"/>
        <v>693.50503734018207</v>
      </c>
      <c r="S12" s="287">
        <f>SUM(ELEC!N12)</f>
        <v>4939</v>
      </c>
      <c r="T12" s="321">
        <f t="shared" si="16"/>
        <v>0.14041405898768619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-1184.0779999999927</v>
      </c>
      <c r="R13" s="285">
        <f t="shared" si="13"/>
        <v>-1015.0845800032025</v>
      </c>
      <c r="S13" s="287">
        <f>SUM(ELEC!N13)</f>
        <v>5500</v>
      </c>
      <c r="T13" s="321">
        <f>IF(S13&gt;0,R13/S13,0)</f>
        <v>-0.18456083272785501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1825.7850322580575</v>
      </c>
      <c r="R14" s="285">
        <f>SUM(P14:Q14)</f>
        <v>1980.5880708286454</v>
      </c>
      <c r="S14" s="287">
        <f>SUM(ELEC!N14)</f>
        <v>5222</v>
      </c>
      <c r="T14" s="321">
        <f>IF(S14&gt;0,R14/S14,0)</f>
        <v>0.37927768495378122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949.4121612903017</v>
      </c>
      <c r="R16" s="285">
        <f>SUM(P16:Q16)</f>
        <v>1122.5448847696789</v>
      </c>
      <c r="S16" s="287">
        <f>SUM(ELEC!N16)</f>
        <v>3565</v>
      </c>
      <c r="T16" s="321">
        <f>IF(S16&gt;0,R16/S16,0)</f>
        <v>0.31487935056652983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1113639</v>
      </c>
      <c r="C18" s="254">
        <f>SUM(B18-B17)</f>
        <v>0</v>
      </c>
      <c r="D18" s="295">
        <f>SUM(G18+I18+K18)</f>
        <v>0</v>
      </c>
      <c r="E18" s="295">
        <f t="shared" si="15"/>
        <v>1113639</v>
      </c>
      <c r="F18" s="604">
        <f t="shared" si="8"/>
        <v>161138</v>
      </c>
      <c r="G18" s="160">
        <f t="shared" si="1"/>
        <v>0</v>
      </c>
      <c r="H18" s="604">
        <f t="shared" si="9"/>
        <v>551269</v>
      </c>
      <c r="I18" s="161">
        <f t="shared" si="2"/>
        <v>0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1113639</v>
      </c>
      <c r="C19" s="254">
        <f t="shared" si="0"/>
        <v>0</v>
      </c>
      <c r="D19" s="295">
        <f t="shared" si="14"/>
        <v>0</v>
      </c>
      <c r="E19" s="295">
        <f t="shared" si="15"/>
        <v>1113639</v>
      </c>
      <c r="F19" s="604">
        <f t="shared" si="8"/>
        <v>161138</v>
      </c>
      <c r="G19" s="160">
        <f t="shared" si="1"/>
        <v>0</v>
      </c>
      <c r="H19" s="604">
        <f t="shared" si="9"/>
        <v>551269</v>
      </c>
      <c r="I19" s="161">
        <f t="shared" si="2"/>
        <v>0</v>
      </c>
      <c r="J19" s="604">
        <f t="shared" si="10"/>
        <v>401232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1113639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551269</v>
      </c>
      <c r="I20" s="161">
        <f t="shared" si="2"/>
        <v>0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1113639</v>
      </c>
      <c r="C21" s="254">
        <f t="shared" si="0"/>
        <v>0</v>
      </c>
      <c r="D21" s="295">
        <f t="shared" si="14"/>
        <v>0</v>
      </c>
      <c r="E21" s="295">
        <f t="shared" si="15"/>
        <v>1113639</v>
      </c>
      <c r="F21" s="604">
        <f t="shared" si="8"/>
        <v>161138</v>
      </c>
      <c r="G21" s="160">
        <f t="shared" si="1"/>
        <v>0</v>
      </c>
      <c r="H21" s="604">
        <f t="shared" si="9"/>
        <v>551269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1113639</v>
      </c>
      <c r="C22" s="254">
        <f t="shared" si="0"/>
        <v>0</v>
      </c>
      <c r="D22" s="295">
        <f t="shared" si="14"/>
        <v>0</v>
      </c>
      <c r="E22" s="295">
        <f t="shared" si="15"/>
        <v>1113639</v>
      </c>
      <c r="F22" s="604">
        <f t="shared" si="8"/>
        <v>161138</v>
      </c>
      <c r="G22" s="160">
        <f t="shared" si="1"/>
        <v>0</v>
      </c>
      <c r="H22" s="604">
        <f t="shared" si="9"/>
        <v>551269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f t="shared" si="7"/>
        <v>1113639</v>
      </c>
      <c r="C23" s="254">
        <f t="shared" si="0"/>
        <v>0</v>
      </c>
      <c r="D23" s="295">
        <f t="shared" si="14"/>
        <v>0</v>
      </c>
      <c r="E23" s="295">
        <f t="shared" si="15"/>
        <v>1113639</v>
      </c>
      <c r="F23" s="604">
        <f t="shared" si="8"/>
        <v>161138</v>
      </c>
      <c r="G23" s="160">
        <f t="shared" si="1"/>
        <v>0</v>
      </c>
      <c r="H23" s="604">
        <f t="shared" si="9"/>
        <v>551269</v>
      </c>
      <c r="I23" s="161">
        <f t="shared" si="2"/>
        <v>0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f t="shared" si="7"/>
        <v>1113639</v>
      </c>
      <c r="C24" s="254">
        <f t="shared" si="0"/>
        <v>0</v>
      </c>
      <c r="D24" s="295">
        <f t="shared" si="14"/>
        <v>0</v>
      </c>
      <c r="E24" s="295">
        <f t="shared" si="15"/>
        <v>1113639</v>
      </c>
      <c r="F24" s="604">
        <f t="shared" si="8"/>
        <v>161138</v>
      </c>
      <c r="G24" s="160">
        <f t="shared" si="1"/>
        <v>0</v>
      </c>
      <c r="H24" s="604">
        <f t="shared" si="9"/>
        <v>551269</v>
      </c>
      <c r="I24" s="161">
        <f t="shared" si="2"/>
        <v>0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1113639</v>
      </c>
      <c r="C25" s="254">
        <f t="shared" si="0"/>
        <v>0</v>
      </c>
      <c r="D25" s="295">
        <f t="shared" si="14"/>
        <v>0</v>
      </c>
      <c r="E25" s="295">
        <f t="shared" si="15"/>
        <v>1113639</v>
      </c>
      <c r="F25" s="604">
        <f t="shared" si="8"/>
        <v>161138</v>
      </c>
      <c r="G25" s="160">
        <f t="shared" si="1"/>
        <v>0</v>
      </c>
      <c r="H25" s="604">
        <f t="shared" si="9"/>
        <v>551269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1113639</v>
      </c>
      <c r="C26" s="254">
        <f t="shared" si="0"/>
        <v>0</v>
      </c>
      <c r="D26" s="295">
        <f t="shared" si="14"/>
        <v>0</v>
      </c>
      <c r="E26" s="295">
        <f t="shared" si="15"/>
        <v>1113639</v>
      </c>
      <c r="F26" s="604">
        <f t="shared" si="8"/>
        <v>161138</v>
      </c>
      <c r="G26" s="160">
        <f t="shared" si="1"/>
        <v>0</v>
      </c>
      <c r="H26" s="604">
        <f t="shared" si="9"/>
        <v>551269</v>
      </c>
      <c r="I26" s="161">
        <f t="shared" si="2"/>
        <v>0</v>
      </c>
      <c r="J26" s="604">
        <f t="shared" si="10"/>
        <v>401232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401232</v>
      </c>
      <c r="X26" s="172" t="s">
        <v>199</v>
      </c>
      <c r="Y26" s="172">
        <v>80</v>
      </c>
      <c r="Z26" s="172">
        <v>1</v>
      </c>
      <c r="AA26" s="323">
        <f>(W26-V26)*Z26</f>
        <v>256</v>
      </c>
      <c r="AB26" s="323">
        <f>AA26*Y26</f>
        <v>20480</v>
      </c>
      <c r="AC26" s="244">
        <f>AC9</f>
        <v>1033333</v>
      </c>
      <c r="AD26" s="476">
        <f>SUM(K36)</f>
        <v>0.15724815724815724</v>
      </c>
    </row>
    <row r="27" spans="1:32" ht="20.100000000000001" customHeight="1">
      <c r="A27" s="163">
        <f>ELEC!C27</f>
        <v>44644</v>
      </c>
      <c r="B27" s="604">
        <f t="shared" si="7"/>
        <v>1113639</v>
      </c>
      <c r="C27" s="254">
        <f t="shared" si="0"/>
        <v>0</v>
      </c>
      <c r="D27" s="295">
        <f t="shared" si="14"/>
        <v>0</v>
      </c>
      <c r="E27" s="295">
        <f t="shared" si="15"/>
        <v>1113639</v>
      </c>
      <c r="F27" s="604">
        <f t="shared" si="8"/>
        <v>161138</v>
      </c>
      <c r="G27" s="160">
        <f t="shared" si="1"/>
        <v>0</v>
      </c>
      <c r="H27" s="604">
        <f t="shared" si="9"/>
        <v>551269</v>
      </c>
      <c r="I27" s="161">
        <f t="shared" si="2"/>
        <v>0</v>
      </c>
      <c r="J27" s="604">
        <f t="shared" si="10"/>
        <v>401232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551269</v>
      </c>
      <c r="X27" s="172" t="s">
        <v>212</v>
      </c>
      <c r="Y27" s="172">
        <v>112</v>
      </c>
      <c r="Z27" s="172">
        <v>1</v>
      </c>
      <c r="AA27" s="323">
        <f>(W27-V27)*Z27</f>
        <v>1269</v>
      </c>
      <c r="AB27" s="323">
        <f>SUM(AA27*Y27)</f>
        <v>142128</v>
      </c>
      <c r="AC27" s="244">
        <f>AC10</f>
        <v>6200000</v>
      </c>
      <c r="AD27" s="476">
        <f>SUM(I36)</f>
        <v>0.77948402948402951</v>
      </c>
    </row>
    <row r="28" spans="1:32" ht="20.100000000000001" customHeight="1">
      <c r="A28" s="163">
        <f>ELEC!C28</f>
        <v>44645</v>
      </c>
      <c r="B28" s="604">
        <f t="shared" si="7"/>
        <v>1113639</v>
      </c>
      <c r="C28" s="254">
        <f t="shared" si="0"/>
        <v>0</v>
      </c>
      <c r="D28" s="295">
        <f t="shared" si="14"/>
        <v>0</v>
      </c>
      <c r="E28" s="295">
        <f>B27+D28</f>
        <v>1113639</v>
      </c>
      <c r="F28" s="604">
        <f t="shared" si="8"/>
        <v>161138</v>
      </c>
      <c r="G28" s="160">
        <f t="shared" si="1"/>
        <v>0</v>
      </c>
      <c r="H28" s="604">
        <f t="shared" si="9"/>
        <v>551269</v>
      </c>
      <c r="I28" s="161">
        <f t="shared" si="2"/>
        <v>0</v>
      </c>
      <c r="J28" s="604">
        <f t="shared" si="10"/>
        <v>401232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6.3267813267813264E-2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1113639</v>
      </c>
      <c r="C29" s="254">
        <f t="shared" si="0"/>
        <v>0</v>
      </c>
      <c r="D29" s="295">
        <f t="shared" si="14"/>
        <v>0</v>
      </c>
      <c r="E29" s="295">
        <f>B28+D29</f>
        <v>1113639</v>
      </c>
      <c r="F29" s="604">
        <f t="shared" si="8"/>
        <v>161138</v>
      </c>
      <c r="G29" s="160">
        <f t="shared" si="1"/>
        <v>0</v>
      </c>
      <c r="H29" s="604">
        <f t="shared" si="9"/>
        <v>551269</v>
      </c>
      <c r="I29" s="161">
        <f t="shared" si="2"/>
        <v>0</v>
      </c>
      <c r="J29" s="604">
        <f t="shared" si="10"/>
        <v>401232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1628</v>
      </c>
      <c r="AB29" s="323">
        <f>SUM(AB26:AB28)</f>
        <v>195568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1113639</v>
      </c>
      <c r="C30" s="254">
        <f t="shared" si="0"/>
        <v>0</v>
      </c>
      <c r="D30" s="295">
        <f t="shared" si="14"/>
        <v>0</v>
      </c>
      <c r="E30" s="295">
        <f t="shared" si="15"/>
        <v>1113639</v>
      </c>
      <c r="F30" s="604">
        <f t="shared" si="8"/>
        <v>161138</v>
      </c>
      <c r="G30" s="160">
        <f t="shared" si="1"/>
        <v>0</v>
      </c>
      <c r="H30" s="604">
        <f t="shared" si="9"/>
        <v>551269</v>
      </c>
      <c r="I30" s="161">
        <f t="shared" si="2"/>
        <v>0</v>
      </c>
      <c r="J30" s="604">
        <f t="shared" si="10"/>
        <v>401232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7429901</v>
      </c>
      <c r="AC30" s="244"/>
    </row>
    <row r="31" spans="1:32" ht="20.100000000000001" customHeight="1">
      <c r="A31" s="163">
        <f>ELEC!C31</f>
        <v>44648</v>
      </c>
      <c r="B31" s="604">
        <f t="shared" si="7"/>
        <v>1113639</v>
      </c>
      <c r="C31" s="254">
        <f>SUM(B31-B30)</f>
        <v>0</v>
      </c>
      <c r="D31" s="295">
        <f t="shared" si="14"/>
        <v>0</v>
      </c>
      <c r="E31" s="295">
        <f>B30+D31</f>
        <v>1113639</v>
      </c>
      <c r="F31" s="604">
        <f t="shared" si="8"/>
        <v>161138</v>
      </c>
      <c r="G31" s="160">
        <f>F31-F30</f>
        <v>0</v>
      </c>
      <c r="H31" s="604">
        <f t="shared" si="9"/>
        <v>551269</v>
      </c>
      <c r="I31" s="161">
        <f>H31-H30</f>
        <v>0</v>
      </c>
      <c r="J31" s="604">
        <f t="shared" si="10"/>
        <v>401232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1113639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1113639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551269</v>
      </c>
      <c r="I32" s="161">
        <f t="shared" ref="I32:I34" si="24">H32-H31</f>
        <v>0</v>
      </c>
      <c r="J32" s="604">
        <f t="shared" si="10"/>
        <v>401232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101</v>
      </c>
      <c r="X32" s="222">
        <f>SUM(W32/A35)</f>
        <v>12.625</v>
      </c>
      <c r="Y32" s="250">
        <f>SUM(X32/1)</f>
        <v>12.625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1113639</v>
      </c>
      <c r="C33" s="254">
        <f t="shared" si="20"/>
        <v>0</v>
      </c>
      <c r="D33" s="295">
        <f t="shared" si="21"/>
        <v>0</v>
      </c>
      <c r="E33" s="295">
        <f t="shared" si="22"/>
        <v>1113639</v>
      </c>
      <c r="F33" s="604">
        <f t="shared" si="8"/>
        <v>161138</v>
      </c>
      <c r="G33" s="160">
        <f t="shared" si="23"/>
        <v>0</v>
      </c>
      <c r="H33" s="604">
        <f t="shared" si="9"/>
        <v>551269</v>
      </c>
      <c r="I33" s="161">
        <f t="shared" si="24"/>
        <v>0</v>
      </c>
      <c r="J33" s="604">
        <f t="shared" si="10"/>
        <v>401232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817289.11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1113639</v>
      </c>
      <c r="C34" s="254">
        <f t="shared" si="20"/>
        <v>0</v>
      </c>
      <c r="D34" s="295">
        <f t="shared" si="21"/>
        <v>0</v>
      </c>
      <c r="E34" s="295">
        <f t="shared" si="22"/>
        <v>1113639</v>
      </c>
      <c r="F34" s="604">
        <f t="shared" si="8"/>
        <v>161138</v>
      </c>
      <c r="G34" s="160">
        <f t="shared" si="23"/>
        <v>0</v>
      </c>
      <c r="H34" s="604">
        <f t="shared" si="9"/>
        <v>551269</v>
      </c>
      <c r="I34" s="161">
        <f t="shared" si="24"/>
        <v>0</v>
      </c>
      <c r="J34" s="604">
        <f t="shared" si="10"/>
        <v>401232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8247190.1100000003</v>
      </c>
      <c r="AC34" s="244">
        <f>SUM(AC30)</f>
        <v>0</v>
      </c>
    </row>
    <row r="35" spans="1:32" ht="15.75" thickBot="1">
      <c r="A35" s="501">
        <f>A37-COUNTIF(C4:C34,0)</f>
        <v>8</v>
      </c>
      <c r="C35" s="173">
        <f>SUM(C4:C34)/A35</f>
        <v>203.5</v>
      </c>
      <c r="D35" s="173"/>
      <c r="E35" s="173"/>
      <c r="F35" s="564"/>
      <c r="G35" s="564">
        <f>SUM(G4:G34)/A35</f>
        <v>12.875</v>
      </c>
      <c r="H35" s="173"/>
      <c r="I35" s="173">
        <f>SUM(I4:I34)/A35</f>
        <v>158.625</v>
      </c>
      <c r="K35" s="173">
        <f>SUM(K4:K34)/A35</f>
        <v>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6.3267813267813264E-2</v>
      </c>
      <c r="H36" s="212"/>
      <c r="I36" s="225">
        <f>SUM(I35/C35)</f>
        <v>0.77948402948402951</v>
      </c>
      <c r="J36" s="212"/>
      <c r="K36" s="225">
        <f>SUM(K35/C35)</f>
        <v>0.15724815724815724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4928.6242122719732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4928.6242122719732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H26" sqref="H2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18.0625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-2.9000000000000341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36" sqref="J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22" sqref="H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13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36440</v>
      </c>
      <c r="C8" s="466">
        <f>SUM(tanks!AU37)</f>
        <v>1.0190000000000001</v>
      </c>
      <c r="D8" s="191">
        <f>SUM(B8*C8)*D4</f>
        <v>55977032.70000001</v>
      </c>
      <c r="E8" s="192">
        <f>SUM(D8/D4/F4)</f>
        <v>1197.8180645161292</v>
      </c>
      <c r="F8" s="192">
        <f>SUM(E8*F4)</f>
        <v>37132.360000000008</v>
      </c>
      <c r="G8" s="570">
        <f>E8*$G$4</f>
        <v>15571.63483870968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1628</v>
      </c>
      <c r="C10" s="181"/>
      <c r="D10" s="183">
        <f>'EDl log'!AB30</f>
        <v>7429901</v>
      </c>
      <c r="E10" s="182">
        <f>SUM(D10/D4/F4)</f>
        <v>158.98787781522495</v>
      </c>
      <c r="F10" s="182">
        <f>SUM(E10*F4)</f>
        <v>4928.6242122719732</v>
      </c>
      <c r="G10" s="478">
        <f>E10*$G$4</f>
        <v>2066.8424115979242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1621.3220713636122</v>
      </c>
      <c r="F12" s="180">
        <f>SUM(F6:F10)</f>
        <v>50260.984212271978</v>
      </c>
      <c r="G12" s="179">
        <f>SUM(G6:G10)</f>
        <v>25838.477250307606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-54290.422749692385</v>
      </c>
      <c r="I14" s="406">
        <f>SUM(G12-I12)</f>
        <v>-25405.442470122503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18.0625</v>
      </c>
      <c r="C16" s="415">
        <f>'[13]Utility Cost '!$B$16</f>
        <v>15.064516129032258</v>
      </c>
      <c r="D16" s="415"/>
      <c r="E16" s="576">
        <f>B16-C16</f>
        <v>2.997983870967742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101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-128</v>
      </c>
      <c r="F18" s="495">
        <f>B18-D18</f>
        <v>-101.66666666666666</v>
      </c>
    </row>
    <row r="19" spans="1:10">
      <c r="A19" s="489" t="s">
        <v>412</v>
      </c>
      <c r="B19" s="493">
        <f>GEN!AL34</f>
        <v>10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10.1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2022-03-14T08:23:20Z</dcterms:modified>
</cp:coreProperties>
</file>