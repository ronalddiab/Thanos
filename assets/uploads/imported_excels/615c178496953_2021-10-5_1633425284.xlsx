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961" documentId="8_{5B502D95-7A37-4D5A-8B6B-374537CC2F26}" xr6:coauthVersionLast="47" xr6:coauthVersionMax="47" xr10:uidLastSave="{76916FBF-3049-45CD-AF40-BDEC7E0E88C5}"/>
  <bookViews>
    <workbookView xWindow="-120" yWindow="-120" windowWidth="15600" windowHeight="11760" tabRatio="764" firstSheet="2" activeTab="8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" i="2" l="1"/>
  <c r="V12" i="2"/>
  <c r="V13" i="2"/>
  <c r="V10" i="2"/>
  <c r="N11" i="2"/>
  <c r="N12" i="2"/>
  <c r="N13" i="2"/>
  <c r="N14" i="2"/>
  <c r="M11" i="2"/>
  <c r="M12" i="2"/>
  <c r="M13" i="2"/>
  <c r="M14" i="2"/>
  <c r="L11" i="2"/>
  <c r="L12" i="2"/>
  <c r="L13" i="2"/>
  <c r="L14" i="2"/>
  <c r="F11" i="2"/>
  <c r="F12" i="2"/>
  <c r="F13" i="2"/>
  <c r="F14" i="2"/>
  <c r="K13" i="6"/>
  <c r="I13" i="6"/>
  <c r="G13" i="6"/>
  <c r="E13" i="6"/>
  <c r="K11" i="6"/>
  <c r="K12" i="6"/>
  <c r="I11" i="6"/>
  <c r="I12" i="6"/>
  <c r="G11" i="6"/>
  <c r="G12" i="6"/>
  <c r="E11" i="6"/>
  <c r="E12" i="6"/>
  <c r="K10" i="6"/>
  <c r="I10" i="6"/>
  <c r="G10" i="6"/>
  <c r="E10" i="6"/>
  <c r="C10" i="6"/>
  <c r="N10" i="2"/>
  <c r="M10" i="2"/>
  <c r="L10" i="2"/>
  <c r="F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M4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L31" i="22"/>
  <c r="L32" i="22"/>
  <c r="K31" i="22"/>
  <c r="K32" i="22"/>
  <c r="I31" i="22"/>
  <c r="I32" i="22"/>
  <c r="G32" i="22"/>
  <c r="E31" i="22"/>
  <c r="E32" i="22"/>
  <c r="B31" i="22"/>
  <c r="B32" i="22"/>
  <c r="I31" i="21"/>
  <c r="I32" i="21"/>
  <c r="H31" i="21"/>
  <c r="H32" i="21"/>
  <c r="G31" i="21"/>
  <c r="G32" i="21"/>
  <c r="F31" i="21"/>
  <c r="F32" i="21"/>
  <c r="E31" i="21"/>
  <c r="E32" i="21"/>
  <c r="B31" i="21"/>
  <c r="B32" i="21"/>
  <c r="K39" i="6"/>
  <c r="I39" i="6"/>
  <c r="G39" i="6"/>
  <c r="E39" i="6"/>
  <c r="E40" i="6"/>
  <c r="C39" i="6"/>
  <c r="H39" i="2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K21" i="6"/>
  <c r="I21" i="6"/>
  <c r="G21" i="6"/>
  <c r="E21" i="6"/>
  <c r="C21" i="6"/>
  <c r="K20" i="6"/>
  <c r="I20" i="6"/>
  <c r="G20" i="6"/>
  <c r="E20" i="6"/>
  <c r="C20" i="6"/>
  <c r="K40" i="6"/>
  <c r="I40" i="6"/>
  <c r="G40" i="6"/>
  <c r="C40" i="6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K34" i="6"/>
  <c r="I34" i="6"/>
  <c r="G34" i="6"/>
  <c r="E27" i="21" s="1"/>
  <c r="E34" i="6"/>
  <c r="I27" i="22" s="1"/>
  <c r="C34" i="6"/>
  <c r="E26" i="21"/>
  <c r="I26" i="22"/>
  <c r="I25" i="22"/>
  <c r="I24" i="22"/>
  <c r="I23" i="22"/>
  <c r="I22" i="22"/>
  <c r="K28" i="6"/>
  <c r="I28" i="6"/>
  <c r="G28" i="6"/>
  <c r="E28" i="6"/>
  <c r="I21" i="22" s="1"/>
  <c r="C28" i="6"/>
  <c r="K27" i="6"/>
  <c r="I27" i="6"/>
  <c r="G27" i="6"/>
  <c r="E27" i="6"/>
  <c r="I20" i="22" s="1"/>
  <c r="C27" i="6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L9" i="4"/>
  <c r="N9" i="4"/>
  <c r="AC43" i="4"/>
  <c r="I9" i="4"/>
  <c r="O9" i="4"/>
  <c r="H40" i="2" l="1"/>
  <c r="G25" i="4"/>
  <c r="E25" i="4"/>
  <c r="C25" i="4"/>
  <c r="G7" i="4"/>
  <c r="E7" i="4"/>
  <c r="C7" i="4"/>
  <c r="G29" i="22"/>
  <c r="G27" i="22"/>
  <c r="G28" i="22"/>
  <c r="Q40" i="2"/>
  <c r="O40" i="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30" i="22" l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<sst xmlns="http://schemas.openxmlformats.org/spreadsheetml/2006/main" count="478" uniqueCount="186">
  <si>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</si>
  <si>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</si>
  <si>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</si>
  <si>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</si>
  <si>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</si>
  <si>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</si>
  <si>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</si>
  <si>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</si>
  <si>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</si>
  <si>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</si>
  <si>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</si>
  <si>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</si>
  <si>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</si>
  <si>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</si>
  <si>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</si>
  <si>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</si>
  <si>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</si>
  <si>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</si>
  <si>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</si>
  <si>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</si>
  <si>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</si>
  <si>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</si>
  <si>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</si>
  <si>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</si>
  <si>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</si>
  <si>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</si>
  <si>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</si>
  <si>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</si>
  <si>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</si>
  <si>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</si>
  <si>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</si>
  <si>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</si>
  <si>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</si>
  <si>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</si>
  <si>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</si>
  <si>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</si>
  <si>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</si>
  <si>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</si>
  <si>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</si>
  <si>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</si>
  <si>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</si>
  <si>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</si>
  <si>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</si>
  <si>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</si>
  <si>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</si>
  <si>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</si>
  <si>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</si>
  <si>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</si>
  <si>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</si>
  <si>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</si>
  <si>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</si>
  <si>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</si>
  <si>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</si>
  <si>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</si>
  <si>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</si>
  <si>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</si>
  <si>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</si>
  <si>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</si>
  <si>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</si>
  <si>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</si>
  <si>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</si>
  <si>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</si>
  <si>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</si>
  <si>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</si>
  <si>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</si>
  <si>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</si>
  <si>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</si>
  <si>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</si>
  <si>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</si>
  <si>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</si>
  <si>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</si>
  <si>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</si>
  <si>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</si>
  <si>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</si>
  <si>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</si>
  <si>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</si>
  <si>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</si>
  <si>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</si>
  <si>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</si>
  <si>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</si>
  <si>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</si>
  <si>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</si>
  <si>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</si>
  <si>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</si>
  <si>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</si>
  <si>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</si>
  <si>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</si>
  <si>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Octobre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</si>
  <si>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</si>
  <si>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</si>
  <si>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</si>
  <si>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</si>
  <si>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</si>
  <si>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</si>
  <si>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</si>
  <si>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</si>
  <si>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</si>
  <si>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</si>
  <si>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</si>
  <si>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</si>
  <si>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</si>
  <si>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</si>
  <si>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</si>
  <si>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</si>
  <si>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</si>
  <si>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</si>
  <si>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</si>
  <si>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</si>
  <si>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</si>
  <si>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</si>
  <si>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</si>
  <si>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</si>
  <si>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</si>
  <si>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</si>
  <si>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</si>
  <si>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</si>
  <si>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</si>
  <si>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</si>
  <si>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</si>
  <si>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</si>
  <si>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</si>
  <si>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</si>
  <si>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</si>
  <si>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</si>
  <si>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</si>
  <si>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</si>
  <si>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</si>
  <si>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</si>
  <si>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</si>
  <si>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</si>
  <si>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</si>
  <si>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Oct 2021</t>
  </si>
  <si>
    <t>01jours</t>
  </si>
  <si>
    <t>Estimation de la consommation d'Eau Sanitaire Oct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</si>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</sst>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</c:v>
                </c:pt>
                <c:pt idx="1">
                  <c:v>100.10000000000582</c:v>
                </c:pt>
                <c:pt idx="2">
                  <c:v>90.80000000000291</c:v>
                </c:pt>
                <c:pt idx="3">
                  <c:v>95.099999999991269</c:v>
                </c:pt>
                <c:pt idx="4">
                  <c:v>97.5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3908</c:v>
                </c:pt>
                <c:pt idx="1">
                  <c:v>4695</c:v>
                </c:pt>
                <c:pt idx="2">
                  <c:v>4359</c:v>
                </c:pt>
                <c:pt idx="3">
                  <c:v>3927</c:v>
                </c:pt>
                <c:pt idx="4">
                  <c:v>4144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8144</c:v>
                </c:pt>
                <c:pt idx="1">
                  <c:v>7577</c:v>
                </c:pt>
                <c:pt idx="2">
                  <c:v>7444</c:v>
                </c:pt>
                <c:pt idx="3">
                  <c:v>7105</c:v>
                </c:pt>
                <c:pt idx="4">
                  <c:v>7704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3340</c:v>
                </c:pt>
                <c:pt idx="1">
                  <c:v>3514</c:v>
                </c:pt>
                <c:pt idx="2">
                  <c:v>3362</c:v>
                </c:pt>
                <c:pt idx="3">
                  <c:v>3355</c:v>
                </c:pt>
                <c:pt idx="4">
                  <c:v>3340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333.27000000000004</c:v>
                </c:pt>
                <c:pt idx="2">
                  <c:v>444.36</c:v>
                </c:pt>
                <c:pt idx="3">
                  <c:v>556.5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2" workbookViewId="0">
      <selection activeCell="L30" sqref="L30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2021</v>
      </c>
      <c r="E2" s="137">
        <f>submetering!E2+submetering!F2+submetering!G2</f>
        <v>15392</v>
      </c>
      <c r="F2" s="134">
        <v>1.05</v>
      </c>
      <c r="G2" s="134">
        <f>'Consommation mensuel énergie'!V10</f>
        <v>518.42000000000007</v>
      </c>
      <c r="H2" s="134">
        <v>8.6999999999999993</v>
      </c>
      <c r="I2" s="134">
        <f>'Consommation mensuel énergie'!F10</f>
        <v>111</v>
      </c>
      <c r="J2" s="134">
        <v>11.4</v>
      </c>
      <c r="K2" s="137">
        <f>'Consommation mensuel énergie'!D10</f>
        <v>68</v>
      </c>
      <c r="L2" s="137">
        <f>'Consommation mensuel énergie'!E10</f>
        <v>110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submetering!E3+submetering!F3+submetering!G3</f>
        <v>15612</v>
      </c>
      <c r="F3" s="134">
        <v>1.05</v>
      </c>
      <c r="G3" s="134">
        <f>'Consommation mensuel énergie'!V11</f>
        <v>333.27000000000004</v>
      </c>
      <c r="H3" s="134">
        <v>8.6999999999999993</v>
      </c>
      <c r="I3" s="134">
        <f>'Consommation mensuel énergie'!F11</f>
        <v>100.10000000000582</v>
      </c>
      <c r="J3" s="134">
        <v>11.4</v>
      </c>
      <c r="K3" s="137">
        <f>'Consommation mensuel énergie'!D11</f>
        <v>72</v>
      </c>
      <c r="L3" s="137">
        <f>'Consommation mensuel énergie'!E11</f>
        <v>113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submetering!E4+submetering!F4+submetering!G4</f>
        <v>15165</v>
      </c>
      <c r="F4" s="134">
        <v>1.05</v>
      </c>
      <c r="G4" s="134">
        <f>'Consommation mensuel énergie'!V12</f>
        <v>444.36</v>
      </c>
      <c r="H4" s="134">
        <v>8.6999999999999993</v>
      </c>
      <c r="I4" s="134">
        <f>'Consommation mensuel énergie'!F12</f>
        <v>90.80000000000291</v>
      </c>
      <c r="J4" s="134">
        <v>11.4</v>
      </c>
      <c r="K4" s="137">
        <f>'Consommation mensuel énergie'!D12</f>
        <v>76</v>
      </c>
      <c r="L4" s="137">
        <f>'Consommation mensuel énergie'!E12</f>
        <v>107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submetering!E5+submetering!F5+submetering!G5</f>
        <v>14387</v>
      </c>
      <c r="F5" s="134">
        <v>1.05</v>
      </c>
      <c r="G5" s="134">
        <f>'Consommation mensuel énergie'!V13</f>
        <v>556.5</v>
      </c>
      <c r="H5" s="134">
        <v>8.6999999999999993</v>
      </c>
      <c r="I5" s="134">
        <f>'Consommation mensuel énergie'!F13</f>
        <v>95.099999999991269</v>
      </c>
      <c r="J5" s="134">
        <v>11.4</v>
      </c>
      <c r="K5" s="137">
        <f>'Consommation mensuel énergie'!D13</f>
        <v>99</v>
      </c>
      <c r="L5" s="137">
        <f>'Consommation mensuel énergie'!E13</f>
        <v>128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submetering!E6+submetering!F6+submetering!G6</f>
        <v>15188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97.5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8.6999999999999993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8.6999999999999993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1852.5500000000002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8.6999999999999993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10"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2021</v>
      </c>
      <c r="E2" s="137">
        <f>'Consommation mensuel énergie'!L10</f>
        <v>3908</v>
      </c>
      <c r="F2" s="137">
        <f>'Consommation mensuel énergie'!M10</f>
        <v>8144</v>
      </c>
      <c r="G2" s="137">
        <f>'Consommation mensuel énergie'!N10</f>
        <v>3340</v>
      </c>
      <c r="H2" s="137">
        <f>'Consommation mensuel énergie'!D10</f>
        <v>68</v>
      </c>
      <c r="I2" s="137">
        <f>'Consommation mensuel énergie'!E10</f>
        <v>110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'Consommation mensuel énergie'!L11</f>
        <v>4695</v>
      </c>
      <c r="F3" s="137">
        <f>'Consommation mensuel énergie'!M11</f>
        <v>7577</v>
      </c>
      <c r="G3" s="137">
        <f>'Consommation mensuel énergie'!N14</f>
        <v>3340</v>
      </c>
      <c r="H3" s="137">
        <f>'Consommation mensuel énergie'!D11</f>
        <v>72</v>
      </c>
      <c r="I3" s="137">
        <f>'Consommation mensuel énergie'!E11</f>
        <v>113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'Consommation mensuel énergie'!L12</f>
        <v>4359</v>
      </c>
      <c r="F4" s="137">
        <f>'Consommation mensuel énergie'!M12</f>
        <v>7444</v>
      </c>
      <c r="G4" s="137">
        <f>'Consommation mensuel énergie'!N12</f>
        <v>3362</v>
      </c>
      <c r="H4" s="137">
        <f>'Consommation mensuel énergie'!D12</f>
        <v>76</v>
      </c>
      <c r="I4" s="137">
        <f>'Consommation mensuel énergie'!E12</f>
        <v>107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'Consommation mensuel énergie'!L13</f>
        <v>3927</v>
      </c>
      <c r="F5" s="137">
        <f>'Consommation mensuel énergie'!M13</f>
        <v>7105</v>
      </c>
      <c r="G5" s="137">
        <f>'Consommation mensuel énergie'!N13</f>
        <v>3355</v>
      </c>
      <c r="H5" s="137">
        <f>'Consommation mensuel énergie'!D13</f>
        <v>99</v>
      </c>
      <c r="I5" s="137">
        <f>'Consommation mensuel énergie'!E13</f>
        <v>128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'Consommation mensuel énergie'!L14</f>
        <v>4144</v>
      </c>
      <c r="F6" s="137">
        <f>'Consommation mensuel énergie'!M14</f>
        <v>7704</v>
      </c>
      <c r="G6" s="137">
        <f>'Consommation mensuel énergie'!N14</f>
        <v>3340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bottomRight" activeCell="E14" sqref="E14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7"/>
      <c r="B2" s="178"/>
      <c r="C2" s="178"/>
      <c r="D2" s="178"/>
      <c r="E2" s="178"/>
      <c r="F2" s="178"/>
      <c r="G2" s="178"/>
      <c r="H2" s="179"/>
      <c r="I2" s="188" t="s">
        <v>17</v>
      </c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</row>
    <row r="3" spans="1:24" ht="15" hidden="1" customHeight="1" thickBot="1"/>
    <row r="4" spans="1:24" ht="39" hidden="1" customHeight="1" thickBot="1">
      <c r="A4" s="180"/>
      <c r="B4" s="180"/>
      <c r="C4" s="18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0"/>
      <c r="B5" s="180"/>
      <c r="C5" s="180"/>
      <c r="D5" s="5"/>
      <c r="E5" s="5"/>
      <c r="F5" s="5"/>
      <c r="G5" s="5"/>
      <c r="H5" s="5"/>
      <c r="I5" s="5"/>
      <c r="J5" s="5"/>
      <c r="K5" s="5"/>
      <c r="L5" s="5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s="5" customFormat="1" ht="44.25" hidden="1" customHeight="1" thickBot="1">
      <c r="A6" s="3"/>
      <c r="B6" s="3"/>
      <c r="C6" s="3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s="5" customFormat="1" ht="18.75" hidden="1" customHeight="1" thickBot="1">
      <c r="F7" s="181"/>
      <c r="G7" s="181"/>
      <c r="H7" s="181"/>
      <c r="I7" s="181"/>
      <c r="J7" s="181"/>
      <c r="K7" s="181"/>
      <c r="L7" s="181"/>
      <c r="M7" s="181"/>
      <c r="N7" s="190"/>
      <c r="O7" s="190"/>
      <c r="P7" s="181"/>
      <c r="Q7" s="181"/>
      <c r="R7" s="181"/>
      <c r="S7" s="181"/>
      <c r="T7" s="181"/>
      <c r="U7" s="181"/>
      <c r="V7" s="181"/>
      <c r="W7" s="181"/>
      <c r="X7" s="181"/>
    </row>
    <row r="8" spans="1:24" ht="18.75" customHeight="1" thickBot="1">
      <c r="A8" s="181"/>
      <c r="B8" s="192" t="s">
        <v>19</v>
      </c>
      <c r="C8" s="4"/>
      <c r="D8" s="193" t="s">
        <v>20</v>
      </c>
      <c r="E8" s="193" t="s">
        <v>21</v>
      </c>
      <c r="F8" s="175" t="s">
        <v>22</v>
      </c>
      <c r="G8" s="2"/>
      <c r="H8" s="182" t="s">
        <v>23</v>
      </c>
      <c r="I8" s="183"/>
      <c r="J8" s="184"/>
      <c r="K8" s="170" t="s">
        <v>24</v>
      </c>
      <c r="L8" s="174" t="s">
        <v>25</v>
      </c>
      <c r="M8" s="174"/>
      <c r="N8" s="174"/>
      <c r="O8" s="174" t="s">
        <v>26</v>
      </c>
      <c r="P8" s="2"/>
      <c r="Q8" s="172" t="s">
        <v>23</v>
      </c>
      <c r="R8" s="2"/>
      <c r="S8" s="172" t="s">
        <v>27</v>
      </c>
      <c r="T8" s="2"/>
      <c r="U8" s="172" t="s">
        <v>28</v>
      </c>
      <c r="V8" s="195" t="s">
        <v>29</v>
      </c>
      <c r="W8" s="2"/>
      <c r="X8" s="172" t="s">
        <v>23</v>
      </c>
    </row>
    <row r="9" spans="1:24" ht="59.25" customHeight="1" thickBot="1">
      <c r="A9" s="181"/>
      <c r="B9" s="192"/>
      <c r="C9" s="4"/>
      <c r="D9" s="194"/>
      <c r="E9" s="194"/>
      <c r="F9" s="176"/>
      <c r="G9" s="2"/>
      <c r="H9" s="185"/>
      <c r="I9" s="186"/>
      <c r="J9" s="187"/>
      <c r="K9" s="171"/>
      <c r="L9" s="155" t="s">
        <v>30</v>
      </c>
      <c r="M9" s="155" t="s">
        <v>31</v>
      </c>
      <c r="N9" s="155" t="s">
        <v>32</v>
      </c>
      <c r="O9" s="191"/>
      <c r="P9" s="2"/>
      <c r="Q9" s="173"/>
      <c r="R9" s="2"/>
      <c r="S9" s="173"/>
      <c r="T9" s="2"/>
      <c r="U9" s="173"/>
      <c r="V9" s="196"/>
      <c r="W9" s="2"/>
      <c r="X9" s="173"/>
    </row>
    <row r="10" spans="1:24" ht="32.25" customHeight="1">
      <c r="A10" s="2"/>
      <c r="B10" s="6">
        <v>44470</v>
      </c>
      <c r="C10" s="7"/>
      <c r="D10" s="143">
        <v>68</v>
      </c>
      <c r="E10" s="143">
        <v>110</v>
      </c>
      <c r="F10" s="13">
        <f>'Suivi EAU-ELEC'!E9</f>
        <v>111</v>
      </c>
      <c r="G10" s="11"/>
      <c r="H10" s="166">
        <f>F10*8.79</f>
        <v>975.68999999999994</v>
      </c>
      <c r="I10" s="167"/>
      <c r="J10" s="167"/>
      <c r="K10" s="60">
        <v>42278</v>
      </c>
      <c r="L10" s="90">
        <f>'Suivi EAU-ELEC'!G9</f>
        <v>3908</v>
      </c>
      <c r="M10" s="91">
        <f>'Suivi EAU-ELEC'!I9</f>
        <v>8144</v>
      </c>
      <c r="N10" s="91">
        <f>'Suivi EAU-ELEC'!K9</f>
        <v>3340</v>
      </c>
      <c r="O10" s="91">
        <f>L10+M10+N10</f>
        <v>15392</v>
      </c>
      <c r="P10" s="11"/>
      <c r="Q10" s="34">
        <f>L10*0.6985+M10*0.9514+N10*1.3304</f>
        <v>14921.4756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V10*9.965</f>
        <v>5166.0553000000009</v>
      </c>
    </row>
    <row r="11" spans="1:24" ht="32.25" customHeight="1">
      <c r="A11" s="2"/>
      <c r="B11" s="6">
        <v>44471</v>
      </c>
      <c r="C11" s="7"/>
      <c r="D11" s="143">
        <v>72</v>
      </c>
      <c r="E11" s="143">
        <v>113</v>
      </c>
      <c r="F11" s="13">
        <f>'Suivi EAU-ELEC'!E10</f>
        <v>100.10000000000582</v>
      </c>
      <c r="G11" s="11"/>
      <c r="H11" s="166">
        <f t="shared" ref="H11:H21" si="0">F11*8.79</f>
        <v>879.87900000005106</v>
      </c>
      <c r="I11" s="167"/>
      <c r="J11" s="167"/>
      <c r="K11" s="60">
        <v>42279</v>
      </c>
      <c r="L11" s="90">
        <f>'Suivi EAU-ELEC'!G10</f>
        <v>4695</v>
      </c>
      <c r="M11" s="91">
        <f>'Suivi EAU-ELEC'!I10</f>
        <v>7577</v>
      </c>
      <c r="N11" s="91">
        <f>'Suivi EAU-ELEC'!K10</f>
        <v>3514</v>
      </c>
      <c r="O11" s="91">
        <f>L11+M11+N11</f>
        <v>15786</v>
      </c>
      <c r="P11" s="11"/>
      <c r="Q11" s="34">
        <f>L11*0.6985+M11*0.9514+N14*1.3304</f>
        <v>14931.7513</v>
      </c>
      <c r="R11" s="11"/>
      <c r="S11" s="28"/>
      <c r="T11" s="11"/>
      <c r="U11" s="28"/>
      <c r="V11" s="146">
        <f>'Suvi Gaz'!O5</f>
        <v>333.27000000000004</v>
      </c>
      <c r="W11" s="11"/>
      <c r="X11" s="34">
        <f t="shared" ref="X11:X40" si="1">V11*9.965</f>
        <v>3321.0355500000005</v>
      </c>
    </row>
    <row r="12" spans="1:24" ht="32.25" customHeight="1">
      <c r="A12" s="2"/>
      <c r="B12" s="6">
        <v>44472</v>
      </c>
      <c r="C12" s="7"/>
      <c r="D12" s="143">
        <v>76</v>
      </c>
      <c r="E12" s="143">
        <v>107</v>
      </c>
      <c r="F12" s="13">
        <f>'Suivi EAU-ELEC'!E11</f>
        <v>90.80000000000291</v>
      </c>
      <c r="G12" s="11"/>
      <c r="H12" s="166">
        <f t="shared" si="0"/>
        <v>798.13200000002553</v>
      </c>
      <c r="I12" s="167"/>
      <c r="J12" s="167"/>
      <c r="K12" s="60">
        <v>42280</v>
      </c>
      <c r="L12" s="90">
        <f>'Suivi EAU-ELEC'!G11</f>
        <v>4359</v>
      </c>
      <c r="M12" s="91">
        <f>'Suivi EAU-ELEC'!I11</f>
        <v>7444</v>
      </c>
      <c r="N12" s="91">
        <f>'Suivi EAU-ELEC'!K11</f>
        <v>3362</v>
      </c>
      <c r="O12" s="91">
        <f>L12+M12+N12</f>
        <v>15165</v>
      </c>
      <c r="P12" s="11"/>
      <c r="Q12" s="34">
        <f>L12*0.6985+M12*0.9514+N12*1.3304</f>
        <v>14599.787899999999</v>
      </c>
      <c r="R12" s="11"/>
      <c r="S12" s="28"/>
      <c r="T12" s="11"/>
      <c r="U12" s="28"/>
      <c r="V12" s="146">
        <f>'Suvi Gaz'!O6</f>
        <v>444.36</v>
      </c>
      <c r="W12" s="11"/>
      <c r="X12" s="34">
        <f t="shared" si="1"/>
        <v>4428.0474000000004</v>
      </c>
    </row>
    <row r="13" spans="1:24" ht="32.25" customHeight="1">
      <c r="A13" s="2"/>
      <c r="B13" s="6">
        <v>44473</v>
      </c>
      <c r="C13" s="7"/>
      <c r="D13" s="143">
        <v>99</v>
      </c>
      <c r="E13" s="143">
        <v>128</v>
      </c>
      <c r="F13" s="13">
        <f>'Suivi EAU-ELEC'!E12</f>
        <v>95.099999999991269</v>
      </c>
      <c r="G13" s="11"/>
      <c r="H13" s="166">
        <f t="shared" si="0"/>
        <v>835.92899999992312</v>
      </c>
      <c r="I13" s="167"/>
      <c r="J13" s="167"/>
      <c r="K13" s="60">
        <v>42281</v>
      </c>
      <c r="L13" s="90">
        <f>'Suivi EAU-ELEC'!G12</f>
        <v>3927</v>
      </c>
      <c r="M13" s="91">
        <f>'Suivi EAU-ELEC'!I12</f>
        <v>7105</v>
      </c>
      <c r="N13" s="91">
        <f>'Suivi EAU-ELEC'!K12</f>
        <v>3355</v>
      </c>
      <c r="O13" s="91">
        <f t="shared" ref="O13:O40" si="2">L13+M13+N13</f>
        <v>14387</v>
      </c>
      <c r="P13" s="11"/>
      <c r="Q13" s="34">
        <f t="shared" ref="Q13:Q40" si="3">L13*0.6985+M13*0.9514+N13*1.3304</f>
        <v>13966.1985</v>
      </c>
      <c r="R13" s="11"/>
      <c r="S13" s="28"/>
      <c r="T13" s="11"/>
      <c r="U13" s="28"/>
      <c r="V13" s="146">
        <f>'Suvi Gaz'!O7</f>
        <v>556.5</v>
      </c>
      <c r="W13" s="11"/>
      <c r="X13" s="34">
        <f t="shared" si="1"/>
        <v>5545.5225</v>
      </c>
    </row>
    <row r="14" spans="1:24" ht="32.25" customHeight="1">
      <c r="A14" s="2"/>
      <c r="B14" s="6">
        <v>44474</v>
      </c>
      <c r="C14" s="7"/>
      <c r="D14" s="143"/>
      <c r="E14" s="143"/>
      <c r="F14" s="13">
        <f>'Suivi EAU-ELEC'!E13</f>
        <v>97.5</v>
      </c>
      <c r="G14" s="12"/>
      <c r="H14" s="166">
        <f t="shared" si="0"/>
        <v>857.02499999999986</v>
      </c>
      <c r="I14" s="167"/>
      <c r="J14" s="167"/>
      <c r="K14" s="60">
        <v>42282</v>
      </c>
      <c r="L14" s="90">
        <f>'Suivi EAU-ELEC'!G13</f>
        <v>4144</v>
      </c>
      <c r="M14" s="91">
        <f>'Suivi EAU-ELEC'!I13</f>
        <v>7704</v>
      </c>
      <c r="N14" s="91">
        <f>'Suivi EAU-ELEC'!K13</f>
        <v>3340</v>
      </c>
      <c r="O14" s="91">
        <f t="shared" si="2"/>
        <v>15188</v>
      </c>
      <c r="P14" s="12"/>
      <c r="Q14" s="34">
        <f t="shared" si="3"/>
        <v>14667.705600000001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44475</v>
      </c>
      <c r="C15" s="7"/>
      <c r="D15" s="143"/>
      <c r="E15" s="143"/>
      <c r="F15" s="13"/>
      <c r="G15" s="11"/>
      <c r="H15" s="166">
        <f t="shared" si="0"/>
        <v>0</v>
      </c>
      <c r="I15" s="167"/>
      <c r="J15" s="167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44476</v>
      </c>
      <c r="C16" s="7"/>
      <c r="D16" s="143"/>
      <c r="E16" s="143"/>
      <c r="F16" s="13"/>
      <c r="G16" s="11"/>
      <c r="H16" s="166">
        <f t="shared" si="0"/>
        <v>0</v>
      </c>
      <c r="I16" s="167"/>
      <c r="J16" s="167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44477</v>
      </c>
      <c r="C17" s="7"/>
      <c r="D17" s="143"/>
      <c r="E17" s="143"/>
      <c r="F17" s="13"/>
      <c r="G17" s="11"/>
      <c r="H17" s="166">
        <f t="shared" si="0"/>
        <v>0</v>
      </c>
      <c r="I17" s="167"/>
      <c r="J17" s="167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44478</v>
      </c>
      <c r="C18" s="7"/>
      <c r="D18" s="143"/>
      <c r="E18" s="143"/>
      <c r="F18" s="13"/>
      <c r="G18" s="11"/>
      <c r="H18" s="166">
        <f t="shared" si="0"/>
        <v>0</v>
      </c>
      <c r="I18" s="167"/>
      <c r="J18" s="167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44479</v>
      </c>
      <c r="C19" s="7"/>
      <c r="D19" s="143"/>
      <c r="E19" s="143"/>
      <c r="F19" s="13"/>
      <c r="G19" s="12"/>
      <c r="H19" s="166">
        <f t="shared" si="0"/>
        <v>0</v>
      </c>
      <c r="I19" s="167"/>
      <c r="J19" s="167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44480</v>
      </c>
      <c r="C20" s="7"/>
      <c r="D20" s="143"/>
      <c r="E20" s="143"/>
      <c r="F20" s="13"/>
      <c r="G20" s="12"/>
      <c r="H20" s="166">
        <f t="shared" si="0"/>
        <v>0</v>
      </c>
      <c r="I20" s="167"/>
      <c r="J20" s="167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44481</v>
      </c>
      <c r="C21" s="7"/>
      <c r="D21" s="143"/>
      <c r="E21" s="143"/>
      <c r="F21" s="13"/>
      <c r="G21" s="12"/>
      <c r="H21" s="166">
        <f t="shared" si="0"/>
        <v>0</v>
      </c>
      <c r="I21" s="167"/>
      <c r="J21" s="167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44482</v>
      </c>
      <c r="C22" s="7"/>
      <c r="D22" s="143"/>
      <c r="E22" s="143"/>
      <c r="F22" s="13"/>
      <c r="G22" s="12"/>
      <c r="H22" s="166">
        <f t="shared" ref="H22:H35" si="4">F22*8.79</f>
        <v>0</v>
      </c>
      <c r="I22" s="167"/>
      <c r="J22" s="167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44483</v>
      </c>
      <c r="C23" s="7"/>
      <c r="D23" s="143"/>
      <c r="E23" s="143"/>
      <c r="F23" s="13"/>
      <c r="G23" s="14"/>
      <c r="H23" s="166">
        <f t="shared" si="4"/>
        <v>0</v>
      </c>
      <c r="I23" s="167"/>
      <c r="J23" s="167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44484</v>
      </c>
      <c r="C24" s="7"/>
      <c r="D24" s="143"/>
      <c r="E24" s="143"/>
      <c r="F24" s="13"/>
      <c r="G24" s="14"/>
      <c r="H24" s="166">
        <f t="shared" si="4"/>
        <v>0</v>
      </c>
      <c r="I24" s="167"/>
      <c r="J24" s="167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44485</v>
      </c>
      <c r="C25" s="7"/>
      <c r="D25" s="143"/>
      <c r="E25" s="143"/>
      <c r="F25" s="13"/>
      <c r="G25" s="14"/>
      <c r="H25" s="166">
        <f t="shared" si="4"/>
        <v>0</v>
      </c>
      <c r="I25" s="167"/>
      <c r="J25" s="167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44486</v>
      </c>
      <c r="C26" s="7"/>
      <c r="D26" s="143"/>
      <c r="E26" s="143"/>
      <c r="F26" s="13"/>
      <c r="G26" s="14"/>
      <c r="H26" s="166">
        <f t="shared" si="4"/>
        <v>0</v>
      </c>
      <c r="I26" s="167"/>
      <c r="J26" s="167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44487</v>
      </c>
      <c r="C27" s="7"/>
      <c r="D27" s="143"/>
      <c r="E27" s="143"/>
      <c r="F27" s="13"/>
      <c r="G27" s="14"/>
      <c r="H27" s="166">
        <f t="shared" si="4"/>
        <v>0</v>
      </c>
      <c r="I27" s="167"/>
      <c r="J27" s="167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44488</v>
      </c>
      <c r="C28" s="7"/>
      <c r="D28" s="143"/>
      <c r="E28" s="143"/>
      <c r="F28" s="13"/>
      <c r="G28" s="11"/>
      <c r="H28" s="166">
        <f t="shared" si="4"/>
        <v>0</v>
      </c>
      <c r="I28" s="167"/>
      <c r="J28" s="167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44489</v>
      </c>
      <c r="C29" s="7"/>
      <c r="D29" s="143"/>
      <c r="E29" s="143"/>
      <c r="F29" s="13"/>
      <c r="G29" s="11"/>
      <c r="H29" s="166">
        <f t="shared" si="4"/>
        <v>0</v>
      </c>
      <c r="I29" s="167"/>
      <c r="J29" s="167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44490</v>
      </c>
      <c r="C30" s="7"/>
      <c r="D30" s="143"/>
      <c r="E30" s="143"/>
      <c r="F30" s="13"/>
      <c r="G30" s="11"/>
      <c r="H30" s="166">
        <f t="shared" si="4"/>
        <v>0</v>
      </c>
      <c r="I30" s="167"/>
      <c r="J30" s="167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44491</v>
      </c>
      <c r="C31" s="7"/>
      <c r="D31" s="143"/>
      <c r="E31" s="143"/>
      <c r="F31" s="13"/>
      <c r="G31" s="11"/>
      <c r="H31" s="166">
        <f t="shared" si="4"/>
        <v>0</v>
      </c>
      <c r="I31" s="167"/>
      <c r="J31" s="167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44492</v>
      </c>
      <c r="C32" s="7"/>
      <c r="D32" s="143"/>
      <c r="E32" s="143"/>
      <c r="F32" s="13"/>
      <c r="G32" s="11"/>
      <c r="H32" s="166">
        <f t="shared" si="4"/>
        <v>0</v>
      </c>
      <c r="I32" s="167"/>
      <c r="J32" s="167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44493</v>
      </c>
      <c r="C33" s="7"/>
      <c r="D33" s="143"/>
      <c r="E33" s="143"/>
      <c r="F33" s="13"/>
      <c r="G33" s="11"/>
      <c r="H33" s="166">
        <f t="shared" si="4"/>
        <v>0</v>
      </c>
      <c r="I33" s="167"/>
      <c r="J33" s="167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44494</v>
      </c>
      <c r="C34" s="7"/>
      <c r="D34" s="143"/>
      <c r="E34" s="143"/>
      <c r="F34" s="13"/>
      <c r="G34" s="11"/>
      <c r="H34" s="166">
        <f t="shared" si="4"/>
        <v>0</v>
      </c>
      <c r="I34" s="167"/>
      <c r="J34" s="167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44495</v>
      </c>
      <c r="C35" s="7"/>
      <c r="D35" s="143"/>
      <c r="E35" s="143"/>
      <c r="F35" s="13"/>
      <c r="G35" s="11"/>
      <c r="H35" s="166">
        <f t="shared" si="4"/>
        <v>0</v>
      </c>
      <c r="I35" s="167"/>
      <c r="J35" s="167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44496</v>
      </c>
      <c r="C36" s="7"/>
      <c r="D36" s="143"/>
      <c r="E36" s="143"/>
      <c r="F36" s="13"/>
      <c r="G36" s="11"/>
      <c r="H36" s="166">
        <f>F36*8.79</f>
        <v>0</v>
      </c>
      <c r="I36" s="167"/>
      <c r="J36" s="167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44497</v>
      </c>
      <c r="C37" s="7"/>
      <c r="D37" s="143"/>
      <c r="E37" s="143"/>
      <c r="F37" s="13"/>
      <c r="G37" s="11"/>
      <c r="H37" s="166">
        <f t="shared" ref="H37:H38" si="5">F37*8.79</f>
        <v>0</v>
      </c>
      <c r="I37" s="167"/>
      <c r="J37" s="167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44498</v>
      </c>
      <c r="C38" s="7"/>
      <c r="D38" s="143"/>
      <c r="E38" s="143"/>
      <c r="F38" s="13"/>
      <c r="G38" s="11"/>
      <c r="H38" s="166">
        <f t="shared" si="5"/>
        <v>0</v>
      </c>
      <c r="I38" s="167"/>
      <c r="J38" s="167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44499</v>
      </c>
      <c r="C39" s="7"/>
      <c r="D39" s="143"/>
      <c r="E39" s="143"/>
      <c r="F39" s="13"/>
      <c r="G39" s="11"/>
      <c r="H39" s="166">
        <f t="shared" ref="H39" si="6">F39*8.79</f>
        <v>0</v>
      </c>
      <c r="I39" s="167"/>
      <c r="J39" s="167"/>
      <c r="K39" s="60"/>
      <c r="L39" s="90"/>
      <c r="M39" s="91"/>
      <c r="N39" s="91"/>
      <c r="O39" s="91"/>
      <c r="P39" s="11"/>
      <c r="Q39" s="34"/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44500</v>
      </c>
      <c r="C40" s="7"/>
      <c r="D40" s="143"/>
      <c r="E40" s="143"/>
      <c r="F40" s="13"/>
      <c r="G40" s="11"/>
      <c r="H40" s="166">
        <f t="shared" ref="H40" si="7">F40*8.79</f>
        <v>0</v>
      </c>
      <c r="I40" s="167"/>
      <c r="J40" s="167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315</v>
      </c>
      <c r="E41" s="8">
        <f>SUM(E10:E40)</f>
        <v>458</v>
      </c>
      <c r="F41" s="152">
        <f>SUM(F10:F40)</f>
        <v>494.5</v>
      </c>
      <c r="G41" s="1"/>
      <c r="H41" s="247">
        <f>SUM(H10:H40)</f>
        <v>4346.6549999999997</v>
      </c>
      <c r="I41" s="248"/>
      <c r="J41" s="249"/>
      <c r="K41" s="1"/>
      <c r="L41" s="53">
        <f>SUM(L10:L40)</f>
        <v>21033</v>
      </c>
      <c r="M41" s="53">
        <f>SUM(M10:M40)</f>
        <v>37974</v>
      </c>
      <c r="N41" s="54">
        <f>SUM(N10:N40)</f>
        <v>16911</v>
      </c>
      <c r="O41" s="55">
        <f>SUM(O10:O40)</f>
        <v>75918</v>
      </c>
      <c r="P41" s="31"/>
      <c r="Q41" s="32">
        <f>SUM(Q10:Q40)</f>
        <v>73086.918900000004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1852.5500000000002</v>
      </c>
      <c r="W41" s="31"/>
      <c r="X41" s="32">
        <f>SUM(X10:X40)</f>
        <v>18460.660749999999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2" t="s">
        <v>33</v>
      </c>
      <c r="B43" s="203"/>
      <c r="C43" s="203"/>
      <c r="D43" s="203"/>
      <c r="E43" s="203"/>
      <c r="F43" s="204"/>
      <c r="G43" s="26"/>
      <c r="H43" s="27" t="s">
        <v>34</v>
      </c>
      <c r="I43" s="241" t="s">
        <v>35</v>
      </c>
      <c r="J43" s="242"/>
      <c r="K43" s="243"/>
      <c r="L43" s="216" t="s">
        <v>36</v>
      </c>
      <c r="M43" s="217"/>
      <c r="N43" s="202" t="s">
        <v>37</v>
      </c>
      <c r="O43" s="203"/>
      <c r="P43" s="203"/>
      <c r="Q43" s="203"/>
      <c r="R43" s="203"/>
      <c r="S43" s="203"/>
      <c r="T43" s="203"/>
      <c r="U43" s="203"/>
      <c r="V43" s="203"/>
      <c r="W43" s="203"/>
      <c r="X43" s="204"/>
    </row>
    <row r="44" spans="1:24" s="18" customFormat="1" ht="29.25" customHeight="1" thickBot="1">
      <c r="A44" s="210" t="s">
        <v>38</v>
      </c>
      <c r="B44" s="211"/>
      <c r="C44" s="212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7">
        <f>L41</f>
        <v>21033</v>
      </c>
      <c r="J44" s="208"/>
      <c r="K44" s="209"/>
      <c r="L44" s="168">
        <f>I44*H44</f>
        <v>14691.550499999999</v>
      </c>
      <c r="M44" s="169"/>
      <c r="N44" s="225">
        <f>L44+L45+L46</f>
        <v>73318.408500000005</v>
      </c>
      <c r="O44" s="226"/>
      <c r="P44" s="226"/>
      <c r="Q44" s="226"/>
      <c r="R44" s="226"/>
      <c r="S44" s="226"/>
      <c r="T44" s="226"/>
      <c r="U44" s="226"/>
      <c r="V44" s="226"/>
      <c r="W44" s="226"/>
      <c r="X44" s="227"/>
    </row>
    <row r="45" spans="1:24" s="18" customFormat="1" ht="29.25" customHeight="1" thickBot="1">
      <c r="A45" s="213"/>
      <c r="B45" s="214"/>
      <c r="C45" s="215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7">
        <f>M41</f>
        <v>37974</v>
      </c>
      <c r="J45" s="208"/>
      <c r="K45" s="209"/>
      <c r="L45" s="168">
        <f>I45*H45</f>
        <v>36128.463600000003</v>
      </c>
      <c r="M45" s="169"/>
      <c r="N45" s="228"/>
      <c r="O45" s="229"/>
      <c r="P45" s="229"/>
      <c r="Q45" s="229"/>
      <c r="R45" s="229"/>
      <c r="S45" s="229"/>
      <c r="T45" s="229"/>
      <c r="U45" s="229"/>
      <c r="V45" s="229"/>
      <c r="W45" s="229"/>
      <c r="X45" s="230"/>
    </row>
    <row r="46" spans="1:24" s="18" customFormat="1" ht="24.75" customHeight="1" thickBot="1">
      <c r="A46" s="213"/>
      <c r="B46" s="214"/>
      <c r="C46" s="215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38">
        <f>N41</f>
        <v>16911</v>
      </c>
      <c r="J46" s="239"/>
      <c r="K46" s="240"/>
      <c r="L46" s="168">
        <f>I46*H46</f>
        <v>22498.394400000001</v>
      </c>
      <c r="M46" s="169"/>
      <c r="N46" s="231"/>
      <c r="O46" s="232"/>
      <c r="P46" s="232"/>
      <c r="Q46" s="232"/>
      <c r="R46" s="232"/>
      <c r="S46" s="232"/>
      <c r="T46" s="232"/>
      <c r="U46" s="232"/>
      <c r="V46" s="232"/>
      <c r="W46" s="232"/>
      <c r="X46" s="23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4">
        <f>N44*1.3</f>
        <v>95313.931050000014</v>
      </c>
      <c r="O47" s="245"/>
      <c r="P47" s="245"/>
      <c r="Q47" s="245"/>
      <c r="R47" s="245"/>
      <c r="S47" s="245"/>
      <c r="T47" s="245"/>
      <c r="U47" s="245"/>
      <c r="V47" s="245"/>
      <c r="W47" s="245"/>
      <c r="X47" s="246"/>
    </row>
    <row r="48" spans="1:24" s="23" customFormat="1" ht="32.25" customHeight="1" thickBot="1">
      <c r="A48" s="199" t="s">
        <v>39</v>
      </c>
      <c r="B48" s="200"/>
      <c r="C48" s="200"/>
      <c r="D48" s="200"/>
      <c r="E48" s="200"/>
      <c r="F48" s="201"/>
      <c r="G48" s="21"/>
      <c r="H48" s="22">
        <v>8.7899999999999991</v>
      </c>
      <c r="I48" s="199">
        <f>F41</f>
        <v>494.5</v>
      </c>
      <c r="J48" s="200"/>
      <c r="K48" s="201"/>
      <c r="L48" s="205">
        <f>I48*H48</f>
        <v>4346.6549999999997</v>
      </c>
      <c r="M48" s="206"/>
      <c r="N48" s="222">
        <f>L48</f>
        <v>4346.6549999999997</v>
      </c>
      <c r="O48" s="223"/>
      <c r="P48" s="223"/>
      <c r="Q48" s="223"/>
      <c r="R48" s="223"/>
      <c r="S48" s="223"/>
      <c r="T48" s="223"/>
      <c r="U48" s="223"/>
      <c r="V48" s="223"/>
      <c r="W48" s="223"/>
      <c r="X48" s="224"/>
    </row>
    <row r="49" spans="1:24" s="23" customFormat="1" ht="36.75" customHeight="1">
      <c r="A49" s="234" t="s">
        <v>40</v>
      </c>
      <c r="B49" s="235"/>
      <c r="C49" s="235"/>
      <c r="D49" s="235"/>
      <c r="E49" s="235"/>
      <c r="F49" s="236"/>
      <c r="G49" s="24"/>
      <c r="H49" s="25">
        <v>9.9649999999999999</v>
      </c>
      <c r="I49" s="197">
        <f>V41</f>
        <v>1852.5500000000002</v>
      </c>
      <c r="J49" s="237"/>
      <c r="K49" s="198"/>
      <c r="L49" s="197">
        <f>I49*H49</f>
        <v>18460.660750000003</v>
      </c>
      <c r="M49" s="198"/>
      <c r="N49" s="219">
        <f>L49</f>
        <v>18460.660750000003</v>
      </c>
      <c r="O49" s="220"/>
      <c r="P49" s="220"/>
      <c r="Q49" s="220"/>
      <c r="R49" s="220"/>
      <c r="S49" s="220"/>
      <c r="T49" s="220"/>
      <c r="U49" s="220"/>
      <c r="V49" s="220"/>
      <c r="W49" s="220"/>
      <c r="X49" s="22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K12" sqref="K12:K13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44470</v>
      </c>
      <c r="B9" s="116">
        <v>2560</v>
      </c>
      <c r="C9" s="115">
        <v>0</v>
      </c>
      <c r="D9" s="57">
        <v>124345.2</v>
      </c>
      <c r="E9" s="50">
        <v>111</v>
      </c>
      <c r="F9" s="51">
        <v>11040400</v>
      </c>
      <c r="G9" s="50">
        <v>3908</v>
      </c>
      <c r="H9" s="51">
        <v>18812100</v>
      </c>
      <c r="I9" s="50">
        <v>8144</v>
      </c>
      <c r="J9" s="51">
        <v>8253129</v>
      </c>
      <c r="K9" s="50">
        <v>3340</v>
      </c>
    </row>
    <row r="10" spans="1:12" ht="19.5">
      <c r="A10" s="59">
        <v>44471</v>
      </c>
      <c r="B10" s="116">
        <v>2560</v>
      </c>
      <c r="C10" s="115">
        <f>B10-B9</f>
        <v>0</v>
      </c>
      <c r="D10" s="57">
        <v>124445.3</v>
      </c>
      <c r="E10" s="50">
        <f>D10-D9</f>
        <v>100.10000000000582</v>
      </c>
      <c r="F10" s="51">
        <v>11045095</v>
      </c>
      <c r="G10" s="50">
        <f>F10-F9</f>
        <v>4695</v>
      </c>
      <c r="H10" s="51">
        <v>18819677</v>
      </c>
      <c r="I10" s="50">
        <f>H10-H9</f>
        <v>7577</v>
      </c>
      <c r="J10" s="51">
        <v>8256643</v>
      </c>
      <c r="K10" s="50">
        <f>J10-J9</f>
        <v>3514</v>
      </c>
    </row>
    <row r="11" spans="1:12" ht="19.5">
      <c r="A11" s="59">
        <v>44472</v>
      </c>
      <c r="B11" s="116">
        <v>2560</v>
      </c>
      <c r="C11" s="115">
        <v>0</v>
      </c>
      <c r="D11" s="57">
        <v>124536.1</v>
      </c>
      <c r="E11" s="50">
        <f t="shared" ref="E11:E13" si="0">D11-D10</f>
        <v>90.80000000000291</v>
      </c>
      <c r="F11" s="51">
        <v>11049454</v>
      </c>
      <c r="G11" s="50">
        <f t="shared" ref="G11:G13" si="1">F11-F10</f>
        <v>4359</v>
      </c>
      <c r="H11" s="51">
        <v>18827121</v>
      </c>
      <c r="I11" s="50">
        <f t="shared" ref="I11:I13" si="2">H11-H10</f>
        <v>7444</v>
      </c>
      <c r="J11" s="51">
        <v>8260005</v>
      </c>
      <c r="K11" s="50">
        <f t="shared" ref="K11:K13" si="3">J11-J10</f>
        <v>3362</v>
      </c>
    </row>
    <row r="12" spans="1:12" ht="19.5">
      <c r="A12" s="59">
        <v>44473</v>
      </c>
      <c r="B12" s="116">
        <v>2560</v>
      </c>
      <c r="C12" s="115">
        <v>0</v>
      </c>
      <c r="D12" s="57">
        <v>124631.2</v>
      </c>
      <c r="E12" s="50">
        <f t="shared" si="0"/>
        <v>95.099999999991269</v>
      </c>
      <c r="F12" s="51">
        <v>11053381</v>
      </c>
      <c r="G12" s="50">
        <f t="shared" si="1"/>
        <v>3927</v>
      </c>
      <c r="H12" s="51">
        <v>18834226</v>
      </c>
      <c r="I12" s="50">
        <f t="shared" si="2"/>
        <v>7105</v>
      </c>
      <c r="J12" s="51">
        <v>8263360</v>
      </c>
      <c r="K12" s="50">
        <f t="shared" si="3"/>
        <v>3355</v>
      </c>
    </row>
    <row r="13" spans="1:12" ht="19.5">
      <c r="A13" s="59">
        <v>44474</v>
      </c>
      <c r="B13" s="116">
        <v>2560</v>
      </c>
      <c r="C13" s="115">
        <v>0</v>
      </c>
      <c r="D13" s="57">
        <v>124728.7</v>
      </c>
      <c r="E13" s="50">
        <f t="shared" si="0"/>
        <v>97.5</v>
      </c>
      <c r="F13" s="51">
        <v>11057525</v>
      </c>
      <c r="G13" s="50">
        <f t="shared" si="1"/>
        <v>4144</v>
      </c>
      <c r="H13" s="51">
        <v>18841930</v>
      </c>
      <c r="I13" s="50">
        <f t="shared" si="2"/>
        <v>7704</v>
      </c>
      <c r="J13" s="51">
        <v>8266700</v>
      </c>
      <c r="K13" s="50">
        <f t="shared" si="3"/>
        <v>3340</v>
      </c>
    </row>
    <row r="14" spans="1:12" ht="19.5">
      <c r="A14" s="59">
        <v>44475</v>
      </c>
      <c r="B14" s="116"/>
      <c r="C14" s="115"/>
      <c r="D14" s="57"/>
      <c r="E14" s="50"/>
      <c r="F14" s="51"/>
      <c r="G14" s="50"/>
      <c r="H14" s="51"/>
      <c r="I14" s="50"/>
      <c r="J14" s="51"/>
      <c r="K14" s="50"/>
    </row>
    <row r="15" spans="1:12" ht="19.5">
      <c r="A15" s="59">
        <v>44476</v>
      </c>
      <c r="B15" s="116"/>
      <c r="C15" s="115">
        <f>B15-B14</f>
        <v>0</v>
      </c>
      <c r="D15" s="57"/>
      <c r="E15" s="50">
        <f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44477</v>
      </c>
      <c r="B16" s="116"/>
      <c r="C16" s="115">
        <f>B16-B15</f>
        <v>0</v>
      </c>
      <c r="D16" s="57"/>
      <c r="E16" s="50">
        <f>D16-D15</f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44478</v>
      </c>
      <c r="B17" s="116"/>
      <c r="C17" s="115">
        <f>B17-B16</f>
        <v>0</v>
      </c>
      <c r="D17" s="57"/>
      <c r="E17" s="50">
        <f>D17-D16</f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44479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44480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44481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44482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44483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44484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44485</v>
      </c>
      <c r="B24" s="116"/>
      <c r="C24" s="115">
        <f>B24-B23</f>
        <v>0</v>
      </c>
      <c r="D24" s="57"/>
      <c r="E24" s="50">
        <f>D24-D23</f>
        <v>0</v>
      </c>
      <c r="F24" s="51"/>
      <c r="G24" s="50">
        <f>F24-F23</f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44486</v>
      </c>
      <c r="B25" s="116"/>
      <c r="C25" s="115">
        <f>B25-B24</f>
        <v>0</v>
      </c>
      <c r="D25" s="57"/>
      <c r="E25" s="50">
        <f>D25-D24</f>
        <v>0</v>
      </c>
      <c r="F25" s="51"/>
      <c r="G25" s="50">
        <f>F25-F24</f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44487</v>
      </c>
      <c r="B26" s="116"/>
      <c r="C26" s="115">
        <f>B26-B25</f>
        <v>0</v>
      </c>
      <c r="D26" s="57"/>
      <c r="E26" s="50">
        <f>D26-D25</f>
        <v>0</v>
      </c>
      <c r="F26" s="51"/>
      <c r="G26" s="50">
        <f>F26-F25</f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44488</v>
      </c>
      <c r="B27" s="116"/>
      <c r="C27" s="115">
        <f t="shared" ref="C11:D40" si="4">B27-B26</f>
        <v>0</v>
      </c>
      <c r="D27" s="57"/>
      <c r="E27" s="50">
        <f t="shared" ref="E11:E40" si="5">D27-D26</f>
        <v>0</v>
      </c>
      <c r="F27" s="51"/>
      <c r="G27" s="50">
        <f t="shared" ref="G11:H40" si="6">F27-F26</f>
        <v>0</v>
      </c>
      <c r="H27" s="51"/>
      <c r="I27" s="50">
        <f t="shared" ref="I11:I40" si="7">H27-H26</f>
        <v>0</v>
      </c>
      <c r="J27" s="51"/>
      <c r="K27" s="50">
        <f t="shared" ref="K11:K40" si="8">J27-J26</f>
        <v>0</v>
      </c>
    </row>
    <row r="28" spans="1:29" ht="19.5">
      <c r="A28" s="59">
        <v>44489</v>
      </c>
      <c r="B28" s="116"/>
      <c r="C28" s="115">
        <f t="shared" si="4"/>
        <v>0</v>
      </c>
      <c r="D28" s="57"/>
      <c r="E28" s="50">
        <f t="shared" si="5"/>
        <v>0</v>
      </c>
      <c r="F28" s="51"/>
      <c r="G28" s="50">
        <f t="shared" si="6"/>
        <v>0</v>
      </c>
      <c r="H28" s="51"/>
      <c r="I28" s="50">
        <f t="shared" si="7"/>
        <v>0</v>
      </c>
      <c r="J28" s="51"/>
      <c r="K28" s="50">
        <f t="shared" si="8"/>
        <v>0</v>
      </c>
    </row>
    <row r="29" spans="1:29" ht="19.5">
      <c r="A29" s="59">
        <v>44490</v>
      </c>
      <c r="B29" s="116"/>
      <c r="C29" s="115">
        <f t="shared" si="4"/>
        <v>0</v>
      </c>
      <c r="D29" s="57"/>
      <c r="E29" s="50">
        <f t="shared" si="5"/>
        <v>0</v>
      </c>
      <c r="F29" s="51"/>
      <c r="G29" s="50">
        <f t="shared" si="6"/>
        <v>0</v>
      </c>
      <c r="H29" s="51"/>
      <c r="I29" s="50">
        <f t="shared" si="7"/>
        <v>0</v>
      </c>
      <c r="J29" s="51"/>
      <c r="K29" s="50">
        <f t="shared" si="8"/>
        <v>0</v>
      </c>
    </row>
    <row r="30" spans="1:29" ht="19.5">
      <c r="A30" s="59">
        <v>44491</v>
      </c>
      <c r="B30" s="116"/>
      <c r="C30" s="115">
        <f t="shared" si="4"/>
        <v>0</v>
      </c>
      <c r="D30" s="57"/>
      <c r="E30" s="50">
        <f t="shared" si="5"/>
        <v>0</v>
      </c>
      <c r="F30" s="51"/>
      <c r="G30" s="50">
        <f t="shared" si="6"/>
        <v>0</v>
      </c>
      <c r="H30" s="51"/>
      <c r="I30" s="50">
        <f t="shared" si="7"/>
        <v>0</v>
      </c>
      <c r="J30" s="51"/>
      <c r="K30" s="50">
        <f t="shared" si="8"/>
        <v>0</v>
      </c>
    </row>
    <row r="31" spans="1:29" ht="19.5">
      <c r="A31" s="59">
        <v>44492</v>
      </c>
      <c r="B31" s="116"/>
      <c r="C31" s="115">
        <f t="shared" si="4"/>
        <v>0</v>
      </c>
      <c r="D31" s="57"/>
      <c r="E31" s="50">
        <f t="shared" si="5"/>
        <v>0</v>
      </c>
      <c r="F31" s="51"/>
      <c r="G31" s="50">
        <f t="shared" si="6"/>
        <v>0</v>
      </c>
      <c r="H31" s="51"/>
      <c r="I31" s="50">
        <f t="shared" si="7"/>
        <v>0</v>
      </c>
      <c r="J31" s="51"/>
      <c r="K31" s="50">
        <f t="shared" si="8"/>
        <v>0</v>
      </c>
    </row>
    <row r="32" spans="1:29" ht="19.5">
      <c r="A32" s="59">
        <v>44493</v>
      </c>
      <c r="B32" s="116"/>
      <c r="C32" s="115">
        <f t="shared" si="4"/>
        <v>0</v>
      </c>
      <c r="D32" s="57"/>
      <c r="E32" s="50">
        <f t="shared" si="5"/>
        <v>0</v>
      </c>
      <c r="F32" s="51"/>
      <c r="G32" s="50">
        <f t="shared" si="6"/>
        <v>0</v>
      </c>
      <c r="H32" s="51"/>
      <c r="I32" s="50">
        <f t="shared" si="7"/>
        <v>0</v>
      </c>
      <c r="J32" s="51"/>
      <c r="K32" s="50">
        <f t="shared" si="8"/>
        <v>0</v>
      </c>
    </row>
    <row r="33" spans="1:11" ht="19.5">
      <c r="A33" s="59">
        <v>44494</v>
      </c>
      <c r="B33" s="116"/>
      <c r="C33" s="115">
        <f t="shared" si="4"/>
        <v>0</v>
      </c>
      <c r="D33" s="57"/>
      <c r="E33" s="50">
        <f t="shared" si="5"/>
        <v>0</v>
      </c>
      <c r="F33" s="51"/>
      <c r="G33" s="50">
        <f t="shared" si="6"/>
        <v>0</v>
      </c>
      <c r="H33" s="51"/>
      <c r="I33" s="50">
        <f t="shared" si="7"/>
        <v>0</v>
      </c>
      <c r="J33" s="51"/>
      <c r="K33" s="50">
        <f t="shared" si="8"/>
        <v>0</v>
      </c>
    </row>
    <row r="34" spans="1:11" ht="19.5">
      <c r="A34" s="59">
        <v>44495</v>
      </c>
      <c r="B34" s="116"/>
      <c r="C34" s="115">
        <f t="shared" si="4"/>
        <v>0</v>
      </c>
      <c r="D34" s="57"/>
      <c r="E34" s="50">
        <f t="shared" si="5"/>
        <v>0</v>
      </c>
      <c r="F34" s="51"/>
      <c r="G34" s="50">
        <f t="shared" si="6"/>
        <v>0</v>
      </c>
      <c r="H34" s="51"/>
      <c r="I34" s="50">
        <f t="shared" si="7"/>
        <v>0</v>
      </c>
      <c r="J34" s="51"/>
      <c r="K34" s="50">
        <f t="shared" si="8"/>
        <v>0</v>
      </c>
    </row>
    <row r="35" spans="1:11" ht="19.5">
      <c r="A35" s="59">
        <v>44496</v>
      </c>
      <c r="B35" s="116"/>
      <c r="C35" s="115">
        <f t="shared" si="4"/>
        <v>0</v>
      </c>
      <c r="D35" s="57"/>
      <c r="E35" s="50">
        <f t="shared" si="5"/>
        <v>0</v>
      </c>
      <c r="F35" s="51"/>
      <c r="G35" s="50">
        <f t="shared" si="6"/>
        <v>0</v>
      </c>
      <c r="H35" s="51"/>
      <c r="I35" s="50">
        <f t="shared" si="7"/>
        <v>0</v>
      </c>
      <c r="J35" s="51"/>
      <c r="K35" s="50">
        <f t="shared" si="8"/>
        <v>0</v>
      </c>
    </row>
    <row r="36" spans="1:11" ht="19.5">
      <c r="A36" s="59">
        <v>44497</v>
      </c>
      <c r="B36" s="116"/>
      <c r="C36" s="115">
        <f t="shared" si="4"/>
        <v>0</v>
      </c>
      <c r="D36" s="57"/>
      <c r="E36" s="50">
        <f t="shared" si="5"/>
        <v>0</v>
      </c>
      <c r="F36" s="51"/>
      <c r="G36" s="50">
        <f t="shared" si="6"/>
        <v>0</v>
      </c>
      <c r="H36" s="51"/>
      <c r="I36" s="50">
        <f t="shared" si="7"/>
        <v>0</v>
      </c>
      <c r="J36" s="51"/>
      <c r="K36" s="50">
        <f t="shared" si="8"/>
        <v>0</v>
      </c>
    </row>
    <row r="37" spans="1:11" ht="19.5">
      <c r="A37" s="59">
        <v>44498</v>
      </c>
      <c r="B37" s="116"/>
      <c r="C37" s="115">
        <f t="shared" si="4"/>
        <v>0</v>
      </c>
      <c r="D37" s="57"/>
      <c r="E37" s="50">
        <f t="shared" si="5"/>
        <v>0</v>
      </c>
      <c r="F37" s="51"/>
      <c r="G37" s="50">
        <f t="shared" si="6"/>
        <v>0</v>
      </c>
      <c r="H37" s="51"/>
      <c r="I37" s="50">
        <f t="shared" si="7"/>
        <v>0</v>
      </c>
      <c r="J37" s="51"/>
      <c r="K37" s="50">
        <f t="shared" si="8"/>
        <v>0</v>
      </c>
    </row>
    <row r="38" spans="1:11" ht="19.5">
      <c r="A38" s="59">
        <v>44499</v>
      </c>
      <c r="B38" s="116"/>
      <c r="C38" s="115">
        <f t="shared" si="4"/>
        <v>0</v>
      </c>
      <c r="D38" s="57"/>
      <c r="E38" s="50">
        <f t="shared" si="5"/>
        <v>0</v>
      </c>
      <c r="F38" s="51"/>
      <c r="G38" s="50">
        <f t="shared" si="6"/>
        <v>0</v>
      </c>
      <c r="H38" s="51"/>
      <c r="I38" s="50">
        <f t="shared" si="7"/>
        <v>0</v>
      </c>
      <c r="J38" s="51"/>
      <c r="K38" s="50">
        <f t="shared" si="8"/>
        <v>0</v>
      </c>
    </row>
    <row r="39" spans="1:11" ht="19.5">
      <c r="A39" s="59">
        <v>44500</v>
      </c>
      <c r="B39" s="116"/>
      <c r="C39" s="115">
        <f t="shared" si="4"/>
        <v>0</v>
      </c>
      <c r="D39" s="57"/>
      <c r="E39" s="50">
        <f t="shared" si="5"/>
        <v>0</v>
      </c>
      <c r="F39" s="51"/>
      <c r="G39" s="50">
        <f t="shared" si="6"/>
        <v>0</v>
      </c>
      <c r="H39" s="51"/>
      <c r="I39" s="50">
        <f t="shared" si="7"/>
        <v>0</v>
      </c>
      <c r="J39" s="51"/>
      <c r="K39" s="50">
        <f t="shared" si="8"/>
        <v>0</v>
      </c>
    </row>
    <row r="40" spans="1:11" ht="21.75" customHeight="1">
      <c r="A40" s="59">
        <v>44501</v>
      </c>
      <c r="B40" s="116"/>
      <c r="C40" s="115">
        <f t="shared" si="4"/>
        <v>0</v>
      </c>
      <c r="D40" s="57"/>
      <c r="E40" s="50">
        <f t="shared" si="5"/>
        <v>0</v>
      </c>
      <c r="F40" s="51"/>
      <c r="G40" s="50">
        <f t="shared" si="6"/>
        <v>0</v>
      </c>
      <c r="H40" s="51"/>
      <c r="I40" s="50">
        <f t="shared" si="7"/>
        <v>0</v>
      </c>
      <c r="J40" s="51"/>
      <c r="K40" s="50">
        <f t="shared" si="8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B9" sqref="B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44470</v>
      </c>
      <c r="B4" s="41">
        <v>68</v>
      </c>
      <c r="C4" s="39">
        <v>0</v>
      </c>
      <c r="D4" s="41">
        <v>70</v>
      </c>
      <c r="E4" s="39">
        <v>0</v>
      </c>
      <c r="F4" s="41">
        <v>70</v>
      </c>
      <c r="G4" s="39">
        <v>0</v>
      </c>
      <c r="H4" s="41">
        <v>70</v>
      </c>
      <c r="I4" s="39">
        <f>IF(AC4&gt;0,((H4-AA4)+(AB4-H5)),IF(H5=0, ,(H4-H5)))</f>
        <v>4</v>
      </c>
      <c r="J4" s="39">
        <f>B4+D4+F4+H4</f>
        <v>278</v>
      </c>
      <c r="K4" s="39">
        <f>J4/4</f>
        <v>69.5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O4*9.965</f>
        <v>5166.0553000000009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44471</v>
      </c>
      <c r="B5" s="41">
        <v>65</v>
      </c>
      <c r="C5" s="39">
        <f t="shared" ref="C4:C35" si="3">IF(AC5&gt;0,((B5-R5)+(S5-B6)),IF(B6=0, ,(B5-B6)))</f>
        <v>2</v>
      </c>
      <c r="D5" s="41">
        <v>65</v>
      </c>
      <c r="E5" s="39">
        <f t="shared" ref="E4:E35" si="4">IF(AC5&gt;0,((D5-U5)+(V5-D6)),IF(D6=0, ,(D5-D6)))</f>
        <v>2</v>
      </c>
      <c r="F5" s="41">
        <v>68</v>
      </c>
      <c r="G5" s="39">
        <f t="shared" ref="G4:G35" si="5">IF(AC5&gt;0,((F5-X5)+(Y5-F6)),IF(F6=0, ,(F5-F6)))</f>
        <v>4</v>
      </c>
      <c r="H5" s="41">
        <v>66</v>
      </c>
      <c r="I5" s="39">
        <f>IF(AC5&gt;0,((H5-AA5)+(AB5-H6)),IF(H6=0, ,(H5-H6)))</f>
        <v>1</v>
      </c>
      <c r="J5" s="39">
        <f>B5+D5+F5+H5</f>
        <v>264</v>
      </c>
      <c r="K5" s="39">
        <f>J5/4</f>
        <v>66</v>
      </c>
      <c r="L5" s="39">
        <f>IF(AC5&gt;0,((K5-AD5)+(AE5-K6)),IF(K6=0, ,(K5-K6)))</f>
        <v>2.25</v>
      </c>
      <c r="M5" s="149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42" si="7">O5*9.965</f>
        <v>3321.0355500000005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44472</v>
      </c>
      <c r="B6" s="41">
        <v>63</v>
      </c>
      <c r="C6" s="39">
        <f t="shared" si="3"/>
        <v>3</v>
      </c>
      <c r="D6" s="41">
        <v>63</v>
      </c>
      <c r="E6" s="39">
        <f t="shared" si="4"/>
        <v>3</v>
      </c>
      <c r="F6" s="41">
        <v>64</v>
      </c>
      <c r="G6" s="39">
        <f t="shared" si="5"/>
        <v>2</v>
      </c>
      <c r="H6" s="41">
        <v>65</v>
      </c>
      <c r="I6" s="39">
        <f t="shared" ref="I6:I36" si="8">IF(AC6&gt;0,((H6-AA6)+(AB6-H7)),IF(H7=0, ,(H6-H7)))</f>
        <v>4</v>
      </c>
      <c r="J6" s="39">
        <f t="shared" ref="J6:J42" si="9">B6+D6+F6+H6</f>
        <v>255</v>
      </c>
      <c r="K6" s="39">
        <f t="shared" ref="K6:K42" si="10">J6/4</f>
        <v>63.75</v>
      </c>
      <c r="L6" s="39">
        <f t="shared" ref="L6:L19" si="11">IF(AC6&gt;0,((K6-AD6)+(AE6-K7)),IF(K7=0, ,(K6-K7)))</f>
        <v>3</v>
      </c>
      <c r="M6" s="149">
        <f t="shared" si="6"/>
        <v>28000</v>
      </c>
      <c r="N6" s="39">
        <f t="shared" ref="N6:N42" si="12">L6*M6/100</f>
        <v>840</v>
      </c>
      <c r="O6" s="39">
        <f>N6*0.529</f>
        <v>444.36</v>
      </c>
      <c r="P6" s="42">
        <f t="shared" si="7"/>
        <v>4428.0474000000004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44473</v>
      </c>
      <c r="B7" s="41">
        <v>60</v>
      </c>
      <c r="C7" s="39">
        <f t="shared" si="3"/>
        <v>6</v>
      </c>
      <c r="D7" s="41">
        <v>60</v>
      </c>
      <c r="E7" s="39">
        <f t="shared" si="4"/>
        <v>4</v>
      </c>
      <c r="F7" s="41">
        <v>62</v>
      </c>
      <c r="G7" s="39">
        <f t="shared" si="5"/>
        <v>3</v>
      </c>
      <c r="H7" s="41">
        <v>61</v>
      </c>
      <c r="I7" s="39">
        <f t="shared" si="8"/>
        <v>2</v>
      </c>
      <c r="J7" s="39">
        <f t="shared" si="9"/>
        <v>243</v>
      </c>
      <c r="K7" s="39">
        <f t="shared" si="10"/>
        <v>60.75</v>
      </c>
      <c r="L7" s="39">
        <f t="shared" si="11"/>
        <v>3.75</v>
      </c>
      <c r="M7" s="149">
        <f t="shared" si="6"/>
        <v>28000</v>
      </c>
      <c r="N7" s="39">
        <f t="shared" si="12"/>
        <v>1050</v>
      </c>
      <c r="O7" s="39">
        <f>N7*0.53</f>
        <v>556.5</v>
      </c>
      <c r="P7" s="42">
        <f t="shared" si="7"/>
        <v>5545.5225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44474</v>
      </c>
      <c r="B8" s="41">
        <v>54</v>
      </c>
      <c r="C8" s="39">
        <f t="shared" si="3"/>
        <v>0</v>
      </c>
      <c r="D8" s="41">
        <v>56</v>
      </c>
      <c r="E8" s="39">
        <f t="shared" si="4"/>
        <v>0</v>
      </c>
      <c r="F8" s="41">
        <v>59</v>
      </c>
      <c r="G8" s="39">
        <f t="shared" si="5"/>
        <v>0</v>
      </c>
      <c r="H8" s="41">
        <v>59</v>
      </c>
      <c r="I8" s="39">
        <f t="shared" si="8"/>
        <v>0</v>
      </c>
      <c r="J8" s="39">
        <f t="shared" si="9"/>
        <v>228</v>
      </c>
      <c r="K8" s="39">
        <f t="shared" si="10"/>
        <v>57</v>
      </c>
      <c r="L8" s="39">
        <f t="shared" si="11"/>
        <v>0</v>
      </c>
      <c r="M8" s="149">
        <f>6049*4</f>
        <v>24196</v>
      </c>
      <c r="N8" s="39">
        <f t="shared" si="12"/>
        <v>0</v>
      </c>
      <c r="O8" s="148">
        <f t="shared" ref="O8:O37" si="13">N8*0.529</f>
        <v>0</v>
      </c>
      <c r="P8" s="42">
        <f t="shared" si="7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44475</v>
      </c>
      <c r="B9" s="41"/>
      <c r="C9" s="39">
        <f t="shared" si="3"/>
        <v>0</v>
      </c>
      <c r="D9" s="41"/>
      <c r="E9" s="39">
        <f t="shared" si="4"/>
        <v>0</v>
      </c>
      <c r="F9" s="41"/>
      <c r="G9" s="39">
        <f t="shared" si="5"/>
        <v>0</v>
      </c>
      <c r="H9" s="41"/>
      <c r="I9" s="39">
        <f t="shared" si="8"/>
        <v>0</v>
      </c>
      <c r="J9" s="39">
        <f t="shared" si="9"/>
        <v>0</v>
      </c>
      <c r="K9" s="39">
        <f t="shared" si="10"/>
        <v>0</v>
      </c>
      <c r="L9" s="39">
        <f t="shared" si="11"/>
        <v>0</v>
      </c>
      <c r="M9" s="149">
        <f t="shared" ref="M9:M42" si="14">6049*4</f>
        <v>24196</v>
      </c>
      <c r="N9" s="39">
        <f t="shared" si="12"/>
        <v>0</v>
      </c>
      <c r="O9" s="39">
        <f t="shared" si="13"/>
        <v>0</v>
      </c>
      <c r="P9" s="42">
        <f t="shared" si="7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0"/>
        <v>0</v>
      </c>
      <c r="AD9" s="38">
        <f t="shared" si="1"/>
        <v>0</v>
      </c>
      <c r="AE9" s="38">
        <f t="shared" si="2"/>
        <v>0</v>
      </c>
    </row>
    <row r="10" spans="1:31" ht="32.25" customHeight="1">
      <c r="A10" s="40">
        <v>44476</v>
      </c>
      <c r="B10" s="41"/>
      <c r="C10" s="39">
        <f t="shared" si="3"/>
        <v>0</v>
      </c>
      <c r="D10" s="41"/>
      <c r="E10" s="39">
        <f t="shared" si="4"/>
        <v>0</v>
      </c>
      <c r="F10" s="41"/>
      <c r="G10" s="39">
        <f t="shared" si="5"/>
        <v>0</v>
      </c>
      <c r="H10" s="41"/>
      <c r="I10" s="39">
        <f t="shared" si="8"/>
        <v>0</v>
      </c>
      <c r="J10" s="39">
        <f t="shared" si="9"/>
        <v>0</v>
      </c>
      <c r="K10" s="39">
        <f t="shared" si="10"/>
        <v>0</v>
      </c>
      <c r="L10" s="39">
        <f t="shared" si="11"/>
        <v>0</v>
      </c>
      <c r="M10" s="149">
        <f t="shared" si="14"/>
        <v>24196</v>
      </c>
      <c r="N10" s="39">
        <f t="shared" si="12"/>
        <v>0</v>
      </c>
      <c r="O10" s="148">
        <f t="shared" si="13"/>
        <v>0</v>
      </c>
      <c r="P10" s="42">
        <f t="shared" si="7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44477</v>
      </c>
      <c r="B11" s="41"/>
      <c r="C11" s="39">
        <f t="shared" si="3"/>
        <v>0</v>
      </c>
      <c r="D11" s="41"/>
      <c r="E11" s="39">
        <f t="shared" si="4"/>
        <v>0</v>
      </c>
      <c r="F11" s="41"/>
      <c r="G11" s="39">
        <f t="shared" si="5"/>
        <v>0</v>
      </c>
      <c r="H11" s="41"/>
      <c r="I11" s="39">
        <f t="shared" si="8"/>
        <v>0</v>
      </c>
      <c r="J11" s="39">
        <f t="shared" si="9"/>
        <v>0</v>
      </c>
      <c r="K11" s="39">
        <f t="shared" si="10"/>
        <v>0</v>
      </c>
      <c r="L11" s="39">
        <f t="shared" si="11"/>
        <v>0</v>
      </c>
      <c r="M11" s="149">
        <f t="shared" si="14"/>
        <v>24196</v>
      </c>
      <c r="N11" s="39">
        <f t="shared" si="12"/>
        <v>0</v>
      </c>
      <c r="O11" s="39">
        <f t="shared" si="13"/>
        <v>0</v>
      </c>
      <c r="P11" s="42">
        <f t="shared" si="7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44478</v>
      </c>
      <c r="B12" s="41"/>
      <c r="C12" s="39">
        <f t="shared" si="3"/>
        <v>0</v>
      </c>
      <c r="D12" s="41"/>
      <c r="E12" s="39">
        <f t="shared" si="4"/>
        <v>0</v>
      </c>
      <c r="F12" s="41"/>
      <c r="G12" s="39">
        <f t="shared" si="5"/>
        <v>0</v>
      </c>
      <c r="H12" s="41"/>
      <c r="I12" s="39">
        <f t="shared" si="8"/>
        <v>0</v>
      </c>
      <c r="J12" s="39">
        <f t="shared" si="9"/>
        <v>0</v>
      </c>
      <c r="K12" s="39">
        <f t="shared" si="10"/>
        <v>0</v>
      </c>
      <c r="L12" s="39">
        <f t="shared" si="11"/>
        <v>0</v>
      </c>
      <c r="M12" s="149">
        <f t="shared" si="14"/>
        <v>24196</v>
      </c>
      <c r="N12" s="39">
        <f t="shared" si="12"/>
        <v>0</v>
      </c>
      <c r="O12" s="39">
        <f t="shared" si="13"/>
        <v>0</v>
      </c>
      <c r="P12" s="42">
        <f t="shared" si="7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44479</v>
      </c>
      <c r="B13" s="41"/>
      <c r="C13" s="39">
        <f t="shared" si="3"/>
        <v>0</v>
      </c>
      <c r="D13" s="41"/>
      <c r="E13" s="39">
        <f t="shared" si="4"/>
        <v>0</v>
      </c>
      <c r="F13" s="41"/>
      <c r="G13" s="39">
        <f t="shared" si="5"/>
        <v>0</v>
      </c>
      <c r="H13" s="41"/>
      <c r="I13" s="39">
        <f t="shared" si="8"/>
        <v>0</v>
      </c>
      <c r="J13" s="39">
        <f t="shared" si="9"/>
        <v>0</v>
      </c>
      <c r="K13" s="39">
        <f t="shared" si="10"/>
        <v>0</v>
      </c>
      <c r="L13" s="39">
        <f t="shared" si="11"/>
        <v>0</v>
      </c>
      <c r="M13" s="149">
        <f t="shared" si="14"/>
        <v>24196</v>
      </c>
      <c r="N13" s="39">
        <f t="shared" si="12"/>
        <v>0</v>
      </c>
      <c r="O13" s="39">
        <f t="shared" si="13"/>
        <v>0</v>
      </c>
      <c r="P13" s="42">
        <f t="shared" si="7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44480</v>
      </c>
      <c r="B14" s="41"/>
      <c r="C14" s="39">
        <f t="shared" si="3"/>
        <v>0</v>
      </c>
      <c r="D14" s="41"/>
      <c r="E14" s="39">
        <f t="shared" si="4"/>
        <v>0</v>
      </c>
      <c r="F14" s="41"/>
      <c r="G14" s="39">
        <f t="shared" si="5"/>
        <v>0</v>
      </c>
      <c r="H14" s="41"/>
      <c r="I14" s="39">
        <f>IF(AC14&gt;0,((H14-AA14)+(AB14-H15)),IF(H15=0, ,(H14-H15)))</f>
        <v>0</v>
      </c>
      <c r="J14" s="39">
        <f t="shared" si="9"/>
        <v>0</v>
      </c>
      <c r="K14" s="39">
        <f t="shared" si="10"/>
        <v>0</v>
      </c>
      <c r="L14" s="39">
        <f t="shared" si="11"/>
        <v>0</v>
      </c>
      <c r="M14" s="149">
        <f t="shared" si="14"/>
        <v>24196</v>
      </c>
      <c r="N14" s="39">
        <f t="shared" si="12"/>
        <v>0</v>
      </c>
      <c r="O14" s="39">
        <f t="shared" si="13"/>
        <v>0</v>
      </c>
      <c r="P14" s="42">
        <f t="shared" si="7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44481</v>
      </c>
      <c r="B15" s="41"/>
      <c r="C15" s="39">
        <f t="shared" si="3"/>
        <v>0</v>
      </c>
      <c r="D15" s="41"/>
      <c r="E15" s="39">
        <f t="shared" si="4"/>
        <v>0</v>
      </c>
      <c r="F15" s="41"/>
      <c r="G15" s="39">
        <f t="shared" si="5"/>
        <v>0</v>
      </c>
      <c r="H15" s="41"/>
      <c r="I15" s="39">
        <f>IF(AC15&gt;0,((H15-AA15)+(AB15-H16)),IF(H16=0, ,(H15-H16)))</f>
        <v>0</v>
      </c>
      <c r="J15" s="39">
        <f t="shared" si="9"/>
        <v>0</v>
      </c>
      <c r="K15" s="39">
        <f t="shared" si="10"/>
        <v>0</v>
      </c>
      <c r="L15" s="39">
        <f t="shared" si="11"/>
        <v>0</v>
      </c>
      <c r="M15" s="149">
        <f t="shared" si="14"/>
        <v>24196</v>
      </c>
      <c r="N15" s="39">
        <f t="shared" si="12"/>
        <v>0</v>
      </c>
      <c r="O15" s="39">
        <f t="shared" si="13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44482</v>
      </c>
      <c r="B16" s="41"/>
      <c r="C16" s="39">
        <f t="shared" si="3"/>
        <v>0</v>
      </c>
      <c r="D16" s="41"/>
      <c r="E16" s="39">
        <f t="shared" si="4"/>
        <v>0</v>
      </c>
      <c r="F16" s="41"/>
      <c r="G16" s="39">
        <f t="shared" si="5"/>
        <v>0</v>
      </c>
      <c r="H16" s="41"/>
      <c r="I16" s="39">
        <f t="shared" si="8"/>
        <v>0</v>
      </c>
      <c r="J16" s="39">
        <f t="shared" si="9"/>
        <v>0</v>
      </c>
      <c r="K16" s="39">
        <f t="shared" si="10"/>
        <v>0</v>
      </c>
      <c r="L16" s="39">
        <f t="shared" si="11"/>
        <v>0</v>
      </c>
      <c r="M16" s="149">
        <f t="shared" si="14"/>
        <v>24196</v>
      </c>
      <c r="N16" s="39">
        <f t="shared" si="12"/>
        <v>0</v>
      </c>
      <c r="O16" s="39">
        <f t="shared" si="13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44483</v>
      </c>
      <c r="B17" s="41"/>
      <c r="C17" s="39">
        <f t="shared" si="3"/>
        <v>0</v>
      </c>
      <c r="D17" s="41"/>
      <c r="E17" s="39">
        <f t="shared" si="4"/>
        <v>0</v>
      </c>
      <c r="F17" s="41"/>
      <c r="G17" s="39">
        <f t="shared" si="5"/>
        <v>0</v>
      </c>
      <c r="H17" s="41"/>
      <c r="I17" s="39">
        <f t="shared" si="8"/>
        <v>0</v>
      </c>
      <c r="J17" s="39">
        <f t="shared" si="9"/>
        <v>0</v>
      </c>
      <c r="K17" s="39">
        <f t="shared" si="10"/>
        <v>0</v>
      </c>
      <c r="L17" s="39">
        <f t="shared" si="11"/>
        <v>0</v>
      </c>
      <c r="M17" s="149">
        <f t="shared" si="14"/>
        <v>24196</v>
      </c>
      <c r="N17" s="39">
        <f t="shared" si="12"/>
        <v>0</v>
      </c>
      <c r="O17" s="39">
        <f t="shared" si="13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44484</v>
      </c>
      <c r="B18" s="41"/>
      <c r="C18" s="39">
        <f t="shared" si="3"/>
        <v>0</v>
      </c>
      <c r="D18" s="41"/>
      <c r="E18" s="39">
        <f t="shared" si="4"/>
        <v>0</v>
      </c>
      <c r="F18" s="41"/>
      <c r="G18" s="39">
        <f t="shared" si="5"/>
        <v>0</v>
      </c>
      <c r="H18" s="41"/>
      <c r="I18" s="39">
        <f t="shared" si="8"/>
        <v>0</v>
      </c>
      <c r="J18" s="39">
        <f t="shared" si="9"/>
        <v>0</v>
      </c>
      <c r="K18" s="39">
        <f t="shared" si="10"/>
        <v>0</v>
      </c>
      <c r="L18" s="39">
        <f t="shared" si="11"/>
        <v>0</v>
      </c>
      <c r="M18" s="149">
        <f t="shared" si="14"/>
        <v>24196</v>
      </c>
      <c r="N18" s="39">
        <f t="shared" si="12"/>
        <v>0</v>
      </c>
      <c r="O18" s="39">
        <f t="shared" si="13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44485</v>
      </c>
      <c r="B19" s="41"/>
      <c r="C19" s="39">
        <f t="shared" si="3"/>
        <v>0</v>
      </c>
      <c r="D19" s="41"/>
      <c r="E19" s="39">
        <f t="shared" si="4"/>
        <v>0</v>
      </c>
      <c r="F19" s="41"/>
      <c r="G19" s="39">
        <f t="shared" si="5"/>
        <v>0</v>
      </c>
      <c r="H19" s="41"/>
      <c r="I19" s="39">
        <f t="shared" si="8"/>
        <v>0</v>
      </c>
      <c r="J19" s="39">
        <f t="shared" si="9"/>
        <v>0</v>
      </c>
      <c r="K19" s="39">
        <f t="shared" si="10"/>
        <v>0</v>
      </c>
      <c r="L19" s="39">
        <f t="shared" si="11"/>
        <v>0</v>
      </c>
      <c r="M19" s="149">
        <f t="shared" si="14"/>
        <v>24196</v>
      </c>
      <c r="N19" s="39">
        <f t="shared" si="12"/>
        <v>0</v>
      </c>
      <c r="O19" s="39">
        <f t="shared" si="13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44486</v>
      </c>
      <c r="B20" s="41"/>
      <c r="C20" s="39">
        <f t="shared" si="3"/>
        <v>0</v>
      </c>
      <c r="D20" s="41"/>
      <c r="E20" s="39">
        <f t="shared" si="4"/>
        <v>0</v>
      </c>
      <c r="F20" s="41"/>
      <c r="G20" s="39">
        <f t="shared" si="5"/>
        <v>0</v>
      </c>
      <c r="H20" s="41"/>
      <c r="I20" s="39">
        <f t="shared" si="8"/>
        <v>0</v>
      </c>
      <c r="J20" s="39">
        <f t="shared" si="9"/>
        <v>0</v>
      </c>
      <c r="K20" s="39">
        <f t="shared" si="10"/>
        <v>0</v>
      </c>
      <c r="L20" s="39">
        <f t="shared" ref="L20:L42" si="15">IF(AC20&gt;0,((K20-AD20)+(AE20-K21)),IF(K21=0, ,(K20-K21)))</f>
        <v>0</v>
      </c>
      <c r="M20" s="149">
        <f t="shared" si="14"/>
        <v>24196</v>
      </c>
      <c r="N20" s="39">
        <f t="shared" si="12"/>
        <v>0</v>
      </c>
      <c r="O20" s="39">
        <f t="shared" si="13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44487</v>
      </c>
      <c r="B21" s="41"/>
      <c r="C21" s="39">
        <f t="shared" si="3"/>
        <v>0</v>
      </c>
      <c r="D21" s="41"/>
      <c r="E21" s="39">
        <f t="shared" si="4"/>
        <v>0</v>
      </c>
      <c r="F21" s="41"/>
      <c r="G21" s="39">
        <f t="shared" si="5"/>
        <v>0</v>
      </c>
      <c r="H21" s="41"/>
      <c r="I21" s="39">
        <f t="shared" si="8"/>
        <v>0</v>
      </c>
      <c r="J21" s="39">
        <f t="shared" si="9"/>
        <v>0</v>
      </c>
      <c r="K21" s="39">
        <f t="shared" si="10"/>
        <v>0</v>
      </c>
      <c r="L21" s="39">
        <f>IF(AC21&gt;0,((K21-AD21)+(AE21-K22)),IF(K22=0, ,(K21-K22)))</f>
        <v>0</v>
      </c>
      <c r="M21" s="149">
        <f t="shared" si="14"/>
        <v>24196</v>
      </c>
      <c r="N21" s="39">
        <f t="shared" si="12"/>
        <v>0</v>
      </c>
      <c r="O21" s="39">
        <f t="shared" si="13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>
      <c r="A22" s="40">
        <v>44488</v>
      </c>
      <c r="B22" s="41"/>
      <c r="C22" s="39">
        <f t="shared" si="3"/>
        <v>0</v>
      </c>
      <c r="D22" s="41"/>
      <c r="E22" s="39">
        <f t="shared" si="4"/>
        <v>0</v>
      </c>
      <c r="F22" s="41"/>
      <c r="G22" s="39">
        <f t="shared" si="5"/>
        <v>0</v>
      </c>
      <c r="H22" s="41"/>
      <c r="I22" s="39">
        <f t="shared" si="8"/>
        <v>0</v>
      </c>
      <c r="J22" s="39">
        <f t="shared" si="9"/>
        <v>0</v>
      </c>
      <c r="K22" s="39">
        <f t="shared" si="10"/>
        <v>0</v>
      </c>
      <c r="L22" s="39">
        <f>IF(AC22&gt;0,((K22-AD22)+(AE22-K23)),IF(K23=0, ,(K22-K23)))</f>
        <v>0</v>
      </c>
      <c r="M22" s="149">
        <f t="shared" si="14"/>
        <v>24196</v>
      </c>
      <c r="N22" s="39">
        <f t="shared" si="12"/>
        <v>0</v>
      </c>
      <c r="O22" s="39">
        <f t="shared" si="13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44489</v>
      </c>
      <c r="B23" s="41"/>
      <c r="C23" s="39">
        <f t="shared" si="3"/>
        <v>0</v>
      </c>
      <c r="D23" s="41"/>
      <c r="E23" s="39">
        <f t="shared" si="4"/>
        <v>0</v>
      </c>
      <c r="F23" s="41"/>
      <c r="G23" s="39">
        <f t="shared" si="5"/>
        <v>0</v>
      </c>
      <c r="H23" s="41"/>
      <c r="I23" s="39">
        <f t="shared" si="8"/>
        <v>0</v>
      </c>
      <c r="J23" s="39">
        <f t="shared" si="9"/>
        <v>0</v>
      </c>
      <c r="K23" s="39">
        <f t="shared" si="10"/>
        <v>0</v>
      </c>
      <c r="L23" s="39">
        <f t="shared" si="15"/>
        <v>0</v>
      </c>
      <c r="M23" s="149">
        <f t="shared" si="14"/>
        <v>24196</v>
      </c>
      <c r="N23" s="39">
        <f t="shared" si="12"/>
        <v>0</v>
      </c>
      <c r="O23" s="39">
        <f t="shared" si="13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>
      <c r="A24" s="40">
        <v>44490</v>
      </c>
      <c r="B24" s="41"/>
      <c r="C24" s="39">
        <f t="shared" si="3"/>
        <v>0</v>
      </c>
      <c r="D24" s="41"/>
      <c r="E24" s="39">
        <f t="shared" si="4"/>
        <v>0</v>
      </c>
      <c r="F24" s="41"/>
      <c r="G24" s="39">
        <f t="shared" si="5"/>
        <v>0</v>
      </c>
      <c r="H24" s="41"/>
      <c r="I24" s="39">
        <f t="shared" si="8"/>
        <v>0</v>
      </c>
      <c r="J24" s="39">
        <f t="shared" si="9"/>
        <v>0</v>
      </c>
      <c r="K24" s="39">
        <f t="shared" si="10"/>
        <v>0</v>
      </c>
      <c r="L24" s="39">
        <f t="shared" si="15"/>
        <v>0</v>
      </c>
      <c r="M24" s="149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44491</v>
      </c>
      <c r="B25" s="41"/>
      <c r="C25" s="39">
        <f t="shared" si="3"/>
        <v>0</v>
      </c>
      <c r="D25" s="41"/>
      <c r="E25" s="39">
        <f t="shared" si="4"/>
        <v>0</v>
      </c>
      <c r="F25" s="41"/>
      <c r="G25" s="39">
        <f t="shared" si="5"/>
        <v>0</v>
      </c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49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44492</v>
      </c>
      <c r="B26" s="41"/>
      <c r="C26" s="39">
        <f t="shared" si="3"/>
        <v>0</v>
      </c>
      <c r="D26" s="41"/>
      <c r="E26" s="39">
        <f t="shared" si="4"/>
        <v>0</v>
      </c>
      <c r="F26" s="41"/>
      <c r="G26" s="39">
        <f t="shared" si="5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49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44493</v>
      </c>
      <c r="B27" s="41"/>
      <c r="C27" s="39">
        <f t="shared" si="3"/>
        <v>0</v>
      </c>
      <c r="D27" s="41"/>
      <c r="E27" s="39">
        <f t="shared" si="4"/>
        <v>0</v>
      </c>
      <c r="F27" s="41"/>
      <c r="G27" s="39">
        <f t="shared" si="5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49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44494</v>
      </c>
      <c r="B28" s="41"/>
      <c r="C28" s="39">
        <f t="shared" si="3"/>
        <v>0</v>
      </c>
      <c r="D28" s="41"/>
      <c r="E28" s="39">
        <f t="shared" si="4"/>
        <v>0</v>
      </c>
      <c r="F28" s="41"/>
      <c r="G28" s="39">
        <f t="shared" si="5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49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44495</v>
      </c>
      <c r="B29" s="41"/>
      <c r="C29" s="39">
        <f t="shared" si="3"/>
        <v>0</v>
      </c>
      <c r="D29" s="41"/>
      <c r="E29" s="39">
        <f t="shared" si="4"/>
        <v>0</v>
      </c>
      <c r="F29" s="41"/>
      <c r="G29" s="39">
        <f t="shared" si="5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49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44496</v>
      </c>
      <c r="B30" s="41"/>
      <c r="C30" s="39">
        <f t="shared" si="3"/>
        <v>0</v>
      </c>
      <c r="D30" s="41"/>
      <c r="E30" s="39">
        <f t="shared" si="4"/>
        <v>0</v>
      </c>
      <c r="F30" s="41"/>
      <c r="G30" s="39">
        <f t="shared" si="5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49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44497</v>
      </c>
      <c r="B31" s="41"/>
      <c r="C31" s="39">
        <f t="shared" si="3"/>
        <v>0</v>
      </c>
      <c r="D31" s="41"/>
      <c r="E31" s="39">
        <f t="shared" si="4"/>
        <v>0</v>
      </c>
      <c r="F31" s="41"/>
      <c r="G31" s="39">
        <f t="shared" si="5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49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44498</v>
      </c>
      <c r="B32" s="41"/>
      <c r="C32" s="39">
        <f t="shared" si="3"/>
        <v>0</v>
      </c>
      <c r="D32" s="41"/>
      <c r="E32" s="39">
        <f t="shared" si="4"/>
        <v>0</v>
      </c>
      <c r="F32" s="41"/>
      <c r="G32" s="39">
        <f t="shared" si="5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49">
        <f t="shared" si="14"/>
        <v>24196</v>
      </c>
      <c r="N32" s="39">
        <f t="shared" si="12"/>
        <v>0</v>
      </c>
      <c r="O32" s="149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44499</v>
      </c>
      <c r="B33" s="41"/>
      <c r="C33" s="39">
        <f t="shared" si="3"/>
        <v>0</v>
      </c>
      <c r="D33" s="41"/>
      <c r="E33" s="39">
        <f t="shared" si="4"/>
        <v>0</v>
      </c>
      <c r="F33" s="41"/>
      <c r="G33" s="39">
        <f t="shared" si="5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49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44500</v>
      </c>
      <c r="B34" s="41"/>
      <c r="C34" s="39">
        <f t="shared" si="3"/>
        <v>0</v>
      </c>
      <c r="D34" s="41"/>
      <c r="E34" s="39">
        <f t="shared" si="4"/>
        <v>0</v>
      </c>
      <c r="F34" s="41"/>
      <c r="G34" s="39">
        <f t="shared" si="5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44501</v>
      </c>
      <c r="B35" s="41"/>
      <c r="C35" s="39">
        <f t="shared" si="3"/>
        <v>0</v>
      </c>
      <c r="D35" s="41"/>
      <c r="E35" s="39">
        <f t="shared" si="4"/>
        <v>0</v>
      </c>
      <c r="F35" s="41"/>
      <c r="G35" s="39">
        <f t="shared" si="5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49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49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49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49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49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49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49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49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3500</v>
      </c>
      <c r="O43" s="39">
        <f>N43*0.529</f>
        <v>1851.5</v>
      </c>
      <c r="P43" s="42">
        <f>O43*9.965</f>
        <v>18450.197499999998</v>
      </c>
      <c r="Q43" s="284">
        <f>SUM(Q4:Q42)</f>
        <v>0</v>
      </c>
      <c r="R43" s="285"/>
      <c r="S43" s="286"/>
      <c r="T43" s="287">
        <f>SUM(T4:T42)</f>
        <v>0</v>
      </c>
      <c r="U43" s="285"/>
      <c r="V43" s="286"/>
      <c r="W43" s="287">
        <f>SUM(W4:W42)</f>
        <v>0</v>
      </c>
      <c r="X43" s="285"/>
      <c r="Y43" s="286"/>
      <c r="Z43" s="287">
        <f>SUM(Z4:Z42)</f>
        <v>0</v>
      </c>
      <c r="AA43" s="285"/>
      <c r="AB43" s="286"/>
      <c r="AC43" s="39">
        <f t="shared" si="17"/>
        <v>0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0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3500</v>
      </c>
      <c r="L47" s="46">
        <f>O43</f>
        <v>1851.5</v>
      </c>
      <c r="M47" s="46">
        <f>P43</f>
        <v>18450.197499999998</v>
      </c>
    </row>
    <row r="48" spans="1:31" ht="54.75" customHeight="1" thickBot="1">
      <c r="H48" s="280" t="s">
        <v>86</v>
      </c>
      <c r="I48" s="281"/>
      <c r="J48" s="282"/>
      <c r="K48" s="43">
        <f>AC44</f>
        <v>0</v>
      </c>
      <c r="L48" s="44">
        <f>K48*0.529</f>
        <v>0</v>
      </c>
      <c r="M48" s="44">
        <f>L48*9.965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44436</v>
      </c>
      <c r="D8" s="324"/>
      <c r="E8" s="113">
        <v>44467</v>
      </c>
      <c r="F8" s="163" t="s">
        <v>97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974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18787480</v>
      </c>
      <c r="D17" s="66">
        <v>18536102</v>
      </c>
      <c r="E17" s="67">
        <f>MIN(C17-D17)</f>
        <v>251378</v>
      </c>
      <c r="F17" s="67">
        <f>+E17</f>
        <v>251378</v>
      </c>
      <c r="G17" s="339"/>
      <c r="H17" s="340"/>
      <c r="I17" s="339">
        <f>+E17</f>
        <v>251378</v>
      </c>
      <c r="J17" s="340"/>
    </row>
    <row r="18" spans="1:10">
      <c r="A18" s="337" t="s">
        <v>111</v>
      </c>
      <c r="B18" s="338"/>
      <c r="C18" s="66">
        <v>11027578</v>
      </c>
      <c r="D18" s="66">
        <v>10909764</v>
      </c>
      <c r="E18" s="67">
        <f>MIN(C18-D18)</f>
        <v>117814</v>
      </c>
      <c r="F18" s="67">
        <f>+E18</f>
        <v>117814</v>
      </c>
      <c r="G18" s="339"/>
      <c r="H18" s="340"/>
      <c r="I18" s="339">
        <f>+E18</f>
        <v>117814</v>
      </c>
      <c r="J18" s="340"/>
    </row>
    <row r="19" spans="1:10">
      <c r="A19" s="337" t="s">
        <v>112</v>
      </c>
      <c r="B19" s="338"/>
      <c r="C19" s="66">
        <v>8243979</v>
      </c>
      <c r="D19" s="66">
        <v>8154716</v>
      </c>
      <c r="E19" s="67">
        <f>AVERAGE(C19-D19)</f>
        <v>89263</v>
      </c>
      <c r="F19" s="67">
        <f>+E19</f>
        <v>89263</v>
      </c>
      <c r="G19" s="339"/>
      <c r="H19" s="340"/>
      <c r="I19" s="339">
        <f>+E19</f>
        <v>89263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458455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251378</v>
      </c>
      <c r="E25" s="72">
        <v>0.95140000000000002</v>
      </c>
      <c r="F25" s="73">
        <f>PRODUCT(D25*E25)</f>
        <v>239161.02920000002</v>
      </c>
      <c r="G25" s="151">
        <v>14</v>
      </c>
      <c r="H25" s="65">
        <f>PRODUCT(0.14,F25)</f>
        <v>33482.544088000002</v>
      </c>
      <c r="I25" s="361">
        <f>SUM(H25,F25)</f>
        <v>272643.57328800001</v>
      </c>
      <c r="J25" s="362"/>
    </row>
    <row r="26" spans="1:10" ht="15">
      <c r="A26" s="363" t="s">
        <v>124</v>
      </c>
      <c r="B26" s="364"/>
      <c r="C26" s="365"/>
      <c r="D26" s="67">
        <f>+E18</f>
        <v>117814</v>
      </c>
      <c r="E26" s="74">
        <v>0.69850000000000001</v>
      </c>
      <c r="F26" s="73">
        <f>PRODUCT(D26*E26)</f>
        <v>82293.078999999998</v>
      </c>
      <c r="G26">
        <v>14</v>
      </c>
      <c r="H26" s="67">
        <f>PRODUCT(0.14,F26)</f>
        <v>11521.031060000001</v>
      </c>
      <c r="I26" s="361">
        <f t="shared" ref="I26:I31" si="0">SUM(H26,F26)</f>
        <v>93814.110060000006</v>
      </c>
      <c r="J26" s="362"/>
    </row>
    <row r="27" spans="1:10" ht="15">
      <c r="A27" s="363" t="s">
        <v>125</v>
      </c>
      <c r="B27" s="364"/>
      <c r="C27" s="365"/>
      <c r="D27" s="67">
        <f>+E19</f>
        <v>89263</v>
      </c>
      <c r="E27" s="74">
        <v>1.3304</v>
      </c>
      <c r="F27" s="73">
        <f>PRODUCT(D27*E27)</f>
        <v>118755.4952</v>
      </c>
      <c r="G27">
        <v>14</v>
      </c>
      <c r="H27" s="67">
        <f>PRODUCT(0.14,F27)</f>
        <v>16625.769328000002</v>
      </c>
      <c r="I27" s="361">
        <f>SUM(H27,F27)</f>
        <v>135381.264528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486424.27340000001</v>
      </c>
      <c r="G32" s="85"/>
      <c r="H32" s="86"/>
      <c r="I32" s="373">
        <f>SUM(I25:J31)</f>
        <v>554469.69167600002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299" t="s">
        <v>131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/>
    <row r="7" spans="1:10" ht="36.75" thickTop="1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>
      <c r="A8" s="322">
        <v>95670781</v>
      </c>
      <c r="B8" s="322"/>
      <c r="C8" s="323">
        <v>44296</v>
      </c>
      <c r="D8" s="324"/>
      <c r="E8" s="113">
        <v>44326</v>
      </c>
      <c r="F8" s="163" t="s">
        <v>132</v>
      </c>
      <c r="G8" s="62"/>
      <c r="H8" s="62"/>
      <c r="I8" s="325"/>
      <c r="J8" s="326"/>
    </row>
    <row r="10" spans="1:10" ht="23.25" customHeight="1" thickBot="1"/>
    <row r="11" spans="1:10" ht="24.75" customHeight="1" thickTop="1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>
      <c r="A13" s="336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>
      <c r="A17" s="337" t="s">
        <v>110</v>
      </c>
      <c r="B17" s="338"/>
      <c r="C17" s="66">
        <v>18841930</v>
      </c>
      <c r="D17" s="66">
        <v>18834226</v>
      </c>
      <c r="E17" s="67">
        <f>MIN(C17-D17)</f>
        <v>7704</v>
      </c>
      <c r="F17" s="67">
        <f>+E17</f>
        <v>7704</v>
      </c>
      <c r="G17" s="339"/>
      <c r="H17" s="340"/>
      <c r="I17" s="339">
        <f>+E17</f>
        <v>7704</v>
      </c>
      <c r="J17" s="340"/>
    </row>
    <row r="18" spans="1:10">
      <c r="A18" s="337" t="s">
        <v>111</v>
      </c>
      <c r="B18" s="338"/>
      <c r="C18" s="66">
        <v>11057525</v>
      </c>
      <c r="D18" s="66">
        <v>11053381</v>
      </c>
      <c r="E18" s="67">
        <f>MIN(C18-D18)</f>
        <v>4144</v>
      </c>
      <c r="F18" s="67">
        <f>+E18</f>
        <v>4144</v>
      </c>
      <c r="G18" s="339"/>
      <c r="H18" s="340"/>
      <c r="I18" s="339">
        <f>+E18</f>
        <v>4144</v>
      </c>
      <c r="J18" s="340"/>
    </row>
    <row r="19" spans="1:10">
      <c r="A19" s="337" t="s">
        <v>112</v>
      </c>
      <c r="B19" s="338"/>
      <c r="C19" s="66">
        <v>8266700</v>
      </c>
      <c r="D19" s="66">
        <v>8263360</v>
      </c>
      <c r="E19" s="67">
        <f>AVERAGE(C19-D19)</f>
        <v>3340</v>
      </c>
      <c r="F19" s="67">
        <f>+E19</f>
        <v>3340</v>
      </c>
      <c r="G19" s="339"/>
      <c r="H19" s="340"/>
      <c r="I19" s="339">
        <f>+E19</f>
        <v>3340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15188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27" t="s">
        <v>116</v>
      </c>
      <c r="E23" s="327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>
      <c r="A24" s="350"/>
      <c r="B24" s="351"/>
      <c r="C24" s="352"/>
      <c r="D24" s="353"/>
      <c r="E24" s="353"/>
      <c r="F24" s="355"/>
      <c r="G24" s="164" t="s">
        <v>121</v>
      </c>
      <c r="H24" s="71" t="s">
        <v>122</v>
      </c>
      <c r="I24" s="357"/>
      <c r="J24" s="357"/>
    </row>
    <row r="25" spans="1:10" ht="15">
      <c r="A25" s="358" t="s">
        <v>123</v>
      </c>
      <c r="B25" s="359"/>
      <c r="C25" s="360"/>
      <c r="D25" s="67">
        <f>+E17</f>
        <v>7704</v>
      </c>
      <c r="E25" s="72">
        <v>0.95140000000000002</v>
      </c>
      <c r="F25" s="73">
        <f>PRODUCT(D25*E25)</f>
        <v>7329.5856000000003</v>
      </c>
      <c r="G25" s="151">
        <v>14</v>
      </c>
      <c r="H25" s="65">
        <f>PRODUCT(0.14,F25)</f>
        <v>1026.1419840000001</v>
      </c>
      <c r="I25" s="361">
        <f>SUM(H25,F25)</f>
        <v>8355.7275840000002</v>
      </c>
      <c r="J25" s="362"/>
    </row>
    <row r="26" spans="1:10" ht="15">
      <c r="A26" s="363" t="s">
        <v>124</v>
      </c>
      <c r="B26" s="364"/>
      <c r="C26" s="365"/>
      <c r="D26" s="67">
        <f>+E18</f>
        <v>4144</v>
      </c>
      <c r="E26" s="74">
        <v>0.69850000000000001</v>
      </c>
      <c r="F26" s="73">
        <f>PRODUCT(D26*E26)</f>
        <v>2894.5839999999998</v>
      </c>
      <c r="G26">
        <v>14</v>
      </c>
      <c r="H26" s="67">
        <f>PRODUCT(0.14,F26)</f>
        <v>405.24176</v>
      </c>
      <c r="I26" s="361">
        <f t="shared" ref="I26:I31" si="0">SUM(H26,F26)</f>
        <v>3299.8257599999997</v>
      </c>
      <c r="J26" s="362"/>
    </row>
    <row r="27" spans="1:10" ht="15">
      <c r="A27" s="363" t="s">
        <v>125</v>
      </c>
      <c r="B27" s="364"/>
      <c r="C27" s="365"/>
      <c r="D27" s="67">
        <f>+E19</f>
        <v>3340</v>
      </c>
      <c r="E27" s="74">
        <v>1.3304</v>
      </c>
      <c r="F27" s="73">
        <f>PRODUCT(D27*E27)</f>
        <v>4443.5360000000001</v>
      </c>
      <c r="G27">
        <v>14</v>
      </c>
      <c r="H27" s="67">
        <f>PRODUCT(0.14,F27)</f>
        <v>622.09504000000004</v>
      </c>
      <c r="I27" s="361">
        <f>SUM(H27,F27)</f>
        <v>5065.6310400000002</v>
      </c>
      <c r="J27" s="362"/>
    </row>
    <row r="28" spans="1:10" ht="1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>
      <c r="A29" s="374" t="s">
        <v>127</v>
      </c>
      <c r="B29" s="375"/>
      <c r="C29" s="37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>
      <c r="A32" s="369" t="s">
        <v>130</v>
      </c>
      <c r="B32" s="370"/>
      <c r="C32" s="370"/>
      <c r="D32" s="370"/>
      <c r="E32" s="370"/>
      <c r="F32" s="84">
        <f>SUM(F25:F31)</f>
        <v>60882.375599999999</v>
      </c>
      <c r="G32" s="85"/>
      <c r="H32" s="86"/>
      <c r="I32" s="373">
        <f>SUM(I25:J31)</f>
        <v>69351.928184000004</v>
      </c>
      <c r="J32" s="373"/>
    </row>
    <row r="33" spans="1:10" ht="21.75" thickBot="1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121259</v>
      </c>
      <c r="D8" s="97">
        <v>44075</v>
      </c>
      <c r="E8" s="96">
        <v>124345.2</v>
      </c>
      <c r="F8" s="97">
        <v>44470</v>
      </c>
      <c r="G8" s="98">
        <f>E8-C8</f>
        <v>3086.1999999999971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3086.1999999999971</v>
      </c>
      <c r="C13" s="395"/>
      <c r="D13" s="395">
        <v>8.7899999999999991</v>
      </c>
      <c r="E13" s="395"/>
      <c r="F13" s="397">
        <f>PRODUCT(D13,B13)</f>
        <v>27127.697999999971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3086.1999999999971</v>
      </c>
      <c r="C19" s="395"/>
      <c r="D19" s="395">
        <v>2.61</v>
      </c>
      <c r="E19" s="395"/>
      <c r="F19" s="395">
        <f>PRODUCT(D19,B19)</f>
        <v>8054.9819999999918</v>
      </c>
      <c r="G19" s="395"/>
      <c r="H19" s="395"/>
    </row>
    <row r="20" spans="1:8" ht="18.75">
      <c r="A20" s="411" t="s">
        <v>149</v>
      </c>
      <c r="B20" s="412"/>
      <c r="C20" s="412"/>
      <c r="D20" s="412"/>
      <c r="E20" s="413"/>
      <c r="F20" s="414">
        <f>SUM(F11+F13+F16+F17+F18+F19)</f>
        <v>35205.679999999964</v>
      </c>
      <c r="G20" s="414"/>
      <c r="H20" s="414"/>
    </row>
    <row r="21" spans="1:8" ht="15">
      <c r="A21" s="400" t="s">
        <v>150</v>
      </c>
      <c r="B21" s="401"/>
      <c r="C21" s="401"/>
      <c r="D21" s="401"/>
      <c r="E21" s="402"/>
      <c r="F21" s="395">
        <f>PRODUCT(F20,0.07)</f>
        <v>2464.3975999999975</v>
      </c>
      <c r="G21" s="395"/>
      <c r="H21" s="395"/>
    </row>
    <row r="22" spans="1:8" ht="15">
      <c r="A22" s="432" t="s">
        <v>151</v>
      </c>
      <c r="B22" s="433"/>
      <c r="C22" s="433"/>
      <c r="D22" s="433"/>
      <c r="E22" s="434"/>
      <c r="F22" s="395">
        <v>208.26</v>
      </c>
      <c r="G22" s="395"/>
      <c r="H22" s="395"/>
    </row>
    <row r="23" spans="1:8" ht="15.75">
      <c r="A23" s="400" t="s">
        <v>152</v>
      </c>
      <c r="B23" s="401"/>
      <c r="C23" s="401"/>
      <c r="D23" s="401"/>
      <c r="E23" s="402"/>
      <c r="F23" s="403">
        <f>SUM(F21:H22)</f>
        <v>2672.6575999999977</v>
      </c>
      <c r="G23" s="403"/>
      <c r="H23" s="403"/>
    </row>
    <row r="24" spans="1:8">
      <c r="A24" s="404" t="s">
        <v>153</v>
      </c>
      <c r="B24" s="405"/>
      <c r="C24" s="405"/>
      <c r="D24" s="405"/>
      <c r="E24" s="406"/>
      <c r="F24" s="410">
        <f>SUM(F20,F23)</f>
        <v>37878.337599999963</v>
      </c>
      <c r="G24" s="410"/>
      <c r="H24" s="410"/>
    </row>
    <row r="25" spans="1:8">
      <c r="A25" s="407"/>
      <c r="B25" s="408"/>
      <c r="C25" s="408"/>
      <c r="D25" s="408"/>
      <c r="E25" s="409"/>
      <c r="F25" s="410"/>
      <c r="G25" s="410"/>
      <c r="H25" s="41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abSelected="1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133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124631.2</v>
      </c>
      <c r="D8" s="97">
        <v>44473</v>
      </c>
      <c r="E8" s="96">
        <v>124728.7</v>
      </c>
      <c r="F8" s="97">
        <v>44474</v>
      </c>
      <c r="G8" s="98">
        <f>E8-C8</f>
        <v>97.5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143</v>
      </c>
      <c r="B13" s="395">
        <f>G8</f>
        <v>97.5</v>
      </c>
      <c r="C13" s="395"/>
      <c r="D13" s="395">
        <v>8.5</v>
      </c>
      <c r="E13" s="395"/>
      <c r="F13" s="397">
        <f>PRODUCT(D13,B13)</f>
        <v>828.75</v>
      </c>
      <c r="G13" s="397"/>
      <c r="H13" s="397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5">
        <f>G8</f>
        <v>97.5</v>
      </c>
      <c r="C20" s="395"/>
      <c r="D20" s="395">
        <v>2.54</v>
      </c>
      <c r="E20" s="395"/>
      <c r="F20" s="395">
        <f>PRODUCT(D20,B20)</f>
        <v>247.65</v>
      </c>
      <c r="G20" s="395"/>
      <c r="H20" s="395"/>
    </row>
    <row r="21" spans="1:8" ht="18.75">
      <c r="A21" s="411" t="s">
        <v>149</v>
      </c>
      <c r="B21" s="412"/>
      <c r="C21" s="412"/>
      <c r="D21" s="412"/>
      <c r="E21" s="413"/>
      <c r="F21" s="414">
        <f>SUM(F11+F13+F16+F17+F18+F20)</f>
        <v>1099.4000000000001</v>
      </c>
      <c r="G21" s="414"/>
      <c r="H21" s="414"/>
    </row>
    <row r="22" spans="1:8" ht="15">
      <c r="A22" s="400" t="s">
        <v>150</v>
      </c>
      <c r="B22" s="401"/>
      <c r="C22" s="401"/>
      <c r="D22" s="401"/>
      <c r="E22" s="402"/>
      <c r="F22" s="395">
        <f>PRODUCT(F21,0.07)</f>
        <v>76.958000000000013</v>
      </c>
      <c r="G22" s="395"/>
      <c r="H22" s="395"/>
    </row>
    <row r="23" spans="1:8" ht="15">
      <c r="A23" s="432" t="s">
        <v>151</v>
      </c>
      <c r="B23" s="433"/>
      <c r="C23" s="433"/>
      <c r="D23" s="433"/>
      <c r="E23" s="434"/>
      <c r="F23" s="395">
        <v>208.26</v>
      </c>
      <c r="G23" s="395"/>
      <c r="H23" s="395"/>
    </row>
    <row r="24" spans="1:8" ht="15.75">
      <c r="A24" s="400" t="s">
        <v>152</v>
      </c>
      <c r="B24" s="401"/>
      <c r="C24" s="401"/>
      <c r="D24" s="401"/>
      <c r="E24" s="402"/>
      <c r="F24" s="403">
        <f>SUM(F22:H23)</f>
        <v>285.21800000000002</v>
      </c>
      <c r="G24" s="403"/>
      <c r="H24" s="403"/>
    </row>
    <row r="25" spans="1:8">
      <c r="A25" s="404" t="s">
        <v>153</v>
      </c>
      <c r="B25" s="405"/>
      <c r="C25" s="405"/>
      <c r="D25" s="405"/>
      <c r="E25" s="406"/>
      <c r="F25" s="410">
        <f>SUM(F21,F24)</f>
        <v>1384.6180000000002</v>
      </c>
      <c r="G25" s="410"/>
      <c r="H25" s="410"/>
    </row>
    <row r="26" spans="1:8">
      <c r="A26" s="407"/>
      <c r="B26" s="408"/>
      <c r="C26" s="408"/>
      <c r="D26" s="408"/>
      <c r="E26" s="409"/>
      <c r="F26" s="410"/>
      <c r="G26" s="410"/>
      <c r="H26" s="41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79"/>
      <c r="B1" s="299" t="s">
        <v>155</v>
      </c>
      <c r="C1" s="300"/>
      <c r="D1" s="300"/>
      <c r="E1" s="300"/>
      <c r="F1" s="382" t="s">
        <v>88</v>
      </c>
      <c r="G1" s="383"/>
      <c r="H1" s="384"/>
    </row>
    <row r="2" spans="1:8" ht="15.75" customHeight="1" thickBot="1">
      <c r="A2" s="380"/>
      <c r="B2" s="301"/>
      <c r="C2" s="302"/>
      <c r="D2" s="302"/>
      <c r="E2" s="302"/>
      <c r="F2" s="385"/>
      <c r="G2" s="386"/>
      <c r="H2" s="387"/>
    </row>
    <row r="3" spans="1:8" ht="15" customHeight="1">
      <c r="A3" s="380"/>
      <c r="B3" s="301"/>
      <c r="C3" s="302"/>
      <c r="D3" s="302"/>
      <c r="E3" s="302"/>
      <c r="F3" s="382" t="s">
        <v>89</v>
      </c>
      <c r="G3" s="383"/>
      <c r="H3" s="384"/>
    </row>
    <row r="4" spans="1:8" ht="15.75" customHeight="1" thickBot="1">
      <c r="A4" s="381"/>
      <c r="B4" s="303"/>
      <c r="C4" s="304"/>
      <c r="D4" s="304"/>
      <c r="E4" s="304"/>
      <c r="F4" s="388"/>
      <c r="G4" s="389"/>
      <c r="H4" s="39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2559</v>
      </c>
      <c r="D8" s="97">
        <v>44440</v>
      </c>
      <c r="E8" s="96">
        <v>2560</v>
      </c>
      <c r="F8" s="97">
        <v>44470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>
      <c r="A13" s="102" t="s">
        <v>156</v>
      </c>
      <c r="B13" s="395">
        <f>G8</f>
        <v>1</v>
      </c>
      <c r="C13" s="395"/>
      <c r="D13" s="395">
        <v>16.48</v>
      </c>
      <c r="E13" s="395"/>
      <c r="F13" s="397">
        <f>PRODUCT(D13,B13)</f>
        <v>16.48</v>
      </c>
      <c r="G13" s="397"/>
      <c r="H13" s="397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1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411" t="s">
        <v>149</v>
      </c>
      <c r="B25" s="412"/>
      <c r="C25" s="412"/>
      <c r="D25" s="412"/>
      <c r="E25" s="413"/>
      <c r="F25" s="417">
        <f>SUM(F11+F13+F20+F21+F22+F23)</f>
        <v>31.48</v>
      </c>
      <c r="G25" s="414"/>
      <c r="H25" s="414"/>
    </row>
    <row r="26" spans="1:8" ht="15">
      <c r="A26" s="400" t="s">
        <v>150</v>
      </c>
      <c r="B26" s="401"/>
      <c r="C26" s="401"/>
      <c r="D26" s="401"/>
      <c r="E26" s="402"/>
      <c r="F26" s="395">
        <v>63.63</v>
      </c>
      <c r="G26" s="395"/>
      <c r="H26" s="395"/>
    </row>
    <row r="27" spans="1:8" ht="15">
      <c r="A27" s="432" t="s">
        <v>151</v>
      </c>
      <c r="B27" s="433"/>
      <c r="C27" s="433"/>
      <c r="D27" s="433"/>
      <c r="E27" s="434"/>
      <c r="F27" s="395">
        <v>2.4300000000000002</v>
      </c>
      <c r="G27" s="395"/>
      <c r="H27" s="395"/>
    </row>
    <row r="28" spans="1:8" ht="15.75">
      <c r="A28" s="400" t="s">
        <v>152</v>
      </c>
      <c r="B28" s="401"/>
      <c r="C28" s="401"/>
      <c r="D28" s="401"/>
      <c r="E28" s="402"/>
      <c r="F28" s="403">
        <f>SUM(F26:H27)</f>
        <v>66.06</v>
      </c>
      <c r="G28" s="403"/>
      <c r="H28" s="403"/>
    </row>
    <row r="29" spans="1:8">
      <c r="A29" s="404" t="s">
        <v>153</v>
      </c>
      <c r="B29" s="405"/>
      <c r="C29" s="405"/>
      <c r="D29" s="405"/>
      <c r="E29" s="406"/>
      <c r="F29" s="410">
        <f>SUM(F25,F28)</f>
        <v>97.54</v>
      </c>
      <c r="G29" s="410"/>
      <c r="H29" s="410"/>
    </row>
    <row r="30" spans="1:8">
      <c r="A30" s="407"/>
      <c r="B30" s="408"/>
      <c r="C30" s="408"/>
      <c r="D30" s="408"/>
      <c r="E30" s="409"/>
      <c r="F30" s="410"/>
      <c r="G30" s="410"/>
      <c r="H30" s="41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/>
      <c r="M14" s="104"/>
      <c r="N14" s="104"/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/>
      <c r="M14" s="104"/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/>
      <c r="M14" s="104"/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2021-10-05T08:52:40Z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