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1"/>
  </bookViews>
  <sheets>
    <sheet name="TOTAL" sheetId="3" r:id="rId1"/>
    <sheet name="Submetering " sheetId="4" r:id="rId2"/>
    <sheet name="FS Seychelles" sheetId="1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3" l="1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Q35" i="1" l="1"/>
  <c r="R35" i="1"/>
  <c r="S35" i="1"/>
  <c r="T35" i="1"/>
  <c r="U35" i="1"/>
  <c r="AG6" i="1"/>
  <c r="AG7" i="1"/>
  <c r="AG8" i="1"/>
  <c r="AG9" i="1"/>
  <c r="AG5" i="1"/>
  <c r="W31" i="1"/>
  <c r="W32" i="1"/>
  <c r="P34" i="1"/>
  <c r="W28" i="1"/>
  <c r="W29" i="1"/>
  <c r="W30" i="1"/>
  <c r="V25" i="1"/>
  <c r="V26" i="1"/>
  <c r="V27" i="1"/>
  <c r="V28" i="1"/>
  <c r="V29" i="1"/>
  <c r="V30" i="1"/>
  <c r="V31" i="1"/>
  <c r="V3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W22" i="1"/>
  <c r="W23" i="1"/>
  <c r="W24" i="1"/>
  <c r="W25" i="1"/>
  <c r="W26" i="1"/>
  <c r="W27" i="1"/>
  <c r="W21" i="1"/>
  <c r="W17" i="1"/>
  <c r="W18" i="1"/>
  <c r="W19" i="1"/>
  <c r="W20" i="1"/>
  <c r="W15" i="1"/>
  <c r="W16" i="1"/>
  <c r="W14" i="1"/>
  <c r="W9" i="1"/>
  <c r="W10" i="1"/>
  <c r="W11" i="1"/>
  <c r="W12" i="1"/>
  <c r="W13" i="1"/>
  <c r="W4" i="1"/>
  <c r="W5" i="1"/>
  <c r="W6" i="1"/>
  <c r="W7" i="1"/>
  <c r="W8" i="1"/>
  <c r="W3" i="1"/>
  <c r="V35" i="1"/>
  <c r="M34" i="1"/>
  <c r="N34" i="1"/>
  <c r="O34" i="1"/>
  <c r="L34" i="1"/>
  <c r="B30" i="4"/>
  <c r="B31" i="4"/>
  <c r="AG15" i="1"/>
  <c r="T3" i="4"/>
  <c r="O3" i="4"/>
  <c r="P3" i="4"/>
  <c r="Q3" i="4"/>
  <c r="R3" i="4"/>
  <c r="S3" i="4"/>
  <c r="AG10" i="1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G32" i="3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G31" i="3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1" i="3"/>
  <c r="G24" i="3"/>
  <c r="G29" i="3"/>
  <c r="G2" i="3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G22" i="3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G28" i="3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5" i="3"/>
  <c r="I26" i="3"/>
  <c r="I27" i="3"/>
  <c r="I28" i="3"/>
  <c r="I29" i="3"/>
  <c r="I30" i="3"/>
  <c r="T16" i="4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<sst xmlns="http://schemas.openxmlformats.org/spreadsheetml/2006/main" count="148" uniqueCount="80">
  <si>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</si>
  <si>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</si>
  <si>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</si>
  <si>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</si>
  <si>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</si>
  <si>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</si>
  <si>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</si>
  <si>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</si>
  <si>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</si>
  <si>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</si>
  <si>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</si>
  <si>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</si>
  <si>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</si>
  <si>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</si>
  <si>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</si>
  <si>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</si>
  <si>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</si>
  <si>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</si>
  <si>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</si>
  <si>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</si>
  <si>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</si>
  <si>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</si>
  <si>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</si>
  <si>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</si>
  <si>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</si>
  <si>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</si>
  <si>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</si>
  <si>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</si>
  <si>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</si>
  <si>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</si>
  <si>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</si>
  <si>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</si>
  <si>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</si>
  <si>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</si>
  <si>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</si>
  <si>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</si>
  <si>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</si>
  <si>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</si>
  <si>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</si>
  <si>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</si>
  <si>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Generator#1 (Liter)</t>
  </si>
  <si>
    <t>Generator#2 (Liter)</t>
  </si>
  <si>
    <t>Generator#3 (Liter)</t>
  </si>
  <si>
    <t>Generator#4 (Liter)</t>
  </si>
  <si>
    <t>Generator#5 (Liter)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</si>
  <si>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</si>
  <si>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</si>
  <si>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</si>
  <si>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</si>
  <si>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</si>
  <si>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</si>
  <si>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</si>
  <si>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</si>
  <si>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</si>
  <si>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</si>
  <si>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</si>
  <si>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</si>
  <si>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</si>
  <si>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</si>
  <si>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</si>
  <si>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</si>
  <si>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</si>
  <si>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</si>
  <si>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KWH CONSUMED</t>
  </si>
  <si>
    <t>PER ENGINE</t>
  </si>
  <si>
    <t>FUEL BURN</t>
  </si>
  <si>
    <t>SS-A - KWh</t>
  </si>
  <si>
    <t>SS-B- KWh</t>
  </si>
  <si>
    <t>SS-C- KWh</t>
  </si>
  <si>
    <t>SS-D1- KWh</t>
  </si>
  <si>
    <t>SS-D2- KWh</t>
  </si>
  <si>
    <t>SS-E- KWh</t>
  </si>
  <si>
    <t>FIRE PUMP- KWh</t>
  </si>
  <si>
    <t>CASINO- KWh</t>
  </si>
  <si>
    <t>BOH- KWh</t>
  </si>
  <si>
    <t>Generator#1 - KWh</t>
  </si>
  <si>
    <t>Generator#2- KWh</t>
  </si>
  <si>
    <t>Generator#3- KWh</t>
  </si>
  <si>
    <t>Generator#4- KWh</t>
  </si>
  <si>
    <t>Generator#5-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</si>
</sst>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2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2" fontId="13" fillId="4" borderId="10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12" fillId="0" borderId="11" xfId="0" applyNumberFormat="1" applyFont="1" applyBorder="1" applyAlignment="1">
      <alignment horizontal="right"/>
    </xf>
    <xf numFmtId="4" fontId="12" fillId="0" borderId="11" xfId="0" applyNumberFormat="1" applyFont="1" applyBorder="1" applyAlignment="1">
      <alignment horizontal="right" vertic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0" fontId="13" fillId="5" borderId="10" xfId="0" applyFont="1" applyFill="1" applyBorder="1" applyAlignment="1">
      <alignment horizontal="center" vertical="center" wrapText="1"/>
    </xf>
    <xf numFmtId="2" fontId="15" fillId="0" borderId="17" xfId="0" applyNumberFormat="1" applyFont="1" applyBorder="1" applyAlignment="1">
      <alignment horizontal="right" wrapText="1"/>
    </xf>
    <xf numFmtId="0" fontId="15" fillId="0" borderId="17" xfId="0" applyFont="1" applyBorder="1" applyAlignment="1">
      <alignment horizontal="right" wrapText="1"/>
    </xf>
    <xf numFmtId="2" fontId="14" fillId="0" borderId="18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3" fillId="8" borderId="0" xfId="0" applyNumberFormat="1" applyFont="1" applyFill="1"/>
    <xf numFmtId="4" fontId="12" fillId="8" borderId="0" xfId="0" applyNumberFormat="1" applyFont="1" applyFill="1"/>
    <xf numFmtId="0" fontId="12" fillId="8" borderId="0" xfId="0" applyFont="1" applyFill="1"/>
    <xf numFmtId="0" fontId="13" fillId="8" borderId="2" xfId="0" applyFont="1" applyFill="1" applyBorder="1" applyAlignment="1">
      <alignment horizontal="center" vertical="center" wrapText="1"/>
    </xf>
    <xf numFmtId="4" fontId="12" fillId="8" borderId="2" xfId="0" applyNumberFormat="1" applyFont="1" applyFill="1" applyBorder="1"/>
    <xf numFmtId="4" fontId="14" fillId="8" borderId="2" xfId="0" applyNumberFormat="1" applyFont="1" applyFill="1" applyBorder="1" applyAlignment="1">
      <alignment horizontal="right"/>
    </xf>
    <xf numFmtId="4" fontId="14" fillId="8" borderId="9" xfId="0" applyNumberFormat="1" applyFont="1" applyFill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3" sqref="K23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4</v>
      </c>
      <c r="D2" s="1">
        <v>2021</v>
      </c>
      <c r="E2" s="12">
        <f>'Submetering '!O2+'Submetering '!P2+'Submetering '!Q2+'Submetering '!R2+'Submetering '!S2</f>
        <v>34194</v>
      </c>
      <c r="F2" s="11">
        <f>('FS Seychelles'!V3*'FS Seychelles'!W3)/TOTAL!E2</f>
        <v>0.23610425220798972</v>
      </c>
      <c r="G2" s="12">
        <f>'Submetering '!AB2</f>
        <v>243.8</v>
      </c>
      <c r="H2" s="11">
        <v>18.899999999999999</v>
      </c>
      <c r="I2" s="12">
        <f>'FS Seychelles'!X3+'FS Seychelles'!Z3+'FS Seychelles'!AA3+'FS Seychelles'!AB3</f>
        <v>465</v>
      </c>
      <c r="J2" s="11">
        <v>0</v>
      </c>
      <c r="K2" s="29">
        <f>'Submetering '!Z2</f>
        <v>85</v>
      </c>
      <c r="L2" s="11">
        <v>0</v>
      </c>
      <c r="M2" s="63">
        <f>'FS Seychelles'!B3</f>
        <v>66.069999999999993</v>
      </c>
    </row>
    <row r="3" spans="1:13" s="15" customFormat="1" x14ac:dyDescent="0.25">
      <c r="A3" s="1" t="s">
        <v>13</v>
      </c>
      <c r="B3" s="14">
        <f>B2+1</f>
        <v>2</v>
      </c>
      <c r="C3" s="11">
        <v>4</v>
      </c>
      <c r="D3" s="1">
        <v>2021</v>
      </c>
      <c r="E3" s="12">
        <f>'Submetering '!O3+'Submetering '!P3+'Submetering '!Q3+'Submetering '!R3+'Submetering '!S3</f>
        <v>30904</v>
      </c>
      <c r="F3" s="11">
        <f>('FS Seychelles'!V4*'FS Seychelles'!W4)/TOTAL!E3</f>
        <v>0.24033049443437743</v>
      </c>
      <c r="G3" s="12">
        <f>'Submetering '!AB3</f>
        <v>243.8</v>
      </c>
      <c r="H3" s="11">
        <f>H2</f>
        <v>18.899999999999999</v>
      </c>
      <c r="I3" s="12">
        <f>'FS Seychelles'!X4+'FS Seychelles'!Z4+'FS Seychelles'!AA4+'FS Seychelles'!AB4</f>
        <v>470</v>
      </c>
      <c r="J3" s="11">
        <f>J2</f>
        <v>0</v>
      </c>
      <c r="K3" s="29">
        <f>'Submetering '!Z3</f>
        <v>105</v>
      </c>
      <c r="L3" s="11">
        <f>L2</f>
        <v>0</v>
      </c>
      <c r="M3" s="63">
        <f>'FS Seychelles'!B4</f>
        <v>78.84</v>
      </c>
    </row>
    <row r="4" spans="1:13" s="15" customFormat="1" x14ac:dyDescent="0.25">
      <c r="A4" s="1" t="s">
        <v>13</v>
      </c>
      <c r="B4" s="14">
        <f t="shared" ref="B4:B32" si="0">B3+1</f>
        <v>3</v>
      </c>
      <c r="C4" s="11">
        <v>4</v>
      </c>
      <c r="D4" s="1">
        <v>2021</v>
      </c>
      <c r="E4" s="12">
        <f>'Submetering '!O4+'Submetering '!P4+'Submetering '!Q4+'Submetering '!R4+'Submetering '!S4</f>
        <v>33629</v>
      </c>
      <c r="F4" s="11">
        <f>('FS Seychelles'!V5*'FS Seychelles'!W5)/TOTAL!E4</f>
        <v>0.23999488536679653</v>
      </c>
      <c r="G4" s="12">
        <f>'Submetering '!AB4</f>
        <v>243.8</v>
      </c>
      <c r="H4" s="11">
        <f t="shared" ref="H4:H32" si="1">H3</f>
        <v>18.899999999999999</v>
      </c>
      <c r="I4" s="12">
        <f>'FS Seychelles'!X5+'FS Seychelles'!Z5+'FS Seychelles'!AA5+'FS Seychelles'!AB5</f>
        <v>432</v>
      </c>
      <c r="J4" s="11">
        <f t="shared" ref="J4:L32" si="2">J3</f>
        <v>0</v>
      </c>
      <c r="K4" s="29">
        <f>'Submetering '!Z4</f>
        <v>80</v>
      </c>
      <c r="L4" s="11">
        <f t="shared" si="2"/>
        <v>0</v>
      </c>
      <c r="M4" s="63">
        <f>'FS Seychelles'!B5</f>
        <v>65.45</v>
      </c>
    </row>
    <row r="5" spans="1:13" s="15" customFormat="1" x14ac:dyDescent="0.25">
      <c r="A5" s="1" t="s">
        <v>13</v>
      </c>
      <c r="B5" s="14">
        <f t="shared" si="0"/>
        <v>4</v>
      </c>
      <c r="C5" s="11">
        <v>4</v>
      </c>
      <c r="D5" s="1">
        <v>2021</v>
      </c>
      <c r="E5" s="12">
        <f>'Submetering '!O5+'Submetering '!P5+'Submetering '!Q5+'Submetering '!R5+'Submetering '!S5</f>
        <v>34281</v>
      </c>
      <c r="F5" s="11">
        <f>('FS Seychelles'!V6*'FS Seychelles'!W6)/TOTAL!E5</f>
        <v>0.23396124967182988</v>
      </c>
      <c r="G5" s="12">
        <f>'Submetering '!AB5</f>
        <v>243.8</v>
      </c>
      <c r="H5" s="11">
        <f t="shared" si="1"/>
        <v>18.899999999999999</v>
      </c>
      <c r="I5" s="12">
        <f>'FS Seychelles'!X6+'FS Seychelles'!Z6+'FS Seychelles'!AA6+'FS Seychelles'!AB6</f>
        <v>364</v>
      </c>
      <c r="J5" s="11">
        <f t="shared" si="2"/>
        <v>0</v>
      </c>
      <c r="K5" s="29">
        <f>'Submetering '!Z5</f>
        <v>3</v>
      </c>
      <c r="L5" s="11">
        <f t="shared" si="2"/>
        <v>0</v>
      </c>
      <c r="M5" s="63">
        <f>'FS Seychelles'!B6</f>
        <v>50</v>
      </c>
    </row>
    <row r="6" spans="1:13" s="15" customFormat="1" x14ac:dyDescent="0.25">
      <c r="A6" s="1" t="s">
        <v>13</v>
      </c>
      <c r="B6" s="14">
        <f t="shared" si="0"/>
        <v>5</v>
      </c>
      <c r="C6" s="11">
        <v>4</v>
      </c>
      <c r="D6" s="1">
        <v>2021</v>
      </c>
      <c r="E6" s="12">
        <f>'Submetering '!O6+'Submetering '!P6+'Submetering '!Q6+'Submetering '!R6+'Submetering '!S6</f>
        <v>33117</v>
      </c>
      <c r="F6" s="11">
        <f>('FS Seychelles'!V7*'FS Seychelles'!W7)/TOTAL!E6</f>
        <v>0.24084423105957667</v>
      </c>
      <c r="G6" s="12">
        <f>'Submetering '!AB6</f>
        <v>243.8</v>
      </c>
      <c r="H6" s="11">
        <f t="shared" si="1"/>
        <v>18.899999999999999</v>
      </c>
      <c r="I6" s="12">
        <f>'FS Seychelles'!X7+'FS Seychelles'!Z7+'FS Seychelles'!AA7+'FS Seychelles'!AB7</f>
        <v>431</v>
      </c>
      <c r="J6" s="11">
        <f t="shared" si="2"/>
        <v>0</v>
      </c>
      <c r="K6" s="29">
        <f>'Submetering '!Z6</f>
        <v>18</v>
      </c>
      <c r="L6" s="11">
        <f t="shared" si="2"/>
        <v>0</v>
      </c>
      <c r="M6" s="63">
        <f>'FS Seychelles'!B7</f>
        <v>47.37</v>
      </c>
    </row>
    <row r="7" spans="1:13" s="15" customFormat="1" x14ac:dyDescent="0.25">
      <c r="A7" s="1" t="s">
        <v>13</v>
      </c>
      <c r="B7" s="14">
        <f t="shared" si="0"/>
        <v>6</v>
      </c>
      <c r="C7" s="11">
        <v>4</v>
      </c>
      <c r="D7" s="1">
        <v>2021</v>
      </c>
      <c r="E7" s="12">
        <f>'Submetering '!O7+'Submetering '!P7+'Submetering '!Q7+'Submetering '!R7+'Submetering '!S7</f>
        <v>29861</v>
      </c>
      <c r="F7" s="11">
        <f>('FS Seychelles'!V8*'FS Seychelles'!W8)/TOTAL!E7</f>
        <v>0.24157843340812432</v>
      </c>
      <c r="G7" s="12">
        <f>'Submetering '!AB7</f>
        <v>243.8</v>
      </c>
      <c r="H7" s="11">
        <f t="shared" si="1"/>
        <v>18.899999999999999</v>
      </c>
      <c r="I7" s="12">
        <f>'FS Seychelles'!X8+'FS Seychelles'!Z8+'FS Seychelles'!AA8+'FS Seychelles'!AB8</f>
        <v>338</v>
      </c>
      <c r="J7" s="11">
        <f t="shared" si="2"/>
        <v>0</v>
      </c>
      <c r="K7" s="29">
        <f>'Submetering '!Z7</f>
        <v>87</v>
      </c>
      <c r="L7" s="11">
        <f t="shared" si="2"/>
        <v>0</v>
      </c>
      <c r="M7" s="63">
        <f>'FS Seychelles'!B8</f>
        <v>52.63</v>
      </c>
    </row>
    <row r="8" spans="1:13" s="15" customFormat="1" x14ac:dyDescent="0.25">
      <c r="A8" s="1" t="s">
        <v>13</v>
      </c>
      <c r="B8" s="14">
        <f t="shared" si="0"/>
        <v>7</v>
      </c>
      <c r="C8" s="11">
        <v>4</v>
      </c>
      <c r="D8" s="1">
        <v>2021</v>
      </c>
      <c r="E8" s="12">
        <f>'Submetering '!O8+'Submetering '!P8+'Submetering '!Q8+'Submetering '!R8+'Submetering '!S8</f>
        <v>33358</v>
      </c>
      <c r="F8" s="11">
        <f>('FS Seychelles'!V9*'FS Seychelles'!W9)/TOTAL!E8</f>
        <v>0.23145308471730919</v>
      </c>
      <c r="G8" s="12">
        <f>'Submetering '!AB8</f>
        <v>243.8</v>
      </c>
      <c r="H8" s="11">
        <f t="shared" si="1"/>
        <v>18.899999999999999</v>
      </c>
      <c r="I8" s="12">
        <f>'FS Seychelles'!X9+'FS Seychelles'!Z9+'FS Seychelles'!AA9+'FS Seychelles'!AB9</f>
        <v>342</v>
      </c>
      <c r="J8" s="11">
        <f t="shared" si="2"/>
        <v>0</v>
      </c>
      <c r="K8" s="29">
        <f>'Submetering '!Z8</f>
        <v>0</v>
      </c>
      <c r="L8" s="11">
        <f t="shared" si="2"/>
        <v>0</v>
      </c>
      <c r="M8" s="63">
        <f>'FS Seychelles'!B9</f>
        <v>57.69</v>
      </c>
    </row>
    <row r="9" spans="1:13" s="15" customFormat="1" x14ac:dyDescent="0.25">
      <c r="A9" s="1" t="s">
        <v>13</v>
      </c>
      <c r="B9" s="14">
        <f t="shared" si="0"/>
        <v>8</v>
      </c>
      <c r="C9" s="11">
        <v>4</v>
      </c>
      <c r="D9" s="1">
        <v>2021</v>
      </c>
      <c r="E9" s="12">
        <f>'Submetering '!O9+'Submetering '!P9+'Submetering '!Q9+'Submetering '!R9+'Submetering '!S9</f>
        <v>32636</v>
      </c>
      <c r="F9" s="11">
        <f>('FS Seychelles'!V10*'FS Seychelles'!W10)/TOTAL!E9</f>
        <v>0.23581497732565265</v>
      </c>
      <c r="G9" s="12">
        <f>'Submetering '!AB9</f>
        <v>243.8</v>
      </c>
      <c r="H9" s="11">
        <f t="shared" si="1"/>
        <v>18.899999999999999</v>
      </c>
      <c r="I9" s="12">
        <f>'FS Seychelles'!X10+'FS Seychelles'!Z10+'FS Seychelles'!AA10+'FS Seychelles'!AB10</f>
        <v>346</v>
      </c>
      <c r="J9" s="11">
        <f t="shared" si="2"/>
        <v>0</v>
      </c>
      <c r="K9" s="29">
        <f>'Submetering '!Z9</f>
        <v>0</v>
      </c>
      <c r="L9" s="11">
        <f t="shared" si="2"/>
        <v>0</v>
      </c>
      <c r="M9" s="63">
        <f>'FS Seychelles'!B10</f>
        <v>51.9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4</v>
      </c>
      <c r="D10" s="1">
        <v>2021</v>
      </c>
      <c r="E10" s="12">
        <f>'Submetering '!O10+'Submetering '!P10+'Submetering '!Q10+'Submetering '!R10+'Submetering '!S10</f>
        <v>32817</v>
      </c>
      <c r="F10" s="11">
        <f>('FS Seychelles'!V11*'FS Seychelles'!W11)/TOTAL!E10</f>
        <v>0.24653139531340462</v>
      </c>
      <c r="G10" s="12">
        <f>'Submetering '!AB10</f>
        <v>243.8</v>
      </c>
      <c r="H10" s="11">
        <f t="shared" si="1"/>
        <v>18.899999999999999</v>
      </c>
      <c r="I10" s="12">
        <f>'FS Seychelles'!X11+'FS Seychelles'!Z11+'FS Seychelles'!AA11+'FS Seychelles'!AB11</f>
        <v>327</v>
      </c>
      <c r="J10" s="11">
        <f t="shared" si="2"/>
        <v>0</v>
      </c>
      <c r="K10" s="29">
        <f>'Submetering '!Z10</f>
        <v>0</v>
      </c>
      <c r="L10" s="11">
        <f t="shared" si="2"/>
        <v>0</v>
      </c>
      <c r="M10" s="63">
        <f>'FS Seychelles'!B11</f>
        <v>48.75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4</v>
      </c>
      <c r="D11" s="1">
        <v>2021</v>
      </c>
      <c r="E11" s="12">
        <f>'Submetering '!O11+'Submetering '!P11+'Submetering '!Q11+'Submetering '!R11+'Submetering '!S11</f>
        <v>32930</v>
      </c>
      <c r="F11" s="11">
        <f>('FS Seychelles'!V12*'FS Seychelles'!W12)/TOTAL!E11</f>
        <v>0.2375200971758275</v>
      </c>
      <c r="G11" s="12">
        <f>'Submetering '!AB11</f>
        <v>243.8</v>
      </c>
      <c r="H11" s="11">
        <f t="shared" si="1"/>
        <v>18.899999999999999</v>
      </c>
      <c r="I11" s="12">
        <f>'FS Seychelles'!X12+'FS Seychelles'!Z12+'FS Seychelles'!AA12+'FS Seychelles'!AB12</f>
        <v>380</v>
      </c>
      <c r="J11" s="11">
        <f t="shared" si="2"/>
        <v>0</v>
      </c>
      <c r="K11" s="29">
        <f>'Submetering '!Z11</f>
        <v>70</v>
      </c>
      <c r="L11" s="11">
        <f t="shared" si="2"/>
        <v>0</v>
      </c>
      <c r="M11" s="63">
        <f>'FS Seychelles'!B12</f>
        <v>41.98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4</v>
      </c>
      <c r="D12" s="1">
        <v>2021</v>
      </c>
      <c r="E12" s="12">
        <f>'Submetering '!O12+'Submetering '!P12+'Submetering '!Q12+'Submetering '!R12+'Submetering '!S12</f>
        <v>32752</v>
      </c>
      <c r="F12" s="11">
        <f>('FS Seychelles'!V13*'FS Seychelles'!W13)/TOTAL!E12</f>
        <v>0.24571753786028336</v>
      </c>
      <c r="G12" s="12">
        <f>'Submetering '!AB12</f>
        <v>243.8</v>
      </c>
      <c r="H12" s="11">
        <f t="shared" si="1"/>
        <v>18.899999999999999</v>
      </c>
      <c r="I12" s="12">
        <f>'FS Seychelles'!X13+'FS Seychelles'!Z13+'FS Seychelles'!AA13+'FS Seychelles'!AB13</f>
        <v>398</v>
      </c>
      <c r="J12" s="11">
        <f t="shared" si="2"/>
        <v>0</v>
      </c>
      <c r="K12" s="29">
        <f>'Submetering '!Z12</f>
        <v>42</v>
      </c>
      <c r="L12" s="11">
        <f t="shared" si="2"/>
        <v>0</v>
      </c>
      <c r="M12" s="63">
        <f>'FS Seychelles'!B13</f>
        <v>42.68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4</v>
      </c>
      <c r="D13" s="1">
        <v>2021</v>
      </c>
      <c r="E13" s="12">
        <f>'Submetering '!O13+'Submetering '!P13+'Submetering '!Q13+'Submetering '!R13+'Submetering '!S13</f>
        <v>30989</v>
      </c>
      <c r="F13" s="11">
        <f>('FS Seychelles'!V14*'FS Seychelles'!W14)/TOTAL!E13</f>
        <v>0.2370679918680822</v>
      </c>
      <c r="G13" s="12">
        <f>'Submetering '!AB13</f>
        <v>243.8</v>
      </c>
      <c r="H13" s="11">
        <f t="shared" si="1"/>
        <v>18.899999999999999</v>
      </c>
      <c r="I13" s="12">
        <f>'FS Seychelles'!X14+'FS Seychelles'!Z14+'FS Seychelles'!AA14+'FS Seychelles'!AB14</f>
        <v>330</v>
      </c>
      <c r="J13" s="11">
        <f t="shared" si="2"/>
        <v>0</v>
      </c>
      <c r="K13" s="29">
        <f>'Submetering '!Z13</f>
        <v>0</v>
      </c>
      <c r="L13" s="11">
        <f t="shared" si="2"/>
        <v>0</v>
      </c>
      <c r="M13" s="63">
        <f>'FS Seychelles'!B14</f>
        <v>32.89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4</v>
      </c>
      <c r="D14" s="1">
        <v>2021</v>
      </c>
      <c r="E14" s="12">
        <f>'Submetering '!O14+'Submetering '!P14+'Submetering '!Q14+'Submetering '!R14+'Submetering '!S14</f>
        <v>28189</v>
      </c>
      <c r="F14" s="11">
        <f>('FS Seychelles'!V15*'FS Seychelles'!W15)/TOTAL!E14</f>
        <v>0.23068225194224695</v>
      </c>
      <c r="G14" s="12">
        <f>'Submetering '!AB14</f>
        <v>243.8</v>
      </c>
      <c r="H14" s="11">
        <f t="shared" si="1"/>
        <v>18.899999999999999</v>
      </c>
      <c r="I14" s="12">
        <f>'FS Seychelles'!X15+'FS Seychelles'!Z15+'FS Seychelles'!AA15+'FS Seychelles'!AB15</f>
        <v>338</v>
      </c>
      <c r="J14" s="11">
        <f t="shared" si="2"/>
        <v>0</v>
      </c>
      <c r="K14" s="29">
        <f>'Submetering '!Z14</f>
        <v>43</v>
      </c>
      <c r="L14" s="11">
        <f t="shared" si="2"/>
        <v>0</v>
      </c>
      <c r="M14" s="63">
        <f>'FS Seychelles'!B15</f>
        <v>22.36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4</v>
      </c>
      <c r="D15" s="1">
        <v>2021</v>
      </c>
      <c r="E15" s="12">
        <f>'Submetering '!O15+'Submetering '!P15+'Submetering '!Q15+'Submetering '!R15+'Submetering '!S15</f>
        <v>17029</v>
      </c>
      <c r="F15" s="11">
        <f>('FS Seychelles'!V16*'FS Seychelles'!W16)/TOTAL!E15</f>
        <v>0.22872185096012682</v>
      </c>
      <c r="G15" s="12">
        <f>'Submetering '!AB15</f>
        <v>243.8</v>
      </c>
      <c r="H15" s="11">
        <f t="shared" si="1"/>
        <v>18.899999999999999</v>
      </c>
      <c r="I15" s="12">
        <f>'FS Seychelles'!X16+'FS Seychelles'!Z16+'FS Seychelles'!AA16+'FS Seychelles'!AB16</f>
        <v>354</v>
      </c>
      <c r="J15" s="11">
        <f t="shared" si="2"/>
        <v>0</v>
      </c>
      <c r="K15" s="29">
        <f>'Submetering '!Z15</f>
        <v>17</v>
      </c>
      <c r="L15" s="11">
        <f t="shared" si="2"/>
        <v>0</v>
      </c>
      <c r="M15" s="63">
        <f>'FS Seychelles'!B16</f>
        <v>21.05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4</v>
      </c>
      <c r="D16" s="1">
        <v>2021</v>
      </c>
      <c r="E16" s="12">
        <f>'Submetering '!O16+'Submetering '!P16+'Submetering '!Q16+'Submetering '!R16+'Submetering '!S16</f>
        <v>31509</v>
      </c>
      <c r="F16" s="11">
        <f>('FS Seychelles'!V17*'FS Seychelles'!W17)/TOTAL!E16</f>
        <v>0.23819176743152748</v>
      </c>
      <c r="G16" s="12">
        <f>'Submetering '!AB16</f>
        <v>243.8</v>
      </c>
      <c r="H16" s="11">
        <f t="shared" si="1"/>
        <v>18.899999999999999</v>
      </c>
      <c r="I16" s="12">
        <f>'FS Seychelles'!X17+'FS Seychelles'!Z17+'FS Seychelles'!AA17+'FS Seychelles'!AB17</f>
        <v>325</v>
      </c>
      <c r="J16" s="11">
        <f t="shared" si="2"/>
        <v>0</v>
      </c>
      <c r="K16" s="29">
        <f>'Submetering '!Z16</f>
        <v>0</v>
      </c>
      <c r="L16" s="11">
        <f t="shared" si="2"/>
        <v>0</v>
      </c>
      <c r="M16" s="63">
        <f>'FS Seychelles'!B17</f>
        <v>23.68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4</v>
      </c>
      <c r="D17" s="1">
        <v>2021</v>
      </c>
      <c r="E17" s="12">
        <f>'Submetering '!O17+'Submetering '!P17+'Submetering '!Q17+'Submetering '!R17+'Submetering '!S17</f>
        <v>30412</v>
      </c>
      <c r="F17" s="11">
        <f>('FS Seychelles'!V18*'FS Seychelles'!W18)/TOTAL!E17</f>
        <v>0.23993698540049976</v>
      </c>
      <c r="G17" s="12">
        <f>'Submetering '!AB17</f>
        <v>243.8</v>
      </c>
      <c r="H17" s="11">
        <f t="shared" si="1"/>
        <v>18.899999999999999</v>
      </c>
      <c r="I17" s="12">
        <f>'FS Seychelles'!X18+'FS Seychelles'!Z18+'FS Seychelles'!AA18+'FS Seychelles'!AB18</f>
        <v>467</v>
      </c>
      <c r="J17" s="11">
        <f t="shared" si="2"/>
        <v>0</v>
      </c>
      <c r="K17" s="29">
        <f>'Submetering '!Z17</f>
        <v>123</v>
      </c>
      <c r="L17" s="11">
        <f t="shared" si="2"/>
        <v>0</v>
      </c>
      <c r="M17" s="63">
        <f>'FS Seychelles'!B18</f>
        <v>25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4</v>
      </c>
      <c r="D18" s="1">
        <v>2021</v>
      </c>
      <c r="E18" s="12">
        <f>'Submetering '!O18+'Submetering '!P18+'Submetering '!Q18+'Submetering '!R18+'Submetering '!S18</f>
        <v>31803</v>
      </c>
      <c r="F18" s="11">
        <f>('FS Seychelles'!V19*'FS Seychelles'!W19)/TOTAL!E18</f>
        <v>0.23313862214256514</v>
      </c>
      <c r="G18" s="12">
        <f>'Submetering '!AB18</f>
        <v>243.8</v>
      </c>
      <c r="H18" s="11">
        <f t="shared" si="1"/>
        <v>18.899999999999999</v>
      </c>
      <c r="I18" s="12">
        <f>'FS Seychelles'!X19+'FS Seychelles'!Z19+'FS Seychelles'!AA19+'FS Seychelles'!AB19</f>
        <v>498</v>
      </c>
      <c r="J18" s="11">
        <f t="shared" si="2"/>
        <v>0</v>
      </c>
      <c r="K18" s="29">
        <f>'Submetering '!Z18</f>
        <v>92</v>
      </c>
      <c r="L18" s="11">
        <f t="shared" si="2"/>
        <v>0</v>
      </c>
      <c r="M18" s="63">
        <f>'FS Seychelles'!B19</f>
        <v>28.95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4</v>
      </c>
      <c r="D19" s="1">
        <v>2021</v>
      </c>
      <c r="E19" s="12">
        <f>'Submetering '!O19+'Submetering '!P19+'Submetering '!Q19+'Submetering '!R19+'Submetering '!S19</f>
        <v>29614</v>
      </c>
      <c r="F19" s="11">
        <f>('FS Seychelles'!V20*'FS Seychelles'!W20)/TOTAL!E19</f>
        <v>0.23500521375025324</v>
      </c>
      <c r="G19" s="12">
        <f>'Submetering '!AB19</f>
        <v>243.8</v>
      </c>
      <c r="H19" s="11">
        <f t="shared" si="1"/>
        <v>18.899999999999999</v>
      </c>
      <c r="I19" s="12">
        <f>'FS Seychelles'!X20+'FS Seychelles'!Z20+'FS Seychelles'!AA20+'FS Seychelles'!AB20</f>
        <v>381</v>
      </c>
      <c r="J19" s="11">
        <f t="shared" si="2"/>
        <v>0</v>
      </c>
      <c r="K19" s="29">
        <f>'Submetering '!Z19</f>
        <v>47</v>
      </c>
      <c r="L19" s="11">
        <f t="shared" si="2"/>
        <v>0</v>
      </c>
      <c r="M19" s="63">
        <f>'FS Seychelles'!B20</f>
        <v>32.89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4</v>
      </c>
      <c r="D20" s="1">
        <v>2021</v>
      </c>
      <c r="E20" s="12">
        <f>'Submetering '!O20+'Submetering '!P20+'Submetering '!Q20+'Submetering '!R20+'Submetering '!S20</f>
        <v>27779</v>
      </c>
      <c r="F20" s="11">
        <f>('FS Seychelles'!V21*'FS Seychelles'!W21)/TOTAL!E20</f>
        <v>0.34045895100615575</v>
      </c>
      <c r="G20" s="12">
        <f>'Submetering '!AB20</f>
        <v>243.8</v>
      </c>
      <c r="H20" s="11">
        <f t="shared" si="1"/>
        <v>18.899999999999999</v>
      </c>
      <c r="I20" s="12">
        <f>'FS Seychelles'!X21+'FS Seychelles'!Z21+'FS Seychelles'!AA21+'FS Seychelles'!AB21</f>
        <v>341</v>
      </c>
      <c r="J20" s="11">
        <f t="shared" si="2"/>
        <v>0</v>
      </c>
      <c r="K20" s="29">
        <f>'Submetering '!Z20</f>
        <v>82</v>
      </c>
      <c r="L20" s="11">
        <f t="shared" si="2"/>
        <v>0</v>
      </c>
      <c r="M20" s="63">
        <f>'FS Seychelles'!B21</f>
        <v>40.79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4</v>
      </c>
      <c r="D21" s="1">
        <v>2021</v>
      </c>
      <c r="E21" s="12">
        <f>'Submetering '!O21+'Submetering '!P21+'Submetering '!Q21+'Submetering '!R21+'Submetering '!S21</f>
        <v>31874</v>
      </c>
      <c r="F21" s="11">
        <f>('FS Seychelles'!V22*'FS Seychelles'!W22)/TOTAL!E21</f>
        <v>0.30427714124364685</v>
      </c>
      <c r="G21" s="12">
        <f>'Submetering '!AB21</f>
        <v>243.8</v>
      </c>
      <c r="H21" s="11">
        <f t="shared" si="1"/>
        <v>18.899999999999999</v>
      </c>
      <c r="I21" s="12">
        <f>'FS Seychelles'!X22+'FS Seychelles'!Z22+'FS Seychelles'!AA22+'FS Seychelles'!AB22</f>
        <v>432</v>
      </c>
      <c r="J21" s="11">
        <f t="shared" si="2"/>
        <v>0</v>
      </c>
      <c r="K21" s="29">
        <f>'Submetering '!Z21</f>
        <v>0</v>
      </c>
      <c r="L21" s="11">
        <f t="shared" si="2"/>
        <v>0</v>
      </c>
      <c r="M21" s="63">
        <f>'FS Seychelles'!B22</f>
        <v>43.42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4</v>
      </c>
      <c r="D22" s="1">
        <v>2021</v>
      </c>
      <c r="E22" s="12">
        <f>'Submetering '!O22+'Submetering '!P22+'Submetering '!Q22+'Submetering '!R22+'Submetering '!S22</f>
        <v>18472</v>
      </c>
      <c r="F22" s="11">
        <f>('FS Seychelles'!V23*'FS Seychelles'!W23)/TOTAL!E22</f>
        <v>0.47421886097877869</v>
      </c>
      <c r="G22" s="12">
        <f>'Submetering '!AB22</f>
        <v>243.8</v>
      </c>
      <c r="H22" s="11">
        <f t="shared" si="1"/>
        <v>18.899999999999999</v>
      </c>
      <c r="I22" s="12">
        <f>'FS Seychelles'!X23+'FS Seychelles'!Z23+'FS Seychelles'!AA23+'FS Seychelles'!AB23</f>
        <v>397</v>
      </c>
      <c r="J22" s="11">
        <f t="shared" si="2"/>
        <v>0</v>
      </c>
      <c r="K22" s="29">
        <f>'Submetering '!Z22</f>
        <v>51</v>
      </c>
      <c r="L22" s="11">
        <f t="shared" si="2"/>
        <v>0</v>
      </c>
      <c r="M22" s="63">
        <f>'FS Seychelles'!B23</f>
        <v>52.63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4</v>
      </c>
      <c r="D23" s="1">
        <v>2021</v>
      </c>
      <c r="E23" s="12">
        <f>'Submetering '!O23+'Submetering '!P23+'Submetering '!Q23+'Submetering '!R23+'Submetering '!S23</f>
        <v>37081</v>
      </c>
      <c r="F23" s="11">
        <f>('FS Seychelles'!V24*'FS Seychelles'!W24)/TOTAL!E23</f>
        <v>0.24628316388446916</v>
      </c>
      <c r="G23" s="12">
        <f>'Submetering '!AB23</f>
        <v>243.8</v>
      </c>
      <c r="H23" s="11">
        <f t="shared" si="1"/>
        <v>18.899999999999999</v>
      </c>
      <c r="I23" s="12">
        <f>'FS Seychelles'!X24+'FS Seychelles'!Z24+'FS Seychelles'!AA24+'FS Seychelles'!AB24</f>
        <v>283</v>
      </c>
      <c r="J23" s="11">
        <f t="shared" si="2"/>
        <v>0</v>
      </c>
      <c r="K23" s="29">
        <f>'Submetering '!Z23</f>
        <v>77</v>
      </c>
      <c r="L23" s="11">
        <f t="shared" si="2"/>
        <v>0</v>
      </c>
      <c r="M23" s="63">
        <f>'FS Seychelles'!B24</f>
        <v>62.3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4</v>
      </c>
      <c r="D24" s="1">
        <v>2021</v>
      </c>
      <c r="E24" s="12">
        <f>'Submetering '!O24+'Submetering '!P24+'Submetering '!Q24+'Submetering '!R24+'Submetering '!S24</f>
        <v>31688</v>
      </c>
      <c r="F24" s="11">
        <f>('FS Seychelles'!V25*'FS Seychelles'!W25)/TOTAL!E24</f>
        <v>0.32456478162080282</v>
      </c>
      <c r="G24" s="12">
        <f>'Submetering '!AB24</f>
        <v>243.8</v>
      </c>
      <c r="H24" s="11">
        <f t="shared" si="1"/>
        <v>18.899999999999999</v>
      </c>
      <c r="I24" s="12">
        <f>'FS Seychelles'!X25+'FS Seychelles'!Z25+'FS Seychelles'!AA25+'FS Seychelles'!AB25</f>
        <v>426</v>
      </c>
      <c r="J24" s="11">
        <f t="shared" si="2"/>
        <v>0</v>
      </c>
      <c r="K24" s="29">
        <f>'Submetering '!Z24</f>
        <v>89</v>
      </c>
      <c r="L24" s="11">
        <f t="shared" si="2"/>
        <v>0</v>
      </c>
      <c r="M24" s="63">
        <f>'FS Seychelles'!B25</f>
        <v>60.66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4</v>
      </c>
      <c r="D25" s="1">
        <v>2021</v>
      </c>
      <c r="E25" s="12">
        <f>'Submetering '!O25+'Submetering '!P25+'Submetering '!Q25+'Submetering '!R25+'Submetering '!S25</f>
        <v>29478</v>
      </c>
      <c r="F25" s="11">
        <f>('FS Seychelles'!V26*'FS Seychelles'!W26)/TOTAL!E25</f>
        <v>0.30231634439242827</v>
      </c>
      <c r="G25" s="12">
        <f>'Submetering '!AB25</f>
        <v>243.8</v>
      </c>
      <c r="H25" s="11">
        <f t="shared" si="1"/>
        <v>18.899999999999999</v>
      </c>
      <c r="I25" s="12">
        <f>'FS Seychelles'!X26+'FS Seychelles'!Z26+'FS Seychelles'!AA26+'FS Seychelles'!AB26</f>
        <v>417</v>
      </c>
      <c r="J25" s="11">
        <f t="shared" si="2"/>
        <v>0</v>
      </c>
      <c r="K25" s="29">
        <f>'Submetering '!Z25</f>
        <v>121</v>
      </c>
      <c r="L25" s="11">
        <f t="shared" si="2"/>
        <v>0</v>
      </c>
      <c r="M25" s="63">
        <f>'FS Seychelles'!B26</f>
        <v>59.02</v>
      </c>
    </row>
    <row r="26" spans="1:13" s="15" customFormat="1" x14ac:dyDescent="0.25">
      <c r="A26" s="1" t="s">
        <v>13</v>
      </c>
      <c r="B26" s="14">
        <f>B25+1</f>
        <v>25</v>
      </c>
      <c r="C26" s="11">
        <v>4</v>
      </c>
      <c r="D26" s="1">
        <v>2021</v>
      </c>
      <c r="E26" s="12">
        <f>'Submetering '!O26+'Submetering '!P26+'Submetering '!Q26+'Submetering '!R26+'Submetering '!S26</f>
        <v>30605</v>
      </c>
      <c r="F26" s="11">
        <f>('FS Seychelles'!V27*'FS Seychelles'!W27)/TOTAL!E26</f>
        <v>0.32336955399444539</v>
      </c>
      <c r="G26" s="12">
        <f>'Submetering '!AB26</f>
        <v>243.8</v>
      </c>
      <c r="H26" s="11">
        <f t="shared" si="1"/>
        <v>18.899999999999999</v>
      </c>
      <c r="I26" s="12">
        <f>'FS Seychelles'!X27+'FS Seychelles'!Z27+'FS Seychelles'!AA27+'FS Seychelles'!AB27</f>
        <v>502</v>
      </c>
      <c r="J26" s="11">
        <f t="shared" si="2"/>
        <v>0</v>
      </c>
      <c r="K26" s="29">
        <f>'Submetering '!Z26</f>
        <v>121</v>
      </c>
      <c r="L26" s="11">
        <f t="shared" si="2"/>
        <v>0</v>
      </c>
      <c r="M26" s="63">
        <f>'FS Seychelles'!B27</f>
        <v>56.45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4</v>
      </c>
      <c r="D27" s="1">
        <v>2021</v>
      </c>
      <c r="E27" s="12">
        <f>'Submetering '!O27+'Submetering '!P27+'Submetering '!Q27+'Submetering '!R27+'Submetering '!S27</f>
        <v>20863</v>
      </c>
      <c r="F27" s="11">
        <f>('FS Seychelles'!V28*'FS Seychelles'!W28)/TOTAL!E27</f>
        <v>0.35576126156353355</v>
      </c>
      <c r="G27" s="12">
        <f>'Submetering '!AB27</f>
        <v>243.8</v>
      </c>
      <c r="H27" s="11">
        <f t="shared" si="1"/>
        <v>18.899999999999999</v>
      </c>
      <c r="I27" s="12">
        <f>'FS Seychelles'!X28+'FS Seychelles'!Z28+'FS Seychelles'!AA28+'FS Seychelles'!AB28</f>
        <v>414</v>
      </c>
      <c r="J27" s="11">
        <f t="shared" si="2"/>
        <v>0</v>
      </c>
      <c r="K27" s="29">
        <f>'Submetering '!Z27</f>
        <v>64</v>
      </c>
      <c r="L27" s="11">
        <f t="shared" si="2"/>
        <v>0</v>
      </c>
      <c r="M27" s="63">
        <f>'FS Seychelles'!B28</f>
        <v>50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4</v>
      </c>
      <c r="D28" s="1">
        <v>2021</v>
      </c>
      <c r="E28" s="12">
        <f>'Submetering '!O28+'Submetering '!P28+'Submetering '!Q28+'Submetering '!R28+'Submetering '!S28</f>
        <v>41207</v>
      </c>
      <c r="F28" s="11">
        <f>('FS Seychelles'!V29*'FS Seychelles'!W29)/TOTAL!E28</f>
        <v>0.32833062343776542</v>
      </c>
      <c r="G28" s="12">
        <f>'Submetering '!AB28</f>
        <v>243.8</v>
      </c>
      <c r="H28" s="11">
        <f t="shared" si="1"/>
        <v>18.899999999999999</v>
      </c>
      <c r="I28" s="12">
        <f>'FS Seychelles'!X29+'FS Seychelles'!Z29+'FS Seychelles'!AA29+'FS Seychelles'!AB29</f>
        <v>353</v>
      </c>
      <c r="J28" s="11">
        <f t="shared" si="2"/>
        <v>0</v>
      </c>
      <c r="K28" s="29">
        <f>'Submetering '!Z28</f>
        <v>14</v>
      </c>
      <c r="L28" s="11">
        <f t="shared" si="2"/>
        <v>0</v>
      </c>
      <c r="M28" s="63">
        <f>'FS Seychelles'!B29</f>
        <v>42.31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4</v>
      </c>
      <c r="D29" s="1">
        <v>2021</v>
      </c>
      <c r="E29" s="12">
        <f>'Submetering '!O29+'Submetering '!P29+'Submetering '!Q29+'Submetering '!R29+'Submetering '!S29</f>
        <v>21223</v>
      </c>
      <c r="F29" s="11">
        <f>('FS Seychelles'!V30*'FS Seychelles'!W30)/TOTAL!E29</f>
        <v>0.30974344814587951</v>
      </c>
      <c r="G29" s="12">
        <f>'Submetering '!AB29</f>
        <v>243.8</v>
      </c>
      <c r="H29" s="11">
        <f t="shared" si="1"/>
        <v>18.899999999999999</v>
      </c>
      <c r="I29" s="12">
        <f>'FS Seychelles'!X30+'FS Seychelles'!Z30+'FS Seychelles'!AA30+'FS Seychelles'!AB30</f>
        <v>342</v>
      </c>
      <c r="J29" s="11">
        <f t="shared" si="2"/>
        <v>0</v>
      </c>
      <c r="K29" s="29">
        <f>'Submetering '!Z29</f>
        <v>23</v>
      </c>
      <c r="L29" s="11">
        <f t="shared" si="2"/>
        <v>0</v>
      </c>
      <c r="M29" s="63">
        <f>'FS Seychelles'!B30</f>
        <v>40.51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4</v>
      </c>
      <c r="D30" s="1">
        <v>2021</v>
      </c>
      <c r="E30" s="12">
        <f>'Submetering '!O30+'Submetering '!P30+'Submetering '!Q30+'Submetering '!R30+'Submetering '!S30</f>
        <v>33377</v>
      </c>
      <c r="F30" s="11">
        <f>('FS Seychelles'!V31*'FS Seychelles'!W31)/TOTAL!E30</f>
        <v>0.58506178506156936</v>
      </c>
      <c r="G30" s="12">
        <f>'Submetering '!AB30</f>
        <v>243.8</v>
      </c>
      <c r="H30" s="11">
        <f t="shared" si="1"/>
        <v>18.899999999999999</v>
      </c>
      <c r="I30" s="12">
        <f>'FS Seychelles'!X31+'FS Seychelles'!Z31+'FS Seychelles'!AA31+'FS Seychelles'!AB31</f>
        <v>381</v>
      </c>
      <c r="J30" s="11">
        <f t="shared" si="2"/>
        <v>0</v>
      </c>
      <c r="K30" s="29">
        <f>'Submetering '!Z30</f>
        <v>12</v>
      </c>
      <c r="L30" s="11">
        <f t="shared" si="2"/>
        <v>0</v>
      </c>
      <c r="M30" s="63">
        <f>'FS Seychelles'!B31</f>
        <v>39.24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4</v>
      </c>
      <c r="D31" s="1">
        <v>2021</v>
      </c>
      <c r="E31" s="12">
        <f>'Submetering '!O31+'Submetering '!P31+'Submetering '!Q31+'Submetering '!R31+'Submetering '!S31</f>
        <v>28600</v>
      </c>
      <c r="F31" s="11">
        <f>('FS Seychelles'!V32*'FS Seychelles'!W32)/TOTAL!E31</f>
        <v>0.3430930909090909</v>
      </c>
      <c r="G31" s="12">
        <f>'Submetering '!AB31</f>
        <v>243.8</v>
      </c>
      <c r="H31" s="11">
        <f t="shared" si="1"/>
        <v>18.899999999999999</v>
      </c>
      <c r="I31" s="12">
        <f>'FS Seychelles'!X32+'FS Seychelles'!Z32+'FS Seychelles'!AA32+'FS Seychelles'!AB32</f>
        <v>351</v>
      </c>
      <c r="J31" s="11">
        <f t="shared" si="2"/>
        <v>0</v>
      </c>
      <c r="K31" s="29">
        <f>'Submetering '!Z31</f>
        <v>5</v>
      </c>
      <c r="L31" s="11">
        <f t="shared" si="2"/>
        <v>0</v>
      </c>
      <c r="M31" s="63">
        <f>'FS Seychelles'!B32</f>
        <v>45</v>
      </c>
    </row>
    <row r="32" spans="1:13" x14ac:dyDescent="0.25">
      <c r="A32" s="1" t="s">
        <v>13</v>
      </c>
      <c r="B32" s="14">
        <f t="shared" si="0"/>
        <v>31</v>
      </c>
      <c r="C32" s="11">
        <v>4</v>
      </c>
      <c r="D32" s="1">
        <v>2021</v>
      </c>
      <c r="E32" s="12">
        <f>'Submetering '!O32+'Submetering '!P32+'Submetering '!Q32+'Submetering '!R32+'Submetering '!S32</f>
        <v>0</v>
      </c>
      <c r="F32" s="11" t="e">
        <f>('FS Seychelles'!V33*'FS Seychelles'!W33)/TOTAL!E32</f>
        <v>#DIV/0!</v>
      </c>
      <c r="G32" s="12">
        <f>'Submetering '!AB32</f>
        <v>243.8</v>
      </c>
      <c r="H32" s="11">
        <f t="shared" si="1"/>
        <v>18.899999999999999</v>
      </c>
      <c r="I32" s="12">
        <f>'FS Seychelles'!X33+'FS Seychelles'!Z33+'FS Seychelles'!AA33+'FS Seychelles'!AB33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63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abSelected="1" topLeftCell="J1" workbookViewId="0">
      <selection activeCell="S14" sqref="S14"/>
    </sheetView>
  </sheetViews>
  <sheetFormatPr defaultColWidth="11.5703125" defaultRowHeight="15" x14ac:dyDescent="0.2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66</v>
      </c>
      <c r="G1" s="25" t="s">
        <v>67</v>
      </c>
      <c r="H1" s="25" t="s">
        <v>68</v>
      </c>
      <c r="I1" s="25" t="s">
        <v>69</v>
      </c>
      <c r="J1" s="25" t="s">
        <v>70</v>
      </c>
      <c r="K1" s="25" t="s">
        <v>71</v>
      </c>
      <c r="L1" s="25" t="s">
        <v>72</v>
      </c>
      <c r="M1" s="25" t="s">
        <v>73</v>
      </c>
      <c r="N1" s="25" t="s">
        <v>74</v>
      </c>
      <c r="O1" s="25" t="s">
        <v>75</v>
      </c>
      <c r="P1" s="25" t="s">
        <v>76</v>
      </c>
      <c r="Q1" s="25" t="s">
        <v>77</v>
      </c>
      <c r="R1" s="25" t="s">
        <v>78</v>
      </c>
      <c r="S1" s="25" t="s">
        <v>79</v>
      </c>
      <c r="T1" s="25" t="s">
        <v>15</v>
      </c>
      <c r="U1" s="25" t="s">
        <v>16</v>
      </c>
      <c r="V1" s="25" t="s">
        <v>17</v>
      </c>
      <c r="W1" s="25" t="s">
        <v>18</v>
      </c>
      <c r="X1" s="25" t="s">
        <v>19</v>
      </c>
      <c r="Y1" s="25" t="s">
        <v>20</v>
      </c>
      <c r="Z1" s="25" t="s">
        <v>21</v>
      </c>
      <c r="AA1" s="25" t="s">
        <v>22</v>
      </c>
      <c r="AB1" s="25" t="s">
        <v>23</v>
      </c>
    </row>
    <row r="2" spans="1:28" x14ac:dyDescent="0.25">
      <c r="A2" s="1" t="s">
        <v>13</v>
      </c>
      <c r="B2" s="11">
        <v>1</v>
      </c>
      <c r="C2" s="11">
        <v>4</v>
      </c>
      <c r="D2" s="11">
        <v>2021</v>
      </c>
      <c r="E2" s="18">
        <f>'FS Seychelles'!B3</f>
        <v>66.069999999999993</v>
      </c>
      <c r="F2" s="18">
        <f>'FS Seychelles'!C3*1000</f>
        <v>5921.7920000000004</v>
      </c>
      <c r="G2" s="18">
        <f>'FS Seychelles'!D3*1000</f>
        <v>5921.7920000000004</v>
      </c>
      <c r="H2" s="18">
        <f>'FS Seychelles'!E3*1000</f>
        <v>5470.72</v>
      </c>
      <c r="I2" s="18">
        <f>'FS Seychelles'!F3*1000</f>
        <v>1987.328</v>
      </c>
      <c r="J2" s="18">
        <f>'FS Seychelles'!G3*1000</f>
        <v>3916.7999999999997</v>
      </c>
      <c r="K2" s="18">
        <f>'FS Seychelles'!H3*1000</f>
        <v>3279.8720000000003</v>
      </c>
      <c r="L2" s="18">
        <f>'FS Seychelles'!I3*1000</f>
        <v>1460.6079999999999</v>
      </c>
      <c r="M2" s="18">
        <f>'FS Seychelles'!J3*1000</f>
        <v>1697.5359999999998</v>
      </c>
      <c r="N2" s="18">
        <f>'FS Seychelles'!K3*1000</f>
        <v>4147.2</v>
      </c>
      <c r="O2" s="18">
        <f>'FS Seychelles'!L3</f>
        <v>3315</v>
      </c>
      <c r="P2" s="18">
        <f>'FS Seychelles'!M3</f>
        <v>13527</v>
      </c>
      <c r="Q2" s="18">
        <f>'FS Seychelles'!N3</f>
        <v>7070</v>
      </c>
      <c r="R2" s="18">
        <f>'FS Seychelles'!O3</f>
        <v>10282</v>
      </c>
      <c r="S2" s="18">
        <f>'FS Seychelles'!P3</f>
        <v>0</v>
      </c>
      <c r="T2" s="18">
        <f>'FS Seychelles'!V3</f>
        <v>9458</v>
      </c>
      <c r="U2" s="18">
        <f>'FS Seychelles'!X3</f>
        <v>47</v>
      </c>
      <c r="V2" s="18">
        <f>'FS Seychelles'!Y3</f>
        <v>16</v>
      </c>
      <c r="W2" s="18">
        <f>'FS Seychelles'!Z3</f>
        <v>106</v>
      </c>
      <c r="X2" s="18">
        <f>'FS Seychelles'!AA3</f>
        <v>117</v>
      </c>
      <c r="Y2" s="18">
        <f>'FS Seychelles'!AB3</f>
        <v>195</v>
      </c>
      <c r="Z2" s="18">
        <f>'FS Seychelles'!AC3</f>
        <v>85</v>
      </c>
      <c r="AA2" s="18">
        <f>'FS Seychelles'!AD3</f>
        <v>0</v>
      </c>
      <c r="AB2" s="18">
        <f>('FS Seychelles'!$AG$10+'FS Seychelles'!$AG$15)/30</f>
        <v>243.8</v>
      </c>
    </row>
    <row r="3" spans="1:28" x14ac:dyDescent="0.25">
      <c r="A3" s="1" t="s">
        <v>13</v>
      </c>
      <c r="B3" s="11">
        <f>B2+1</f>
        <v>2</v>
      </c>
      <c r="C3" s="11">
        <v>4</v>
      </c>
      <c r="D3" s="11">
        <v>2021</v>
      </c>
      <c r="E3" s="18">
        <f>'FS Seychelles'!B4</f>
        <v>78.84</v>
      </c>
      <c r="F3" s="18">
        <f>'FS Seychelles'!C4*1000</f>
        <v>5106.1759999999995</v>
      </c>
      <c r="G3" s="18">
        <f>'FS Seychelles'!D4*1000</f>
        <v>5106.1759999999995</v>
      </c>
      <c r="H3" s="18">
        <f>'FS Seychelles'!E4*1000</f>
        <v>5318.1440000000002</v>
      </c>
      <c r="I3" s="18">
        <f>'FS Seychelles'!F4*1000</f>
        <v>1844.4799999999998</v>
      </c>
      <c r="J3" s="18">
        <f>'FS Seychelles'!G4*1000</f>
        <v>3202.8159999999998</v>
      </c>
      <c r="K3" s="18">
        <f>'FS Seychelles'!H4*1000</f>
        <v>2833.92</v>
      </c>
      <c r="L3" s="18">
        <f>'FS Seychelles'!I4*1000</f>
        <v>1486.72</v>
      </c>
      <c r="M3" s="18">
        <f>'FS Seychelles'!J4*1000</f>
        <v>1712.384</v>
      </c>
      <c r="N3" s="18">
        <f>'FS Seychelles'!K4*1000</f>
        <v>4149.2479999999996</v>
      </c>
      <c r="O3" s="18">
        <f>'FS Seychelles'!L4</f>
        <v>7699</v>
      </c>
      <c r="P3" s="18">
        <f>'FS Seychelles'!M4</f>
        <v>583</v>
      </c>
      <c r="Q3" s="18">
        <f>'FS Seychelles'!N4</f>
        <v>11873</v>
      </c>
      <c r="R3" s="18">
        <f>'FS Seychelles'!O4</f>
        <v>10749</v>
      </c>
      <c r="S3" s="18">
        <f>'FS Seychelles'!P4</f>
        <v>0</v>
      </c>
      <c r="T3" s="18">
        <f>'FS Seychelles'!V4</f>
        <v>8701</v>
      </c>
      <c r="U3" s="18">
        <f>'FS Seychelles'!X4</f>
        <v>67</v>
      </c>
      <c r="V3" s="18">
        <f>'FS Seychelles'!Y4</f>
        <v>26</v>
      </c>
      <c r="W3" s="18">
        <f>'FS Seychelles'!Z4</f>
        <v>94</v>
      </c>
      <c r="X3" s="18">
        <f>'FS Seychelles'!AA4</f>
        <v>115</v>
      </c>
      <c r="Y3" s="18">
        <f>'FS Seychelles'!AB4</f>
        <v>194</v>
      </c>
      <c r="Z3" s="18">
        <f>'FS Seychelles'!AC4</f>
        <v>105</v>
      </c>
      <c r="AA3" s="18">
        <f>'FS Seychelles'!AD4</f>
        <v>0</v>
      </c>
      <c r="AB3" s="18">
        <f>('FS Seychelles'!$AG$10+'FS Seychelles'!$AG$15)/30</f>
        <v>243.8</v>
      </c>
    </row>
    <row r="4" spans="1:28" x14ac:dyDescent="0.25">
      <c r="A4" s="1" t="s">
        <v>13</v>
      </c>
      <c r="B4" s="11">
        <f t="shared" ref="B4:B31" si="0">B3+1</f>
        <v>3</v>
      </c>
      <c r="C4" s="11">
        <v>4</v>
      </c>
      <c r="D4" s="11">
        <v>2021</v>
      </c>
      <c r="E4" s="18">
        <f>'FS Seychelles'!B5</f>
        <v>65.45</v>
      </c>
      <c r="F4" s="18">
        <f>'FS Seychelles'!C5*1000</f>
        <v>5678.5919999999996</v>
      </c>
      <c r="G4" s="18">
        <f>'FS Seychelles'!D5*1000</f>
        <v>5678.5919999999996</v>
      </c>
      <c r="H4" s="18">
        <f>'FS Seychelles'!E5*1000</f>
        <v>5789.1839999999993</v>
      </c>
      <c r="I4" s="18">
        <f>'FS Seychelles'!F5*1000</f>
        <v>2212.6079999999997</v>
      </c>
      <c r="J4" s="18">
        <f>'FS Seychelles'!G5*1000</f>
        <v>3600.8960000000002</v>
      </c>
      <c r="K4" s="18">
        <f>'FS Seychelles'!H5*1000</f>
        <v>3117.3119999999999</v>
      </c>
      <c r="L4" s="18">
        <f>'FS Seychelles'!I5*1000</f>
        <v>1448.704</v>
      </c>
      <c r="M4" s="18">
        <f>'FS Seychelles'!J5*1000</f>
        <v>1574.6559999999999</v>
      </c>
      <c r="N4" s="18">
        <f>'FS Seychelles'!K5*1000</f>
        <v>4025.3439999999996</v>
      </c>
      <c r="O4" s="18">
        <f>'FS Seychelles'!L5</f>
        <v>4563</v>
      </c>
      <c r="P4" s="18">
        <f>'FS Seychelles'!M5</f>
        <v>8674</v>
      </c>
      <c r="Q4" s="18">
        <f>'FS Seychelles'!N5</f>
        <v>9742</v>
      </c>
      <c r="R4" s="18">
        <f>'FS Seychelles'!O5</f>
        <v>10650</v>
      </c>
      <c r="S4" s="18">
        <f>'FS Seychelles'!P5</f>
        <v>0</v>
      </c>
      <c r="T4" s="18">
        <f>'FS Seychelles'!V5</f>
        <v>9455</v>
      </c>
      <c r="U4" s="18">
        <f>'FS Seychelles'!X5</f>
        <v>26</v>
      </c>
      <c r="V4" s="18">
        <f>'FS Seychelles'!Y5</f>
        <v>57</v>
      </c>
      <c r="W4" s="18">
        <f>'FS Seychelles'!Z5</f>
        <v>107</v>
      </c>
      <c r="X4" s="18">
        <f>'FS Seychelles'!AA5</f>
        <v>111</v>
      </c>
      <c r="Y4" s="18">
        <f>'FS Seychelles'!AB5</f>
        <v>188</v>
      </c>
      <c r="Z4" s="18">
        <f>'FS Seychelles'!AC5</f>
        <v>80</v>
      </c>
      <c r="AA4" s="18">
        <f>'FS Seychelles'!AD5</f>
        <v>0</v>
      </c>
      <c r="AB4" s="18">
        <f>('FS Seychelles'!$AG$10+'FS Seychelles'!$AG$15)/30</f>
        <v>243.8</v>
      </c>
    </row>
    <row r="5" spans="1:28" x14ac:dyDescent="0.25">
      <c r="A5" s="1" t="s">
        <v>13</v>
      </c>
      <c r="B5" s="11">
        <f t="shared" si="0"/>
        <v>4</v>
      </c>
      <c r="C5" s="11">
        <v>4</v>
      </c>
      <c r="D5" s="11">
        <v>2021</v>
      </c>
      <c r="E5" s="18">
        <f>'FS Seychelles'!B6</f>
        <v>50</v>
      </c>
      <c r="F5" s="18">
        <f>'FS Seychelles'!C6*1000</f>
        <v>6061.5680000000002</v>
      </c>
      <c r="G5" s="18">
        <f>'FS Seychelles'!D6*1000</f>
        <v>6061.5680000000002</v>
      </c>
      <c r="H5" s="18">
        <f>'FS Seychelles'!E6*1000</f>
        <v>5786.6239999999998</v>
      </c>
      <c r="I5" s="18">
        <f>'FS Seychelles'!F6*1000</f>
        <v>2350.3359999999998</v>
      </c>
      <c r="J5" s="18">
        <f>'FS Seychelles'!G6*1000</f>
        <v>3847.68</v>
      </c>
      <c r="K5" s="18">
        <f>'FS Seychelles'!H6*1000</f>
        <v>3193.3440000000001</v>
      </c>
      <c r="L5" s="18">
        <f>'FS Seychelles'!I6*1000</f>
        <v>1301.376</v>
      </c>
      <c r="M5" s="18">
        <f>'FS Seychelles'!J6*1000</f>
        <v>1592.32</v>
      </c>
      <c r="N5" s="18">
        <f>'FS Seychelles'!K6*1000</f>
        <v>3892.2240000000002</v>
      </c>
      <c r="O5" s="18">
        <f>'FS Seychelles'!L6</f>
        <v>3942</v>
      </c>
      <c r="P5" s="18">
        <f>'FS Seychelles'!M6</f>
        <v>11015</v>
      </c>
      <c r="Q5" s="18">
        <f>'FS Seychelles'!N6</f>
        <v>8272</v>
      </c>
      <c r="R5" s="18">
        <f>'FS Seychelles'!O6</f>
        <v>11052</v>
      </c>
      <c r="S5" s="18">
        <f>'FS Seychelles'!P6</f>
        <v>0</v>
      </c>
      <c r="T5" s="18">
        <f>'FS Seychelles'!V6</f>
        <v>9396</v>
      </c>
      <c r="U5" s="18">
        <f>'FS Seychelles'!X6</f>
        <v>48</v>
      </c>
      <c r="V5" s="18">
        <f>'FS Seychelles'!Y6</f>
        <v>63</v>
      </c>
      <c r="W5" s="18">
        <f>'FS Seychelles'!Z6</f>
        <v>74</v>
      </c>
      <c r="X5" s="18">
        <f>'FS Seychelles'!AA6</f>
        <v>38</v>
      </c>
      <c r="Y5" s="18">
        <f>'FS Seychelles'!AB6</f>
        <v>204</v>
      </c>
      <c r="Z5" s="18">
        <f>'FS Seychelles'!AC6</f>
        <v>3</v>
      </c>
      <c r="AA5" s="18">
        <f>'FS Seychelles'!AD6</f>
        <v>0</v>
      </c>
      <c r="AB5" s="18">
        <f>('FS Seychelles'!$AG$10+'FS Seychelles'!$AG$15)/30</f>
        <v>243.8</v>
      </c>
    </row>
    <row r="6" spans="1:28" x14ac:dyDescent="0.25">
      <c r="A6" s="1" t="s">
        <v>13</v>
      </c>
      <c r="B6" s="11">
        <f t="shared" si="0"/>
        <v>5</v>
      </c>
      <c r="C6" s="11">
        <v>4</v>
      </c>
      <c r="D6" s="11">
        <v>2021</v>
      </c>
      <c r="E6" s="18">
        <f>'FS Seychelles'!B7</f>
        <v>47.37</v>
      </c>
      <c r="F6" s="18">
        <f>'FS Seychelles'!C7*1000</f>
        <v>5733.3760000000002</v>
      </c>
      <c r="G6" s="18">
        <f>'FS Seychelles'!D7*1000</f>
        <v>5733.3760000000002</v>
      </c>
      <c r="H6" s="18">
        <f>'FS Seychelles'!E7*1000</f>
        <v>5962.2400000000007</v>
      </c>
      <c r="I6" s="18">
        <f>'FS Seychelles'!F7*1000</f>
        <v>2403.328</v>
      </c>
      <c r="J6" s="18">
        <f>'FS Seychelles'!G7*1000</f>
        <v>3860.9920000000002</v>
      </c>
      <c r="K6" s="18">
        <f>'FS Seychelles'!H7*1000</f>
        <v>3065.0879999999997</v>
      </c>
      <c r="L6" s="18">
        <f>'FS Seychelles'!I7*1000</f>
        <v>621.82400000000007</v>
      </c>
      <c r="M6" s="18">
        <f>'FS Seychelles'!J7*1000</f>
        <v>1627.3920000000001</v>
      </c>
      <c r="N6" s="18">
        <f>'FS Seychelles'!K7*1000</f>
        <v>3109.3760000000002</v>
      </c>
      <c r="O6" s="18">
        <f>'FS Seychelles'!L7</f>
        <v>8495</v>
      </c>
      <c r="P6" s="18">
        <f>'FS Seychelles'!M7</f>
        <v>9835</v>
      </c>
      <c r="Q6" s="18">
        <f>'FS Seychelles'!N7</f>
        <v>6810</v>
      </c>
      <c r="R6" s="18">
        <f>'FS Seychelles'!O7</f>
        <v>7977</v>
      </c>
      <c r="S6" s="18">
        <f>'FS Seychelles'!P7</f>
        <v>0</v>
      </c>
      <c r="T6" s="18">
        <f>'FS Seychelles'!V7</f>
        <v>9344</v>
      </c>
      <c r="U6" s="18">
        <f>'FS Seychelles'!X7</f>
        <v>52</v>
      </c>
      <c r="V6" s="18">
        <f>'FS Seychelles'!Y7</f>
        <v>18</v>
      </c>
      <c r="W6" s="18">
        <f>'FS Seychelles'!Z7</f>
        <v>85</v>
      </c>
      <c r="X6" s="18">
        <f>'FS Seychelles'!AA7</f>
        <v>47</v>
      </c>
      <c r="Y6" s="18">
        <f>'FS Seychelles'!AB7</f>
        <v>247</v>
      </c>
      <c r="Z6" s="18">
        <f>'FS Seychelles'!AC7</f>
        <v>18</v>
      </c>
      <c r="AA6" s="18">
        <f>'FS Seychelles'!AD7</f>
        <v>0</v>
      </c>
      <c r="AB6" s="18">
        <f>('FS Seychelles'!$AG$10+'FS Seychelles'!$AG$15)/30</f>
        <v>243.8</v>
      </c>
    </row>
    <row r="7" spans="1:28" x14ac:dyDescent="0.25">
      <c r="A7" s="1" t="s">
        <v>13</v>
      </c>
      <c r="B7" s="11">
        <f t="shared" si="0"/>
        <v>6</v>
      </c>
      <c r="C7" s="11">
        <v>4</v>
      </c>
      <c r="D7" s="11">
        <v>2021</v>
      </c>
      <c r="E7" s="18">
        <f>'FS Seychelles'!B8</f>
        <v>52.63</v>
      </c>
      <c r="F7" s="18">
        <f>'FS Seychelles'!C8*1000</f>
        <v>4737.5360000000001</v>
      </c>
      <c r="G7" s="18">
        <f>'FS Seychelles'!D8*1000</f>
        <v>4737.5360000000001</v>
      </c>
      <c r="H7" s="18">
        <f>'FS Seychelles'!E8*1000</f>
        <v>5299.7120000000004</v>
      </c>
      <c r="I7" s="18">
        <f>'FS Seychelles'!F8*1000</f>
        <v>1946.3680000000002</v>
      </c>
      <c r="J7" s="18">
        <f>'FS Seychelles'!G8*1000</f>
        <v>3403.7760000000003</v>
      </c>
      <c r="K7" s="18">
        <f>'FS Seychelles'!H8*1000</f>
        <v>2541.8240000000001</v>
      </c>
      <c r="L7" s="18">
        <f>'FS Seychelles'!I8*1000</f>
        <v>1310.08</v>
      </c>
      <c r="M7" s="18">
        <f>'FS Seychelles'!J8*1000</f>
        <v>1704.704</v>
      </c>
      <c r="N7" s="18">
        <f>'FS Seychelles'!K8*1000</f>
        <v>3814.4</v>
      </c>
      <c r="O7" s="18">
        <f>'FS Seychelles'!L8</f>
        <v>2215</v>
      </c>
      <c r="P7" s="18">
        <f>'FS Seychelles'!M8</f>
        <v>11318</v>
      </c>
      <c r="Q7" s="18">
        <f>'FS Seychelles'!N8</f>
        <v>3546</v>
      </c>
      <c r="R7" s="18">
        <f>'FS Seychelles'!O8</f>
        <v>12782</v>
      </c>
      <c r="S7" s="18">
        <f>'FS Seychelles'!P8</f>
        <v>0</v>
      </c>
      <c r="T7" s="18">
        <f>'FS Seychelles'!V8</f>
        <v>8451</v>
      </c>
      <c r="U7" s="18">
        <f>'FS Seychelles'!X8</f>
        <v>45</v>
      </c>
      <c r="V7" s="18">
        <f>'FS Seychelles'!Y8</f>
        <v>15</v>
      </c>
      <c r="W7" s="18">
        <f>'FS Seychelles'!Z8</f>
        <v>64</v>
      </c>
      <c r="X7" s="18">
        <f>'FS Seychelles'!AA8</f>
        <v>26</v>
      </c>
      <c r="Y7" s="18">
        <f>'FS Seychelles'!AB8</f>
        <v>203</v>
      </c>
      <c r="Z7" s="18">
        <f>'FS Seychelles'!AC8</f>
        <v>87</v>
      </c>
      <c r="AA7" s="18">
        <f>'FS Seychelles'!AD8</f>
        <v>0</v>
      </c>
      <c r="AB7" s="18">
        <f>('FS Seychelles'!$AG$10+'FS Seychelles'!$AG$15)/30</f>
        <v>243.8</v>
      </c>
    </row>
    <row r="8" spans="1:28" x14ac:dyDescent="0.25">
      <c r="A8" s="1" t="s">
        <v>13</v>
      </c>
      <c r="B8" s="11">
        <f t="shared" si="0"/>
        <v>7</v>
      </c>
      <c r="C8" s="11">
        <v>4</v>
      </c>
      <c r="D8" s="11">
        <v>2021</v>
      </c>
      <c r="E8" s="18">
        <f>'FS Seychelles'!B9</f>
        <v>57.69</v>
      </c>
      <c r="F8" s="18">
        <f>'FS Seychelles'!C9*1000</f>
        <v>5410.8159999999998</v>
      </c>
      <c r="G8" s="18">
        <f>'FS Seychelles'!D9*1000</f>
        <v>5410.8159999999998</v>
      </c>
      <c r="H8" s="18">
        <f>'FS Seychelles'!E9*1000</f>
        <v>5563.3920000000007</v>
      </c>
      <c r="I8" s="18">
        <f>'FS Seychelles'!F9*1000</f>
        <v>2138.1120000000001</v>
      </c>
      <c r="J8" s="18">
        <f>'FS Seychelles'!G9*1000</f>
        <v>3905.7919999999999</v>
      </c>
      <c r="K8" s="18">
        <f>'FS Seychelles'!H9*1000</f>
        <v>2871.808</v>
      </c>
      <c r="L8" s="18">
        <f>'FS Seychelles'!I9*1000</f>
        <v>1492.6079999999999</v>
      </c>
      <c r="M8" s="18">
        <f>'FS Seychelles'!J9*1000</f>
        <v>1711.8720000000001</v>
      </c>
      <c r="N8" s="18">
        <f>'FS Seychelles'!K9*1000</f>
        <v>4050.4319999999998</v>
      </c>
      <c r="O8" s="18">
        <f>'FS Seychelles'!L9</f>
        <v>4839</v>
      </c>
      <c r="P8" s="18">
        <f>'FS Seychelles'!M9</f>
        <v>11828</v>
      </c>
      <c r="Q8" s="18">
        <f>'FS Seychelles'!N9</f>
        <v>4904</v>
      </c>
      <c r="R8" s="18">
        <f>'FS Seychelles'!O9</f>
        <v>11787</v>
      </c>
      <c r="S8" s="18">
        <f>'FS Seychelles'!P9</f>
        <v>0</v>
      </c>
      <c r="T8" s="18">
        <f>'FS Seychelles'!V9</f>
        <v>9045</v>
      </c>
      <c r="U8" s="18">
        <f>'FS Seychelles'!X9</f>
        <v>51</v>
      </c>
      <c r="V8" s="18">
        <f>'FS Seychelles'!Y9</f>
        <v>15</v>
      </c>
      <c r="W8" s="18">
        <f>'FS Seychelles'!Z9</f>
        <v>68</v>
      </c>
      <c r="X8" s="18">
        <f>'FS Seychelles'!AA9</f>
        <v>49</v>
      </c>
      <c r="Y8" s="18">
        <f>'FS Seychelles'!AB9</f>
        <v>174</v>
      </c>
      <c r="Z8" s="18">
        <f>'FS Seychelles'!AC9</f>
        <v>0</v>
      </c>
      <c r="AA8" s="18">
        <f>'FS Seychelles'!AD9</f>
        <v>0</v>
      </c>
      <c r="AB8" s="18">
        <f>('FS Seychelles'!$AG$10+'FS Seychelles'!$AG$15)/30</f>
        <v>243.8</v>
      </c>
    </row>
    <row r="9" spans="1:28" x14ac:dyDescent="0.25">
      <c r="A9" s="1" t="s">
        <v>13</v>
      </c>
      <c r="B9" s="11">
        <f t="shared" si="0"/>
        <v>8</v>
      </c>
      <c r="C9" s="11">
        <v>4</v>
      </c>
      <c r="D9" s="11">
        <v>2021</v>
      </c>
      <c r="E9" s="18">
        <f>'FS Seychelles'!B10</f>
        <v>51.9</v>
      </c>
      <c r="F9" s="18">
        <f>'FS Seychelles'!C10*1000</f>
        <v>5454.848</v>
      </c>
      <c r="G9" s="18">
        <f>'FS Seychelles'!D10*1000</f>
        <v>5454.848</v>
      </c>
      <c r="H9" s="18">
        <f>'FS Seychelles'!E10*1000</f>
        <v>5557.76</v>
      </c>
      <c r="I9" s="18">
        <f>'FS Seychelles'!F10*1000</f>
        <v>2360.8319999999999</v>
      </c>
      <c r="J9" s="18">
        <f>'FS Seychelles'!G10*1000</f>
        <v>3735.2959999999998</v>
      </c>
      <c r="K9" s="18">
        <f>'FS Seychelles'!H10*1000</f>
        <v>2872.32</v>
      </c>
      <c r="L9" s="18">
        <f>'FS Seychelles'!I10*1000</f>
        <v>1497.472</v>
      </c>
      <c r="M9" s="18">
        <f>'FS Seychelles'!J10*1000</f>
        <v>1673.472</v>
      </c>
      <c r="N9" s="18">
        <f>'FS Seychelles'!K10*1000</f>
        <v>4049.92</v>
      </c>
      <c r="O9" s="18">
        <f>'FS Seychelles'!L10</f>
        <v>5310</v>
      </c>
      <c r="P9" s="18">
        <f>'FS Seychelles'!M10</f>
        <v>10711</v>
      </c>
      <c r="Q9" s="18">
        <f>'FS Seychelles'!N10</f>
        <v>5831</v>
      </c>
      <c r="R9" s="18">
        <f>'FS Seychelles'!O10</f>
        <v>10784</v>
      </c>
      <c r="S9" s="18">
        <f>'FS Seychelles'!P10</f>
        <v>0</v>
      </c>
      <c r="T9" s="18">
        <f>'FS Seychelles'!V10</f>
        <v>9016</v>
      </c>
      <c r="U9" s="18">
        <f>'FS Seychelles'!X10</f>
        <v>47</v>
      </c>
      <c r="V9" s="18">
        <f>'FS Seychelles'!Y10</f>
        <v>37</v>
      </c>
      <c r="W9" s="18">
        <f>'FS Seychelles'!Z10</f>
        <v>46</v>
      </c>
      <c r="X9" s="18">
        <f>'FS Seychelles'!AA10</f>
        <v>50</v>
      </c>
      <c r="Y9" s="18">
        <f>'FS Seychelles'!AB10</f>
        <v>203</v>
      </c>
      <c r="Z9" s="18">
        <f>'FS Seychelles'!AC10</f>
        <v>0</v>
      </c>
      <c r="AA9" s="18">
        <f>'FS Seychelles'!AD10</f>
        <v>0</v>
      </c>
      <c r="AB9" s="18">
        <f>('FS Seychelles'!$AG$10+'FS Seychelles'!$AG$15)/30</f>
        <v>243.8</v>
      </c>
    </row>
    <row r="10" spans="1:28" x14ac:dyDescent="0.25">
      <c r="A10" s="1" t="s">
        <v>13</v>
      </c>
      <c r="B10" s="11">
        <f t="shared" si="0"/>
        <v>9</v>
      </c>
      <c r="C10" s="11">
        <v>4</v>
      </c>
      <c r="D10" s="11">
        <v>2021</v>
      </c>
      <c r="E10" s="18">
        <f>'FS Seychelles'!B11</f>
        <v>48.75</v>
      </c>
      <c r="F10" s="18">
        <f>'FS Seychelles'!C11*1000</f>
        <v>5682.1760000000004</v>
      </c>
      <c r="G10" s="18">
        <f>'FS Seychelles'!D11*1000</f>
        <v>5682.1760000000004</v>
      </c>
      <c r="H10" s="18">
        <f>'FS Seychelles'!E11*1000</f>
        <v>5542.9120000000003</v>
      </c>
      <c r="I10" s="18">
        <f>'FS Seychelles'!F11*1000</f>
        <v>2049.2800000000002</v>
      </c>
      <c r="J10" s="18">
        <f>'FS Seychelles'!G11*1000</f>
        <v>3239.424</v>
      </c>
      <c r="K10" s="18">
        <f>'FS Seychelles'!H11*1000</f>
        <v>2935.04</v>
      </c>
      <c r="L10" s="18">
        <f>'FS Seychelles'!I11*1000</f>
        <v>1462.3999999999999</v>
      </c>
      <c r="M10" s="18">
        <f>'FS Seychelles'!J11*1000</f>
        <v>1728.2560000000001</v>
      </c>
      <c r="N10" s="18">
        <f>'FS Seychelles'!K11*1000</f>
        <v>4036.6080000000002</v>
      </c>
      <c r="O10" s="18">
        <f>'FS Seychelles'!L11</f>
        <v>7169</v>
      </c>
      <c r="P10" s="18">
        <f>'FS Seychelles'!M11</f>
        <v>9210</v>
      </c>
      <c r="Q10" s="18">
        <f>'FS Seychelles'!N11</f>
        <v>5774</v>
      </c>
      <c r="R10" s="18">
        <f>'FS Seychelles'!O11</f>
        <v>10664</v>
      </c>
      <c r="S10" s="18">
        <f>'FS Seychelles'!P11</f>
        <v>0</v>
      </c>
      <c r="T10" s="18">
        <f>'FS Seychelles'!V11</f>
        <v>9478</v>
      </c>
      <c r="U10" s="18">
        <f>'FS Seychelles'!X11</f>
        <v>26</v>
      </c>
      <c r="V10" s="18">
        <f>'FS Seychelles'!Y11</f>
        <v>27</v>
      </c>
      <c r="W10" s="18">
        <f>'FS Seychelles'!Z11</f>
        <v>50</v>
      </c>
      <c r="X10" s="18">
        <f>'FS Seychelles'!AA11</f>
        <v>60</v>
      </c>
      <c r="Y10" s="18">
        <f>'FS Seychelles'!AB11</f>
        <v>191</v>
      </c>
      <c r="Z10" s="18">
        <f>'FS Seychelles'!AC11</f>
        <v>0</v>
      </c>
      <c r="AA10" s="18">
        <f>'FS Seychelles'!AD11</f>
        <v>0</v>
      </c>
      <c r="AB10" s="18">
        <f>('FS Seychelles'!$AG$10+'FS Seychelles'!$AG$15)/30</f>
        <v>243.8</v>
      </c>
    </row>
    <row r="11" spans="1:28" x14ac:dyDescent="0.25">
      <c r="A11" s="1" t="s">
        <v>13</v>
      </c>
      <c r="B11" s="11">
        <f t="shared" si="0"/>
        <v>10</v>
      </c>
      <c r="C11" s="11">
        <v>4</v>
      </c>
      <c r="D11" s="11">
        <v>2021</v>
      </c>
      <c r="E11" s="18">
        <f>'FS Seychelles'!B12</f>
        <v>41.98</v>
      </c>
      <c r="F11" s="18">
        <f>'FS Seychelles'!C12*1000</f>
        <v>5630.4639999999999</v>
      </c>
      <c r="G11" s="18">
        <f>'FS Seychelles'!D12*1000</f>
        <v>5630.4639999999999</v>
      </c>
      <c r="H11" s="18">
        <f>'FS Seychelles'!E12*1000</f>
        <v>5711.36</v>
      </c>
      <c r="I11" s="18">
        <f>'FS Seychelles'!F12*1000</f>
        <v>2418.1759999999999</v>
      </c>
      <c r="J11" s="18">
        <f>'FS Seychelles'!G12*1000</f>
        <v>3438.3360000000002</v>
      </c>
      <c r="K11" s="18">
        <f>'FS Seychelles'!H12*1000</f>
        <v>3108.3519999999999</v>
      </c>
      <c r="L11" s="18">
        <f>'FS Seychelles'!I12*1000</f>
        <v>1460.2239999999999</v>
      </c>
      <c r="M11" s="18">
        <f>'FS Seychelles'!J12*1000</f>
        <v>1722.8799999999999</v>
      </c>
      <c r="N11" s="18">
        <f>'FS Seychelles'!K12*1000</f>
        <v>3942.9120000000003</v>
      </c>
      <c r="O11" s="18">
        <f>'FS Seychelles'!L12</f>
        <v>5879</v>
      </c>
      <c r="P11" s="18">
        <f>'FS Seychelles'!M12</f>
        <v>11366</v>
      </c>
      <c r="Q11" s="18">
        <f>'FS Seychelles'!N12</f>
        <v>4369</v>
      </c>
      <c r="R11" s="18">
        <f>'FS Seychelles'!O12</f>
        <v>11316</v>
      </c>
      <c r="S11" s="18">
        <f>'FS Seychelles'!P12</f>
        <v>0</v>
      </c>
      <c r="T11" s="18">
        <f>'FS Seychelles'!V12</f>
        <v>9163</v>
      </c>
      <c r="U11" s="18">
        <f>'FS Seychelles'!X12</f>
        <v>38</v>
      </c>
      <c r="V11" s="18">
        <f>'FS Seychelles'!Y12</f>
        <v>32</v>
      </c>
      <c r="W11" s="18">
        <f>'FS Seychelles'!Z12</f>
        <v>50</v>
      </c>
      <c r="X11" s="18">
        <f>'FS Seychelles'!AA12</f>
        <v>68</v>
      </c>
      <c r="Y11" s="18">
        <f>'FS Seychelles'!AB12</f>
        <v>224</v>
      </c>
      <c r="Z11" s="18">
        <f>'FS Seychelles'!AC12</f>
        <v>70</v>
      </c>
      <c r="AA11" s="18">
        <f>'FS Seychelles'!AD12</f>
        <v>0</v>
      </c>
      <c r="AB11" s="18">
        <f>('FS Seychelles'!$AG$10+'FS Seychelles'!$AG$15)/30</f>
        <v>243.8</v>
      </c>
    </row>
    <row r="12" spans="1:28" x14ac:dyDescent="0.25">
      <c r="A12" s="1" t="s">
        <v>13</v>
      </c>
      <c r="B12" s="11">
        <f t="shared" si="0"/>
        <v>11</v>
      </c>
      <c r="C12" s="11">
        <v>4</v>
      </c>
      <c r="D12" s="11">
        <v>2021</v>
      </c>
      <c r="E12" s="18">
        <f>'FS Seychelles'!B13</f>
        <v>42.68</v>
      </c>
      <c r="F12" s="18">
        <f>'FS Seychelles'!C13*1000</f>
        <v>5416.96</v>
      </c>
      <c r="G12" s="18">
        <f>'FS Seychelles'!D13*1000</f>
        <v>5416.96</v>
      </c>
      <c r="H12" s="18">
        <f>'FS Seychelles'!E13*1000</f>
        <v>5579.2640000000001</v>
      </c>
      <c r="I12" s="18">
        <f>'FS Seychelles'!F13*1000</f>
        <v>2435.5839999999998</v>
      </c>
      <c r="J12" s="18">
        <f>'FS Seychelles'!G13*1000</f>
        <v>3473.1519999999996</v>
      </c>
      <c r="K12" s="18">
        <f>'FS Seychelles'!H13*1000</f>
        <v>3095.808</v>
      </c>
      <c r="L12" s="18">
        <f>'FS Seychelles'!I13*1000</f>
        <v>1473.5360000000001</v>
      </c>
      <c r="M12" s="18">
        <f>'FS Seychelles'!J13*1000</f>
        <v>1550.848</v>
      </c>
      <c r="N12" s="18">
        <f>'FS Seychelles'!K13*1000</f>
        <v>3879.9359999999997</v>
      </c>
      <c r="O12" s="18">
        <f>'FS Seychelles'!L13</f>
        <v>0</v>
      </c>
      <c r="P12" s="18">
        <f>'FS Seychelles'!M13</f>
        <v>12700</v>
      </c>
      <c r="Q12" s="18">
        <f>'FS Seychelles'!N13</f>
        <v>4654</v>
      </c>
      <c r="R12" s="18">
        <f>'FS Seychelles'!O13</f>
        <v>15398</v>
      </c>
      <c r="S12" s="18">
        <f>'FS Seychelles'!P13</f>
        <v>0</v>
      </c>
      <c r="T12" s="18">
        <f>'FS Seychelles'!V13</f>
        <v>9428</v>
      </c>
      <c r="U12" s="18">
        <f>'FS Seychelles'!X13</f>
        <v>50</v>
      </c>
      <c r="V12" s="18">
        <f>'FS Seychelles'!Y13</f>
        <v>44</v>
      </c>
      <c r="W12" s="18">
        <f>'FS Seychelles'!Z13</f>
        <v>54</v>
      </c>
      <c r="X12" s="18">
        <f>'FS Seychelles'!AA13</f>
        <v>75</v>
      </c>
      <c r="Y12" s="18">
        <f>'FS Seychelles'!AB13</f>
        <v>219</v>
      </c>
      <c r="Z12" s="18">
        <f>'FS Seychelles'!AC13</f>
        <v>42</v>
      </c>
      <c r="AA12" s="18">
        <f>'FS Seychelles'!AD13</f>
        <v>0</v>
      </c>
      <c r="AB12" s="18">
        <f>('FS Seychelles'!$AG$10+'FS Seychelles'!$AG$15)/30</f>
        <v>243.8</v>
      </c>
    </row>
    <row r="13" spans="1:28" x14ac:dyDescent="0.25">
      <c r="A13" s="1" t="s">
        <v>13</v>
      </c>
      <c r="B13" s="11">
        <f t="shared" si="0"/>
        <v>12</v>
      </c>
      <c r="C13" s="11">
        <v>4</v>
      </c>
      <c r="D13" s="11">
        <v>2021</v>
      </c>
      <c r="E13" s="18">
        <f>'FS Seychelles'!B14</f>
        <v>32.89</v>
      </c>
      <c r="F13" s="18">
        <f>'FS Seychelles'!C14*1000</f>
        <v>4878.848</v>
      </c>
      <c r="G13" s="18">
        <f>'FS Seychelles'!D14*1000</f>
        <v>4878.848</v>
      </c>
      <c r="H13" s="18">
        <f>'FS Seychelles'!E14*1000</f>
        <v>5521.4080000000004</v>
      </c>
      <c r="I13" s="18">
        <f>'FS Seychelles'!F14*1000</f>
        <v>2446.08</v>
      </c>
      <c r="J13" s="18">
        <f>'FS Seychelles'!G14*1000</f>
        <v>3061.5039999999999</v>
      </c>
      <c r="K13" s="18">
        <f>'FS Seychelles'!H14*1000</f>
        <v>2854.1439999999998</v>
      </c>
      <c r="L13" s="18">
        <f>'FS Seychelles'!I14*1000</f>
        <v>1476.864</v>
      </c>
      <c r="M13" s="18">
        <f>'FS Seychelles'!J14*1000</f>
        <v>1600.2559999999999</v>
      </c>
      <c r="N13" s="18">
        <f>'FS Seychelles'!K14*1000</f>
        <v>3964.9279999999999</v>
      </c>
      <c r="O13" s="18">
        <f>'FS Seychelles'!L14</f>
        <v>0</v>
      </c>
      <c r="P13" s="18">
        <f>'FS Seychelles'!M14</f>
        <v>12170</v>
      </c>
      <c r="Q13" s="18">
        <f>'FS Seychelles'!N14</f>
        <v>8259</v>
      </c>
      <c r="R13" s="18">
        <f>'FS Seychelles'!O14</f>
        <v>10560</v>
      </c>
      <c r="S13" s="18">
        <f>'FS Seychelles'!P14</f>
        <v>0</v>
      </c>
      <c r="T13" s="18">
        <f>'FS Seychelles'!V14</f>
        <v>8750</v>
      </c>
      <c r="U13" s="18">
        <f>'FS Seychelles'!X14</f>
        <v>41</v>
      </c>
      <c r="V13" s="18">
        <f>'FS Seychelles'!Y14</f>
        <v>32</v>
      </c>
      <c r="W13" s="18">
        <f>'FS Seychelles'!Z14</f>
        <v>55</v>
      </c>
      <c r="X13" s="18">
        <f>'FS Seychelles'!AA14</f>
        <v>48</v>
      </c>
      <c r="Y13" s="18">
        <f>'FS Seychelles'!AB14</f>
        <v>186</v>
      </c>
      <c r="Z13" s="18">
        <f>'FS Seychelles'!AC14</f>
        <v>0</v>
      </c>
      <c r="AA13" s="18">
        <f>'FS Seychelles'!AD14</f>
        <v>0</v>
      </c>
      <c r="AB13" s="18">
        <f>('FS Seychelles'!$AG$10+'FS Seychelles'!$AG$15)/30</f>
        <v>243.8</v>
      </c>
    </row>
    <row r="14" spans="1:28" x14ac:dyDescent="0.25">
      <c r="A14" s="1" t="s">
        <v>13</v>
      </c>
      <c r="B14" s="11">
        <f t="shared" si="0"/>
        <v>13</v>
      </c>
      <c r="C14" s="11">
        <v>4</v>
      </c>
      <c r="D14" s="11">
        <v>2021</v>
      </c>
      <c r="E14" s="18">
        <f>'FS Seychelles'!B15</f>
        <v>22.36</v>
      </c>
      <c r="F14" s="18">
        <f>'FS Seychelles'!C15*1000</f>
        <v>4172.7999999999993</v>
      </c>
      <c r="G14" s="18">
        <f>'FS Seychelles'!D15*1000</f>
        <v>4172.7999999999993</v>
      </c>
      <c r="H14" s="18">
        <f>'FS Seychelles'!E15*1000</f>
        <v>5078.0159999999996</v>
      </c>
      <c r="I14" s="18">
        <f>'FS Seychelles'!F15*1000</f>
        <v>2081.5360000000001</v>
      </c>
      <c r="J14" s="18">
        <f>'FS Seychelles'!G15*1000</f>
        <v>2782.2079999999996</v>
      </c>
      <c r="K14" s="18">
        <f>'FS Seychelles'!H15*1000</f>
        <v>2531.328</v>
      </c>
      <c r="L14" s="18">
        <f>'FS Seychelles'!I15*1000</f>
        <v>1477.6320000000001</v>
      </c>
      <c r="M14" s="18">
        <f>'FS Seychelles'!J15*1000</f>
        <v>1545.9839999999999</v>
      </c>
      <c r="N14" s="18">
        <f>'FS Seychelles'!K15*1000</f>
        <v>3937.7919999999999</v>
      </c>
      <c r="O14" s="18">
        <f>'FS Seychelles'!L15</f>
        <v>0</v>
      </c>
      <c r="P14" s="18">
        <f>'FS Seychelles'!M15</f>
        <v>10082</v>
      </c>
      <c r="Q14" s="18">
        <f>'FS Seychelles'!N15</f>
        <v>14094</v>
      </c>
      <c r="R14" s="18">
        <f>'FS Seychelles'!O15</f>
        <v>4013</v>
      </c>
      <c r="S14" s="18">
        <f>'FS Seychelles'!P15</f>
        <v>0</v>
      </c>
      <c r="T14" s="18">
        <f>'FS Seychelles'!V15</f>
        <v>7745</v>
      </c>
      <c r="U14" s="18">
        <f>'FS Seychelles'!X15</f>
        <v>50</v>
      </c>
      <c r="V14" s="18">
        <f>'FS Seychelles'!Y15</f>
        <v>28</v>
      </c>
      <c r="W14" s="18">
        <f>'FS Seychelles'!Z15</f>
        <v>43</v>
      </c>
      <c r="X14" s="18">
        <f>'FS Seychelles'!AA15</f>
        <v>55</v>
      </c>
      <c r="Y14" s="18">
        <f>'FS Seychelles'!AB15</f>
        <v>190</v>
      </c>
      <c r="Z14" s="18">
        <f>'FS Seychelles'!AC15</f>
        <v>43</v>
      </c>
      <c r="AA14" s="18">
        <f>'FS Seychelles'!AD15</f>
        <v>0</v>
      </c>
      <c r="AB14" s="18">
        <f>('FS Seychelles'!$AG$10+'FS Seychelles'!$AG$15)/30</f>
        <v>243.8</v>
      </c>
    </row>
    <row r="15" spans="1:28" x14ac:dyDescent="0.25">
      <c r="A15" s="1" t="s">
        <v>13</v>
      </c>
      <c r="B15" s="11">
        <f t="shared" si="0"/>
        <v>14</v>
      </c>
      <c r="C15" s="11">
        <v>4</v>
      </c>
      <c r="D15" s="11">
        <v>2021</v>
      </c>
      <c r="E15" s="18">
        <f>'FS Seychelles'!B16</f>
        <v>21.05</v>
      </c>
      <c r="F15" s="18">
        <f>'FS Seychelles'!C16*1000</f>
        <v>4389.8879999999999</v>
      </c>
      <c r="G15" s="18">
        <f>'FS Seychelles'!D16*1000</f>
        <v>4389.8879999999999</v>
      </c>
      <c r="H15" s="18">
        <f>'FS Seychelles'!E16*1000</f>
        <v>4860.4160000000002</v>
      </c>
      <c r="I15" s="18">
        <f>'FS Seychelles'!F16*1000</f>
        <v>2300.672</v>
      </c>
      <c r="J15" s="18">
        <f>'FS Seychelles'!G16*1000</f>
        <v>3115.7759999999998</v>
      </c>
      <c r="K15" s="18">
        <f>'FS Seychelles'!H16*1000</f>
        <v>2734.08</v>
      </c>
      <c r="L15" s="18">
        <f>'FS Seychelles'!I16*1000</f>
        <v>1458.432</v>
      </c>
      <c r="M15" s="18">
        <f>'FS Seychelles'!J16*1000</f>
        <v>1702.3999999999999</v>
      </c>
      <c r="N15" s="18">
        <f>'FS Seychelles'!K16*1000</f>
        <v>3955.712</v>
      </c>
      <c r="O15" s="18">
        <f>'FS Seychelles'!L16</f>
        <v>0</v>
      </c>
      <c r="P15" s="18">
        <f>'FS Seychelles'!M16</f>
        <v>5012</v>
      </c>
      <c r="Q15" s="18">
        <f>'FS Seychelles'!N16</f>
        <v>9128</v>
      </c>
      <c r="R15" s="18">
        <f>'FS Seychelles'!O16</f>
        <v>2889</v>
      </c>
      <c r="S15" s="18">
        <f>'FS Seychelles'!P16</f>
        <v>0</v>
      </c>
      <c r="T15" s="18">
        <f>'FS Seychelles'!V17</f>
        <v>8939</v>
      </c>
      <c r="U15" s="18">
        <f>'FS Seychelles'!X16</f>
        <v>47</v>
      </c>
      <c r="V15" s="18">
        <f>'FS Seychelles'!Y16</f>
        <v>44</v>
      </c>
      <c r="W15" s="18">
        <f>'FS Seychelles'!Z16</f>
        <v>51</v>
      </c>
      <c r="X15" s="18">
        <f>'FS Seychelles'!AA16</f>
        <v>56</v>
      </c>
      <c r="Y15" s="18">
        <f>'FS Seychelles'!AB16</f>
        <v>200</v>
      </c>
      <c r="Z15" s="18">
        <f>'FS Seychelles'!AC16</f>
        <v>17</v>
      </c>
      <c r="AA15" s="18">
        <f>'FS Seychelles'!AD16</f>
        <v>0</v>
      </c>
      <c r="AB15" s="18">
        <f>('FS Seychelles'!$AG$10+'FS Seychelles'!$AG$15)/30</f>
        <v>243.8</v>
      </c>
    </row>
    <row r="16" spans="1:28" x14ac:dyDescent="0.25">
      <c r="A16" s="1" t="s">
        <v>13</v>
      </c>
      <c r="B16" s="11">
        <f t="shared" si="0"/>
        <v>15</v>
      </c>
      <c r="C16" s="11">
        <v>4</v>
      </c>
      <c r="D16" s="11">
        <v>2021</v>
      </c>
      <c r="E16" s="18">
        <f>'FS Seychelles'!B17</f>
        <v>23.68</v>
      </c>
      <c r="F16" s="18">
        <f>'FS Seychelles'!C17*1000</f>
        <v>4706.3040000000001</v>
      </c>
      <c r="G16" s="18">
        <f>'FS Seychelles'!D17*1000</f>
        <v>4706.3040000000001</v>
      </c>
      <c r="H16" s="18">
        <f>'FS Seychelles'!E17*1000</f>
        <v>5283.8399999999992</v>
      </c>
      <c r="I16" s="18">
        <f>'FS Seychelles'!F17*1000</f>
        <v>2473.7280000000001</v>
      </c>
      <c r="J16" s="18">
        <f>'FS Seychelles'!G17*1000</f>
        <v>3492.096</v>
      </c>
      <c r="K16" s="18">
        <f>'FS Seychelles'!H17*1000</f>
        <v>2988.7999999999997</v>
      </c>
      <c r="L16" s="18">
        <f>'FS Seychelles'!I17*1000</f>
        <v>1415.5519999999999</v>
      </c>
      <c r="M16" s="18">
        <f>'FS Seychelles'!J17*1000</f>
        <v>1832.192</v>
      </c>
      <c r="N16" s="18">
        <f>'FS Seychelles'!K17*1000</f>
        <v>3973.6319999999996</v>
      </c>
      <c r="O16" s="18">
        <f>'FS Seychelles'!L17</f>
        <v>0</v>
      </c>
      <c r="P16" s="18">
        <f>'FS Seychelles'!M17</f>
        <v>15041</v>
      </c>
      <c r="Q16" s="18">
        <f>'FS Seychelles'!N17</f>
        <v>5539</v>
      </c>
      <c r="R16" s="18">
        <f>'FS Seychelles'!O17</f>
        <v>10929</v>
      </c>
      <c r="S16" s="18">
        <f>'FS Seychelles'!P17</f>
        <v>0</v>
      </c>
      <c r="T16" s="18">
        <f>'FS Seychelles'!V18</f>
        <v>8691</v>
      </c>
      <c r="U16" s="18">
        <f>'FS Seychelles'!X17</f>
        <v>43</v>
      </c>
      <c r="V16" s="18">
        <f>'FS Seychelles'!Y17</f>
        <v>31</v>
      </c>
      <c r="W16" s="18">
        <f>'FS Seychelles'!Z17</f>
        <v>58</v>
      </c>
      <c r="X16" s="18">
        <f>'FS Seychelles'!AA17</f>
        <v>29</v>
      </c>
      <c r="Y16" s="18">
        <f>'FS Seychelles'!AB17</f>
        <v>195</v>
      </c>
      <c r="Z16" s="18">
        <f>'FS Seychelles'!AC17</f>
        <v>0</v>
      </c>
      <c r="AA16" s="18">
        <f>'FS Seychelles'!AD17</f>
        <v>0</v>
      </c>
      <c r="AB16" s="18">
        <f>('FS Seychelles'!$AG$10+'FS Seychelles'!$AG$15)/30</f>
        <v>243.8</v>
      </c>
    </row>
    <row r="17" spans="1:28" x14ac:dyDescent="0.25">
      <c r="A17" s="1" t="s">
        <v>13</v>
      </c>
      <c r="B17" s="11">
        <f t="shared" si="0"/>
        <v>16</v>
      </c>
      <c r="C17" s="11">
        <v>4</v>
      </c>
      <c r="D17" s="11">
        <v>2021</v>
      </c>
      <c r="E17" s="18">
        <f>'FS Seychelles'!B18</f>
        <v>25</v>
      </c>
      <c r="F17" s="18">
        <f>'FS Seychelles'!C18*1000</f>
        <v>4752.384</v>
      </c>
      <c r="G17" s="18">
        <f>'FS Seychelles'!D18*1000</f>
        <v>4752.384</v>
      </c>
      <c r="H17" s="18">
        <f>'FS Seychelles'!E18*1000</f>
        <v>5048.8320000000003</v>
      </c>
      <c r="I17" s="18">
        <f>'FS Seychelles'!F18*1000</f>
        <v>2064.8960000000002</v>
      </c>
      <c r="J17" s="18">
        <f>'FS Seychelles'!G18*1000</f>
        <v>3111.1680000000001</v>
      </c>
      <c r="K17" s="18">
        <f>'FS Seychelles'!H18*1000</f>
        <v>3030.2719999999999</v>
      </c>
      <c r="L17" s="18">
        <f>'FS Seychelles'!I18*1000</f>
        <v>1464.0640000000001</v>
      </c>
      <c r="M17" s="18">
        <f>'FS Seychelles'!J18*1000</f>
        <v>1789.1840000000002</v>
      </c>
      <c r="N17" s="18">
        <f>'FS Seychelles'!K18*1000</f>
        <v>3975.1680000000001</v>
      </c>
      <c r="O17" s="18">
        <f>'FS Seychelles'!L18</f>
        <v>0</v>
      </c>
      <c r="P17" s="18">
        <f>'FS Seychelles'!M18</f>
        <v>11919</v>
      </c>
      <c r="Q17" s="18">
        <f>'FS Seychelles'!N18</f>
        <v>7377</v>
      </c>
      <c r="R17" s="18">
        <f>'FS Seychelles'!O18</f>
        <v>11116</v>
      </c>
      <c r="S17" s="18">
        <f>'FS Seychelles'!P18</f>
        <v>0</v>
      </c>
      <c r="T17" s="18">
        <f>'FS Seychelles'!V18</f>
        <v>8691</v>
      </c>
      <c r="U17" s="18">
        <f>'FS Seychelles'!X18</f>
        <v>40</v>
      </c>
      <c r="V17" s="18">
        <f>'FS Seychelles'!Y18</f>
        <v>12</v>
      </c>
      <c r="W17" s="18">
        <f>'FS Seychelles'!Z18</f>
        <v>158</v>
      </c>
      <c r="X17" s="18">
        <f>'FS Seychelles'!AA18</f>
        <v>101</v>
      </c>
      <c r="Y17" s="18">
        <f>'FS Seychelles'!AB18</f>
        <v>168</v>
      </c>
      <c r="Z17" s="18">
        <f>'FS Seychelles'!AC18</f>
        <v>123</v>
      </c>
      <c r="AA17" s="18">
        <f>'FS Seychelles'!AD18</f>
        <v>0</v>
      </c>
      <c r="AB17" s="18">
        <f>('FS Seychelles'!$AG$10+'FS Seychelles'!$AG$15)/30</f>
        <v>243.8</v>
      </c>
    </row>
    <row r="18" spans="1:28" x14ac:dyDescent="0.25">
      <c r="A18" s="1" t="s">
        <v>13</v>
      </c>
      <c r="B18" s="11">
        <f t="shared" si="0"/>
        <v>17</v>
      </c>
      <c r="C18" s="11">
        <v>4</v>
      </c>
      <c r="D18" s="11">
        <v>2021</v>
      </c>
      <c r="E18" s="18">
        <f>'FS Seychelles'!B19</f>
        <v>28.95</v>
      </c>
      <c r="F18" s="18">
        <f>'FS Seychelles'!C19*1000</f>
        <v>5130.24</v>
      </c>
      <c r="G18" s="18">
        <f>'FS Seychelles'!D19*1000</f>
        <v>5130.24</v>
      </c>
      <c r="H18" s="18">
        <f>'FS Seychelles'!E19*1000</f>
        <v>5164.5439999999999</v>
      </c>
      <c r="I18" s="18">
        <f>'FS Seychelles'!F19*1000</f>
        <v>2438.6559999999999</v>
      </c>
      <c r="J18" s="18">
        <f>'FS Seychelles'!G19*1000</f>
        <v>3340.288</v>
      </c>
      <c r="K18" s="18">
        <f>'FS Seychelles'!H19*1000</f>
        <v>3152.64</v>
      </c>
      <c r="L18" s="18">
        <f>'FS Seychelles'!I19*1000</f>
        <v>1183.7439999999999</v>
      </c>
      <c r="M18" s="18">
        <f>'FS Seychelles'!J19*1000</f>
        <v>1924.6080000000002</v>
      </c>
      <c r="N18" s="18">
        <f>'FS Seychelles'!K19*1000</f>
        <v>3575.808</v>
      </c>
      <c r="O18" s="18">
        <f>'FS Seychelles'!L19</f>
        <v>0</v>
      </c>
      <c r="P18" s="18">
        <f>'FS Seychelles'!M19</f>
        <v>15396</v>
      </c>
      <c r="Q18" s="18">
        <f>'FS Seychelles'!N19</f>
        <v>8058</v>
      </c>
      <c r="R18" s="18">
        <f>'FS Seychelles'!O19</f>
        <v>8349</v>
      </c>
      <c r="S18" s="18">
        <f>'FS Seychelles'!P19</f>
        <v>0</v>
      </c>
      <c r="T18" s="18">
        <f>'FS Seychelles'!V19</f>
        <v>8831</v>
      </c>
      <c r="U18" s="18">
        <f>'FS Seychelles'!X19</f>
        <v>40</v>
      </c>
      <c r="V18" s="18">
        <f>'FS Seychelles'!Y19</f>
        <v>0</v>
      </c>
      <c r="W18" s="18">
        <f>'FS Seychelles'!Z19</f>
        <v>115</v>
      </c>
      <c r="X18" s="18">
        <f>'FS Seychelles'!AA19</f>
        <v>233</v>
      </c>
      <c r="Y18" s="18">
        <f>'FS Seychelles'!AB19</f>
        <v>110</v>
      </c>
      <c r="Z18" s="18">
        <f>'FS Seychelles'!AC19</f>
        <v>92</v>
      </c>
      <c r="AA18" s="18">
        <f>'FS Seychelles'!AD19</f>
        <v>0</v>
      </c>
      <c r="AB18" s="18">
        <f>('FS Seychelles'!$AG$10+'FS Seychelles'!$AG$15)/30</f>
        <v>243.8</v>
      </c>
    </row>
    <row r="19" spans="1:28" x14ac:dyDescent="0.25">
      <c r="A19" s="1" t="s">
        <v>13</v>
      </c>
      <c r="B19" s="11">
        <f t="shared" si="0"/>
        <v>18</v>
      </c>
      <c r="C19" s="11">
        <v>4</v>
      </c>
      <c r="D19" s="11">
        <v>2021</v>
      </c>
      <c r="E19" s="18">
        <f>'FS Seychelles'!B20</f>
        <v>32.89</v>
      </c>
      <c r="F19" s="18">
        <f>'FS Seychelles'!C20*1000</f>
        <v>4962.3039999999992</v>
      </c>
      <c r="G19" s="18">
        <f>'FS Seychelles'!D20*1000</f>
        <v>4962.3039999999992</v>
      </c>
      <c r="H19" s="18">
        <f>'FS Seychelles'!E20*1000</f>
        <v>4941.3119999999999</v>
      </c>
      <c r="I19" s="18">
        <f>'FS Seychelles'!F20*1000</f>
        <v>2129.4080000000004</v>
      </c>
      <c r="J19" s="18">
        <f>'FS Seychelles'!G20*1000</f>
        <v>2860.7999999999997</v>
      </c>
      <c r="K19" s="18">
        <f>'FS Seychelles'!H20*1000</f>
        <v>2911.7440000000001</v>
      </c>
      <c r="L19" s="18">
        <f>'FS Seychelles'!I20*1000</f>
        <v>1496.4480000000001</v>
      </c>
      <c r="M19" s="18">
        <f>'FS Seychelles'!J20*1000</f>
        <v>1814.7839999999999</v>
      </c>
      <c r="N19" s="18">
        <f>'FS Seychelles'!K20*1000</f>
        <v>3896.8319999999999</v>
      </c>
      <c r="O19" s="18">
        <f>'FS Seychelles'!L20</f>
        <v>0</v>
      </c>
      <c r="P19" s="18">
        <f>'FS Seychelles'!M20</f>
        <v>13522</v>
      </c>
      <c r="Q19" s="18">
        <f>'FS Seychelles'!N20</f>
        <v>11862</v>
      </c>
      <c r="R19" s="18">
        <f>'FS Seychelles'!O20</f>
        <v>4230</v>
      </c>
      <c r="S19" s="18">
        <f>'FS Seychelles'!P20</f>
        <v>0</v>
      </c>
      <c r="T19" s="18">
        <f>'FS Seychelles'!V20</f>
        <v>8289</v>
      </c>
      <c r="U19" s="18">
        <f>'FS Seychelles'!X20</f>
        <v>40</v>
      </c>
      <c r="V19" s="18">
        <f>'FS Seychelles'!Y20</f>
        <v>38</v>
      </c>
      <c r="W19" s="18">
        <f>'FS Seychelles'!Z20</f>
        <v>137</v>
      </c>
      <c r="X19" s="18">
        <f>'FS Seychelles'!AA20</f>
        <v>69</v>
      </c>
      <c r="Y19" s="18">
        <f>'FS Seychelles'!AB20</f>
        <v>135</v>
      </c>
      <c r="Z19" s="18">
        <f>'FS Seychelles'!AC20</f>
        <v>47</v>
      </c>
      <c r="AA19" s="18">
        <f>'FS Seychelles'!AD20</f>
        <v>0</v>
      </c>
      <c r="AB19" s="18">
        <f>('FS Seychelles'!$AG$10+'FS Seychelles'!$AG$15)/30</f>
        <v>243.8</v>
      </c>
    </row>
    <row r="20" spans="1:28" x14ac:dyDescent="0.25">
      <c r="A20" s="1" t="s">
        <v>13</v>
      </c>
      <c r="B20" s="11">
        <f t="shared" si="0"/>
        <v>19</v>
      </c>
      <c r="C20" s="11">
        <v>4</v>
      </c>
      <c r="D20" s="11">
        <v>2021</v>
      </c>
      <c r="E20" s="18">
        <f>'FS Seychelles'!B21</f>
        <v>40.79</v>
      </c>
      <c r="F20" s="18">
        <f>'FS Seychelles'!C21*1000</f>
        <v>4634.1120000000001</v>
      </c>
      <c r="G20" s="18">
        <f>'FS Seychelles'!D21*1000</f>
        <v>4634.1120000000001</v>
      </c>
      <c r="H20" s="18">
        <f>'FS Seychelles'!E21*1000</f>
        <v>5011.9680000000008</v>
      </c>
      <c r="I20" s="18">
        <f>'FS Seychelles'!F21*1000</f>
        <v>1952.768</v>
      </c>
      <c r="J20" s="18">
        <f>'FS Seychelles'!G21*1000</f>
        <v>2766.848</v>
      </c>
      <c r="K20" s="18">
        <f>'FS Seychelles'!H21*1000</f>
        <v>2607.1040000000003</v>
      </c>
      <c r="L20" s="18">
        <f>'FS Seychelles'!I21*1000</f>
        <v>1520.384</v>
      </c>
      <c r="M20" s="18">
        <f>'FS Seychelles'!J21*1000</f>
        <v>1614.336</v>
      </c>
      <c r="N20" s="18">
        <f>'FS Seychelles'!K21*1000</f>
        <v>3936.768</v>
      </c>
      <c r="O20" s="18">
        <f>'FS Seychelles'!L21</f>
        <v>0</v>
      </c>
      <c r="P20" s="18">
        <f>'FS Seychelles'!M21</f>
        <v>4069</v>
      </c>
      <c r="Q20" s="18">
        <f>'FS Seychelles'!N21</f>
        <v>10585</v>
      </c>
      <c r="R20" s="18">
        <f>'FS Seychelles'!O21</f>
        <v>13125</v>
      </c>
      <c r="S20" s="18">
        <f>'FS Seychelles'!P21</f>
        <v>0</v>
      </c>
      <c r="T20" s="18">
        <f>'FS Seychelles'!V21</f>
        <v>7969</v>
      </c>
      <c r="U20" s="18">
        <f>'FS Seychelles'!X21</f>
        <v>43</v>
      </c>
      <c r="V20" s="18">
        <f>'FS Seychelles'!Y21</f>
        <v>36</v>
      </c>
      <c r="W20" s="18">
        <f>'FS Seychelles'!Z21</f>
        <v>101</v>
      </c>
      <c r="X20" s="18">
        <f>'FS Seychelles'!AA21</f>
        <v>76</v>
      </c>
      <c r="Y20" s="18">
        <f>'FS Seychelles'!AB21</f>
        <v>121</v>
      </c>
      <c r="Z20" s="18">
        <f>'FS Seychelles'!AC21</f>
        <v>82</v>
      </c>
      <c r="AA20" s="18">
        <f>'FS Seychelles'!AD21</f>
        <v>0</v>
      </c>
      <c r="AB20" s="18">
        <f>('FS Seychelles'!$AG$10+'FS Seychelles'!$AG$15)/30</f>
        <v>243.8</v>
      </c>
    </row>
    <row r="21" spans="1:28" x14ac:dyDescent="0.25">
      <c r="A21" s="1" t="s">
        <v>13</v>
      </c>
      <c r="B21" s="11">
        <f t="shared" si="0"/>
        <v>20</v>
      </c>
      <c r="C21" s="11">
        <v>4</v>
      </c>
      <c r="D21" s="11">
        <v>2021</v>
      </c>
      <c r="E21" s="18">
        <f>'FS Seychelles'!B22</f>
        <v>43.42</v>
      </c>
      <c r="F21" s="18">
        <f>'FS Seychelles'!C22*1000</f>
        <v>5256.7039999999997</v>
      </c>
      <c r="G21" s="18">
        <f>'FS Seychelles'!D22*1000</f>
        <v>5256.7039999999997</v>
      </c>
      <c r="H21" s="18">
        <f>'FS Seychelles'!E22*1000</f>
        <v>5301.76</v>
      </c>
      <c r="I21" s="18">
        <f>'FS Seychelles'!F22*1000</f>
        <v>2034.944</v>
      </c>
      <c r="J21" s="18">
        <f>'FS Seychelles'!G22*1000</f>
        <v>3218.1759999999999</v>
      </c>
      <c r="K21" s="18">
        <f>'FS Seychelles'!H22*1000</f>
        <v>2962.1759999999999</v>
      </c>
      <c r="L21" s="18">
        <f>'FS Seychelles'!I22*1000</f>
        <v>1506.56</v>
      </c>
      <c r="M21" s="18">
        <f>'FS Seychelles'!J22*1000</f>
        <v>1682.1759999999999</v>
      </c>
      <c r="N21" s="18">
        <f>'FS Seychelles'!K22*1000</f>
        <v>4007.4240000000004</v>
      </c>
      <c r="O21" s="18">
        <f>'FS Seychelles'!L22</f>
        <v>0</v>
      </c>
      <c r="P21" s="18">
        <f>'FS Seychelles'!M22</f>
        <v>11256</v>
      </c>
      <c r="Q21" s="18">
        <f>'FS Seychelles'!N22</f>
        <v>7940</v>
      </c>
      <c r="R21" s="18">
        <f>'FS Seychelles'!O22</f>
        <v>4325</v>
      </c>
      <c r="S21" s="18">
        <f>'FS Seychelles'!P23</f>
        <v>8353</v>
      </c>
      <c r="T21" s="18">
        <f>'FS Seychelles'!V22</f>
        <v>8172</v>
      </c>
      <c r="U21" s="18">
        <f>'FS Seychelles'!X22</f>
        <v>46</v>
      </c>
      <c r="V21" s="18">
        <f>'FS Seychelles'!Y22</f>
        <v>24</v>
      </c>
      <c r="W21" s="18">
        <f>'FS Seychelles'!Z22</f>
        <v>164</v>
      </c>
      <c r="X21" s="18">
        <f>'FS Seychelles'!AA22</f>
        <v>97</v>
      </c>
      <c r="Y21" s="18">
        <f>'FS Seychelles'!AB22</f>
        <v>125</v>
      </c>
      <c r="Z21" s="18">
        <f>'FS Seychelles'!AC22</f>
        <v>0</v>
      </c>
      <c r="AA21" s="18">
        <f>'FS Seychelles'!AD22</f>
        <v>0</v>
      </c>
      <c r="AB21" s="18">
        <f>('FS Seychelles'!$AG$10+'FS Seychelles'!$AG$15)/30</f>
        <v>243.8</v>
      </c>
    </row>
    <row r="22" spans="1:28" x14ac:dyDescent="0.25">
      <c r="A22" s="1" t="s">
        <v>13</v>
      </c>
      <c r="B22" s="11">
        <f t="shared" si="0"/>
        <v>21</v>
      </c>
      <c r="C22" s="11">
        <v>4</v>
      </c>
      <c r="D22" s="11">
        <v>2021</v>
      </c>
      <c r="E22" s="18">
        <f>'FS Seychelles'!B23</f>
        <v>52.63</v>
      </c>
      <c r="F22" s="18">
        <f>'FS Seychelles'!C23*1000</f>
        <v>4254.2080000000005</v>
      </c>
      <c r="G22" s="18">
        <f>'FS Seychelles'!D23*1000</f>
        <v>4254.2080000000005</v>
      </c>
      <c r="H22" s="18">
        <f>'FS Seychelles'!E23*1000</f>
        <v>4769.7919999999995</v>
      </c>
      <c r="I22" s="18">
        <f>'FS Seychelles'!F23*1000</f>
        <v>1658.1120000000001</v>
      </c>
      <c r="J22" s="18">
        <f>'FS Seychelles'!G23*1000</f>
        <v>2482.6880000000001</v>
      </c>
      <c r="K22" s="18">
        <f>'FS Seychelles'!H23*1000</f>
        <v>2368.768</v>
      </c>
      <c r="L22" s="18">
        <f>'FS Seychelles'!I23*1000</f>
        <v>1512.192</v>
      </c>
      <c r="M22" s="18">
        <f>'FS Seychelles'!J23*1000</f>
        <v>1531.3920000000001</v>
      </c>
      <c r="N22" s="18">
        <f>'FS Seychelles'!K23*1000</f>
        <v>3828.7360000000003</v>
      </c>
      <c r="O22" s="18">
        <f>'FS Seychelles'!L23</f>
        <v>0</v>
      </c>
      <c r="P22" s="18">
        <f>'FS Seychelles'!M23</f>
        <v>14257</v>
      </c>
      <c r="Q22" s="18">
        <f>'FS Seychelles'!N23</f>
        <v>0</v>
      </c>
      <c r="R22" s="18">
        <f>'FS Seychelles'!O23</f>
        <v>4215</v>
      </c>
      <c r="S22" s="18">
        <f>'FS Seychelles'!P24</f>
        <v>0</v>
      </c>
      <c r="T22" s="18">
        <f>'FS Seychelles'!V23</f>
        <v>7381</v>
      </c>
      <c r="U22" s="18">
        <f>'FS Seychelles'!X23</f>
        <v>43</v>
      </c>
      <c r="V22" s="18">
        <f>'FS Seychelles'!Y23</f>
        <v>46</v>
      </c>
      <c r="W22" s="18">
        <f>'FS Seychelles'!Z23</f>
        <v>101</v>
      </c>
      <c r="X22" s="18">
        <f>'FS Seychelles'!AA23</f>
        <v>80</v>
      </c>
      <c r="Y22" s="18">
        <f>'FS Seychelles'!AB23</f>
        <v>173</v>
      </c>
      <c r="Z22" s="18">
        <f>'FS Seychelles'!AC23</f>
        <v>51</v>
      </c>
      <c r="AA22" s="18">
        <f>'FS Seychelles'!AD23</f>
        <v>0</v>
      </c>
      <c r="AB22" s="18">
        <f>('FS Seychelles'!$AG$10+'FS Seychelles'!$AG$15)/30</f>
        <v>243.8</v>
      </c>
    </row>
    <row r="23" spans="1:28" x14ac:dyDescent="0.25">
      <c r="A23" s="1" t="s">
        <v>13</v>
      </c>
      <c r="B23" s="11">
        <f t="shared" si="0"/>
        <v>22</v>
      </c>
      <c r="C23" s="11">
        <v>4</v>
      </c>
      <c r="D23" s="11">
        <v>2021</v>
      </c>
      <c r="E23" s="18">
        <f>'FS Seychelles'!B24</f>
        <v>62.3</v>
      </c>
      <c r="F23" s="18">
        <f>'FS Seychelles'!C24*1000</f>
        <v>4888.576</v>
      </c>
      <c r="G23" s="18">
        <f>'FS Seychelles'!D24*1000</f>
        <v>4888.576</v>
      </c>
      <c r="H23" s="18">
        <f>'FS Seychelles'!E24*1000</f>
        <v>5152.768</v>
      </c>
      <c r="I23" s="18">
        <f>'FS Seychelles'!F24*1000</f>
        <v>1848.8320000000001</v>
      </c>
      <c r="J23" s="18">
        <f>'FS Seychelles'!G24*1000</f>
        <v>2811.136</v>
      </c>
      <c r="K23" s="18">
        <f>'FS Seychelles'!H24*1000</f>
        <v>2686.2080000000001</v>
      </c>
      <c r="L23" s="18">
        <f>'FS Seychelles'!I24*1000</f>
        <v>1291.904</v>
      </c>
      <c r="M23" s="18">
        <f>'FS Seychelles'!J24*1000</f>
        <v>1623.296</v>
      </c>
      <c r="N23" s="18">
        <f>'FS Seychelles'!K24*1000</f>
        <v>3714.56</v>
      </c>
      <c r="O23" s="18">
        <f>'FS Seychelles'!L24</f>
        <v>0</v>
      </c>
      <c r="P23" s="18">
        <f>'FS Seychelles'!M24</f>
        <v>10308</v>
      </c>
      <c r="Q23" s="18">
        <f>'FS Seychelles'!N24</f>
        <v>11275</v>
      </c>
      <c r="R23" s="18">
        <f>'FS Seychelles'!O24</f>
        <v>7665</v>
      </c>
      <c r="S23" s="18">
        <f>'FS Seychelles'!P25</f>
        <v>7833</v>
      </c>
      <c r="T23" s="18">
        <f>'FS Seychelles'!V24</f>
        <v>7695</v>
      </c>
      <c r="U23" s="18">
        <f>'FS Seychelles'!X24</f>
        <v>47</v>
      </c>
      <c r="V23" s="18">
        <f>'FS Seychelles'!Y24</f>
        <v>13</v>
      </c>
      <c r="W23" s="18">
        <f>'FS Seychelles'!Z24</f>
        <v>94</v>
      </c>
      <c r="X23" s="18">
        <f>'FS Seychelles'!AA24</f>
        <v>7</v>
      </c>
      <c r="Y23" s="18">
        <f>'FS Seychelles'!AB24</f>
        <v>135</v>
      </c>
      <c r="Z23" s="18">
        <f>'FS Seychelles'!AC24</f>
        <v>77</v>
      </c>
      <c r="AA23" s="18">
        <f>'FS Seychelles'!AD24</f>
        <v>0</v>
      </c>
      <c r="AB23" s="18">
        <f>('FS Seychelles'!$AG$10+'FS Seychelles'!$AG$15)/30</f>
        <v>243.8</v>
      </c>
    </row>
    <row r="24" spans="1:28" x14ac:dyDescent="0.25">
      <c r="A24" s="1" t="s">
        <v>13</v>
      </c>
      <c r="B24" s="11">
        <f t="shared" si="0"/>
        <v>23</v>
      </c>
      <c r="C24" s="11">
        <v>4</v>
      </c>
      <c r="D24" s="11">
        <v>2021</v>
      </c>
      <c r="E24" s="18">
        <f>'FS Seychelles'!B25</f>
        <v>60.66</v>
      </c>
      <c r="F24" s="18">
        <f>'FS Seychelles'!C25*1000</f>
        <v>5488.1279999999997</v>
      </c>
      <c r="G24" s="18">
        <f>'FS Seychelles'!D25*1000</f>
        <v>5488.1279999999997</v>
      </c>
      <c r="H24" s="18">
        <f>'FS Seychelles'!E25*1000</f>
        <v>5365.76</v>
      </c>
      <c r="I24" s="18">
        <f>'FS Seychelles'!F25*1000</f>
        <v>2078.4639999999999</v>
      </c>
      <c r="J24" s="18">
        <f>'FS Seychelles'!G25*1000</f>
        <v>3297.7919999999999</v>
      </c>
      <c r="K24" s="18">
        <f>'FS Seychelles'!H25*1000</f>
        <v>3007.232</v>
      </c>
      <c r="L24" s="18">
        <f>'FS Seychelles'!I25*1000</f>
        <v>1461.6320000000001</v>
      </c>
      <c r="M24" s="18">
        <f>'FS Seychelles'!J25*1000</f>
        <v>1749.76</v>
      </c>
      <c r="N24" s="18">
        <f>'FS Seychelles'!K25*1000</f>
        <v>4020.2239999999997</v>
      </c>
      <c r="O24" s="18">
        <f>'FS Seychelles'!L25</f>
        <v>0</v>
      </c>
      <c r="P24" s="18">
        <f>'FS Seychelles'!M25</f>
        <v>10976</v>
      </c>
      <c r="Q24" s="18">
        <f>'FS Seychelles'!N25</f>
        <v>8072</v>
      </c>
      <c r="R24" s="18">
        <f>'FS Seychelles'!O25</f>
        <v>4807</v>
      </c>
      <c r="S24" s="18">
        <f>'FS Seychelles'!P25</f>
        <v>7833</v>
      </c>
      <c r="T24" s="18">
        <f>'FS Seychelles'!V25</f>
        <v>8666</v>
      </c>
      <c r="U24" s="18">
        <v>47</v>
      </c>
      <c r="V24" s="18">
        <v>13</v>
      </c>
      <c r="W24" s="18">
        <f>'FS Seychelles'!Z25</f>
        <v>98</v>
      </c>
      <c r="X24" s="18">
        <f>'FS Seychelles'!AA25</f>
        <v>135</v>
      </c>
      <c r="Y24" s="18">
        <f>'FS Seychelles'!AB25</f>
        <v>146</v>
      </c>
      <c r="Z24" s="18">
        <f>'FS Seychelles'!AC25</f>
        <v>89</v>
      </c>
      <c r="AA24" s="18">
        <f>'FS Seychelles'!AD25</f>
        <v>0</v>
      </c>
      <c r="AB24" s="18">
        <f>('FS Seychelles'!$AG$10+'FS Seychelles'!$AG$15)/30</f>
        <v>243.8</v>
      </c>
    </row>
    <row r="25" spans="1:28" x14ac:dyDescent="0.25">
      <c r="A25" s="1" t="s">
        <v>13</v>
      </c>
      <c r="B25" s="11">
        <f t="shared" si="0"/>
        <v>24</v>
      </c>
      <c r="C25" s="11">
        <v>4</v>
      </c>
      <c r="D25" s="11">
        <v>2021</v>
      </c>
      <c r="E25" s="18">
        <f>'FS Seychelles'!B26</f>
        <v>59.02</v>
      </c>
      <c r="F25" s="18">
        <f>'FS Seychelles'!C26*1000</f>
        <v>5324.8</v>
      </c>
      <c r="G25" s="18">
        <f>'FS Seychelles'!D26*1000</f>
        <v>5324.8</v>
      </c>
      <c r="H25" s="18">
        <f>'FS Seychelles'!E26*1000</f>
        <v>5353.4719999999998</v>
      </c>
      <c r="I25" s="18">
        <f>'FS Seychelles'!F26*1000</f>
        <v>2099.712</v>
      </c>
      <c r="J25" s="18">
        <f>'FS Seychelles'!G26*1000</f>
        <v>3177.2159999999999</v>
      </c>
      <c r="K25" s="18">
        <f>'FS Seychelles'!H26*1000</f>
        <v>2957.3119999999999</v>
      </c>
      <c r="L25" s="18">
        <f>'FS Seychelles'!I26*1000</f>
        <v>1161.5999999999999</v>
      </c>
      <c r="M25" s="18">
        <f>'FS Seychelles'!J26*1000</f>
        <v>1938.432</v>
      </c>
      <c r="N25" s="18">
        <f>'FS Seychelles'!K26*1000</f>
        <v>3774.4639999999999</v>
      </c>
      <c r="O25" s="18">
        <f>'FS Seychelles'!L26</f>
        <v>0</v>
      </c>
      <c r="P25" s="18">
        <f>'FS Seychelles'!M26</f>
        <v>8448</v>
      </c>
      <c r="Q25" s="18">
        <f>'FS Seychelles'!N26</f>
        <v>10723</v>
      </c>
      <c r="R25" s="18">
        <f>'FS Seychelles'!O26</f>
        <v>0</v>
      </c>
      <c r="S25" s="18">
        <f>'FS Seychelles'!P26</f>
        <v>10307</v>
      </c>
      <c r="T25" s="18">
        <f>'FS Seychelles'!V26</f>
        <v>7509</v>
      </c>
      <c r="U25" s="18">
        <f>'FS Seychelles'!X26</f>
        <v>41</v>
      </c>
      <c r="V25" s="18">
        <f>'FS Seychelles'!Y26</f>
        <v>29</v>
      </c>
      <c r="W25" s="18">
        <f>'FS Seychelles'!Z26</f>
        <v>93</v>
      </c>
      <c r="X25" s="18">
        <f>'FS Seychelles'!AA26</f>
        <v>152</v>
      </c>
      <c r="Y25" s="18">
        <f>'FS Seychelles'!AB26</f>
        <v>131</v>
      </c>
      <c r="Z25" s="18">
        <f>'FS Seychelles'!AC26</f>
        <v>121</v>
      </c>
      <c r="AA25" s="18">
        <f>'FS Seychelles'!AD26</f>
        <v>0</v>
      </c>
      <c r="AB25" s="18">
        <f>('FS Seychelles'!$AG$10+'FS Seychelles'!$AG$15)/30</f>
        <v>243.8</v>
      </c>
    </row>
    <row r="26" spans="1:28" x14ac:dyDescent="0.25">
      <c r="A26" s="1" t="s">
        <v>13</v>
      </c>
      <c r="B26" s="11">
        <f>B25+1</f>
        <v>25</v>
      </c>
      <c r="C26" s="11">
        <v>4</v>
      </c>
      <c r="D26" s="11">
        <v>2021</v>
      </c>
      <c r="E26" s="18">
        <f>'FS Seychelles'!B27</f>
        <v>56.45</v>
      </c>
      <c r="F26" s="18">
        <f>'FS Seychelles'!C27*1000</f>
        <v>5231.616</v>
      </c>
      <c r="G26" s="18">
        <f>'FS Seychelles'!D27*1000</f>
        <v>5231.616</v>
      </c>
      <c r="H26" s="18">
        <f>'FS Seychelles'!E27*1000</f>
        <v>5074.9440000000004</v>
      </c>
      <c r="I26" s="18">
        <f>'FS Seychelles'!F27*1000</f>
        <v>2037.76</v>
      </c>
      <c r="J26" s="18">
        <f>'FS Seychelles'!G27*1000</f>
        <v>3009.5360000000001</v>
      </c>
      <c r="K26" s="18">
        <f>'FS Seychelles'!H27*1000</f>
        <v>2708.9919999999997</v>
      </c>
      <c r="L26" s="18">
        <f>'FS Seychelles'!I27*1000</f>
        <v>1458.048</v>
      </c>
      <c r="M26" s="18">
        <f>'FS Seychelles'!J27*1000</f>
        <v>1789.952</v>
      </c>
      <c r="N26" s="18">
        <f>'FS Seychelles'!K27*1000</f>
        <v>4017.6639999999998</v>
      </c>
      <c r="O26" s="18">
        <f>'FS Seychelles'!L27</f>
        <v>0</v>
      </c>
      <c r="P26" s="18">
        <f>'FS Seychelles'!M27</f>
        <v>11171</v>
      </c>
      <c r="Q26" s="18">
        <f>'FS Seychelles'!N27</f>
        <v>11167</v>
      </c>
      <c r="R26" s="18">
        <f>'FS Seychelles'!O27</f>
        <v>4504</v>
      </c>
      <c r="S26" s="18">
        <f>'FS Seychelles'!P27</f>
        <v>3763</v>
      </c>
      <c r="T26" s="18">
        <f>'FS Seychelles'!V27</f>
        <v>8339</v>
      </c>
      <c r="U26" s="18">
        <f>'FS Seychelles'!X27</f>
        <v>50</v>
      </c>
      <c r="V26" s="18">
        <f>'FS Seychelles'!Y27</f>
        <v>29</v>
      </c>
      <c r="W26" s="18">
        <f>'FS Seychelles'!Z27</f>
        <v>84</v>
      </c>
      <c r="X26" s="18">
        <f>'FS Seychelles'!AA27</f>
        <v>234</v>
      </c>
      <c r="Y26" s="18">
        <f>'FS Seychelles'!AB27</f>
        <v>134</v>
      </c>
      <c r="Z26" s="18">
        <f>'FS Seychelles'!AC27</f>
        <v>121</v>
      </c>
      <c r="AA26" s="18">
        <f>'FS Seychelles'!AD27</f>
        <v>0</v>
      </c>
      <c r="AB26" s="18">
        <f>('FS Seychelles'!$AG$10+'FS Seychelles'!$AG$15)/30</f>
        <v>243.8</v>
      </c>
    </row>
    <row r="27" spans="1:28" x14ac:dyDescent="0.25">
      <c r="A27" s="1" t="s">
        <v>13</v>
      </c>
      <c r="B27" s="11">
        <f t="shared" si="0"/>
        <v>26</v>
      </c>
      <c r="C27" s="11">
        <v>4</v>
      </c>
      <c r="D27" s="11">
        <v>2021</v>
      </c>
      <c r="E27" s="18">
        <f>'FS Seychelles'!B28</f>
        <v>50</v>
      </c>
      <c r="F27" s="18">
        <f>'FS Seychelles'!C28*1000</f>
        <v>5393.9199999999992</v>
      </c>
      <c r="G27" s="18">
        <f>'FS Seychelles'!D28*1000</f>
        <v>5393.9199999999992</v>
      </c>
      <c r="H27" s="18">
        <f>'FS Seychelles'!E28*1000</f>
        <v>5302.2719999999999</v>
      </c>
      <c r="I27" s="18">
        <f>'FS Seychelles'!F28*1000</f>
        <v>1874.432</v>
      </c>
      <c r="J27" s="18">
        <f>'FS Seychelles'!G28*1000</f>
        <v>3075.8399999999997</v>
      </c>
      <c r="K27" s="18">
        <f>'FS Seychelles'!H28*1000</f>
        <v>2841.6</v>
      </c>
      <c r="L27" s="18">
        <f>'FS Seychelles'!I28*1000</f>
        <v>1392.896</v>
      </c>
      <c r="M27" s="18">
        <f>'FS Seychelles'!J28*1000</f>
        <v>1705.9839999999999</v>
      </c>
      <c r="N27" s="18">
        <f>'FS Seychelles'!K28*1000</f>
        <v>4127.7439999999997</v>
      </c>
      <c r="O27" s="18">
        <f>'FS Seychelles'!L28</f>
        <v>0</v>
      </c>
      <c r="P27" s="18">
        <f>'FS Seychelles'!M28</f>
        <v>4229</v>
      </c>
      <c r="Q27" s="18">
        <f>'FS Seychelles'!N28</f>
        <v>4342</v>
      </c>
      <c r="R27" s="18">
        <f>'FS Seychelles'!O28</f>
        <v>12292</v>
      </c>
      <c r="S27" s="18">
        <f>'FS Seychelles'!P28</f>
        <v>0</v>
      </c>
      <c r="T27" s="18">
        <f>'FS Seychelles'!V28</f>
        <v>6254</v>
      </c>
      <c r="U27" s="18">
        <f>'FS Seychelles'!X28</f>
        <v>50</v>
      </c>
      <c r="V27" s="18">
        <f>'FS Seychelles'!Y28</f>
        <v>31</v>
      </c>
      <c r="W27" s="18">
        <f>'FS Seychelles'!Z28</f>
        <v>95</v>
      </c>
      <c r="X27" s="18">
        <f>'FS Seychelles'!AA28</f>
        <v>133</v>
      </c>
      <c r="Y27" s="18">
        <f>'FS Seychelles'!AB28</f>
        <v>136</v>
      </c>
      <c r="Z27" s="18">
        <f>'FS Seychelles'!AC28</f>
        <v>64</v>
      </c>
      <c r="AA27" s="18">
        <f>'FS Seychelles'!AD28</f>
        <v>0</v>
      </c>
      <c r="AB27" s="18">
        <f>('FS Seychelles'!$AG$10+'FS Seychelles'!$AG$15)/30</f>
        <v>243.8</v>
      </c>
    </row>
    <row r="28" spans="1:28" x14ac:dyDescent="0.25">
      <c r="A28" s="1" t="s">
        <v>13</v>
      </c>
      <c r="B28" s="11">
        <f t="shared" si="0"/>
        <v>27</v>
      </c>
      <c r="C28" s="11">
        <v>4</v>
      </c>
      <c r="D28" s="11">
        <v>2021</v>
      </c>
      <c r="E28" s="18">
        <f>'FS Seychelles'!B29</f>
        <v>42.31</v>
      </c>
      <c r="F28" s="18">
        <f>'FS Seychelles'!C29*1000</f>
        <v>5528.0639999999994</v>
      </c>
      <c r="G28" s="18">
        <f>'FS Seychelles'!D29*1000</f>
        <v>5528.0639999999994</v>
      </c>
      <c r="H28" s="18">
        <f>'FS Seychelles'!E29*1000</f>
        <v>5366.2719999999999</v>
      </c>
      <c r="I28" s="18">
        <f>'FS Seychelles'!F29*1000</f>
        <v>2061.8240000000001</v>
      </c>
      <c r="J28" s="18">
        <f>'FS Seychelles'!G29*1000</f>
        <v>3201.0239999999999</v>
      </c>
      <c r="K28" s="18">
        <f>'FS Seychelles'!H29*1000</f>
        <v>3021.5679999999998</v>
      </c>
      <c r="L28" s="18">
        <f>'FS Seychelles'!I29*1000</f>
        <v>1430.0159999999998</v>
      </c>
      <c r="M28" s="18">
        <f>'FS Seychelles'!J29*1000</f>
        <v>1667.328</v>
      </c>
      <c r="N28" s="18">
        <f>'FS Seychelles'!K29*1000</f>
        <v>4161.0240000000003</v>
      </c>
      <c r="O28" s="18">
        <f>'FS Seychelles'!L29</f>
        <v>0</v>
      </c>
      <c r="P28" s="18">
        <f>'FS Seychelles'!M29</f>
        <v>16092</v>
      </c>
      <c r="Q28" s="18">
        <f>'FS Seychelles'!N29</f>
        <v>2219</v>
      </c>
      <c r="R28" s="18">
        <f>'FS Seychelles'!O29</f>
        <v>11296</v>
      </c>
      <c r="S28" s="18">
        <f>'FS Seychelles'!P29</f>
        <v>11600</v>
      </c>
      <c r="T28" s="18">
        <f>'FS Seychelles'!V29</f>
        <v>11400</v>
      </c>
      <c r="U28" s="18">
        <f>'FS Seychelles'!X29</f>
        <v>47</v>
      </c>
      <c r="V28" s="18">
        <f>'FS Seychelles'!Y29</f>
        <v>32</v>
      </c>
      <c r="W28" s="18">
        <f>'FS Seychelles'!Z29</f>
        <v>96</v>
      </c>
      <c r="X28" s="18">
        <f>'FS Seychelles'!AA29</f>
        <v>63</v>
      </c>
      <c r="Y28" s="18">
        <f>'FS Seychelles'!AB29</f>
        <v>147</v>
      </c>
      <c r="Z28" s="18">
        <f>'FS Seychelles'!AC29</f>
        <v>14</v>
      </c>
      <c r="AA28" s="18">
        <f>'FS Seychelles'!AD29</f>
        <v>0</v>
      </c>
      <c r="AB28" s="18">
        <f>('FS Seychelles'!$AG$10+'FS Seychelles'!$AG$15)/30</f>
        <v>243.8</v>
      </c>
    </row>
    <row r="29" spans="1:28" x14ac:dyDescent="0.25">
      <c r="A29" s="1" t="s">
        <v>13</v>
      </c>
      <c r="B29" s="11">
        <f t="shared" si="0"/>
        <v>28</v>
      </c>
      <c r="C29" s="11">
        <v>4</v>
      </c>
      <c r="D29" s="11">
        <v>2021</v>
      </c>
      <c r="E29" s="18">
        <f>'FS Seychelles'!B30</f>
        <v>40.51</v>
      </c>
      <c r="F29" s="18">
        <f>'FS Seychelles'!C30*1000</f>
        <v>5111.808</v>
      </c>
      <c r="G29" s="18">
        <f>'FS Seychelles'!D30*1000</f>
        <v>5111.808</v>
      </c>
      <c r="H29" s="18">
        <f>'FS Seychelles'!E30*1000</f>
        <v>5253.6319999999996</v>
      </c>
      <c r="I29" s="18">
        <f>'FS Seychelles'!F30*1000</f>
        <v>1920.2559999999999</v>
      </c>
      <c r="J29" s="18">
        <f>'FS Seychelles'!G30*1000</f>
        <v>3119.1040000000003</v>
      </c>
      <c r="K29" s="18">
        <f>'FS Seychelles'!H30*1000</f>
        <v>2798.08</v>
      </c>
      <c r="L29" s="18">
        <f>'FS Seychelles'!I30*1000</f>
        <v>1451.2640000000001</v>
      </c>
      <c r="M29" s="18">
        <f>'FS Seychelles'!J30*1000</f>
        <v>1797.8879999999999</v>
      </c>
      <c r="N29" s="18">
        <f>'FS Seychelles'!K30*1000</f>
        <v>4069.8879999999999</v>
      </c>
      <c r="O29" s="18">
        <f>'FS Seychelles'!L30</f>
        <v>0</v>
      </c>
      <c r="P29" s="18">
        <f>'FS Seychelles'!M30</f>
        <v>3885</v>
      </c>
      <c r="Q29" s="18">
        <f>'FS Seychelles'!N30</f>
        <v>7253</v>
      </c>
      <c r="R29" s="18">
        <f>'FS Seychelles'!O30</f>
        <v>0</v>
      </c>
      <c r="S29" s="18">
        <f>'FS Seychelles'!P30</f>
        <v>10085</v>
      </c>
      <c r="T29" s="18">
        <f>'FS Seychelles'!V30</f>
        <v>5539</v>
      </c>
      <c r="U29" s="18">
        <f>'FS Seychelles'!X30</f>
        <v>44</v>
      </c>
      <c r="V29" s="18">
        <f>'FS Seychelles'!Y30</f>
        <v>26</v>
      </c>
      <c r="W29" s="18">
        <f>'FS Seychelles'!Z30</f>
        <v>80</v>
      </c>
      <c r="X29" s="18">
        <f>'FS Seychelles'!AA30</f>
        <v>89</v>
      </c>
      <c r="Y29" s="18">
        <f>'FS Seychelles'!AB30</f>
        <v>129</v>
      </c>
      <c r="Z29" s="18">
        <f>'FS Seychelles'!AC30</f>
        <v>23</v>
      </c>
      <c r="AA29" s="18">
        <f>'FS Seychelles'!AD30</f>
        <v>0</v>
      </c>
      <c r="AB29" s="18">
        <f>('FS Seychelles'!$AG$10+'FS Seychelles'!$AG$15)/30</f>
        <v>243.8</v>
      </c>
    </row>
    <row r="30" spans="1:28" x14ac:dyDescent="0.25">
      <c r="A30" s="1" t="s">
        <v>13</v>
      </c>
      <c r="B30" s="11">
        <f t="shared" si="0"/>
        <v>29</v>
      </c>
      <c r="C30" s="11">
        <v>4</v>
      </c>
      <c r="D30" s="11">
        <v>2021</v>
      </c>
      <c r="E30" s="18">
        <f>'FS Seychelles'!B31</f>
        <v>39.24</v>
      </c>
      <c r="F30" s="18">
        <f>'FS Seychelles'!C31*1000</f>
        <v>5668.8640000000005</v>
      </c>
      <c r="G30" s="18">
        <f>'FS Seychelles'!D31*1000</f>
        <v>5668.8640000000005</v>
      </c>
      <c r="H30" s="18">
        <f>'FS Seychelles'!E31*1000</f>
        <v>5506.0479999999998</v>
      </c>
      <c r="I30" s="18">
        <f>'FS Seychelles'!F31*1000</f>
        <v>1952</v>
      </c>
      <c r="J30" s="18">
        <f>'FS Seychelles'!G31*1000</f>
        <v>3434.24</v>
      </c>
      <c r="K30" s="18">
        <f>'FS Seychelles'!H31*1000</f>
        <v>3149.8240000000001</v>
      </c>
      <c r="L30" s="18">
        <f>'FS Seychelles'!I31*1000</f>
        <v>1439.36</v>
      </c>
      <c r="M30" s="18">
        <f>'FS Seychelles'!J31*1000</f>
        <v>1886.72</v>
      </c>
      <c r="N30" s="18">
        <f>'FS Seychelles'!K31*1000</f>
        <v>4012.5440000000003</v>
      </c>
      <c r="O30" s="18">
        <f>'FS Seychelles'!L31</f>
        <v>0</v>
      </c>
      <c r="P30" s="18">
        <f>'FS Seychelles'!M31</f>
        <v>13354</v>
      </c>
      <c r="Q30" s="18">
        <f>'FS Seychelles'!N31</f>
        <v>4870</v>
      </c>
      <c r="R30" s="18">
        <f>'FS Seychelles'!O31</f>
        <v>10342</v>
      </c>
      <c r="S30" s="18">
        <f>'FS Seychelles'!P31</f>
        <v>4811</v>
      </c>
      <c r="T30" s="18">
        <f>'FS Seychelles'!V31</f>
        <v>16454</v>
      </c>
      <c r="U30" s="18">
        <f>'FS Seychelles'!X31</f>
        <v>50</v>
      </c>
      <c r="V30" s="18">
        <f>'FS Seychelles'!Y31</f>
        <v>29</v>
      </c>
      <c r="W30" s="18">
        <f>'FS Seychelles'!Z31</f>
        <v>82</v>
      </c>
      <c r="X30" s="18">
        <f>'FS Seychelles'!AA31</f>
        <v>105</v>
      </c>
      <c r="Y30" s="18">
        <f>'FS Seychelles'!AB31</f>
        <v>144</v>
      </c>
      <c r="Z30" s="18">
        <f>'FS Seychelles'!AC31</f>
        <v>12</v>
      </c>
      <c r="AA30" s="18">
        <f>'FS Seychelles'!AD31</f>
        <v>0</v>
      </c>
      <c r="AB30" s="18">
        <f>('FS Seychelles'!$AG$10+'FS Seychelles'!$AG$15)/30</f>
        <v>243.8</v>
      </c>
    </row>
    <row r="31" spans="1:28" x14ac:dyDescent="0.25">
      <c r="A31" s="1" t="s">
        <v>13</v>
      </c>
      <c r="B31" s="11">
        <f t="shared" si="0"/>
        <v>30</v>
      </c>
      <c r="C31" s="11">
        <v>4</v>
      </c>
      <c r="D31" s="11">
        <v>2021</v>
      </c>
      <c r="E31" s="18">
        <f>'FS Seychelles'!B32</f>
        <v>45</v>
      </c>
      <c r="F31" s="18">
        <f>'FS Seychelles'!C32*1000</f>
        <v>5671.424</v>
      </c>
      <c r="G31" s="18">
        <f>'FS Seychelles'!D32*1000</f>
        <v>5671.424</v>
      </c>
      <c r="H31" s="18">
        <f>'FS Seychelles'!E32*1000</f>
        <v>5392.384</v>
      </c>
      <c r="I31" s="18">
        <f>'FS Seychelles'!F32*1000</f>
        <v>1936.896</v>
      </c>
      <c r="J31" s="18">
        <f>'FS Seychelles'!G32*1000</f>
        <v>3221.248</v>
      </c>
      <c r="K31" s="18">
        <f>'FS Seychelles'!H32*1000</f>
        <v>3106.0479999999998</v>
      </c>
      <c r="L31" s="18">
        <f>'FS Seychelles'!I32*1000</f>
        <v>1442.3040000000001</v>
      </c>
      <c r="M31" s="18">
        <f>'FS Seychelles'!J32*1000</f>
        <v>1846.528</v>
      </c>
      <c r="N31" s="18">
        <f>'FS Seychelles'!K32*1000</f>
        <v>4113.92</v>
      </c>
      <c r="O31" s="18">
        <f>'FS Seychelles'!L32</f>
        <v>0</v>
      </c>
      <c r="P31" s="18">
        <f>'FS Seychelles'!M32</f>
        <v>3480</v>
      </c>
      <c r="Q31" s="18">
        <f>'FS Seychelles'!N32</f>
        <v>1730</v>
      </c>
      <c r="R31" s="18">
        <f>'FS Seychelles'!O32</f>
        <v>14589</v>
      </c>
      <c r="S31" s="18">
        <f>'FS Seychelles'!P32</f>
        <v>8801</v>
      </c>
      <c r="T31" s="18">
        <f>'FS Seychelles'!V32</f>
        <v>8268</v>
      </c>
      <c r="U31" s="18">
        <f>'FS Seychelles'!X32</f>
        <v>48</v>
      </c>
      <c r="V31" s="18">
        <f>'FS Seychelles'!Y32</f>
        <v>11</v>
      </c>
      <c r="W31" s="18">
        <f>'FS Seychelles'!Z32</f>
        <v>56</v>
      </c>
      <c r="X31" s="18">
        <f>'FS Seychelles'!AA32</f>
        <v>98</v>
      </c>
      <c r="Y31" s="18">
        <f>'FS Seychelles'!AB32</f>
        <v>149</v>
      </c>
      <c r="Z31" s="18">
        <f>'FS Seychelles'!AC32</f>
        <v>5</v>
      </c>
      <c r="AA31" s="18">
        <f>'FS Seychelles'!AD32</f>
        <v>0</v>
      </c>
      <c r="AB31" s="18">
        <f>('FS Seychelles'!$AG$10+'FS Seychelles'!$AG$15)/30</f>
        <v>243.8</v>
      </c>
    </row>
    <row r="32" spans="1:28" x14ac:dyDescent="0.25">
      <c r="A32" s="1" t="s">
        <v>13</v>
      </c>
      <c r="E32" s="18">
        <f>'FS Seychelles'!B33</f>
        <v>0</v>
      </c>
      <c r="F32" s="18">
        <f>'FS Seychelles'!C33*1000</f>
        <v>0</v>
      </c>
      <c r="G32" s="18">
        <f>'FS Seychelles'!D33*1000</f>
        <v>0</v>
      </c>
      <c r="H32" s="18">
        <f>'FS Seychelles'!E33*1000</f>
        <v>0</v>
      </c>
      <c r="I32" s="18">
        <f>'FS Seychelles'!F33*1000</f>
        <v>0</v>
      </c>
      <c r="J32" s="18">
        <f>'FS Seychelles'!G33*1000</f>
        <v>0</v>
      </c>
      <c r="K32" s="18">
        <f>'FS Seychelles'!H33*1000</f>
        <v>0</v>
      </c>
      <c r="L32" s="18">
        <f>'FS Seychelles'!I33*1000</f>
        <v>0</v>
      </c>
      <c r="M32" s="18">
        <f>'FS Seychelles'!J33*1000</f>
        <v>0</v>
      </c>
      <c r="N32" s="18">
        <f>'FS Seychelles'!K33*1000</f>
        <v>0</v>
      </c>
      <c r="O32" s="18">
        <f>'FS Seychelles'!L33</f>
        <v>0</v>
      </c>
      <c r="P32" s="18">
        <f>'FS Seychelles'!M33</f>
        <v>0</v>
      </c>
      <c r="Q32" s="18">
        <f>'FS Seychelles'!N33</f>
        <v>0</v>
      </c>
      <c r="R32" s="18">
        <f>'FS Seychelles'!O33</f>
        <v>0</v>
      </c>
      <c r="S32" s="18">
        <f>'FS Seychelles'!P33</f>
        <v>0</v>
      </c>
      <c r="T32" s="18">
        <f>'FS Seychelles'!V33</f>
        <v>0</v>
      </c>
      <c r="U32" s="18">
        <f>'FS Seychelles'!X33</f>
        <v>0</v>
      </c>
      <c r="V32" s="18">
        <f>'FS Seychelles'!Y33</f>
        <v>0</v>
      </c>
      <c r="W32" s="18">
        <f>'FS Seychelles'!Z33</f>
        <v>0</v>
      </c>
      <c r="X32" s="18">
        <f>'FS Seychelles'!AA33</f>
        <v>0</v>
      </c>
      <c r="Y32" s="18">
        <f>'FS Seychelles'!AB33</f>
        <v>0</v>
      </c>
      <c r="Z32" s="18">
        <f>'FS Seychelles'!AC33</f>
        <v>0</v>
      </c>
      <c r="AA32" s="18">
        <f>'FS Seychelles'!AD33</f>
        <v>0</v>
      </c>
      <c r="AB32" s="18">
        <f>('FS Seychelles'!$AG$10+'FS Seychelles'!$AG$15)/30</f>
        <v>243.8</v>
      </c>
    </row>
    <row r="33" spans="15:18" x14ac:dyDescent="0.25">
      <c r="O33" s="18">
        <f>SUM(O2:O32)</f>
        <v>53426</v>
      </c>
      <c r="P33" s="18">
        <f>SUM(P2:P32)</f>
        <v>305434</v>
      </c>
      <c r="Q33" s="18">
        <f>SUM(Q2:Q32)</f>
        <v>217338</v>
      </c>
      <c r="R33" s="18">
        <f>SUM(R2:R32)</f>
        <v>262687</v>
      </c>
    </row>
    <row r="35" spans="15:18" x14ac:dyDescent="0.25">
      <c r="R35" s="18">
        <f>SUM(O33:R33)</f>
        <v>838885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"/>
  <sheetViews>
    <sheetView zoomScaleNormal="100" workbookViewId="0">
      <pane xSplit="1" topLeftCell="F1" activePane="topRight" state="frozen"/>
      <selection pane="topRight" activeCell="Y26" sqref="Y26"/>
    </sheetView>
  </sheetViews>
  <sheetFormatPr defaultRowHeight="12.75" x14ac:dyDescent="0.2"/>
  <cols>
    <col min="1" max="1" width="10.5703125" style="19" bestFit="1" customWidth="1"/>
    <col min="2" max="2" width="12.7109375" style="34" customWidth="1"/>
    <col min="3" max="3" width="9.140625" style="19"/>
    <col min="4" max="10" width="9.140625" style="42"/>
    <col min="11" max="11" width="10.7109375" style="42" customWidth="1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21" width="11.7109375" style="19" hidden="1" customWidth="1"/>
    <col min="22" max="23" width="12" style="19" customWidth="1"/>
    <col min="24" max="25" width="10.7109375" style="19" customWidth="1"/>
    <col min="26" max="26" width="9.42578125" style="19" bestFit="1" customWidth="1"/>
    <col min="27" max="27" width="9.140625" style="19"/>
    <col min="28" max="28" width="8.140625" style="19" customWidth="1"/>
    <col min="29" max="29" width="9.140625" style="19"/>
    <col min="30" max="30" width="11.85546875" style="19" customWidth="1"/>
    <col min="31" max="31" width="13.5703125" style="38" customWidth="1"/>
    <col min="32" max="33" width="9.140625" style="38"/>
    <col min="34" max="16384" width="9.140625" style="19"/>
  </cols>
  <sheetData>
    <row r="1" spans="1:33" x14ac:dyDescent="0.2">
      <c r="C1" s="102"/>
      <c r="D1" s="102"/>
      <c r="E1" s="102"/>
      <c r="F1" s="102"/>
      <c r="G1" s="102"/>
      <c r="H1" s="102"/>
      <c r="I1" s="102"/>
      <c r="J1" s="102"/>
      <c r="K1" s="102"/>
    </row>
    <row r="2" spans="1:33" s="23" customFormat="1" ht="31.5" customHeight="1" x14ac:dyDescent="0.2">
      <c r="A2" s="32" t="s">
        <v>24</v>
      </c>
      <c r="B2" s="66" t="s">
        <v>25</v>
      </c>
      <c r="C2" s="67" t="s">
        <v>26</v>
      </c>
      <c r="D2" s="68" t="s">
        <v>27</v>
      </c>
      <c r="E2" s="68" t="s">
        <v>28</v>
      </c>
      <c r="F2" s="68" t="s">
        <v>29</v>
      </c>
      <c r="G2" s="68" t="s">
        <v>30</v>
      </c>
      <c r="H2" s="68" t="s">
        <v>31</v>
      </c>
      <c r="I2" s="68" t="s">
        <v>32</v>
      </c>
      <c r="J2" s="68" t="s">
        <v>33</v>
      </c>
      <c r="K2" s="68" t="s">
        <v>34</v>
      </c>
      <c r="L2" s="84" t="s">
        <v>35</v>
      </c>
      <c r="M2" s="45" t="s">
        <v>36</v>
      </c>
      <c r="N2" s="45" t="s">
        <v>37</v>
      </c>
      <c r="O2" s="45" t="s">
        <v>38</v>
      </c>
      <c r="P2" s="45" t="s">
        <v>39</v>
      </c>
      <c r="Q2" s="92" t="s">
        <v>40</v>
      </c>
      <c r="R2" s="92" t="s">
        <v>41</v>
      </c>
      <c r="S2" s="92" t="s">
        <v>42</v>
      </c>
      <c r="T2" s="92" t="s">
        <v>43</v>
      </c>
      <c r="U2" s="92" t="s">
        <v>44</v>
      </c>
      <c r="V2" s="46" t="s">
        <v>45</v>
      </c>
      <c r="W2" s="46" t="s">
        <v>46</v>
      </c>
      <c r="X2" s="44" t="s">
        <v>47</v>
      </c>
      <c r="Y2" s="44" t="s">
        <v>48</v>
      </c>
      <c r="Z2" s="44" t="s">
        <v>49</v>
      </c>
      <c r="AA2" s="44" t="s">
        <v>50</v>
      </c>
      <c r="AB2" s="44" t="s">
        <v>51</v>
      </c>
      <c r="AC2" s="44" t="s">
        <v>52</v>
      </c>
      <c r="AD2" s="47" t="s">
        <v>53</v>
      </c>
      <c r="AE2" s="104" t="s">
        <v>23</v>
      </c>
      <c r="AF2" s="104"/>
      <c r="AG2" s="104"/>
    </row>
    <row r="3" spans="1:33" ht="15" customHeight="1" x14ac:dyDescent="0.2">
      <c r="A3" s="64">
        <v>44287</v>
      </c>
      <c r="B3" s="83">
        <v>66.069999999999993</v>
      </c>
      <c r="C3" s="88">
        <v>5.9217919999999999</v>
      </c>
      <c r="D3" s="82">
        <v>5.9217919999999999</v>
      </c>
      <c r="E3" s="82">
        <v>5.47072</v>
      </c>
      <c r="F3" s="82">
        <v>1.987328</v>
      </c>
      <c r="G3" s="82">
        <v>3.9167999999999998</v>
      </c>
      <c r="H3" s="82">
        <v>3.2798720000000001</v>
      </c>
      <c r="I3" s="82">
        <v>1.4606079999999999</v>
      </c>
      <c r="J3" s="82">
        <v>1.6975359999999999</v>
      </c>
      <c r="K3" s="82">
        <v>4.1471999999999998</v>
      </c>
      <c r="L3" s="79">
        <v>3315</v>
      </c>
      <c r="M3" s="65">
        <v>13527</v>
      </c>
      <c r="N3" s="33">
        <v>7070</v>
      </c>
      <c r="O3" s="33">
        <v>10282</v>
      </c>
      <c r="P3" s="33">
        <v>0</v>
      </c>
      <c r="Q3" s="93">
        <v>989</v>
      </c>
      <c r="R3" s="93">
        <v>3585</v>
      </c>
      <c r="S3" s="93">
        <v>1863</v>
      </c>
      <c r="T3" s="93">
        <v>3021</v>
      </c>
      <c r="U3" s="93">
        <v>0</v>
      </c>
      <c r="V3" s="21">
        <f t="shared" ref="V3:V32" si="0">SUM(Q3:U3)</f>
        <v>9458</v>
      </c>
      <c r="W3" s="21">
        <f t="shared" ref="W3:W13" si="1">21.34*0.04</f>
        <v>0.85360000000000003</v>
      </c>
      <c r="X3" s="31">
        <v>47</v>
      </c>
      <c r="Y3" s="20">
        <v>16</v>
      </c>
      <c r="Z3" s="20">
        <v>106</v>
      </c>
      <c r="AA3" s="20">
        <v>117</v>
      </c>
      <c r="AB3" s="20">
        <v>195</v>
      </c>
      <c r="AC3" s="31">
        <v>85</v>
      </c>
      <c r="AD3" s="37">
        <v>0</v>
      </c>
      <c r="AE3" s="105" t="s">
        <v>54</v>
      </c>
      <c r="AF3" s="105"/>
      <c r="AG3" s="105"/>
    </row>
    <row r="4" spans="1:33" ht="16.5" customHeight="1" x14ac:dyDescent="0.2">
      <c r="A4" s="64">
        <v>44288</v>
      </c>
      <c r="B4" s="83">
        <v>78.84</v>
      </c>
      <c r="C4" s="88">
        <v>5.1061759999999996</v>
      </c>
      <c r="D4" s="82">
        <v>5.1061759999999996</v>
      </c>
      <c r="E4" s="82">
        <v>5.3181440000000002</v>
      </c>
      <c r="F4" s="82">
        <v>1.8444799999999999</v>
      </c>
      <c r="G4" s="82">
        <v>3.2028159999999999</v>
      </c>
      <c r="H4" s="82">
        <v>2.83392</v>
      </c>
      <c r="I4" s="82">
        <v>1.48672</v>
      </c>
      <c r="J4" s="82">
        <v>1.7123839999999999</v>
      </c>
      <c r="K4" s="82">
        <v>4.149248</v>
      </c>
      <c r="L4" s="80">
        <v>7699</v>
      </c>
      <c r="M4" s="65">
        <v>583</v>
      </c>
      <c r="N4" s="33">
        <v>11873</v>
      </c>
      <c r="O4" s="33">
        <v>10749</v>
      </c>
      <c r="P4" s="33">
        <v>0</v>
      </c>
      <c r="Q4" s="93">
        <v>2100</v>
      </c>
      <c r="R4" s="93">
        <v>109</v>
      </c>
      <c r="S4" s="93">
        <v>3232</v>
      </c>
      <c r="T4" s="93">
        <v>3260</v>
      </c>
      <c r="U4" s="93">
        <v>0</v>
      </c>
      <c r="V4" s="21">
        <f t="shared" si="0"/>
        <v>8701</v>
      </c>
      <c r="W4" s="21">
        <f t="shared" si="1"/>
        <v>0.85360000000000003</v>
      </c>
      <c r="X4" s="31">
        <v>67</v>
      </c>
      <c r="Y4" s="20">
        <v>26</v>
      </c>
      <c r="Z4" s="20">
        <v>94</v>
      </c>
      <c r="AA4" s="20">
        <v>115</v>
      </c>
      <c r="AB4" s="20">
        <v>194</v>
      </c>
      <c r="AC4" s="31">
        <v>105</v>
      </c>
      <c r="AD4" s="37">
        <v>0</v>
      </c>
      <c r="AE4" s="35" t="s">
        <v>55</v>
      </c>
      <c r="AF4" s="41" t="s">
        <v>56</v>
      </c>
      <c r="AG4" s="35" t="s">
        <v>57</v>
      </c>
    </row>
    <row r="5" spans="1:33" ht="15" x14ac:dyDescent="0.2">
      <c r="A5" s="64">
        <v>44289</v>
      </c>
      <c r="B5" s="83">
        <v>65.45</v>
      </c>
      <c r="C5" s="88">
        <v>5.6785920000000001</v>
      </c>
      <c r="D5" s="82">
        <v>5.6785920000000001</v>
      </c>
      <c r="E5" s="82">
        <v>5.7891839999999997</v>
      </c>
      <c r="F5" s="82">
        <v>2.2126079999999999</v>
      </c>
      <c r="G5" s="82">
        <v>3.6008960000000001</v>
      </c>
      <c r="H5" s="82">
        <v>3.1173120000000001</v>
      </c>
      <c r="I5" s="82">
        <v>1.448704</v>
      </c>
      <c r="J5" s="82">
        <v>1.5746560000000001</v>
      </c>
      <c r="K5" s="82">
        <v>4.0253439999999996</v>
      </c>
      <c r="L5" s="79">
        <v>4563</v>
      </c>
      <c r="M5" s="65">
        <v>8674</v>
      </c>
      <c r="N5" s="33">
        <v>9742</v>
      </c>
      <c r="O5" s="33">
        <v>10650</v>
      </c>
      <c r="P5" s="33">
        <v>0</v>
      </c>
      <c r="Q5" s="93">
        <v>1302</v>
      </c>
      <c r="R5" s="93">
        <v>2344</v>
      </c>
      <c r="S5" s="93">
        <v>2605</v>
      </c>
      <c r="T5" s="93">
        <v>3204</v>
      </c>
      <c r="U5" s="93">
        <v>0</v>
      </c>
      <c r="V5" s="21">
        <f t="shared" si="0"/>
        <v>9455</v>
      </c>
      <c r="W5" s="21">
        <f t="shared" si="1"/>
        <v>0.85360000000000003</v>
      </c>
      <c r="X5" s="31">
        <v>26</v>
      </c>
      <c r="Y5" s="20">
        <v>57</v>
      </c>
      <c r="Z5" s="20">
        <v>107</v>
      </c>
      <c r="AA5" s="20">
        <v>111</v>
      </c>
      <c r="AB5" s="20">
        <v>188</v>
      </c>
      <c r="AC5" s="20">
        <v>80</v>
      </c>
      <c r="AD5" s="37">
        <v>0</v>
      </c>
      <c r="AE5" s="36">
        <v>4.5</v>
      </c>
      <c r="AF5" s="39">
        <v>4</v>
      </c>
      <c r="AG5" s="36">
        <f>AF5*AE5</f>
        <v>18</v>
      </c>
    </row>
    <row r="6" spans="1:33" ht="15" x14ac:dyDescent="0.2">
      <c r="A6" s="64">
        <v>44290</v>
      </c>
      <c r="B6" s="83">
        <v>50</v>
      </c>
      <c r="C6" s="88">
        <v>6.0615680000000003</v>
      </c>
      <c r="D6" s="82">
        <v>6.0615680000000003</v>
      </c>
      <c r="E6" s="82">
        <v>5.7866239999999998</v>
      </c>
      <c r="F6" s="82">
        <v>2.350336</v>
      </c>
      <c r="G6" s="82">
        <v>3.84768</v>
      </c>
      <c r="H6" s="82">
        <v>3.1933440000000002</v>
      </c>
      <c r="I6" s="82">
        <v>1.3013760000000001</v>
      </c>
      <c r="J6" s="82">
        <v>1.59232</v>
      </c>
      <c r="K6" s="82">
        <v>3.8922240000000001</v>
      </c>
      <c r="L6" s="79">
        <v>3942</v>
      </c>
      <c r="M6" s="65">
        <v>11015</v>
      </c>
      <c r="N6" s="33">
        <v>8272</v>
      </c>
      <c r="O6" s="33">
        <v>11052</v>
      </c>
      <c r="P6" s="33">
        <v>0</v>
      </c>
      <c r="Q6" s="93">
        <v>1078</v>
      </c>
      <c r="R6" s="93">
        <v>2849</v>
      </c>
      <c r="S6" s="93">
        <v>2213</v>
      </c>
      <c r="T6" s="93">
        <v>3256</v>
      </c>
      <c r="U6" s="93">
        <v>0</v>
      </c>
      <c r="V6" s="21">
        <f t="shared" si="0"/>
        <v>9396</v>
      </c>
      <c r="W6" s="21">
        <f t="shared" si="1"/>
        <v>0.85360000000000003</v>
      </c>
      <c r="X6" s="31">
        <v>48</v>
      </c>
      <c r="Y6" s="20">
        <v>63</v>
      </c>
      <c r="Z6" s="20">
        <v>74</v>
      </c>
      <c r="AA6" s="20">
        <v>38</v>
      </c>
      <c r="AB6" s="20">
        <v>204</v>
      </c>
      <c r="AC6" s="20">
        <v>3</v>
      </c>
      <c r="AD6" s="37">
        <v>0</v>
      </c>
      <c r="AE6" s="36">
        <v>9</v>
      </c>
      <c r="AF6" s="39">
        <v>1</v>
      </c>
      <c r="AG6" s="36">
        <f t="shared" ref="AG6:AG9" si="2">AF6*AE6</f>
        <v>9</v>
      </c>
    </row>
    <row r="7" spans="1:33" ht="15" x14ac:dyDescent="0.2">
      <c r="A7" s="64">
        <v>44291</v>
      </c>
      <c r="B7" s="83">
        <v>47.37</v>
      </c>
      <c r="C7" s="88">
        <v>5.7333759999999998</v>
      </c>
      <c r="D7" s="82">
        <v>5.7333759999999998</v>
      </c>
      <c r="E7" s="82">
        <v>5.9622400000000004</v>
      </c>
      <c r="F7" s="82">
        <v>2.4033280000000001</v>
      </c>
      <c r="G7" s="82">
        <v>3.860992</v>
      </c>
      <c r="H7" s="82">
        <v>3.0650879999999998</v>
      </c>
      <c r="I7" s="82">
        <v>0.62182400000000004</v>
      </c>
      <c r="J7" s="82">
        <v>1.6273919999999999</v>
      </c>
      <c r="K7" s="82">
        <v>3.1093760000000001</v>
      </c>
      <c r="L7" s="79">
        <v>8495</v>
      </c>
      <c r="M7" s="65">
        <v>9835</v>
      </c>
      <c r="N7" s="33">
        <v>6810</v>
      </c>
      <c r="O7" s="33">
        <v>7977</v>
      </c>
      <c r="P7" s="33">
        <v>0</v>
      </c>
      <c r="Q7" s="93">
        <v>2423</v>
      </c>
      <c r="R7" s="93">
        <v>2624</v>
      </c>
      <c r="S7" s="93">
        <v>1836</v>
      </c>
      <c r="T7" s="93">
        <v>2461</v>
      </c>
      <c r="U7" s="93">
        <v>0</v>
      </c>
      <c r="V7" s="21">
        <f t="shared" si="0"/>
        <v>9344</v>
      </c>
      <c r="W7" s="21">
        <f t="shared" si="1"/>
        <v>0.85360000000000003</v>
      </c>
      <c r="X7" s="31">
        <v>52</v>
      </c>
      <c r="Y7" s="20">
        <v>18</v>
      </c>
      <c r="Z7" s="20">
        <v>85</v>
      </c>
      <c r="AA7" s="20">
        <v>47</v>
      </c>
      <c r="AB7" s="20">
        <v>247</v>
      </c>
      <c r="AC7" s="51">
        <v>18</v>
      </c>
      <c r="AD7" s="37">
        <v>0</v>
      </c>
      <c r="AE7" s="36">
        <v>5</v>
      </c>
      <c r="AF7" s="71">
        <v>9</v>
      </c>
      <c r="AG7" s="36">
        <f t="shared" si="2"/>
        <v>45</v>
      </c>
    </row>
    <row r="8" spans="1:33" ht="15" x14ac:dyDescent="0.2">
      <c r="A8" s="64">
        <v>44292</v>
      </c>
      <c r="B8" s="83">
        <v>52.63</v>
      </c>
      <c r="C8" s="88">
        <v>4.7375360000000004</v>
      </c>
      <c r="D8" s="82">
        <v>4.7375360000000004</v>
      </c>
      <c r="E8" s="82">
        <v>5.2997120000000004</v>
      </c>
      <c r="F8" s="82">
        <v>1.9463680000000001</v>
      </c>
      <c r="G8" s="82">
        <v>3.4037760000000001</v>
      </c>
      <c r="H8" s="82">
        <v>2.5418240000000001</v>
      </c>
      <c r="I8" s="82">
        <v>1.3100799999999999</v>
      </c>
      <c r="J8" s="82">
        <v>1.704704</v>
      </c>
      <c r="K8" s="82">
        <v>3.8144</v>
      </c>
      <c r="L8" s="79">
        <v>2215</v>
      </c>
      <c r="M8" s="65">
        <v>11318</v>
      </c>
      <c r="N8" s="33">
        <v>3546</v>
      </c>
      <c r="O8" s="33">
        <v>12782</v>
      </c>
      <c r="P8" s="33">
        <v>0</v>
      </c>
      <c r="Q8" s="93">
        <v>623</v>
      </c>
      <c r="R8" s="93">
        <v>3021</v>
      </c>
      <c r="S8" s="93">
        <v>952</v>
      </c>
      <c r="T8" s="93">
        <v>3855</v>
      </c>
      <c r="U8" s="93">
        <v>0</v>
      </c>
      <c r="V8" s="21">
        <f t="shared" si="0"/>
        <v>8451</v>
      </c>
      <c r="W8" s="21">
        <f t="shared" si="1"/>
        <v>0.85360000000000003</v>
      </c>
      <c r="X8" s="51">
        <v>45</v>
      </c>
      <c r="Y8" s="51">
        <v>15</v>
      </c>
      <c r="Z8" s="51">
        <v>64</v>
      </c>
      <c r="AA8" s="51">
        <v>26</v>
      </c>
      <c r="AB8" s="51">
        <v>203</v>
      </c>
      <c r="AC8" s="51">
        <v>87</v>
      </c>
      <c r="AD8" s="37">
        <v>0</v>
      </c>
      <c r="AE8" s="74">
        <v>20</v>
      </c>
      <c r="AF8" s="73">
        <v>68</v>
      </c>
      <c r="AG8" s="36">
        <f t="shared" si="2"/>
        <v>1360</v>
      </c>
    </row>
    <row r="9" spans="1:33" ht="15" customHeight="1" x14ac:dyDescent="0.2">
      <c r="A9" s="64">
        <v>44293</v>
      </c>
      <c r="B9" s="83">
        <v>57.69</v>
      </c>
      <c r="C9" s="88">
        <v>5.4108159999999996</v>
      </c>
      <c r="D9" s="82">
        <v>5.4108159999999996</v>
      </c>
      <c r="E9" s="82">
        <v>5.5633920000000003</v>
      </c>
      <c r="F9" s="82">
        <v>2.138112</v>
      </c>
      <c r="G9" s="82">
        <v>3.9057919999999999</v>
      </c>
      <c r="H9" s="82">
        <v>2.8718080000000001</v>
      </c>
      <c r="I9" s="82">
        <v>1.4926079999999999</v>
      </c>
      <c r="J9" s="82">
        <v>1.7118720000000001</v>
      </c>
      <c r="K9" s="82">
        <v>4.0504319999999998</v>
      </c>
      <c r="L9" s="79">
        <v>4839</v>
      </c>
      <c r="M9" s="65">
        <v>11828</v>
      </c>
      <c r="N9" s="33">
        <v>4904</v>
      </c>
      <c r="O9" s="33">
        <v>11787</v>
      </c>
      <c r="P9" s="33">
        <v>0</v>
      </c>
      <c r="Q9" s="93">
        <v>1357</v>
      </c>
      <c r="R9" s="93">
        <v>2878</v>
      </c>
      <c r="S9" s="93">
        <v>1294</v>
      </c>
      <c r="T9" s="93">
        <v>3516</v>
      </c>
      <c r="U9" s="93">
        <v>0</v>
      </c>
      <c r="V9" s="21">
        <f t="shared" si="0"/>
        <v>9045</v>
      </c>
      <c r="W9" s="21">
        <f t="shared" si="1"/>
        <v>0.85360000000000003</v>
      </c>
      <c r="X9" s="31">
        <v>51</v>
      </c>
      <c r="Y9" s="20">
        <v>15</v>
      </c>
      <c r="Z9" s="20">
        <v>68</v>
      </c>
      <c r="AA9" s="20">
        <v>49</v>
      </c>
      <c r="AB9" s="20">
        <v>174</v>
      </c>
      <c r="AC9" s="31">
        <v>0</v>
      </c>
      <c r="AD9" s="37">
        <v>0</v>
      </c>
      <c r="AE9" s="75">
        <v>10</v>
      </c>
      <c r="AF9" s="72">
        <v>20</v>
      </c>
      <c r="AG9" s="36">
        <f t="shared" si="2"/>
        <v>200</v>
      </c>
    </row>
    <row r="10" spans="1:33" ht="15.75" customHeight="1" x14ac:dyDescent="0.2">
      <c r="A10" s="64">
        <v>44294</v>
      </c>
      <c r="B10" s="83">
        <v>51.9</v>
      </c>
      <c r="C10" s="88">
        <v>5.4548480000000001</v>
      </c>
      <c r="D10" s="82">
        <v>5.4548480000000001</v>
      </c>
      <c r="E10" s="82">
        <v>5.55776</v>
      </c>
      <c r="F10" s="82">
        <v>2.3608319999999998</v>
      </c>
      <c r="G10" s="82">
        <v>3.7352959999999999</v>
      </c>
      <c r="H10" s="82">
        <v>2.8723200000000002</v>
      </c>
      <c r="I10" s="82">
        <v>1.4974719999999999</v>
      </c>
      <c r="J10" s="82">
        <v>1.6734720000000001</v>
      </c>
      <c r="K10" s="82">
        <v>4.0499200000000002</v>
      </c>
      <c r="L10" s="79">
        <v>5310</v>
      </c>
      <c r="M10" s="65">
        <v>10711</v>
      </c>
      <c r="N10" s="33">
        <v>5831</v>
      </c>
      <c r="O10" s="33">
        <v>10784</v>
      </c>
      <c r="P10" s="33">
        <v>0</v>
      </c>
      <c r="Q10" s="93">
        <v>1399</v>
      </c>
      <c r="R10" s="93">
        <v>2900</v>
      </c>
      <c r="S10" s="93">
        <v>1508</v>
      </c>
      <c r="T10" s="93">
        <v>3209</v>
      </c>
      <c r="U10" s="93">
        <v>0</v>
      </c>
      <c r="V10" s="21">
        <f t="shared" si="0"/>
        <v>9016</v>
      </c>
      <c r="W10" s="21">
        <f t="shared" si="1"/>
        <v>0.85360000000000003</v>
      </c>
      <c r="X10" s="31">
        <v>47</v>
      </c>
      <c r="Y10" s="20">
        <v>37</v>
      </c>
      <c r="Z10" s="20">
        <v>46</v>
      </c>
      <c r="AA10" s="20">
        <v>50</v>
      </c>
      <c r="AB10" s="20">
        <v>203</v>
      </c>
      <c r="AC10" s="31">
        <v>0</v>
      </c>
      <c r="AD10" s="37">
        <v>0</v>
      </c>
      <c r="AE10" s="49"/>
      <c r="AF10" s="69" t="s">
        <v>58</v>
      </c>
      <c r="AG10" s="70">
        <f>SUM(AG6:AG9)</f>
        <v>1614</v>
      </c>
    </row>
    <row r="11" spans="1:33" ht="15" customHeight="1" x14ac:dyDescent="0.2">
      <c r="A11" s="64">
        <v>44295</v>
      </c>
      <c r="B11" s="83">
        <v>48.75</v>
      </c>
      <c r="C11" s="88">
        <v>5.6821760000000001</v>
      </c>
      <c r="D11" s="82">
        <v>5.6821760000000001</v>
      </c>
      <c r="E11" s="82">
        <v>5.5429120000000003</v>
      </c>
      <c r="F11" s="82">
        <v>2.04928</v>
      </c>
      <c r="G11" s="82">
        <v>3.2394240000000001</v>
      </c>
      <c r="H11" s="82">
        <v>2.9350399999999999</v>
      </c>
      <c r="I11" s="82">
        <v>1.4623999999999999</v>
      </c>
      <c r="J11" s="82">
        <v>1.728256</v>
      </c>
      <c r="K11" s="82">
        <v>4.0366080000000002</v>
      </c>
      <c r="L11" s="79">
        <v>7169</v>
      </c>
      <c r="M11" s="65">
        <v>9210</v>
      </c>
      <c r="N11" s="33">
        <v>5774</v>
      </c>
      <c r="O11" s="33">
        <v>10664</v>
      </c>
      <c r="P11" s="33">
        <v>0</v>
      </c>
      <c r="Q11" s="93">
        <v>1995</v>
      </c>
      <c r="R11" s="93">
        <v>2357</v>
      </c>
      <c r="S11" s="93">
        <v>1534</v>
      </c>
      <c r="T11" s="93">
        <v>3592</v>
      </c>
      <c r="U11" s="93">
        <v>0</v>
      </c>
      <c r="V11" s="21">
        <f t="shared" si="0"/>
        <v>9478</v>
      </c>
      <c r="W11" s="21">
        <f t="shared" si="1"/>
        <v>0.85360000000000003</v>
      </c>
      <c r="X11" s="31">
        <v>26</v>
      </c>
      <c r="Y11" s="20">
        <v>27</v>
      </c>
      <c r="Z11" s="20">
        <v>50</v>
      </c>
      <c r="AA11" s="20">
        <v>60</v>
      </c>
      <c r="AB11" s="20">
        <v>191</v>
      </c>
      <c r="AC11" s="31">
        <v>0</v>
      </c>
      <c r="AD11" s="37">
        <v>0</v>
      </c>
      <c r="AE11" s="106" t="s">
        <v>59</v>
      </c>
      <c r="AF11" s="107"/>
      <c r="AG11" s="107"/>
    </row>
    <row r="12" spans="1:33" ht="15" customHeight="1" x14ac:dyDescent="0.2">
      <c r="A12" s="64">
        <v>44296</v>
      </c>
      <c r="B12" s="83">
        <v>41.98</v>
      </c>
      <c r="C12" s="88">
        <v>5.6304639999999999</v>
      </c>
      <c r="D12" s="82">
        <v>5.6304639999999999</v>
      </c>
      <c r="E12" s="82">
        <v>5.71136</v>
      </c>
      <c r="F12" s="82">
        <v>2.4181759999999999</v>
      </c>
      <c r="G12" s="82">
        <v>3.4383360000000001</v>
      </c>
      <c r="H12" s="82">
        <v>3.108352</v>
      </c>
      <c r="I12" s="82">
        <v>1.460224</v>
      </c>
      <c r="J12" s="82">
        <v>1.72288</v>
      </c>
      <c r="K12" s="82">
        <v>3.9429120000000002</v>
      </c>
      <c r="L12" s="79">
        <v>5879</v>
      </c>
      <c r="M12" s="65">
        <v>11366</v>
      </c>
      <c r="N12" s="33">
        <v>4369</v>
      </c>
      <c r="O12" s="33">
        <v>11316</v>
      </c>
      <c r="P12" s="33">
        <v>0</v>
      </c>
      <c r="Q12" s="93">
        <v>1785</v>
      </c>
      <c r="R12" s="93">
        <v>2935</v>
      </c>
      <c r="S12" s="93">
        <v>1201</v>
      </c>
      <c r="T12" s="93">
        <v>3242</v>
      </c>
      <c r="U12" s="93">
        <v>0</v>
      </c>
      <c r="V12" s="21">
        <f t="shared" si="0"/>
        <v>9163</v>
      </c>
      <c r="W12" s="21">
        <f t="shared" si="1"/>
        <v>0.85360000000000003</v>
      </c>
      <c r="X12" s="31">
        <v>38</v>
      </c>
      <c r="Y12" s="20">
        <v>32</v>
      </c>
      <c r="Z12" s="20">
        <v>50</v>
      </c>
      <c r="AA12" s="20">
        <v>68</v>
      </c>
      <c r="AB12" s="20">
        <v>224</v>
      </c>
      <c r="AC12" s="31">
        <v>70</v>
      </c>
      <c r="AD12" s="37">
        <v>0</v>
      </c>
      <c r="AE12" s="76"/>
      <c r="AF12" s="108" t="s">
        <v>60</v>
      </c>
      <c r="AG12" s="109"/>
    </row>
    <row r="13" spans="1:33" ht="15" customHeight="1" x14ac:dyDescent="0.2">
      <c r="A13" s="64">
        <v>44297</v>
      </c>
      <c r="B13" s="83">
        <v>42.68</v>
      </c>
      <c r="C13" s="88">
        <v>5.4169600000000004</v>
      </c>
      <c r="D13" s="82">
        <v>5.4169600000000004</v>
      </c>
      <c r="E13" s="82">
        <v>5.5792640000000002</v>
      </c>
      <c r="F13" s="82">
        <v>2.435584</v>
      </c>
      <c r="G13" s="82">
        <v>3.4731519999999998</v>
      </c>
      <c r="H13" s="82">
        <v>3.0958079999999999</v>
      </c>
      <c r="I13" s="82">
        <v>1.473536</v>
      </c>
      <c r="J13" s="82">
        <v>1.550848</v>
      </c>
      <c r="K13" s="82">
        <v>3.8799359999999998</v>
      </c>
      <c r="L13" s="79">
        <v>0</v>
      </c>
      <c r="M13" s="65">
        <v>12700</v>
      </c>
      <c r="N13" s="33">
        <v>4654</v>
      </c>
      <c r="O13" s="33">
        <v>15398</v>
      </c>
      <c r="P13" s="33">
        <v>0</v>
      </c>
      <c r="Q13" s="93">
        <v>0</v>
      </c>
      <c r="R13" s="93">
        <v>3365</v>
      </c>
      <c r="S13" s="93">
        <v>1199</v>
      </c>
      <c r="T13" s="93">
        <v>4864</v>
      </c>
      <c r="U13" s="93">
        <v>0</v>
      </c>
      <c r="V13" s="21">
        <f t="shared" si="0"/>
        <v>9428</v>
      </c>
      <c r="W13" s="21">
        <f t="shared" si="1"/>
        <v>0.85360000000000003</v>
      </c>
      <c r="X13" s="31">
        <v>50</v>
      </c>
      <c r="Y13" s="31">
        <v>44</v>
      </c>
      <c r="Z13" s="31">
        <v>54</v>
      </c>
      <c r="AA13" s="31">
        <v>75</v>
      </c>
      <c r="AB13" s="31">
        <v>219</v>
      </c>
      <c r="AC13" s="31">
        <v>42</v>
      </c>
      <c r="AD13" s="37">
        <v>0</v>
      </c>
      <c r="AE13" s="48" t="s">
        <v>61</v>
      </c>
      <c r="AF13" s="96">
        <v>3900</v>
      </c>
      <c r="AG13" s="97"/>
    </row>
    <row r="14" spans="1:33" ht="15" customHeight="1" x14ac:dyDescent="0.2">
      <c r="A14" s="64">
        <v>44298</v>
      </c>
      <c r="B14" s="83">
        <v>32.89</v>
      </c>
      <c r="C14" s="88">
        <v>4.8788479999999996</v>
      </c>
      <c r="D14" s="82">
        <v>4.8788479999999996</v>
      </c>
      <c r="E14" s="82">
        <v>5.5214080000000001</v>
      </c>
      <c r="F14" s="82">
        <v>2.4460799999999998</v>
      </c>
      <c r="G14" s="82">
        <v>3.0615039999999998</v>
      </c>
      <c r="H14" s="82">
        <v>2.8541439999999998</v>
      </c>
      <c r="I14" s="82">
        <v>1.476864</v>
      </c>
      <c r="J14" s="82">
        <v>1.6002559999999999</v>
      </c>
      <c r="K14" s="82">
        <v>3.964928</v>
      </c>
      <c r="L14" s="81">
        <v>0</v>
      </c>
      <c r="M14" s="55">
        <v>12170</v>
      </c>
      <c r="N14" s="53">
        <v>8259</v>
      </c>
      <c r="O14" s="53">
        <v>10560</v>
      </c>
      <c r="P14" s="53">
        <v>0</v>
      </c>
      <c r="Q14" s="94">
        <v>0</v>
      </c>
      <c r="R14" s="94">
        <v>3230</v>
      </c>
      <c r="S14" s="94">
        <v>2218</v>
      </c>
      <c r="T14" s="94">
        <v>3302</v>
      </c>
      <c r="U14" s="94">
        <v>0</v>
      </c>
      <c r="V14" s="21">
        <f t="shared" si="0"/>
        <v>8750</v>
      </c>
      <c r="W14" s="21">
        <f>20.99*0.04</f>
        <v>0.8395999999999999</v>
      </c>
      <c r="X14" s="31">
        <v>41</v>
      </c>
      <c r="Y14" s="20">
        <v>32</v>
      </c>
      <c r="Z14" s="20">
        <v>55</v>
      </c>
      <c r="AA14" s="20">
        <v>48</v>
      </c>
      <c r="AB14" s="20">
        <v>186</v>
      </c>
      <c r="AC14" s="20">
        <v>0</v>
      </c>
      <c r="AD14" s="37">
        <v>0</v>
      </c>
      <c r="AE14" s="48" t="s">
        <v>62</v>
      </c>
      <c r="AF14" s="96">
        <v>1800</v>
      </c>
      <c r="AG14" s="97"/>
    </row>
    <row r="15" spans="1:33" ht="15" x14ac:dyDescent="0.2">
      <c r="A15" s="64">
        <v>44299</v>
      </c>
      <c r="B15" s="83">
        <v>22.36</v>
      </c>
      <c r="C15" s="88">
        <v>4.1727999999999996</v>
      </c>
      <c r="D15" s="82">
        <v>4.1727999999999996</v>
      </c>
      <c r="E15" s="82">
        <v>5.0780159999999999</v>
      </c>
      <c r="F15" s="82">
        <v>2.0815359999999998</v>
      </c>
      <c r="G15" s="82">
        <v>2.7822079999999998</v>
      </c>
      <c r="H15" s="82">
        <v>2.5313279999999998</v>
      </c>
      <c r="I15" s="82">
        <v>1.4776320000000001</v>
      </c>
      <c r="J15" s="82">
        <v>1.545984</v>
      </c>
      <c r="K15" s="82">
        <v>3.937792</v>
      </c>
      <c r="L15" s="81">
        <v>0</v>
      </c>
      <c r="M15" s="55">
        <v>10082</v>
      </c>
      <c r="N15" s="53">
        <v>14094</v>
      </c>
      <c r="O15" s="53">
        <v>4013</v>
      </c>
      <c r="P15" s="53">
        <v>0</v>
      </c>
      <c r="Q15" s="94">
        <v>0</v>
      </c>
      <c r="R15" s="94">
        <v>2640</v>
      </c>
      <c r="S15" s="94">
        <v>3814</v>
      </c>
      <c r="T15" s="94">
        <v>1291</v>
      </c>
      <c r="U15" s="94">
        <v>0</v>
      </c>
      <c r="V15" s="21">
        <f t="shared" si="0"/>
        <v>7745</v>
      </c>
      <c r="W15" s="21">
        <f t="shared" ref="W15:W20" si="3">20.99*0.04</f>
        <v>0.8395999999999999</v>
      </c>
      <c r="X15" s="31">
        <v>50</v>
      </c>
      <c r="Y15" s="31">
        <v>28</v>
      </c>
      <c r="Z15" s="20">
        <v>43</v>
      </c>
      <c r="AA15" s="20">
        <v>55</v>
      </c>
      <c r="AB15" s="50">
        <v>190</v>
      </c>
      <c r="AC15" s="20">
        <v>43</v>
      </c>
      <c r="AD15" s="37">
        <v>0</v>
      </c>
      <c r="AE15" s="77"/>
      <c r="AF15" s="40" t="s">
        <v>58</v>
      </c>
      <c r="AG15" s="36">
        <f>SUM(AF13:AG14)</f>
        <v>5700</v>
      </c>
    </row>
    <row r="16" spans="1:33" ht="15" customHeight="1" x14ac:dyDescent="0.2">
      <c r="A16" s="64">
        <v>44300</v>
      </c>
      <c r="B16" s="83">
        <v>21.05</v>
      </c>
      <c r="C16" s="88">
        <v>4.389888</v>
      </c>
      <c r="D16" s="82">
        <v>4.389888</v>
      </c>
      <c r="E16" s="82">
        <v>4.8604159999999998</v>
      </c>
      <c r="F16" s="82">
        <v>2.3006720000000001</v>
      </c>
      <c r="G16" s="82">
        <v>3.1157759999999999</v>
      </c>
      <c r="H16" s="82">
        <v>2.7340800000000001</v>
      </c>
      <c r="I16" s="82">
        <v>1.458432</v>
      </c>
      <c r="J16" s="82">
        <v>1.7023999999999999</v>
      </c>
      <c r="K16" s="82">
        <v>3.9557120000000001</v>
      </c>
      <c r="L16" s="81">
        <v>0</v>
      </c>
      <c r="M16" s="55">
        <v>5012</v>
      </c>
      <c r="N16" s="53">
        <v>9128</v>
      </c>
      <c r="O16" s="53">
        <v>2889</v>
      </c>
      <c r="P16" s="53">
        <v>0</v>
      </c>
      <c r="Q16" s="94">
        <v>0</v>
      </c>
      <c r="R16" s="94">
        <v>1290</v>
      </c>
      <c r="S16" s="94">
        <v>2436</v>
      </c>
      <c r="T16" s="94">
        <v>913</v>
      </c>
      <c r="U16" s="94">
        <v>0</v>
      </c>
      <c r="V16" s="21">
        <f t="shared" si="0"/>
        <v>4639</v>
      </c>
      <c r="W16" s="21">
        <f t="shared" si="3"/>
        <v>0.8395999999999999</v>
      </c>
      <c r="X16" s="31">
        <v>47</v>
      </c>
      <c r="Y16" s="31">
        <v>44</v>
      </c>
      <c r="Z16" s="31">
        <v>51</v>
      </c>
      <c r="AA16" s="31">
        <v>56</v>
      </c>
      <c r="AB16" s="31">
        <v>200</v>
      </c>
      <c r="AC16" s="31">
        <v>17</v>
      </c>
      <c r="AD16" s="37">
        <v>0</v>
      </c>
      <c r="AE16" s="98"/>
      <c r="AF16" s="99"/>
      <c r="AG16" s="100"/>
    </row>
    <row r="17" spans="1:34" ht="15" customHeight="1" x14ac:dyDescent="0.2">
      <c r="A17" s="64">
        <v>44301</v>
      </c>
      <c r="B17" s="83">
        <v>23.68</v>
      </c>
      <c r="C17" s="88">
        <v>4.7063040000000003</v>
      </c>
      <c r="D17" s="82">
        <v>4.7063040000000003</v>
      </c>
      <c r="E17" s="82">
        <v>5.2838399999999996</v>
      </c>
      <c r="F17" s="82">
        <v>2.4737279999999999</v>
      </c>
      <c r="G17" s="82">
        <v>3.4920960000000001</v>
      </c>
      <c r="H17" s="82">
        <v>2.9887999999999999</v>
      </c>
      <c r="I17" s="82">
        <v>1.4155519999999999</v>
      </c>
      <c r="J17" s="82">
        <v>1.832192</v>
      </c>
      <c r="K17" s="82">
        <v>3.9736319999999998</v>
      </c>
      <c r="L17" s="81">
        <v>0</v>
      </c>
      <c r="M17" s="55">
        <v>15041</v>
      </c>
      <c r="N17" s="53">
        <v>5539</v>
      </c>
      <c r="O17" s="53">
        <v>10929</v>
      </c>
      <c r="P17" s="53">
        <v>0</v>
      </c>
      <c r="Q17" s="94">
        <v>0</v>
      </c>
      <c r="R17" s="94">
        <v>3978</v>
      </c>
      <c r="S17" s="94">
        <v>1513</v>
      </c>
      <c r="T17" s="94">
        <v>3448</v>
      </c>
      <c r="U17" s="94">
        <v>0</v>
      </c>
      <c r="V17" s="21">
        <f t="shared" si="0"/>
        <v>8939</v>
      </c>
      <c r="W17" s="21">
        <f t="shared" si="3"/>
        <v>0.8395999999999999</v>
      </c>
      <c r="X17" s="31">
        <v>43</v>
      </c>
      <c r="Y17" s="31">
        <v>31</v>
      </c>
      <c r="Z17" s="31">
        <v>58</v>
      </c>
      <c r="AA17" s="31">
        <v>29</v>
      </c>
      <c r="AB17" s="31">
        <v>195</v>
      </c>
      <c r="AC17" s="31">
        <v>0</v>
      </c>
      <c r="AD17" s="37">
        <v>0</v>
      </c>
      <c r="AE17" s="98"/>
      <c r="AF17" s="99"/>
      <c r="AG17" s="100"/>
    </row>
    <row r="18" spans="1:34" ht="15" customHeight="1" x14ac:dyDescent="0.2">
      <c r="A18" s="64">
        <v>44302</v>
      </c>
      <c r="B18" s="83">
        <v>25</v>
      </c>
      <c r="C18" s="88">
        <v>4.7523840000000002</v>
      </c>
      <c r="D18" s="82">
        <v>4.7523840000000002</v>
      </c>
      <c r="E18" s="82">
        <v>5.048832</v>
      </c>
      <c r="F18" s="82">
        <v>2.0648960000000001</v>
      </c>
      <c r="G18" s="82">
        <v>3.1111680000000002</v>
      </c>
      <c r="H18" s="82">
        <v>3.0302720000000001</v>
      </c>
      <c r="I18" s="82">
        <v>1.464064</v>
      </c>
      <c r="J18" s="82">
        <v>1.7891840000000001</v>
      </c>
      <c r="K18" s="82">
        <v>3.975168</v>
      </c>
      <c r="L18" s="81">
        <v>0</v>
      </c>
      <c r="M18" s="55">
        <v>11919</v>
      </c>
      <c r="N18" s="53">
        <v>7377</v>
      </c>
      <c r="O18" s="53">
        <v>11116</v>
      </c>
      <c r="P18" s="53">
        <v>0</v>
      </c>
      <c r="Q18" s="94">
        <v>0</v>
      </c>
      <c r="R18" s="94">
        <v>3226</v>
      </c>
      <c r="S18" s="94">
        <v>1993</v>
      </c>
      <c r="T18" s="94">
        <v>3472</v>
      </c>
      <c r="U18" s="94">
        <v>0</v>
      </c>
      <c r="V18" s="21">
        <f t="shared" si="0"/>
        <v>8691</v>
      </c>
      <c r="W18" s="21">
        <f t="shared" si="3"/>
        <v>0.8395999999999999</v>
      </c>
      <c r="X18" s="31">
        <v>40</v>
      </c>
      <c r="Y18" s="31">
        <v>12</v>
      </c>
      <c r="Z18" s="31">
        <v>158</v>
      </c>
      <c r="AA18" s="31">
        <v>101</v>
      </c>
      <c r="AB18" s="31">
        <v>168</v>
      </c>
      <c r="AC18" s="31">
        <v>123</v>
      </c>
      <c r="AD18" s="37">
        <v>0</v>
      </c>
      <c r="AE18" s="98"/>
      <c r="AF18" s="99"/>
      <c r="AG18" s="100"/>
    </row>
    <row r="19" spans="1:34" ht="15" customHeight="1" x14ac:dyDescent="0.2">
      <c r="A19" s="64">
        <v>44303</v>
      </c>
      <c r="B19" s="83">
        <v>28.95</v>
      </c>
      <c r="C19" s="88">
        <v>5.1302399999999997</v>
      </c>
      <c r="D19" s="82">
        <v>5.1302399999999997</v>
      </c>
      <c r="E19" s="82">
        <v>5.1645440000000002</v>
      </c>
      <c r="F19" s="82">
        <v>2.4386559999999999</v>
      </c>
      <c r="G19" s="82">
        <v>3.3402880000000001</v>
      </c>
      <c r="H19" s="82">
        <v>3.1526399999999999</v>
      </c>
      <c r="I19" s="82">
        <v>1.1837439999999999</v>
      </c>
      <c r="J19" s="82">
        <v>1.9246080000000001</v>
      </c>
      <c r="K19" s="82">
        <v>3.5758079999999999</v>
      </c>
      <c r="L19" s="81">
        <v>0</v>
      </c>
      <c r="M19" s="55">
        <v>15396</v>
      </c>
      <c r="N19" s="53">
        <v>8058</v>
      </c>
      <c r="O19" s="53">
        <v>8349</v>
      </c>
      <c r="P19" s="53">
        <v>0</v>
      </c>
      <c r="Q19" s="94">
        <v>0</v>
      </c>
      <c r="R19" s="94">
        <v>4034</v>
      </c>
      <c r="S19" s="94">
        <v>2186</v>
      </c>
      <c r="T19" s="94">
        <v>2611</v>
      </c>
      <c r="U19" s="94">
        <v>0</v>
      </c>
      <c r="V19" s="21">
        <f t="shared" si="0"/>
        <v>8831</v>
      </c>
      <c r="W19" s="21">
        <f t="shared" si="3"/>
        <v>0.8395999999999999</v>
      </c>
      <c r="X19" s="31">
        <v>40</v>
      </c>
      <c r="Y19" s="31">
        <v>0</v>
      </c>
      <c r="Z19" s="31">
        <v>115</v>
      </c>
      <c r="AA19" s="31">
        <v>233</v>
      </c>
      <c r="AB19" s="31">
        <v>110</v>
      </c>
      <c r="AC19" s="31">
        <v>92</v>
      </c>
      <c r="AD19" s="37">
        <v>0</v>
      </c>
      <c r="AE19" s="98"/>
      <c r="AF19" s="99"/>
      <c r="AG19" s="100"/>
    </row>
    <row r="20" spans="1:34" ht="15" customHeight="1" x14ac:dyDescent="0.2">
      <c r="A20" s="64">
        <v>44304</v>
      </c>
      <c r="B20" s="83">
        <v>32.89</v>
      </c>
      <c r="C20" s="88">
        <v>4.9623039999999996</v>
      </c>
      <c r="D20" s="82">
        <v>4.9623039999999996</v>
      </c>
      <c r="E20" s="82">
        <v>4.9413119999999999</v>
      </c>
      <c r="F20" s="82">
        <v>2.1294080000000002</v>
      </c>
      <c r="G20" s="82">
        <v>2.8607999999999998</v>
      </c>
      <c r="H20" s="82">
        <v>2.9117440000000001</v>
      </c>
      <c r="I20" s="82">
        <v>1.496448</v>
      </c>
      <c r="J20" s="82">
        <v>1.814784</v>
      </c>
      <c r="K20" s="82">
        <v>3.8968319999999999</v>
      </c>
      <c r="L20" s="81">
        <v>0</v>
      </c>
      <c r="M20" s="55">
        <v>13522</v>
      </c>
      <c r="N20" s="53">
        <v>11862</v>
      </c>
      <c r="O20" s="53">
        <v>4230</v>
      </c>
      <c r="P20" s="53">
        <v>0</v>
      </c>
      <c r="Q20" s="94">
        <v>0</v>
      </c>
      <c r="R20" s="94">
        <v>3771</v>
      </c>
      <c r="S20" s="94">
        <v>3197</v>
      </c>
      <c r="T20" s="94">
        <v>1321</v>
      </c>
      <c r="U20" s="94">
        <v>0</v>
      </c>
      <c r="V20" s="21">
        <f t="shared" si="0"/>
        <v>8289</v>
      </c>
      <c r="W20" s="21">
        <f t="shared" si="3"/>
        <v>0.8395999999999999</v>
      </c>
      <c r="X20" s="31">
        <v>40</v>
      </c>
      <c r="Y20" s="31">
        <v>38</v>
      </c>
      <c r="Z20" s="31">
        <v>137</v>
      </c>
      <c r="AA20" s="31">
        <v>69</v>
      </c>
      <c r="AB20" s="31">
        <v>135</v>
      </c>
      <c r="AC20" s="31">
        <v>47</v>
      </c>
      <c r="AD20" s="37">
        <v>0</v>
      </c>
      <c r="AE20" s="98"/>
      <c r="AF20" s="99"/>
      <c r="AG20" s="100"/>
    </row>
    <row r="21" spans="1:34" ht="15" customHeight="1" x14ac:dyDescent="0.2">
      <c r="A21" s="64">
        <v>44305</v>
      </c>
      <c r="B21" s="83">
        <v>40.79</v>
      </c>
      <c r="C21" s="88">
        <v>4.634112</v>
      </c>
      <c r="D21" s="82">
        <v>4.634112</v>
      </c>
      <c r="E21" s="82">
        <v>5.0119680000000004</v>
      </c>
      <c r="F21" s="82">
        <v>1.9527680000000001</v>
      </c>
      <c r="G21" s="82">
        <v>2.766848</v>
      </c>
      <c r="H21" s="82">
        <v>2.6071040000000001</v>
      </c>
      <c r="I21" s="82">
        <v>1.520384</v>
      </c>
      <c r="J21" s="82">
        <v>1.614336</v>
      </c>
      <c r="K21" s="82">
        <v>3.9367679999999998</v>
      </c>
      <c r="L21" s="81">
        <v>0</v>
      </c>
      <c r="M21" s="55">
        <v>4069</v>
      </c>
      <c r="N21" s="53">
        <v>10585</v>
      </c>
      <c r="O21" s="53">
        <v>13125</v>
      </c>
      <c r="P21" s="53">
        <v>0</v>
      </c>
      <c r="Q21" s="94">
        <v>0</v>
      </c>
      <c r="R21" s="94">
        <v>955</v>
      </c>
      <c r="S21" s="94">
        <v>2864</v>
      </c>
      <c r="T21" s="94">
        <v>4150</v>
      </c>
      <c r="U21" s="94">
        <v>0</v>
      </c>
      <c r="V21" s="21">
        <f t="shared" si="0"/>
        <v>7969</v>
      </c>
      <c r="W21" s="21">
        <f>19.78*0.06</f>
        <v>1.1868000000000001</v>
      </c>
      <c r="X21" s="31">
        <v>43</v>
      </c>
      <c r="Y21" s="31">
        <v>36</v>
      </c>
      <c r="Z21" s="31">
        <v>101</v>
      </c>
      <c r="AA21" s="31">
        <v>76</v>
      </c>
      <c r="AB21" s="31">
        <v>121</v>
      </c>
      <c r="AC21" s="31">
        <v>82</v>
      </c>
      <c r="AD21" s="37">
        <v>0</v>
      </c>
      <c r="AE21" s="98"/>
      <c r="AF21" s="99"/>
      <c r="AG21" s="100"/>
      <c r="AH21" s="22"/>
    </row>
    <row r="22" spans="1:34" ht="15" customHeight="1" x14ac:dyDescent="0.2">
      <c r="A22" s="64">
        <v>44306</v>
      </c>
      <c r="B22" s="83">
        <v>43.42</v>
      </c>
      <c r="C22" s="88">
        <v>5.256704</v>
      </c>
      <c r="D22" s="82">
        <v>5.256704</v>
      </c>
      <c r="E22" s="82">
        <v>5.3017599999999998</v>
      </c>
      <c r="F22" s="82">
        <v>2.0349439999999999</v>
      </c>
      <c r="G22" s="82">
        <v>3.2181760000000001</v>
      </c>
      <c r="H22" s="82">
        <v>2.9621759999999999</v>
      </c>
      <c r="I22" s="82">
        <v>1.5065599999999999</v>
      </c>
      <c r="J22" s="82">
        <v>1.6821759999999999</v>
      </c>
      <c r="K22" s="82">
        <v>4.0074240000000003</v>
      </c>
      <c r="L22" s="81">
        <v>0</v>
      </c>
      <c r="M22" s="55">
        <v>11256</v>
      </c>
      <c r="N22" s="53">
        <v>7940</v>
      </c>
      <c r="O22" s="53">
        <v>4325</v>
      </c>
      <c r="P22" s="53">
        <v>6977</v>
      </c>
      <c r="Q22" s="94">
        <v>0</v>
      </c>
      <c r="R22" s="94">
        <v>2873</v>
      </c>
      <c r="S22" s="94">
        <v>2138</v>
      </c>
      <c r="T22" s="94">
        <v>1335</v>
      </c>
      <c r="U22" s="94">
        <v>1826</v>
      </c>
      <c r="V22" s="21">
        <f t="shared" si="0"/>
        <v>8172</v>
      </c>
      <c r="W22" s="21">
        <f t="shared" ref="W22:W32" si="4">19.78*0.06</f>
        <v>1.1868000000000001</v>
      </c>
      <c r="X22" s="31">
        <v>46</v>
      </c>
      <c r="Y22" s="31">
        <v>24</v>
      </c>
      <c r="Z22" s="31">
        <v>164</v>
      </c>
      <c r="AA22" s="31">
        <v>97</v>
      </c>
      <c r="AB22" s="31">
        <v>125</v>
      </c>
      <c r="AC22" s="31">
        <v>0</v>
      </c>
      <c r="AD22" s="37">
        <v>0</v>
      </c>
      <c r="AE22" s="98"/>
      <c r="AF22" s="99"/>
      <c r="AG22" s="100"/>
      <c r="AH22" s="22"/>
    </row>
    <row r="23" spans="1:34" ht="15" customHeight="1" x14ac:dyDescent="0.2">
      <c r="A23" s="64">
        <v>44307</v>
      </c>
      <c r="B23" s="83">
        <v>52.63</v>
      </c>
      <c r="C23" s="88">
        <v>4.2542080000000002</v>
      </c>
      <c r="D23" s="82">
        <v>4.2542080000000002</v>
      </c>
      <c r="E23" s="82">
        <v>4.7697919999999998</v>
      </c>
      <c r="F23" s="82">
        <v>1.658112</v>
      </c>
      <c r="G23" s="82">
        <v>2.482688</v>
      </c>
      <c r="H23" s="82">
        <v>2.3687680000000002</v>
      </c>
      <c r="I23" s="82">
        <v>1.512192</v>
      </c>
      <c r="J23" s="82">
        <v>1.5313920000000001</v>
      </c>
      <c r="K23" s="82">
        <v>3.8287360000000001</v>
      </c>
      <c r="L23" s="81">
        <v>0</v>
      </c>
      <c r="M23" s="55">
        <v>14257</v>
      </c>
      <c r="N23" s="53">
        <v>0</v>
      </c>
      <c r="O23" s="53">
        <v>4215</v>
      </c>
      <c r="P23" s="53">
        <v>8353</v>
      </c>
      <c r="Q23" s="94">
        <v>0</v>
      </c>
      <c r="R23" s="94">
        <v>3813</v>
      </c>
      <c r="S23" s="94">
        <v>0</v>
      </c>
      <c r="T23" s="94">
        <v>1327</v>
      </c>
      <c r="U23" s="94">
        <v>2241</v>
      </c>
      <c r="V23" s="21">
        <f t="shared" si="0"/>
        <v>7381</v>
      </c>
      <c r="W23" s="21">
        <f t="shared" si="4"/>
        <v>1.1868000000000001</v>
      </c>
      <c r="X23" s="31">
        <v>43</v>
      </c>
      <c r="Y23" s="31">
        <v>46</v>
      </c>
      <c r="Z23" s="31">
        <v>101</v>
      </c>
      <c r="AA23" s="31">
        <v>80</v>
      </c>
      <c r="AB23" s="31">
        <v>173</v>
      </c>
      <c r="AC23" s="31">
        <v>51</v>
      </c>
      <c r="AD23" s="37">
        <v>0</v>
      </c>
      <c r="AE23" s="98"/>
      <c r="AF23" s="99"/>
      <c r="AG23" s="100"/>
      <c r="AH23" s="22"/>
    </row>
    <row r="24" spans="1:34" ht="15" customHeight="1" x14ac:dyDescent="0.2">
      <c r="A24" s="64">
        <v>44308</v>
      </c>
      <c r="B24" s="83">
        <v>62.3</v>
      </c>
      <c r="C24" s="88">
        <v>4.8885759999999996</v>
      </c>
      <c r="D24" s="82">
        <v>4.8885759999999996</v>
      </c>
      <c r="E24" s="82">
        <v>5.152768</v>
      </c>
      <c r="F24" s="82">
        <v>1.848832</v>
      </c>
      <c r="G24" s="82">
        <v>2.8111359999999999</v>
      </c>
      <c r="H24" s="82">
        <v>2.6862080000000002</v>
      </c>
      <c r="I24" s="82">
        <v>1.2919039999999999</v>
      </c>
      <c r="J24" s="82">
        <v>1.6232960000000001</v>
      </c>
      <c r="K24" s="82">
        <v>3.7145600000000001</v>
      </c>
      <c r="L24" s="82">
        <v>0</v>
      </c>
      <c r="M24" s="52">
        <v>10308</v>
      </c>
      <c r="N24" s="21">
        <v>11275</v>
      </c>
      <c r="O24" s="21">
        <v>7665</v>
      </c>
      <c r="P24" s="21">
        <v>0</v>
      </c>
      <c r="Q24" s="93">
        <v>0</v>
      </c>
      <c r="R24" s="93">
        <v>2222</v>
      </c>
      <c r="S24" s="93">
        <v>3053</v>
      </c>
      <c r="T24" s="93">
        <v>2420</v>
      </c>
      <c r="U24" s="93">
        <v>0</v>
      </c>
      <c r="V24" s="21">
        <f t="shared" si="0"/>
        <v>7695</v>
      </c>
      <c r="W24" s="21">
        <f t="shared" si="4"/>
        <v>1.1868000000000001</v>
      </c>
      <c r="X24" s="31">
        <v>47</v>
      </c>
      <c r="Y24" s="31">
        <v>13</v>
      </c>
      <c r="Z24" s="31">
        <v>94</v>
      </c>
      <c r="AA24" s="31">
        <v>7</v>
      </c>
      <c r="AB24" s="31">
        <v>135</v>
      </c>
      <c r="AC24" s="31">
        <v>77</v>
      </c>
      <c r="AD24" s="37">
        <v>0</v>
      </c>
      <c r="AE24" s="98"/>
      <c r="AF24" s="99"/>
      <c r="AG24" s="100"/>
      <c r="AH24" s="22"/>
    </row>
    <row r="25" spans="1:34" ht="15" customHeight="1" x14ac:dyDescent="0.2">
      <c r="A25" s="64">
        <v>44309</v>
      </c>
      <c r="B25" s="83">
        <v>60.66</v>
      </c>
      <c r="C25" s="88">
        <v>5.4881279999999997</v>
      </c>
      <c r="D25" s="82">
        <v>5.4881279999999997</v>
      </c>
      <c r="E25" s="82">
        <v>5.3657599999999999</v>
      </c>
      <c r="F25" s="82">
        <v>2.0784639999999999</v>
      </c>
      <c r="G25" s="82">
        <v>3.2977919999999998</v>
      </c>
      <c r="H25" s="82">
        <v>3.0072320000000001</v>
      </c>
      <c r="I25" s="82">
        <v>1.461632</v>
      </c>
      <c r="J25" s="82">
        <v>1.74976</v>
      </c>
      <c r="K25" s="82">
        <v>4.0202239999999998</v>
      </c>
      <c r="L25" s="81">
        <v>0</v>
      </c>
      <c r="M25" s="55">
        <v>10976</v>
      </c>
      <c r="N25" s="53">
        <v>8072</v>
      </c>
      <c r="O25" s="53">
        <v>4807</v>
      </c>
      <c r="P25" s="53">
        <v>7833</v>
      </c>
      <c r="Q25" s="94">
        <v>0</v>
      </c>
      <c r="R25" s="94">
        <v>2761</v>
      </c>
      <c r="S25" s="94">
        <v>2179</v>
      </c>
      <c r="T25" s="94">
        <v>1595</v>
      </c>
      <c r="U25" s="94">
        <v>2131</v>
      </c>
      <c r="V25" s="21">
        <f t="shared" si="0"/>
        <v>8666</v>
      </c>
      <c r="W25" s="21">
        <f t="shared" si="4"/>
        <v>1.1868000000000001</v>
      </c>
      <c r="X25" s="31">
        <v>47</v>
      </c>
      <c r="Y25" s="31">
        <v>13</v>
      </c>
      <c r="Z25" s="20">
        <v>98</v>
      </c>
      <c r="AA25" s="20">
        <v>135</v>
      </c>
      <c r="AB25" s="20">
        <v>146</v>
      </c>
      <c r="AC25" s="20">
        <v>89</v>
      </c>
      <c r="AD25" s="37">
        <v>0</v>
      </c>
      <c r="AE25" s="98"/>
      <c r="AF25" s="99"/>
      <c r="AG25" s="100"/>
      <c r="AH25" s="22"/>
    </row>
    <row r="26" spans="1:34" ht="15" customHeight="1" x14ac:dyDescent="0.2">
      <c r="A26" s="64">
        <v>44310</v>
      </c>
      <c r="B26" s="83">
        <v>59.02</v>
      </c>
      <c r="C26" s="88">
        <v>5.3247999999999998</v>
      </c>
      <c r="D26" s="82">
        <v>5.3247999999999998</v>
      </c>
      <c r="E26" s="82">
        <v>5.353472</v>
      </c>
      <c r="F26" s="82">
        <v>2.0997119999999998</v>
      </c>
      <c r="G26" s="82">
        <v>3.177216</v>
      </c>
      <c r="H26" s="82">
        <v>2.9573119999999999</v>
      </c>
      <c r="I26" s="82">
        <v>1.1616</v>
      </c>
      <c r="J26" s="82">
        <v>1.9384319999999999</v>
      </c>
      <c r="K26" s="82">
        <v>3.774464</v>
      </c>
      <c r="L26" s="81">
        <v>0</v>
      </c>
      <c r="M26" s="55">
        <v>8448</v>
      </c>
      <c r="N26" s="53">
        <v>10723</v>
      </c>
      <c r="O26" s="53">
        <v>0</v>
      </c>
      <c r="P26" s="53">
        <v>10307</v>
      </c>
      <c r="Q26" s="94">
        <v>0</v>
      </c>
      <c r="R26" s="94">
        <v>2228</v>
      </c>
      <c r="S26" s="94">
        <v>2655</v>
      </c>
      <c r="T26" s="94">
        <v>0</v>
      </c>
      <c r="U26" s="94">
        <v>2626</v>
      </c>
      <c r="V26" s="21">
        <f t="shared" si="0"/>
        <v>7509</v>
      </c>
      <c r="W26" s="21">
        <f t="shared" si="4"/>
        <v>1.1868000000000001</v>
      </c>
      <c r="X26" s="31">
        <v>41</v>
      </c>
      <c r="Y26" s="31">
        <v>29</v>
      </c>
      <c r="Z26" s="20">
        <v>93</v>
      </c>
      <c r="AA26" s="20">
        <v>152</v>
      </c>
      <c r="AB26" s="20">
        <v>131</v>
      </c>
      <c r="AC26" s="20">
        <v>121</v>
      </c>
      <c r="AD26" s="37">
        <v>0</v>
      </c>
      <c r="AE26" s="98"/>
      <c r="AF26" s="99"/>
      <c r="AG26" s="100"/>
      <c r="AH26" s="22"/>
    </row>
    <row r="27" spans="1:34" ht="15" customHeight="1" x14ac:dyDescent="0.2">
      <c r="A27" s="64">
        <v>44311</v>
      </c>
      <c r="B27" s="83">
        <v>56.45</v>
      </c>
      <c r="C27" s="88">
        <v>5.2316159999999998</v>
      </c>
      <c r="D27" s="82">
        <v>5.2316159999999998</v>
      </c>
      <c r="E27" s="82">
        <v>5.0749440000000003</v>
      </c>
      <c r="F27" s="82">
        <v>2.03776</v>
      </c>
      <c r="G27" s="82">
        <v>3.0095360000000002</v>
      </c>
      <c r="H27" s="82">
        <v>2.7089919999999998</v>
      </c>
      <c r="I27" s="82">
        <v>1.458048</v>
      </c>
      <c r="J27" s="82">
        <v>1.789952</v>
      </c>
      <c r="K27" s="82">
        <v>4.0176639999999999</v>
      </c>
      <c r="L27" s="81">
        <v>0</v>
      </c>
      <c r="M27" s="55">
        <v>11171</v>
      </c>
      <c r="N27" s="53">
        <v>11167</v>
      </c>
      <c r="O27" s="53">
        <v>4504</v>
      </c>
      <c r="P27" s="53">
        <v>3763</v>
      </c>
      <c r="Q27" s="94">
        <v>0</v>
      </c>
      <c r="R27" s="94">
        <v>2907</v>
      </c>
      <c r="S27" s="94">
        <v>2964</v>
      </c>
      <c r="T27" s="94">
        <v>1437</v>
      </c>
      <c r="U27" s="94">
        <v>1031</v>
      </c>
      <c r="V27" s="21">
        <f t="shared" si="0"/>
        <v>8339</v>
      </c>
      <c r="W27" s="21">
        <f t="shared" si="4"/>
        <v>1.1868000000000001</v>
      </c>
      <c r="X27" s="31">
        <v>50</v>
      </c>
      <c r="Y27" s="31">
        <v>29</v>
      </c>
      <c r="Z27" s="20">
        <v>84</v>
      </c>
      <c r="AA27" s="20">
        <v>234</v>
      </c>
      <c r="AB27" s="20">
        <v>134</v>
      </c>
      <c r="AC27" s="20">
        <v>121</v>
      </c>
      <c r="AD27" s="37">
        <v>0</v>
      </c>
      <c r="AE27" s="98"/>
      <c r="AF27" s="99"/>
      <c r="AG27" s="100"/>
      <c r="AH27" s="22"/>
    </row>
    <row r="28" spans="1:34" ht="15" customHeight="1" x14ac:dyDescent="0.2">
      <c r="A28" s="64">
        <v>44312</v>
      </c>
      <c r="B28" s="83">
        <v>50</v>
      </c>
      <c r="C28" s="88">
        <v>5.3939199999999996</v>
      </c>
      <c r="D28" s="82">
        <v>5.3939199999999996</v>
      </c>
      <c r="E28" s="82">
        <v>5.3022720000000003</v>
      </c>
      <c r="F28" s="82">
        <v>1.8744320000000001</v>
      </c>
      <c r="G28" s="82">
        <v>3.0758399999999999</v>
      </c>
      <c r="H28" s="82">
        <v>2.8416000000000001</v>
      </c>
      <c r="I28" s="82">
        <v>1.3928959999999999</v>
      </c>
      <c r="J28" s="82">
        <v>1.7059839999999999</v>
      </c>
      <c r="K28" s="82">
        <v>4.1277439999999999</v>
      </c>
      <c r="L28" s="81">
        <v>0</v>
      </c>
      <c r="M28" s="55">
        <v>4229</v>
      </c>
      <c r="N28" s="53">
        <v>4342</v>
      </c>
      <c r="O28" s="53">
        <v>12292</v>
      </c>
      <c r="P28" s="53">
        <v>0</v>
      </c>
      <c r="Q28" s="94">
        <v>0</v>
      </c>
      <c r="R28" s="94">
        <v>1170</v>
      </c>
      <c r="S28" s="94">
        <v>1225</v>
      </c>
      <c r="T28" s="94">
        <v>3859</v>
      </c>
      <c r="U28" s="94">
        <v>0</v>
      </c>
      <c r="V28" s="21">
        <f t="shared" si="0"/>
        <v>6254</v>
      </c>
      <c r="W28" s="21">
        <f t="shared" si="4"/>
        <v>1.1868000000000001</v>
      </c>
      <c r="X28" s="31">
        <v>50</v>
      </c>
      <c r="Y28" s="31">
        <v>31</v>
      </c>
      <c r="Z28" s="20">
        <v>95</v>
      </c>
      <c r="AA28" s="20">
        <v>133</v>
      </c>
      <c r="AB28" s="20">
        <v>136</v>
      </c>
      <c r="AC28" s="20">
        <v>64</v>
      </c>
      <c r="AD28" s="37">
        <v>0</v>
      </c>
      <c r="AE28" s="98"/>
      <c r="AF28" s="99"/>
      <c r="AG28" s="100"/>
      <c r="AH28" s="22"/>
    </row>
    <row r="29" spans="1:34" ht="15" customHeight="1" x14ac:dyDescent="0.2">
      <c r="A29" s="64">
        <v>44313</v>
      </c>
      <c r="B29" s="83">
        <v>42.31</v>
      </c>
      <c r="C29" s="88">
        <v>5.5280639999999996</v>
      </c>
      <c r="D29" s="82">
        <v>5.5280639999999996</v>
      </c>
      <c r="E29" s="82">
        <v>5.3662720000000004</v>
      </c>
      <c r="F29" s="82">
        <v>2.0618240000000001</v>
      </c>
      <c r="G29" s="82">
        <v>3.2010239999999999</v>
      </c>
      <c r="H29" s="82">
        <v>3.0215679999999998</v>
      </c>
      <c r="I29" s="82">
        <v>1.430016</v>
      </c>
      <c r="J29" s="82">
        <v>1.6673279999999999</v>
      </c>
      <c r="K29" s="82">
        <v>4.1610240000000003</v>
      </c>
      <c r="L29" s="81">
        <v>0</v>
      </c>
      <c r="M29" s="55">
        <v>16092</v>
      </c>
      <c r="N29" s="53">
        <v>2219</v>
      </c>
      <c r="O29" s="53">
        <v>11296</v>
      </c>
      <c r="P29" s="53">
        <v>11600</v>
      </c>
      <c r="Q29" s="94">
        <v>0</v>
      </c>
      <c r="R29" s="94">
        <v>4192</v>
      </c>
      <c r="S29" s="94">
        <v>586</v>
      </c>
      <c r="T29" s="94">
        <v>3446</v>
      </c>
      <c r="U29" s="94">
        <v>3176</v>
      </c>
      <c r="V29" s="21">
        <f t="shared" si="0"/>
        <v>11400</v>
      </c>
      <c r="W29" s="21">
        <f t="shared" si="4"/>
        <v>1.1868000000000001</v>
      </c>
      <c r="X29" s="31">
        <v>47</v>
      </c>
      <c r="Y29" s="31">
        <v>32</v>
      </c>
      <c r="Z29" s="20">
        <v>96</v>
      </c>
      <c r="AA29" s="20">
        <v>63</v>
      </c>
      <c r="AB29" s="20">
        <v>147</v>
      </c>
      <c r="AC29" s="20">
        <v>14</v>
      </c>
      <c r="AD29" s="37">
        <v>0</v>
      </c>
      <c r="AE29" s="98"/>
      <c r="AF29" s="99"/>
      <c r="AG29" s="100"/>
      <c r="AH29" s="22"/>
    </row>
    <row r="30" spans="1:34" ht="15" customHeight="1" x14ac:dyDescent="0.2">
      <c r="A30" s="64">
        <v>44314</v>
      </c>
      <c r="B30" s="83">
        <v>40.51</v>
      </c>
      <c r="C30" s="88">
        <v>5.1118079999999999</v>
      </c>
      <c r="D30" s="82">
        <v>5.1118079999999999</v>
      </c>
      <c r="E30" s="82">
        <v>5.2536319999999996</v>
      </c>
      <c r="F30" s="82">
        <v>1.920256</v>
      </c>
      <c r="G30" s="82">
        <v>3.1191040000000001</v>
      </c>
      <c r="H30" s="82">
        <v>2.7980800000000001</v>
      </c>
      <c r="I30" s="82">
        <v>1.4512640000000001</v>
      </c>
      <c r="J30" s="82">
        <v>1.7978879999999999</v>
      </c>
      <c r="K30" s="82">
        <v>4.0698879999999997</v>
      </c>
      <c r="L30" s="81">
        <v>0</v>
      </c>
      <c r="M30" s="55">
        <v>3885</v>
      </c>
      <c r="N30" s="53">
        <v>7253</v>
      </c>
      <c r="O30" s="53">
        <v>0</v>
      </c>
      <c r="P30" s="53">
        <v>10085</v>
      </c>
      <c r="Q30" s="94">
        <v>0</v>
      </c>
      <c r="R30" s="94">
        <v>1071</v>
      </c>
      <c r="S30" s="94">
        <v>1950</v>
      </c>
      <c r="T30" s="94">
        <v>0</v>
      </c>
      <c r="U30" s="94">
        <v>2518</v>
      </c>
      <c r="V30" s="21">
        <f t="shared" si="0"/>
        <v>5539</v>
      </c>
      <c r="W30" s="21">
        <f t="shared" si="4"/>
        <v>1.1868000000000001</v>
      </c>
      <c r="X30" s="31">
        <v>44</v>
      </c>
      <c r="Y30" s="31">
        <v>26</v>
      </c>
      <c r="Z30" s="20">
        <v>80</v>
      </c>
      <c r="AA30" s="20">
        <v>89</v>
      </c>
      <c r="AB30" s="20">
        <v>129</v>
      </c>
      <c r="AC30" s="20">
        <v>23</v>
      </c>
      <c r="AD30" s="37">
        <v>0</v>
      </c>
      <c r="AE30" s="98"/>
      <c r="AF30" s="99"/>
      <c r="AG30" s="100"/>
      <c r="AH30" s="22"/>
    </row>
    <row r="31" spans="1:34" ht="15" customHeight="1" x14ac:dyDescent="0.2">
      <c r="A31" s="64">
        <v>44315</v>
      </c>
      <c r="B31" s="83">
        <v>39.24</v>
      </c>
      <c r="C31" s="88">
        <v>5.6688640000000001</v>
      </c>
      <c r="D31" s="82">
        <v>5.6688640000000001</v>
      </c>
      <c r="E31" s="82">
        <v>5.5060479999999998</v>
      </c>
      <c r="F31" s="82">
        <v>1.952</v>
      </c>
      <c r="G31" s="82">
        <v>3.43424</v>
      </c>
      <c r="H31" s="82">
        <v>3.1498240000000002</v>
      </c>
      <c r="I31" s="82">
        <v>1.43936</v>
      </c>
      <c r="J31" s="82">
        <v>1.88672</v>
      </c>
      <c r="K31" s="82">
        <v>4.0125440000000001</v>
      </c>
      <c r="L31" s="81">
        <v>0</v>
      </c>
      <c r="M31" s="56">
        <v>13354</v>
      </c>
      <c r="N31" s="57">
        <v>4870</v>
      </c>
      <c r="O31" s="53">
        <v>10342</v>
      </c>
      <c r="P31" s="53">
        <v>4811</v>
      </c>
      <c r="Q31" s="94">
        <v>0</v>
      </c>
      <c r="R31" s="94">
        <v>3386</v>
      </c>
      <c r="S31" s="94">
        <v>1314</v>
      </c>
      <c r="T31" s="94">
        <v>10342</v>
      </c>
      <c r="U31" s="94">
        <v>1412</v>
      </c>
      <c r="V31" s="21">
        <f t="shared" si="0"/>
        <v>16454</v>
      </c>
      <c r="W31" s="21">
        <f t="shared" si="4"/>
        <v>1.1868000000000001</v>
      </c>
      <c r="X31" s="31">
        <v>50</v>
      </c>
      <c r="Y31" s="31">
        <v>29</v>
      </c>
      <c r="Z31" s="31">
        <v>82</v>
      </c>
      <c r="AA31" s="31">
        <v>105</v>
      </c>
      <c r="AB31" s="31">
        <v>144</v>
      </c>
      <c r="AC31" s="31">
        <v>12</v>
      </c>
      <c r="AD31" s="37">
        <v>0</v>
      </c>
      <c r="AE31" s="98"/>
      <c r="AF31" s="99"/>
      <c r="AG31" s="100"/>
      <c r="AH31" s="22"/>
    </row>
    <row r="32" spans="1:34" ht="15" customHeight="1" x14ac:dyDescent="0.2">
      <c r="A32" s="64">
        <v>44316</v>
      </c>
      <c r="B32" s="83">
        <v>45</v>
      </c>
      <c r="C32" s="88">
        <v>5.671424</v>
      </c>
      <c r="D32" s="82">
        <v>5.671424</v>
      </c>
      <c r="E32" s="82">
        <v>5.3923839999999998</v>
      </c>
      <c r="F32" s="82">
        <v>1.936896</v>
      </c>
      <c r="G32" s="82">
        <v>3.2212480000000001</v>
      </c>
      <c r="H32" s="82">
        <v>3.1060479999999999</v>
      </c>
      <c r="I32" s="82">
        <v>1.442304</v>
      </c>
      <c r="J32" s="82">
        <v>1.8465279999999999</v>
      </c>
      <c r="K32" s="82">
        <v>4.1139200000000002</v>
      </c>
      <c r="L32" s="59">
        <v>0</v>
      </c>
      <c r="M32" s="58">
        <v>3480</v>
      </c>
      <c r="N32" s="59">
        <v>1730</v>
      </c>
      <c r="O32" s="59">
        <v>14589</v>
      </c>
      <c r="P32" s="59">
        <v>8801</v>
      </c>
      <c r="Q32" s="94">
        <v>0</v>
      </c>
      <c r="R32" s="94">
        <v>1066</v>
      </c>
      <c r="S32" s="94">
        <v>488</v>
      </c>
      <c r="T32" s="94">
        <v>4385</v>
      </c>
      <c r="U32" s="94">
        <v>2329</v>
      </c>
      <c r="V32" s="21">
        <f t="shared" si="0"/>
        <v>8268</v>
      </c>
      <c r="W32" s="21">
        <f t="shared" si="4"/>
        <v>1.1868000000000001</v>
      </c>
      <c r="X32" s="31">
        <v>48</v>
      </c>
      <c r="Y32" s="31">
        <v>11</v>
      </c>
      <c r="Z32" s="31">
        <v>56</v>
      </c>
      <c r="AA32" s="31">
        <v>98</v>
      </c>
      <c r="AB32" s="31">
        <v>149</v>
      </c>
      <c r="AC32" s="31">
        <v>5</v>
      </c>
      <c r="AD32" s="37">
        <v>0</v>
      </c>
      <c r="AE32" s="98"/>
      <c r="AF32" s="99"/>
      <c r="AG32" s="100"/>
      <c r="AH32" s="22"/>
    </row>
    <row r="33" spans="1:33" ht="12.75" customHeight="1" x14ac:dyDescent="0.25">
      <c r="A33" s="64"/>
      <c r="B33" s="54"/>
      <c r="C33" s="85"/>
      <c r="D33" s="86"/>
      <c r="E33" s="86"/>
      <c r="F33" s="86"/>
      <c r="G33" s="86"/>
      <c r="H33" s="86"/>
      <c r="I33" s="86"/>
      <c r="J33" s="86"/>
      <c r="K33" s="86"/>
      <c r="L33" s="87"/>
      <c r="M33" s="59"/>
      <c r="N33" s="59"/>
      <c r="O33" s="60"/>
      <c r="P33" s="61"/>
      <c r="Q33" s="95"/>
      <c r="R33" s="95"/>
      <c r="S33" s="95"/>
      <c r="T33" s="95"/>
      <c r="U33" s="95"/>
      <c r="V33" s="21"/>
      <c r="W33" s="21"/>
      <c r="X33" s="62"/>
      <c r="Y33" s="62"/>
      <c r="Z33" s="62"/>
      <c r="AA33" s="62"/>
      <c r="AB33" s="62"/>
      <c r="AC33" s="62"/>
      <c r="AD33" s="37"/>
      <c r="AE33" s="101"/>
      <c r="AF33" s="102"/>
      <c r="AG33" s="103"/>
    </row>
    <row r="34" spans="1:33" hidden="1" x14ac:dyDescent="0.2">
      <c r="J34" s="89" t="s">
        <v>63</v>
      </c>
      <c r="K34" s="89" t="s">
        <v>64</v>
      </c>
      <c r="L34" s="90">
        <f>SUM(L3:L33)</f>
        <v>53426</v>
      </c>
      <c r="M34" s="90">
        <f t="shared" ref="M34:P34" si="5">SUM(M3:M33)</f>
        <v>305434</v>
      </c>
      <c r="N34" s="90">
        <f t="shared" si="5"/>
        <v>217338</v>
      </c>
      <c r="O34" s="90">
        <f t="shared" si="5"/>
        <v>262687</v>
      </c>
      <c r="P34" s="90">
        <f t="shared" si="5"/>
        <v>72530</v>
      </c>
      <c r="Q34" s="90"/>
      <c r="R34" s="91"/>
      <c r="S34" s="91"/>
      <c r="T34" s="91"/>
      <c r="U34" s="91"/>
      <c r="V34" s="91"/>
    </row>
    <row r="35" spans="1:33" hidden="1" x14ac:dyDescent="0.2">
      <c r="J35" s="89" t="s">
        <v>65</v>
      </c>
      <c r="K35" s="89" t="s">
        <v>64</v>
      </c>
      <c r="L35" s="91"/>
      <c r="M35" s="91"/>
      <c r="N35" s="91"/>
      <c r="O35" s="91"/>
      <c r="P35" s="91"/>
      <c r="Q35" s="90">
        <f>SUM(Q3:Q33)</f>
        <v>15051</v>
      </c>
      <c r="R35" s="90">
        <f t="shared" ref="R35:V35" si="6">SUM(R3:R33)</f>
        <v>79780</v>
      </c>
      <c r="S35" s="90">
        <f t="shared" si="6"/>
        <v>58210</v>
      </c>
      <c r="T35" s="90">
        <f t="shared" si="6"/>
        <v>88134</v>
      </c>
      <c r="U35" s="90">
        <f t="shared" si="6"/>
        <v>19290</v>
      </c>
      <c r="V35" s="90">
        <f t="shared" si="6"/>
        <v>260465</v>
      </c>
      <c r="AD35" s="43"/>
      <c r="AE35" s="78"/>
      <c r="AF35" s="78"/>
    </row>
    <row r="36" spans="1:33" x14ac:dyDescent="0.2">
      <c r="AD36" s="43"/>
      <c r="AE36" s="78"/>
      <c r="AF36" s="78"/>
    </row>
    <row r="37" spans="1:33" x14ac:dyDescent="0.2">
      <c r="AD37" s="43"/>
      <c r="AE37" s="78"/>
      <c r="AF37" s="78"/>
    </row>
    <row r="38" spans="1:33" x14ac:dyDescent="0.2">
      <c r="AD38" s="43"/>
      <c r="AE38" s="78"/>
      <c r="AF38" s="78"/>
    </row>
    <row r="39" spans="1:33" x14ac:dyDescent="0.2">
      <c r="AD39" s="43"/>
      <c r="AE39" s="78"/>
      <c r="AF39" s="78"/>
    </row>
    <row r="40" spans="1:33" x14ac:dyDescent="0.2">
      <c r="AD40" s="43"/>
      <c r="AE40" s="78"/>
      <c r="AF40" s="78"/>
    </row>
    <row r="41" spans="1:33" x14ac:dyDescent="0.2">
      <c r="AD41" s="43"/>
      <c r="AE41" s="78"/>
      <c r="AF41" s="78"/>
    </row>
    <row r="42" spans="1:33" x14ac:dyDescent="0.2">
      <c r="AD42" s="43"/>
      <c r="AE42" s="78"/>
      <c r="AF42" s="78"/>
    </row>
    <row r="43" spans="1:33" x14ac:dyDescent="0.2">
      <c r="AD43" s="43"/>
      <c r="AE43" s="78"/>
      <c r="AF43" s="78"/>
    </row>
    <row r="44" spans="1:33" x14ac:dyDescent="0.2">
      <c r="AD44" s="43"/>
      <c r="AE44" s="78"/>
      <c r="AF44" s="78"/>
    </row>
  </sheetData>
  <mergeCells count="8">
    <mergeCell ref="AF13:AG13"/>
    <mergeCell ref="AF14:AG14"/>
    <mergeCell ref="AE16:AG33"/>
    <mergeCell ref="C1:K1"/>
    <mergeCell ref="AE2:AG2"/>
    <mergeCell ref="AE3:AG3"/>
    <mergeCell ref="AE11:AG11"/>
    <mergeCell ref="AF12:AG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3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El Khoury</cp:lastModifiedBy>
  <cp:revision/>
  <dcterms:created xsi:type="dcterms:W3CDTF">2019-08-14T08:16:24Z</dcterms:created>
  <dcterms:modified xsi:type="dcterms:W3CDTF">2021-05-04T07:10:41Z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