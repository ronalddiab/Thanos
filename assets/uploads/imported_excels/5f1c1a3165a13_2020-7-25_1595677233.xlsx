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<sst xmlns="http://schemas.openxmlformats.org/spreadsheetml/2006/main" count="308" uniqueCount="145">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</sst>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3120.0000000000973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19.5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3410.0000000000728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14.100000000000023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3379.9999999997649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14.299999999999983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3810.0000000004729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22.700000000000017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3119.9999999998745</v>
      </c>
      <c r="F25" s="11">
        <f t="shared" si="1"/>
        <v>0.58765030286592534</v>
      </c>
      <c r="G25" s="12">
        <f>(Submetering!AX25+Submetering!AY25+Submetering!AZ25+Submetering!BA25+Submetering!BB25)</f>
        <v>3.6629999999999998</v>
      </c>
      <c r="H25" s="11">
        <f t="shared" si="2"/>
        <v>0.99</v>
      </c>
      <c r="I25" s="12">
        <f>'FS Desroches Daily'!CM27</f>
        <v>14.599999999999994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 t="e">
        <f>Submetering!E26+Submetering!F26+Submetering!G26+Submetering!H26+Submetering!J26-Submetering!AV26</f>
        <v>#VALUE!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 t="e">
        <f>'FS Desroches Daily'!CM28</f>
        <v>#VALUE!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699.99999999992292</v>
      </c>
      <c r="F21" s="32">
        <f>'FS Desroches Daily'!F23</f>
        <v>500.00000000016701</v>
      </c>
      <c r="G21" s="31">
        <f>'FS Desroches Daily'!H23</f>
        <v>1300.0000000000789</v>
      </c>
      <c r="H21" s="32">
        <f>'FS Desroches Daily'!J23</f>
        <v>599.99999999993395</v>
      </c>
      <c r="I21" s="31">
        <f>'FS Desroches Daily'!L23</f>
        <v>1600.0000000000459</v>
      </c>
      <c r="J21" s="32">
        <f>'FS Desroches Daily'!N23</f>
        <v>299.99999999996697</v>
      </c>
      <c r="K21" s="13">
        <f>'FS Desroches Daily'!P23</f>
        <v>1</v>
      </c>
      <c r="L21" s="31">
        <f>'FS Desroches Daily'!R23</f>
        <v>2</v>
      </c>
      <c r="M21" s="31">
        <f>'FS Desroches Daily'!T23</f>
        <v>110.40000000002328</v>
      </c>
      <c r="N21" s="31">
        <f>'FS Desroches Daily'!V23</f>
        <v>61.5</v>
      </c>
      <c r="O21" s="31">
        <f>'FS Desroches Daily'!X23</f>
        <v>80.000000000040927</v>
      </c>
      <c r="P21" s="31">
        <f>'FS Desroches Daily'!Z23</f>
        <v>299.99999999974489</v>
      </c>
      <c r="Q21" s="31">
        <f>'FS Desroches Daily'!AB23</f>
        <v>40.000000000020464</v>
      </c>
      <c r="R21" s="31">
        <f>'FS Desroches Daily'!AD23</f>
        <v>70.000000000050022</v>
      </c>
      <c r="S21" s="31">
        <f>'FS Desroches Daily'!AF23</f>
        <v>139.99999999998636</v>
      </c>
      <c r="T21" s="31">
        <f>'FS Desroches Daily'!AH23</f>
        <v>1.0999999999999091</v>
      </c>
      <c r="U21" s="35">
        <f>'FS Desroches Daily'!AJ23</f>
        <v>169.99999999995907</v>
      </c>
      <c r="V21" s="35">
        <f>'FS Desroches Daily'!AL23</f>
        <v>119.99999999997613</v>
      </c>
      <c r="W21" s="35">
        <f>'FS Desroches Daily'!AN23</f>
        <v>50.000000000011369</v>
      </c>
      <c r="X21" s="35">
        <f>'FS Desroches Daily'!AP23</f>
        <v>20.000000000010232</v>
      </c>
      <c r="Y21" s="35">
        <f>'FS Desroches Daily'!AR23</f>
        <v>20.000000000010232</v>
      </c>
      <c r="Z21" s="35">
        <f>'FS Desroches Daily'!AT23</f>
        <v>9.9999999999909051</v>
      </c>
      <c r="AA21" s="35">
        <f>'FS Desroches Daily'!AT23</f>
        <v>9.9999999999909051</v>
      </c>
      <c r="AB21" s="35">
        <f>'FS Desroches Daily'!AV23</f>
        <v>9.9999999999909051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19.99999999998181</v>
      </c>
      <c r="AF21" s="31">
        <f>'FS Desroches Daily'!BF23</f>
        <v>22</v>
      </c>
      <c r="AG21" s="32">
        <f>'FS Desroches Daily'!BH23</f>
        <v>9.9999999999909051</v>
      </c>
      <c r="AH21" s="32">
        <f>'FS Desroches Daily'!BJ23</f>
        <v>9.9999999999909051</v>
      </c>
      <c r="AI21" s="32">
        <f>'FS Desroches Daily'!BL23</f>
        <v>0</v>
      </c>
      <c r="AJ21" s="32">
        <f>'FS Desroches Daily'!BN23</f>
        <v>10.000000000019327</v>
      </c>
      <c r="AK21" s="32">
        <f>'FS Desroches Daily'!BP23</f>
        <v>20.000000000038654</v>
      </c>
      <c r="AL21" s="32">
        <f>'FS Desroches Daily'!BR23</f>
        <v>10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10.000000000019327</v>
      </c>
      <c r="AP21" s="32">
        <f>'FS Desroches Daily'!BZ23</f>
        <v>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61.599999999998545</v>
      </c>
      <c r="AU21" s="31">
        <f>'FS Desroches Daily'!CJ23</f>
        <v>181</v>
      </c>
      <c r="AV21" s="31">
        <f>'FS Desroches Daily'!CL23</f>
        <v>279.99999999997272</v>
      </c>
      <c r="AW21" s="31">
        <f>'FS Desroches Daily'!CM23</f>
        <v>19.5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800.00000000013392</v>
      </c>
      <c r="F22" s="32">
        <f>'FS Desroches Daily'!F24</f>
        <v>499.99999999972289</v>
      </c>
      <c r="G22" s="31">
        <f>'FS Desroches Daily'!H24</f>
        <v>1300.0000000000789</v>
      </c>
      <c r="H22" s="32">
        <f>'FS Desroches Daily'!J24</f>
        <v>700.00000000014495</v>
      </c>
      <c r="I22" s="31">
        <f>'FS Desroches Daily'!L24</f>
        <v>1700.0000000000348</v>
      </c>
      <c r="J22" s="32">
        <f>'FS Desroches Daily'!N24</f>
        <v>399.99999999995595</v>
      </c>
      <c r="K22" s="13">
        <f>'FS Desroches Daily'!P24</f>
        <v>1</v>
      </c>
      <c r="L22" s="31">
        <f>'FS Desroches Daily'!R24</f>
        <v>3</v>
      </c>
      <c r="M22" s="31">
        <f>'FS Desroches Daily'!T24</f>
        <v>172</v>
      </c>
      <c r="N22" s="31">
        <f>'FS Desroches Daily'!V24</f>
        <v>70.799999999988358</v>
      </c>
      <c r="O22" s="31">
        <f>'FS Desroches Daily'!X24</f>
        <v>79.999999999984084</v>
      </c>
      <c r="P22" s="31">
        <f>'FS Desroches Daily'!Z24</f>
        <v>300.000000000189</v>
      </c>
      <c r="Q22" s="31">
        <f>'FS Desroches Daily'!AB24</f>
        <v>49.999999999954525</v>
      </c>
      <c r="R22" s="31">
        <f>'FS Desroches Daily'!AD24</f>
        <v>69.999999999993179</v>
      </c>
      <c r="S22" s="31">
        <f>'FS Desroches Daily'!AF24</f>
        <v>150.00000000003411</v>
      </c>
      <c r="T22" s="31">
        <f>'FS Desroches Daily'!AH24</f>
        <v>1.2999999999999545</v>
      </c>
      <c r="U22" s="35">
        <f>'FS Desroches Daily'!AJ24</f>
        <v>189.99999999999773</v>
      </c>
      <c r="V22" s="35">
        <f>'FS Desroches Daily'!AL24</f>
        <v>130.00000000002387</v>
      </c>
      <c r="W22" s="35">
        <f>'FS Desroches Daily'!AN24</f>
        <v>90.000000000003411</v>
      </c>
      <c r="X22" s="35">
        <f>'FS Desroches Daily'!AP24</f>
        <v>60.000000000002274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12</v>
      </c>
      <c r="AG22" s="32">
        <f>'FS Desroches Daily'!BH24</f>
        <v>9.9999999999909051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9.9999999999909051</v>
      </c>
      <c r="AK22" s="32">
        <f>'FS Desroches Daily'!BP24</f>
        <v>9.9999999999909051</v>
      </c>
      <c r="AL22" s="32">
        <f>'FS Desroches Daily'!BR24</f>
        <v>11</v>
      </c>
      <c r="AM22" s="32">
        <f>'FS Desroches Daily'!BT24</f>
        <v>0</v>
      </c>
      <c r="AN22" s="32">
        <f>'FS Desroches Daily'!BV24</f>
        <v>22</v>
      </c>
      <c r="AO22" s="32">
        <f>'FS Desroches Daily'!BX24</f>
        <v>9.9999999999909051</v>
      </c>
      <c r="AP22" s="32">
        <f>'FS Desroches Daily'!BZ24</f>
        <v>10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35.80000000000291</v>
      </c>
      <c r="AU22" s="31">
        <f>'FS Desroches Daily'!CJ24</f>
        <v>187</v>
      </c>
      <c r="AV22" s="31">
        <f>'FS Desroches Daily'!CL24</f>
        <v>289.99999999996362</v>
      </c>
      <c r="AW22" s="31">
        <f>'FS Desroches Daily'!CM24</f>
        <v>14.100000000000023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699.99999999992292</v>
      </c>
      <c r="F23" s="32">
        <f>'FS Desroches Daily'!F25</f>
        <v>500.00000000016701</v>
      </c>
      <c r="G23" s="31">
        <f>'FS Desroches Daily'!H25</f>
        <v>1299.9999999996348</v>
      </c>
      <c r="H23" s="32">
        <f>'FS Desroches Daily'!J25</f>
        <v>699.99999999992292</v>
      </c>
      <c r="I23" s="31">
        <f>'FS Desroches Daily'!L25</f>
        <v>1599.9999999998238</v>
      </c>
      <c r="J23" s="32">
        <f>'FS Desroches Daily'!N25</f>
        <v>500.00000000016701</v>
      </c>
      <c r="K23" s="13">
        <f>'FS Desroches Daily'!P25</f>
        <v>0</v>
      </c>
      <c r="L23" s="31">
        <f>'FS Desroches Daily'!R25</f>
        <v>3</v>
      </c>
      <c r="M23" s="31">
        <f>'FS Desroches Daily'!T25</f>
        <v>174.90000000002328</v>
      </c>
      <c r="N23" s="31">
        <f>'FS Desroches Daily'!V25</f>
        <v>56.100000000034925</v>
      </c>
      <c r="O23" s="31">
        <f>'FS Desroches Daily'!X25</f>
        <v>79.999999999984084</v>
      </c>
      <c r="P23" s="31">
        <f>'FS Desroches Daily'!Z25</f>
        <v>299.99999999974489</v>
      </c>
      <c r="Q23" s="31">
        <f>'FS Desroches Daily'!AB25</f>
        <v>50.000000000011369</v>
      </c>
      <c r="R23" s="31">
        <f>'FS Desroches Daily'!AD25</f>
        <v>139.99999999998636</v>
      </c>
      <c r="S23" s="31">
        <f>'FS Desroches Daily'!AF25</f>
        <v>180.00000000000682</v>
      </c>
      <c r="T23" s="31">
        <f>'FS Desroches Daily'!AH25</f>
        <v>1.4000000000000909</v>
      </c>
      <c r="U23" s="35">
        <f>'FS Desroches Daily'!AJ25</f>
        <v>189.99999999999773</v>
      </c>
      <c r="V23" s="35">
        <f>'FS Desroches Daily'!AL25</f>
        <v>129.99999999999545</v>
      </c>
      <c r="W23" s="35">
        <f>'FS Desroches Daily'!AN25</f>
        <v>69.999999999993179</v>
      </c>
      <c r="X23" s="35">
        <f>'FS Desroches Daily'!AP25</f>
        <v>60.000000000002274</v>
      </c>
      <c r="Y23" s="35">
        <f>'FS Desroches Daily'!AR25</f>
        <v>9.9999999999909051</v>
      </c>
      <c r="Z23" s="35">
        <f>'FS Desroches Daily'!AT25</f>
        <v>10.000000000047748</v>
      </c>
      <c r="AA23" s="35">
        <f>'FS Desroches Daily'!AT25</f>
        <v>10.000000000047748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9.9999999999909051</v>
      </c>
      <c r="AE23" s="35">
        <f>'FS Desroches Daily'!BD25</f>
        <v>19.99999999998181</v>
      </c>
      <c r="AF23" s="31">
        <f>'FS Desroches Daily'!BF25</f>
        <v>11</v>
      </c>
      <c r="AG23" s="32">
        <f>'FS Desroches Daily'!BH25</f>
        <v>9.9999999999909051</v>
      </c>
      <c r="AH23" s="32">
        <f>'FS Desroches Daily'!BJ25</f>
        <v>10.000000000047748</v>
      </c>
      <c r="AI23" s="32">
        <f>'FS Desroches Daily'!BL25</f>
        <v>0</v>
      </c>
      <c r="AJ23" s="32">
        <f>'FS Desroches Daily'!BN25</f>
        <v>20.000000000010232</v>
      </c>
      <c r="AK23" s="32">
        <f>'FS Desroches Daily'!BP25</f>
        <v>19.99999999998181</v>
      </c>
      <c r="AL23" s="32">
        <f>'FS Desroches Daily'!BR25</f>
        <v>12</v>
      </c>
      <c r="AM23" s="32">
        <f>'FS Desroches Daily'!BT25</f>
        <v>0</v>
      </c>
      <c r="AN23" s="32">
        <f>'FS Desroches Daily'!BV25</f>
        <v>24</v>
      </c>
      <c r="AO23" s="32">
        <f>'FS Desroches Daily'!BX25</f>
        <v>20.000000000010232</v>
      </c>
      <c r="AP23" s="32">
        <f>'FS Desroches Daily'!BZ25</f>
        <v>10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53.19999999999709</v>
      </c>
      <c r="AU23" s="31">
        <f>'FS Desroches Daily'!CJ25</f>
        <v>186</v>
      </c>
      <c r="AV23" s="31">
        <f>'FS Desroches Daily'!CL25</f>
        <v>320.00000000005002</v>
      </c>
      <c r="AW23" s="31">
        <f>'FS Desroches Daily'!CM25</f>
        <v>14.299999999999983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900.0000000001229</v>
      </c>
      <c r="F24" s="32">
        <f>'FS Desroches Daily'!F26</f>
        <v>500.00000000016701</v>
      </c>
      <c r="G24" s="31">
        <f>'FS Desroches Daily'!H26</f>
        <v>1600.0000000002678</v>
      </c>
      <c r="H24" s="32">
        <f>'FS Desroches Daily'!J26</f>
        <v>699.99999999992292</v>
      </c>
      <c r="I24" s="31">
        <f>'FS Desroches Daily'!L26</f>
        <v>1500.0000000000568</v>
      </c>
      <c r="J24" s="32">
        <f>'FS Desroches Daily'!N26</f>
        <v>399.99999999995595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369.5</v>
      </c>
      <c r="N24" s="31">
        <f>'FS Desroches Daily'!V26</f>
        <v>152.79999999998836</v>
      </c>
      <c r="O24" s="31">
        <f>'FS Desroches Daily'!X26</f>
        <v>69.999999999993179</v>
      </c>
      <c r="P24" s="31">
        <f>'FS Desroches Daily'!Z26</f>
        <v>400.00000000040006</v>
      </c>
      <c r="Q24" s="31">
        <f>'FS Desroches Daily'!AB26</f>
        <v>50.000000000011369</v>
      </c>
      <c r="R24" s="31">
        <f>'FS Desroches Daily'!AD26</f>
        <v>89.999999999974989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240.00000000000909</v>
      </c>
      <c r="V24" s="35">
        <f>'FS Desroches Daily'!AL26</f>
        <v>90.000000000003411</v>
      </c>
      <c r="W24" s="35">
        <f>'FS Desroches Daily'!AN26</f>
        <v>120.00000000000455</v>
      </c>
      <c r="X24" s="35">
        <f>'FS Desroches Daily'!AP26</f>
        <v>60.000000000002274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10.000000000019327</v>
      </c>
      <c r="AF24" s="31">
        <f>'FS Desroches Daily'!BF26</f>
        <v>16</v>
      </c>
      <c r="AG24" s="32">
        <f>'FS Desroches Daily'!BH26</f>
        <v>10.000000000019327</v>
      </c>
      <c r="AH24" s="32">
        <f>'FS Desroches Daily'!BJ26</f>
        <v>19.99999999998181</v>
      </c>
      <c r="AI24" s="32">
        <f>'FS Desroches Daily'!BL26</f>
        <v>0</v>
      </c>
      <c r="AJ24" s="32">
        <f>'FS Desroches Daily'!BN26</f>
        <v>9.9999999999909051</v>
      </c>
      <c r="AK24" s="32">
        <f>'FS Desroches Daily'!BP26</f>
        <v>19.99999999998181</v>
      </c>
      <c r="AL24" s="32">
        <f>'FS Desroches Daily'!BR26</f>
        <v>11</v>
      </c>
      <c r="AM24" s="32">
        <f>'FS Desroches Daily'!BT26</f>
        <v>10.000000000019327</v>
      </c>
      <c r="AN24" s="32">
        <f>'FS Desroches Daily'!BV26</f>
        <v>24</v>
      </c>
      <c r="AO24" s="32">
        <f>'FS Desroches Daily'!BX26</f>
        <v>9.9999999999909051</v>
      </c>
      <c r="AP24" s="32">
        <f>'FS Desroches Daily'!BZ26</f>
        <v>10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17.80000000000291</v>
      </c>
      <c r="AU24" s="31">
        <f>'FS Desroches Daily'!CJ26</f>
        <v>186</v>
      </c>
      <c r="AV24" s="31">
        <f>'FS Desroches Daily'!CL26</f>
        <v>289.99999999996362</v>
      </c>
      <c r="AW24" s="31">
        <f>'FS Desroches Daily'!CM26</f>
        <v>22.700000000000017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699.99999999992292</v>
      </c>
      <c r="F25" s="32">
        <f>'FS Desroches Daily'!F27</f>
        <v>399.99999999995595</v>
      </c>
      <c r="G25" s="31">
        <f>'FS Desroches Daily'!H27</f>
        <v>1399.9999999998458</v>
      </c>
      <c r="H25" s="32">
        <f>'FS Desroches Daily'!J27</f>
        <v>600.00000000015598</v>
      </c>
      <c r="I25" s="31">
        <f>'FS Desroches Daily'!L27</f>
        <v>1800.0000000000239</v>
      </c>
      <c r="J25" s="32">
        <f>'FS Desroches Daily'!N27</f>
        <v>299.99999999996697</v>
      </c>
      <c r="K25" s="13">
        <f>'FS Desroches Daily'!P27</f>
        <v>0</v>
      </c>
      <c r="L25" s="31">
        <f>'FS Desroches Daily'!R27</f>
        <v>2</v>
      </c>
      <c r="M25" s="31">
        <f>'FS Desroches Daily'!T27</f>
        <v>178.40000000002328</v>
      </c>
      <c r="N25" s="31">
        <f>'FS Desroches Daily'!V27</f>
        <v>78.900000000023283</v>
      </c>
      <c r="O25" s="31">
        <f>'FS Desroches Daily'!X27</f>
        <v>60.000000000002274</v>
      </c>
      <c r="P25" s="31">
        <f>'FS Desroches Daily'!Z27</f>
        <v>199.99999999997797</v>
      </c>
      <c r="Q25" s="31">
        <f>'FS Desroches Daily'!AB27</f>
        <v>40.000000000020464</v>
      </c>
      <c r="R25" s="31">
        <f>'FS Desroches Daily'!AD27</f>
        <v>80.000000000040927</v>
      </c>
      <c r="S25" s="31">
        <f>'FS Desroches Daily'!AF27</f>
        <v>139.99999999998636</v>
      </c>
      <c r="T25" s="31">
        <f>'FS Desroches Daily'!AH27</f>
        <v>1.5</v>
      </c>
      <c r="U25" s="35">
        <f>'FS Desroches Daily'!AJ27</f>
        <v>210.00000000003638</v>
      </c>
      <c r="V25" s="35">
        <f>'FS Desroches Daily'!AL27</f>
        <v>79.999999999984084</v>
      </c>
      <c r="W25" s="35">
        <f>'FS Desroches Daily'!AN27</f>
        <v>79.999999999984084</v>
      </c>
      <c r="X25" s="35">
        <f>'FS Desroches Daily'!AP27</f>
        <v>49.999999999982947</v>
      </c>
      <c r="Y25" s="35">
        <f>'FS Desroches Daily'!AR27</f>
        <v>20.000000000010232</v>
      </c>
      <c r="Z25" s="35">
        <f>'FS Desroches Daily'!AT27</f>
        <v>19.99999999998181</v>
      </c>
      <c r="AA25" s="35">
        <f>'FS Desroches Daily'!AT27</f>
        <v>19.99999999998181</v>
      </c>
      <c r="AB25" s="35">
        <f>'FS Desroches Daily'!AV27</f>
        <v>9.9999999999909051</v>
      </c>
      <c r="AC25" s="35">
        <f>'FS Desroches Daily'!AZ27</f>
        <v>9.9999999999909051</v>
      </c>
      <c r="AD25" s="35">
        <f>'FS Desroches Daily'!BB27</f>
        <v>9.9999999999909051</v>
      </c>
      <c r="AE25" s="35">
        <f>'FS Desroches Daily'!BD27</f>
        <v>19.99999999998181</v>
      </c>
      <c r="AF25" s="31">
        <f>'FS Desroches Daily'!BF27</f>
        <v>32</v>
      </c>
      <c r="AG25" s="32">
        <f>'FS Desroches Daily'!BH27</f>
        <v>0</v>
      </c>
      <c r="AH25" s="32">
        <f>'FS Desroches Daily'!BJ27</f>
        <v>9.9999999999909051</v>
      </c>
      <c r="AI25" s="32">
        <f>'FS Desroches Daily'!BL27</f>
        <v>9.9999999999909051</v>
      </c>
      <c r="AJ25" s="32">
        <f>'FS Desroches Daily'!BN27</f>
        <v>9.9999999999909051</v>
      </c>
      <c r="AK25" s="32">
        <f>'FS Desroches Daily'!BP27</f>
        <v>20.000000000038654</v>
      </c>
      <c r="AL25" s="32">
        <f>'FS Desroches Daily'!BR27</f>
        <v>9</v>
      </c>
      <c r="AM25" s="32">
        <f>'FS Desroches Daily'!BT27</f>
        <v>0</v>
      </c>
      <c r="AN25" s="32">
        <f>'FS Desroches Daily'!BV27</f>
        <v>20</v>
      </c>
      <c r="AO25" s="32">
        <f>'FS Desroches Daily'!BX27</f>
        <v>9.9999999999909051</v>
      </c>
      <c r="AP25" s="32">
        <f>'FS Desroches Daily'!BZ27</f>
        <v>8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42.599999999998545</v>
      </c>
      <c r="AU25" s="31">
        <f>'FS Desroches Daily'!CJ27</f>
        <v>182</v>
      </c>
      <c r="AV25" s="31">
        <f>'FS Desroches Daily'!CL27</f>
        <v>279.99999999997272</v>
      </c>
      <c r="AW25" s="31">
        <f>'FS Desroches Daily'!CM27</f>
        <v>14.599999999999994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 t="str">
        <f>'FS Desroches Daily'!P28</f>
        <v/>
      </c>
      <c r="L26" s="31" t="str">
        <f>'FS Desroches Daily'!R28</f>
        <v/>
      </c>
      <c r="M26" s="31" t="str">
        <f>'FS Desroches Daily'!T28</f>
        <v/>
      </c>
      <c r="N26" s="31" t="str">
        <f>'FS Desroches Daily'!V28</f>
        <v/>
      </c>
      <c r="O26" s="31" t="str">
        <f>'FS Desroches Daily'!X28</f>
        <v/>
      </c>
      <c r="P26" s="31" t="str">
        <f>'FS Desroches Daily'!Z28</f>
        <v/>
      </c>
      <c r="Q26" s="31" t="str">
        <f>'FS Desroches Daily'!AB28</f>
        <v/>
      </c>
      <c r="R26" s="31" t="str">
        <f>'FS Desroches Daily'!AD28</f>
        <v/>
      </c>
      <c r="S26" s="31" t="str">
        <f>'FS Desroches Daily'!AF28</f>
        <v/>
      </c>
      <c r="T26" s="31" t="str">
        <f>'FS Desroches Daily'!AH28</f>
        <v/>
      </c>
      <c r="U26" s="35" t="str">
        <f>'FS Desroches Daily'!AJ28</f>
        <v/>
      </c>
      <c r="V26" s="35" t="str">
        <f>'FS Desroches Daily'!AL28</f>
        <v/>
      </c>
      <c r="W26" s="35" t="str">
        <f>'FS Desroches Daily'!AN28</f>
        <v/>
      </c>
      <c r="X26" s="35" t="str">
        <f>'FS Desroches Daily'!AP28</f>
        <v/>
      </c>
      <c r="Y26" s="35" t="str">
        <f>'FS Desroches Daily'!AR28</f>
        <v/>
      </c>
      <c r="Z26" s="35" t="str">
        <f>'FS Desroches Daily'!AT28</f>
        <v/>
      </c>
      <c r="AA26" s="35" t="str">
        <f>'FS Desroches Daily'!AT28</f>
        <v/>
      </c>
      <c r="AB26" s="35" t="str">
        <f>'FS Desroches Daily'!AV28</f>
        <v/>
      </c>
      <c r="AC26" s="35" t="str">
        <f>'FS Desroches Daily'!AZ28</f>
        <v/>
      </c>
      <c r="AD26" s="35" t="str">
        <f>'FS Desroches Daily'!BB28</f>
        <v/>
      </c>
      <c r="AE26" s="35" t="str">
        <f>'FS Desroches Daily'!BD28</f>
        <v/>
      </c>
      <c r="AF26" s="31" t="str">
        <f>'FS Desroches Daily'!BF28</f>
        <v/>
      </c>
      <c r="AG26" s="32" t="str">
        <f>'FS Desroches Daily'!BH28</f>
        <v/>
      </c>
      <c r="AH26" s="32" t="str">
        <f>'FS Desroches Daily'!BJ28</f>
        <v/>
      </c>
      <c r="AI26" s="32" t="str">
        <f>'FS Desroches Daily'!BL28</f>
        <v/>
      </c>
      <c r="AJ26" s="32" t="str">
        <f>'FS Desroches Daily'!BN28</f>
        <v/>
      </c>
      <c r="AK26" s="32" t="str">
        <f>'FS Desroches Daily'!BP28</f>
        <v/>
      </c>
      <c r="AL26" s="32" t="str">
        <f>'FS Desroches Daily'!BR28</f>
        <v/>
      </c>
      <c r="AM26" s="32" t="str">
        <f>'FS Desroches Daily'!BT28</f>
        <v/>
      </c>
      <c r="AN26" s="32" t="str">
        <f>'FS Desroches Daily'!BV28</f>
        <v/>
      </c>
      <c r="AO26" s="32" t="str">
        <f>'FS Desroches Daily'!BX28</f>
        <v/>
      </c>
      <c r="AP26" s="32" t="str">
        <f>'FS Desroches Daily'!BZ28</f>
        <v/>
      </c>
      <c r="AQ26" s="31" t="str">
        <f>'FS Desroches Daily'!CB28</f>
        <v/>
      </c>
      <c r="AR26" s="31" t="str">
        <f>'FS Desroches Daily'!CD28</f>
        <v/>
      </c>
      <c r="AS26" s="31" t="str">
        <f>'FS Desroches Daily'!CF28</f>
        <v/>
      </c>
      <c r="AT26" s="31" t="str">
        <f>'FS Desroches Daily'!CH28</f>
        <v/>
      </c>
      <c r="AU26" s="31" t="str">
        <f>'FS Desroches Daily'!CJ28</f>
        <v/>
      </c>
      <c r="AV26" s="31" t="str">
        <f>'FS Desroches Daily'!CL28</f>
        <v/>
      </c>
      <c r="AW26" s="31" t="e">
        <f>'FS Desroches Daily'!CM28</f>
        <v>#VALUE!</v>
      </c>
      <c r="AX26" s="31" t="str">
        <f>IF(LPG!F33-LPG!F32&lt;0,"0",(LPG!F33-LPG!F32)*1.8315)</f>
        <v>0</v>
      </c>
      <c r="AY26" s="31" t="str">
        <f>IF(LPG!H33-LPG!H32&lt;0,"0",(LPG!H33-LPG!H32)*1.8315)</f>
        <v>0</v>
      </c>
      <c r="AZ26" s="31" t="str">
        <f>IF(LPG!J33-LPG!J32&lt;0,"0",(LPG!J33-LPG!J32)*1.8315)</f>
        <v>0</v>
      </c>
      <c r="BA26" s="31" t="str">
        <f>IF(LPG!M33-LPG!M32&lt;0,"0",(LPG!M33-LPG!M32)*1.8315)</f>
        <v>0</v>
      </c>
      <c r="BB26" s="31" t="str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19200.000000000116</v>
      </c>
      <c r="F33" s="17">
        <f t="shared" ref="F33:BC33" si="1">SUM(F2:F32)</f>
        <v>12700.00000000016</v>
      </c>
      <c r="G33" s="17">
        <f t="shared" si="1"/>
        <v>35199.999999999687</v>
      </c>
      <c r="H33" s="17">
        <f t="shared" si="1"/>
        <v>17500.000000000076</v>
      </c>
      <c r="I33" s="17">
        <f t="shared" si="1"/>
        <v>39900.000000000058</v>
      </c>
      <c r="J33" s="17">
        <f t="shared" si="1"/>
        <v>9800.0000000000346</v>
      </c>
      <c r="K33" s="17">
        <f t="shared" si="1"/>
        <v>16</v>
      </c>
      <c r="L33" s="17">
        <f t="shared" si="1"/>
        <v>66</v>
      </c>
      <c r="M33" s="17">
        <f t="shared" si="1"/>
        <v>4316.8000000000466</v>
      </c>
      <c r="N33" s="17">
        <f t="shared" si="1"/>
        <v>1853.2000000000116</v>
      </c>
      <c r="O33" s="17">
        <f t="shared" si="1"/>
        <v>1819.9999999999932</v>
      </c>
      <c r="P33" s="17">
        <f t="shared" si="1"/>
        <v>8399.9999999999654</v>
      </c>
      <c r="Q33" s="17">
        <f t="shared" si="1"/>
        <v>1280.0000000000296</v>
      </c>
      <c r="R33" s="17">
        <f t="shared" si="1"/>
        <v>2330.0000000000409</v>
      </c>
      <c r="S33" s="17">
        <f t="shared" si="1"/>
        <v>3699.9999999999886</v>
      </c>
      <c r="T33" s="17">
        <f t="shared" si="1"/>
        <v>29.099999999999909</v>
      </c>
      <c r="U33" s="35">
        <f t="shared" si="1"/>
        <v>8810.0000000000055</v>
      </c>
      <c r="V33" s="35">
        <f t="shared" si="1"/>
        <v>1210.000000000008</v>
      </c>
      <c r="W33" s="35">
        <f t="shared" si="1"/>
        <v>1039.999999999992</v>
      </c>
      <c r="X33" s="35">
        <f t="shared" si="1"/>
        <v>750</v>
      </c>
      <c r="Y33" s="35">
        <f t="shared" si="1"/>
        <v>500</v>
      </c>
      <c r="Z33" s="35">
        <f t="shared" si="1"/>
        <v>706.31999999999766</v>
      </c>
      <c r="AA33" s="35">
        <f t="shared" si="1"/>
        <v>706.31999999999766</v>
      </c>
      <c r="AB33" s="35">
        <f t="shared" si="1"/>
        <v>430.00000000000682</v>
      </c>
      <c r="AC33" s="35">
        <f t="shared" si="1"/>
        <v>430.00000000000682</v>
      </c>
      <c r="AD33" s="35">
        <f t="shared" si="1"/>
        <v>340.00000000003183</v>
      </c>
      <c r="AE33" s="35">
        <f t="shared" si="1"/>
        <v>419.99999999998749</v>
      </c>
      <c r="AF33" s="17">
        <f t="shared" si="1"/>
        <v>479</v>
      </c>
      <c r="AG33" s="32">
        <f t="shared" si="1"/>
        <v>280.00000000000114</v>
      </c>
      <c r="AH33" s="32">
        <f t="shared" si="1"/>
        <v>409.99999999996817</v>
      </c>
      <c r="AI33" s="32">
        <f t="shared" si="1"/>
        <v>150.00000000000568</v>
      </c>
      <c r="AJ33" s="32">
        <f t="shared" si="1"/>
        <v>449.99999999998863</v>
      </c>
      <c r="AK33" s="32">
        <f t="shared" si="1"/>
        <v>520.00000000003865</v>
      </c>
      <c r="AL33" s="32">
        <f t="shared" si="1"/>
        <v>284</v>
      </c>
      <c r="AM33" s="32">
        <f t="shared" si="1"/>
        <v>120.00000000000455</v>
      </c>
      <c r="AN33" s="32">
        <f t="shared" si="1"/>
        <v>386</v>
      </c>
      <c r="AO33" s="32">
        <f t="shared" si="1"/>
        <v>349.99999999999432</v>
      </c>
      <c r="AP33" s="32">
        <f t="shared" si="1"/>
        <v>234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989.59999999999854</v>
      </c>
      <c r="AU33" s="17">
        <f t="shared" si="1"/>
        <v>4604</v>
      </c>
      <c r="AV33" s="17">
        <f t="shared" si="1"/>
        <v>8539.9999999999636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122.71049999999998</v>
      </c>
      <c r="BC33" s="17">
        <f t="shared" si="1"/>
        <v>0</v>
      </c>
    </row>
    <row r="35" spans="5:55" x14ac:dyDescent="0.25">
      <c r="E35" s="38">
        <f>E33/E37</f>
        <v>0.22446164277864925</v>
      </c>
      <c r="G35" s="29">
        <f>G33-M36</f>
        <v>29029.999999999629</v>
      </c>
      <c r="AE35" s="35">
        <f>SUM(U33:AE33)</f>
        <v>15342.640000000034</v>
      </c>
      <c r="AG35" s="32">
        <f>SUM(AG33:AP33)</f>
        <v>3184.0000000000009</v>
      </c>
    </row>
    <row r="36" spans="5:55" x14ac:dyDescent="0.25">
      <c r="G36" s="29">
        <f>G35-633*14</f>
        <v>20167.999999999629</v>
      </c>
      <c r="M36" s="29">
        <f>M33+N33</f>
        <v>6170.0000000000582</v>
      </c>
    </row>
    <row r="37" spans="5:55" x14ac:dyDescent="0.25">
      <c r="E37" s="17">
        <f>E33+F33+G33+H33+J33-633*14</f>
        <v>85538.000000000073</v>
      </c>
      <c r="G37" s="37">
        <f>M36/E37</f>
        <v>7.2131684163764087E-2</v>
      </c>
      <c r="M37" s="35">
        <f>AE35</f>
        <v>15342.640000000034</v>
      </c>
    </row>
    <row r="38" spans="5:55" x14ac:dyDescent="0.25">
      <c r="L38" s="27">
        <f>M38/E37</f>
        <v>3.7223222427459117E-2</v>
      </c>
      <c r="M38" s="29">
        <f>AG35</f>
        <v>3184.0000000000009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ySplit="1" topLeftCell="A9" activePane="bottomLeft" state="frozen"/>
      <selection pane="bottomLeft" activeCell="BE29" sqref="BE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79" t="s">
        <v>119</v>
      </c>
      <c r="X1" s="80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>
        <v>1.7447999999999999</v>
      </c>
      <c r="D20" s="64">
        <f t="shared" si="0"/>
        <v>599.99999999993395</v>
      </c>
      <c r="E20" s="58">
        <v>2.7370000000000001</v>
      </c>
      <c r="F20" s="64">
        <f t="shared" si="1"/>
        <v>500.00000000016701</v>
      </c>
      <c r="G20" s="58">
        <v>2.6246</v>
      </c>
      <c r="H20" s="64">
        <f t="shared" si="2"/>
        <v>1500.0000000000568</v>
      </c>
      <c r="I20" s="58">
        <v>1.2710999999999999</v>
      </c>
      <c r="J20" s="64">
        <f t="shared" si="3"/>
        <v>699.99999999992292</v>
      </c>
      <c r="K20" s="58">
        <v>1.9843</v>
      </c>
      <c r="L20" s="64">
        <f t="shared" si="4"/>
        <v>1800.0000000000239</v>
      </c>
      <c r="M20" s="58">
        <v>1.2211000000000001</v>
      </c>
      <c r="N20" s="64">
        <f t="shared" si="5"/>
        <v>400.00000000017798</v>
      </c>
      <c r="O20" s="58">
        <v>12607</v>
      </c>
      <c r="P20" s="67">
        <f t="shared" si="44"/>
        <v>0</v>
      </c>
      <c r="Q20" s="58">
        <v>5585</v>
      </c>
      <c r="R20" s="67">
        <f t="shared" si="6"/>
        <v>3</v>
      </c>
      <c r="S20" s="58">
        <v>839295.6</v>
      </c>
      <c r="T20" s="67">
        <f t="shared" si="7"/>
        <v>69</v>
      </c>
      <c r="U20" s="58">
        <v>342150.3</v>
      </c>
      <c r="V20" s="67">
        <f t="shared" si="8"/>
        <v>30.399999999965075</v>
      </c>
      <c r="W20" s="58">
        <v>335.8</v>
      </c>
      <c r="X20" s="65">
        <f t="shared" si="9"/>
        <v>79.999999999984084</v>
      </c>
      <c r="Y20" s="58">
        <v>2.4095</v>
      </c>
      <c r="Z20" s="65">
        <f t="shared" si="10"/>
        <v>300.000000000189</v>
      </c>
      <c r="AA20" s="58">
        <v>329.7</v>
      </c>
      <c r="AB20" s="65">
        <f t="shared" si="11"/>
        <v>50.000000000011369</v>
      </c>
      <c r="AC20" s="58">
        <v>313.23</v>
      </c>
      <c r="AD20" s="65">
        <f t="shared" si="12"/>
        <v>110.00000000001364</v>
      </c>
      <c r="AE20" s="58">
        <v>490.17</v>
      </c>
      <c r="AF20" s="65">
        <f t="shared" si="13"/>
        <v>160.00000000002501</v>
      </c>
      <c r="AG20" s="58">
        <v>1289.4000000000001</v>
      </c>
      <c r="AH20" s="67">
        <f t="shared" si="14"/>
        <v>1.1000000000001364</v>
      </c>
      <c r="AI20" s="58">
        <v>432.49</v>
      </c>
      <c r="AJ20" s="65">
        <f t="shared" si="15"/>
        <v>180.00000000000682</v>
      </c>
      <c r="AK20" s="58">
        <v>151.94999999999999</v>
      </c>
      <c r="AL20" s="65">
        <f t="shared" si="15"/>
        <v>39.999999999992042</v>
      </c>
      <c r="AM20" s="58">
        <v>151.5</v>
      </c>
      <c r="AN20" s="65">
        <f t="shared" si="15"/>
        <v>9.9999999999909051</v>
      </c>
      <c r="AO20" s="58">
        <v>147.84</v>
      </c>
      <c r="AP20" s="65">
        <f t="shared" si="15"/>
        <v>20.000000000010232</v>
      </c>
      <c r="AQ20" s="58">
        <v>218.88</v>
      </c>
      <c r="AR20" s="65">
        <f t="shared" si="16"/>
        <v>19.99999999998181</v>
      </c>
      <c r="AS20" s="58">
        <v>345.2</v>
      </c>
      <c r="AT20" s="65">
        <f t="shared" si="17"/>
        <v>19.99999999998181</v>
      </c>
      <c r="AU20" s="58">
        <v>266.32</v>
      </c>
      <c r="AV20" s="65">
        <f t="shared" si="18"/>
        <v>19.99999999998181</v>
      </c>
      <c r="AW20" s="58">
        <v>293.83999999999997</v>
      </c>
      <c r="AX20" s="65">
        <f t="shared" si="19"/>
        <v>19.99999999998181</v>
      </c>
      <c r="AY20" s="58">
        <v>345.13</v>
      </c>
      <c r="AZ20" s="65">
        <f t="shared" si="20"/>
        <v>19.99999999998181</v>
      </c>
      <c r="BA20" s="58">
        <v>364.88</v>
      </c>
      <c r="BB20" s="65">
        <f t="shared" si="21"/>
        <v>19.99999999998181</v>
      </c>
      <c r="BC20" s="58">
        <v>231.58</v>
      </c>
      <c r="BD20" s="65">
        <f t="shared" si="22"/>
        <v>20.000000000010232</v>
      </c>
      <c r="BE20" s="59">
        <v>29945</v>
      </c>
      <c r="BF20" s="67">
        <f t="shared" si="39"/>
        <v>20</v>
      </c>
      <c r="BG20" s="60">
        <v>225.34</v>
      </c>
      <c r="BH20" s="65">
        <f t="shared" si="23"/>
        <v>9.9999999999909051</v>
      </c>
      <c r="BI20" s="60">
        <v>283.23</v>
      </c>
      <c r="BJ20" s="65">
        <f t="shared" si="40"/>
        <v>9.9999999999909051</v>
      </c>
      <c r="BK20" s="60">
        <v>230.75</v>
      </c>
      <c r="BL20" s="65">
        <f t="shared" si="24"/>
        <v>0</v>
      </c>
      <c r="BM20" s="60">
        <v>214.3</v>
      </c>
      <c r="BN20" s="65">
        <f t="shared" si="25"/>
        <v>10.000000000019327</v>
      </c>
      <c r="BO20" s="60">
        <v>279.17</v>
      </c>
      <c r="BP20" s="65">
        <f t="shared" si="26"/>
        <v>20.000000000038654</v>
      </c>
      <c r="BQ20" s="60">
        <v>39212</v>
      </c>
      <c r="BR20" s="65">
        <f t="shared" si="27"/>
        <v>10</v>
      </c>
      <c r="BS20" s="60">
        <v>193.53</v>
      </c>
      <c r="BT20" s="65">
        <f t="shared" si="43"/>
        <v>9.9999999999909051</v>
      </c>
      <c r="BU20" s="60">
        <v>30439</v>
      </c>
      <c r="BV20" s="65">
        <f t="shared" si="29"/>
        <v>20</v>
      </c>
      <c r="BW20" s="60">
        <v>224.36</v>
      </c>
      <c r="BX20" s="65">
        <f t="shared" si="30"/>
        <v>20.000000000010232</v>
      </c>
      <c r="BY20" s="60">
        <v>49298</v>
      </c>
      <c r="BZ20" s="67">
        <f t="shared" si="31"/>
        <v>9</v>
      </c>
      <c r="CA20" s="60">
        <v>27508.400000000001</v>
      </c>
      <c r="CB20" s="67">
        <f t="shared" si="32"/>
        <v>0</v>
      </c>
      <c r="CC20" s="60">
        <v>11251.4</v>
      </c>
      <c r="CD20" s="67">
        <f t="shared" si="33"/>
        <v>0</v>
      </c>
      <c r="CE20" s="60">
        <v>5488.9</v>
      </c>
      <c r="CF20" s="67">
        <f t="shared" si="34"/>
        <v>0</v>
      </c>
      <c r="CG20" s="60">
        <v>47716.5</v>
      </c>
      <c r="CH20" s="67">
        <f t="shared" si="35"/>
        <v>40.400000000001455</v>
      </c>
      <c r="CI20" s="60">
        <v>865670</v>
      </c>
      <c r="CJ20" s="67">
        <f t="shared" si="36"/>
        <v>184</v>
      </c>
      <c r="CK20" s="60">
        <v>585.29</v>
      </c>
      <c r="CL20" s="64">
        <f t="shared" si="37"/>
        <v>409.99999999996817</v>
      </c>
      <c r="CM20" s="65">
        <f t="shared" si="41"/>
        <v>17.199999999999989</v>
      </c>
      <c r="CN20" s="62">
        <v>0</v>
      </c>
      <c r="CO20" s="62">
        <v>0</v>
      </c>
      <c r="CP20" s="68">
        <v>135.69999999999999</v>
      </c>
      <c r="CQ20" s="67">
        <f t="shared" si="38"/>
        <v>13.199999999999989</v>
      </c>
      <c r="CR20" s="68">
        <v>9769</v>
      </c>
      <c r="CS20" s="67">
        <f t="shared" si="38"/>
        <v>4</v>
      </c>
      <c r="CT20" s="75">
        <v>2199</v>
      </c>
      <c r="CU20" s="67">
        <f t="shared" si="38"/>
        <v>10</v>
      </c>
      <c r="CV20" s="68">
        <v>5536</v>
      </c>
      <c r="CW20" s="67">
        <f t="shared" si="38"/>
        <v>22</v>
      </c>
    </row>
    <row r="21" spans="1:101" ht="25.5" customHeight="1" thickBot="1" x14ac:dyDescent="0.45">
      <c r="A21" s="63">
        <v>44030</v>
      </c>
      <c r="B21" s="44"/>
      <c r="C21" s="58">
        <v>1.7454000000000001</v>
      </c>
      <c r="D21" s="64">
        <f t="shared" si="0"/>
        <v>600.00000000015598</v>
      </c>
      <c r="E21" s="58">
        <v>2.7374999999999998</v>
      </c>
      <c r="F21" s="64">
        <f t="shared" si="1"/>
        <v>499.99999999972289</v>
      </c>
      <c r="G21" s="58">
        <v>2.6259999999999999</v>
      </c>
      <c r="H21" s="64">
        <f t="shared" si="2"/>
        <v>1399.9999999998458</v>
      </c>
      <c r="I21" s="58">
        <v>1.2718</v>
      </c>
      <c r="J21" s="64">
        <f t="shared" si="3"/>
        <v>700.00000000014495</v>
      </c>
      <c r="K21" s="58">
        <v>1.9862</v>
      </c>
      <c r="L21" s="64">
        <f t="shared" si="4"/>
        <v>1900.0000000000127</v>
      </c>
      <c r="M21" s="58">
        <v>1.2215</v>
      </c>
      <c r="N21" s="64">
        <f t="shared" si="5"/>
        <v>399.99999999995595</v>
      </c>
      <c r="O21" s="58">
        <v>12607</v>
      </c>
      <c r="P21" s="67">
        <f t="shared" si="44"/>
        <v>0</v>
      </c>
      <c r="Q21" s="58">
        <v>5587</v>
      </c>
      <c r="R21" s="67">
        <f t="shared" si="6"/>
        <v>2</v>
      </c>
      <c r="S21" s="58">
        <v>839418.4</v>
      </c>
      <c r="T21" s="67">
        <f t="shared" si="7"/>
        <v>122.80000000004657</v>
      </c>
      <c r="U21" s="58">
        <v>342216.2</v>
      </c>
      <c r="V21" s="67">
        <f t="shared" si="8"/>
        <v>65.900000000023283</v>
      </c>
      <c r="W21" s="58">
        <v>335.89</v>
      </c>
      <c r="X21" s="65">
        <f t="shared" si="9"/>
        <v>89.999999999974989</v>
      </c>
      <c r="Y21" s="58">
        <v>2.4098999999999999</v>
      </c>
      <c r="Z21" s="65">
        <f t="shared" si="10"/>
        <v>399.99999999995595</v>
      </c>
      <c r="AA21" s="58">
        <v>329.76</v>
      </c>
      <c r="AB21" s="65">
        <f t="shared" si="11"/>
        <v>60.000000000002274</v>
      </c>
      <c r="AC21" s="58">
        <v>313.32</v>
      </c>
      <c r="AD21" s="65">
        <f t="shared" si="12"/>
        <v>89.999999999974989</v>
      </c>
      <c r="AE21" s="58">
        <v>490.33</v>
      </c>
      <c r="AF21" s="65">
        <f t="shared" si="13"/>
        <v>159.99999999996817</v>
      </c>
      <c r="AG21" s="58">
        <v>1290.5999999999999</v>
      </c>
      <c r="AH21" s="67">
        <f t="shared" si="14"/>
        <v>1.1999999999998181</v>
      </c>
      <c r="AI21" s="58">
        <v>432.68</v>
      </c>
      <c r="AJ21" s="65">
        <f t="shared" si="15"/>
        <v>189.99999999999773</v>
      </c>
      <c r="AK21" s="58">
        <v>152.02000000000001</v>
      </c>
      <c r="AL21" s="65">
        <f t="shared" si="15"/>
        <v>70.0000000000216</v>
      </c>
      <c r="AM21" s="58">
        <v>151.54</v>
      </c>
      <c r="AN21" s="65">
        <f t="shared" si="15"/>
        <v>39.999999999992042</v>
      </c>
      <c r="AO21" s="58">
        <v>147.87</v>
      </c>
      <c r="AP21" s="65">
        <f t="shared" si="15"/>
        <v>30.000000000001137</v>
      </c>
      <c r="AQ21" s="58">
        <v>218.9</v>
      </c>
      <c r="AR21" s="65">
        <f t="shared" si="16"/>
        <v>20.000000000010232</v>
      </c>
      <c r="AS21" s="58">
        <v>345.22</v>
      </c>
      <c r="AT21" s="65">
        <f t="shared" si="17"/>
        <v>20.000000000038654</v>
      </c>
      <c r="AU21" s="58">
        <v>266.33</v>
      </c>
      <c r="AV21" s="65">
        <f t="shared" si="18"/>
        <v>9.9999999999909051</v>
      </c>
      <c r="AW21" s="58">
        <v>293.86</v>
      </c>
      <c r="AX21" s="65">
        <f t="shared" si="19"/>
        <v>20.000000000038654</v>
      </c>
      <c r="AY21" s="58">
        <v>345.15</v>
      </c>
      <c r="AZ21" s="65">
        <f t="shared" si="20"/>
        <v>19.99999999998181</v>
      </c>
      <c r="BA21" s="58">
        <v>364.89</v>
      </c>
      <c r="BB21" s="65">
        <f t="shared" si="21"/>
        <v>9.9999999999909051</v>
      </c>
      <c r="BC21" s="58">
        <v>231.6</v>
      </c>
      <c r="BD21" s="65">
        <f t="shared" si="22"/>
        <v>19.99999999998181</v>
      </c>
      <c r="BE21" s="59">
        <v>29965</v>
      </c>
      <c r="BF21" s="67">
        <f t="shared" si="39"/>
        <v>20</v>
      </c>
      <c r="BG21" s="60">
        <v>225.35</v>
      </c>
      <c r="BH21" s="65">
        <f t="shared" si="23"/>
        <v>9.9999999999909051</v>
      </c>
      <c r="BI21" s="60">
        <v>283.24</v>
      </c>
      <c r="BJ21" s="65">
        <f t="shared" si="40"/>
        <v>9.9999999999909051</v>
      </c>
      <c r="BK21" s="60">
        <v>230.76</v>
      </c>
      <c r="BL21" s="65">
        <f t="shared" si="24"/>
        <v>9.9999999999909051</v>
      </c>
      <c r="BM21" s="60">
        <v>214.31</v>
      </c>
      <c r="BN21" s="65">
        <f t="shared" si="25"/>
        <v>9.9999999999909051</v>
      </c>
      <c r="BO21" s="60">
        <v>279.19</v>
      </c>
      <c r="BP21" s="65">
        <f t="shared" si="26"/>
        <v>19.99999999998181</v>
      </c>
      <c r="BQ21" s="60">
        <v>39223</v>
      </c>
      <c r="BR21" s="65">
        <f t="shared" si="27"/>
        <v>11</v>
      </c>
      <c r="BS21" s="60">
        <v>193.53</v>
      </c>
      <c r="BT21" s="65">
        <f t="shared" si="43"/>
        <v>0</v>
      </c>
      <c r="BU21" s="60">
        <v>30462</v>
      </c>
      <c r="BV21" s="65">
        <f t="shared" si="29"/>
        <v>23</v>
      </c>
      <c r="BW21" s="60">
        <v>224.38</v>
      </c>
      <c r="BX21" s="65">
        <f t="shared" si="30"/>
        <v>19.99999999998181</v>
      </c>
      <c r="BY21" s="60">
        <v>49312</v>
      </c>
      <c r="BZ21" s="67">
        <f t="shared" si="31"/>
        <v>14</v>
      </c>
      <c r="CA21" s="60">
        <v>27508.400000000001</v>
      </c>
      <c r="CB21" s="67">
        <f t="shared" si="32"/>
        <v>0</v>
      </c>
      <c r="CC21" s="60">
        <v>11251.4</v>
      </c>
      <c r="CD21" s="67">
        <f t="shared" si="33"/>
        <v>0</v>
      </c>
      <c r="CE21" s="60">
        <v>5488.9</v>
      </c>
      <c r="CF21" s="67">
        <f t="shared" si="34"/>
        <v>0</v>
      </c>
      <c r="CG21" s="60">
        <v>47754.1</v>
      </c>
      <c r="CH21" s="67">
        <f t="shared" si="35"/>
        <v>37.599999999998545</v>
      </c>
      <c r="CI21" s="60">
        <v>865867</v>
      </c>
      <c r="CJ21" s="67">
        <f t="shared" si="36"/>
        <v>197</v>
      </c>
      <c r="CK21" s="60">
        <v>585.64</v>
      </c>
      <c r="CL21" s="64">
        <f t="shared" si="37"/>
        <v>350.00000000002274</v>
      </c>
      <c r="CM21" s="65">
        <f t="shared" si="41"/>
        <v>15.900000000000006</v>
      </c>
      <c r="CN21" s="62">
        <v>0</v>
      </c>
      <c r="CO21" s="62">
        <v>0</v>
      </c>
      <c r="CP21" s="68">
        <v>145.6</v>
      </c>
      <c r="CQ21" s="67">
        <f t="shared" si="38"/>
        <v>9.9000000000000057</v>
      </c>
      <c r="CR21" s="68">
        <v>9775</v>
      </c>
      <c r="CS21" s="67">
        <f t="shared" si="38"/>
        <v>6</v>
      </c>
      <c r="CT21" s="75">
        <v>2212</v>
      </c>
      <c r="CU21" s="67">
        <f t="shared" si="38"/>
        <v>13</v>
      </c>
      <c r="CV21" s="68">
        <v>5559</v>
      </c>
      <c r="CW21" s="67">
        <f t="shared" si="38"/>
        <v>23</v>
      </c>
    </row>
    <row r="22" spans="1:101" ht="25.5" customHeight="1" thickBot="1" x14ac:dyDescent="0.45">
      <c r="A22" s="63">
        <v>44031</v>
      </c>
      <c r="B22" s="44"/>
      <c r="C22" s="58">
        <v>1.7459</v>
      </c>
      <c r="D22" s="64">
        <f t="shared" si="0"/>
        <v>499.99999999994492</v>
      </c>
      <c r="E22" s="58">
        <v>2.738</v>
      </c>
      <c r="F22" s="64">
        <f t="shared" si="1"/>
        <v>500.00000000016701</v>
      </c>
      <c r="G22" s="58">
        <v>2.6271</v>
      </c>
      <c r="H22" s="64">
        <f t="shared" si="2"/>
        <v>1100.000000000101</v>
      </c>
      <c r="I22" s="58">
        <v>1.2724</v>
      </c>
      <c r="J22" s="64">
        <f t="shared" si="3"/>
        <v>599.99999999993395</v>
      </c>
      <c r="K22" s="58">
        <v>1.9877</v>
      </c>
      <c r="L22" s="64">
        <f t="shared" si="4"/>
        <v>1500.0000000000568</v>
      </c>
      <c r="M22" s="58">
        <v>1.2219</v>
      </c>
      <c r="N22" s="64">
        <f t="shared" si="5"/>
        <v>399.99999999995595</v>
      </c>
      <c r="O22" s="58">
        <v>12609</v>
      </c>
      <c r="P22" s="67">
        <f t="shared" si="44"/>
        <v>2</v>
      </c>
      <c r="Q22" s="58">
        <v>5590</v>
      </c>
      <c r="R22" s="67">
        <f t="shared" si="6"/>
        <v>3</v>
      </c>
      <c r="S22" s="58">
        <v>839530.6</v>
      </c>
      <c r="T22" s="67">
        <f t="shared" si="7"/>
        <v>112.19999999995343</v>
      </c>
      <c r="U22" s="58">
        <v>342267.3</v>
      </c>
      <c r="V22" s="67">
        <f t="shared" si="8"/>
        <v>51.099999999976717</v>
      </c>
      <c r="W22" s="58">
        <v>335.96</v>
      </c>
      <c r="X22" s="65">
        <f t="shared" si="9"/>
        <v>69.999999999993179</v>
      </c>
      <c r="Y22" s="58">
        <v>2.4102000000000001</v>
      </c>
      <c r="Z22" s="65">
        <f t="shared" si="10"/>
        <v>300.000000000189</v>
      </c>
      <c r="AA22" s="58">
        <v>329.81</v>
      </c>
      <c r="AB22" s="65">
        <f t="shared" si="11"/>
        <v>50.000000000011369</v>
      </c>
      <c r="AC22" s="58">
        <v>313.39999999999998</v>
      </c>
      <c r="AD22" s="65">
        <f t="shared" si="12"/>
        <v>79.999999999984084</v>
      </c>
      <c r="AE22" s="58">
        <v>490.45</v>
      </c>
      <c r="AF22" s="65">
        <f t="shared" si="13"/>
        <v>120.00000000000455</v>
      </c>
      <c r="AG22" s="58">
        <v>1291.7</v>
      </c>
      <c r="AH22" s="67">
        <f t="shared" si="14"/>
        <v>1.1000000000001364</v>
      </c>
      <c r="AI22" s="58">
        <v>432.85</v>
      </c>
      <c r="AJ22" s="65">
        <f t="shared" si="15"/>
        <v>170.00000000001592</v>
      </c>
      <c r="AK22" s="58">
        <v>152.05000000000001</v>
      </c>
      <c r="AL22" s="65">
        <f t="shared" si="15"/>
        <v>30.000000000001137</v>
      </c>
      <c r="AM22" s="58">
        <v>151.57</v>
      </c>
      <c r="AN22" s="65">
        <f t="shared" si="15"/>
        <v>30.000000000001137</v>
      </c>
      <c r="AO22" s="58">
        <v>147.88999999999999</v>
      </c>
      <c r="AP22" s="65">
        <f t="shared" si="15"/>
        <v>19.99999999998181</v>
      </c>
      <c r="AQ22" s="58">
        <v>218.91</v>
      </c>
      <c r="AR22" s="65">
        <f t="shared" si="16"/>
        <v>9.9999999999909051</v>
      </c>
      <c r="AS22" s="58">
        <v>345.24</v>
      </c>
      <c r="AT22" s="65">
        <f t="shared" si="17"/>
        <v>19.99999999998181</v>
      </c>
      <c r="AU22" s="58">
        <v>266.35000000000002</v>
      </c>
      <c r="AV22" s="65">
        <f t="shared" si="18"/>
        <v>20.000000000038654</v>
      </c>
      <c r="AW22" s="58">
        <v>293.87</v>
      </c>
      <c r="AX22" s="65">
        <f t="shared" si="19"/>
        <v>9.9999999999909051</v>
      </c>
      <c r="AY22" s="58">
        <v>345.17</v>
      </c>
      <c r="AZ22" s="65">
        <f t="shared" si="20"/>
        <v>20.000000000038654</v>
      </c>
      <c r="BA22" s="58">
        <v>364.91</v>
      </c>
      <c r="BB22" s="65">
        <f t="shared" si="21"/>
        <v>20.000000000038654</v>
      </c>
      <c r="BC22" s="58">
        <v>231.61</v>
      </c>
      <c r="BD22" s="65">
        <f t="shared" si="22"/>
        <v>10.000000000019327</v>
      </c>
      <c r="BE22" s="59">
        <v>29987</v>
      </c>
      <c r="BF22" s="67">
        <f t="shared" si="39"/>
        <v>22</v>
      </c>
      <c r="BG22" s="60">
        <v>225.36</v>
      </c>
      <c r="BH22" s="65">
        <f t="shared" si="23"/>
        <v>10.000000000019327</v>
      </c>
      <c r="BI22" s="60">
        <v>283.25</v>
      </c>
      <c r="BJ22" s="65">
        <f t="shared" si="40"/>
        <v>9.9999999999909051</v>
      </c>
      <c r="BK22" s="60">
        <v>230.76</v>
      </c>
      <c r="BL22" s="65">
        <f t="shared" si="24"/>
        <v>0</v>
      </c>
      <c r="BM22" s="60">
        <v>214.32</v>
      </c>
      <c r="BN22" s="65">
        <f t="shared" si="25"/>
        <v>9.9999999999909051</v>
      </c>
      <c r="BO22" s="60">
        <v>279.2</v>
      </c>
      <c r="BP22" s="65">
        <f t="shared" si="26"/>
        <v>9.9999999999909051</v>
      </c>
      <c r="BQ22" s="60">
        <v>39232</v>
      </c>
      <c r="BR22" s="65">
        <f t="shared" si="27"/>
        <v>9</v>
      </c>
      <c r="BS22" s="60">
        <v>193.53</v>
      </c>
      <c r="BT22" s="65">
        <f t="shared" si="43"/>
        <v>0</v>
      </c>
      <c r="BU22" s="60">
        <v>30483</v>
      </c>
      <c r="BV22" s="65">
        <f t="shared" si="29"/>
        <v>21</v>
      </c>
      <c r="BW22" s="60">
        <v>224.39</v>
      </c>
      <c r="BX22" s="65">
        <f t="shared" si="30"/>
        <v>9.9999999999909051</v>
      </c>
      <c r="BY22" s="60">
        <v>49322</v>
      </c>
      <c r="BZ22" s="67">
        <f t="shared" si="31"/>
        <v>10</v>
      </c>
      <c r="CA22" s="60">
        <v>27508.400000000001</v>
      </c>
      <c r="CB22" s="67">
        <f t="shared" si="32"/>
        <v>0</v>
      </c>
      <c r="CC22" s="60">
        <v>11251.4</v>
      </c>
      <c r="CD22" s="67">
        <f t="shared" si="33"/>
        <v>0</v>
      </c>
      <c r="CE22" s="60">
        <v>5488.9</v>
      </c>
      <c r="CF22" s="67">
        <f t="shared" si="34"/>
        <v>0</v>
      </c>
      <c r="CG22" s="60">
        <v>47778.6</v>
      </c>
      <c r="CH22" s="67">
        <f t="shared" si="35"/>
        <v>24.5</v>
      </c>
      <c r="CI22" s="60">
        <v>866038</v>
      </c>
      <c r="CJ22" s="67">
        <f t="shared" si="36"/>
        <v>171</v>
      </c>
      <c r="CK22" s="60">
        <v>585.94000000000005</v>
      </c>
      <c r="CL22" s="64">
        <f t="shared" si="37"/>
        <v>300.00000000006821</v>
      </c>
      <c r="CM22" s="65">
        <f t="shared" si="41"/>
        <v>6.5999999999999943</v>
      </c>
      <c r="CN22" s="62">
        <v>0</v>
      </c>
      <c r="CO22" s="62">
        <v>0</v>
      </c>
      <c r="CP22" s="68">
        <v>150.19999999999999</v>
      </c>
      <c r="CQ22" s="67">
        <f t="shared" si="38"/>
        <v>4.5999999999999943</v>
      </c>
      <c r="CR22" s="68">
        <v>9777</v>
      </c>
      <c r="CS22" s="67">
        <f t="shared" si="38"/>
        <v>2</v>
      </c>
      <c r="CT22" s="75">
        <v>2223</v>
      </c>
      <c r="CU22" s="67">
        <f t="shared" si="38"/>
        <v>11</v>
      </c>
      <c r="CV22" s="68">
        <v>5581</v>
      </c>
      <c r="CW22" s="67">
        <f t="shared" si="38"/>
        <v>22</v>
      </c>
    </row>
    <row r="23" spans="1:101" ht="25.5" customHeight="1" thickBot="1" x14ac:dyDescent="0.45">
      <c r="A23" s="63">
        <v>44032</v>
      </c>
      <c r="B23" s="44"/>
      <c r="C23" s="58">
        <v>1.7465999999999999</v>
      </c>
      <c r="D23" s="64">
        <f t="shared" si="0"/>
        <v>699.99999999992292</v>
      </c>
      <c r="E23" s="58">
        <v>2.7385000000000002</v>
      </c>
      <c r="F23" s="64">
        <f t="shared" si="1"/>
        <v>500.00000000016701</v>
      </c>
      <c r="G23" s="58">
        <v>2.6284000000000001</v>
      </c>
      <c r="H23" s="64">
        <f t="shared" si="2"/>
        <v>1300.0000000000789</v>
      </c>
      <c r="I23" s="58">
        <v>1.2729999999999999</v>
      </c>
      <c r="J23" s="64">
        <f t="shared" si="3"/>
        <v>599.99999999993395</v>
      </c>
      <c r="K23" s="58">
        <v>1.9893000000000001</v>
      </c>
      <c r="L23" s="64">
        <f t="shared" si="4"/>
        <v>1600.0000000000459</v>
      </c>
      <c r="M23" s="58">
        <v>1.2222</v>
      </c>
      <c r="N23" s="64">
        <f t="shared" si="5"/>
        <v>299.99999999996697</v>
      </c>
      <c r="O23" s="58">
        <v>12610</v>
      </c>
      <c r="P23" s="67">
        <f t="shared" si="44"/>
        <v>1</v>
      </c>
      <c r="Q23" s="58">
        <v>5592</v>
      </c>
      <c r="R23" s="67">
        <f t="shared" si="6"/>
        <v>2</v>
      </c>
      <c r="S23" s="58">
        <v>839641</v>
      </c>
      <c r="T23" s="67">
        <f t="shared" si="7"/>
        <v>110.40000000002328</v>
      </c>
      <c r="U23" s="58">
        <v>342328.8</v>
      </c>
      <c r="V23" s="67">
        <f t="shared" si="8"/>
        <v>61.5</v>
      </c>
      <c r="W23" s="58">
        <v>336.04</v>
      </c>
      <c r="X23" s="65">
        <f t="shared" si="9"/>
        <v>80.000000000040927</v>
      </c>
      <c r="Y23" s="58">
        <v>2.4104999999999999</v>
      </c>
      <c r="Z23" s="65">
        <f t="shared" si="10"/>
        <v>299.99999999974489</v>
      </c>
      <c r="AA23" s="58">
        <v>329.85</v>
      </c>
      <c r="AB23" s="65">
        <f t="shared" si="11"/>
        <v>40.000000000020464</v>
      </c>
      <c r="AC23" s="58">
        <v>313.47000000000003</v>
      </c>
      <c r="AD23" s="65">
        <f t="shared" si="12"/>
        <v>70.000000000050022</v>
      </c>
      <c r="AE23" s="58">
        <v>490.59</v>
      </c>
      <c r="AF23" s="65">
        <f t="shared" si="13"/>
        <v>139.99999999998636</v>
      </c>
      <c r="AG23" s="58">
        <v>1292.8</v>
      </c>
      <c r="AH23" s="67">
        <f t="shared" si="14"/>
        <v>1.0999999999999091</v>
      </c>
      <c r="AI23" s="58">
        <v>433.02</v>
      </c>
      <c r="AJ23" s="65">
        <f t="shared" si="15"/>
        <v>169.99999999995907</v>
      </c>
      <c r="AK23" s="58">
        <v>152.16999999999999</v>
      </c>
      <c r="AL23" s="65">
        <f t="shared" si="15"/>
        <v>119.99999999997613</v>
      </c>
      <c r="AM23" s="58">
        <v>151.62</v>
      </c>
      <c r="AN23" s="65">
        <f t="shared" si="15"/>
        <v>50.000000000011369</v>
      </c>
      <c r="AO23" s="58">
        <v>147.91</v>
      </c>
      <c r="AP23" s="65">
        <f t="shared" si="15"/>
        <v>20.000000000010232</v>
      </c>
      <c r="AQ23" s="58">
        <v>218.93</v>
      </c>
      <c r="AR23" s="65">
        <f t="shared" si="16"/>
        <v>20.000000000010232</v>
      </c>
      <c r="AS23" s="58">
        <v>345.25</v>
      </c>
      <c r="AT23" s="65">
        <f t="shared" si="17"/>
        <v>9.9999999999909051</v>
      </c>
      <c r="AU23" s="58">
        <v>266.36</v>
      </c>
      <c r="AV23" s="65">
        <f t="shared" si="18"/>
        <v>9.9999999999909051</v>
      </c>
      <c r="AW23" s="58">
        <v>293.89</v>
      </c>
      <c r="AX23" s="65">
        <f t="shared" si="19"/>
        <v>19.99999999998181</v>
      </c>
      <c r="AY23" s="58">
        <v>345.18</v>
      </c>
      <c r="AZ23" s="65">
        <f t="shared" si="20"/>
        <v>9.9999999999909051</v>
      </c>
      <c r="BA23" s="58">
        <v>364.92</v>
      </c>
      <c r="BB23" s="65">
        <f t="shared" si="21"/>
        <v>9.9999999999909051</v>
      </c>
      <c r="BC23" s="58">
        <v>231.63</v>
      </c>
      <c r="BD23" s="65">
        <f t="shared" si="22"/>
        <v>19.99999999998181</v>
      </c>
      <c r="BE23" s="59">
        <v>30009</v>
      </c>
      <c r="BF23" s="67">
        <f t="shared" si="39"/>
        <v>22</v>
      </c>
      <c r="BG23" s="60">
        <v>225.37</v>
      </c>
      <c r="BH23" s="65">
        <f t="shared" si="23"/>
        <v>9.9999999999909051</v>
      </c>
      <c r="BI23" s="60">
        <v>283.26</v>
      </c>
      <c r="BJ23" s="65">
        <f t="shared" si="40"/>
        <v>9.9999999999909051</v>
      </c>
      <c r="BK23" s="60">
        <v>230.76</v>
      </c>
      <c r="BL23" s="65">
        <f t="shared" si="24"/>
        <v>0</v>
      </c>
      <c r="BM23" s="60">
        <v>214.33</v>
      </c>
      <c r="BN23" s="65">
        <f t="shared" si="25"/>
        <v>10.000000000019327</v>
      </c>
      <c r="BO23" s="60">
        <v>279.22000000000003</v>
      </c>
      <c r="BP23" s="65">
        <f t="shared" si="26"/>
        <v>20.000000000038654</v>
      </c>
      <c r="BQ23" s="60">
        <v>39242</v>
      </c>
      <c r="BR23" s="65">
        <f t="shared" si="27"/>
        <v>10</v>
      </c>
      <c r="BS23" s="60">
        <v>193.54</v>
      </c>
      <c r="BT23" s="65">
        <f t="shared" si="43"/>
        <v>9.9999999999909051</v>
      </c>
      <c r="BU23" s="60">
        <v>30502</v>
      </c>
      <c r="BV23" s="65">
        <f t="shared" si="29"/>
        <v>19</v>
      </c>
      <c r="BW23" s="60">
        <v>224.4</v>
      </c>
      <c r="BX23" s="65">
        <f t="shared" si="30"/>
        <v>10.000000000019327</v>
      </c>
      <c r="BY23" s="60">
        <v>49329</v>
      </c>
      <c r="BZ23" s="67">
        <f t="shared" si="31"/>
        <v>7</v>
      </c>
      <c r="CA23" s="60">
        <v>27508.400000000001</v>
      </c>
      <c r="CB23" s="67">
        <f t="shared" si="32"/>
        <v>0</v>
      </c>
      <c r="CC23" s="60">
        <v>11251.4</v>
      </c>
      <c r="CD23" s="67">
        <f t="shared" si="33"/>
        <v>0</v>
      </c>
      <c r="CE23" s="60">
        <v>5488.9</v>
      </c>
      <c r="CF23" s="67">
        <f t="shared" si="34"/>
        <v>0</v>
      </c>
      <c r="CG23" s="60">
        <v>47840.2</v>
      </c>
      <c r="CH23" s="67">
        <f t="shared" si="35"/>
        <v>61.599999999998545</v>
      </c>
      <c r="CI23" s="60">
        <v>866219</v>
      </c>
      <c r="CJ23" s="67">
        <f t="shared" si="36"/>
        <v>181</v>
      </c>
      <c r="CK23" s="60">
        <v>586.22</v>
      </c>
      <c r="CL23" s="64">
        <f t="shared" si="37"/>
        <v>279.99999999997272</v>
      </c>
      <c r="CM23" s="65">
        <f t="shared" si="41"/>
        <v>19.5</v>
      </c>
      <c r="CN23" s="62">
        <v>0</v>
      </c>
      <c r="CO23" s="62">
        <v>0</v>
      </c>
      <c r="CP23" s="68">
        <v>162.69999999999999</v>
      </c>
      <c r="CQ23" s="67">
        <f t="shared" si="38"/>
        <v>12.5</v>
      </c>
      <c r="CR23" s="68">
        <v>9784</v>
      </c>
      <c r="CS23" s="67">
        <f t="shared" si="38"/>
        <v>7</v>
      </c>
      <c r="CT23" s="75">
        <v>2234</v>
      </c>
      <c r="CU23" s="67">
        <f t="shared" si="38"/>
        <v>11</v>
      </c>
      <c r="CV23" s="68">
        <v>5604</v>
      </c>
      <c r="CW23" s="67">
        <f t="shared" si="38"/>
        <v>23</v>
      </c>
    </row>
    <row r="24" spans="1:101" ht="25.5" customHeight="1" thickBot="1" x14ac:dyDescent="0.45">
      <c r="A24" s="63">
        <v>44033</v>
      </c>
      <c r="B24" s="44"/>
      <c r="C24" s="58">
        <v>1.7474000000000001</v>
      </c>
      <c r="D24" s="64">
        <f t="shared" si="0"/>
        <v>800.00000000013392</v>
      </c>
      <c r="E24" s="58">
        <v>2.7389999999999999</v>
      </c>
      <c r="F24" s="64">
        <f t="shared" si="1"/>
        <v>499.99999999972289</v>
      </c>
      <c r="G24" s="58">
        <v>2.6297000000000001</v>
      </c>
      <c r="H24" s="64">
        <f t="shared" si="2"/>
        <v>1300.0000000000789</v>
      </c>
      <c r="I24" s="58">
        <v>1.2737000000000001</v>
      </c>
      <c r="J24" s="64">
        <f t="shared" si="3"/>
        <v>700.00000000014495</v>
      </c>
      <c r="K24" s="58">
        <v>1.9910000000000001</v>
      </c>
      <c r="L24" s="64">
        <f t="shared" si="4"/>
        <v>1700.0000000000348</v>
      </c>
      <c r="M24" s="58">
        <v>1.2225999999999999</v>
      </c>
      <c r="N24" s="64">
        <f t="shared" si="5"/>
        <v>399.99999999995595</v>
      </c>
      <c r="O24" s="58">
        <v>12611</v>
      </c>
      <c r="P24" s="67">
        <f t="shared" si="44"/>
        <v>1</v>
      </c>
      <c r="Q24" s="58">
        <v>5595</v>
      </c>
      <c r="R24" s="67">
        <f t="shared" si="6"/>
        <v>3</v>
      </c>
      <c r="S24" s="58">
        <v>839813</v>
      </c>
      <c r="T24" s="67">
        <f t="shared" si="7"/>
        <v>172</v>
      </c>
      <c r="U24" s="58">
        <v>342399.6</v>
      </c>
      <c r="V24" s="67">
        <f t="shared" si="8"/>
        <v>70.799999999988358</v>
      </c>
      <c r="W24" s="58">
        <v>336.12</v>
      </c>
      <c r="X24" s="65">
        <f t="shared" si="9"/>
        <v>79.999999999984084</v>
      </c>
      <c r="Y24" s="58">
        <v>2.4108000000000001</v>
      </c>
      <c r="Z24" s="65">
        <f t="shared" si="10"/>
        <v>300.000000000189</v>
      </c>
      <c r="AA24" s="58">
        <v>329.9</v>
      </c>
      <c r="AB24" s="65">
        <f t="shared" si="11"/>
        <v>49.999999999954525</v>
      </c>
      <c r="AC24" s="58">
        <v>313.54000000000002</v>
      </c>
      <c r="AD24" s="65">
        <f t="shared" si="12"/>
        <v>69.999999999993179</v>
      </c>
      <c r="AE24" s="58">
        <v>490.74</v>
      </c>
      <c r="AF24" s="65">
        <f t="shared" si="13"/>
        <v>150.00000000003411</v>
      </c>
      <c r="AG24" s="58">
        <v>1294.0999999999999</v>
      </c>
      <c r="AH24" s="67">
        <f t="shared" si="14"/>
        <v>1.2999999999999545</v>
      </c>
      <c r="AI24" s="58">
        <v>433.21</v>
      </c>
      <c r="AJ24" s="65">
        <f t="shared" si="15"/>
        <v>189.99999999999773</v>
      </c>
      <c r="AK24" s="58">
        <v>152.30000000000001</v>
      </c>
      <c r="AL24" s="65">
        <f t="shared" si="15"/>
        <v>130.00000000002387</v>
      </c>
      <c r="AM24" s="58">
        <v>151.71</v>
      </c>
      <c r="AN24" s="65">
        <f t="shared" si="15"/>
        <v>90.000000000003411</v>
      </c>
      <c r="AO24" s="58">
        <v>147.97</v>
      </c>
      <c r="AP24" s="65">
        <f t="shared" si="15"/>
        <v>60.000000000002274</v>
      </c>
      <c r="AQ24" s="58">
        <v>218.96</v>
      </c>
      <c r="AR24" s="65">
        <f t="shared" si="16"/>
        <v>30.000000000001137</v>
      </c>
      <c r="AS24" s="58">
        <v>345.28</v>
      </c>
      <c r="AT24" s="65">
        <f t="shared" si="17"/>
        <v>29.999999999972715</v>
      </c>
      <c r="AU24" s="58">
        <v>266.38</v>
      </c>
      <c r="AV24" s="65">
        <f t="shared" si="18"/>
        <v>19.99999999998181</v>
      </c>
      <c r="AW24" s="58">
        <v>293.91000000000003</v>
      </c>
      <c r="AX24" s="65">
        <f t="shared" si="19"/>
        <v>20.000000000038654</v>
      </c>
      <c r="AY24" s="58">
        <v>345.2</v>
      </c>
      <c r="AZ24" s="65">
        <f t="shared" si="20"/>
        <v>19.99999999998181</v>
      </c>
      <c r="BA24" s="58">
        <v>364.94</v>
      </c>
      <c r="BB24" s="65">
        <f t="shared" si="21"/>
        <v>19.99999999998181</v>
      </c>
      <c r="BC24" s="58">
        <v>231.65</v>
      </c>
      <c r="BD24" s="65">
        <f t="shared" si="22"/>
        <v>20.000000000010232</v>
      </c>
      <c r="BE24" s="59">
        <v>30021</v>
      </c>
      <c r="BF24" s="67">
        <f t="shared" si="39"/>
        <v>12</v>
      </c>
      <c r="BG24" s="60">
        <v>225.38</v>
      </c>
      <c r="BH24" s="65">
        <f t="shared" si="23"/>
        <v>9.9999999999909051</v>
      </c>
      <c r="BI24" s="60">
        <v>283.27999999999997</v>
      </c>
      <c r="BJ24" s="65">
        <f t="shared" si="40"/>
        <v>19.99999999998181</v>
      </c>
      <c r="BK24" s="60">
        <v>230.77</v>
      </c>
      <c r="BL24" s="65">
        <f t="shared" si="24"/>
        <v>10.000000000019327</v>
      </c>
      <c r="BM24" s="60">
        <v>214.34</v>
      </c>
      <c r="BN24" s="65">
        <f t="shared" si="25"/>
        <v>9.9999999999909051</v>
      </c>
      <c r="BO24" s="60">
        <v>279.23</v>
      </c>
      <c r="BP24" s="65">
        <f t="shared" si="26"/>
        <v>9.9999999999909051</v>
      </c>
      <c r="BQ24" s="60">
        <v>39253</v>
      </c>
      <c r="BR24" s="65">
        <f t="shared" si="27"/>
        <v>11</v>
      </c>
      <c r="BS24" s="60">
        <v>193.54</v>
      </c>
      <c r="BT24" s="65">
        <f t="shared" si="43"/>
        <v>0</v>
      </c>
      <c r="BU24" s="60">
        <v>30524</v>
      </c>
      <c r="BV24" s="65">
        <f t="shared" si="29"/>
        <v>22</v>
      </c>
      <c r="BW24" s="60">
        <v>224.41</v>
      </c>
      <c r="BX24" s="65">
        <f t="shared" si="30"/>
        <v>9.9999999999909051</v>
      </c>
      <c r="BY24" s="60">
        <v>49339</v>
      </c>
      <c r="BZ24" s="67">
        <f t="shared" si="31"/>
        <v>10</v>
      </c>
      <c r="CA24" s="60">
        <v>27508.400000000001</v>
      </c>
      <c r="CB24" s="67">
        <f t="shared" si="32"/>
        <v>0</v>
      </c>
      <c r="CC24" s="60">
        <v>11251.4</v>
      </c>
      <c r="CD24" s="67">
        <f t="shared" si="33"/>
        <v>0</v>
      </c>
      <c r="CE24" s="60">
        <v>5488.9</v>
      </c>
      <c r="CF24" s="67">
        <f t="shared" si="34"/>
        <v>0</v>
      </c>
      <c r="CG24" s="60">
        <v>47876</v>
      </c>
      <c r="CH24" s="67">
        <f t="shared" si="35"/>
        <v>35.80000000000291</v>
      </c>
      <c r="CI24" s="60">
        <v>866406</v>
      </c>
      <c r="CJ24" s="67">
        <f t="shared" si="36"/>
        <v>187</v>
      </c>
      <c r="CK24" s="60">
        <v>586.51</v>
      </c>
      <c r="CL24" s="64">
        <f t="shared" si="37"/>
        <v>289.99999999996362</v>
      </c>
      <c r="CM24" s="65">
        <f t="shared" si="41"/>
        <v>14.100000000000023</v>
      </c>
      <c r="CN24" s="62">
        <v>0</v>
      </c>
      <c r="CO24" s="62">
        <v>0</v>
      </c>
      <c r="CP24" s="68">
        <v>172.8</v>
      </c>
      <c r="CQ24" s="67">
        <f t="shared" si="38"/>
        <v>10.100000000000023</v>
      </c>
      <c r="CR24" s="68">
        <v>9788</v>
      </c>
      <c r="CS24" s="67">
        <f t="shared" si="38"/>
        <v>4</v>
      </c>
      <c r="CT24" s="75">
        <v>2246</v>
      </c>
      <c r="CU24" s="67">
        <f t="shared" si="38"/>
        <v>12</v>
      </c>
      <c r="CV24" s="68">
        <v>5635</v>
      </c>
      <c r="CW24" s="67">
        <f t="shared" si="38"/>
        <v>31</v>
      </c>
    </row>
    <row r="25" spans="1:101" ht="25.5" customHeight="1" thickBot="1" x14ac:dyDescent="0.45">
      <c r="A25" s="63">
        <v>44034</v>
      </c>
      <c r="B25" s="44"/>
      <c r="C25" s="58">
        <v>1.7481</v>
      </c>
      <c r="D25" s="64">
        <f t="shared" si="0"/>
        <v>699.99999999992292</v>
      </c>
      <c r="E25" s="58">
        <v>2.7395</v>
      </c>
      <c r="F25" s="64">
        <f t="shared" si="1"/>
        <v>500.00000000016701</v>
      </c>
      <c r="G25" s="58">
        <v>2.6309999999999998</v>
      </c>
      <c r="H25" s="64">
        <f t="shared" si="2"/>
        <v>1299.9999999996348</v>
      </c>
      <c r="I25" s="58">
        <v>1.2744</v>
      </c>
      <c r="J25" s="64">
        <f t="shared" si="3"/>
        <v>699.99999999992292</v>
      </c>
      <c r="K25" s="58">
        <v>1.9925999999999999</v>
      </c>
      <c r="L25" s="64">
        <f t="shared" si="4"/>
        <v>1599.9999999998238</v>
      </c>
      <c r="M25" s="58">
        <v>1.2231000000000001</v>
      </c>
      <c r="N25" s="64">
        <f t="shared" si="5"/>
        <v>500.00000000016701</v>
      </c>
      <c r="O25" s="58">
        <v>12611</v>
      </c>
      <c r="P25" s="67">
        <f t="shared" si="44"/>
        <v>0</v>
      </c>
      <c r="Q25" s="58">
        <v>5598</v>
      </c>
      <c r="R25" s="67">
        <f t="shared" si="6"/>
        <v>3</v>
      </c>
      <c r="S25" s="58">
        <v>839987.9</v>
      </c>
      <c r="T25" s="67">
        <f t="shared" si="7"/>
        <v>174.90000000002328</v>
      </c>
      <c r="U25" s="58">
        <v>342455.7</v>
      </c>
      <c r="V25" s="67">
        <f t="shared" si="8"/>
        <v>56.100000000034925</v>
      </c>
      <c r="W25" s="58">
        <v>336.2</v>
      </c>
      <c r="X25" s="65">
        <f t="shared" si="9"/>
        <v>79.999999999984084</v>
      </c>
      <c r="Y25" s="58">
        <v>2.4110999999999998</v>
      </c>
      <c r="Z25" s="65">
        <f t="shared" si="10"/>
        <v>299.99999999974489</v>
      </c>
      <c r="AA25" s="58">
        <v>329.95</v>
      </c>
      <c r="AB25" s="65">
        <f t="shared" si="11"/>
        <v>50.000000000011369</v>
      </c>
      <c r="AC25" s="58">
        <v>313.68</v>
      </c>
      <c r="AD25" s="65">
        <f t="shared" si="12"/>
        <v>139.99999999998636</v>
      </c>
      <c r="AE25" s="58">
        <v>490.92</v>
      </c>
      <c r="AF25" s="65">
        <f t="shared" si="13"/>
        <v>180.00000000000682</v>
      </c>
      <c r="AG25" s="58">
        <v>1295.5</v>
      </c>
      <c r="AH25" s="67">
        <f t="shared" si="14"/>
        <v>1.4000000000000909</v>
      </c>
      <c r="AI25" s="58">
        <v>433.4</v>
      </c>
      <c r="AJ25" s="65">
        <f t="shared" si="15"/>
        <v>189.99999999999773</v>
      </c>
      <c r="AK25" s="58">
        <v>152.43</v>
      </c>
      <c r="AL25" s="65">
        <f t="shared" si="15"/>
        <v>129.99999999999545</v>
      </c>
      <c r="AM25" s="58">
        <v>151.78</v>
      </c>
      <c r="AN25" s="65">
        <f t="shared" si="15"/>
        <v>69.999999999993179</v>
      </c>
      <c r="AO25" s="58">
        <v>148.03</v>
      </c>
      <c r="AP25" s="65">
        <f t="shared" si="15"/>
        <v>60.000000000002274</v>
      </c>
      <c r="AQ25" s="58">
        <v>218.97</v>
      </c>
      <c r="AR25" s="65">
        <f t="shared" si="16"/>
        <v>9.9999999999909051</v>
      </c>
      <c r="AS25" s="58">
        <v>345.29</v>
      </c>
      <c r="AT25" s="65">
        <f t="shared" si="17"/>
        <v>10.000000000047748</v>
      </c>
      <c r="AU25" s="58">
        <v>266.39999999999998</v>
      </c>
      <c r="AV25" s="65">
        <f t="shared" si="18"/>
        <v>19.99999999998181</v>
      </c>
      <c r="AW25" s="58">
        <v>293.93</v>
      </c>
      <c r="AX25" s="65">
        <f t="shared" si="19"/>
        <v>19.99999999998181</v>
      </c>
      <c r="AY25" s="58">
        <v>345.22</v>
      </c>
      <c r="AZ25" s="65">
        <f t="shared" si="20"/>
        <v>20.000000000038654</v>
      </c>
      <c r="BA25" s="58">
        <v>364.95</v>
      </c>
      <c r="BB25" s="65">
        <f t="shared" si="21"/>
        <v>9.9999999999909051</v>
      </c>
      <c r="BC25" s="58">
        <v>231.67</v>
      </c>
      <c r="BD25" s="65">
        <f t="shared" si="22"/>
        <v>19.99999999998181</v>
      </c>
      <c r="BE25" s="59">
        <v>30032</v>
      </c>
      <c r="BF25" s="67">
        <f t="shared" si="39"/>
        <v>11</v>
      </c>
      <c r="BG25" s="60">
        <v>225.39</v>
      </c>
      <c r="BH25" s="65">
        <f t="shared" si="23"/>
        <v>9.9999999999909051</v>
      </c>
      <c r="BI25" s="60">
        <v>283.29000000000002</v>
      </c>
      <c r="BJ25" s="65">
        <f t="shared" si="40"/>
        <v>10.000000000047748</v>
      </c>
      <c r="BK25" s="60">
        <v>230.77</v>
      </c>
      <c r="BL25" s="65">
        <f t="shared" si="24"/>
        <v>0</v>
      </c>
      <c r="BM25" s="60">
        <v>214.36</v>
      </c>
      <c r="BN25" s="65">
        <f t="shared" si="25"/>
        <v>20.000000000010232</v>
      </c>
      <c r="BO25" s="60">
        <v>279.25</v>
      </c>
      <c r="BP25" s="65">
        <f t="shared" si="26"/>
        <v>19.99999999998181</v>
      </c>
      <c r="BQ25" s="60">
        <v>39265</v>
      </c>
      <c r="BR25" s="65">
        <f t="shared" si="27"/>
        <v>12</v>
      </c>
      <c r="BS25" s="60">
        <v>193.54</v>
      </c>
      <c r="BT25" s="65">
        <f t="shared" si="43"/>
        <v>0</v>
      </c>
      <c r="BU25" s="60">
        <v>30548</v>
      </c>
      <c r="BV25" s="65">
        <f t="shared" si="29"/>
        <v>24</v>
      </c>
      <c r="BW25" s="60">
        <v>224.43</v>
      </c>
      <c r="BX25" s="65">
        <f t="shared" si="30"/>
        <v>20.000000000010232</v>
      </c>
      <c r="BY25" s="60">
        <v>49349</v>
      </c>
      <c r="BZ25" s="67">
        <f t="shared" si="31"/>
        <v>10</v>
      </c>
      <c r="CA25" s="60">
        <v>27508.400000000001</v>
      </c>
      <c r="CB25" s="67">
        <f t="shared" si="32"/>
        <v>0</v>
      </c>
      <c r="CC25" s="60">
        <v>11251.4</v>
      </c>
      <c r="CD25" s="67">
        <f t="shared" si="33"/>
        <v>0</v>
      </c>
      <c r="CE25" s="60">
        <v>5488.9</v>
      </c>
      <c r="CF25" s="67">
        <f t="shared" si="34"/>
        <v>0</v>
      </c>
      <c r="CG25" s="60">
        <v>47929.2</v>
      </c>
      <c r="CH25" s="67">
        <f t="shared" si="35"/>
        <v>53.19999999999709</v>
      </c>
      <c r="CI25" s="60">
        <v>866592</v>
      </c>
      <c r="CJ25" s="67">
        <f t="shared" si="36"/>
        <v>186</v>
      </c>
      <c r="CK25" s="60">
        <v>586.83000000000004</v>
      </c>
      <c r="CL25" s="64">
        <f t="shared" si="37"/>
        <v>320.00000000005002</v>
      </c>
      <c r="CM25" s="65">
        <f t="shared" si="41"/>
        <v>14.299999999999983</v>
      </c>
      <c r="CN25" s="62">
        <v>0</v>
      </c>
      <c r="CO25" s="62">
        <v>0</v>
      </c>
      <c r="CP25" s="68">
        <v>181.1</v>
      </c>
      <c r="CQ25" s="67">
        <f t="shared" si="38"/>
        <v>8.2999999999999829</v>
      </c>
      <c r="CR25" s="68">
        <v>9794</v>
      </c>
      <c r="CS25" s="67">
        <f t="shared" si="38"/>
        <v>6</v>
      </c>
      <c r="CT25" s="75">
        <v>2257</v>
      </c>
      <c r="CU25" s="67">
        <f t="shared" si="38"/>
        <v>11</v>
      </c>
      <c r="CV25" s="68">
        <v>5661</v>
      </c>
      <c r="CW25" s="67">
        <f t="shared" si="38"/>
        <v>26</v>
      </c>
    </row>
    <row r="26" spans="1:101" ht="25.5" customHeight="1" thickBot="1" x14ac:dyDescent="0.45">
      <c r="A26" s="63">
        <v>44035</v>
      </c>
      <c r="B26" s="44"/>
      <c r="C26" s="58">
        <v>1.7490000000000001</v>
      </c>
      <c r="D26" s="64">
        <f t="shared" si="0"/>
        <v>900.0000000001229</v>
      </c>
      <c r="E26" s="58">
        <v>2.74</v>
      </c>
      <c r="F26" s="64">
        <f t="shared" si="1"/>
        <v>500.00000000016701</v>
      </c>
      <c r="G26" s="58">
        <v>2.6326000000000001</v>
      </c>
      <c r="H26" s="64">
        <f t="shared" si="2"/>
        <v>1600.0000000002678</v>
      </c>
      <c r="I26" s="58">
        <v>1.2750999999999999</v>
      </c>
      <c r="J26" s="64">
        <f t="shared" si="3"/>
        <v>699.99999999992292</v>
      </c>
      <c r="K26" s="58">
        <v>1.9941</v>
      </c>
      <c r="L26" s="64">
        <f t="shared" si="4"/>
        <v>1500.0000000000568</v>
      </c>
      <c r="M26" s="58">
        <v>1.2235</v>
      </c>
      <c r="N26" s="64">
        <f t="shared" si="5"/>
        <v>399.99999999995595</v>
      </c>
      <c r="O26" s="58">
        <v>12612</v>
      </c>
      <c r="P26" s="67">
        <f t="shared" si="44"/>
        <v>1</v>
      </c>
      <c r="Q26" s="58">
        <v>5601</v>
      </c>
      <c r="R26" s="67">
        <f t="shared" si="6"/>
        <v>3</v>
      </c>
      <c r="S26" s="58">
        <v>840357.4</v>
      </c>
      <c r="T26" s="67">
        <f t="shared" si="7"/>
        <v>369.5</v>
      </c>
      <c r="U26" s="58">
        <v>342608.5</v>
      </c>
      <c r="V26" s="67">
        <f t="shared" si="8"/>
        <v>152.79999999998836</v>
      </c>
      <c r="W26" s="58">
        <v>336.27</v>
      </c>
      <c r="X26" s="65">
        <f t="shared" si="9"/>
        <v>69.999999999993179</v>
      </c>
      <c r="Y26" s="58">
        <v>2.4115000000000002</v>
      </c>
      <c r="Z26" s="65">
        <f t="shared" si="10"/>
        <v>400.00000000040006</v>
      </c>
      <c r="AA26" s="58">
        <v>330</v>
      </c>
      <c r="AB26" s="65">
        <f t="shared" si="11"/>
        <v>50.000000000011369</v>
      </c>
      <c r="AC26" s="58">
        <v>313.77</v>
      </c>
      <c r="AD26" s="65">
        <f t="shared" si="12"/>
        <v>89.999999999974989</v>
      </c>
      <c r="AE26" s="58">
        <v>491.07</v>
      </c>
      <c r="AF26" s="65">
        <f t="shared" si="13"/>
        <v>149.99999999997726</v>
      </c>
      <c r="AG26" s="58">
        <v>1297</v>
      </c>
      <c r="AH26" s="67">
        <f t="shared" si="14"/>
        <v>1.5</v>
      </c>
      <c r="AI26" s="58">
        <v>433.64</v>
      </c>
      <c r="AJ26" s="65">
        <f t="shared" si="15"/>
        <v>240.00000000000909</v>
      </c>
      <c r="AK26" s="58">
        <v>152.52000000000001</v>
      </c>
      <c r="AL26" s="65">
        <f t="shared" si="15"/>
        <v>90.000000000003411</v>
      </c>
      <c r="AM26" s="58">
        <v>151.9</v>
      </c>
      <c r="AN26" s="65">
        <f t="shared" si="15"/>
        <v>120.00000000000455</v>
      </c>
      <c r="AO26" s="58">
        <v>148.09</v>
      </c>
      <c r="AP26" s="65">
        <f t="shared" si="15"/>
        <v>60.000000000002274</v>
      </c>
      <c r="AQ26" s="58">
        <v>219</v>
      </c>
      <c r="AR26" s="65">
        <f t="shared" si="16"/>
        <v>30.000000000001137</v>
      </c>
      <c r="AS26" s="58">
        <v>345.31</v>
      </c>
      <c r="AT26" s="65">
        <f t="shared" si="17"/>
        <v>19.99999999998181</v>
      </c>
      <c r="AU26" s="58">
        <v>266.42</v>
      </c>
      <c r="AV26" s="65">
        <f t="shared" si="18"/>
        <v>20.000000000038654</v>
      </c>
      <c r="AW26" s="58">
        <v>293.95</v>
      </c>
      <c r="AX26" s="65">
        <f t="shared" si="19"/>
        <v>19.99999999998181</v>
      </c>
      <c r="AY26" s="58">
        <v>345.24</v>
      </c>
      <c r="AZ26" s="65">
        <f t="shared" si="20"/>
        <v>19.99999999998181</v>
      </c>
      <c r="BA26" s="58">
        <v>364.97</v>
      </c>
      <c r="BB26" s="65">
        <f t="shared" si="21"/>
        <v>20.000000000038654</v>
      </c>
      <c r="BC26" s="58">
        <v>231.68</v>
      </c>
      <c r="BD26" s="65">
        <f t="shared" si="22"/>
        <v>10.000000000019327</v>
      </c>
      <c r="BE26" s="59">
        <v>30048</v>
      </c>
      <c r="BF26" s="67">
        <f t="shared" si="39"/>
        <v>16</v>
      </c>
      <c r="BG26" s="60">
        <v>225.4</v>
      </c>
      <c r="BH26" s="65">
        <f t="shared" si="23"/>
        <v>10.000000000019327</v>
      </c>
      <c r="BI26" s="60">
        <v>283.31</v>
      </c>
      <c r="BJ26" s="65">
        <f t="shared" si="40"/>
        <v>19.99999999998181</v>
      </c>
      <c r="BK26" s="60">
        <v>230.77</v>
      </c>
      <c r="BL26" s="65">
        <f t="shared" si="24"/>
        <v>0</v>
      </c>
      <c r="BM26" s="60">
        <v>214.37</v>
      </c>
      <c r="BN26" s="65">
        <f t="shared" si="25"/>
        <v>9.9999999999909051</v>
      </c>
      <c r="BO26" s="60">
        <v>279.27</v>
      </c>
      <c r="BP26" s="65">
        <f t="shared" si="26"/>
        <v>19.99999999998181</v>
      </c>
      <c r="BQ26" s="60">
        <v>39276</v>
      </c>
      <c r="BR26" s="65">
        <f t="shared" si="27"/>
        <v>11</v>
      </c>
      <c r="BS26" s="60">
        <v>193.55</v>
      </c>
      <c r="BT26" s="65">
        <f t="shared" si="43"/>
        <v>10.000000000019327</v>
      </c>
      <c r="BU26" s="60">
        <v>30572</v>
      </c>
      <c r="BV26" s="65">
        <f t="shared" si="29"/>
        <v>24</v>
      </c>
      <c r="BW26" s="60">
        <v>224.44</v>
      </c>
      <c r="BX26" s="65">
        <f t="shared" si="30"/>
        <v>9.9999999999909051</v>
      </c>
      <c r="BY26" s="60">
        <v>49359</v>
      </c>
      <c r="BZ26" s="67">
        <f t="shared" si="31"/>
        <v>10</v>
      </c>
      <c r="CA26" s="60">
        <v>27508.400000000001</v>
      </c>
      <c r="CB26" s="67">
        <f t="shared" si="32"/>
        <v>0</v>
      </c>
      <c r="CC26" s="60">
        <v>11251.4</v>
      </c>
      <c r="CD26" s="67">
        <f t="shared" si="33"/>
        <v>0</v>
      </c>
      <c r="CE26" s="60">
        <v>5488.9</v>
      </c>
      <c r="CF26" s="67">
        <f t="shared" si="34"/>
        <v>0</v>
      </c>
      <c r="CG26" s="60">
        <v>47947</v>
      </c>
      <c r="CH26" s="67">
        <f t="shared" si="35"/>
        <v>17.80000000000291</v>
      </c>
      <c r="CI26" s="60">
        <v>866778</v>
      </c>
      <c r="CJ26" s="67">
        <f t="shared" si="36"/>
        <v>186</v>
      </c>
      <c r="CK26" s="60">
        <v>587.12</v>
      </c>
      <c r="CL26" s="64">
        <f t="shared" si="37"/>
        <v>289.99999999996362</v>
      </c>
      <c r="CM26" s="65">
        <f t="shared" si="41"/>
        <v>22.700000000000017</v>
      </c>
      <c r="CN26" s="62">
        <v>0</v>
      </c>
      <c r="CO26" s="62">
        <v>0</v>
      </c>
      <c r="CP26" s="68">
        <v>193.8</v>
      </c>
      <c r="CQ26" s="67">
        <f t="shared" si="38"/>
        <v>12.700000000000017</v>
      </c>
      <c r="CR26" s="68">
        <v>9804</v>
      </c>
      <c r="CS26" s="67">
        <f t="shared" si="38"/>
        <v>10</v>
      </c>
      <c r="CT26" s="75">
        <v>2268</v>
      </c>
      <c r="CU26" s="67">
        <f t="shared" si="38"/>
        <v>11</v>
      </c>
      <c r="CV26" s="68">
        <v>5692</v>
      </c>
      <c r="CW26" s="67">
        <f t="shared" si="38"/>
        <v>31</v>
      </c>
    </row>
    <row r="27" spans="1:101" ht="25.5" customHeight="1" thickBot="1" x14ac:dyDescent="0.45">
      <c r="A27" s="63">
        <v>44036</v>
      </c>
      <c r="B27" s="44"/>
      <c r="C27" s="58">
        <v>1.7497</v>
      </c>
      <c r="D27" s="64">
        <f t="shared" si="0"/>
        <v>699.99999999992292</v>
      </c>
      <c r="E27" s="58">
        <v>2.7404000000000002</v>
      </c>
      <c r="F27" s="64">
        <f t="shared" si="1"/>
        <v>399.99999999995595</v>
      </c>
      <c r="G27" s="58">
        <v>2.6339999999999999</v>
      </c>
      <c r="H27" s="64">
        <f t="shared" si="2"/>
        <v>1399.9999999998458</v>
      </c>
      <c r="I27" s="58">
        <v>1.2757000000000001</v>
      </c>
      <c r="J27" s="64">
        <f t="shared" si="3"/>
        <v>600.00000000015598</v>
      </c>
      <c r="K27" s="58">
        <v>1.9959</v>
      </c>
      <c r="L27" s="64">
        <f t="shared" si="4"/>
        <v>1800.0000000000239</v>
      </c>
      <c r="M27" s="58">
        <v>1.2238</v>
      </c>
      <c r="N27" s="64">
        <f t="shared" si="5"/>
        <v>299.99999999996697</v>
      </c>
      <c r="O27" s="58">
        <v>12612</v>
      </c>
      <c r="P27" s="67">
        <f t="shared" si="44"/>
        <v>0</v>
      </c>
      <c r="Q27" s="58">
        <v>5603</v>
      </c>
      <c r="R27" s="67">
        <f t="shared" si="6"/>
        <v>2</v>
      </c>
      <c r="S27" s="58">
        <v>840535.8</v>
      </c>
      <c r="T27" s="67">
        <f t="shared" si="7"/>
        <v>178.40000000002328</v>
      </c>
      <c r="U27" s="58">
        <v>342687.4</v>
      </c>
      <c r="V27" s="67">
        <f t="shared" si="8"/>
        <v>78.900000000023283</v>
      </c>
      <c r="W27" s="58">
        <v>336.33</v>
      </c>
      <c r="X27" s="65">
        <f t="shared" si="9"/>
        <v>60.000000000002274</v>
      </c>
      <c r="Y27" s="58">
        <v>2.4117000000000002</v>
      </c>
      <c r="Z27" s="65">
        <f t="shared" si="10"/>
        <v>199.99999999997797</v>
      </c>
      <c r="AA27" s="58">
        <v>330.04</v>
      </c>
      <c r="AB27" s="65">
        <f t="shared" si="11"/>
        <v>40.000000000020464</v>
      </c>
      <c r="AC27" s="58">
        <v>313.85000000000002</v>
      </c>
      <c r="AD27" s="65">
        <f t="shared" si="12"/>
        <v>80.000000000040927</v>
      </c>
      <c r="AE27" s="58">
        <v>491.21</v>
      </c>
      <c r="AF27" s="65">
        <f t="shared" si="13"/>
        <v>139.99999999998636</v>
      </c>
      <c r="AG27" s="58">
        <v>1298.5</v>
      </c>
      <c r="AH27" s="67">
        <f t="shared" si="14"/>
        <v>1.5</v>
      </c>
      <c r="AI27" s="58">
        <v>433.85</v>
      </c>
      <c r="AJ27" s="65">
        <f t="shared" si="15"/>
        <v>210.00000000003638</v>
      </c>
      <c r="AK27" s="58">
        <v>152.6</v>
      </c>
      <c r="AL27" s="65">
        <f t="shared" si="15"/>
        <v>79.999999999984084</v>
      </c>
      <c r="AM27" s="58">
        <v>151.97999999999999</v>
      </c>
      <c r="AN27" s="65">
        <f t="shared" si="15"/>
        <v>79.999999999984084</v>
      </c>
      <c r="AO27" s="58">
        <v>148.13999999999999</v>
      </c>
      <c r="AP27" s="65">
        <f t="shared" si="15"/>
        <v>49.999999999982947</v>
      </c>
      <c r="AQ27" s="58">
        <v>219.02</v>
      </c>
      <c r="AR27" s="65">
        <f t="shared" si="16"/>
        <v>20.000000000010232</v>
      </c>
      <c r="AS27" s="58">
        <v>345.33</v>
      </c>
      <c r="AT27" s="65">
        <f t="shared" si="17"/>
        <v>19.99999999998181</v>
      </c>
      <c r="AU27" s="58">
        <v>266.43</v>
      </c>
      <c r="AV27" s="65">
        <f t="shared" si="18"/>
        <v>9.9999999999909051</v>
      </c>
      <c r="AW27" s="58">
        <v>293.97000000000003</v>
      </c>
      <c r="AX27" s="65">
        <f t="shared" si="19"/>
        <v>20.000000000038654</v>
      </c>
      <c r="AY27" s="58">
        <v>345.25</v>
      </c>
      <c r="AZ27" s="65">
        <f t="shared" si="20"/>
        <v>9.9999999999909051</v>
      </c>
      <c r="BA27" s="58">
        <v>364.98</v>
      </c>
      <c r="BB27" s="65">
        <f t="shared" si="21"/>
        <v>9.9999999999909051</v>
      </c>
      <c r="BC27" s="58">
        <v>231.7</v>
      </c>
      <c r="BD27" s="65">
        <f t="shared" si="22"/>
        <v>19.99999999998181</v>
      </c>
      <c r="BE27" s="59">
        <v>30080</v>
      </c>
      <c r="BF27" s="67">
        <f t="shared" si="39"/>
        <v>32</v>
      </c>
      <c r="BG27" s="60">
        <v>225.4</v>
      </c>
      <c r="BH27" s="65">
        <f t="shared" si="23"/>
        <v>0</v>
      </c>
      <c r="BI27" s="60">
        <v>283.32</v>
      </c>
      <c r="BJ27" s="65">
        <f t="shared" si="40"/>
        <v>9.9999999999909051</v>
      </c>
      <c r="BK27" s="60">
        <v>230.78</v>
      </c>
      <c r="BL27" s="65">
        <f t="shared" si="24"/>
        <v>9.9999999999909051</v>
      </c>
      <c r="BM27" s="60">
        <v>214.38</v>
      </c>
      <c r="BN27" s="65">
        <f t="shared" si="25"/>
        <v>9.9999999999909051</v>
      </c>
      <c r="BO27" s="60">
        <v>279.29000000000002</v>
      </c>
      <c r="BP27" s="65">
        <f t="shared" si="26"/>
        <v>20.000000000038654</v>
      </c>
      <c r="BQ27" s="60">
        <v>39285</v>
      </c>
      <c r="BR27" s="65">
        <f t="shared" si="27"/>
        <v>9</v>
      </c>
      <c r="BS27" s="60">
        <v>193.55</v>
      </c>
      <c r="BT27" s="65">
        <f t="shared" si="43"/>
        <v>0</v>
      </c>
      <c r="BU27" s="60">
        <v>30592</v>
      </c>
      <c r="BV27" s="65">
        <f t="shared" si="29"/>
        <v>20</v>
      </c>
      <c r="BW27" s="60">
        <v>224.45</v>
      </c>
      <c r="BX27" s="65">
        <f t="shared" si="30"/>
        <v>9.9999999999909051</v>
      </c>
      <c r="BY27" s="60">
        <v>49367</v>
      </c>
      <c r="BZ27" s="67">
        <f t="shared" si="31"/>
        <v>8</v>
      </c>
      <c r="CA27" s="60">
        <v>27508.400000000001</v>
      </c>
      <c r="CB27" s="67">
        <f t="shared" si="32"/>
        <v>0</v>
      </c>
      <c r="CC27" s="60">
        <v>11251.4</v>
      </c>
      <c r="CD27" s="67">
        <f t="shared" si="33"/>
        <v>0</v>
      </c>
      <c r="CE27" s="60">
        <v>5488.9</v>
      </c>
      <c r="CF27" s="67">
        <f t="shared" si="34"/>
        <v>0</v>
      </c>
      <c r="CG27" s="60">
        <v>47989.599999999999</v>
      </c>
      <c r="CH27" s="67">
        <f t="shared" si="35"/>
        <v>42.599999999998545</v>
      </c>
      <c r="CI27" s="60">
        <v>866960</v>
      </c>
      <c r="CJ27" s="67">
        <f t="shared" si="36"/>
        <v>182</v>
      </c>
      <c r="CK27" s="60">
        <v>587.4</v>
      </c>
      <c r="CL27" s="64">
        <f t="shared" si="37"/>
        <v>279.99999999997272</v>
      </c>
      <c r="CM27" s="65">
        <f t="shared" si="41"/>
        <v>14.599999999999994</v>
      </c>
      <c r="CN27" s="62">
        <v>0</v>
      </c>
      <c r="CO27" s="62">
        <v>0</v>
      </c>
      <c r="CP27" s="68">
        <v>204.4</v>
      </c>
      <c r="CQ27" s="67">
        <f t="shared" si="38"/>
        <v>10.599999999999994</v>
      </c>
      <c r="CR27" s="68">
        <v>9808</v>
      </c>
      <c r="CS27" s="67">
        <f t="shared" si="38"/>
        <v>4</v>
      </c>
      <c r="CT27" s="75">
        <v>2278</v>
      </c>
      <c r="CU27" s="67">
        <f t="shared" si="38"/>
        <v>10</v>
      </c>
      <c r="CV27" s="68">
        <v>5718</v>
      </c>
      <c r="CW27" s="67">
        <f t="shared" si="38"/>
        <v>26</v>
      </c>
    </row>
    <row r="28" spans="1:101" ht="25.5" customHeight="1" thickBot="1" x14ac:dyDescent="0.45">
      <c r="A28" s="63">
        <v>44037</v>
      </c>
      <c r="B28" s="44"/>
      <c r="C28" s="58"/>
      <c r="D28" s="64" t="str">
        <f t="shared" si="0"/>
        <v>0</v>
      </c>
      <c r="E28" s="58"/>
      <c r="F28" s="64" t="str">
        <f t="shared" si="1"/>
        <v>0</v>
      </c>
      <c r="G28" s="58"/>
      <c r="H28" s="64" t="str">
        <f t="shared" si="2"/>
        <v>0</v>
      </c>
      <c r="I28" s="58"/>
      <c r="J28" s="64" t="str">
        <f t="shared" si="3"/>
        <v>0</v>
      </c>
      <c r="K28" s="58"/>
      <c r="L28" s="64" t="str">
        <f t="shared" si="4"/>
        <v>0</v>
      </c>
      <c r="M28" s="58"/>
      <c r="N28" s="64" t="str">
        <f t="shared" si="5"/>
        <v/>
      </c>
      <c r="O28" s="58"/>
      <c r="P28" s="67" t="str">
        <f t="shared" si="44"/>
        <v/>
      </c>
      <c r="Q28" s="58"/>
      <c r="R28" s="67" t="str">
        <f t="shared" si="6"/>
        <v/>
      </c>
      <c r="S28" s="58"/>
      <c r="T28" s="67" t="str">
        <f t="shared" si="7"/>
        <v/>
      </c>
      <c r="U28" s="58"/>
      <c r="V28" s="67" t="str">
        <f t="shared" si="8"/>
        <v/>
      </c>
      <c r="W28" s="58"/>
      <c r="X28" s="65" t="str">
        <f t="shared" si="9"/>
        <v/>
      </c>
      <c r="Y28" s="58"/>
      <c r="Z28" s="65" t="str">
        <f t="shared" si="10"/>
        <v/>
      </c>
      <c r="AA28" s="58"/>
      <c r="AB28" s="65" t="str">
        <f t="shared" si="11"/>
        <v/>
      </c>
      <c r="AC28" s="58"/>
      <c r="AD28" s="65" t="str">
        <f t="shared" si="12"/>
        <v/>
      </c>
      <c r="AE28" s="58"/>
      <c r="AF28" s="65" t="str">
        <f t="shared" si="13"/>
        <v/>
      </c>
      <c r="AG28" s="58"/>
      <c r="AH28" s="67" t="str">
        <f t="shared" si="14"/>
        <v/>
      </c>
      <c r="AI28" s="58"/>
      <c r="AJ28" s="65" t="str">
        <f t="shared" si="15"/>
        <v/>
      </c>
      <c r="AK28" s="58"/>
      <c r="AL28" s="65" t="str">
        <f t="shared" si="15"/>
        <v/>
      </c>
      <c r="AM28" s="58"/>
      <c r="AN28" s="65" t="str">
        <f t="shared" si="15"/>
        <v/>
      </c>
      <c r="AO28" s="58"/>
      <c r="AP28" s="65" t="str">
        <f t="shared" si="15"/>
        <v/>
      </c>
      <c r="AQ28" s="58"/>
      <c r="AR28" s="65" t="str">
        <f t="shared" si="16"/>
        <v/>
      </c>
      <c r="AS28" s="58"/>
      <c r="AT28" s="65" t="str">
        <f t="shared" si="17"/>
        <v/>
      </c>
      <c r="AU28" s="58"/>
      <c r="AV28" s="65" t="str">
        <f t="shared" si="18"/>
        <v/>
      </c>
      <c r="AW28" s="58"/>
      <c r="AX28" s="65" t="str">
        <f t="shared" si="19"/>
        <v/>
      </c>
      <c r="AY28" s="58"/>
      <c r="AZ28" s="65" t="str">
        <f t="shared" si="20"/>
        <v/>
      </c>
      <c r="BA28" s="58"/>
      <c r="BB28" s="65" t="str">
        <f t="shared" si="21"/>
        <v/>
      </c>
      <c r="BC28" s="58"/>
      <c r="BD28" s="65" t="str">
        <f t="shared" si="22"/>
        <v/>
      </c>
      <c r="BE28" s="59"/>
      <c r="BF28" s="67" t="str">
        <f t="shared" si="39"/>
        <v/>
      </c>
      <c r="BG28" s="60"/>
      <c r="BH28" s="65" t="str">
        <f t="shared" si="23"/>
        <v/>
      </c>
      <c r="BI28" s="60"/>
      <c r="BJ28" s="65" t="str">
        <f t="shared" si="40"/>
        <v/>
      </c>
      <c r="BK28" s="60"/>
      <c r="BL28" s="65" t="str">
        <f t="shared" si="24"/>
        <v/>
      </c>
      <c r="BM28" s="60"/>
      <c r="BN28" s="65" t="str">
        <f t="shared" si="25"/>
        <v/>
      </c>
      <c r="BO28" s="60"/>
      <c r="BP28" s="65" t="str">
        <f t="shared" si="26"/>
        <v/>
      </c>
      <c r="BQ28" s="60"/>
      <c r="BR28" s="65" t="str">
        <f t="shared" si="27"/>
        <v/>
      </c>
      <c r="BS28" s="60"/>
      <c r="BT28" s="65" t="str">
        <f t="shared" si="43"/>
        <v/>
      </c>
      <c r="BU28" s="60"/>
      <c r="BV28" s="65" t="str">
        <f t="shared" si="29"/>
        <v/>
      </c>
      <c r="BW28" s="60"/>
      <c r="BX28" s="65" t="str">
        <f t="shared" si="30"/>
        <v/>
      </c>
      <c r="BY28" s="60"/>
      <c r="BZ28" s="67" t="str">
        <f t="shared" si="31"/>
        <v/>
      </c>
      <c r="CA28" s="60"/>
      <c r="CB28" s="67" t="str">
        <f t="shared" si="32"/>
        <v/>
      </c>
      <c r="CC28" s="60"/>
      <c r="CD28" s="67" t="str">
        <f t="shared" si="33"/>
        <v/>
      </c>
      <c r="CE28" s="60"/>
      <c r="CF28" s="67" t="str">
        <f t="shared" si="34"/>
        <v/>
      </c>
      <c r="CG28" s="60"/>
      <c r="CH28" s="67" t="str">
        <f t="shared" si="35"/>
        <v/>
      </c>
      <c r="CI28" s="60"/>
      <c r="CJ28" s="67" t="str">
        <f t="shared" si="36"/>
        <v/>
      </c>
      <c r="CK28" s="60"/>
      <c r="CL28" s="64" t="str">
        <f t="shared" si="37"/>
        <v/>
      </c>
      <c r="CM28" s="65" t="e">
        <f t="shared" si="41"/>
        <v>#VALUE!</v>
      </c>
      <c r="CN28" s="62">
        <v>0</v>
      </c>
      <c r="CO28" s="62">
        <v>0</v>
      </c>
      <c r="CP28" s="68"/>
      <c r="CQ28" s="67" t="str">
        <f t="shared" si="38"/>
        <v/>
      </c>
      <c r="CR28" s="68"/>
      <c r="CS28" s="67" t="str">
        <f t="shared" si="38"/>
        <v/>
      </c>
      <c r="CT28" s="75"/>
      <c r="CU28" s="67" t="str">
        <f t="shared" si="38"/>
        <v/>
      </c>
      <c r="CV28" s="68"/>
      <c r="CW28" s="67" t="str">
        <f t="shared" si="38"/>
        <v/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B16" zoomScaleNormal="100" workbookViewId="0">
      <selection activeCell="T35" sqref="T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4" t="s">
        <v>0</v>
      </c>
      <c r="B4" s="87" t="s">
        <v>52</v>
      </c>
      <c r="C4" s="87" t="s">
        <v>53</v>
      </c>
      <c r="D4" s="90" t="s">
        <v>54</v>
      </c>
      <c r="E4" s="93" t="s">
        <v>55</v>
      </c>
      <c r="F4" s="94"/>
      <c r="G4" s="94"/>
      <c r="H4" s="94"/>
      <c r="I4" s="94"/>
      <c r="J4" s="95"/>
      <c r="K4" s="103" t="s">
        <v>56</v>
      </c>
      <c r="L4" s="104"/>
      <c r="M4" s="105"/>
      <c r="N4" s="96" t="s">
        <v>35</v>
      </c>
      <c r="O4" s="96"/>
      <c r="P4" s="96"/>
      <c r="Q4" s="96"/>
    </row>
    <row r="5" spans="1:17" ht="33.75" customHeight="1" x14ac:dyDescent="0.25">
      <c r="A5" s="85"/>
      <c r="B5" s="88"/>
      <c r="C5" s="88"/>
      <c r="D5" s="91"/>
      <c r="E5" s="93" t="s">
        <v>57</v>
      </c>
      <c r="F5" s="95"/>
      <c r="G5" s="93" t="s">
        <v>58</v>
      </c>
      <c r="H5" s="95"/>
      <c r="I5" s="93" t="s">
        <v>59</v>
      </c>
      <c r="J5" s="95"/>
      <c r="K5" s="97" t="s">
        <v>60</v>
      </c>
      <c r="L5" s="98"/>
      <c r="M5" s="99"/>
      <c r="N5" s="100" t="s">
        <v>61</v>
      </c>
      <c r="O5" s="101"/>
      <c r="P5" s="101"/>
      <c r="Q5" s="102"/>
    </row>
    <row r="6" spans="1:17" x14ac:dyDescent="0.25">
      <c r="A6" s="86"/>
      <c r="B6" s="89"/>
      <c r="C6" s="89"/>
      <c r="D6" s="92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>
        <v>15</v>
      </c>
      <c r="F25" s="41">
        <v>4775</v>
      </c>
      <c r="G25" s="41">
        <v>0</v>
      </c>
      <c r="H25" s="41">
        <v>1374</v>
      </c>
      <c r="I25" s="41">
        <v>85</v>
      </c>
      <c r="J25" s="41">
        <v>273</v>
      </c>
      <c r="K25" s="42">
        <v>85</v>
      </c>
      <c r="L25" s="42">
        <v>45</v>
      </c>
      <c r="M25" s="42">
        <v>1152</v>
      </c>
      <c r="N25" s="39">
        <v>84</v>
      </c>
      <c r="O25" s="39">
        <v>87</v>
      </c>
      <c r="P25" s="39">
        <v>28</v>
      </c>
      <c r="Q25" s="39">
        <v>2671</v>
      </c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87</v>
      </c>
      <c r="P26" s="39">
        <v>84</v>
      </c>
      <c r="Q26" s="39">
        <v>2674</v>
      </c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87</v>
      </c>
      <c r="P27" s="39">
        <v>82</v>
      </c>
      <c r="Q27" s="39">
        <v>2676</v>
      </c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87</v>
      </c>
      <c r="P28" s="39">
        <v>79</v>
      </c>
      <c r="Q28" s="39">
        <v>2679</v>
      </c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87</v>
      </c>
      <c r="P29" s="39">
        <v>78</v>
      </c>
      <c r="Q29" s="39">
        <v>2681</v>
      </c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87</v>
      </c>
      <c r="P30" s="39">
        <v>75</v>
      </c>
      <c r="Q30" s="39">
        <v>2684</v>
      </c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84</v>
      </c>
      <c r="O31" s="39">
        <v>87</v>
      </c>
      <c r="P31" s="39">
        <v>70</v>
      </c>
      <c r="Q31" s="39">
        <v>2687</v>
      </c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84</v>
      </c>
      <c r="O32" s="39">
        <v>87</v>
      </c>
      <c r="P32" s="39">
        <v>66</v>
      </c>
      <c r="Q32" s="39">
        <v>2689</v>
      </c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2020-07-25T11:38:41Z</dcterms:modified>
</cp:coreProperties>
</file>