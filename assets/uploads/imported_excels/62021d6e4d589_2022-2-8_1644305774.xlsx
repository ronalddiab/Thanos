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03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9924" documentId="8_{5B502D95-7A37-4D5A-8B6B-374537CC2F26}" xr6:coauthVersionLast="47" xr6:coauthVersionMax="47" xr10:uidLastSave="{DAA1849D-105F-4D7C-9C15-0812A2FDC206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énergie'!$A$1:$Y$47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7" i="2" l="1"/>
  <c r="M17" i="2"/>
  <c r="L17" i="2"/>
  <c r="F17" i="2"/>
  <c r="K16" i="6"/>
  <c r="I16" i="6"/>
  <c r="G16" i="6"/>
  <c r="E16" i="6"/>
  <c r="C16" i="6"/>
  <c r="V13" i="2"/>
  <c r="V14" i="2"/>
  <c r="V15" i="2"/>
  <c r="N14" i="2"/>
  <c r="N15" i="2"/>
  <c r="N16" i="2"/>
  <c r="M14" i="2"/>
  <c r="M15" i="2"/>
  <c r="M16" i="2"/>
  <c r="L14" i="2"/>
  <c r="L15" i="2"/>
  <c r="L16" i="2"/>
  <c r="F14" i="2"/>
  <c r="F15" i="2"/>
  <c r="F16" i="2"/>
  <c r="K13" i="6"/>
  <c r="I13" i="6"/>
  <c r="G13" i="6"/>
  <c r="E13" i="6"/>
  <c r="C13" i="6"/>
  <c r="V12" i="2"/>
  <c r="N13" i="2"/>
  <c r="M13" i="2"/>
  <c r="L13" i="2"/>
  <c r="F13" i="2"/>
  <c r="K12" i="6"/>
  <c r="I12" i="6"/>
  <c r="G12" i="6"/>
  <c r="E12" i="6"/>
  <c r="C12" i="6"/>
  <c r="V11" i="2"/>
  <c r="N12" i="2"/>
  <c r="M12" i="2"/>
  <c r="L12" i="2"/>
  <c r="F12" i="2"/>
  <c r="K11" i="6"/>
  <c r="I11" i="6"/>
  <c r="G11" i="6"/>
  <c r="E11" i="6"/>
  <c r="C11" i="6"/>
  <c r="V10" i="2"/>
  <c r="N11" i="2"/>
  <c r="M11" i="2"/>
  <c r="L11" i="2"/>
  <c r="F11" i="2"/>
  <c r="K10" i="6"/>
  <c r="I10" i="6"/>
  <c r="G10" i="6"/>
  <c r="E10" i="6"/>
  <c r="C10" i="6"/>
  <c r="N10" i="2"/>
  <c r="M10" i="2"/>
  <c r="L10" i="2"/>
  <c r="F10" i="2"/>
  <c r="K37" i="6"/>
  <c r="I37" i="6"/>
  <c r="G37" i="6"/>
  <c r="E37" i="6"/>
  <c r="C37" i="6"/>
  <c r="K36" i="6"/>
  <c r="I36" i="6"/>
  <c r="G36" i="6"/>
  <c r="E36" i="6"/>
  <c r="C36" i="6"/>
  <c r="K35" i="6"/>
  <c r="I35" i="6"/>
  <c r="G35" i="6"/>
  <c r="E35" i="6"/>
  <c r="C35" i="6"/>
  <c r="K34" i="6"/>
  <c r="I34" i="6"/>
  <c r="G34" i="6"/>
  <c r="E34" i="6"/>
  <c r="C34" i="6"/>
  <c r="K33" i="6"/>
  <c r="I33" i="6"/>
  <c r="G33" i="6"/>
  <c r="E33" i="6"/>
  <c r="C33" i="6"/>
  <c r="K32" i="6"/>
  <c r="I32" i="6"/>
  <c r="G32" i="6"/>
  <c r="E32" i="6"/>
  <c r="C32" i="6"/>
  <c r="K31" i="6"/>
  <c r="I31" i="6"/>
  <c r="G31" i="6"/>
  <c r="E31" i="6"/>
  <c r="C31" i="6"/>
  <c r="K30" i="6"/>
  <c r="I30" i="6"/>
  <c r="G30" i="6"/>
  <c r="E30" i="6"/>
  <c r="C30" i="6"/>
  <c r="K29" i="6"/>
  <c r="I29" i="6"/>
  <c r="G29" i="6"/>
  <c r="E29" i="6"/>
  <c r="C29" i="6"/>
  <c r="K28" i="6"/>
  <c r="I28" i="6"/>
  <c r="G28" i="6"/>
  <c r="E28" i="6"/>
  <c r="C28" i="6"/>
  <c r="G27" i="6"/>
  <c r="Q28" i="2"/>
  <c r="K27" i="6"/>
  <c r="I27" i="6"/>
  <c r="E27" i="6"/>
  <c r="C27" i="6"/>
  <c r="G21" i="4"/>
  <c r="E21" i="4"/>
  <c r="C21" i="4"/>
  <c r="K26" i="6"/>
  <c r="I26" i="6"/>
  <c r="G26" i="6"/>
  <c r="E26" i="6"/>
  <c r="C26" i="6"/>
  <c r="K24" i="6"/>
  <c r="K25" i="6"/>
  <c r="I24" i="6"/>
  <c r="I25" i="6"/>
  <c r="G24" i="6"/>
  <c r="G25" i="6"/>
  <c r="E24" i="6"/>
  <c r="E25" i="6"/>
  <c r="C24" i="6"/>
  <c r="C25" i="6"/>
  <c r="K23" i="6"/>
  <c r="I23" i="6"/>
  <c r="G23" i="6"/>
  <c r="E23" i="6"/>
  <c r="C23" i="6"/>
  <c r="K22" i="6"/>
  <c r="I22" i="6"/>
  <c r="G22" i="6"/>
  <c r="E22" i="6"/>
  <c r="C22" i="6"/>
  <c r="K21" i="6"/>
  <c r="I21" i="6"/>
  <c r="G21" i="6"/>
  <c r="E21" i="6"/>
  <c r="C21" i="6"/>
  <c r="K20" i="6"/>
  <c r="I20" i="6"/>
  <c r="G20" i="6"/>
  <c r="E20" i="6"/>
  <c r="C20" i="6"/>
  <c r="K19" i="6"/>
  <c r="I19" i="6"/>
  <c r="G19" i="6"/>
  <c r="E19" i="6"/>
  <c r="C19" i="6"/>
  <c r="K18" i="6"/>
  <c r="I18" i="6"/>
  <c r="G18" i="6"/>
  <c r="E18" i="6"/>
  <c r="C18" i="6"/>
  <c r="X11" i="2"/>
  <c r="X12" i="2"/>
  <c r="X13" i="2"/>
  <c r="X14" i="2"/>
  <c r="X15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4" i="2"/>
  <c r="X35" i="2"/>
  <c r="X36" i="2"/>
  <c r="X37" i="2"/>
  <c r="X10" i="2"/>
  <c r="K15" i="6"/>
  <c r="I15" i="6"/>
  <c r="G15" i="6"/>
  <c r="E15" i="6"/>
  <c r="C15" i="6"/>
  <c r="K14" i="6"/>
  <c r="I14" i="6"/>
  <c r="G14" i="6"/>
  <c r="E14" i="6"/>
  <c r="C14" i="6"/>
  <c r="G4" i="4"/>
  <c r="E4" i="4"/>
  <c r="C4" i="4"/>
  <c r="G22" i="4"/>
  <c r="E22" i="4"/>
  <c r="C22" i="4"/>
  <c r="M4" i="4"/>
  <c r="M5" i="4"/>
  <c r="M6" i="4"/>
  <c r="M7" i="4"/>
  <c r="G17" i="4"/>
  <c r="P41" i="4"/>
  <c r="P42" i="4"/>
  <c r="L21" i="22"/>
  <c r="L22" i="22"/>
  <c r="L23" i="22"/>
  <c r="L24" i="22"/>
  <c r="L25" i="22"/>
  <c r="L26" i="22"/>
  <c r="L27" i="22"/>
  <c r="L28" i="22"/>
  <c r="L29" i="22"/>
  <c r="K20" i="22"/>
  <c r="K21" i="22"/>
  <c r="K22" i="22"/>
  <c r="K23" i="22"/>
  <c r="K24" i="22"/>
  <c r="K25" i="22"/>
  <c r="K26" i="22"/>
  <c r="K27" i="22"/>
  <c r="K28" i="22"/>
  <c r="K29" i="22"/>
  <c r="C35" i="4"/>
  <c r="G29" i="21"/>
  <c r="F29" i="21"/>
  <c r="E29" i="21"/>
  <c r="E29" i="22" s="1"/>
  <c r="I29" i="22"/>
  <c r="G28" i="21"/>
  <c r="F28" i="21"/>
  <c r="E28" i="21"/>
  <c r="E28" i="22" s="1"/>
  <c r="I28" i="22"/>
  <c r="E27" i="21"/>
  <c r="I27" i="22"/>
  <c r="E26" i="21"/>
  <c r="I26" i="22"/>
  <c r="I25" i="22"/>
  <c r="I24" i="22"/>
  <c r="I23" i="22"/>
  <c r="I22" i="22"/>
  <c r="I21" i="22"/>
  <c r="I20" i="22"/>
  <c r="I19" i="22"/>
  <c r="I18" i="22"/>
  <c r="C31" i="4"/>
  <c r="G28" i="4"/>
  <c r="G29" i="4"/>
  <c r="G30" i="4"/>
  <c r="G31" i="4"/>
  <c r="G33" i="4"/>
  <c r="G35" i="4"/>
  <c r="E28" i="4"/>
  <c r="E29" i="4"/>
  <c r="E30" i="4"/>
  <c r="E31" i="4"/>
  <c r="E33" i="4"/>
  <c r="E35" i="4"/>
  <c r="C28" i="4"/>
  <c r="C29" i="4"/>
  <c r="C30" i="4"/>
  <c r="C33" i="4"/>
  <c r="I30" i="4"/>
  <c r="G8" i="4"/>
  <c r="G12" i="4"/>
  <c r="G14" i="4"/>
  <c r="G15" i="4"/>
  <c r="G16" i="4"/>
  <c r="G24" i="4"/>
  <c r="G26" i="4"/>
  <c r="E8" i="4"/>
  <c r="E12" i="4"/>
  <c r="E14" i="4"/>
  <c r="E15" i="4"/>
  <c r="E16" i="4"/>
  <c r="E17" i="4"/>
  <c r="E24" i="4"/>
  <c r="E26" i="4"/>
  <c r="C8" i="4"/>
  <c r="C12" i="4"/>
  <c r="C14" i="4"/>
  <c r="C15" i="4"/>
  <c r="C16" i="4"/>
  <c r="C17" i="4"/>
  <c r="C24" i="4"/>
  <c r="C26" i="4"/>
  <c r="AC9" i="4"/>
  <c r="AC10" i="4"/>
  <c r="G6" i="21"/>
  <c r="G7" i="21"/>
  <c r="G8" i="21"/>
  <c r="O11" i="2"/>
  <c r="I23" i="21"/>
  <c r="I24" i="21"/>
  <c r="I25" i="21"/>
  <c r="I26" i="21"/>
  <c r="I27" i="21"/>
  <c r="I28" i="21"/>
  <c r="I29" i="21"/>
  <c r="H23" i="21"/>
  <c r="H24" i="21"/>
  <c r="H25" i="21"/>
  <c r="H26" i="21"/>
  <c r="H27" i="21"/>
  <c r="H28" i="21"/>
  <c r="H29" i="21"/>
  <c r="G23" i="21"/>
  <c r="G24" i="21"/>
  <c r="G25" i="21"/>
  <c r="G26" i="21"/>
  <c r="G27" i="21"/>
  <c r="F23" i="21"/>
  <c r="F24" i="21"/>
  <c r="F25" i="21"/>
  <c r="F26" i="21"/>
  <c r="E26" i="22" s="1"/>
  <c r="F27" i="21"/>
  <c r="E27" i="22" s="1"/>
  <c r="E23" i="21"/>
  <c r="E23" i="22" s="1"/>
  <c r="E24" i="21"/>
  <c r="E24" i="22" s="1"/>
  <c r="E25" i="21"/>
  <c r="E25" i="22" s="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O37" i="2"/>
  <c r="H37" i="2"/>
  <c r="Q37" i="2"/>
  <c r="F38" i="2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Q33" i="2"/>
  <c r="O35" i="2"/>
  <c r="H35" i="2"/>
  <c r="H36" i="2"/>
  <c r="O34" i="2"/>
  <c r="Q34" i="2"/>
  <c r="H34" i="2"/>
  <c r="O32" i="2"/>
  <c r="Q32" i="2"/>
  <c r="O31" i="2"/>
  <c r="H31" i="2"/>
  <c r="H30" i="2"/>
  <c r="F21" i="21"/>
  <c r="G20" i="21"/>
  <c r="F20" i="21"/>
  <c r="O28" i="2"/>
  <c r="G19" i="21"/>
  <c r="F19" i="21"/>
  <c r="G18" i="21"/>
  <c r="F18" i="21"/>
  <c r="E18" i="21"/>
  <c r="E18" i="22" s="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38" i="2"/>
  <c r="E38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38" i="2"/>
  <c r="U38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20" i="21"/>
  <c r="E20" i="22" s="1"/>
  <c r="E11" i="21"/>
  <c r="E11" i="22" s="1"/>
  <c r="J11" i="21"/>
  <c r="H24" i="2"/>
  <c r="F22" i="21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6" i="2"/>
  <c r="O16" i="2"/>
  <c r="O36" i="2"/>
  <c r="E21" i="21"/>
  <c r="E21" i="22" s="1"/>
  <c r="J21" i="21"/>
  <c r="I17" i="22"/>
  <c r="O20" i="2"/>
  <c r="Q19" i="2"/>
  <c r="E17" i="21"/>
  <c r="E17" i="22" s="1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L31" i="4"/>
  <c r="N31" i="4"/>
  <c r="O31" i="4"/>
  <c r="P31" i="4" s="1"/>
  <c r="L28" i="4"/>
  <c r="N28" i="4"/>
  <c r="O28" i="4"/>
  <c r="P28" i="4" s="1"/>
  <c r="L16" i="4"/>
  <c r="N16" i="4"/>
  <c r="O16" i="4"/>
  <c r="P16" i="4" s="1"/>
  <c r="L14" i="4"/>
  <c r="N14" i="4"/>
  <c r="O14" i="4"/>
  <c r="P14" i="4" s="1"/>
  <c r="L27" i="4"/>
  <c r="N27" i="4"/>
  <c r="O27" i="4"/>
  <c r="L34" i="4"/>
  <c r="N34" i="4"/>
  <c r="O34" i="4"/>
  <c r="P34" i="4" s="1"/>
  <c r="L30" i="4"/>
  <c r="N30" i="4"/>
  <c r="O30" i="4"/>
  <c r="P30" i="4" s="1"/>
  <c r="L18" i="4"/>
  <c r="N18" i="4"/>
  <c r="O18" i="4"/>
  <c r="P18" i="4" s="1"/>
  <c r="L21" i="4"/>
  <c r="N21" i="4"/>
  <c r="O21" i="4"/>
  <c r="P21" i="4" s="1"/>
  <c r="L29" i="4"/>
  <c r="N29" i="4"/>
  <c r="O29" i="4"/>
  <c r="P29" i="4" s="1"/>
  <c r="L24" i="4"/>
  <c r="N24" i="4"/>
  <c r="O24" i="4"/>
  <c r="P24" i="4" s="1"/>
  <c r="L12" i="4"/>
  <c r="N12" i="4"/>
  <c r="O12" i="4"/>
  <c r="P12" i="4" s="1"/>
  <c r="L11" i="4"/>
  <c r="N11" i="4"/>
  <c r="O11" i="4"/>
  <c r="P11" i="4" s="1"/>
  <c r="L32" i="4"/>
  <c r="N32" i="4"/>
  <c r="O32" i="4"/>
  <c r="P32" i="4" s="1"/>
  <c r="L26" i="4"/>
  <c r="N26" i="4"/>
  <c r="O26" i="4"/>
  <c r="P26" i="4" s="1"/>
  <c r="L25" i="4"/>
  <c r="N25" i="4"/>
  <c r="O25" i="4"/>
  <c r="P25" i="4" s="1"/>
  <c r="L19" i="4"/>
  <c r="N19" i="4"/>
  <c r="O19" i="4"/>
  <c r="P19" i="4" s="1"/>
  <c r="L20" i="4"/>
  <c r="N20" i="4"/>
  <c r="O20" i="4"/>
  <c r="P20" i="4" s="1"/>
  <c r="L33" i="4"/>
  <c r="N33" i="4"/>
  <c r="O33" i="4"/>
  <c r="P33" i="4" s="1"/>
  <c r="L15" i="4"/>
  <c r="N15" i="4"/>
  <c r="O15" i="4"/>
  <c r="P15" i="4" s="1"/>
  <c r="Q21" i="2"/>
  <c r="Q26" i="2"/>
  <c r="J23" i="21"/>
  <c r="Q27" i="2"/>
  <c r="O27" i="2"/>
  <c r="J25" i="21"/>
  <c r="O33" i="2"/>
  <c r="Q10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J24" i="21"/>
  <c r="J10" i="21"/>
  <c r="J20" i="21"/>
  <c r="J12" i="21"/>
  <c r="H10" i="2"/>
  <c r="E2" i="22"/>
  <c r="J19" i="21"/>
  <c r="M38" i="2"/>
  <c r="I42" i="2"/>
  <c r="L42" i="2"/>
  <c r="N38" i="2"/>
  <c r="I43" i="2"/>
  <c r="L43" i="2"/>
  <c r="Q16" i="2"/>
  <c r="J8" i="21"/>
  <c r="Q44" i="4"/>
  <c r="AC44" i="4"/>
  <c r="K48" i="4" s="1"/>
  <c r="L48" i="4" s="1"/>
  <c r="M48" i="4" s="1"/>
  <c r="L9" i="4"/>
  <c r="N9" i="4"/>
  <c r="AC43" i="4"/>
  <c r="I9" i="4"/>
  <c r="O9" i="4"/>
  <c r="P9" i="4" s="1"/>
  <c r="P10" i="4" l="1"/>
  <c r="V16" i="2"/>
  <c r="X16" i="2" s="1"/>
  <c r="P27" i="4"/>
  <c r="X33" i="2"/>
  <c r="G13" i="4"/>
  <c r="E13" i="4"/>
  <c r="C13" i="4"/>
  <c r="G34" i="4"/>
  <c r="E34" i="4"/>
  <c r="C34" i="4"/>
  <c r="G23" i="4"/>
  <c r="E23" i="4"/>
  <c r="C23" i="4"/>
  <c r="G18" i="4"/>
  <c r="E18" i="4"/>
  <c r="C18" i="4"/>
  <c r="G27" i="4"/>
  <c r="E27" i="4"/>
  <c r="C27" i="4"/>
  <c r="G20" i="4"/>
  <c r="E20" i="4"/>
  <c r="C20" i="4"/>
  <c r="G11" i="4"/>
  <c r="E11" i="4"/>
  <c r="C11" i="4"/>
  <c r="L5" i="4"/>
  <c r="N5" i="4" s="1"/>
  <c r="O5" i="4" s="1"/>
  <c r="P5" i="4" s="1"/>
  <c r="G5" i="4"/>
  <c r="E5" i="4"/>
  <c r="C5" i="4"/>
  <c r="G25" i="4"/>
  <c r="E25" i="4"/>
  <c r="C25" i="4"/>
  <c r="G7" i="4"/>
  <c r="E7" i="4"/>
  <c r="C7" i="4"/>
  <c r="G27" i="22"/>
  <c r="G28" i="22"/>
  <c r="L38" i="2"/>
  <c r="E22" i="22"/>
  <c r="E19" i="22"/>
  <c r="E16" i="22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9" i="4"/>
  <c r="E9" i="4"/>
  <c r="C9" i="4"/>
  <c r="Q14" i="2"/>
  <c r="O14" i="2"/>
  <c r="L8" i="4"/>
  <c r="N8" i="4" s="1"/>
  <c r="O8" i="4" s="1"/>
  <c r="P8" i="4" s="1"/>
  <c r="G8" i="22"/>
  <c r="G5" i="22"/>
  <c r="J14" i="21"/>
  <c r="I4" i="4"/>
  <c r="L4" i="4"/>
  <c r="N4" i="4" s="1"/>
  <c r="G26" i="22" l="1"/>
  <c r="G25" i="22"/>
  <c r="G24" i="22"/>
  <c r="G23" i="22"/>
  <c r="G22" i="22"/>
  <c r="G21" i="22"/>
  <c r="G20" i="22"/>
  <c r="G19" i="22"/>
  <c r="G18" i="22"/>
  <c r="G7" i="22"/>
  <c r="M19" i="22"/>
  <c r="M20" i="22"/>
  <c r="G14" i="22"/>
  <c r="M14" i="22" s="1"/>
  <c r="G10" i="22"/>
  <c r="M10" i="22" s="1"/>
  <c r="M25" i="22"/>
  <c r="G13" i="22"/>
  <c r="M13" i="22" s="1"/>
  <c r="G11" i="22"/>
  <c r="M11" i="22" s="1"/>
  <c r="M24" i="22"/>
  <c r="G15" i="22"/>
  <c r="M15" i="22" s="1"/>
  <c r="M18" i="22"/>
  <c r="M26" i="22"/>
  <c r="M21" i="22"/>
  <c r="G9" i="22"/>
  <c r="M9" i="22" s="1"/>
  <c r="M23" i="22"/>
  <c r="M22" i="22"/>
  <c r="G16" i="22"/>
  <c r="M16" i="22" s="1"/>
  <c r="G17" i="22"/>
  <c r="M17" i="22" s="1"/>
  <c r="G12" i="22"/>
  <c r="M12" i="22" s="1"/>
  <c r="G6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Q38" i="2" s="1"/>
  <c r="O12" i="2"/>
  <c r="O38" i="2" s="1"/>
  <c r="I8" i="22"/>
  <c r="M8" i="22" s="1"/>
  <c r="H16" i="2"/>
  <c r="H14" i="2"/>
  <c r="I6" i="22"/>
  <c r="I5" i="22"/>
  <c r="H13" i="2"/>
  <c r="I4" i="22"/>
  <c r="H12" i="2"/>
  <c r="I3" i="22"/>
  <c r="H11" i="2"/>
  <c r="H38" i="2" s="1"/>
  <c r="O4" i="4"/>
  <c r="P4" i="4" s="1"/>
  <c r="N43" i="4"/>
  <c r="G3" i="22"/>
  <c r="M3" i="22" s="1"/>
  <c r="G4" i="22"/>
  <c r="I45" i="2" l="1"/>
  <c r="L45" i="2" s="1"/>
  <c r="N45" i="2" s="1"/>
  <c r="I41" i="2"/>
  <c r="L41" i="2" s="1"/>
  <c r="N41" i="2" s="1"/>
  <c r="N44" i="2" s="1"/>
  <c r="J4" i="21"/>
  <c r="M4" i="22"/>
  <c r="J5" i="21"/>
  <c r="M5" i="22"/>
  <c r="M6" i="22"/>
  <c r="J6" i="21"/>
  <c r="M7" i="22"/>
  <c r="J7" i="21"/>
  <c r="O43" i="4"/>
  <c r="P43" i="4" s="1"/>
  <c r="K47" i="4"/>
  <c r="X38" i="2"/>
  <c r="G2" i="22" l="1"/>
  <c r="M2" i="22" s="1"/>
  <c r="V38" i="2"/>
  <c r="G29" i="22" s="1"/>
  <c r="L47" i="4"/>
  <c r="M47" i="4"/>
  <c r="I46" i="2" l="1"/>
  <c r="L46" i="2" s="1"/>
  <c r="N46" i="2" s="1"/>
</calcChain>
</file>

<file path=xl/sharedStrings.xml><?xml version="1.0" encoding="utf-8"?>
<sst xmlns="http://schemas.openxmlformats.org/spreadsheetml/2006/main" count="478" uniqueCount="187">
  <si>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</si>
  <si>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</si>
  <si>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</si>
  <si>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</si>
  <si>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</si>
  <si>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</si>
  <si>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</si>
  <si>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</si>
  <si>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</si>
  <si>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</si>
  <si>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</si>
  <si>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</si>
  <si>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</si>
  <si>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</si>
  <si>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</si>
  <si>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</si>
  <si>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</si>
  <si>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</si>
  <si>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</si>
  <si>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</si>
  <si>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</si>
  <si>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</si>
  <si>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</si>
  <si>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</si>
  <si>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</si>
  <si>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</si>
  <si>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</si>
  <si>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</si>
  <si>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</si>
  <si>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</si>
  <si>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</si>
  <si>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</si>
  <si>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</si>
  <si>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</si>
  <si>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</si>
  <si>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</si>
  <si>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</si>
  <si>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</si>
  <si>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</si>
  <si>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</si>
  <si>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</si>
  <si>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FEB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</si>
  <si>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</si>
  <si>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</si>
  <si>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</si>
  <si>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</si>
  <si>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</si>
  <si>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</si>
  <si>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</si>
  <si>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</si>
  <si>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</si>
  <si>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</si>
  <si>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</si>
  <si>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</si>
  <si>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</si>
  <si>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</si>
  <si>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</si>
  <si>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FEB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</si>
  <si>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</si>
  <si>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</si>
  <si>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</si>
  <si>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</si>
  <si>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</si>
  <si>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</si>
  <si>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</si>
  <si>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</si>
  <si>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</si>
  <si>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</si>
  <si>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</si>
  <si>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</si>
  <si>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</si>
  <si>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</si>
  <si>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</si>
  <si>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</si>
  <si>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</si>
  <si>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</si>
  <si>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</si>
  <si>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</si>
  <si>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</si>
  <si>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</si>
  <si>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</si>
  <si>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</si>
  <si>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</si>
  <si>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</si>
  <si>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</si>
  <si>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</si>
  <si>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</si>
  <si>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Janvier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</si>
  <si>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</si>
  <si>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</si>
  <si>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</si>
  <si>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</si>
  <si>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</si>
  <si>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</si>
  <si>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</si>
  <si>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</si>
  <si>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</si>
  <si>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</si>
  <si>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</si>
  <si>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</si>
  <si>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</si>
  <si>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</si>
  <si>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</si>
  <si>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</si>
  <si>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</si>
  <si>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</si>
  <si>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</si>
  <si>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</si>
  <si>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</si>
  <si>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</si>
  <si>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</si>
  <si>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</si>
  <si>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</si>
  <si>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</si>
  <si>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</si>
  <si>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</si>
  <si>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</si>
  <si>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</si>
  <si>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</si>
  <si>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</si>
  <si>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</si>
  <si>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</si>
  <si>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</si>
  <si>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</si>
  <si>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</si>
  <si>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</si>
  <si>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</si>
  <si>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</si>
  <si>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</si>
  <si>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</si>
  <si>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</si>
  <si>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 xml:space="preserve">      Estimation  de la consommation électrique Jan 2022</t>
  </si>
  <si>
    <t>01jours</t>
  </si>
  <si>
    <t>Estimation de la consommation d'Eau Sanitaire JAN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</si>
  <si>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</si>
  <si>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</si>
  <si>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</si>
  <si>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</si>
  <si>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</si>
  <si>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</si>
  <si>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</si>
  <si>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</si>
  <si>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</si>
  <si>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</si>
  <si>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</si>
  <si>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</si>
  <si>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</si>
  <si>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</si>
  <si>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</si>
  <si>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</si>
  <si>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</si>
  <si>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</si>
  <si>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</si>
  <si>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</si>
  <si>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</si>
  <si>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JAN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</si>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</sst>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7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  <c:pt idx="28">
                  <c:v>44621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56.100000000005821</c:v>
                </c:pt>
                <c:pt idx="1">
                  <c:v>51.100000000005821</c:v>
                </c:pt>
                <c:pt idx="2">
                  <c:v>53.399999999994179</c:v>
                </c:pt>
                <c:pt idx="3">
                  <c:v>73.399999999994179</c:v>
                </c:pt>
                <c:pt idx="4">
                  <c:v>81</c:v>
                </c:pt>
                <c:pt idx="5">
                  <c:v>51</c:v>
                </c:pt>
                <c:pt idx="6">
                  <c:v>40</c:v>
                </c:pt>
                <c:pt idx="7">
                  <c:v>58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  <c:pt idx="28">
                  <c:v>44621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2100</c:v>
                </c:pt>
                <c:pt idx="1">
                  <c:v>2191</c:v>
                </c:pt>
                <c:pt idx="2">
                  <c:v>2238</c:v>
                </c:pt>
                <c:pt idx="3">
                  <c:v>2320</c:v>
                </c:pt>
                <c:pt idx="4">
                  <c:v>2425</c:v>
                </c:pt>
                <c:pt idx="5">
                  <c:v>2265</c:v>
                </c:pt>
                <c:pt idx="6">
                  <c:v>2274</c:v>
                </c:pt>
                <c:pt idx="7">
                  <c:v>2341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  <c:pt idx="28">
                  <c:v>44621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2734</c:v>
                </c:pt>
                <c:pt idx="1">
                  <c:v>2664</c:v>
                </c:pt>
                <c:pt idx="2">
                  <c:v>2724</c:v>
                </c:pt>
                <c:pt idx="3">
                  <c:v>2817</c:v>
                </c:pt>
                <c:pt idx="4">
                  <c:v>2902</c:v>
                </c:pt>
                <c:pt idx="5">
                  <c:v>3160</c:v>
                </c:pt>
                <c:pt idx="6">
                  <c:v>2831</c:v>
                </c:pt>
                <c:pt idx="7">
                  <c:v>2859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  <c:pt idx="28">
                  <c:v>44621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1269</c:v>
                </c:pt>
                <c:pt idx="1">
                  <c:v>1284</c:v>
                </c:pt>
                <c:pt idx="2">
                  <c:v>1316</c:v>
                </c:pt>
                <c:pt idx="3">
                  <c:v>1416</c:v>
                </c:pt>
                <c:pt idx="4">
                  <c:v>1413</c:v>
                </c:pt>
                <c:pt idx="5">
                  <c:v>1471</c:v>
                </c:pt>
                <c:pt idx="6">
                  <c:v>1319</c:v>
                </c:pt>
                <c:pt idx="7">
                  <c:v>1400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  <c:pt idx="28">
                  <c:v>44621</c:v>
                </c:pt>
                <c:pt idx="29">
                  <c:v>44622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223.99447000000001</c:v>
                </c:pt>
                <c:pt idx="1">
                  <c:v>223.99447000000001</c:v>
                </c:pt>
                <c:pt idx="2">
                  <c:v>127.99684000000001</c:v>
                </c:pt>
                <c:pt idx="3">
                  <c:v>160.29849999999999</c:v>
                </c:pt>
                <c:pt idx="4">
                  <c:v>383.99052</c:v>
                </c:pt>
                <c:pt idx="5">
                  <c:v>255.99368000000001</c:v>
                </c:pt>
                <c:pt idx="6">
                  <c:v>319.99209999999999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38"/>
  <sheetViews>
    <sheetView workbookViewId="0">
      <selection activeCell="H28" sqref="H28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2</v>
      </c>
      <c r="D2" s="141">
        <v>2022</v>
      </c>
      <c r="E2" s="137">
        <f>submetering!E2+submetering!F2+submetering!G2</f>
        <v>6103</v>
      </c>
      <c r="F2" s="134">
        <v>1.05</v>
      </c>
      <c r="G2" s="134">
        <f>'Consommation mensuel énergie'!V10</f>
        <v>223.99447000000001</v>
      </c>
      <c r="H2" s="134">
        <v>9.9649999999999999</v>
      </c>
      <c r="I2" s="134">
        <f>'Consommation mensuel énergie'!F10</f>
        <v>56.100000000005821</v>
      </c>
      <c r="J2" s="134">
        <v>11.4</v>
      </c>
      <c r="K2" s="137">
        <f>'Consommation mensuel énergie'!D10</f>
        <v>9</v>
      </c>
      <c r="L2" s="137">
        <f>'Consommation mensuel énergie'!E10</f>
        <v>13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2</v>
      </c>
      <c r="D3" s="141">
        <v>2022</v>
      </c>
      <c r="E3" s="137">
        <f>submetering!E3+submetering!F3+submetering!G3</f>
        <v>6268</v>
      </c>
      <c r="F3" s="134">
        <v>1.05</v>
      </c>
      <c r="G3" s="134">
        <f>'Consommation mensuel énergie'!V11</f>
        <v>223.99447000000001</v>
      </c>
      <c r="H3" s="134">
        <v>9.9649999999999999</v>
      </c>
      <c r="I3" s="134">
        <f>'Consommation mensuel énergie'!F11</f>
        <v>51.100000000005821</v>
      </c>
      <c r="J3" s="134">
        <v>11.4</v>
      </c>
      <c r="K3" s="137">
        <f>'Consommation mensuel énergie'!D11</f>
        <v>13</v>
      </c>
      <c r="L3" s="137">
        <f>'Consommation mensuel énergie'!E11</f>
        <v>22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2</v>
      </c>
      <c r="D4" s="141">
        <v>2022</v>
      </c>
      <c r="E4" s="137">
        <f>submetering!E4+submetering!F4+submetering!G4</f>
        <v>6278</v>
      </c>
      <c r="F4" s="134">
        <v>1.05</v>
      </c>
      <c r="G4" s="134">
        <f>'Consommation mensuel énergie'!V12</f>
        <v>127.99684000000001</v>
      </c>
      <c r="H4" s="134">
        <v>9.9649999999999999</v>
      </c>
      <c r="I4" s="134">
        <f>'Consommation mensuel énergie'!F12</f>
        <v>53.399999999994179</v>
      </c>
      <c r="J4" s="134">
        <v>11.4</v>
      </c>
      <c r="K4" s="137">
        <f>'Consommation mensuel énergie'!D12</f>
        <v>15</v>
      </c>
      <c r="L4" s="137">
        <f>'Consommation mensuel énergie'!E12</f>
        <v>26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2</v>
      </c>
      <c r="D5" s="141">
        <v>2022</v>
      </c>
      <c r="E5" s="137">
        <f>submetering!E5+submetering!F5+submetering!G5</f>
        <v>6553</v>
      </c>
      <c r="F5" s="134">
        <v>1.05</v>
      </c>
      <c r="G5" s="134">
        <f>'Consommation mensuel énergie'!V13</f>
        <v>160.29849999999999</v>
      </c>
      <c r="H5" s="134">
        <v>9.9649999999999999</v>
      </c>
      <c r="I5" s="134">
        <f>'Consommation mensuel énergie'!F13</f>
        <v>73.399999999994179</v>
      </c>
      <c r="J5" s="134">
        <v>11.4</v>
      </c>
      <c r="K5" s="137">
        <f>'Consommation mensuel énergie'!D13</f>
        <v>18</v>
      </c>
      <c r="L5" s="137">
        <f>'Consommation mensuel énergie'!E13</f>
        <v>33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2</v>
      </c>
      <c r="D6" s="141">
        <v>2022</v>
      </c>
      <c r="E6" s="137">
        <f>submetering!E6+submetering!F6+submetering!G6</f>
        <v>6740</v>
      </c>
      <c r="F6" s="134">
        <v>1.05</v>
      </c>
      <c r="G6" s="134">
        <f>'Consommation mensuel énergie'!V14</f>
        <v>383.99052</v>
      </c>
      <c r="H6" s="134">
        <v>9.9649999999999999</v>
      </c>
      <c r="I6" s="134">
        <f>'Consommation mensuel énergie'!F14</f>
        <v>81</v>
      </c>
      <c r="J6" s="134">
        <v>11.4</v>
      </c>
      <c r="K6" s="137">
        <f>'Consommation mensuel énergie'!D14</f>
        <v>15</v>
      </c>
      <c r="L6" s="137">
        <f>'Consommation mensuel énergie'!E14</f>
        <v>31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2</v>
      </c>
      <c r="D7" s="141">
        <v>2022</v>
      </c>
      <c r="E7" s="137">
        <f>submetering!E7+submetering!F7+submetering!G7</f>
        <v>6896</v>
      </c>
      <c r="F7" s="134">
        <v>1.05</v>
      </c>
      <c r="G7" s="134">
        <f>'Consommation mensuel énergie'!V15</f>
        <v>255.99368000000001</v>
      </c>
      <c r="H7" s="134">
        <v>9.9649999999999999</v>
      </c>
      <c r="I7" s="134">
        <f>'Consommation mensuel énergie'!F15</f>
        <v>51</v>
      </c>
      <c r="J7" s="134">
        <v>11.4</v>
      </c>
      <c r="K7" s="137">
        <f>'Consommation mensuel énergie'!D15</f>
        <v>5</v>
      </c>
      <c r="L7" s="137">
        <f>'Consommation mensuel énergie'!E15</f>
        <v>10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2</v>
      </c>
      <c r="D8" s="141">
        <v>2022</v>
      </c>
      <c r="E8" s="137">
        <f>submetering!E8+submetering!F8+submetering!G8</f>
        <v>6424</v>
      </c>
      <c r="F8" s="134">
        <v>1.05</v>
      </c>
      <c r="G8" s="134">
        <f>'Consommation mensuel énergie'!V16</f>
        <v>319.99209999999999</v>
      </c>
      <c r="H8" s="134">
        <v>9.9649999999999999</v>
      </c>
      <c r="I8" s="134">
        <f>'Consommation mensuel énergie'!F16</f>
        <v>40</v>
      </c>
      <c r="J8" s="134">
        <v>11.4</v>
      </c>
      <c r="K8" s="137">
        <f>'Consommation mensuel énergie'!D16</f>
        <v>24</v>
      </c>
      <c r="L8" s="137">
        <f>'Consommation mensuel énergie'!E16</f>
        <v>33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2</v>
      </c>
      <c r="D9" s="141">
        <v>2022</v>
      </c>
      <c r="E9" s="137">
        <f>submetering!E9+submetering!F9+submetering!G9</f>
        <v>6600</v>
      </c>
      <c r="F9" s="134">
        <v>1.05</v>
      </c>
      <c r="G9" s="134">
        <f>'Consommation mensuel énergie'!V17</f>
        <v>0</v>
      </c>
      <c r="H9" s="134">
        <v>9.9649999999999999</v>
      </c>
      <c r="I9" s="134">
        <f>'Consommation mensuel énergie'!F17</f>
        <v>58</v>
      </c>
      <c r="J9" s="134">
        <v>11.4</v>
      </c>
      <c r="K9" s="137">
        <f>'Consommation mensuel énergie'!D17</f>
        <v>0</v>
      </c>
      <c r="L9" s="137">
        <f>'Consommation mensuel énergie'!E17</f>
        <v>0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2</v>
      </c>
      <c r="D10" s="141">
        <v>2022</v>
      </c>
      <c r="E10" s="137">
        <f>submetering!E10+submetering!F10+submetering!G10</f>
        <v>0</v>
      </c>
      <c r="F10" s="134">
        <v>1.05</v>
      </c>
      <c r="G10" s="134">
        <f>'Consommation mensuel énergie'!V19</f>
        <v>0</v>
      </c>
      <c r="H10" s="134">
        <v>9.9649999999999999</v>
      </c>
      <c r="I10" s="134">
        <f>'Consommation mensuel énergie'!F18</f>
        <v>0</v>
      </c>
      <c r="J10" s="134">
        <v>11.4</v>
      </c>
      <c r="K10" s="137">
        <f>'Consommation mensuel énergie'!D18</f>
        <v>0</v>
      </c>
      <c r="L10" s="137">
        <f>'Consommation mensuel énergie'!E18</f>
        <v>0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2</v>
      </c>
      <c r="D11" s="141">
        <v>2022</v>
      </c>
      <c r="E11" s="137">
        <f>submetering!E11+submetering!F11+submetering!G11</f>
        <v>0</v>
      </c>
      <c r="F11" s="134">
        <v>1.05</v>
      </c>
      <c r="G11" s="134">
        <f>'Consommation mensuel énergie'!V20</f>
        <v>0</v>
      </c>
      <c r="H11" s="134">
        <v>9.9649999999999999</v>
      </c>
      <c r="I11" s="134">
        <f>'Consommation mensuel énergie'!F19</f>
        <v>0</v>
      </c>
      <c r="J11" s="134">
        <v>11.4</v>
      </c>
      <c r="K11" s="137">
        <f>'Consommation mensuel énergie'!D19</f>
        <v>0</v>
      </c>
      <c r="L11" s="137">
        <f>'Consommation mensuel énergie'!E19</f>
        <v>0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2</v>
      </c>
      <c r="D12" s="141">
        <v>2022</v>
      </c>
      <c r="E12" s="137">
        <f>submetering!E12+submetering!F12+submetering!G12</f>
        <v>0</v>
      </c>
      <c r="F12" s="134">
        <v>1.05</v>
      </c>
      <c r="G12" s="134">
        <f>'Consommation mensuel énergie'!V21</f>
        <v>0</v>
      </c>
      <c r="H12" s="134">
        <v>9.9649999999999999</v>
      </c>
      <c r="I12" s="134">
        <f>'Consommation mensuel énergie'!F20</f>
        <v>0</v>
      </c>
      <c r="J12" s="134">
        <v>11.4</v>
      </c>
      <c r="K12" s="137">
        <f>'Consommation mensuel énergie'!D20</f>
        <v>0</v>
      </c>
      <c r="L12" s="137">
        <f>'Consommation mensuel énergie'!E20</f>
        <v>0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2</v>
      </c>
      <c r="D13" s="141">
        <v>2022</v>
      </c>
      <c r="E13" s="137">
        <f>submetering!E13+submetering!F13+submetering!G13</f>
        <v>0</v>
      </c>
      <c r="F13" s="134">
        <v>1.05</v>
      </c>
      <c r="G13" s="134">
        <f>'Consommation mensuel énergie'!V22</f>
        <v>0</v>
      </c>
      <c r="H13" s="134">
        <v>9.9649999999999999</v>
      </c>
      <c r="I13" s="134">
        <f>'Consommation mensuel énergie'!F21</f>
        <v>0</v>
      </c>
      <c r="J13" s="134">
        <v>11.4</v>
      </c>
      <c r="K13" s="137">
        <f>'Consommation mensuel énergie'!D21</f>
        <v>0</v>
      </c>
      <c r="L13" s="137">
        <f>'Consommation mensuel énergie'!E21</f>
        <v>0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2</v>
      </c>
      <c r="D14" s="141">
        <v>2022</v>
      </c>
      <c r="E14" s="137">
        <f>submetering!E14+submetering!F14+submetering!G14</f>
        <v>0</v>
      </c>
      <c r="F14" s="134">
        <v>1.05</v>
      </c>
      <c r="G14" s="134">
        <f>'Consommation mensuel énergie'!V23</f>
        <v>0</v>
      </c>
      <c r="H14" s="134">
        <v>9.9649999999999999</v>
      </c>
      <c r="I14" s="134">
        <f>'Consommation mensuel énergie'!F22</f>
        <v>0</v>
      </c>
      <c r="J14" s="134">
        <v>11.4</v>
      </c>
      <c r="K14" s="137">
        <f>'Consommation mensuel énergie'!D22</f>
        <v>0</v>
      </c>
      <c r="L14" s="137">
        <f>'Consommation mensuel énergie'!E22</f>
        <v>0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2</v>
      </c>
      <c r="D15" s="141">
        <v>2022</v>
      </c>
      <c r="E15" s="137">
        <f>submetering!E15+submetering!F15+submetering!G15</f>
        <v>0</v>
      </c>
      <c r="F15" s="134">
        <v>1.05</v>
      </c>
      <c r="G15" s="134">
        <f>'Consommation mensuel énergie'!V24</f>
        <v>0</v>
      </c>
      <c r="H15" s="134">
        <v>9.9649999999999999</v>
      </c>
      <c r="I15" s="134">
        <f>'Consommation mensuel énergie'!F23</f>
        <v>0</v>
      </c>
      <c r="J15" s="134">
        <v>11.4</v>
      </c>
      <c r="K15" s="137">
        <f>'Consommation mensuel énergie'!D23</f>
        <v>0</v>
      </c>
      <c r="L15" s="137">
        <f>'Consommation mensuel énergie'!E23</f>
        <v>0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2</v>
      </c>
      <c r="D16" s="141">
        <v>2022</v>
      </c>
      <c r="E16" s="137">
        <f>submetering!E16+submetering!F16+submetering!G16</f>
        <v>0</v>
      </c>
      <c r="F16" s="134">
        <v>1.05</v>
      </c>
      <c r="G16" s="134">
        <f>'Consommation mensuel énergie'!V25</f>
        <v>0</v>
      </c>
      <c r="H16" s="134">
        <v>9.9649999999999999</v>
      </c>
      <c r="I16" s="134">
        <f>'Consommation mensuel énergie'!F24</f>
        <v>0</v>
      </c>
      <c r="J16" s="134">
        <v>11.4</v>
      </c>
      <c r="K16" s="137">
        <f>'Consommation mensuel énergie'!D24</f>
        <v>0</v>
      </c>
      <c r="L16" s="137">
        <f>'Consommation mensuel énergie'!E24</f>
        <v>0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2</v>
      </c>
      <c r="D17" s="141">
        <v>2022</v>
      </c>
      <c r="E17" s="137">
        <f>submetering!E17+submetering!F17+submetering!G17</f>
        <v>0</v>
      </c>
      <c r="F17" s="134">
        <v>1.05</v>
      </c>
      <c r="G17" s="134">
        <f>'Consommation mensuel énergie'!V26</f>
        <v>0</v>
      </c>
      <c r="H17" s="134">
        <v>9.9649999999999999</v>
      </c>
      <c r="I17" s="134">
        <f>'Consommation mensuel énergie'!F25</f>
        <v>0</v>
      </c>
      <c r="J17" s="134">
        <v>11.4</v>
      </c>
      <c r="K17" s="137">
        <f>'Consommation mensuel énergie'!D25</f>
        <v>0</v>
      </c>
      <c r="L17" s="137">
        <f>'Consommation mensuel énergie'!E25</f>
        <v>0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2</v>
      </c>
      <c r="D18" s="141">
        <v>2022</v>
      </c>
      <c r="E18" s="137">
        <f>submetering!E18+submetering!F18+submetering!G18</f>
        <v>0</v>
      </c>
      <c r="F18" s="134">
        <v>1.05</v>
      </c>
      <c r="G18" s="134">
        <f>'Consommation mensuel énergie'!V27</f>
        <v>0</v>
      </c>
      <c r="H18" s="134">
        <v>9.9649999999999999</v>
      </c>
      <c r="I18" s="134">
        <f>'Consommation mensuel énergie'!F26</f>
        <v>0</v>
      </c>
      <c r="J18" s="134">
        <v>11.4</v>
      </c>
      <c r="K18" s="137">
        <f>'Consommation mensuel énergie'!D26</f>
        <v>0</v>
      </c>
      <c r="L18" s="137">
        <f>'Consommation mensuel énergie'!E26</f>
        <v>0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2</v>
      </c>
      <c r="D19" s="141">
        <v>2022</v>
      </c>
      <c r="E19" s="137">
        <f>submetering!E19+submetering!F19+submetering!G19</f>
        <v>0</v>
      </c>
      <c r="F19" s="134">
        <v>1.05</v>
      </c>
      <c r="G19" s="134">
        <f>'Consommation mensuel énergie'!V28</f>
        <v>0</v>
      </c>
      <c r="H19" s="134">
        <v>9.9649999999999999</v>
      </c>
      <c r="I19" s="134">
        <f>'Consommation mensuel énergie'!F27</f>
        <v>0</v>
      </c>
      <c r="J19" s="134">
        <v>11.4</v>
      </c>
      <c r="K19" s="137">
        <f>'Consommation mensuel énergie'!D27</f>
        <v>0</v>
      </c>
      <c r="L19" s="137">
        <f>'Consommation mensuel énergie'!E27</f>
        <v>0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2</v>
      </c>
      <c r="D20" s="141">
        <v>2022</v>
      </c>
      <c r="E20" s="137">
        <f>submetering!E20+submetering!F20+submetering!G20</f>
        <v>0</v>
      </c>
      <c r="F20" s="134">
        <v>1.05</v>
      </c>
      <c r="G20" s="134">
        <f>'Consommation mensuel énergie'!V29</f>
        <v>0</v>
      </c>
      <c r="H20" s="134">
        <v>9.9649999999999999</v>
      </c>
      <c r="I20" s="134">
        <f>'Consommation mensuel énergie'!F28</f>
        <v>0</v>
      </c>
      <c r="J20" s="134">
        <v>11.4</v>
      </c>
      <c r="K20" s="137">
        <f>'Consommation mensuel énergie'!D28</f>
        <v>0</v>
      </c>
      <c r="L20" s="137">
        <f>'Consommation mensuel énergie'!E28</f>
        <v>0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2</v>
      </c>
      <c r="D21" s="141">
        <v>2022</v>
      </c>
      <c r="E21" s="137">
        <f>submetering!E21+submetering!F21+submetering!G21</f>
        <v>0</v>
      </c>
      <c r="F21" s="134">
        <v>1.05</v>
      </c>
      <c r="G21" s="134">
        <f>'Consommation mensuel énergie'!V30</f>
        <v>0</v>
      </c>
      <c r="H21" s="134">
        <v>9.9649999999999999</v>
      </c>
      <c r="I21" s="134">
        <f>'Consommation mensuel énergie'!F29</f>
        <v>0</v>
      </c>
      <c r="J21" s="134">
        <v>11.4</v>
      </c>
      <c r="K21" s="137">
        <f>'Consommation mensuel énergie'!D29</f>
        <v>0</v>
      </c>
      <c r="L21" s="137">
        <f>'Consommation mensuel énergie'!E29</f>
        <v>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2</v>
      </c>
      <c r="D22" s="141">
        <v>2022</v>
      </c>
      <c r="E22" s="137">
        <f>submetering!E22+submetering!F22+submetering!G22</f>
        <v>0</v>
      </c>
      <c r="F22" s="134">
        <v>1.05</v>
      </c>
      <c r="G22" s="134">
        <f>'Consommation mensuel énergie'!V31</f>
        <v>0</v>
      </c>
      <c r="H22" s="134">
        <v>9.9649999999999999</v>
      </c>
      <c r="I22" s="134">
        <f>'Consommation mensuel énergie'!F30</f>
        <v>0</v>
      </c>
      <c r="J22" s="134">
        <v>11.4</v>
      </c>
      <c r="K22" s="137">
        <f>'Consommation mensuel énergie'!D30</f>
        <v>0</v>
      </c>
      <c r="L22" s="137">
        <f>'Consommation mensuel énergie'!E30</f>
        <v>0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2</v>
      </c>
      <c r="D23" s="141">
        <v>2022</v>
      </c>
      <c r="E23" s="137">
        <f>submetering!E23+submetering!F23+submetering!G23</f>
        <v>0</v>
      </c>
      <c r="F23" s="134">
        <v>1.05</v>
      </c>
      <c r="G23" s="134">
        <f>'Consommation mensuel énergie'!V32</f>
        <v>0</v>
      </c>
      <c r="H23" s="134">
        <v>9.9649999999999999</v>
      </c>
      <c r="I23" s="134">
        <f>'Consommation mensuel énergie'!F31</f>
        <v>0</v>
      </c>
      <c r="J23" s="134">
        <v>11.4</v>
      </c>
      <c r="K23" s="137">
        <f>'Consommation mensuel énergie'!D31</f>
        <v>0</v>
      </c>
      <c r="L23" s="137">
        <f>'Consommation mensuel énergie'!E31</f>
        <v>0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2</v>
      </c>
      <c r="D24" s="141">
        <v>2022</v>
      </c>
      <c r="E24" s="137">
        <f>submetering!E24+submetering!F24+submetering!G24</f>
        <v>0</v>
      </c>
      <c r="F24" s="134">
        <v>1.05</v>
      </c>
      <c r="G24" s="134">
        <f>'Consommation mensuel énergie'!V33</f>
        <v>0</v>
      </c>
      <c r="H24" s="134">
        <v>9.9649999999999999</v>
      </c>
      <c r="I24" s="134">
        <f>'Consommation mensuel énergie'!F32</f>
        <v>0</v>
      </c>
      <c r="J24" s="134">
        <v>11.4</v>
      </c>
      <c r="K24" s="137">
        <f>'Consommation mensuel énergie'!D32</f>
        <v>0</v>
      </c>
      <c r="L24" s="137">
        <f>'Consommation mensuel énergie'!E32</f>
        <v>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2</v>
      </c>
      <c r="D25" s="141">
        <v>2022</v>
      </c>
      <c r="E25" s="137">
        <f>submetering!E25+submetering!F25+submetering!G25</f>
        <v>0</v>
      </c>
      <c r="F25" s="134">
        <v>1.05</v>
      </c>
      <c r="G25" s="134">
        <f>'Consommation mensuel énergie'!V34</f>
        <v>0</v>
      </c>
      <c r="H25" s="134">
        <v>9.9649999999999999</v>
      </c>
      <c r="I25" s="134">
        <f>'Consommation mensuel énergie'!F33</f>
        <v>0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2</v>
      </c>
      <c r="D26" s="141">
        <v>2022</v>
      </c>
      <c r="E26" s="137">
        <f>submetering!E26+submetering!F26+submetering!G26</f>
        <v>0</v>
      </c>
      <c r="F26" s="134">
        <v>1.05</v>
      </c>
      <c r="G26" s="134">
        <f>'Consommation mensuel énergie'!V35</f>
        <v>0</v>
      </c>
      <c r="H26" s="134">
        <v>9.9649999999999999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29" si="1">B26+1</f>
        <v>26</v>
      </c>
      <c r="C27" s="140">
        <v>2</v>
      </c>
      <c r="D27" s="141">
        <v>2022</v>
      </c>
      <c r="E27" s="137">
        <f>submetering!E27+submetering!F27+submetering!G27</f>
        <v>0</v>
      </c>
      <c r="F27" s="134">
        <v>1.05</v>
      </c>
      <c r="G27" s="134">
        <f>'Consommation mensuel énergie'!V36</f>
        <v>0</v>
      </c>
      <c r="H27" s="134">
        <v>9.9649999999999999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2</v>
      </c>
      <c r="D28" s="141">
        <v>2022</v>
      </c>
      <c r="E28" s="137">
        <f>submetering!E28+submetering!F28+submetering!G28</f>
        <v>0</v>
      </c>
      <c r="F28" s="134">
        <v>1.05</v>
      </c>
      <c r="G28" s="134">
        <f>'Consommation mensuel énergie'!V37</f>
        <v>0</v>
      </c>
      <c r="H28" s="134">
        <v>9.9649999999999999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2</v>
      </c>
      <c r="D29" s="141">
        <v>2022</v>
      </c>
      <c r="E29" s="137">
        <f>submetering!E29+submetering!F29+submetering!G29</f>
        <v>0</v>
      </c>
      <c r="F29" s="134">
        <v>1.05</v>
      </c>
      <c r="G29" s="134">
        <f>'Consommation mensuel énergie'!V38</f>
        <v>1696.2605799999999</v>
      </c>
      <c r="H29" s="134">
        <v>9.9649999999999999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/>
      <c r="F30" s="134"/>
      <c r="G30" s="134"/>
      <c r="H30" s="134"/>
      <c r="I30" s="134"/>
      <c r="J30" s="134"/>
      <c r="M30" s="133"/>
    </row>
    <row r="31" spans="1:13">
      <c r="A31" s="136"/>
      <c r="F31" s="134"/>
      <c r="G31" s="134"/>
      <c r="H31" s="134"/>
      <c r="I31" s="134"/>
      <c r="J31" s="134"/>
      <c r="M31" s="133"/>
    </row>
    <row r="32" spans="1:13">
      <c r="F32" s="134"/>
      <c r="G32" s="134"/>
      <c r="H32" s="134"/>
      <c r="I32" s="134"/>
      <c r="J32" s="134"/>
    </row>
    <row r="33" spans="6:10">
      <c r="F33" s="134"/>
      <c r="G33" s="134"/>
      <c r="H33" s="134"/>
      <c r="I33" s="134"/>
      <c r="J33" s="134"/>
    </row>
    <row r="34" spans="6:10">
      <c r="F34" s="134"/>
      <c r="G34" s="134"/>
      <c r="H34" s="134"/>
      <c r="I34" s="134"/>
      <c r="J34" s="134"/>
    </row>
    <row r="35" spans="6:10">
      <c r="F35" s="134"/>
      <c r="G35" s="134"/>
      <c r="H35" s="134"/>
      <c r="I35" s="134"/>
      <c r="J35" s="134"/>
    </row>
    <row r="36" spans="6:10">
      <c r="F36" s="134"/>
      <c r="G36" s="134"/>
      <c r="H36" s="134"/>
      <c r="I36" s="134"/>
      <c r="J36" s="134"/>
    </row>
    <row r="37" spans="6:10">
      <c r="F37" s="134"/>
      <c r="G37" s="134"/>
      <c r="H37" s="134"/>
      <c r="I37" s="134"/>
      <c r="J37" s="134"/>
    </row>
    <row r="38" spans="6:10">
      <c r="F38" s="134"/>
      <c r="G38" s="134"/>
      <c r="H38" s="134"/>
      <c r="I38" s="134"/>
      <c r="J38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6"/>
  <sheetViews>
    <sheetView workbookViewId="0">
      <selection activeCell="A30" sqref="A30:XFD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2</v>
      </c>
      <c r="D2" s="141">
        <v>2022</v>
      </c>
      <c r="E2" s="137">
        <f>'Consommation mensuel énergie'!L10</f>
        <v>2100</v>
      </c>
      <c r="F2" s="137">
        <f>'Consommation mensuel énergie'!M10</f>
        <v>2734</v>
      </c>
      <c r="G2" s="137">
        <f>'Consommation mensuel énergie'!N10</f>
        <v>1269</v>
      </c>
      <c r="H2" s="137">
        <f>'Consommation mensuel énergie'!D10</f>
        <v>9</v>
      </c>
      <c r="I2" s="137">
        <f>'Consommation mensuel énergie'!E10</f>
        <v>13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2</v>
      </c>
      <c r="D3" s="141">
        <v>2022</v>
      </c>
      <c r="E3" s="137">
        <f>'Consommation mensuel énergie'!L11</f>
        <v>2191</v>
      </c>
      <c r="F3" s="137">
        <f>'Consommation mensuel énergie'!M11</f>
        <v>2664</v>
      </c>
      <c r="G3" s="137">
        <f>'Consommation mensuel énergie'!N14</f>
        <v>1413</v>
      </c>
      <c r="H3" s="137">
        <f>'Consommation mensuel énergie'!D11</f>
        <v>13</v>
      </c>
      <c r="I3" s="137">
        <f>'Consommation mensuel énergie'!E11</f>
        <v>22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2</v>
      </c>
      <c r="D4" s="141">
        <v>2022</v>
      </c>
      <c r="E4" s="137">
        <f>'Consommation mensuel énergie'!L12</f>
        <v>2238</v>
      </c>
      <c r="F4" s="137">
        <f>'Consommation mensuel énergie'!M12</f>
        <v>2724</v>
      </c>
      <c r="G4" s="137">
        <f>'Consommation mensuel énergie'!N12</f>
        <v>1316</v>
      </c>
      <c r="H4" s="137">
        <f>'Consommation mensuel énergie'!D12</f>
        <v>15</v>
      </c>
      <c r="I4" s="137">
        <f>'Consommation mensuel énergie'!E12</f>
        <v>26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2</v>
      </c>
      <c r="D5" s="141">
        <v>2022</v>
      </c>
      <c r="E5" s="137">
        <f>'Consommation mensuel énergie'!L13</f>
        <v>2320</v>
      </c>
      <c r="F5" s="137">
        <f>'Consommation mensuel énergie'!M13</f>
        <v>2817</v>
      </c>
      <c r="G5" s="137">
        <f>'Consommation mensuel énergie'!N13</f>
        <v>1416</v>
      </c>
      <c r="H5" s="137">
        <f>'Consommation mensuel énergie'!D13</f>
        <v>18</v>
      </c>
      <c r="I5" s="137">
        <f>'Consommation mensuel énergie'!E13</f>
        <v>33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2</v>
      </c>
      <c r="D6" s="141">
        <v>2022</v>
      </c>
      <c r="E6" s="137">
        <f>'Consommation mensuel énergie'!L14</f>
        <v>2425</v>
      </c>
      <c r="F6" s="137">
        <f>'Consommation mensuel énergie'!M14</f>
        <v>2902</v>
      </c>
      <c r="G6" s="137">
        <f>'Consommation mensuel énergie'!N14</f>
        <v>1413</v>
      </c>
      <c r="H6" s="137">
        <f>'Consommation mensuel énergie'!D14</f>
        <v>15</v>
      </c>
      <c r="I6" s="137">
        <f>'Consommation mensuel énergie'!E14</f>
        <v>31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2</v>
      </c>
      <c r="D7" s="141">
        <v>2022</v>
      </c>
      <c r="E7" s="137">
        <f>'Consommation mensuel énergie'!L15</f>
        <v>2265</v>
      </c>
      <c r="F7" s="137">
        <f>'Consommation mensuel énergie'!M15</f>
        <v>3160</v>
      </c>
      <c r="G7" s="137">
        <f>'Consommation mensuel énergie'!N15</f>
        <v>1471</v>
      </c>
      <c r="H7" s="137">
        <f>'Consommation mensuel énergie'!D15</f>
        <v>5</v>
      </c>
      <c r="I7" s="137">
        <f>'Consommation mensuel énergie'!E15</f>
        <v>10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2</v>
      </c>
      <c r="D8" s="141">
        <v>2022</v>
      </c>
      <c r="E8" s="137">
        <f>'Consommation mensuel énergie'!L16</f>
        <v>2274</v>
      </c>
      <c r="F8" s="137">
        <f>'Consommation mensuel énergie'!M16</f>
        <v>2831</v>
      </c>
      <c r="G8" s="137">
        <f>'Consommation mensuel énergie'!N16</f>
        <v>1319</v>
      </c>
      <c r="H8" s="137">
        <f>'Consommation mensuel énergie'!D16</f>
        <v>24</v>
      </c>
      <c r="I8" s="137">
        <f>'Consommation mensuel énergie'!E16</f>
        <v>33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2</v>
      </c>
      <c r="D9" s="141">
        <v>2022</v>
      </c>
      <c r="E9" s="137">
        <f>'Consommation mensuel énergie'!L17</f>
        <v>2341</v>
      </c>
      <c r="F9" s="137">
        <f>'Consommation mensuel énergie'!M17</f>
        <v>2859</v>
      </c>
      <c r="G9" s="137">
        <f>'Consommation mensuel énergie'!N17</f>
        <v>1400</v>
      </c>
      <c r="H9" s="137">
        <f>'Consommation mensuel énergie'!D17</f>
        <v>0</v>
      </c>
      <c r="I9" s="137">
        <f>'Consommation mensuel énergie'!E17</f>
        <v>0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2</v>
      </c>
      <c r="D10" s="141">
        <v>2022</v>
      </c>
      <c r="E10" s="137">
        <f>'Consommation mensuel énergie'!L18</f>
        <v>0</v>
      </c>
      <c r="F10" s="137">
        <f>'Consommation mensuel énergie'!M18</f>
        <v>0</v>
      </c>
      <c r="G10" s="137">
        <f>'Consommation mensuel énergie'!N18</f>
        <v>0</v>
      </c>
      <c r="H10" s="137">
        <f>'Consommation mensuel énergie'!D18</f>
        <v>0</v>
      </c>
      <c r="I10" s="137">
        <f>'Consommation mensuel énergie'!E18</f>
        <v>0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2</v>
      </c>
      <c r="D11" s="141">
        <v>2022</v>
      </c>
      <c r="E11" s="137">
        <f>'Consommation mensuel énergie'!L19</f>
        <v>0</v>
      </c>
      <c r="F11" s="137">
        <f>'Consommation mensuel énergie'!M19</f>
        <v>0</v>
      </c>
      <c r="G11" s="137">
        <f>'Consommation mensuel énergie'!N19</f>
        <v>0</v>
      </c>
      <c r="H11" s="137">
        <f>'Consommation mensuel énergie'!D19</f>
        <v>0</v>
      </c>
      <c r="I11" s="137">
        <f>'Consommation mensuel énergie'!E19</f>
        <v>0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2</v>
      </c>
      <c r="D12" s="141">
        <v>2022</v>
      </c>
      <c r="E12" s="137">
        <f>'Consommation mensuel énergie'!L20</f>
        <v>0</v>
      </c>
      <c r="F12" s="137">
        <f>'Consommation mensuel énergie'!M20</f>
        <v>0</v>
      </c>
      <c r="G12" s="137">
        <f>'Consommation mensuel énergie'!N20</f>
        <v>0</v>
      </c>
      <c r="H12" s="137">
        <f>'Consommation mensuel énergie'!D20</f>
        <v>0</v>
      </c>
      <c r="I12" s="137">
        <f>'Consommation mensuel énergie'!E20</f>
        <v>0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2</v>
      </c>
      <c r="D13" s="141">
        <v>2022</v>
      </c>
      <c r="E13" s="137">
        <f>'Consommation mensuel énergie'!L21</f>
        <v>0</v>
      </c>
      <c r="F13" s="137">
        <f>'Consommation mensuel énergie'!M21</f>
        <v>0</v>
      </c>
      <c r="G13" s="137">
        <f>'Consommation mensuel énergie'!N21</f>
        <v>0</v>
      </c>
      <c r="H13" s="137">
        <f>'Consommation mensuel énergie'!D21</f>
        <v>0</v>
      </c>
      <c r="I13" s="137">
        <f>'Consommation mensuel énergie'!E21</f>
        <v>0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2</v>
      </c>
      <c r="D14" s="141">
        <v>2022</v>
      </c>
      <c r="E14" s="137">
        <f>'Consommation mensuel énergie'!L22</f>
        <v>0</v>
      </c>
      <c r="F14" s="137">
        <f>'Consommation mensuel énergie'!M22</f>
        <v>0</v>
      </c>
      <c r="G14" s="137">
        <f>'Consommation mensuel énergie'!N22</f>
        <v>0</v>
      </c>
      <c r="H14" s="137">
        <f>'Consommation mensuel énergie'!D22</f>
        <v>0</v>
      </c>
      <c r="I14" s="137">
        <f>'Consommation mensuel énergie'!E22</f>
        <v>0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2</v>
      </c>
      <c r="D15" s="141">
        <v>2022</v>
      </c>
      <c r="E15" s="137">
        <f>'Consommation mensuel énergie'!L23</f>
        <v>0</v>
      </c>
      <c r="F15" s="137">
        <f>'Consommation mensuel énergie'!M23</f>
        <v>0</v>
      </c>
      <c r="G15" s="137">
        <f>'Consommation mensuel énergie'!N23</f>
        <v>0</v>
      </c>
      <c r="H15" s="137">
        <f>'Consommation mensuel énergie'!D23</f>
        <v>0</v>
      </c>
      <c r="I15" s="137">
        <f>'Consommation mensuel énergie'!E23</f>
        <v>0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2</v>
      </c>
      <c r="D16" s="141">
        <v>2022</v>
      </c>
      <c r="E16" s="137">
        <f>'Consommation mensuel énergie'!L24</f>
        <v>0</v>
      </c>
      <c r="F16" s="137">
        <f>'Consommation mensuel énergie'!M24</f>
        <v>0</v>
      </c>
      <c r="G16" s="137">
        <f>'Consommation mensuel énergie'!N24</f>
        <v>0</v>
      </c>
      <c r="H16" s="137">
        <f>'Consommation mensuel énergie'!D24</f>
        <v>0</v>
      </c>
      <c r="I16" s="137">
        <f>'Consommation mensuel énergie'!E24</f>
        <v>0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2</v>
      </c>
      <c r="D17" s="141">
        <v>2022</v>
      </c>
      <c r="E17" s="137">
        <f>'Consommation mensuel énergie'!L25</f>
        <v>0</v>
      </c>
      <c r="F17" s="137">
        <f>'Consommation mensuel énergie'!M25</f>
        <v>0</v>
      </c>
      <c r="G17" s="137">
        <f>'Consommation mensuel énergie'!N25</f>
        <v>0</v>
      </c>
      <c r="H17" s="137">
        <f>'Consommation mensuel énergie'!D25</f>
        <v>0</v>
      </c>
      <c r="I17" s="137">
        <f>'Consommation mensuel énergie'!E25</f>
        <v>0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2</v>
      </c>
      <c r="D18" s="141">
        <v>2022</v>
      </c>
      <c r="E18" s="137">
        <f>'Consommation mensuel énergie'!L26</f>
        <v>0</v>
      </c>
      <c r="F18" s="137">
        <f>'Consommation mensuel énergie'!M26</f>
        <v>0</v>
      </c>
      <c r="G18" s="137">
        <f>'Consommation mensuel énergie'!N26</f>
        <v>0</v>
      </c>
      <c r="H18" s="137">
        <f>'Consommation mensuel énergie'!D26</f>
        <v>0</v>
      </c>
      <c r="I18" s="137">
        <f>'Consommation mensuel énergie'!E26</f>
        <v>0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2</v>
      </c>
      <c r="D19" s="141">
        <v>2022</v>
      </c>
      <c r="E19" s="137">
        <f>'Consommation mensuel énergie'!L27</f>
        <v>0</v>
      </c>
      <c r="F19" s="137">
        <f>'Consommation mensuel énergie'!M27</f>
        <v>0</v>
      </c>
      <c r="G19" s="137">
        <f>'Consommation mensuel énergie'!N27</f>
        <v>0</v>
      </c>
      <c r="H19" s="137">
        <f>'Consommation mensuel énergie'!D27</f>
        <v>0</v>
      </c>
      <c r="I19" s="137">
        <f>'Consommation mensuel énergie'!E27</f>
        <v>0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2</v>
      </c>
      <c r="D20" s="141">
        <v>2022</v>
      </c>
      <c r="E20" s="137">
        <f>'Consommation mensuel énergie'!L28</f>
        <v>0</v>
      </c>
      <c r="F20" s="137">
        <f>'Consommation mensuel énergie'!M28</f>
        <v>0</v>
      </c>
      <c r="G20" s="137">
        <f>'Consommation mensuel énergie'!N28</f>
        <v>0</v>
      </c>
      <c r="H20" s="137">
        <f>'Consommation mensuel énergie'!D28</f>
        <v>0</v>
      </c>
      <c r="I20" s="137">
        <f>'Consommation mensuel énergie'!E28</f>
        <v>0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2</v>
      </c>
      <c r="D21" s="141">
        <v>2022</v>
      </c>
      <c r="E21" s="137">
        <f>'Consommation mensuel énergie'!L29</f>
        <v>0</v>
      </c>
      <c r="F21" s="137">
        <f>'Consommation mensuel énergie'!M29</f>
        <v>0</v>
      </c>
      <c r="G21" s="137">
        <f>'Consommation mensuel énergie'!N29</f>
        <v>0</v>
      </c>
      <c r="H21" s="137">
        <f>'Consommation mensuel énergie'!D29</f>
        <v>0</v>
      </c>
      <c r="I21" s="137">
        <f>'Consommation mensuel énergie'!E29</f>
        <v>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2</v>
      </c>
      <c r="D22" s="141">
        <v>2022</v>
      </c>
      <c r="E22" s="137">
        <f>'Consommation mensuel énergie'!L30</f>
        <v>0</v>
      </c>
      <c r="F22" s="137">
        <f>'Consommation mensuel énergie'!M30</f>
        <v>0</v>
      </c>
      <c r="G22" s="137">
        <f>'Consommation mensuel énergie'!N30</f>
        <v>0</v>
      </c>
      <c r="H22" s="137">
        <f>'Consommation mensuel énergie'!D30</f>
        <v>0</v>
      </c>
      <c r="I22" s="137">
        <f>'Consommation mensuel énergie'!E30</f>
        <v>0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2</v>
      </c>
      <c r="D23" s="141">
        <v>2022</v>
      </c>
      <c r="E23" s="137">
        <f>'Consommation mensuel énergie'!L31</f>
        <v>0</v>
      </c>
      <c r="F23" s="137">
        <f>'Consommation mensuel énergie'!M31</f>
        <v>0</v>
      </c>
      <c r="G23" s="137">
        <f>'Consommation mensuel énergie'!N31</f>
        <v>0</v>
      </c>
      <c r="H23" s="137">
        <f>'Consommation mensuel énergie'!D31</f>
        <v>0</v>
      </c>
      <c r="I23" s="137">
        <f>'Consommation mensuel énergie'!E31</f>
        <v>0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2</v>
      </c>
      <c r="D24" s="141">
        <v>2022</v>
      </c>
      <c r="E24" s="137">
        <f>'Consommation mensuel énergie'!L32</f>
        <v>0</v>
      </c>
      <c r="F24" s="137">
        <f>'Consommation mensuel énergie'!M32</f>
        <v>0</v>
      </c>
      <c r="G24" s="137">
        <f>'Consommation mensuel énergie'!N32</f>
        <v>0</v>
      </c>
      <c r="H24" s="137">
        <f>'Consommation mensuel énergie'!D32</f>
        <v>0</v>
      </c>
      <c r="I24" s="137">
        <f>'Consommation mensuel énergie'!E32</f>
        <v>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2</v>
      </c>
      <c r="D25" s="141">
        <v>2022</v>
      </c>
      <c r="E25" s="137">
        <f>'Consommation mensuel énergie'!L33</f>
        <v>0</v>
      </c>
      <c r="F25" s="137">
        <f>'Consommation mensuel énergie'!M33</f>
        <v>0</v>
      </c>
      <c r="G25" s="137">
        <f>'Consommation mensuel énergie'!N33</f>
        <v>0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2</v>
      </c>
      <c r="D26" s="141">
        <v>2022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29" si="1">B26+1</f>
        <v>26</v>
      </c>
      <c r="C27" s="140">
        <v>2</v>
      </c>
      <c r="D27" s="141">
        <v>2022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2</v>
      </c>
      <c r="D28" s="141">
        <v>2022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2</v>
      </c>
      <c r="D29" s="141">
        <v>2022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E30" s="134"/>
      <c r="F30" s="134"/>
      <c r="G30" s="134"/>
      <c r="H30" s="133"/>
      <c r="I30" s="133"/>
    </row>
    <row r="31" spans="1:10">
      <c r="E31" s="134"/>
      <c r="F31" s="134"/>
      <c r="G31" s="134"/>
      <c r="H31" s="133"/>
      <c r="I31" s="133"/>
    </row>
    <row r="32" spans="1:10">
      <c r="E32" s="134"/>
      <c r="F32" s="134"/>
      <c r="G32" s="134"/>
      <c r="H32" s="133"/>
      <c r="I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2"/>
  <sheetViews>
    <sheetView showGridLines="0" zoomScale="55" zoomScaleNormal="55" workbookViewId="0">
      <pane xSplit="3" ySplit="9" topLeftCell="D14" activePane="bottomRight" state="frozen"/>
      <selection pane="bottomRight" activeCell="E17" sqref="E17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233"/>
      <c r="B2" s="234"/>
      <c r="C2" s="234"/>
      <c r="D2" s="234"/>
      <c r="E2" s="234"/>
      <c r="F2" s="234"/>
      <c r="G2" s="234"/>
      <c r="H2" s="235"/>
      <c r="I2" s="244" t="s">
        <v>17</v>
      </c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</row>
    <row r="3" spans="1:24" ht="15" hidden="1" customHeight="1" thickBot="1"/>
    <row r="4" spans="1:24" ht="39" hidden="1" customHeight="1" thickBot="1">
      <c r="A4" s="236"/>
      <c r="B4" s="236"/>
      <c r="C4" s="236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36"/>
      <c r="B5" s="236"/>
      <c r="C5" s="236"/>
      <c r="D5" s="5"/>
      <c r="E5" s="5"/>
      <c r="F5" s="5"/>
      <c r="G5" s="5"/>
      <c r="H5" s="5"/>
      <c r="I5" s="5"/>
      <c r="J5" s="5"/>
      <c r="K5" s="5"/>
      <c r="L5" s="5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37"/>
      <c r="X5" s="237"/>
    </row>
    <row r="6" spans="1:24" s="5" customFormat="1" ht="44.25" hidden="1" customHeight="1" thickBot="1">
      <c r="A6" s="3"/>
      <c r="B6" s="3"/>
      <c r="C6" s="3"/>
      <c r="M6" s="237"/>
      <c r="N6" s="237"/>
      <c r="O6" s="237"/>
      <c r="P6" s="237"/>
      <c r="Q6" s="237"/>
      <c r="R6" s="237"/>
      <c r="S6" s="237"/>
      <c r="T6" s="237"/>
      <c r="U6" s="237"/>
      <c r="V6" s="237"/>
      <c r="W6" s="237"/>
      <c r="X6" s="237"/>
    </row>
    <row r="7" spans="1:24" s="5" customFormat="1" ht="18.75" hidden="1" customHeight="1" thickBot="1">
      <c r="F7" s="237"/>
      <c r="G7" s="237"/>
      <c r="H7" s="237"/>
      <c r="I7" s="237"/>
      <c r="J7" s="237"/>
      <c r="K7" s="237"/>
      <c r="L7" s="237"/>
      <c r="M7" s="237"/>
      <c r="N7" s="246"/>
      <c r="O7" s="246"/>
      <c r="P7" s="237"/>
      <c r="Q7" s="237"/>
      <c r="R7" s="237"/>
      <c r="S7" s="237"/>
      <c r="T7" s="237"/>
      <c r="U7" s="237"/>
      <c r="V7" s="237"/>
      <c r="W7" s="237"/>
      <c r="X7" s="237"/>
    </row>
    <row r="8" spans="1:24" ht="18.75" customHeight="1" thickBot="1">
      <c r="A8" s="237"/>
      <c r="B8" s="248" t="s">
        <v>19</v>
      </c>
      <c r="C8" s="4"/>
      <c r="D8" s="208" t="s">
        <v>20</v>
      </c>
      <c r="E8" s="208" t="s">
        <v>21</v>
      </c>
      <c r="F8" s="231" t="s">
        <v>22</v>
      </c>
      <c r="G8" s="2"/>
      <c r="H8" s="238" t="s">
        <v>23</v>
      </c>
      <c r="I8" s="239"/>
      <c r="J8" s="240"/>
      <c r="K8" s="249" t="s">
        <v>24</v>
      </c>
      <c r="L8" s="230" t="s">
        <v>25</v>
      </c>
      <c r="M8" s="230"/>
      <c r="N8" s="230"/>
      <c r="O8" s="230" t="s">
        <v>26</v>
      </c>
      <c r="P8" s="2"/>
      <c r="Q8" s="210" t="s">
        <v>23</v>
      </c>
      <c r="R8" s="2"/>
      <c r="S8" s="210" t="s">
        <v>27</v>
      </c>
      <c r="T8" s="2"/>
      <c r="U8" s="210" t="s">
        <v>28</v>
      </c>
      <c r="V8" s="212" t="s">
        <v>29</v>
      </c>
      <c r="W8" s="2"/>
      <c r="X8" s="210" t="s">
        <v>23</v>
      </c>
    </row>
    <row r="9" spans="1:24" ht="59.25" customHeight="1" thickBot="1">
      <c r="A9" s="237"/>
      <c r="B9" s="248"/>
      <c r="C9" s="4"/>
      <c r="D9" s="209"/>
      <c r="E9" s="209"/>
      <c r="F9" s="232"/>
      <c r="G9" s="2"/>
      <c r="H9" s="241"/>
      <c r="I9" s="242"/>
      <c r="J9" s="243"/>
      <c r="K9" s="250"/>
      <c r="L9" s="155" t="s">
        <v>30</v>
      </c>
      <c r="M9" s="155" t="s">
        <v>31</v>
      </c>
      <c r="N9" s="155" t="s">
        <v>32</v>
      </c>
      <c r="O9" s="247"/>
      <c r="P9" s="2"/>
      <c r="Q9" s="211"/>
      <c r="R9" s="2"/>
      <c r="S9" s="211"/>
      <c r="T9" s="2"/>
      <c r="U9" s="211"/>
      <c r="V9" s="213"/>
      <c r="W9" s="2"/>
      <c r="X9" s="211"/>
    </row>
    <row r="10" spans="1:24" ht="32.25" customHeight="1">
      <c r="A10" s="2"/>
      <c r="B10" s="6">
        <v>44593</v>
      </c>
      <c r="C10" s="7"/>
      <c r="D10" s="143">
        <v>9</v>
      </c>
      <c r="E10" s="143">
        <v>13</v>
      </c>
      <c r="F10" s="13">
        <f>'Suivi EAU-ELEC'!E9</f>
        <v>56.100000000005821</v>
      </c>
      <c r="G10" s="11"/>
      <c r="H10" s="167">
        <f>F10*8.79</f>
        <v>493.11900000005113</v>
      </c>
      <c r="I10" s="168"/>
      <c r="J10" s="168"/>
      <c r="K10" s="60">
        <v>42278</v>
      </c>
      <c r="L10" s="90">
        <f>'Suivi EAU-ELEC'!G9</f>
        <v>2100</v>
      </c>
      <c r="M10" s="91">
        <f>'Suivi EAU-ELEC'!I9</f>
        <v>2734</v>
      </c>
      <c r="N10" s="91">
        <f>'Suivi EAU-ELEC'!K9</f>
        <v>1269</v>
      </c>
      <c r="O10" s="91">
        <f>L10+M10+N10</f>
        <v>6103</v>
      </c>
      <c r="P10" s="11"/>
      <c r="Q10" s="34">
        <f>L10*0.6985+M10*0.9514+N10*1.3304</f>
        <v>5756.2552000000005</v>
      </c>
      <c r="R10" s="11"/>
      <c r="S10" s="28"/>
      <c r="T10" s="11"/>
      <c r="U10" s="28"/>
      <c r="V10" s="146">
        <f>'Suvi Gaz'!O4</f>
        <v>223.99447000000001</v>
      </c>
      <c r="W10" s="11"/>
      <c r="X10" s="34">
        <f>V10*11.565</f>
        <v>2590.49604555</v>
      </c>
    </row>
    <row r="11" spans="1:24" ht="32.25" customHeight="1">
      <c r="A11" s="2"/>
      <c r="B11" s="6">
        <v>44594</v>
      </c>
      <c r="C11" s="7"/>
      <c r="D11" s="143">
        <v>13</v>
      </c>
      <c r="E11" s="143">
        <v>22</v>
      </c>
      <c r="F11" s="13">
        <f>'Suivi EAU-ELEC'!E10</f>
        <v>51.100000000005821</v>
      </c>
      <c r="G11" s="11"/>
      <c r="H11" s="167">
        <f t="shared" ref="H11:H21" si="0">F11*8.79</f>
        <v>449.16900000005114</v>
      </c>
      <c r="I11" s="168"/>
      <c r="J11" s="168"/>
      <c r="K11" s="60">
        <v>42279</v>
      </c>
      <c r="L11" s="90">
        <f>'Suivi EAU-ELEC'!G10</f>
        <v>2191</v>
      </c>
      <c r="M11" s="91">
        <f>'Suivi EAU-ELEC'!I10</f>
        <v>2664</v>
      </c>
      <c r="N11" s="91">
        <f>'Suivi EAU-ELEC'!K10</f>
        <v>1284</v>
      </c>
      <c r="O11" s="91">
        <f>L11+M11+N11</f>
        <v>6139</v>
      </c>
      <c r="P11" s="11"/>
      <c r="Q11" s="34">
        <f>L11*0.6985+M11*0.9514+N14*1.3304</f>
        <v>5944.7983000000004</v>
      </c>
      <c r="R11" s="11"/>
      <c r="S11" s="28"/>
      <c r="T11" s="11"/>
      <c r="U11" s="28"/>
      <c r="V11" s="146">
        <f>'Suvi Gaz'!O5</f>
        <v>223.99447000000001</v>
      </c>
      <c r="W11" s="11"/>
      <c r="X11" s="34">
        <f t="shared" ref="X11:X37" si="1">V11*11.565</f>
        <v>2590.49604555</v>
      </c>
    </row>
    <row r="12" spans="1:24" ht="32.25" customHeight="1">
      <c r="A12" s="2"/>
      <c r="B12" s="6">
        <v>44595</v>
      </c>
      <c r="C12" s="7"/>
      <c r="D12" s="143">
        <v>15</v>
      </c>
      <c r="E12" s="143">
        <v>26</v>
      </c>
      <c r="F12" s="13">
        <f>'Suivi EAU-ELEC'!E11</f>
        <v>53.399999999994179</v>
      </c>
      <c r="G12" s="11"/>
      <c r="H12" s="167">
        <f t="shared" si="0"/>
        <v>469.38599999994881</v>
      </c>
      <c r="I12" s="168"/>
      <c r="J12" s="168"/>
      <c r="K12" s="60">
        <v>42280</v>
      </c>
      <c r="L12" s="90">
        <f>'Suivi EAU-ELEC'!G11</f>
        <v>2238</v>
      </c>
      <c r="M12" s="91">
        <f>'Suivi EAU-ELEC'!I11</f>
        <v>2724</v>
      </c>
      <c r="N12" s="91">
        <f>'Suivi EAU-ELEC'!K11</f>
        <v>1316</v>
      </c>
      <c r="O12" s="91">
        <f>L12+M12+N12</f>
        <v>6278</v>
      </c>
      <c r="P12" s="11"/>
      <c r="Q12" s="34">
        <f>L12*0.6985+M12*0.9514+N12*1.3304</f>
        <v>5905.6630000000005</v>
      </c>
      <c r="R12" s="11"/>
      <c r="S12" s="28"/>
      <c r="T12" s="11"/>
      <c r="U12" s="28"/>
      <c r="V12" s="146">
        <f>'Suvi Gaz'!O6</f>
        <v>127.99684000000001</v>
      </c>
      <c r="W12" s="11"/>
      <c r="X12" s="34">
        <f t="shared" si="1"/>
        <v>1480.2834545999999</v>
      </c>
    </row>
    <row r="13" spans="1:24" ht="32.25" customHeight="1">
      <c r="A13" s="2"/>
      <c r="B13" s="6">
        <v>44596</v>
      </c>
      <c r="C13" s="7"/>
      <c r="D13" s="143">
        <v>18</v>
      </c>
      <c r="E13" s="143">
        <v>33</v>
      </c>
      <c r="F13" s="13">
        <f>'Suivi EAU-ELEC'!E12</f>
        <v>73.399999999994179</v>
      </c>
      <c r="G13" s="11"/>
      <c r="H13" s="167">
        <f t="shared" si="0"/>
        <v>645.18599999994876</v>
      </c>
      <c r="I13" s="168"/>
      <c r="J13" s="168"/>
      <c r="K13" s="60">
        <v>42281</v>
      </c>
      <c r="L13" s="90">
        <f>'Suivi EAU-ELEC'!G12</f>
        <v>2320</v>
      </c>
      <c r="M13" s="91">
        <f>'Suivi EAU-ELEC'!I12</f>
        <v>2817</v>
      </c>
      <c r="N13" s="91">
        <f>'Suivi EAU-ELEC'!K12</f>
        <v>1416</v>
      </c>
      <c r="O13" s="91">
        <f t="shared" ref="O13:O37" si="2">L13+M13+N13</f>
        <v>6553</v>
      </c>
      <c r="P13" s="11"/>
      <c r="Q13" s="34">
        <f t="shared" ref="Q13:Q37" si="3">L13*0.6985+M13*0.9514+N13*1.3304</f>
        <v>6184.4602000000004</v>
      </c>
      <c r="R13" s="11"/>
      <c r="S13" s="28"/>
      <c r="T13" s="11"/>
      <c r="U13" s="28"/>
      <c r="V13" s="146">
        <f>'Suvi Gaz'!O7</f>
        <v>160.29849999999999</v>
      </c>
      <c r="W13" s="11"/>
      <c r="X13" s="34">
        <f t="shared" si="1"/>
        <v>1853.8521524999999</v>
      </c>
    </row>
    <row r="14" spans="1:24" ht="32.25" customHeight="1">
      <c r="A14" s="2"/>
      <c r="B14" s="6">
        <v>44597</v>
      </c>
      <c r="C14" s="7"/>
      <c r="D14" s="143">
        <v>15</v>
      </c>
      <c r="E14" s="143">
        <v>31</v>
      </c>
      <c r="F14" s="13">
        <f>'Suivi EAU-ELEC'!E13</f>
        <v>81</v>
      </c>
      <c r="G14" s="12"/>
      <c r="H14" s="167">
        <f t="shared" si="0"/>
        <v>711.9899999999999</v>
      </c>
      <c r="I14" s="168"/>
      <c r="J14" s="168"/>
      <c r="K14" s="60">
        <v>42282</v>
      </c>
      <c r="L14" s="90">
        <f>'Suivi EAU-ELEC'!G13</f>
        <v>2425</v>
      </c>
      <c r="M14" s="91">
        <f>'Suivi EAU-ELEC'!I13</f>
        <v>2902</v>
      </c>
      <c r="N14" s="91">
        <f>'Suivi EAU-ELEC'!K13</f>
        <v>1413</v>
      </c>
      <c r="O14" s="91">
        <f t="shared" si="2"/>
        <v>6740</v>
      </c>
      <c r="P14" s="12"/>
      <c r="Q14" s="34">
        <f t="shared" si="3"/>
        <v>6334.6805000000004</v>
      </c>
      <c r="R14" s="12"/>
      <c r="S14" s="28"/>
      <c r="T14" s="12"/>
      <c r="U14" s="28"/>
      <c r="V14" s="146">
        <f>'Suvi Gaz'!O8</f>
        <v>383.99052</v>
      </c>
      <c r="W14" s="11"/>
      <c r="X14" s="34">
        <f t="shared" si="1"/>
        <v>4440.8503638000002</v>
      </c>
    </row>
    <row r="15" spans="1:24" ht="32.25" customHeight="1">
      <c r="A15" s="5"/>
      <c r="B15" s="6">
        <v>44598</v>
      </c>
      <c r="C15" s="7"/>
      <c r="D15" s="143">
        <v>5</v>
      </c>
      <c r="E15" s="143">
        <v>10</v>
      </c>
      <c r="F15" s="13">
        <f>'Suivi EAU-ELEC'!E14</f>
        <v>51</v>
      </c>
      <c r="G15" s="11"/>
      <c r="H15" s="167">
        <f t="shared" si="0"/>
        <v>448.28999999999996</v>
      </c>
      <c r="I15" s="168"/>
      <c r="J15" s="168"/>
      <c r="K15" s="60">
        <v>42283</v>
      </c>
      <c r="L15" s="90">
        <f>'Suivi EAU-ELEC'!G14</f>
        <v>2265</v>
      </c>
      <c r="M15" s="91">
        <f>'Suivi EAU-ELEC'!I14</f>
        <v>3160</v>
      </c>
      <c r="N15" s="91">
        <f>'Suivi EAU-ELEC'!K14</f>
        <v>1471</v>
      </c>
      <c r="O15" s="91">
        <f t="shared" si="2"/>
        <v>6896</v>
      </c>
      <c r="P15" s="12"/>
      <c r="Q15" s="34">
        <f>L15*0.6985+M15*0.9514+N15*1.3304</f>
        <v>6545.5448999999999</v>
      </c>
      <c r="R15" s="12"/>
      <c r="S15" s="28"/>
      <c r="T15" s="12"/>
      <c r="U15" s="28"/>
      <c r="V15" s="146">
        <f>'Suvi Gaz'!O9</f>
        <v>255.99368000000001</v>
      </c>
      <c r="W15" s="11"/>
      <c r="X15" s="34">
        <f t="shared" si="1"/>
        <v>2960.5669091999998</v>
      </c>
    </row>
    <row r="16" spans="1:24" ht="32.25" customHeight="1">
      <c r="A16" s="5"/>
      <c r="B16" s="6">
        <v>44599</v>
      </c>
      <c r="C16" s="7"/>
      <c r="D16" s="143">
        <v>24</v>
      </c>
      <c r="E16" s="143">
        <v>33</v>
      </c>
      <c r="F16" s="13">
        <f>'Suivi EAU-ELEC'!E15</f>
        <v>40</v>
      </c>
      <c r="G16" s="11"/>
      <c r="H16" s="167">
        <f t="shared" si="0"/>
        <v>351.59999999999997</v>
      </c>
      <c r="I16" s="168"/>
      <c r="J16" s="168"/>
      <c r="K16" s="60">
        <v>42284</v>
      </c>
      <c r="L16" s="90">
        <f>'Suivi EAU-ELEC'!G15</f>
        <v>2274</v>
      </c>
      <c r="M16" s="91">
        <f>'Suivi EAU-ELEC'!I15</f>
        <v>2831</v>
      </c>
      <c r="N16" s="91">
        <f>'Suivi EAU-ELEC'!K15</f>
        <v>1319</v>
      </c>
      <c r="O16" s="91">
        <f t="shared" si="2"/>
        <v>6424</v>
      </c>
      <c r="P16" s="11"/>
      <c r="Q16" s="34">
        <f t="shared" si="3"/>
        <v>6036.6</v>
      </c>
      <c r="R16" s="11"/>
      <c r="S16" s="28"/>
      <c r="T16" s="11"/>
      <c r="U16" s="28"/>
      <c r="V16" s="146">
        <f>'Suvi Gaz'!O10</f>
        <v>319.99209999999999</v>
      </c>
      <c r="W16" s="11"/>
      <c r="X16" s="34">
        <f t="shared" si="1"/>
        <v>3700.7086364999996</v>
      </c>
    </row>
    <row r="17" spans="1:24" s="5" customFormat="1" ht="32.25" customHeight="1">
      <c r="A17" s="2"/>
      <c r="B17" s="6">
        <v>44600</v>
      </c>
      <c r="C17" s="7"/>
      <c r="D17" s="143"/>
      <c r="E17" s="143"/>
      <c r="F17" s="13">
        <f>'Suivi EAU-ELEC'!E16</f>
        <v>58</v>
      </c>
      <c r="G17" s="11"/>
      <c r="H17" s="167">
        <f t="shared" si="0"/>
        <v>509.81999999999994</v>
      </c>
      <c r="I17" s="168"/>
      <c r="J17" s="168"/>
      <c r="K17" s="60">
        <v>42285</v>
      </c>
      <c r="L17" s="90">
        <f>'Suivi EAU-ELEC'!G16</f>
        <v>2341</v>
      </c>
      <c r="M17" s="91">
        <f>'Suivi EAU-ELEC'!I16</f>
        <v>2859</v>
      </c>
      <c r="N17" s="91">
        <f>'Suivi EAU-ELEC'!K16</f>
        <v>1400</v>
      </c>
      <c r="O17" s="91">
        <f t="shared" si="2"/>
        <v>6600</v>
      </c>
      <c r="P17" s="12"/>
      <c r="Q17" s="34">
        <f t="shared" si="3"/>
        <v>6217.8011000000006</v>
      </c>
      <c r="R17" s="12"/>
      <c r="S17" s="28"/>
      <c r="T17" s="12"/>
      <c r="U17" s="28"/>
      <c r="V17" s="146"/>
      <c r="W17" s="11"/>
      <c r="X17" s="34">
        <f t="shared" si="1"/>
        <v>0</v>
      </c>
    </row>
    <row r="18" spans="1:24" ht="32.25" customHeight="1">
      <c r="A18" s="2"/>
      <c r="B18" s="6">
        <v>44601</v>
      </c>
      <c r="C18" s="7"/>
      <c r="D18" s="143"/>
      <c r="E18" s="143"/>
      <c r="F18" s="13"/>
      <c r="G18" s="11"/>
      <c r="H18" s="167">
        <f t="shared" si="0"/>
        <v>0</v>
      </c>
      <c r="I18" s="168"/>
      <c r="J18" s="168"/>
      <c r="K18" s="60">
        <v>42286</v>
      </c>
      <c r="L18" s="90"/>
      <c r="M18" s="91"/>
      <c r="N18" s="91"/>
      <c r="O18" s="91">
        <f t="shared" si="2"/>
        <v>0</v>
      </c>
      <c r="P18" s="12"/>
      <c r="Q18" s="34">
        <f t="shared" si="3"/>
        <v>0</v>
      </c>
      <c r="R18" s="12"/>
      <c r="S18" s="28"/>
      <c r="T18" s="12"/>
      <c r="U18" s="28"/>
      <c r="V18" s="146"/>
      <c r="W18" s="11"/>
      <c r="X18" s="34">
        <f t="shared" si="1"/>
        <v>0</v>
      </c>
    </row>
    <row r="19" spans="1:24" ht="32.25" customHeight="1">
      <c r="A19" s="2"/>
      <c r="B19" s="6">
        <v>44602</v>
      </c>
      <c r="C19" s="7"/>
      <c r="D19" s="143"/>
      <c r="E19" s="143"/>
      <c r="F19" s="13"/>
      <c r="G19" s="12"/>
      <c r="H19" s="167">
        <f t="shared" si="0"/>
        <v>0</v>
      </c>
      <c r="I19" s="168"/>
      <c r="J19" s="168"/>
      <c r="K19" s="60">
        <v>42287</v>
      </c>
      <c r="L19" s="90"/>
      <c r="M19" s="91"/>
      <c r="N19" s="91"/>
      <c r="O19" s="91">
        <f t="shared" si="2"/>
        <v>0</v>
      </c>
      <c r="P19" s="12"/>
      <c r="Q19" s="34">
        <f t="shared" si="3"/>
        <v>0</v>
      </c>
      <c r="R19" s="12"/>
      <c r="S19" s="28"/>
      <c r="T19" s="12"/>
      <c r="U19" s="28"/>
      <c r="V19" s="146"/>
      <c r="W19" s="11"/>
      <c r="X19" s="34">
        <f t="shared" si="1"/>
        <v>0</v>
      </c>
    </row>
    <row r="20" spans="1:24" ht="32.25" customHeight="1">
      <c r="A20" s="2"/>
      <c r="B20" s="6">
        <v>44603</v>
      </c>
      <c r="C20" s="7"/>
      <c r="D20" s="143"/>
      <c r="E20" s="143"/>
      <c r="F20" s="13"/>
      <c r="G20" s="12"/>
      <c r="H20" s="167">
        <f t="shared" si="0"/>
        <v>0</v>
      </c>
      <c r="I20" s="168"/>
      <c r="J20" s="168"/>
      <c r="K20" s="60">
        <v>42288</v>
      </c>
      <c r="L20" s="90"/>
      <c r="M20" s="91"/>
      <c r="N20" s="91"/>
      <c r="O20" s="91">
        <f t="shared" si="2"/>
        <v>0</v>
      </c>
      <c r="P20" s="12"/>
      <c r="Q20" s="34">
        <f t="shared" si="3"/>
        <v>0</v>
      </c>
      <c r="R20" s="12"/>
      <c r="S20" s="28"/>
      <c r="T20" s="12"/>
      <c r="U20" s="28"/>
      <c r="V20" s="146"/>
      <c r="W20" s="11"/>
      <c r="X20" s="34">
        <f t="shared" si="1"/>
        <v>0</v>
      </c>
    </row>
    <row r="21" spans="1:24" ht="32.25" customHeight="1">
      <c r="A21" s="2"/>
      <c r="B21" s="6">
        <v>44604</v>
      </c>
      <c r="C21" s="7"/>
      <c r="D21" s="143"/>
      <c r="E21" s="143"/>
      <c r="F21" s="13"/>
      <c r="G21" s="12"/>
      <c r="H21" s="167">
        <f t="shared" si="0"/>
        <v>0</v>
      </c>
      <c r="I21" s="168"/>
      <c r="J21" s="168"/>
      <c r="K21" s="60">
        <v>42289</v>
      </c>
      <c r="L21" s="90"/>
      <c r="M21" s="91"/>
      <c r="N21" s="91"/>
      <c r="O21" s="91">
        <f>L21+M21+N21</f>
        <v>0</v>
      </c>
      <c r="P21" s="12"/>
      <c r="Q21" s="34">
        <f t="shared" si="3"/>
        <v>0</v>
      </c>
      <c r="R21" s="12"/>
      <c r="S21" s="28"/>
      <c r="T21" s="12"/>
      <c r="U21" s="28"/>
      <c r="V21" s="146"/>
      <c r="W21" s="11"/>
      <c r="X21" s="34">
        <f t="shared" si="1"/>
        <v>0</v>
      </c>
    </row>
    <row r="22" spans="1:24" ht="32.25" customHeight="1">
      <c r="A22" s="2"/>
      <c r="B22" s="6">
        <v>44605</v>
      </c>
      <c r="C22" s="7"/>
      <c r="D22" s="143"/>
      <c r="E22" s="143"/>
      <c r="F22" s="13"/>
      <c r="G22" s="12"/>
      <c r="H22" s="167">
        <f t="shared" ref="H22:H35" si="4">F22*8.79</f>
        <v>0</v>
      </c>
      <c r="I22" s="168"/>
      <c r="J22" s="168"/>
      <c r="K22" s="60">
        <v>42290</v>
      </c>
      <c r="L22" s="90"/>
      <c r="M22" s="91"/>
      <c r="N22" s="91"/>
      <c r="O22" s="91">
        <f t="shared" si="2"/>
        <v>0</v>
      </c>
      <c r="P22" s="12"/>
      <c r="Q22" s="34">
        <f t="shared" si="3"/>
        <v>0</v>
      </c>
      <c r="R22" s="12"/>
      <c r="S22" s="28"/>
      <c r="T22" s="12"/>
      <c r="U22" s="28"/>
      <c r="V22" s="146"/>
      <c r="W22" s="11"/>
      <c r="X22" s="34">
        <f t="shared" si="1"/>
        <v>0</v>
      </c>
    </row>
    <row r="23" spans="1:24" ht="32.25" customHeight="1">
      <c r="A23" s="2"/>
      <c r="B23" s="6">
        <v>44606</v>
      </c>
      <c r="C23" s="7"/>
      <c r="D23" s="143"/>
      <c r="E23" s="143"/>
      <c r="F23" s="13"/>
      <c r="G23" s="14"/>
      <c r="H23" s="167">
        <f t="shared" si="4"/>
        <v>0</v>
      </c>
      <c r="I23" s="168"/>
      <c r="J23" s="168"/>
      <c r="K23" s="60">
        <v>42291</v>
      </c>
      <c r="L23" s="90"/>
      <c r="M23" s="91"/>
      <c r="N23" s="91"/>
      <c r="O23" s="91">
        <f>L23+M23+N23</f>
        <v>0</v>
      </c>
      <c r="P23" s="12"/>
      <c r="Q23" s="34">
        <f>L23*0.6985+M23*0.9514+N23*1.3304</f>
        <v>0</v>
      </c>
      <c r="R23" s="12"/>
      <c r="S23" s="28"/>
      <c r="T23" s="14"/>
      <c r="U23" s="28"/>
      <c r="V23" s="146"/>
      <c r="W23" s="11"/>
      <c r="X23" s="34">
        <f t="shared" si="1"/>
        <v>0</v>
      </c>
    </row>
    <row r="24" spans="1:24" ht="32.25" customHeight="1">
      <c r="A24" s="2"/>
      <c r="B24" s="6">
        <v>44607</v>
      </c>
      <c r="C24" s="7"/>
      <c r="D24" s="143"/>
      <c r="E24" s="143"/>
      <c r="F24" s="13"/>
      <c r="G24" s="14"/>
      <c r="H24" s="167">
        <f t="shared" si="4"/>
        <v>0</v>
      </c>
      <c r="I24" s="168"/>
      <c r="J24" s="168"/>
      <c r="K24" s="60">
        <v>42292</v>
      </c>
      <c r="L24" s="90"/>
      <c r="M24" s="91"/>
      <c r="N24" s="91"/>
      <c r="O24" s="91">
        <f>L24+M24+N24</f>
        <v>0</v>
      </c>
      <c r="P24" s="12"/>
      <c r="Q24" s="34">
        <f>L24*0.6985+M24*0.9514+N24*1.3304</f>
        <v>0</v>
      </c>
      <c r="R24" s="12"/>
      <c r="S24" s="28"/>
      <c r="T24" s="14"/>
      <c r="U24" s="28"/>
      <c r="V24" s="146"/>
      <c r="W24" s="11"/>
      <c r="X24" s="34">
        <f t="shared" si="1"/>
        <v>0</v>
      </c>
    </row>
    <row r="25" spans="1:24" ht="32.25" customHeight="1">
      <c r="A25" s="2"/>
      <c r="B25" s="6">
        <v>44608</v>
      </c>
      <c r="C25" s="7"/>
      <c r="D25" s="143"/>
      <c r="E25" s="143"/>
      <c r="F25" s="13"/>
      <c r="G25" s="14"/>
      <c r="H25" s="167">
        <f t="shared" si="4"/>
        <v>0</v>
      </c>
      <c r="I25" s="168"/>
      <c r="J25" s="168"/>
      <c r="K25" s="60">
        <v>42293</v>
      </c>
      <c r="L25" s="90"/>
      <c r="M25" s="91"/>
      <c r="N25" s="91"/>
      <c r="O25" s="91">
        <f>L25+M25+N25</f>
        <v>0</v>
      </c>
      <c r="P25" s="12"/>
      <c r="Q25" s="34">
        <f>L25*0.6985+M25*0.9514+N25*1.3304</f>
        <v>0</v>
      </c>
      <c r="R25" s="12"/>
      <c r="S25" s="28"/>
      <c r="T25" s="14"/>
      <c r="U25" s="28"/>
      <c r="V25" s="146"/>
      <c r="W25" s="11"/>
      <c r="X25" s="34">
        <f t="shared" si="1"/>
        <v>0</v>
      </c>
    </row>
    <row r="26" spans="1:24" ht="32.25" customHeight="1">
      <c r="A26" s="2"/>
      <c r="B26" s="6">
        <v>44609</v>
      </c>
      <c r="C26" s="7"/>
      <c r="D26" s="143"/>
      <c r="E26" s="143"/>
      <c r="F26" s="13"/>
      <c r="G26" s="14"/>
      <c r="H26" s="167">
        <f t="shared" si="4"/>
        <v>0</v>
      </c>
      <c r="I26" s="168"/>
      <c r="J26" s="168"/>
      <c r="K26" s="60">
        <v>42294</v>
      </c>
      <c r="L26" s="90"/>
      <c r="M26" s="91"/>
      <c r="N26" s="91"/>
      <c r="O26" s="91">
        <f>L26+M26+N26</f>
        <v>0</v>
      </c>
      <c r="P26" s="14"/>
      <c r="Q26" s="34">
        <f>L26*0.6985+M26*0.9514+N26*1.3304</f>
        <v>0</v>
      </c>
      <c r="R26" s="14"/>
      <c r="S26" s="28"/>
      <c r="T26" s="14"/>
      <c r="U26" s="28"/>
      <c r="V26" s="146"/>
      <c r="W26" s="11"/>
      <c r="X26" s="34">
        <f t="shared" si="1"/>
        <v>0</v>
      </c>
    </row>
    <row r="27" spans="1:24" ht="32.25" customHeight="1">
      <c r="A27" s="2"/>
      <c r="B27" s="6">
        <v>44610</v>
      </c>
      <c r="C27" s="7"/>
      <c r="D27" s="143"/>
      <c r="E27" s="143"/>
      <c r="F27" s="13"/>
      <c r="G27" s="14"/>
      <c r="H27" s="167">
        <f t="shared" si="4"/>
        <v>0</v>
      </c>
      <c r="I27" s="168"/>
      <c r="J27" s="168"/>
      <c r="K27" s="60">
        <v>42295</v>
      </c>
      <c r="L27" s="90"/>
      <c r="M27" s="91"/>
      <c r="N27" s="91"/>
      <c r="O27" s="91">
        <f t="shared" si="2"/>
        <v>0</v>
      </c>
      <c r="P27" s="14"/>
      <c r="Q27" s="34">
        <f t="shared" si="3"/>
        <v>0</v>
      </c>
      <c r="R27" s="14"/>
      <c r="S27" s="28"/>
      <c r="T27" s="14"/>
      <c r="U27" s="28"/>
      <c r="V27" s="146"/>
      <c r="W27" s="11"/>
      <c r="X27" s="34">
        <f t="shared" si="1"/>
        <v>0</v>
      </c>
    </row>
    <row r="28" spans="1:24" ht="32.25" customHeight="1">
      <c r="A28" s="2"/>
      <c r="B28" s="6">
        <v>44611</v>
      </c>
      <c r="C28" s="7"/>
      <c r="D28" s="143"/>
      <c r="E28" s="143"/>
      <c r="F28" s="13"/>
      <c r="G28" s="11"/>
      <c r="H28" s="167">
        <f t="shared" si="4"/>
        <v>0</v>
      </c>
      <c r="I28" s="168"/>
      <c r="J28" s="168"/>
      <c r="K28" s="60">
        <v>42296</v>
      </c>
      <c r="L28" s="90"/>
      <c r="M28" s="91"/>
      <c r="N28" s="91"/>
      <c r="O28" s="91">
        <f t="shared" si="2"/>
        <v>0</v>
      </c>
      <c r="P28" s="11"/>
      <c r="Q28" s="34">
        <f>L28*0.6985+M28*0.9514+N28*1.3304</f>
        <v>0</v>
      </c>
      <c r="R28" s="11"/>
      <c r="S28" s="28"/>
      <c r="T28" s="11"/>
      <c r="U28" s="28"/>
      <c r="V28" s="146"/>
      <c r="W28" s="11"/>
      <c r="X28" s="34">
        <f t="shared" si="1"/>
        <v>0</v>
      </c>
    </row>
    <row r="29" spans="1:24" ht="32.25" customHeight="1">
      <c r="A29" s="2"/>
      <c r="B29" s="6">
        <v>44612</v>
      </c>
      <c r="C29" s="7"/>
      <c r="D29" s="143"/>
      <c r="E29" s="143"/>
      <c r="F29" s="13"/>
      <c r="G29" s="11"/>
      <c r="H29" s="167">
        <f t="shared" si="4"/>
        <v>0</v>
      </c>
      <c r="I29" s="168"/>
      <c r="J29" s="168"/>
      <c r="K29" s="60">
        <v>42297</v>
      </c>
      <c r="L29" s="90"/>
      <c r="M29" s="91"/>
      <c r="N29" s="91"/>
      <c r="O29" s="91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46"/>
      <c r="W29" s="11"/>
      <c r="X29" s="34">
        <f t="shared" si="1"/>
        <v>0</v>
      </c>
    </row>
    <row r="30" spans="1:24" ht="32.25" customHeight="1">
      <c r="A30" s="2"/>
      <c r="B30" s="6">
        <v>44613</v>
      </c>
      <c r="C30" s="7"/>
      <c r="D30" s="143"/>
      <c r="E30" s="143"/>
      <c r="F30" s="13"/>
      <c r="G30" s="11"/>
      <c r="H30" s="167">
        <f t="shared" si="4"/>
        <v>0</v>
      </c>
      <c r="I30" s="168"/>
      <c r="J30" s="168"/>
      <c r="K30" s="60">
        <v>42298</v>
      </c>
      <c r="L30" s="90"/>
      <c r="M30" s="91"/>
      <c r="N30" s="91"/>
      <c r="O30" s="91">
        <f>L30+M30+N30</f>
        <v>0</v>
      </c>
      <c r="P30" s="11"/>
      <c r="Q30" s="34">
        <f>L30*0.6985+M30*0.9514+N30*1.3304</f>
        <v>0</v>
      </c>
      <c r="R30" s="11"/>
      <c r="S30" s="28"/>
      <c r="T30" s="11"/>
      <c r="U30" s="28"/>
      <c r="V30" s="146"/>
      <c r="W30" s="11"/>
      <c r="X30" s="34">
        <f t="shared" si="1"/>
        <v>0</v>
      </c>
    </row>
    <row r="31" spans="1:24" ht="27.75" customHeight="1">
      <c r="A31" s="2"/>
      <c r="B31" s="6">
        <v>44614</v>
      </c>
      <c r="C31" s="7"/>
      <c r="D31" s="143"/>
      <c r="E31" s="143"/>
      <c r="F31" s="13"/>
      <c r="G31" s="11"/>
      <c r="H31" s="167">
        <f t="shared" si="4"/>
        <v>0</v>
      </c>
      <c r="I31" s="168"/>
      <c r="J31" s="168"/>
      <c r="K31" s="60">
        <v>42299</v>
      </c>
      <c r="L31" s="90"/>
      <c r="M31" s="91"/>
      <c r="N31" s="91"/>
      <c r="O31" s="91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46"/>
      <c r="W31" s="11"/>
      <c r="X31" s="34">
        <f t="shared" si="1"/>
        <v>0</v>
      </c>
    </row>
    <row r="32" spans="1:24" ht="37.5" customHeight="1">
      <c r="A32" s="2"/>
      <c r="B32" s="6">
        <v>44615</v>
      </c>
      <c r="C32" s="7"/>
      <c r="D32" s="143"/>
      <c r="E32" s="143"/>
      <c r="F32" s="13"/>
      <c r="G32" s="11"/>
      <c r="H32" s="167">
        <f t="shared" si="4"/>
        <v>0</v>
      </c>
      <c r="I32" s="168"/>
      <c r="J32" s="168"/>
      <c r="K32" s="60">
        <v>42300</v>
      </c>
      <c r="L32" s="90"/>
      <c r="M32" s="91"/>
      <c r="N32" s="91"/>
      <c r="O32" s="91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46"/>
      <c r="W32" s="11"/>
      <c r="X32" s="34">
        <f t="shared" si="1"/>
        <v>0</v>
      </c>
    </row>
    <row r="33" spans="1:24" ht="37.5" customHeight="1">
      <c r="A33" s="2"/>
      <c r="B33" s="6">
        <v>44616</v>
      </c>
      <c r="C33" s="7"/>
      <c r="D33" s="143"/>
      <c r="E33" s="143"/>
      <c r="F33" s="13"/>
      <c r="G33" s="11"/>
      <c r="H33" s="167">
        <f t="shared" si="4"/>
        <v>0</v>
      </c>
      <c r="I33" s="168"/>
      <c r="J33" s="168"/>
      <c r="K33" s="60">
        <v>42301</v>
      </c>
      <c r="L33" s="90"/>
      <c r="M33" s="91"/>
      <c r="N33" s="91"/>
      <c r="O33" s="91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6"/>
      <c r="W33" s="11"/>
      <c r="X33" s="34">
        <f t="shared" si="1"/>
        <v>0</v>
      </c>
    </row>
    <row r="34" spans="1:24" ht="37.5" customHeight="1">
      <c r="A34" s="2"/>
      <c r="B34" s="6">
        <v>44617</v>
      </c>
      <c r="C34" s="7"/>
      <c r="D34" s="143"/>
      <c r="E34" s="143"/>
      <c r="F34" s="13"/>
      <c r="G34" s="11"/>
      <c r="H34" s="167">
        <f t="shared" si="4"/>
        <v>0</v>
      </c>
      <c r="I34" s="168"/>
      <c r="J34" s="168"/>
      <c r="K34" s="60">
        <v>42302</v>
      </c>
      <c r="L34" s="90"/>
      <c r="M34" s="91"/>
      <c r="N34" s="91"/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6"/>
      <c r="W34" s="11"/>
      <c r="X34" s="34">
        <f t="shared" si="1"/>
        <v>0</v>
      </c>
    </row>
    <row r="35" spans="1:24" ht="33.75" customHeight="1">
      <c r="A35" s="2"/>
      <c r="B35" s="6">
        <v>44618</v>
      </c>
      <c r="C35" s="7"/>
      <c r="D35" s="143"/>
      <c r="E35" s="143"/>
      <c r="F35" s="13"/>
      <c r="G35" s="11"/>
      <c r="H35" s="167">
        <f t="shared" si="4"/>
        <v>0</v>
      </c>
      <c r="I35" s="168"/>
      <c r="J35" s="168"/>
      <c r="K35" s="60">
        <v>42303</v>
      </c>
      <c r="L35" s="90"/>
      <c r="M35" s="91"/>
      <c r="N35" s="91"/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6"/>
      <c r="W35" s="11"/>
      <c r="X35" s="34">
        <f t="shared" si="1"/>
        <v>0</v>
      </c>
    </row>
    <row r="36" spans="1:24" ht="33.75" customHeight="1">
      <c r="A36" s="2"/>
      <c r="B36" s="6">
        <v>44619</v>
      </c>
      <c r="C36" s="7"/>
      <c r="D36" s="143"/>
      <c r="E36" s="143"/>
      <c r="F36" s="13"/>
      <c r="G36" s="11"/>
      <c r="H36" s="167">
        <f>F36*8.79</f>
        <v>0</v>
      </c>
      <c r="I36" s="168"/>
      <c r="J36" s="168"/>
      <c r="K36" s="60">
        <v>42304</v>
      </c>
      <c r="L36" s="90"/>
      <c r="M36" s="91"/>
      <c r="N36" s="91"/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6"/>
      <c r="W36" s="11"/>
      <c r="X36" s="34">
        <f t="shared" si="1"/>
        <v>0</v>
      </c>
    </row>
    <row r="37" spans="1:24" ht="33.75" customHeight="1">
      <c r="A37" s="2"/>
      <c r="B37" s="6">
        <v>44620</v>
      </c>
      <c r="C37" s="7"/>
      <c r="D37" s="143"/>
      <c r="E37" s="143"/>
      <c r="F37" s="13"/>
      <c r="G37" s="11"/>
      <c r="H37" s="167">
        <f t="shared" ref="H37" si="5">F37*8.79</f>
        <v>0</v>
      </c>
      <c r="I37" s="168"/>
      <c r="J37" s="168"/>
      <c r="K37" s="60"/>
      <c r="L37" s="90"/>
      <c r="M37" s="91"/>
      <c r="N37" s="91"/>
      <c r="O37" s="91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46"/>
      <c r="W37" s="11"/>
      <c r="X37" s="34">
        <f t="shared" si="1"/>
        <v>0</v>
      </c>
    </row>
    <row r="38" spans="1:24" ht="42.75" customHeight="1">
      <c r="A38" s="2"/>
      <c r="B38" s="10"/>
      <c r="C38" s="10"/>
      <c r="D38" s="8">
        <f>SUM(D10:D37)</f>
        <v>99</v>
      </c>
      <c r="E38" s="8">
        <f>SUM(E10:E37)</f>
        <v>168</v>
      </c>
      <c r="F38" s="152">
        <f>SUM(F10:F37)</f>
        <v>464</v>
      </c>
      <c r="G38" s="1"/>
      <c r="H38" s="205">
        <f>SUM(H10:H37)</f>
        <v>4078.5599999999995</v>
      </c>
      <c r="I38" s="206"/>
      <c r="J38" s="207"/>
      <c r="K38" s="1"/>
      <c r="L38" s="53">
        <f>SUM(L10:L37)</f>
        <v>18154</v>
      </c>
      <c r="M38" s="53">
        <f>SUM(M10:M37)</f>
        <v>22691</v>
      </c>
      <c r="N38" s="54">
        <f>SUM(N10:N37)</f>
        <v>10888</v>
      </c>
      <c r="O38" s="55">
        <f>SUM(O10:O37)</f>
        <v>51733</v>
      </c>
      <c r="P38" s="31"/>
      <c r="Q38" s="32">
        <f>SUM(Q10:Q37)</f>
        <v>48925.803200000009</v>
      </c>
      <c r="R38" s="31"/>
      <c r="S38" s="30">
        <f>SUM(S10:S37)</f>
        <v>0</v>
      </c>
      <c r="T38" s="31"/>
      <c r="U38" s="30">
        <f>SUM(U10:U37)</f>
        <v>0</v>
      </c>
      <c r="V38" s="32">
        <f>SUM(V10:V37)</f>
        <v>1696.2605799999999</v>
      </c>
      <c r="W38" s="31"/>
      <c r="X38" s="32">
        <f>SUM(X10:X37)</f>
        <v>19617.2536077</v>
      </c>
    </row>
    <row r="39" spans="1:24" s="5" customFormat="1" ht="12.75" customHeight="1">
      <c r="A39" s="2"/>
      <c r="B39" s="2"/>
      <c r="C39" s="2"/>
      <c r="D39" s="2"/>
      <c r="E39" s="2"/>
      <c r="F39" s="2"/>
      <c r="G39" s="2"/>
      <c r="H39" s="15"/>
      <c r="I39" s="2"/>
      <c r="J39" s="15"/>
      <c r="K39" s="2"/>
      <c r="O39" s="1"/>
      <c r="P39" s="1"/>
      <c r="Q39" s="2"/>
      <c r="R39" s="1"/>
      <c r="S39" s="2"/>
      <c r="T39" s="1"/>
      <c r="U39" s="2"/>
      <c r="V39" s="2"/>
      <c r="W39" s="1"/>
      <c r="X39" s="2"/>
    </row>
    <row r="40" spans="1:24" s="5" customFormat="1" ht="32.25" customHeight="1" thickBot="1">
      <c r="A40" s="185" t="s">
        <v>33</v>
      </c>
      <c r="B40" s="186"/>
      <c r="C40" s="186"/>
      <c r="D40" s="186"/>
      <c r="E40" s="186"/>
      <c r="F40" s="187"/>
      <c r="G40" s="26"/>
      <c r="H40" s="27" t="s">
        <v>34</v>
      </c>
      <c r="I40" s="197" t="s">
        <v>35</v>
      </c>
      <c r="J40" s="198"/>
      <c r="K40" s="199"/>
      <c r="L40" s="228" t="s">
        <v>36</v>
      </c>
      <c r="M40" s="229"/>
      <c r="N40" s="185" t="s">
        <v>37</v>
      </c>
      <c r="O40" s="186"/>
      <c r="P40" s="186"/>
      <c r="Q40" s="186"/>
      <c r="R40" s="186"/>
      <c r="S40" s="186"/>
      <c r="T40" s="186"/>
      <c r="U40" s="186"/>
      <c r="V40" s="186"/>
      <c r="W40" s="186"/>
      <c r="X40" s="187"/>
    </row>
    <row r="41" spans="1:24" s="18" customFormat="1" ht="29.25" customHeight="1" thickBot="1">
      <c r="A41" s="222" t="s">
        <v>38</v>
      </c>
      <c r="B41" s="223"/>
      <c r="C41" s="224"/>
      <c r="D41" s="157" t="s">
        <v>30</v>
      </c>
      <c r="E41" s="157" t="s">
        <v>30</v>
      </c>
      <c r="F41" s="157" t="s">
        <v>30</v>
      </c>
      <c r="G41" s="16"/>
      <c r="H41" s="17">
        <v>0.69850000000000001</v>
      </c>
      <c r="I41" s="219">
        <f>L38</f>
        <v>18154</v>
      </c>
      <c r="J41" s="220"/>
      <c r="K41" s="221"/>
      <c r="L41" s="203">
        <f>I41*H41</f>
        <v>12680.569</v>
      </c>
      <c r="M41" s="204"/>
      <c r="N41" s="176">
        <f>L41+L42+L43</f>
        <v>48754.181599999996</v>
      </c>
      <c r="O41" s="177"/>
      <c r="P41" s="177"/>
      <c r="Q41" s="177"/>
      <c r="R41" s="177"/>
      <c r="S41" s="177"/>
      <c r="T41" s="177"/>
      <c r="U41" s="177"/>
      <c r="V41" s="177"/>
      <c r="W41" s="177"/>
      <c r="X41" s="178"/>
    </row>
    <row r="42" spans="1:24" s="18" customFormat="1" ht="29.25" customHeight="1" thickBot="1">
      <c r="A42" s="225"/>
      <c r="B42" s="226"/>
      <c r="C42" s="227"/>
      <c r="D42" s="156" t="s">
        <v>31</v>
      </c>
      <c r="E42" s="156" t="s">
        <v>31</v>
      </c>
      <c r="F42" s="156" t="s">
        <v>31</v>
      </c>
      <c r="G42" s="16"/>
      <c r="H42" s="19">
        <v>0.95140000000000002</v>
      </c>
      <c r="I42" s="219">
        <f>M38</f>
        <v>22691</v>
      </c>
      <c r="J42" s="220"/>
      <c r="K42" s="221"/>
      <c r="L42" s="203">
        <f>I42*H42</f>
        <v>21588.217400000001</v>
      </c>
      <c r="M42" s="204"/>
      <c r="N42" s="179"/>
      <c r="O42" s="180"/>
      <c r="P42" s="180"/>
      <c r="Q42" s="180"/>
      <c r="R42" s="180"/>
      <c r="S42" s="180"/>
      <c r="T42" s="180"/>
      <c r="U42" s="180"/>
      <c r="V42" s="180"/>
      <c r="W42" s="180"/>
      <c r="X42" s="181"/>
    </row>
    <row r="43" spans="1:24" s="18" customFormat="1" ht="24.75" customHeight="1" thickBot="1">
      <c r="A43" s="225"/>
      <c r="B43" s="226"/>
      <c r="C43" s="227"/>
      <c r="D43" s="162" t="s">
        <v>32</v>
      </c>
      <c r="E43" s="162" t="s">
        <v>32</v>
      </c>
      <c r="F43" s="162" t="s">
        <v>32</v>
      </c>
      <c r="G43" s="20"/>
      <c r="H43" s="20">
        <v>1.3304</v>
      </c>
      <c r="I43" s="194">
        <f>N38</f>
        <v>10888</v>
      </c>
      <c r="J43" s="195"/>
      <c r="K43" s="196"/>
      <c r="L43" s="203">
        <f>I43*H43</f>
        <v>14485.395200000001</v>
      </c>
      <c r="M43" s="204"/>
      <c r="N43" s="182"/>
      <c r="O43" s="183"/>
      <c r="P43" s="183"/>
      <c r="Q43" s="183"/>
      <c r="R43" s="183"/>
      <c r="S43" s="183"/>
      <c r="T43" s="183"/>
      <c r="U43" s="183"/>
      <c r="V43" s="183"/>
      <c r="W43" s="183"/>
      <c r="X43" s="184"/>
    </row>
    <row r="44" spans="1:24" s="18" customFormat="1" ht="43.5" customHeight="1" thickBot="1">
      <c r="A44" s="158"/>
      <c r="B44" s="159"/>
      <c r="C44" s="159"/>
      <c r="D44" s="162"/>
      <c r="E44" s="162"/>
      <c r="F44" s="162"/>
      <c r="G44" s="16"/>
      <c r="H44" s="16"/>
      <c r="I44" s="160"/>
      <c r="J44" s="161"/>
      <c r="K44" s="162"/>
      <c r="L44" s="153"/>
      <c r="M44" s="154"/>
      <c r="N44" s="200">
        <f>N41*1.3</f>
        <v>63380.436079999999</v>
      </c>
      <c r="O44" s="201"/>
      <c r="P44" s="201"/>
      <c r="Q44" s="201"/>
      <c r="R44" s="201"/>
      <c r="S44" s="201"/>
      <c r="T44" s="201"/>
      <c r="U44" s="201"/>
      <c r="V44" s="201"/>
      <c r="W44" s="201"/>
      <c r="X44" s="202"/>
    </row>
    <row r="45" spans="1:24" s="23" customFormat="1" ht="32.25" customHeight="1" thickBot="1">
      <c r="A45" s="214" t="s">
        <v>39</v>
      </c>
      <c r="B45" s="215"/>
      <c r="C45" s="215"/>
      <c r="D45" s="215"/>
      <c r="E45" s="215"/>
      <c r="F45" s="216"/>
      <c r="G45" s="21"/>
      <c r="H45" s="22">
        <v>8.7899999999999991</v>
      </c>
      <c r="I45" s="214">
        <f>F38</f>
        <v>464</v>
      </c>
      <c r="J45" s="215"/>
      <c r="K45" s="216"/>
      <c r="L45" s="217">
        <f>I45*H45</f>
        <v>4078.5599999999995</v>
      </c>
      <c r="M45" s="218"/>
      <c r="N45" s="173">
        <f>L45</f>
        <v>4078.5599999999995</v>
      </c>
      <c r="O45" s="174"/>
      <c r="P45" s="174"/>
      <c r="Q45" s="174"/>
      <c r="R45" s="174"/>
      <c r="S45" s="174"/>
      <c r="T45" s="174"/>
      <c r="U45" s="174"/>
      <c r="V45" s="174"/>
      <c r="W45" s="174"/>
      <c r="X45" s="175"/>
    </row>
    <row r="46" spans="1:24" s="23" customFormat="1" ht="36.75" customHeight="1">
      <c r="A46" s="188" t="s">
        <v>40</v>
      </c>
      <c r="B46" s="189"/>
      <c r="C46" s="189"/>
      <c r="D46" s="189"/>
      <c r="E46" s="189"/>
      <c r="F46" s="190"/>
      <c r="G46" s="24"/>
      <c r="H46" s="25">
        <v>11.565</v>
      </c>
      <c r="I46" s="191">
        <f>V38</f>
        <v>1696.2605799999999</v>
      </c>
      <c r="J46" s="192"/>
      <c r="K46" s="193"/>
      <c r="L46" s="191">
        <f>I46*H46</f>
        <v>19617.253607699997</v>
      </c>
      <c r="M46" s="193"/>
      <c r="N46" s="170">
        <f>L46</f>
        <v>19617.253607699997</v>
      </c>
      <c r="O46" s="171"/>
      <c r="P46" s="171"/>
      <c r="Q46" s="171"/>
      <c r="R46" s="171"/>
      <c r="S46" s="171"/>
      <c r="T46" s="171"/>
      <c r="U46" s="171"/>
      <c r="V46" s="171"/>
      <c r="W46" s="171"/>
      <c r="X46" s="172"/>
    </row>
    <row r="47" spans="1:24" ht="27" customHeight="1">
      <c r="A47" s="2"/>
      <c r="B47" s="2"/>
      <c r="C47" s="2"/>
      <c r="D47" s="2"/>
      <c r="E47" s="2"/>
      <c r="F47" s="2"/>
      <c r="G47" s="33"/>
      <c r="H47" s="33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33"/>
      <c r="U47" s="33"/>
      <c r="V47" s="33"/>
      <c r="W47" s="33"/>
      <c r="X47" s="33"/>
    </row>
    <row r="48" spans="1:24" ht="18.75" customHeight="1"/>
    <row r="52" spans="2:24" ht="39" customHeight="1">
      <c r="B52" s="169"/>
      <c r="C52" s="169"/>
      <c r="D52" s="169"/>
      <c r="E52" s="169"/>
      <c r="F52" s="169"/>
      <c r="G52" s="169"/>
      <c r="H52" s="169"/>
      <c r="I52" s="169"/>
      <c r="J52" s="169"/>
      <c r="K52" s="169"/>
      <c r="L52" s="169"/>
      <c r="M52" s="169"/>
      <c r="N52" s="169"/>
      <c r="O52" s="169"/>
      <c r="P52" s="169"/>
      <c r="Q52" s="169"/>
      <c r="R52" s="169"/>
      <c r="S52" s="169"/>
      <c r="T52" s="169"/>
      <c r="U52" s="169"/>
      <c r="V52" s="169"/>
      <c r="W52" s="169"/>
      <c r="X52" s="169"/>
    </row>
  </sheetData>
  <mergeCells count="70">
    <mergeCell ref="H36:J36"/>
    <mergeCell ref="L41:M41"/>
    <mergeCell ref="H33:J33"/>
    <mergeCell ref="H31:J31"/>
    <mergeCell ref="H35:J35"/>
    <mergeCell ref="H37:J37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6:M46"/>
    <mergeCell ref="A45:F45"/>
    <mergeCell ref="A40:F40"/>
    <mergeCell ref="I45:K45"/>
    <mergeCell ref="L45:M45"/>
    <mergeCell ref="L42:M42"/>
    <mergeCell ref="H34:J34"/>
    <mergeCell ref="I41:K41"/>
    <mergeCell ref="A41:C43"/>
    <mergeCell ref="L40:M40"/>
    <mergeCell ref="H27:J27"/>
    <mergeCell ref="I42:K42"/>
    <mergeCell ref="H28:J28"/>
    <mergeCell ref="H32:J32"/>
    <mergeCell ref="H29:J29"/>
    <mergeCell ref="B52:X52"/>
    <mergeCell ref="N46:X46"/>
    <mergeCell ref="N45:X45"/>
    <mergeCell ref="N41:X43"/>
    <mergeCell ref="N40:X40"/>
    <mergeCell ref="A46:F46"/>
    <mergeCell ref="I46:K46"/>
    <mergeCell ref="I43:K43"/>
    <mergeCell ref="I40:K40"/>
    <mergeCell ref="N44:X44"/>
    <mergeCell ref="L43:M43"/>
    <mergeCell ref="H38:J38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9" activePane="bottomRight" state="frozen"/>
      <selection pane="bottomRight" activeCell="K15" sqref="K15:K16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0"/>
      <c r="B1" s="271"/>
      <c r="C1" s="271"/>
      <c r="D1" s="272"/>
      <c r="E1" s="253" t="s">
        <v>41</v>
      </c>
      <c r="F1" s="254"/>
      <c r="G1" s="254"/>
      <c r="H1" s="254"/>
      <c r="I1" s="255"/>
      <c r="J1" s="262" t="s">
        <v>42</v>
      </c>
      <c r="K1" s="263"/>
      <c r="L1" s="49"/>
    </row>
    <row r="2" spans="1:12" ht="16.5" customHeight="1">
      <c r="A2" s="273"/>
      <c r="B2" s="274"/>
      <c r="C2" s="274"/>
      <c r="D2" s="275"/>
      <c r="E2" s="256"/>
      <c r="F2" s="257"/>
      <c r="G2" s="257"/>
      <c r="H2" s="257"/>
      <c r="I2" s="258"/>
      <c r="J2" s="264"/>
      <c r="K2" s="265"/>
      <c r="L2" s="49"/>
    </row>
    <row r="3" spans="1:12" ht="48" customHeight="1">
      <c r="A3" s="276"/>
      <c r="B3" s="277"/>
      <c r="C3" s="277"/>
      <c r="D3" s="278"/>
      <c r="E3" s="259"/>
      <c r="F3" s="260"/>
      <c r="G3" s="260"/>
      <c r="H3" s="260"/>
      <c r="I3" s="261"/>
      <c r="J3" s="266"/>
      <c r="K3" s="267"/>
      <c r="L3" s="49"/>
    </row>
    <row r="6" spans="1:12" ht="10.5" customHeight="1"/>
    <row r="7" spans="1:12" ht="16.5" customHeight="1">
      <c r="A7" s="251" t="s">
        <v>43</v>
      </c>
      <c r="B7" s="279" t="s">
        <v>44</v>
      </c>
      <c r="C7" s="280"/>
      <c r="D7" s="268" t="s">
        <v>45</v>
      </c>
      <c r="E7" s="268"/>
      <c r="F7" s="269" t="s">
        <v>46</v>
      </c>
      <c r="G7" s="269"/>
      <c r="H7" s="269"/>
      <c r="I7" s="269"/>
      <c r="J7" s="269"/>
      <c r="K7" s="269"/>
    </row>
    <row r="8" spans="1:12" s="29" customFormat="1" ht="28.5" customHeight="1">
      <c r="A8" s="252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44593</v>
      </c>
      <c r="B9" s="116">
        <v>2560</v>
      </c>
      <c r="C9" s="115">
        <v>0</v>
      </c>
      <c r="D9" s="57">
        <v>134294.1</v>
      </c>
      <c r="E9" s="50">
        <v>56.100000000005821</v>
      </c>
      <c r="F9" s="51">
        <v>11433659</v>
      </c>
      <c r="G9" s="50">
        <v>2100</v>
      </c>
      <c r="H9" s="51">
        <v>19409181</v>
      </c>
      <c r="I9" s="50">
        <v>2734</v>
      </c>
      <c r="J9" s="51">
        <v>8522816</v>
      </c>
      <c r="K9" s="50">
        <v>1269</v>
      </c>
    </row>
    <row r="10" spans="1:12" ht="19.5">
      <c r="A10" s="59">
        <v>44594</v>
      </c>
      <c r="B10" s="116">
        <v>2560</v>
      </c>
      <c r="C10" s="115">
        <f>B10-B9</f>
        <v>0</v>
      </c>
      <c r="D10" s="57">
        <v>134345.20000000001</v>
      </c>
      <c r="E10" s="50">
        <f>D10-D9</f>
        <v>51.100000000005821</v>
      </c>
      <c r="F10" s="51">
        <v>11435850</v>
      </c>
      <c r="G10" s="50">
        <f>F10-F9</f>
        <v>2191</v>
      </c>
      <c r="H10" s="51">
        <v>19411845</v>
      </c>
      <c r="I10" s="50">
        <f>H10-H9</f>
        <v>2664</v>
      </c>
      <c r="J10" s="51">
        <v>8524100</v>
      </c>
      <c r="K10" s="50">
        <f>J10-J9</f>
        <v>1284</v>
      </c>
    </row>
    <row r="11" spans="1:12" ht="19.5">
      <c r="A11" s="59">
        <v>44595</v>
      </c>
      <c r="B11" s="116">
        <v>2560</v>
      </c>
      <c r="C11" s="115">
        <f>B11-B10</f>
        <v>0</v>
      </c>
      <c r="D11" s="57">
        <v>134398.6</v>
      </c>
      <c r="E11" s="50">
        <f>D11-D10</f>
        <v>53.399999999994179</v>
      </c>
      <c r="F11" s="51">
        <v>11438088</v>
      </c>
      <c r="G11" s="50">
        <f>F11-F10</f>
        <v>2238</v>
      </c>
      <c r="H11" s="51">
        <v>19414569</v>
      </c>
      <c r="I11" s="50">
        <f>H11-H10</f>
        <v>2724</v>
      </c>
      <c r="J11" s="51">
        <v>8525416</v>
      </c>
      <c r="K11" s="50">
        <f>J11-J10</f>
        <v>1316</v>
      </c>
    </row>
    <row r="12" spans="1:12" ht="19.5">
      <c r="A12" s="59">
        <v>44596</v>
      </c>
      <c r="B12" s="116">
        <v>2560</v>
      </c>
      <c r="C12" s="115">
        <f>B12-B11</f>
        <v>0</v>
      </c>
      <c r="D12" s="57">
        <v>134472</v>
      </c>
      <c r="E12" s="50">
        <f>D12-D11</f>
        <v>73.399999999994179</v>
      </c>
      <c r="F12" s="51">
        <v>11440408</v>
      </c>
      <c r="G12" s="50">
        <f>F12-F11</f>
        <v>2320</v>
      </c>
      <c r="H12" s="51">
        <v>19417386</v>
      </c>
      <c r="I12" s="50">
        <f>H12-H11</f>
        <v>2817</v>
      </c>
      <c r="J12" s="51">
        <v>8526832</v>
      </c>
      <c r="K12" s="50">
        <f>J12-J11</f>
        <v>1416</v>
      </c>
    </row>
    <row r="13" spans="1:12" ht="19.5">
      <c r="A13" s="59">
        <v>44597</v>
      </c>
      <c r="B13" s="116">
        <v>2560</v>
      </c>
      <c r="C13" s="115">
        <f>B13-B12</f>
        <v>0</v>
      </c>
      <c r="D13" s="57">
        <v>134553</v>
      </c>
      <c r="E13" s="50">
        <f>D13-D12</f>
        <v>81</v>
      </c>
      <c r="F13" s="51">
        <v>11442833</v>
      </c>
      <c r="G13" s="50">
        <f>F13-F12</f>
        <v>2425</v>
      </c>
      <c r="H13" s="51">
        <v>19420288</v>
      </c>
      <c r="I13" s="50">
        <f>H13-H12</f>
        <v>2902</v>
      </c>
      <c r="J13" s="51">
        <v>8528245</v>
      </c>
      <c r="K13" s="50">
        <f>J13-J12</f>
        <v>1413</v>
      </c>
    </row>
    <row r="14" spans="1:12" ht="19.5">
      <c r="A14" s="59">
        <v>44598</v>
      </c>
      <c r="B14" s="116">
        <v>2560</v>
      </c>
      <c r="C14" s="115">
        <f>B14-B13</f>
        <v>0</v>
      </c>
      <c r="D14" s="57">
        <v>134604</v>
      </c>
      <c r="E14" s="50">
        <f>D14-D13</f>
        <v>51</v>
      </c>
      <c r="F14" s="51">
        <v>11445098</v>
      </c>
      <c r="G14" s="50">
        <f>F14-F13</f>
        <v>2265</v>
      </c>
      <c r="H14" s="51">
        <v>19423448</v>
      </c>
      <c r="I14" s="50">
        <f>H14-H13</f>
        <v>3160</v>
      </c>
      <c r="J14" s="51">
        <v>8529716</v>
      </c>
      <c r="K14" s="50">
        <f>J14-J13</f>
        <v>1471</v>
      </c>
    </row>
    <row r="15" spans="1:12" ht="19.5">
      <c r="A15" s="59">
        <v>44599</v>
      </c>
      <c r="B15" s="116">
        <v>2560</v>
      </c>
      <c r="C15" s="115">
        <f>B15-B14</f>
        <v>0</v>
      </c>
      <c r="D15" s="57">
        <v>134644</v>
      </c>
      <c r="E15" s="50">
        <f>D15-D14</f>
        <v>40</v>
      </c>
      <c r="F15" s="51">
        <v>11447372</v>
      </c>
      <c r="G15" s="50">
        <f>F15-F14</f>
        <v>2274</v>
      </c>
      <c r="H15" s="51">
        <v>19426279</v>
      </c>
      <c r="I15" s="50">
        <f>H15-H14</f>
        <v>2831</v>
      </c>
      <c r="J15" s="51">
        <v>8531035</v>
      </c>
      <c r="K15" s="50">
        <f>J15-J14</f>
        <v>1319</v>
      </c>
    </row>
    <row r="16" spans="1:12" ht="19.5">
      <c r="A16" s="59">
        <v>44600</v>
      </c>
      <c r="B16" s="116">
        <v>2560</v>
      </c>
      <c r="C16" s="115">
        <f>B16-B15</f>
        <v>0</v>
      </c>
      <c r="D16" s="57">
        <v>134702</v>
      </c>
      <c r="E16" s="50">
        <f>D16-D15</f>
        <v>58</v>
      </c>
      <c r="F16" s="51">
        <v>11449713</v>
      </c>
      <c r="G16" s="50">
        <f>F16-F15</f>
        <v>2341</v>
      </c>
      <c r="H16" s="51">
        <v>19429138</v>
      </c>
      <c r="I16" s="50">
        <f>H16-H15</f>
        <v>2859</v>
      </c>
      <c r="J16" s="51">
        <v>8532435</v>
      </c>
      <c r="K16" s="50">
        <f>J16-J15</f>
        <v>1400</v>
      </c>
    </row>
    <row r="17" spans="1:29" ht="19.5">
      <c r="A17" s="59">
        <v>44601</v>
      </c>
      <c r="B17" s="116"/>
      <c r="C17" s="115"/>
      <c r="D17" s="57"/>
      <c r="E17" s="50"/>
      <c r="F17" s="51"/>
      <c r="G17" s="50"/>
      <c r="H17" s="51"/>
      <c r="I17" s="50"/>
      <c r="J17" s="51"/>
      <c r="K17" s="50"/>
    </row>
    <row r="18" spans="1:29" ht="19.5">
      <c r="A18" s="59">
        <v>44602</v>
      </c>
      <c r="B18" s="116"/>
      <c r="C18" s="115">
        <f>B18-B17</f>
        <v>0</v>
      </c>
      <c r="D18" s="57"/>
      <c r="E18" s="50">
        <f>D18-D17</f>
        <v>0</v>
      </c>
      <c r="F18" s="51"/>
      <c r="G18" s="50">
        <f>F18-F17</f>
        <v>0</v>
      </c>
      <c r="H18" s="51"/>
      <c r="I18" s="50">
        <f>H18-H17</f>
        <v>0</v>
      </c>
      <c r="J18" s="51"/>
      <c r="K18" s="50">
        <f>J18-J17</f>
        <v>0</v>
      </c>
    </row>
    <row r="19" spans="1:29" ht="19.5">
      <c r="A19" s="59">
        <v>44603</v>
      </c>
      <c r="B19" s="116"/>
      <c r="C19" s="115">
        <f>B19-B18</f>
        <v>0</v>
      </c>
      <c r="D19" s="57"/>
      <c r="E19" s="50">
        <f>D19-D18</f>
        <v>0</v>
      </c>
      <c r="F19" s="51"/>
      <c r="G19" s="50">
        <f>F19-F18</f>
        <v>0</v>
      </c>
      <c r="H19" s="51"/>
      <c r="I19" s="50">
        <f>H19-H18</f>
        <v>0</v>
      </c>
      <c r="J19" s="51"/>
      <c r="K19" s="50">
        <f>J19-J18</f>
        <v>0</v>
      </c>
    </row>
    <row r="20" spans="1:29" ht="25.5">
      <c r="A20" s="59">
        <v>44604</v>
      </c>
      <c r="B20" s="116"/>
      <c r="C20" s="115">
        <f>B20-B19</f>
        <v>0</v>
      </c>
      <c r="D20" s="57"/>
      <c r="E20" s="50">
        <f>D20-D19</f>
        <v>0</v>
      </c>
      <c r="F20" s="51"/>
      <c r="G20" s="50">
        <f>F20-F19</f>
        <v>0</v>
      </c>
      <c r="H20" s="51"/>
      <c r="I20" s="50">
        <f>H20-H19</f>
        <v>0</v>
      </c>
      <c r="J20" s="51"/>
      <c r="K20" s="50">
        <f>J20-J19</f>
        <v>0</v>
      </c>
      <c r="L20" s="117" t="s">
        <v>18</v>
      </c>
      <c r="AC20" t="s">
        <v>56</v>
      </c>
    </row>
    <row r="21" spans="1:29" ht="19.5">
      <c r="A21" s="59">
        <v>44605</v>
      </c>
      <c r="B21" s="116"/>
      <c r="C21" s="115">
        <f>B21-B20</f>
        <v>0</v>
      </c>
      <c r="D21" s="57"/>
      <c r="E21" s="50">
        <f>D21-D20</f>
        <v>0</v>
      </c>
      <c r="F21" s="51"/>
      <c r="G21" s="50">
        <f>F21-F20</f>
        <v>0</v>
      </c>
      <c r="H21" s="51"/>
      <c r="I21" s="50">
        <f>H21-H20</f>
        <v>0</v>
      </c>
      <c r="J21" s="51"/>
      <c r="K21" s="50">
        <f>J21-J20</f>
        <v>0</v>
      </c>
    </row>
    <row r="22" spans="1:29" ht="19.5">
      <c r="A22" s="59">
        <v>44606</v>
      </c>
      <c r="B22" s="116"/>
      <c r="C22" s="115">
        <f>B22-B21</f>
        <v>0</v>
      </c>
      <c r="D22" s="57"/>
      <c r="E22" s="50">
        <f>D22-D21</f>
        <v>0</v>
      </c>
      <c r="F22" s="51"/>
      <c r="G22" s="50">
        <f>F22-F21</f>
        <v>0</v>
      </c>
      <c r="H22" s="51"/>
      <c r="I22" s="50">
        <f>H22-H21</f>
        <v>0</v>
      </c>
      <c r="J22" s="51"/>
      <c r="K22" s="50">
        <f>J22-J21</f>
        <v>0</v>
      </c>
    </row>
    <row r="23" spans="1:29" ht="19.5">
      <c r="A23" s="59">
        <v>44607</v>
      </c>
      <c r="B23" s="116"/>
      <c r="C23" s="115">
        <f>B23-B22</f>
        <v>0</v>
      </c>
      <c r="D23" s="57"/>
      <c r="E23" s="50">
        <f>D23-D22</f>
        <v>0</v>
      </c>
      <c r="F23" s="51"/>
      <c r="G23" s="50">
        <f>F23-F22</f>
        <v>0</v>
      </c>
      <c r="H23" s="51"/>
      <c r="I23" s="50">
        <f>H23-H22</f>
        <v>0</v>
      </c>
      <c r="J23" s="51"/>
      <c r="K23" s="50">
        <f>J23-J22</f>
        <v>0</v>
      </c>
    </row>
    <row r="24" spans="1:29" ht="19.5">
      <c r="A24" s="59">
        <v>44608</v>
      </c>
      <c r="B24" s="116"/>
      <c r="C24" s="115">
        <f t="shared" ref="C24:C40" si="0">B24-B23</f>
        <v>0</v>
      </c>
      <c r="D24" s="57"/>
      <c r="E24" s="50">
        <f t="shared" ref="E24:E40" si="1">D24-D23</f>
        <v>0</v>
      </c>
      <c r="F24" s="51"/>
      <c r="G24" s="50">
        <f t="shared" ref="G24:G27" si="2">F24-F23</f>
        <v>0</v>
      </c>
      <c r="H24" s="51"/>
      <c r="I24" s="50">
        <f t="shared" ref="I24:I40" si="3">H24-H23</f>
        <v>0</v>
      </c>
      <c r="J24" s="51"/>
      <c r="K24" s="50">
        <f t="shared" ref="K24:K40" si="4">J24-J23</f>
        <v>0</v>
      </c>
    </row>
    <row r="25" spans="1:29" ht="19.5">
      <c r="A25" s="59">
        <v>44609</v>
      </c>
      <c r="B25" s="116"/>
      <c r="C25" s="115">
        <f t="shared" si="0"/>
        <v>0</v>
      </c>
      <c r="D25" s="57"/>
      <c r="E25" s="50">
        <f t="shared" si="1"/>
        <v>0</v>
      </c>
      <c r="F25" s="51"/>
      <c r="G25" s="50">
        <f t="shared" si="2"/>
        <v>0</v>
      </c>
      <c r="H25" s="51"/>
      <c r="I25" s="50">
        <f t="shared" si="3"/>
        <v>0</v>
      </c>
      <c r="J25" s="51"/>
      <c r="K25" s="50">
        <f t="shared" si="4"/>
        <v>0</v>
      </c>
    </row>
    <row r="26" spans="1:29" ht="19.5">
      <c r="A26" s="59">
        <v>44610</v>
      </c>
      <c r="B26" s="116"/>
      <c r="C26" s="115">
        <f t="shared" si="0"/>
        <v>0</v>
      </c>
      <c r="D26" s="57"/>
      <c r="E26" s="50">
        <f t="shared" si="1"/>
        <v>0</v>
      </c>
      <c r="F26" s="51"/>
      <c r="G26" s="50">
        <f t="shared" si="2"/>
        <v>0</v>
      </c>
      <c r="H26" s="51"/>
      <c r="I26" s="50">
        <f t="shared" si="3"/>
        <v>0</v>
      </c>
      <c r="J26" s="51"/>
      <c r="K26" s="50">
        <f t="shared" si="4"/>
        <v>0</v>
      </c>
    </row>
    <row r="27" spans="1:29" ht="19.5">
      <c r="A27" s="59">
        <v>44611</v>
      </c>
      <c r="B27" s="116"/>
      <c r="C27" s="115">
        <f t="shared" si="0"/>
        <v>0</v>
      </c>
      <c r="D27" s="57"/>
      <c r="E27" s="50">
        <f t="shared" si="1"/>
        <v>0</v>
      </c>
      <c r="F27" s="51"/>
      <c r="G27" s="50">
        <f>F27-F26</f>
        <v>0</v>
      </c>
      <c r="H27" s="51"/>
      <c r="I27" s="50">
        <f t="shared" si="3"/>
        <v>0</v>
      </c>
      <c r="J27" s="51"/>
      <c r="K27" s="50">
        <f t="shared" si="4"/>
        <v>0</v>
      </c>
    </row>
    <row r="28" spans="1:29" ht="19.5">
      <c r="A28" s="59">
        <v>44612</v>
      </c>
      <c r="B28" s="116"/>
      <c r="C28" s="115">
        <f t="shared" si="0"/>
        <v>0</v>
      </c>
      <c r="D28" s="57"/>
      <c r="E28" s="50">
        <f t="shared" si="1"/>
        <v>0</v>
      </c>
      <c r="F28" s="51"/>
      <c r="G28" s="50">
        <f>F28-F27</f>
        <v>0</v>
      </c>
      <c r="H28" s="51"/>
      <c r="I28" s="50">
        <f t="shared" si="3"/>
        <v>0</v>
      </c>
      <c r="J28" s="51"/>
      <c r="K28" s="50">
        <f t="shared" si="4"/>
        <v>0</v>
      </c>
    </row>
    <row r="29" spans="1:29" ht="19.5">
      <c r="A29" s="59">
        <v>44613</v>
      </c>
      <c r="B29" s="116"/>
      <c r="C29" s="115">
        <f t="shared" si="0"/>
        <v>0</v>
      </c>
      <c r="D29" s="57"/>
      <c r="E29" s="50">
        <f t="shared" si="1"/>
        <v>0</v>
      </c>
      <c r="F29" s="51"/>
      <c r="G29" s="50">
        <f>F29-F28</f>
        <v>0</v>
      </c>
      <c r="H29" s="51"/>
      <c r="I29" s="50">
        <f t="shared" si="3"/>
        <v>0</v>
      </c>
      <c r="J29" s="51"/>
      <c r="K29" s="50">
        <f t="shared" si="4"/>
        <v>0</v>
      </c>
    </row>
    <row r="30" spans="1:29" ht="19.5">
      <c r="A30" s="59">
        <v>44614</v>
      </c>
      <c r="B30" s="116"/>
      <c r="C30" s="115">
        <f t="shared" si="0"/>
        <v>0</v>
      </c>
      <c r="D30" s="57"/>
      <c r="E30" s="50">
        <f t="shared" si="1"/>
        <v>0</v>
      </c>
      <c r="F30" s="51"/>
      <c r="G30" s="50">
        <f>F30-F29</f>
        <v>0</v>
      </c>
      <c r="H30" s="51"/>
      <c r="I30" s="50">
        <f t="shared" si="3"/>
        <v>0</v>
      </c>
      <c r="J30" s="51"/>
      <c r="K30" s="50">
        <f t="shared" si="4"/>
        <v>0</v>
      </c>
    </row>
    <row r="31" spans="1:29" ht="19.5">
      <c r="A31" s="59">
        <v>44615</v>
      </c>
      <c r="B31" s="116"/>
      <c r="C31" s="115">
        <f t="shared" si="0"/>
        <v>0</v>
      </c>
      <c r="D31" s="57"/>
      <c r="E31" s="50">
        <f t="shared" si="1"/>
        <v>0</v>
      </c>
      <c r="F31" s="51"/>
      <c r="G31" s="50">
        <f>F31-F30</f>
        <v>0</v>
      </c>
      <c r="H31" s="51"/>
      <c r="I31" s="50">
        <f t="shared" si="3"/>
        <v>0</v>
      </c>
      <c r="J31" s="51"/>
      <c r="K31" s="50">
        <f t="shared" si="4"/>
        <v>0</v>
      </c>
    </row>
    <row r="32" spans="1:29" ht="19.5">
      <c r="A32" s="59">
        <v>44616</v>
      </c>
      <c r="B32" s="116"/>
      <c r="C32" s="115">
        <f t="shared" si="0"/>
        <v>0</v>
      </c>
      <c r="D32" s="57"/>
      <c r="E32" s="50">
        <f t="shared" si="1"/>
        <v>0</v>
      </c>
      <c r="F32" s="51"/>
      <c r="G32" s="50">
        <f>F32-F31</f>
        <v>0</v>
      </c>
      <c r="H32" s="51"/>
      <c r="I32" s="50">
        <f t="shared" si="3"/>
        <v>0</v>
      </c>
      <c r="J32" s="51"/>
      <c r="K32" s="50">
        <f t="shared" si="4"/>
        <v>0</v>
      </c>
    </row>
    <row r="33" spans="1:11" ht="19.5">
      <c r="A33" s="59">
        <v>44617</v>
      </c>
      <c r="B33" s="116"/>
      <c r="C33" s="115">
        <f t="shared" si="0"/>
        <v>0</v>
      </c>
      <c r="D33" s="57"/>
      <c r="E33" s="50">
        <f t="shared" si="1"/>
        <v>0</v>
      </c>
      <c r="F33" s="51"/>
      <c r="G33" s="50">
        <f>F33-F32</f>
        <v>0</v>
      </c>
      <c r="H33" s="51"/>
      <c r="I33" s="50">
        <f t="shared" si="3"/>
        <v>0</v>
      </c>
      <c r="J33" s="51"/>
      <c r="K33" s="50">
        <f t="shared" si="4"/>
        <v>0</v>
      </c>
    </row>
    <row r="34" spans="1:11" ht="19.5">
      <c r="A34" s="59">
        <v>44618</v>
      </c>
      <c r="B34" s="116"/>
      <c r="C34" s="115">
        <f t="shared" si="0"/>
        <v>0</v>
      </c>
      <c r="D34" s="57"/>
      <c r="E34" s="50">
        <f t="shared" si="1"/>
        <v>0</v>
      </c>
      <c r="F34" s="51"/>
      <c r="G34" s="50">
        <f>F34-F33</f>
        <v>0</v>
      </c>
      <c r="H34" s="51"/>
      <c r="I34" s="50">
        <f t="shared" si="3"/>
        <v>0</v>
      </c>
      <c r="J34" s="51"/>
      <c r="K34" s="50">
        <f t="shared" si="4"/>
        <v>0</v>
      </c>
    </row>
    <row r="35" spans="1:11" ht="19.5">
      <c r="A35" s="59">
        <v>44619</v>
      </c>
      <c r="B35" s="116"/>
      <c r="C35" s="115">
        <f t="shared" si="0"/>
        <v>0</v>
      </c>
      <c r="D35" s="57"/>
      <c r="E35" s="50">
        <f t="shared" si="1"/>
        <v>0</v>
      </c>
      <c r="F35" s="51"/>
      <c r="G35" s="50">
        <f>F35-F34</f>
        <v>0</v>
      </c>
      <c r="H35" s="51"/>
      <c r="I35" s="50">
        <f t="shared" si="3"/>
        <v>0</v>
      </c>
      <c r="J35" s="51"/>
      <c r="K35" s="50">
        <f t="shared" si="4"/>
        <v>0</v>
      </c>
    </row>
    <row r="36" spans="1:11" ht="19.5">
      <c r="A36" s="59">
        <v>44620</v>
      </c>
      <c r="B36" s="116"/>
      <c r="C36" s="115">
        <f t="shared" si="0"/>
        <v>0</v>
      </c>
      <c r="D36" s="57"/>
      <c r="E36" s="50">
        <f t="shared" si="1"/>
        <v>0</v>
      </c>
      <c r="F36" s="51"/>
      <c r="G36" s="50">
        <f>F36-F35</f>
        <v>0</v>
      </c>
      <c r="H36" s="51"/>
      <c r="I36" s="50">
        <f t="shared" si="3"/>
        <v>0</v>
      </c>
      <c r="J36" s="51"/>
      <c r="K36" s="50">
        <f t="shared" si="4"/>
        <v>0</v>
      </c>
    </row>
    <row r="37" spans="1:11" ht="19.5">
      <c r="A37" s="59">
        <v>44621</v>
      </c>
      <c r="B37" s="116"/>
      <c r="C37" s="115">
        <f t="shared" si="0"/>
        <v>0</v>
      </c>
      <c r="D37" s="57"/>
      <c r="E37" s="50">
        <f t="shared" si="1"/>
        <v>0</v>
      </c>
      <c r="F37" s="51"/>
      <c r="G37" s="50">
        <f>F37-F36</f>
        <v>0</v>
      </c>
      <c r="H37" s="51"/>
      <c r="I37" s="50">
        <f t="shared" si="3"/>
        <v>0</v>
      </c>
      <c r="J37" s="51"/>
      <c r="K37" s="50">
        <f t="shared" si="4"/>
        <v>0</v>
      </c>
    </row>
    <row r="38" spans="1:11" ht="19.5">
      <c r="A38" s="59"/>
      <c r="B38" s="116"/>
      <c r="C38" s="115"/>
      <c r="D38" s="57"/>
      <c r="E38" s="50"/>
      <c r="F38" s="51"/>
      <c r="G38" s="50"/>
      <c r="H38" s="51"/>
      <c r="I38" s="50"/>
      <c r="J38" s="51"/>
      <c r="K38" s="50"/>
    </row>
    <row r="39" spans="1:11" ht="19.5">
      <c r="A39" s="59"/>
      <c r="B39" s="116"/>
      <c r="C39" s="115"/>
      <c r="D39" s="57"/>
      <c r="E39" s="50"/>
      <c r="F39" s="51"/>
      <c r="G39" s="50"/>
      <c r="H39" s="51"/>
      <c r="I39" s="50"/>
      <c r="J39" s="51"/>
      <c r="K39" s="50"/>
    </row>
    <row r="40" spans="1:11" ht="19.5">
      <c r="A40" s="59"/>
      <c r="B40" s="116"/>
      <c r="C40" s="115"/>
      <c r="D40" s="57"/>
      <c r="E40" s="50"/>
      <c r="F40" s="51"/>
      <c r="G40" s="50"/>
      <c r="H40" s="51"/>
      <c r="I40" s="50"/>
      <c r="J40" s="51"/>
      <c r="K40" s="50"/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6" priority="61" stopIfTrue="1" operator="lessThanOrEqual">
      <formula>0</formula>
    </cfRule>
  </conditionalFormatting>
  <conditionalFormatting sqref="E10:E25">
    <cfRule type="cellIs" dxfId="5" priority="8" stopIfTrue="1" operator="lessThanOrEqual">
      <formula>0</formula>
    </cfRule>
  </conditionalFormatting>
  <conditionalFormatting sqref="E10:E25">
    <cfRule type="cellIs" dxfId="4" priority="7" stopIfTrue="1" operator="lessThanOrEqual">
      <formula>0</formula>
    </cfRule>
  </conditionalFormatting>
  <conditionalFormatting sqref="E9">
    <cfRule type="cellIs" dxfId="3" priority="6" stopIfTrue="1" operator="lessThanOrEqual">
      <formula>0</formula>
    </cfRule>
  </conditionalFormatting>
  <conditionalFormatting sqref="E9">
    <cfRule type="cellIs" dxfId="2" priority="5" stopIfTrue="1" operator="lessThanOrEqual">
      <formula>0</formula>
    </cfRule>
  </conditionalFormatting>
  <conditionalFormatting sqref="E26:E40">
    <cfRule type="cellIs" dxfId="1" priority="2" stopIfTrue="1" operator="lessThanOrEqual">
      <formula>0</formula>
    </cfRule>
  </conditionalFormatting>
  <conditionalFormatting sqref="E26:E40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8" activePane="bottomRight" state="frozen"/>
      <selection pane="bottomRight" activeCell="I11" sqref="I11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4" t="s">
        <v>57</v>
      </c>
      <c r="G1" s="284"/>
      <c r="H1" s="284"/>
      <c r="I1" s="284"/>
      <c r="J1" s="284"/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/>
      <c r="V1" s="284"/>
      <c r="W1" s="284"/>
      <c r="X1" s="284"/>
      <c r="Y1" s="284"/>
      <c r="Z1" s="284"/>
    </row>
    <row r="2" spans="1:31" ht="41.25" customHeight="1" thickBot="1">
      <c r="Q2" s="289">
        <v>803</v>
      </c>
      <c r="R2" s="290"/>
      <c r="S2" s="291"/>
      <c r="T2" s="292">
        <v>519</v>
      </c>
      <c r="U2" s="290"/>
      <c r="V2" s="291"/>
      <c r="W2" s="292">
        <v>800</v>
      </c>
      <c r="X2" s="290"/>
      <c r="Y2" s="291"/>
      <c r="Z2" s="292">
        <v>802</v>
      </c>
      <c r="AA2" s="290"/>
      <c r="AB2" s="293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44593</v>
      </c>
      <c r="B4" s="41">
        <v>73</v>
      </c>
      <c r="C4" s="39">
        <f t="shared" ref="C4" si="0">IF(AC4&gt;0,((B4-R4)+(S4-B5)),IF(B5=0, ,(B4-B5)))</f>
        <v>1</v>
      </c>
      <c r="D4" s="41">
        <v>73</v>
      </c>
      <c r="E4" s="39">
        <f t="shared" ref="E4" si="1">IF(AC4&gt;0,((D4-U4)+(V4-D5)),IF(D5=0, ,(D4-D5)))</f>
        <v>1</v>
      </c>
      <c r="F4" s="41">
        <v>77</v>
      </c>
      <c r="G4" s="39">
        <f t="shared" ref="G4" si="2">IF(AC4&gt;0,((F4-X4)+(Y4-F5)),IF(F5=0, ,(F4-F5)))</f>
        <v>2</v>
      </c>
      <c r="H4" s="41">
        <v>77</v>
      </c>
      <c r="I4" s="39">
        <f>IF(AC4&gt;0,((H4-AA4)+(AB4-H5)),IF(H5=0, ,(H4-H5)))</f>
        <v>3</v>
      </c>
      <c r="J4" s="39">
        <f>B4+D4+F4+H4</f>
        <v>300</v>
      </c>
      <c r="K4" s="39">
        <f>J4/4</f>
        <v>75</v>
      </c>
      <c r="L4" s="39">
        <f>IF(AC4&gt;0,((K4-AD4)+(AE4-K5)),IF(K5=0, ,(K4-K5)))</f>
        <v>1.75</v>
      </c>
      <c r="M4" s="149">
        <f t="shared" ref="M4:M7" si="3">6049*4</f>
        <v>24196</v>
      </c>
      <c r="N4" s="39">
        <f>L4*M4/100</f>
        <v>423.43</v>
      </c>
      <c r="O4" s="39">
        <f>N4*0.529</f>
        <v>223.99447000000001</v>
      </c>
      <c r="P4" s="42">
        <f>O4*11.565</f>
        <v>2590.49604555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44594</v>
      </c>
      <c r="B5" s="41">
        <v>72</v>
      </c>
      <c r="C5" s="39">
        <f t="shared" ref="C4:C35" si="7">IF(AC5&gt;0,((B5-R5)+(S5-B6)),IF(B6=0, ,(B5-B6)))</f>
        <v>2</v>
      </c>
      <c r="D5" s="41">
        <v>72</v>
      </c>
      <c r="E5" s="39">
        <f t="shared" ref="E4:E35" si="8">IF(AC5&gt;0,((D5-U5)+(V5-D6)),IF(D6=0, ,(D5-D6)))</f>
        <v>2</v>
      </c>
      <c r="F5" s="41">
        <v>75</v>
      </c>
      <c r="G5" s="39">
        <f t="shared" ref="G4:G35" si="9">IF(AC5&gt;0,((F5-X5)+(Y5-F6)),IF(F6=0, ,(F5-F6)))</f>
        <v>2</v>
      </c>
      <c r="H5" s="41">
        <v>74</v>
      </c>
      <c r="I5" s="39">
        <f>IF(AC5&gt;0,((H5-AA5)+(AB5-H6)),IF(H6=0, ,(H5-H6)))</f>
        <v>1</v>
      </c>
      <c r="J5" s="39">
        <f>B5+D5+F5+H5</f>
        <v>293</v>
      </c>
      <c r="K5" s="39">
        <f>J5/4</f>
        <v>73.25</v>
      </c>
      <c r="L5" s="39">
        <f>IF(AC5&gt;0,((K5-AD5)+(AE5-K6)),IF(K6=0, ,(K5-K6)))</f>
        <v>1.75</v>
      </c>
      <c r="M5" s="149">
        <f t="shared" si="3"/>
        <v>24196</v>
      </c>
      <c r="N5" s="39">
        <f>L5*M5/100</f>
        <v>423.43</v>
      </c>
      <c r="O5" s="39">
        <f>N5*0.529</f>
        <v>223.99447000000001</v>
      </c>
      <c r="P5" s="42">
        <f t="shared" ref="P5:P38" si="10">O5*11.565</f>
        <v>2590.49604555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>
      <c r="A6" s="40">
        <v>44595</v>
      </c>
      <c r="B6" s="41">
        <v>70</v>
      </c>
      <c r="C6" s="39">
        <f t="shared" si="7"/>
        <v>1</v>
      </c>
      <c r="D6" s="41">
        <v>70</v>
      </c>
      <c r="E6" s="39">
        <f t="shared" si="8"/>
        <v>0</v>
      </c>
      <c r="F6" s="41">
        <v>73</v>
      </c>
      <c r="G6" s="39">
        <f t="shared" si="9"/>
        <v>3</v>
      </c>
      <c r="H6" s="41">
        <v>73</v>
      </c>
      <c r="I6" s="39">
        <f t="shared" ref="I6:I36" si="11">IF(AC6&gt;0,((H6-AA6)+(AB6-H7)),IF(H7=0, ,(H6-H7)))</f>
        <v>0</v>
      </c>
      <c r="J6" s="39">
        <f t="shared" ref="J6:J42" si="12">B6+D6+F6+H6</f>
        <v>286</v>
      </c>
      <c r="K6" s="39">
        <f t="shared" ref="K6:K42" si="13">J6/4</f>
        <v>71.5</v>
      </c>
      <c r="L6" s="39">
        <f t="shared" ref="L6:L19" si="14">IF(AC6&gt;0,((K6-AD6)+(AE6-K7)),IF(K7=0, ,(K6-K7)))</f>
        <v>1</v>
      </c>
      <c r="M6" s="149">
        <f t="shared" si="3"/>
        <v>24196</v>
      </c>
      <c r="N6" s="39">
        <f t="shared" ref="N6:N42" si="15">L6*M6/100</f>
        <v>241.96</v>
      </c>
      <c r="O6" s="39">
        <f>N6*0.529</f>
        <v>127.99684000000001</v>
      </c>
      <c r="P6" s="42">
        <f t="shared" si="10"/>
        <v>1480.2834545999999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44596</v>
      </c>
      <c r="B7" s="41">
        <v>69</v>
      </c>
      <c r="C7" s="39">
        <f t="shared" si="7"/>
        <v>1</v>
      </c>
      <c r="D7" s="41">
        <v>70</v>
      </c>
      <c r="E7" s="39">
        <f t="shared" si="8"/>
        <v>2</v>
      </c>
      <c r="F7" s="41">
        <v>70</v>
      </c>
      <c r="G7" s="39">
        <f t="shared" si="9"/>
        <v>1</v>
      </c>
      <c r="H7" s="41">
        <v>73</v>
      </c>
      <c r="I7" s="39">
        <f t="shared" si="11"/>
        <v>1</v>
      </c>
      <c r="J7" s="39">
        <f t="shared" si="12"/>
        <v>282</v>
      </c>
      <c r="K7" s="39">
        <f t="shared" si="13"/>
        <v>70.5</v>
      </c>
      <c r="L7" s="39">
        <f t="shared" si="14"/>
        <v>1.25</v>
      </c>
      <c r="M7" s="149">
        <f t="shared" si="3"/>
        <v>24196</v>
      </c>
      <c r="N7" s="39">
        <f t="shared" si="15"/>
        <v>302.45</v>
      </c>
      <c r="O7" s="39">
        <f>N7*0.53</f>
        <v>160.29849999999999</v>
      </c>
      <c r="P7" s="42">
        <f t="shared" si="10"/>
        <v>1853.8521524999999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>
      <c r="A8" s="40">
        <v>44597</v>
      </c>
      <c r="B8" s="41">
        <v>68</v>
      </c>
      <c r="C8" s="39">
        <f t="shared" si="7"/>
        <v>3</v>
      </c>
      <c r="D8" s="41">
        <v>68</v>
      </c>
      <c r="E8" s="39">
        <f t="shared" si="8"/>
        <v>3</v>
      </c>
      <c r="F8" s="41">
        <v>69</v>
      </c>
      <c r="G8" s="39">
        <f t="shared" si="9"/>
        <v>3</v>
      </c>
      <c r="H8" s="41">
        <v>72</v>
      </c>
      <c r="I8" s="39">
        <f t="shared" si="11"/>
        <v>3</v>
      </c>
      <c r="J8" s="39">
        <f t="shared" si="12"/>
        <v>277</v>
      </c>
      <c r="K8" s="39">
        <f t="shared" si="13"/>
        <v>69.25</v>
      </c>
      <c r="L8" s="39">
        <f t="shared" si="14"/>
        <v>3</v>
      </c>
      <c r="M8" s="149">
        <f>6049*4</f>
        <v>24196</v>
      </c>
      <c r="N8" s="39">
        <f t="shared" si="15"/>
        <v>725.88</v>
      </c>
      <c r="O8" s="148">
        <f t="shared" ref="O8:O37" si="16">N8*0.529</f>
        <v>383.99052</v>
      </c>
      <c r="P8" s="42">
        <f t="shared" si="10"/>
        <v>4440.8503638000002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44598</v>
      </c>
      <c r="B9" s="41">
        <v>65</v>
      </c>
      <c r="C9" s="39">
        <f t="shared" si="7"/>
        <v>2</v>
      </c>
      <c r="D9" s="41">
        <v>65</v>
      </c>
      <c r="E9" s="39">
        <f t="shared" si="8"/>
        <v>1</v>
      </c>
      <c r="F9" s="41">
        <v>66</v>
      </c>
      <c r="G9" s="39">
        <f t="shared" si="9"/>
        <v>2</v>
      </c>
      <c r="H9" s="41">
        <v>69</v>
      </c>
      <c r="I9" s="39">
        <f t="shared" si="11"/>
        <v>3</v>
      </c>
      <c r="J9" s="39">
        <f t="shared" si="12"/>
        <v>265</v>
      </c>
      <c r="K9" s="39">
        <f t="shared" si="13"/>
        <v>66.25</v>
      </c>
      <c r="L9" s="39">
        <f t="shared" si="14"/>
        <v>2</v>
      </c>
      <c r="M9" s="149">
        <f t="shared" ref="M9:M42" si="17">6049*4</f>
        <v>24196</v>
      </c>
      <c r="N9" s="39">
        <f t="shared" si="15"/>
        <v>483.92</v>
      </c>
      <c r="O9" s="39">
        <f t="shared" si="16"/>
        <v>255.99368000000001</v>
      </c>
      <c r="P9" s="42">
        <f t="shared" si="10"/>
        <v>2960.5669091999998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44599</v>
      </c>
      <c r="B10" s="41">
        <v>63</v>
      </c>
      <c r="C10" s="39">
        <f t="shared" si="7"/>
        <v>3</v>
      </c>
      <c r="D10" s="41">
        <v>64</v>
      </c>
      <c r="E10" s="39">
        <f t="shared" si="8"/>
        <v>4</v>
      </c>
      <c r="F10" s="41">
        <v>64</v>
      </c>
      <c r="G10" s="39">
        <f t="shared" si="9"/>
        <v>2</v>
      </c>
      <c r="H10" s="41">
        <v>66</v>
      </c>
      <c r="I10" s="39">
        <f t="shared" si="11"/>
        <v>1</v>
      </c>
      <c r="J10" s="39">
        <f t="shared" si="12"/>
        <v>257</v>
      </c>
      <c r="K10" s="39">
        <f t="shared" si="13"/>
        <v>64.25</v>
      </c>
      <c r="L10" s="39">
        <f t="shared" si="14"/>
        <v>2.5</v>
      </c>
      <c r="M10" s="149">
        <f t="shared" si="17"/>
        <v>24196</v>
      </c>
      <c r="N10" s="39">
        <f t="shared" si="15"/>
        <v>604.9</v>
      </c>
      <c r="O10" s="148">
        <f t="shared" si="16"/>
        <v>319.99209999999999</v>
      </c>
      <c r="P10" s="42">
        <f t="shared" si="10"/>
        <v>3700.7086364999996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>
      <c r="A11" s="40">
        <v>44600</v>
      </c>
      <c r="B11" s="41">
        <v>60</v>
      </c>
      <c r="C11" s="39">
        <f t="shared" si="7"/>
        <v>0</v>
      </c>
      <c r="D11" s="41">
        <v>60</v>
      </c>
      <c r="E11" s="39">
        <f t="shared" si="8"/>
        <v>0</v>
      </c>
      <c r="F11" s="41">
        <v>62</v>
      </c>
      <c r="G11" s="39">
        <f t="shared" si="9"/>
        <v>0</v>
      </c>
      <c r="H11" s="41">
        <v>65</v>
      </c>
      <c r="I11" s="39">
        <f t="shared" si="11"/>
        <v>0</v>
      </c>
      <c r="J11" s="39">
        <f t="shared" si="12"/>
        <v>247</v>
      </c>
      <c r="K11" s="39">
        <f t="shared" si="13"/>
        <v>61.75</v>
      </c>
      <c r="L11" s="39">
        <f t="shared" si="14"/>
        <v>0</v>
      </c>
      <c r="M11" s="149">
        <f t="shared" si="17"/>
        <v>24196</v>
      </c>
      <c r="N11" s="39">
        <f t="shared" si="15"/>
        <v>0</v>
      </c>
      <c r="O11" s="39">
        <f t="shared" si="16"/>
        <v>0</v>
      </c>
      <c r="P11" s="42">
        <f t="shared" si="10"/>
        <v>0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44601</v>
      </c>
      <c r="B12" s="41"/>
      <c r="C12" s="39">
        <f t="shared" si="7"/>
        <v>0</v>
      </c>
      <c r="D12" s="41"/>
      <c r="E12" s="39">
        <f t="shared" si="8"/>
        <v>0</v>
      </c>
      <c r="F12" s="41"/>
      <c r="G12" s="39">
        <f t="shared" si="9"/>
        <v>0</v>
      </c>
      <c r="H12" s="41"/>
      <c r="I12" s="39">
        <f t="shared" si="11"/>
        <v>0</v>
      </c>
      <c r="J12" s="39">
        <f t="shared" si="12"/>
        <v>0</v>
      </c>
      <c r="K12" s="39">
        <f t="shared" si="13"/>
        <v>0</v>
      </c>
      <c r="L12" s="39">
        <f t="shared" si="14"/>
        <v>0</v>
      </c>
      <c r="M12" s="149">
        <f t="shared" si="17"/>
        <v>24196</v>
      </c>
      <c r="N12" s="39">
        <f t="shared" si="15"/>
        <v>0</v>
      </c>
      <c r="O12" s="39">
        <f t="shared" si="16"/>
        <v>0</v>
      </c>
      <c r="P12" s="42">
        <f t="shared" si="10"/>
        <v>0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>
      <c r="A13" s="40">
        <v>44602</v>
      </c>
      <c r="B13" s="41"/>
      <c r="C13" s="39">
        <f t="shared" si="7"/>
        <v>0</v>
      </c>
      <c r="D13" s="41"/>
      <c r="E13" s="39">
        <f t="shared" si="8"/>
        <v>0</v>
      </c>
      <c r="F13" s="41"/>
      <c r="G13" s="39">
        <f t="shared" si="9"/>
        <v>0</v>
      </c>
      <c r="H13" s="41"/>
      <c r="I13" s="39">
        <f t="shared" si="11"/>
        <v>0</v>
      </c>
      <c r="J13" s="39">
        <f t="shared" si="12"/>
        <v>0</v>
      </c>
      <c r="K13" s="39">
        <f t="shared" si="13"/>
        <v>0</v>
      </c>
      <c r="L13" s="39">
        <f t="shared" si="14"/>
        <v>0</v>
      </c>
      <c r="M13" s="149">
        <f t="shared" si="17"/>
        <v>24196</v>
      </c>
      <c r="N13" s="39">
        <f t="shared" si="15"/>
        <v>0</v>
      </c>
      <c r="O13" s="39">
        <f t="shared" si="16"/>
        <v>0</v>
      </c>
      <c r="P13" s="42">
        <f t="shared" si="10"/>
        <v>0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>
      <c r="A14" s="40">
        <v>44603</v>
      </c>
      <c r="B14" s="41"/>
      <c r="C14" s="39">
        <f t="shared" si="7"/>
        <v>0</v>
      </c>
      <c r="D14" s="41"/>
      <c r="E14" s="39">
        <f t="shared" si="8"/>
        <v>0</v>
      </c>
      <c r="F14" s="41"/>
      <c r="G14" s="39">
        <f t="shared" si="9"/>
        <v>0</v>
      </c>
      <c r="H14" s="41"/>
      <c r="I14" s="39">
        <f>IF(AC14&gt;0,((H14-AA14)+(AB14-H15)),IF(H15=0, ,(H14-H15)))</f>
        <v>0</v>
      </c>
      <c r="J14" s="39">
        <f t="shared" si="12"/>
        <v>0</v>
      </c>
      <c r="K14" s="39">
        <f t="shared" si="13"/>
        <v>0</v>
      </c>
      <c r="L14" s="39">
        <f t="shared" si="14"/>
        <v>0</v>
      </c>
      <c r="M14" s="149">
        <f t="shared" si="17"/>
        <v>24196</v>
      </c>
      <c r="N14" s="39">
        <f t="shared" si="15"/>
        <v>0</v>
      </c>
      <c r="O14" s="39">
        <f t="shared" si="16"/>
        <v>0</v>
      </c>
      <c r="P14" s="42">
        <f t="shared" si="10"/>
        <v>0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44604</v>
      </c>
      <c r="B15" s="41"/>
      <c r="C15" s="39">
        <f t="shared" si="7"/>
        <v>0</v>
      </c>
      <c r="D15" s="41"/>
      <c r="E15" s="39">
        <f t="shared" si="8"/>
        <v>0</v>
      </c>
      <c r="F15" s="41"/>
      <c r="G15" s="39">
        <f t="shared" si="9"/>
        <v>0</v>
      </c>
      <c r="H15" s="41"/>
      <c r="I15" s="39">
        <f>IF(AC15&gt;0,((H15-AA15)+(AB15-H16)),IF(H16=0, ,(H15-H16)))</f>
        <v>0</v>
      </c>
      <c r="J15" s="39">
        <f t="shared" si="12"/>
        <v>0</v>
      </c>
      <c r="K15" s="39">
        <f t="shared" si="13"/>
        <v>0</v>
      </c>
      <c r="L15" s="39">
        <f t="shared" si="14"/>
        <v>0</v>
      </c>
      <c r="M15" s="149">
        <f t="shared" si="17"/>
        <v>24196</v>
      </c>
      <c r="N15" s="39">
        <f t="shared" si="15"/>
        <v>0</v>
      </c>
      <c r="O15" s="39">
        <f t="shared" si="16"/>
        <v>0</v>
      </c>
      <c r="P15" s="42">
        <f t="shared" si="10"/>
        <v>0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44605</v>
      </c>
      <c r="B16" s="41"/>
      <c r="C16" s="39">
        <f t="shared" si="7"/>
        <v>0</v>
      </c>
      <c r="D16" s="41"/>
      <c r="E16" s="39">
        <f t="shared" si="8"/>
        <v>0</v>
      </c>
      <c r="F16" s="41"/>
      <c r="G16" s="39">
        <f t="shared" si="9"/>
        <v>0</v>
      </c>
      <c r="H16" s="41"/>
      <c r="I16" s="39">
        <f t="shared" si="11"/>
        <v>0</v>
      </c>
      <c r="J16" s="39">
        <f t="shared" si="12"/>
        <v>0</v>
      </c>
      <c r="K16" s="39">
        <f t="shared" si="13"/>
        <v>0</v>
      </c>
      <c r="L16" s="39">
        <f t="shared" si="14"/>
        <v>0</v>
      </c>
      <c r="M16" s="149">
        <f t="shared" si="17"/>
        <v>24196</v>
      </c>
      <c r="N16" s="39">
        <f t="shared" si="15"/>
        <v>0</v>
      </c>
      <c r="O16" s="39">
        <f t="shared" si="16"/>
        <v>0</v>
      </c>
      <c r="P16" s="42">
        <f t="shared" si="10"/>
        <v>0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44606</v>
      </c>
      <c r="B17" s="41"/>
      <c r="C17" s="39">
        <f t="shared" si="7"/>
        <v>0</v>
      </c>
      <c r="D17" s="41"/>
      <c r="E17" s="39">
        <f t="shared" si="8"/>
        <v>0</v>
      </c>
      <c r="F17" s="41"/>
      <c r="G17" s="39">
        <f t="shared" si="9"/>
        <v>0</v>
      </c>
      <c r="H17" s="41"/>
      <c r="I17" s="39">
        <f t="shared" si="11"/>
        <v>0</v>
      </c>
      <c r="J17" s="39">
        <f t="shared" si="12"/>
        <v>0</v>
      </c>
      <c r="K17" s="39">
        <f t="shared" si="13"/>
        <v>0</v>
      </c>
      <c r="L17" s="39">
        <f t="shared" si="14"/>
        <v>0</v>
      </c>
      <c r="M17" s="149">
        <f t="shared" si="17"/>
        <v>24196</v>
      </c>
      <c r="N17" s="39">
        <f t="shared" si="15"/>
        <v>0</v>
      </c>
      <c r="O17" s="39">
        <f t="shared" si="16"/>
        <v>0</v>
      </c>
      <c r="P17" s="42">
        <f t="shared" si="10"/>
        <v>0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44607</v>
      </c>
      <c r="B18" s="41"/>
      <c r="C18" s="39">
        <f t="shared" si="7"/>
        <v>0</v>
      </c>
      <c r="D18" s="41"/>
      <c r="E18" s="39">
        <f t="shared" si="8"/>
        <v>0</v>
      </c>
      <c r="F18" s="41"/>
      <c r="G18" s="39">
        <f t="shared" si="9"/>
        <v>0</v>
      </c>
      <c r="H18" s="41"/>
      <c r="I18" s="39">
        <f t="shared" si="11"/>
        <v>0</v>
      </c>
      <c r="J18" s="39">
        <f t="shared" si="12"/>
        <v>0</v>
      </c>
      <c r="K18" s="39">
        <f t="shared" si="13"/>
        <v>0</v>
      </c>
      <c r="L18" s="39">
        <f t="shared" si="14"/>
        <v>0</v>
      </c>
      <c r="M18" s="149">
        <f t="shared" si="17"/>
        <v>24196</v>
      </c>
      <c r="N18" s="39">
        <f t="shared" si="15"/>
        <v>0</v>
      </c>
      <c r="O18" s="39">
        <f t="shared" si="16"/>
        <v>0</v>
      </c>
      <c r="P18" s="42">
        <f t="shared" si="10"/>
        <v>0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44608</v>
      </c>
      <c r="B19" s="41"/>
      <c r="C19" s="39">
        <f t="shared" si="7"/>
        <v>0</v>
      </c>
      <c r="D19" s="41"/>
      <c r="E19" s="39">
        <f t="shared" si="8"/>
        <v>0</v>
      </c>
      <c r="F19" s="41"/>
      <c r="G19" s="39">
        <f t="shared" si="9"/>
        <v>0</v>
      </c>
      <c r="H19" s="41"/>
      <c r="I19" s="39">
        <f t="shared" si="11"/>
        <v>0</v>
      </c>
      <c r="J19" s="39">
        <f t="shared" si="12"/>
        <v>0</v>
      </c>
      <c r="K19" s="39">
        <f t="shared" si="13"/>
        <v>0</v>
      </c>
      <c r="L19" s="39">
        <f t="shared" si="14"/>
        <v>0</v>
      </c>
      <c r="M19" s="149">
        <f t="shared" si="17"/>
        <v>24196</v>
      </c>
      <c r="N19" s="39">
        <f t="shared" si="15"/>
        <v>0</v>
      </c>
      <c r="O19" s="39">
        <f t="shared" si="16"/>
        <v>0</v>
      </c>
      <c r="P19" s="42">
        <f t="shared" si="10"/>
        <v>0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44609</v>
      </c>
      <c r="B20" s="41"/>
      <c r="C20" s="39">
        <f t="shared" si="7"/>
        <v>0</v>
      </c>
      <c r="D20" s="41"/>
      <c r="E20" s="39">
        <f t="shared" si="8"/>
        <v>0</v>
      </c>
      <c r="F20" s="41"/>
      <c r="G20" s="39">
        <f t="shared" si="9"/>
        <v>0</v>
      </c>
      <c r="H20" s="41"/>
      <c r="I20" s="39">
        <f t="shared" si="11"/>
        <v>0</v>
      </c>
      <c r="J20" s="39">
        <f t="shared" si="12"/>
        <v>0</v>
      </c>
      <c r="K20" s="39">
        <f t="shared" si="13"/>
        <v>0</v>
      </c>
      <c r="L20" s="39">
        <f t="shared" ref="L20:L42" si="18">IF(AC20&gt;0,((K20-AD20)+(AE20-K21)),IF(K21=0, ,(K20-K21)))</f>
        <v>0</v>
      </c>
      <c r="M20" s="149">
        <f t="shared" si="17"/>
        <v>24196</v>
      </c>
      <c r="N20" s="39">
        <f t="shared" si="15"/>
        <v>0</v>
      </c>
      <c r="O20" s="39">
        <f t="shared" si="16"/>
        <v>0</v>
      </c>
      <c r="P20" s="42">
        <f t="shared" si="10"/>
        <v>0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44610</v>
      </c>
      <c r="B21" s="41"/>
      <c r="C21" s="39">
        <f t="shared" si="7"/>
        <v>0</v>
      </c>
      <c r="D21" s="41"/>
      <c r="E21" s="39">
        <f t="shared" si="8"/>
        <v>0</v>
      </c>
      <c r="F21" s="41"/>
      <c r="G21" s="39">
        <f t="shared" si="9"/>
        <v>0</v>
      </c>
      <c r="H21" s="41"/>
      <c r="I21" s="39">
        <f t="shared" si="11"/>
        <v>0</v>
      </c>
      <c r="J21" s="39">
        <f t="shared" si="12"/>
        <v>0</v>
      </c>
      <c r="K21" s="39">
        <f t="shared" si="13"/>
        <v>0</v>
      </c>
      <c r="L21" s="39">
        <f>IF(AC21&gt;0,((K21-AD21)+(AE21-K22)),IF(K22=0, ,(K21-K22)))</f>
        <v>0</v>
      </c>
      <c r="M21" s="149">
        <f t="shared" si="17"/>
        <v>24196</v>
      </c>
      <c r="N21" s="39">
        <f t="shared" si="15"/>
        <v>0</v>
      </c>
      <c r="O21" s="39">
        <f t="shared" si="16"/>
        <v>0</v>
      </c>
      <c r="P21" s="42">
        <f t="shared" si="10"/>
        <v>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44611</v>
      </c>
      <c r="B22" s="41"/>
      <c r="C22" s="39">
        <f t="shared" si="7"/>
        <v>0</v>
      </c>
      <c r="D22" s="41"/>
      <c r="E22" s="39">
        <f t="shared" si="8"/>
        <v>0</v>
      </c>
      <c r="F22" s="41"/>
      <c r="G22" s="39">
        <f t="shared" si="9"/>
        <v>0</v>
      </c>
      <c r="H22" s="41"/>
      <c r="I22" s="39">
        <f t="shared" si="11"/>
        <v>0</v>
      </c>
      <c r="J22" s="39">
        <f t="shared" si="12"/>
        <v>0</v>
      </c>
      <c r="K22" s="39">
        <f t="shared" si="13"/>
        <v>0</v>
      </c>
      <c r="L22" s="39">
        <f>IF(AC22&gt;0,((K22-AD22)+(AE22-K23)),IF(K23=0, ,(K22-K23)))</f>
        <v>0</v>
      </c>
      <c r="M22" s="149">
        <f t="shared" si="17"/>
        <v>24196</v>
      </c>
      <c r="N22" s="39">
        <f t="shared" si="15"/>
        <v>0</v>
      </c>
      <c r="O22" s="39">
        <f t="shared" si="16"/>
        <v>0</v>
      </c>
      <c r="P22" s="42">
        <f t="shared" si="10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>
      <c r="A23" s="40">
        <v>44612</v>
      </c>
      <c r="B23" s="41"/>
      <c r="C23" s="39">
        <f t="shared" si="7"/>
        <v>0</v>
      </c>
      <c r="D23" s="41"/>
      <c r="E23" s="39">
        <f t="shared" si="8"/>
        <v>0</v>
      </c>
      <c r="F23" s="41"/>
      <c r="G23" s="39">
        <f t="shared" si="9"/>
        <v>0</v>
      </c>
      <c r="H23" s="41"/>
      <c r="I23" s="39">
        <f t="shared" si="11"/>
        <v>0</v>
      </c>
      <c r="J23" s="39">
        <f t="shared" si="12"/>
        <v>0</v>
      </c>
      <c r="K23" s="39">
        <f t="shared" si="13"/>
        <v>0</v>
      </c>
      <c r="L23" s="39">
        <f t="shared" si="18"/>
        <v>0</v>
      </c>
      <c r="M23" s="149">
        <f t="shared" si="17"/>
        <v>24196</v>
      </c>
      <c r="N23" s="39">
        <f t="shared" si="15"/>
        <v>0</v>
      </c>
      <c r="O23" s="39">
        <f t="shared" si="16"/>
        <v>0</v>
      </c>
      <c r="P23" s="42">
        <f t="shared" si="10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44613</v>
      </c>
      <c r="B24" s="41"/>
      <c r="C24" s="39">
        <f t="shared" si="7"/>
        <v>0</v>
      </c>
      <c r="D24" s="41"/>
      <c r="E24" s="39">
        <f t="shared" si="8"/>
        <v>0</v>
      </c>
      <c r="F24" s="41"/>
      <c r="G24" s="39">
        <f t="shared" si="9"/>
        <v>0</v>
      </c>
      <c r="H24" s="41"/>
      <c r="I24" s="39">
        <f t="shared" si="11"/>
        <v>0</v>
      </c>
      <c r="J24" s="39">
        <f t="shared" si="12"/>
        <v>0</v>
      </c>
      <c r="K24" s="39">
        <f t="shared" si="13"/>
        <v>0</v>
      </c>
      <c r="L24" s="39">
        <f t="shared" si="18"/>
        <v>0</v>
      </c>
      <c r="M24" s="149">
        <f t="shared" si="17"/>
        <v>24196</v>
      </c>
      <c r="N24" s="39">
        <f t="shared" si="15"/>
        <v>0</v>
      </c>
      <c r="O24" s="39">
        <f t="shared" si="16"/>
        <v>0</v>
      </c>
      <c r="P24" s="42">
        <f t="shared" si="10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44614</v>
      </c>
      <c r="B25" s="41"/>
      <c r="C25" s="39">
        <f t="shared" si="7"/>
        <v>0</v>
      </c>
      <c r="D25" s="41"/>
      <c r="E25" s="39">
        <f t="shared" si="8"/>
        <v>0</v>
      </c>
      <c r="F25" s="41"/>
      <c r="G25" s="39">
        <f t="shared" si="9"/>
        <v>0</v>
      </c>
      <c r="H25" s="41"/>
      <c r="I25" s="39">
        <f t="shared" si="11"/>
        <v>0</v>
      </c>
      <c r="J25" s="39">
        <f t="shared" si="12"/>
        <v>0</v>
      </c>
      <c r="K25" s="39">
        <f t="shared" si="13"/>
        <v>0</v>
      </c>
      <c r="L25" s="39">
        <f t="shared" si="18"/>
        <v>0</v>
      </c>
      <c r="M25" s="149">
        <f t="shared" si="17"/>
        <v>24196</v>
      </c>
      <c r="N25" s="39">
        <f t="shared" si="15"/>
        <v>0</v>
      </c>
      <c r="O25" s="39">
        <f t="shared" si="16"/>
        <v>0</v>
      </c>
      <c r="P25" s="42">
        <f t="shared" si="10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44615</v>
      </c>
      <c r="B26" s="41"/>
      <c r="C26" s="39">
        <f t="shared" si="7"/>
        <v>0</v>
      </c>
      <c r="D26" s="41"/>
      <c r="E26" s="39">
        <f t="shared" si="8"/>
        <v>0</v>
      </c>
      <c r="F26" s="41"/>
      <c r="G26" s="39">
        <f t="shared" si="9"/>
        <v>0</v>
      </c>
      <c r="H26" s="41"/>
      <c r="I26" s="39">
        <f t="shared" si="11"/>
        <v>0</v>
      </c>
      <c r="J26" s="39">
        <f t="shared" si="12"/>
        <v>0</v>
      </c>
      <c r="K26" s="39">
        <f t="shared" si="13"/>
        <v>0</v>
      </c>
      <c r="L26" s="39">
        <f t="shared" si="18"/>
        <v>0</v>
      </c>
      <c r="M26" s="149">
        <f t="shared" si="17"/>
        <v>24196</v>
      </c>
      <c r="N26" s="39">
        <f t="shared" si="15"/>
        <v>0</v>
      </c>
      <c r="O26" s="39">
        <f t="shared" si="16"/>
        <v>0</v>
      </c>
      <c r="P26" s="42">
        <f t="shared" si="10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44616</v>
      </c>
      <c r="B27" s="41"/>
      <c r="C27" s="39">
        <f t="shared" si="7"/>
        <v>0</v>
      </c>
      <c r="D27" s="41"/>
      <c r="E27" s="39">
        <f t="shared" si="8"/>
        <v>0</v>
      </c>
      <c r="F27" s="41"/>
      <c r="G27" s="39">
        <f t="shared" si="9"/>
        <v>0</v>
      </c>
      <c r="H27" s="41"/>
      <c r="I27" s="39">
        <f t="shared" si="11"/>
        <v>0</v>
      </c>
      <c r="J27" s="39">
        <f t="shared" si="12"/>
        <v>0</v>
      </c>
      <c r="K27" s="39">
        <f t="shared" si="13"/>
        <v>0</v>
      </c>
      <c r="L27" s="39">
        <f t="shared" si="18"/>
        <v>0</v>
      </c>
      <c r="M27" s="149">
        <f t="shared" si="17"/>
        <v>24196</v>
      </c>
      <c r="N27" s="39">
        <f t="shared" si="15"/>
        <v>0</v>
      </c>
      <c r="O27" s="39">
        <f t="shared" si="16"/>
        <v>0</v>
      </c>
      <c r="P27" s="42">
        <f t="shared" si="10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44617</v>
      </c>
      <c r="B28" s="41"/>
      <c r="C28" s="39">
        <f t="shared" si="7"/>
        <v>0</v>
      </c>
      <c r="D28" s="41"/>
      <c r="E28" s="39">
        <f t="shared" si="8"/>
        <v>0</v>
      </c>
      <c r="F28" s="41"/>
      <c r="G28" s="39">
        <f t="shared" si="9"/>
        <v>0</v>
      </c>
      <c r="H28" s="41"/>
      <c r="I28" s="39">
        <f>IF(AC28&gt;0,((H28-AA28)+(AB28-H29)),IF(H29=0, ,(H28-H29)))</f>
        <v>0</v>
      </c>
      <c r="J28" s="39">
        <f t="shared" si="12"/>
        <v>0</v>
      </c>
      <c r="K28" s="39">
        <f t="shared" si="13"/>
        <v>0</v>
      </c>
      <c r="L28" s="39">
        <f t="shared" si="18"/>
        <v>0</v>
      </c>
      <c r="M28" s="149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0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44618</v>
      </c>
      <c r="B29" s="41"/>
      <c r="C29" s="39">
        <f t="shared" si="7"/>
        <v>0</v>
      </c>
      <c r="D29" s="41"/>
      <c r="E29" s="39">
        <f t="shared" si="8"/>
        <v>0</v>
      </c>
      <c r="F29" s="41"/>
      <c r="G29" s="39">
        <f t="shared" si="9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8"/>
        <v>0</v>
      </c>
      <c r="M29" s="149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0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44619</v>
      </c>
      <c r="B30" s="41"/>
      <c r="C30" s="39">
        <f t="shared" si="7"/>
        <v>0</v>
      </c>
      <c r="D30" s="41"/>
      <c r="E30" s="39">
        <f t="shared" si="8"/>
        <v>0</v>
      </c>
      <c r="F30" s="41"/>
      <c r="G30" s="39">
        <f t="shared" si="9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8"/>
        <v>0</v>
      </c>
      <c r="M30" s="149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1">(S30+V30+Y30+AB30)/4</f>
        <v>0</v>
      </c>
    </row>
    <row r="31" spans="1:31" ht="32.25" customHeight="1">
      <c r="A31" s="40">
        <v>44620</v>
      </c>
      <c r="B31" s="41"/>
      <c r="C31" s="39">
        <f t="shared" si="7"/>
        <v>0</v>
      </c>
      <c r="D31" s="41"/>
      <c r="E31" s="39">
        <f t="shared" si="8"/>
        <v>0</v>
      </c>
      <c r="F31" s="41"/>
      <c r="G31" s="39">
        <f t="shared" si="9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9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1"/>
        <v>0</v>
      </c>
    </row>
    <row r="32" spans="1:31" ht="32.25" customHeight="1">
      <c r="A32" s="40">
        <v>44621</v>
      </c>
      <c r="B32" s="41"/>
      <c r="C32" s="39">
        <f t="shared" si="7"/>
        <v>0</v>
      </c>
      <c r="D32" s="41"/>
      <c r="E32" s="39">
        <f t="shared" si="8"/>
        <v>0</v>
      </c>
      <c r="F32" s="41"/>
      <c r="G32" s="39">
        <f t="shared" si="9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9">
        <f t="shared" si="17"/>
        <v>24196</v>
      </c>
      <c r="N32" s="39">
        <f t="shared" si="15"/>
        <v>0</v>
      </c>
      <c r="O32" s="149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1"/>
        <v>0</v>
      </c>
    </row>
    <row r="33" spans="1:31" ht="32.25" customHeight="1">
      <c r="A33" s="40">
        <v>44622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9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1"/>
        <v>0</v>
      </c>
    </row>
    <row r="34" spans="1:31" ht="32.25" customHeight="1">
      <c r="A34" s="40"/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1"/>
        <v>0</v>
      </c>
    </row>
    <row r="35" spans="1:31" ht="32.25" customHeight="1">
      <c r="A35" s="40"/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1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2">IF(AC36&gt;0,((D36-U36)+(V36-D37)),IF(D37=0, ,(D36-D37)))</f>
        <v>0</v>
      </c>
      <c r="F36" s="41"/>
      <c r="G36" s="39">
        <f t="shared" ref="G27:G36" si="23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1"/>
        <v>0</v>
      </c>
    </row>
    <row r="37" spans="1:31" ht="32.25" customHeight="1">
      <c r="A37" s="40"/>
      <c r="B37" s="41"/>
      <c r="C37" s="39">
        <f t="shared" ref="C37:C42" si="24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5">IF(AC37&gt;0,((F37-X37)+(Y37-F38)),IF(F38=0, ,(F37-F38)))</f>
        <v>0</v>
      </c>
      <c r="H37" s="41"/>
      <c r="I37" s="39">
        <f t="shared" ref="I37:I42" si="26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si="10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1"/>
        <v>0</v>
      </c>
    </row>
    <row r="38" spans="1:31" ht="32.25" customHeight="1">
      <c r="A38" s="40"/>
      <c r="B38" s="41"/>
      <c r="C38" s="39">
        <f t="shared" si="24"/>
        <v>0</v>
      </c>
      <c r="D38" s="41"/>
      <c r="E38" s="39">
        <f>IF(AC38:AC61&gt;0,((D38-U38)+(V38-D39)),IF(D39=0, ,(D38-D39)))</f>
        <v>0</v>
      </c>
      <c r="F38" s="41"/>
      <c r="G38" s="39">
        <f t="shared" si="25"/>
        <v>0</v>
      </c>
      <c r="H38" s="41"/>
      <c r="I38" s="39">
        <f t="shared" si="26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10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1"/>
        <v>0</v>
      </c>
    </row>
    <row r="39" spans="1:31" ht="32.25" customHeight="1">
      <c r="A39" s="40"/>
      <c r="B39" s="41"/>
      <c r="C39" s="39">
        <f t="shared" si="24"/>
        <v>0</v>
      </c>
      <c r="D39" s="41"/>
      <c r="E39" s="39">
        <f>IF(AC39&gt;0,((D39-U39)+(V39-D40)),IF(D40=0, ,(D39-D40)))</f>
        <v>0</v>
      </c>
      <c r="F39" s="41"/>
      <c r="G39" s="39">
        <f t="shared" si="25"/>
        <v>0</v>
      </c>
      <c r="H39" s="41"/>
      <c r="I39" s="39">
        <f t="shared" si="26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ref="P5:P39" si="27">O39*11.2513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1"/>
        <v>0</v>
      </c>
    </row>
    <row r="40" spans="1:31" ht="32.25" customHeight="1">
      <c r="A40" s="40"/>
      <c r="B40" s="41"/>
      <c r="C40" s="39">
        <f t="shared" si="24"/>
        <v>0</v>
      </c>
      <c r="D40" s="41"/>
      <c r="E40" s="39">
        <f>IF(AC40&gt;0,((D40-U40)+(V40-D41)),IF(D41=0, ,(D40-D41)))</f>
        <v>0</v>
      </c>
      <c r="F40" s="41"/>
      <c r="G40" s="39">
        <f t="shared" si="25"/>
        <v>0</v>
      </c>
      <c r="H40" s="41"/>
      <c r="I40" s="39">
        <f t="shared" si="26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ref="P5:P42" si="28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1"/>
        <v>0</v>
      </c>
    </row>
    <row r="41" spans="1:31" ht="32.25" customHeight="1">
      <c r="A41" s="40"/>
      <c r="B41" s="41"/>
      <c r="C41" s="39">
        <f t="shared" si="24"/>
        <v>0</v>
      </c>
      <c r="D41" s="41"/>
      <c r="E41" s="39">
        <f>IF(AC41&gt;0,((D41-U41)+(V41-D42)),IF(D42=0, ,(D41-D42)))</f>
        <v>0</v>
      </c>
      <c r="F41" s="41"/>
      <c r="G41" s="39">
        <f t="shared" si="25"/>
        <v>0</v>
      </c>
      <c r="H41" s="41"/>
      <c r="I41" s="39">
        <f t="shared" si="26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28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1"/>
        <v>0</v>
      </c>
    </row>
    <row r="42" spans="1:31" ht="32.25" customHeight="1">
      <c r="A42" s="40"/>
      <c r="B42" s="41"/>
      <c r="C42" s="39">
        <f t="shared" si="24"/>
        <v>0</v>
      </c>
      <c r="D42" s="41"/>
      <c r="E42" s="39">
        <f>IF(AC42&gt;0,((D42-U42)+(V42-D43)),IF(D43=0, ,(D42-D43)))</f>
        <v>0</v>
      </c>
      <c r="F42" s="41"/>
      <c r="G42" s="39">
        <f t="shared" si="25"/>
        <v>0</v>
      </c>
      <c r="H42" s="41"/>
      <c r="I42" s="39">
        <f t="shared" si="26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28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1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3205.9700000000003</v>
      </c>
      <c r="O43" s="39">
        <f>N43*0.529</f>
        <v>1695.9581300000002</v>
      </c>
      <c r="P43" s="42">
        <f>O43*11.565</f>
        <v>19613.755773450001</v>
      </c>
      <c r="Q43" s="285">
        <f>SUM(Q4:Q42)</f>
        <v>0</v>
      </c>
      <c r="R43" s="286"/>
      <c r="S43" s="287"/>
      <c r="T43" s="288">
        <f>SUM(T4:T42)</f>
        <v>0</v>
      </c>
      <c r="U43" s="286"/>
      <c r="V43" s="287"/>
      <c r="W43" s="288">
        <f>SUM(W4:W42)</f>
        <v>0</v>
      </c>
      <c r="X43" s="286"/>
      <c r="Y43" s="287"/>
      <c r="Z43" s="288">
        <f>SUM(Z4:Z42)</f>
        <v>0</v>
      </c>
      <c r="AA43" s="286"/>
      <c r="AB43" s="287"/>
      <c r="AC43" s="39">
        <f t="shared" si="20"/>
        <v>0</v>
      </c>
    </row>
    <row r="44" spans="1:31" ht="35.25" customHeight="1" thickBot="1">
      <c r="B44" s="294"/>
      <c r="C44" s="295"/>
      <c r="D44" s="295"/>
      <c r="E44" s="295"/>
      <c r="F44" s="295"/>
      <c r="G44" s="295"/>
      <c r="H44" s="295"/>
      <c r="I44" s="296"/>
      <c r="J44" s="37"/>
      <c r="K44" s="37"/>
      <c r="L44" s="37"/>
      <c r="M44" s="37"/>
      <c r="N44" s="37"/>
      <c r="O44" s="37"/>
      <c r="P44" s="37"/>
      <c r="Q44" s="297">
        <f>Q43+T43+W43+Z43</f>
        <v>0</v>
      </c>
      <c r="R44" s="298"/>
      <c r="S44" s="298"/>
      <c r="T44" s="298"/>
      <c r="U44" s="298"/>
      <c r="V44" s="298"/>
      <c r="W44" s="298"/>
      <c r="X44" s="298"/>
      <c r="Y44" s="298"/>
      <c r="Z44" s="298"/>
      <c r="AA44" s="298"/>
      <c r="AB44" s="299"/>
      <c r="AC44" s="39">
        <f>Q44+T44+W44+Z44</f>
        <v>0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1" t="s">
        <v>85</v>
      </c>
      <c r="I47" s="282"/>
      <c r="J47" s="283"/>
      <c r="K47" s="45">
        <f>N43</f>
        <v>3205.9700000000003</v>
      </c>
      <c r="L47" s="46">
        <f>O43</f>
        <v>1695.9581300000002</v>
      </c>
      <c r="M47" s="46">
        <f>P43</f>
        <v>19613.755773450001</v>
      </c>
    </row>
    <row r="48" spans="1:31" ht="54.75" customHeight="1" thickBot="1">
      <c r="H48" s="281" t="s">
        <v>86</v>
      </c>
      <c r="I48" s="282"/>
      <c r="J48" s="283"/>
      <c r="K48" s="43">
        <f>AC44</f>
        <v>0</v>
      </c>
      <c r="L48" s="44">
        <f>K48*0.529</f>
        <v>0</v>
      </c>
      <c r="M48" s="44">
        <f>L48*11.565</f>
        <v>0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7" zoomScaleNormal="100" workbookViewId="0">
      <selection activeCell="F32" sqref="F32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0"/>
      <c r="B1" s="272"/>
      <c r="C1" s="357" t="s">
        <v>87</v>
      </c>
      <c r="D1" s="358"/>
      <c r="E1" s="358"/>
      <c r="F1" s="358"/>
      <c r="G1" s="358"/>
      <c r="H1" s="363" t="s">
        <v>88</v>
      </c>
      <c r="I1" s="364"/>
      <c r="J1" s="365"/>
    </row>
    <row r="2" spans="1:10" ht="16.5" customHeight="1" thickBot="1">
      <c r="A2" s="273"/>
      <c r="B2" s="275"/>
      <c r="C2" s="359"/>
      <c r="D2" s="360"/>
      <c r="E2" s="360"/>
      <c r="F2" s="360"/>
      <c r="G2" s="360"/>
      <c r="H2" s="366"/>
      <c r="I2" s="367"/>
      <c r="J2" s="368"/>
    </row>
    <row r="3" spans="1:10" ht="15" customHeight="1">
      <c r="A3" s="273"/>
      <c r="B3" s="275"/>
      <c r="C3" s="359"/>
      <c r="D3" s="360"/>
      <c r="E3" s="360"/>
      <c r="F3" s="360"/>
      <c r="G3" s="360"/>
      <c r="H3" s="369" t="s">
        <v>89</v>
      </c>
      <c r="I3" s="370"/>
      <c r="J3" s="371"/>
    </row>
    <row r="4" spans="1:10" ht="15.75" customHeight="1" thickBot="1">
      <c r="A4" s="276"/>
      <c r="B4" s="278"/>
      <c r="C4" s="361"/>
      <c r="D4" s="362"/>
      <c r="E4" s="362"/>
      <c r="F4" s="362"/>
      <c r="G4" s="362"/>
      <c r="H4" s="372"/>
      <c r="I4" s="373"/>
      <c r="J4" s="374"/>
    </row>
    <row r="6" spans="1:10" ht="33" customHeight="1" thickBot="1"/>
    <row r="7" spans="1:10" ht="36.75" thickTop="1">
      <c r="A7" s="375" t="s">
        <v>90</v>
      </c>
      <c r="B7" s="375"/>
      <c r="C7" s="376" t="s">
        <v>91</v>
      </c>
      <c r="D7" s="377"/>
      <c r="E7" s="61" t="s">
        <v>92</v>
      </c>
      <c r="F7" s="61" t="s">
        <v>93</v>
      </c>
      <c r="G7" s="61" t="s">
        <v>94</v>
      </c>
      <c r="H7" s="61" t="s">
        <v>95</v>
      </c>
      <c r="I7" s="378" t="s">
        <v>96</v>
      </c>
      <c r="J7" s="379"/>
    </row>
    <row r="8" spans="1:10">
      <c r="A8" s="346">
        <v>95670781</v>
      </c>
      <c r="B8" s="346"/>
      <c r="C8" s="350">
        <v>44558</v>
      </c>
      <c r="D8" s="351"/>
      <c r="E8" s="113">
        <v>44589</v>
      </c>
      <c r="F8" s="163" t="s">
        <v>97</v>
      </c>
      <c r="G8" s="62"/>
      <c r="H8" s="62"/>
      <c r="I8" s="352"/>
      <c r="J8" s="353"/>
    </row>
    <row r="10" spans="1:10" ht="23.25" customHeight="1" thickBot="1"/>
    <row r="11" spans="1:10" ht="24.75" customHeight="1" thickTop="1">
      <c r="A11" s="330" t="s">
        <v>98</v>
      </c>
      <c r="B11" s="330"/>
      <c r="C11" s="354" t="s">
        <v>99</v>
      </c>
      <c r="D11" s="355"/>
      <c r="E11" s="330" t="s">
        <v>100</v>
      </c>
      <c r="F11" s="330"/>
      <c r="G11" s="354" t="s">
        <v>101</v>
      </c>
      <c r="H11" s="355"/>
      <c r="I11" s="356" t="s">
        <v>102</v>
      </c>
      <c r="J11" s="356"/>
    </row>
    <row r="12" spans="1:10">
      <c r="A12" s="346" t="s">
        <v>103</v>
      </c>
      <c r="B12" s="346"/>
      <c r="C12" s="346">
        <v>3750</v>
      </c>
      <c r="D12" s="346"/>
      <c r="E12" s="346">
        <v>1000</v>
      </c>
      <c r="F12" s="346"/>
      <c r="G12" s="347">
        <v>417</v>
      </c>
      <c r="H12" s="347"/>
      <c r="I12" s="348"/>
      <c r="J12" s="348"/>
    </row>
    <row r="13" spans="1:10">
      <c r="A13" s="349"/>
      <c r="B13" s="432"/>
      <c r="C13" s="432"/>
      <c r="D13" s="432"/>
      <c r="E13" s="432"/>
      <c r="F13" s="432"/>
      <c r="G13" s="432"/>
      <c r="H13" s="432"/>
      <c r="I13" s="432"/>
      <c r="J13" s="432"/>
    </row>
    <row r="15" spans="1:10" ht="13.5" thickBot="1"/>
    <row r="16" spans="1:10" ht="26.25" thickTop="1">
      <c r="A16" s="330" t="s">
        <v>104</v>
      </c>
      <c r="B16" s="330"/>
      <c r="C16" s="63" t="s">
        <v>105</v>
      </c>
      <c r="D16" s="64" t="s">
        <v>106</v>
      </c>
      <c r="E16" s="64" t="s">
        <v>48</v>
      </c>
      <c r="F16" s="64" t="s">
        <v>107</v>
      </c>
      <c r="G16" s="343" t="s">
        <v>108</v>
      </c>
      <c r="H16" s="343"/>
      <c r="I16" s="344" t="s">
        <v>109</v>
      </c>
      <c r="J16" s="345"/>
    </row>
    <row r="17" spans="1:10">
      <c r="A17" s="335" t="s">
        <v>110</v>
      </c>
      <c r="B17" s="336"/>
      <c r="C17" s="66">
        <v>19398677</v>
      </c>
      <c r="D17" s="66">
        <v>19306429</v>
      </c>
      <c r="E17" s="67">
        <f>MIN(C17-D17)</f>
        <v>92248</v>
      </c>
      <c r="F17" s="67">
        <f>+E17</f>
        <v>92248</v>
      </c>
      <c r="G17" s="337"/>
      <c r="H17" s="338"/>
      <c r="I17" s="337">
        <f>+E17</f>
        <v>92248</v>
      </c>
      <c r="J17" s="338"/>
    </row>
    <row r="18" spans="1:10">
      <c r="A18" s="335" t="s">
        <v>111</v>
      </c>
      <c r="B18" s="336"/>
      <c r="C18" s="66">
        <v>11424147</v>
      </c>
      <c r="D18" s="66">
        <v>11353001</v>
      </c>
      <c r="E18" s="67">
        <f>MIN(C18-D18)</f>
        <v>71146</v>
      </c>
      <c r="F18" s="67">
        <f>+E18</f>
        <v>71146</v>
      </c>
      <c r="G18" s="337"/>
      <c r="H18" s="338"/>
      <c r="I18" s="337">
        <f>+E18</f>
        <v>71146</v>
      </c>
      <c r="J18" s="338"/>
    </row>
    <row r="19" spans="1:10">
      <c r="A19" s="335" t="s">
        <v>112</v>
      </c>
      <c r="B19" s="336"/>
      <c r="C19" s="66">
        <v>8517838</v>
      </c>
      <c r="D19" s="66">
        <v>8474753</v>
      </c>
      <c r="E19" s="67">
        <f>AVERAGE(C19-D19)</f>
        <v>43085</v>
      </c>
      <c r="F19" s="67">
        <f>+E19</f>
        <v>43085</v>
      </c>
      <c r="G19" s="337"/>
      <c r="H19" s="338"/>
      <c r="I19" s="337">
        <f>+E19</f>
        <v>43085</v>
      </c>
      <c r="J19" s="338"/>
    </row>
    <row r="20" spans="1:10" ht="15">
      <c r="A20" s="339" t="s">
        <v>113</v>
      </c>
      <c r="B20" s="340"/>
      <c r="C20" s="68"/>
      <c r="D20" s="69"/>
      <c r="E20" s="68">
        <f>SUM(E17:E19)</f>
        <v>206479</v>
      </c>
      <c r="F20" s="70"/>
      <c r="G20" s="341"/>
      <c r="H20" s="342"/>
      <c r="I20" s="341"/>
      <c r="J20" s="342"/>
    </row>
    <row r="21" spans="1:10">
      <c r="C21" s="110" t="s">
        <v>18</v>
      </c>
      <c r="D21" t="s">
        <v>114</v>
      </c>
      <c r="G21" s="322"/>
      <c r="H21" s="322"/>
    </row>
    <row r="22" spans="1:10" ht="13.5" thickBot="1">
      <c r="G22" s="323"/>
      <c r="H22" s="323"/>
    </row>
    <row r="23" spans="1:10" ht="13.5" thickTop="1">
      <c r="A23" s="324" t="s">
        <v>115</v>
      </c>
      <c r="B23" s="325"/>
      <c r="C23" s="326"/>
      <c r="D23" s="330" t="s">
        <v>116</v>
      </c>
      <c r="E23" s="330" t="s">
        <v>117</v>
      </c>
      <c r="F23" s="332" t="s">
        <v>118</v>
      </c>
      <c r="G23" s="334" t="s">
        <v>119</v>
      </c>
      <c r="H23" s="334"/>
      <c r="I23" s="318" t="s">
        <v>120</v>
      </c>
      <c r="J23" s="318"/>
    </row>
    <row r="24" spans="1:10">
      <c r="A24" s="327"/>
      <c r="B24" s="328"/>
      <c r="C24" s="329"/>
      <c r="D24" s="331"/>
      <c r="E24" s="331"/>
      <c r="F24" s="333"/>
      <c r="G24" s="164" t="s">
        <v>121</v>
      </c>
      <c r="H24" s="71" t="s">
        <v>122</v>
      </c>
      <c r="I24" s="318"/>
      <c r="J24" s="318"/>
    </row>
    <row r="25" spans="1:10" ht="15">
      <c r="A25" s="319" t="s">
        <v>123</v>
      </c>
      <c r="B25" s="320"/>
      <c r="C25" s="321"/>
      <c r="D25" s="67">
        <f>+E17</f>
        <v>92248</v>
      </c>
      <c r="E25" s="72">
        <v>0.95140000000000002</v>
      </c>
      <c r="F25" s="73">
        <f>PRODUCT(D25*E25)</f>
        <v>87764.747199999998</v>
      </c>
      <c r="G25" s="151">
        <v>14</v>
      </c>
      <c r="H25" s="65">
        <f>PRODUCT(0.14,F25)</f>
        <v>12287.064608000001</v>
      </c>
      <c r="I25" s="303">
        <f>SUM(H25,F25)</f>
        <v>100051.811808</v>
      </c>
      <c r="J25" s="304"/>
    </row>
    <row r="26" spans="1:10" ht="15">
      <c r="A26" s="300" t="s">
        <v>124</v>
      </c>
      <c r="B26" s="301"/>
      <c r="C26" s="302"/>
      <c r="D26" s="67">
        <f>+E18</f>
        <v>71146</v>
      </c>
      <c r="E26" s="74">
        <v>0.69850000000000001</v>
      </c>
      <c r="F26" s="73">
        <f>PRODUCT(D26*E26)</f>
        <v>49695.481</v>
      </c>
      <c r="G26">
        <v>14</v>
      </c>
      <c r="H26" s="67">
        <f>PRODUCT(0.14,F26)</f>
        <v>6957.3673400000007</v>
      </c>
      <c r="I26" s="303">
        <f t="shared" ref="I26:I31" si="0">SUM(H26,F26)</f>
        <v>56652.848339999997</v>
      </c>
      <c r="J26" s="304"/>
    </row>
    <row r="27" spans="1:10" ht="15">
      <c r="A27" s="300" t="s">
        <v>125</v>
      </c>
      <c r="B27" s="301"/>
      <c r="C27" s="302"/>
      <c r="D27" s="67">
        <f>+E19</f>
        <v>43085</v>
      </c>
      <c r="E27" s="74">
        <v>1.3304</v>
      </c>
      <c r="F27" s="73">
        <f>PRODUCT(D27*E27)</f>
        <v>57320.284</v>
      </c>
      <c r="G27">
        <v>14</v>
      </c>
      <c r="H27" s="67">
        <f>PRODUCT(0.14,F27)</f>
        <v>8024.8397600000008</v>
      </c>
      <c r="I27" s="303">
        <f>SUM(H27,F27)</f>
        <v>65345.123760000002</v>
      </c>
      <c r="J27" s="304"/>
    </row>
    <row r="28" spans="1:10" ht="15">
      <c r="A28" s="300" t="s">
        <v>126</v>
      </c>
      <c r="B28" s="301"/>
      <c r="C28" s="302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3">
        <f t="shared" si="0"/>
        <v>50025.103799999997</v>
      </c>
      <c r="J28" s="304"/>
    </row>
    <row r="29" spans="1:10" ht="15">
      <c r="A29" s="313" t="s">
        <v>127</v>
      </c>
      <c r="B29" s="314"/>
      <c r="C29" s="315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16">
        <f t="shared" si="0"/>
        <v>0</v>
      </c>
      <c r="J29" s="317"/>
    </row>
    <row r="30" spans="1:10" ht="15">
      <c r="A30" s="300" t="s">
        <v>128</v>
      </c>
      <c r="B30" s="301"/>
      <c r="C30" s="302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3">
        <f>SUM(H30,F30)</f>
        <v>1009.2</v>
      </c>
      <c r="J30" s="304"/>
    </row>
    <row r="31" spans="1:10" ht="15.75" thickBot="1">
      <c r="A31" s="305" t="s">
        <v>129</v>
      </c>
      <c r="B31" s="306"/>
      <c r="C31" s="307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3">
        <f t="shared" si="0"/>
        <v>1596.44</v>
      </c>
      <c r="J31" s="304"/>
    </row>
    <row r="32" spans="1:10" ht="21">
      <c r="A32" s="308" t="s">
        <v>130</v>
      </c>
      <c r="B32" s="309"/>
      <c r="C32" s="309"/>
      <c r="D32" s="309"/>
      <c r="E32" s="309"/>
      <c r="F32" s="84">
        <f>SUM(F25:F31)</f>
        <v>240995.18219999998</v>
      </c>
      <c r="G32" s="85"/>
      <c r="H32" s="86"/>
      <c r="I32" s="312">
        <f>SUM(I25:J31)</f>
        <v>274680.52770799998</v>
      </c>
      <c r="J32" s="312"/>
    </row>
    <row r="33" spans="1:10" ht="21.75" thickBot="1">
      <c r="A33" s="310"/>
      <c r="B33" s="311"/>
      <c r="C33" s="311"/>
      <c r="D33" s="311"/>
      <c r="E33" s="311"/>
      <c r="F33" s="87"/>
      <c r="G33" s="88"/>
      <c r="H33" s="89"/>
      <c r="I33" s="312"/>
      <c r="J33" s="312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0"/>
      <c r="B1" s="272"/>
      <c r="C1" s="357" t="s">
        <v>131</v>
      </c>
      <c r="D1" s="358"/>
      <c r="E1" s="358"/>
      <c r="F1" s="358"/>
      <c r="G1" s="358"/>
      <c r="H1" s="363" t="s">
        <v>88</v>
      </c>
      <c r="I1" s="364"/>
      <c r="J1" s="365"/>
    </row>
    <row r="2" spans="1:10" ht="16.5" customHeight="1" thickBot="1">
      <c r="A2" s="273"/>
      <c r="B2" s="275"/>
      <c r="C2" s="359"/>
      <c r="D2" s="360"/>
      <c r="E2" s="360"/>
      <c r="F2" s="360"/>
      <c r="G2" s="360"/>
      <c r="H2" s="366"/>
      <c r="I2" s="367"/>
      <c r="J2" s="368"/>
    </row>
    <row r="3" spans="1:10" ht="15" customHeight="1">
      <c r="A3" s="273"/>
      <c r="B3" s="275"/>
      <c r="C3" s="359"/>
      <c r="D3" s="360"/>
      <c r="E3" s="360"/>
      <c r="F3" s="360"/>
      <c r="G3" s="360"/>
      <c r="H3" s="369" t="s">
        <v>89</v>
      </c>
      <c r="I3" s="370"/>
      <c r="J3" s="371"/>
    </row>
    <row r="4" spans="1:10" ht="15.75" customHeight="1" thickBot="1">
      <c r="A4" s="276"/>
      <c r="B4" s="278"/>
      <c r="C4" s="361"/>
      <c r="D4" s="362"/>
      <c r="E4" s="362"/>
      <c r="F4" s="362"/>
      <c r="G4" s="362"/>
      <c r="H4" s="372"/>
      <c r="I4" s="373"/>
      <c r="J4" s="374"/>
    </row>
    <row r="6" spans="1:10" ht="33" customHeight="1" thickBot="1"/>
    <row r="7" spans="1:10" ht="36.75" thickTop="1">
      <c r="A7" s="375" t="s">
        <v>90</v>
      </c>
      <c r="B7" s="375"/>
      <c r="C7" s="376" t="s">
        <v>91</v>
      </c>
      <c r="D7" s="377"/>
      <c r="E7" s="61" t="s">
        <v>92</v>
      </c>
      <c r="F7" s="61" t="s">
        <v>93</v>
      </c>
      <c r="G7" s="61" t="s">
        <v>94</v>
      </c>
      <c r="H7" s="61" t="s">
        <v>95</v>
      </c>
      <c r="I7" s="378" t="s">
        <v>96</v>
      </c>
      <c r="J7" s="379"/>
    </row>
    <row r="8" spans="1:10">
      <c r="A8" s="346">
        <v>95670781</v>
      </c>
      <c r="B8" s="346"/>
      <c r="C8" s="350">
        <v>44297</v>
      </c>
      <c r="D8" s="351"/>
      <c r="E8" s="113">
        <v>44327</v>
      </c>
      <c r="F8" s="163" t="s">
        <v>132</v>
      </c>
      <c r="G8" s="62"/>
      <c r="H8" s="62"/>
      <c r="I8" s="352"/>
      <c r="J8" s="353"/>
    </row>
    <row r="10" spans="1:10" ht="23.25" customHeight="1" thickBot="1"/>
    <row r="11" spans="1:10" ht="24.75" customHeight="1" thickTop="1">
      <c r="A11" s="330" t="s">
        <v>98</v>
      </c>
      <c r="B11" s="330"/>
      <c r="C11" s="354" t="s">
        <v>99</v>
      </c>
      <c r="D11" s="355"/>
      <c r="E11" s="330" t="s">
        <v>100</v>
      </c>
      <c r="F11" s="330"/>
      <c r="G11" s="354" t="s">
        <v>101</v>
      </c>
      <c r="H11" s="355"/>
      <c r="I11" s="356" t="s">
        <v>102</v>
      </c>
      <c r="J11" s="356"/>
    </row>
    <row r="12" spans="1:10">
      <c r="A12" s="346" t="s">
        <v>103</v>
      </c>
      <c r="B12" s="346"/>
      <c r="C12" s="346">
        <v>3750</v>
      </c>
      <c r="D12" s="346"/>
      <c r="E12" s="346">
        <v>1000</v>
      </c>
      <c r="F12" s="346"/>
      <c r="G12" s="347">
        <v>712</v>
      </c>
      <c r="H12" s="347"/>
      <c r="I12" s="348"/>
      <c r="J12" s="348"/>
    </row>
    <row r="13" spans="1:10">
      <c r="A13" s="349"/>
      <c r="B13" s="432"/>
      <c r="C13" s="432"/>
      <c r="D13" s="432"/>
      <c r="E13" s="432"/>
      <c r="F13" s="432"/>
      <c r="G13" s="432"/>
      <c r="H13" s="432"/>
      <c r="I13" s="432"/>
      <c r="J13" s="432"/>
    </row>
    <row r="15" spans="1:10" ht="13.5" thickBot="1"/>
    <row r="16" spans="1:10" ht="26.25" thickTop="1">
      <c r="A16" s="330" t="s">
        <v>104</v>
      </c>
      <c r="B16" s="330"/>
      <c r="C16" s="63" t="s">
        <v>105</v>
      </c>
      <c r="D16" s="64" t="s">
        <v>106</v>
      </c>
      <c r="E16" s="64" t="s">
        <v>48</v>
      </c>
      <c r="F16" s="64" t="s">
        <v>107</v>
      </c>
      <c r="G16" s="343" t="s">
        <v>108</v>
      </c>
      <c r="H16" s="343"/>
      <c r="I16" s="344" t="s">
        <v>109</v>
      </c>
      <c r="J16" s="345"/>
    </row>
    <row r="17" spans="1:10">
      <c r="A17" s="335" t="s">
        <v>110</v>
      </c>
      <c r="B17" s="336"/>
      <c r="C17" s="66">
        <v>19067297</v>
      </c>
      <c r="D17" s="66">
        <v>19060410</v>
      </c>
      <c r="E17" s="67">
        <f>MIN(C17-D17)</f>
        <v>6887</v>
      </c>
      <c r="F17" s="67">
        <f>+E17</f>
        <v>6887</v>
      </c>
      <c r="G17" s="337"/>
      <c r="H17" s="338"/>
      <c r="I17" s="337">
        <f>+E17</f>
        <v>6887</v>
      </c>
      <c r="J17" s="338"/>
    </row>
    <row r="18" spans="1:10">
      <c r="A18" s="335" t="s">
        <v>111</v>
      </c>
      <c r="B18" s="336"/>
      <c r="C18" s="66">
        <v>11187556</v>
      </c>
      <c r="D18" s="66">
        <v>11183757</v>
      </c>
      <c r="E18" s="67">
        <f>MIN(C18-D18)</f>
        <v>3799</v>
      </c>
      <c r="F18" s="67">
        <f>+E18</f>
        <v>3799</v>
      </c>
      <c r="G18" s="337"/>
      <c r="H18" s="338"/>
      <c r="I18" s="337">
        <f>+E18</f>
        <v>3799</v>
      </c>
      <c r="J18" s="338"/>
    </row>
    <row r="19" spans="1:10">
      <c r="A19" s="335" t="s">
        <v>112</v>
      </c>
      <c r="B19" s="336"/>
      <c r="C19" s="66">
        <v>8363547</v>
      </c>
      <c r="D19" s="66">
        <v>8360474</v>
      </c>
      <c r="E19" s="67">
        <f>AVERAGE(C19-D19)</f>
        <v>3073</v>
      </c>
      <c r="F19" s="67">
        <f>+E19</f>
        <v>3073</v>
      </c>
      <c r="G19" s="337"/>
      <c r="H19" s="338"/>
      <c r="I19" s="337">
        <f>+E19</f>
        <v>3073</v>
      </c>
      <c r="J19" s="338"/>
    </row>
    <row r="20" spans="1:10" ht="15">
      <c r="A20" s="339" t="s">
        <v>113</v>
      </c>
      <c r="B20" s="340"/>
      <c r="C20" s="68"/>
      <c r="D20" s="69"/>
      <c r="E20" s="68">
        <f>SUM(E17:E19)</f>
        <v>13759</v>
      </c>
      <c r="F20" s="70"/>
      <c r="G20" s="341"/>
      <c r="H20" s="342"/>
      <c r="I20" s="341"/>
      <c r="J20" s="342"/>
    </row>
    <row r="21" spans="1:10">
      <c r="C21" s="110" t="s">
        <v>18</v>
      </c>
      <c r="D21" t="s">
        <v>114</v>
      </c>
      <c r="G21" s="322"/>
      <c r="H21" s="322"/>
    </row>
    <row r="22" spans="1:10" ht="13.5" thickBot="1">
      <c r="G22" s="323"/>
      <c r="H22" s="323"/>
    </row>
    <row r="23" spans="1:10" ht="13.5" thickTop="1">
      <c r="A23" s="324" t="s">
        <v>115</v>
      </c>
      <c r="B23" s="325"/>
      <c r="C23" s="326"/>
      <c r="D23" s="330" t="s">
        <v>116</v>
      </c>
      <c r="E23" s="330" t="s">
        <v>117</v>
      </c>
      <c r="F23" s="332" t="s">
        <v>118</v>
      </c>
      <c r="G23" s="334" t="s">
        <v>119</v>
      </c>
      <c r="H23" s="334"/>
      <c r="I23" s="318" t="s">
        <v>120</v>
      </c>
      <c r="J23" s="318"/>
    </row>
    <row r="24" spans="1:10">
      <c r="A24" s="327"/>
      <c r="B24" s="328"/>
      <c r="C24" s="329"/>
      <c r="D24" s="331"/>
      <c r="E24" s="331"/>
      <c r="F24" s="333"/>
      <c r="G24" s="164" t="s">
        <v>121</v>
      </c>
      <c r="H24" s="71" t="s">
        <v>122</v>
      </c>
      <c r="I24" s="318"/>
      <c r="J24" s="318"/>
    </row>
    <row r="25" spans="1:10" ht="15">
      <c r="A25" s="319" t="s">
        <v>123</v>
      </c>
      <c r="B25" s="320"/>
      <c r="C25" s="321"/>
      <c r="D25" s="67">
        <f>+E17</f>
        <v>6887</v>
      </c>
      <c r="E25" s="72">
        <v>0.95140000000000002</v>
      </c>
      <c r="F25" s="73">
        <f>PRODUCT(D25*E25)</f>
        <v>6552.2918</v>
      </c>
      <c r="G25" s="151">
        <v>14</v>
      </c>
      <c r="H25" s="65">
        <f>PRODUCT(0.14,F25)</f>
        <v>917.32085200000006</v>
      </c>
      <c r="I25" s="303">
        <f>SUM(H25,F25)</f>
        <v>7469.6126519999998</v>
      </c>
      <c r="J25" s="304"/>
    </row>
    <row r="26" spans="1:10" ht="15">
      <c r="A26" s="300" t="s">
        <v>124</v>
      </c>
      <c r="B26" s="301"/>
      <c r="C26" s="302"/>
      <c r="D26" s="67">
        <f>+E18</f>
        <v>3799</v>
      </c>
      <c r="E26" s="74">
        <v>0.69850000000000001</v>
      </c>
      <c r="F26" s="73">
        <f>PRODUCT(D26*E26)</f>
        <v>2653.6015000000002</v>
      </c>
      <c r="G26">
        <v>14</v>
      </c>
      <c r="H26" s="67">
        <f>PRODUCT(0.14,F26)</f>
        <v>371.50421000000006</v>
      </c>
      <c r="I26" s="303">
        <f t="shared" ref="I26:I31" si="0">SUM(H26,F26)</f>
        <v>3025.1057100000003</v>
      </c>
      <c r="J26" s="304"/>
    </row>
    <row r="27" spans="1:10" ht="15">
      <c r="A27" s="300" t="s">
        <v>125</v>
      </c>
      <c r="B27" s="301"/>
      <c r="C27" s="302"/>
      <c r="D27" s="67">
        <f>+E19</f>
        <v>3073</v>
      </c>
      <c r="E27" s="74">
        <v>1.3304</v>
      </c>
      <c r="F27" s="73">
        <f>PRODUCT(D27*E27)</f>
        <v>4088.3191999999999</v>
      </c>
      <c r="G27">
        <v>14</v>
      </c>
      <c r="H27" s="67">
        <f>PRODUCT(0.14,F27)</f>
        <v>572.364688</v>
      </c>
      <c r="I27" s="303">
        <f>SUM(H27,F27)</f>
        <v>4660.6838879999996</v>
      </c>
      <c r="J27" s="304"/>
    </row>
    <row r="28" spans="1:10" ht="15">
      <c r="A28" s="300" t="s">
        <v>126</v>
      </c>
      <c r="B28" s="301"/>
      <c r="C28" s="302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3">
        <f t="shared" si="0"/>
        <v>50025.103799999997</v>
      </c>
      <c r="J28" s="304"/>
    </row>
    <row r="29" spans="1:10" ht="15">
      <c r="A29" s="313" t="s">
        <v>127</v>
      </c>
      <c r="B29" s="314"/>
      <c r="C29" s="315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16">
        <f t="shared" si="0"/>
        <v>0</v>
      </c>
      <c r="J29" s="317"/>
    </row>
    <row r="30" spans="1:10" ht="15">
      <c r="A30" s="300" t="s">
        <v>128</v>
      </c>
      <c r="B30" s="301"/>
      <c r="C30" s="302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3">
        <f>SUM(H30,F30)</f>
        <v>1009.2</v>
      </c>
      <c r="J30" s="304"/>
    </row>
    <row r="31" spans="1:10" ht="15.75" thickBot="1">
      <c r="A31" s="305" t="s">
        <v>129</v>
      </c>
      <c r="B31" s="306"/>
      <c r="C31" s="307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3">
        <f t="shared" si="0"/>
        <v>1596.44</v>
      </c>
      <c r="J31" s="304"/>
    </row>
    <row r="32" spans="1:10" ht="21">
      <c r="A32" s="308" t="s">
        <v>130</v>
      </c>
      <c r="B32" s="309"/>
      <c r="C32" s="309"/>
      <c r="D32" s="309"/>
      <c r="E32" s="309"/>
      <c r="F32" s="84">
        <f>SUM(F25:F31)</f>
        <v>59508.8825</v>
      </c>
      <c r="G32" s="85"/>
      <c r="H32" s="86"/>
      <c r="I32" s="312">
        <f>SUM(I25:J31)</f>
        <v>67786.146049999996</v>
      </c>
      <c r="J32" s="312"/>
    </row>
    <row r="33" spans="1:10" ht="21.75" thickBot="1">
      <c r="A33" s="310"/>
      <c r="B33" s="311"/>
      <c r="C33" s="311"/>
      <c r="D33" s="311"/>
      <c r="E33" s="311"/>
      <c r="F33" s="87"/>
      <c r="G33" s="88"/>
      <c r="H33" s="89"/>
      <c r="I33" s="312"/>
      <c r="J33" s="312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topLeftCell="A7" workbookViewId="0">
      <selection activeCell="F20" sqref="F20:H20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0"/>
      <c r="B1" s="357" t="s">
        <v>133</v>
      </c>
      <c r="C1" s="358"/>
      <c r="D1" s="358"/>
      <c r="E1" s="358"/>
      <c r="F1" s="403" t="s">
        <v>88</v>
      </c>
      <c r="G1" s="404"/>
      <c r="H1" s="405"/>
    </row>
    <row r="2" spans="1:8" ht="15.75" customHeight="1" thickBot="1">
      <c r="A2" s="401"/>
      <c r="B2" s="359"/>
      <c r="C2" s="360"/>
      <c r="D2" s="360"/>
      <c r="E2" s="360"/>
      <c r="F2" s="406"/>
      <c r="G2" s="407"/>
      <c r="H2" s="408"/>
    </row>
    <row r="3" spans="1:8" ht="15" customHeight="1">
      <c r="A3" s="401"/>
      <c r="B3" s="359"/>
      <c r="C3" s="360"/>
      <c r="D3" s="360"/>
      <c r="E3" s="360"/>
      <c r="F3" s="403" t="s">
        <v>89</v>
      </c>
      <c r="G3" s="404"/>
      <c r="H3" s="405"/>
    </row>
    <row r="4" spans="1:8" ht="15.75" customHeight="1" thickBot="1">
      <c r="A4" s="402"/>
      <c r="B4" s="361"/>
      <c r="C4" s="362"/>
      <c r="D4" s="362"/>
      <c r="E4" s="362"/>
      <c r="F4" s="409"/>
      <c r="G4" s="410"/>
      <c r="H4" s="411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132699</v>
      </c>
      <c r="D8" s="97">
        <v>44562</v>
      </c>
      <c r="E8" s="96">
        <v>134294.1</v>
      </c>
      <c r="F8" s="97">
        <v>44593</v>
      </c>
      <c r="G8" s="98">
        <f>E8-C8</f>
        <v>1595.1000000000058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2" t="s">
        <v>116</v>
      </c>
      <c r="C10" s="413"/>
      <c r="D10" s="414" t="s">
        <v>139</v>
      </c>
      <c r="E10" s="414"/>
      <c r="F10" s="412" t="s">
        <v>140</v>
      </c>
      <c r="G10" s="415"/>
      <c r="H10" s="413"/>
    </row>
    <row r="11" spans="1:8" ht="15">
      <c r="A11" s="102" t="s">
        <v>141</v>
      </c>
      <c r="B11" s="395"/>
      <c r="C11" s="395"/>
      <c r="D11" s="395"/>
      <c r="E11" s="395"/>
      <c r="F11" s="395">
        <v>23</v>
      </c>
      <c r="G11" s="395"/>
      <c r="H11" s="395"/>
    </row>
    <row r="12" spans="1:8" ht="21">
      <c r="A12" s="398" t="s">
        <v>142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143</v>
      </c>
      <c r="B13" s="395">
        <f>G8</f>
        <v>1595.1000000000058</v>
      </c>
      <c r="C13" s="395"/>
      <c r="D13" s="395">
        <v>8.7899999999999991</v>
      </c>
      <c r="E13" s="395"/>
      <c r="F13" s="399">
        <f>PRODUCT(D13,B13)</f>
        <v>14020.929000000049</v>
      </c>
      <c r="G13" s="399"/>
      <c r="H13" s="399"/>
    </row>
    <row r="14" spans="1:8" ht="45" customHeight="1">
      <c r="A14" s="396" t="s">
        <v>144</v>
      </c>
      <c r="B14" s="396"/>
      <c r="C14" s="396"/>
      <c r="D14" s="396"/>
      <c r="E14" s="396"/>
      <c r="F14" s="396"/>
      <c r="G14" s="396"/>
      <c r="H14" s="396"/>
    </row>
    <row r="15" spans="1:8">
      <c r="A15" s="397"/>
      <c r="B15" s="397"/>
      <c r="C15" s="397"/>
      <c r="D15" s="397"/>
      <c r="E15" s="397"/>
      <c r="F15" s="397"/>
      <c r="G15" s="397"/>
      <c r="H15" s="397"/>
    </row>
    <row r="16" spans="1:8" ht="15">
      <c r="A16" s="103" t="s">
        <v>145</v>
      </c>
      <c r="B16" s="395">
        <v>0</v>
      </c>
      <c r="C16" s="395"/>
      <c r="D16" s="395">
        <v>0</v>
      </c>
      <c r="E16" s="395"/>
      <c r="F16" s="395">
        <f>PRODUCT(D16,B16)</f>
        <v>0</v>
      </c>
      <c r="G16" s="395"/>
      <c r="H16" s="395"/>
    </row>
    <row r="17" spans="1:8" ht="15">
      <c r="A17" s="103" t="s">
        <v>146</v>
      </c>
      <c r="B17" s="395">
        <v>0</v>
      </c>
      <c r="C17" s="395"/>
      <c r="D17" s="395">
        <v>0</v>
      </c>
      <c r="E17" s="395"/>
      <c r="F17" s="395">
        <f>PRODUCT(D17,B17)</f>
        <v>0</v>
      </c>
      <c r="G17" s="395"/>
      <c r="H17" s="395"/>
    </row>
    <row r="18" spans="1:8" ht="15">
      <c r="A18" s="103" t="s">
        <v>147</v>
      </c>
      <c r="B18" s="395">
        <v>0</v>
      </c>
      <c r="C18" s="395"/>
      <c r="D18" s="395">
        <v>0</v>
      </c>
      <c r="E18" s="395"/>
      <c r="F18" s="395">
        <f>PRODUCT(D18,B18)</f>
        <v>0</v>
      </c>
      <c r="G18" s="395"/>
      <c r="H18" s="395"/>
    </row>
    <row r="19" spans="1:8" ht="15">
      <c r="A19" s="103" t="s">
        <v>148</v>
      </c>
      <c r="B19" s="395">
        <f>G8</f>
        <v>1595.1000000000058</v>
      </c>
      <c r="C19" s="395"/>
      <c r="D19" s="395">
        <v>2.61</v>
      </c>
      <c r="E19" s="395"/>
      <c r="F19" s="395">
        <f>PRODUCT(D19,B19)</f>
        <v>4163.2110000000148</v>
      </c>
      <c r="G19" s="395"/>
      <c r="H19" s="395"/>
    </row>
    <row r="20" spans="1:8" ht="18.75">
      <c r="A20" s="391" t="s">
        <v>149</v>
      </c>
      <c r="B20" s="392"/>
      <c r="C20" s="392"/>
      <c r="D20" s="392"/>
      <c r="E20" s="393"/>
      <c r="F20" s="394">
        <f>SUM(F11+F13+F16+F17+F18+F19)</f>
        <v>18207.140000000065</v>
      </c>
      <c r="G20" s="394"/>
      <c r="H20" s="394"/>
    </row>
    <row r="21" spans="1:8" ht="15">
      <c r="A21" s="380" t="s">
        <v>150</v>
      </c>
      <c r="B21" s="381"/>
      <c r="C21" s="381"/>
      <c r="D21" s="381"/>
      <c r="E21" s="382"/>
      <c r="F21" s="395">
        <f>PRODUCT(F20,0.07)</f>
        <v>1274.4998000000046</v>
      </c>
      <c r="G21" s="395"/>
      <c r="H21" s="395"/>
    </row>
    <row r="22" spans="1:8" ht="15">
      <c r="A22" s="433" t="s">
        <v>151</v>
      </c>
      <c r="B22" s="434"/>
      <c r="C22" s="434"/>
      <c r="D22" s="434"/>
      <c r="E22" s="435"/>
      <c r="F22" s="395">
        <v>208.26</v>
      </c>
      <c r="G22" s="395"/>
      <c r="H22" s="395"/>
    </row>
    <row r="23" spans="1:8" ht="15.75">
      <c r="A23" s="380" t="s">
        <v>152</v>
      </c>
      <c r="B23" s="381"/>
      <c r="C23" s="381"/>
      <c r="D23" s="381"/>
      <c r="E23" s="382"/>
      <c r="F23" s="383">
        <f>SUM(F21:H22)</f>
        <v>1482.7598000000046</v>
      </c>
      <c r="G23" s="383"/>
      <c r="H23" s="383"/>
    </row>
    <row r="24" spans="1:8">
      <c r="A24" s="384" t="s">
        <v>153</v>
      </c>
      <c r="B24" s="385"/>
      <c r="C24" s="385"/>
      <c r="D24" s="385"/>
      <c r="E24" s="386"/>
      <c r="F24" s="390">
        <f>SUM(F20,F23)</f>
        <v>19689.899800000068</v>
      </c>
      <c r="G24" s="390"/>
      <c r="H24" s="390"/>
    </row>
    <row r="25" spans="1:8">
      <c r="A25" s="387"/>
      <c r="B25" s="388"/>
      <c r="C25" s="388"/>
      <c r="D25" s="388"/>
      <c r="E25" s="389"/>
      <c r="F25" s="390"/>
      <c r="G25" s="390"/>
      <c r="H25" s="390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0"/>
      <c r="B1" s="357" t="s">
        <v>133</v>
      </c>
      <c r="C1" s="358"/>
      <c r="D1" s="358"/>
      <c r="E1" s="358"/>
      <c r="F1" s="403" t="s">
        <v>88</v>
      </c>
      <c r="G1" s="404"/>
      <c r="H1" s="405"/>
    </row>
    <row r="2" spans="1:8" ht="15.75" customHeight="1" thickBot="1">
      <c r="A2" s="401"/>
      <c r="B2" s="359"/>
      <c r="C2" s="360"/>
      <c r="D2" s="360"/>
      <c r="E2" s="360"/>
      <c r="F2" s="406"/>
      <c r="G2" s="407"/>
      <c r="H2" s="408"/>
    </row>
    <row r="3" spans="1:8" ht="15" customHeight="1">
      <c r="A3" s="401"/>
      <c r="B3" s="359"/>
      <c r="C3" s="360"/>
      <c r="D3" s="360"/>
      <c r="E3" s="360"/>
      <c r="F3" s="403" t="s">
        <v>89</v>
      </c>
      <c r="G3" s="404"/>
      <c r="H3" s="405"/>
    </row>
    <row r="4" spans="1:8" ht="15.75" customHeight="1" thickBot="1">
      <c r="A4" s="402"/>
      <c r="B4" s="361"/>
      <c r="C4" s="362"/>
      <c r="D4" s="362"/>
      <c r="E4" s="362"/>
      <c r="F4" s="409"/>
      <c r="G4" s="410"/>
      <c r="H4" s="411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127985.9</v>
      </c>
      <c r="D8" s="97">
        <v>44504</v>
      </c>
      <c r="E8" s="96">
        <v>128105.7</v>
      </c>
      <c r="F8" s="97">
        <v>44505</v>
      </c>
      <c r="G8" s="98">
        <f>E8-C8</f>
        <v>119.80000000000291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2" t="s">
        <v>116</v>
      </c>
      <c r="C10" s="413"/>
      <c r="D10" s="414" t="s">
        <v>139</v>
      </c>
      <c r="E10" s="414"/>
      <c r="F10" s="412" t="s">
        <v>140</v>
      </c>
      <c r="G10" s="415"/>
      <c r="H10" s="413"/>
    </row>
    <row r="11" spans="1:8" ht="15">
      <c r="A11" s="102" t="s">
        <v>141</v>
      </c>
      <c r="B11" s="395"/>
      <c r="C11" s="395"/>
      <c r="D11" s="395"/>
      <c r="E11" s="395"/>
      <c r="F11" s="395">
        <v>23</v>
      </c>
      <c r="G11" s="395"/>
      <c r="H11" s="395"/>
    </row>
    <row r="12" spans="1:8" ht="21">
      <c r="A12" s="398" t="s">
        <v>142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143</v>
      </c>
      <c r="B13" s="395">
        <f>G8</f>
        <v>119.80000000000291</v>
      </c>
      <c r="C13" s="395"/>
      <c r="D13" s="395">
        <v>8.5</v>
      </c>
      <c r="E13" s="395"/>
      <c r="F13" s="399">
        <f>PRODUCT(D13,B13)</f>
        <v>1018.3000000000247</v>
      </c>
      <c r="G13" s="399"/>
      <c r="H13" s="399"/>
    </row>
    <row r="14" spans="1:8" ht="45" customHeight="1">
      <c r="A14" s="396" t="s">
        <v>144</v>
      </c>
      <c r="B14" s="396"/>
      <c r="C14" s="396"/>
      <c r="D14" s="396"/>
      <c r="E14" s="396"/>
      <c r="F14" s="396"/>
      <c r="G14" s="396"/>
      <c r="H14" s="396"/>
    </row>
    <row r="15" spans="1:8">
      <c r="A15" s="397"/>
      <c r="B15" s="397"/>
      <c r="C15" s="397"/>
      <c r="D15" s="397"/>
      <c r="E15" s="397"/>
      <c r="F15" s="397"/>
      <c r="G15" s="397"/>
      <c r="H15" s="397"/>
    </row>
    <row r="16" spans="1:8" ht="15">
      <c r="A16" s="103" t="s">
        <v>145</v>
      </c>
      <c r="B16" s="395">
        <v>0</v>
      </c>
      <c r="C16" s="395"/>
      <c r="D16" s="395">
        <v>0</v>
      </c>
      <c r="E16" s="395"/>
      <c r="F16" s="395">
        <f>PRODUCT(D16,B16)</f>
        <v>0</v>
      </c>
      <c r="G16" s="395"/>
      <c r="H16" s="395"/>
    </row>
    <row r="17" spans="1:8" ht="15">
      <c r="A17" s="103" t="s">
        <v>146</v>
      </c>
      <c r="B17" s="395">
        <v>0</v>
      </c>
      <c r="C17" s="395"/>
      <c r="D17" s="395">
        <v>0</v>
      </c>
      <c r="E17" s="395"/>
      <c r="F17" s="395">
        <f>PRODUCT(D17,B17)</f>
        <v>0</v>
      </c>
      <c r="G17" s="395"/>
      <c r="H17" s="395"/>
    </row>
    <row r="18" spans="1:8" ht="15">
      <c r="A18" s="103" t="s">
        <v>147</v>
      </c>
      <c r="B18" s="395">
        <v>0</v>
      </c>
      <c r="C18" s="395"/>
      <c r="D18" s="395">
        <v>0</v>
      </c>
      <c r="E18" s="395"/>
      <c r="F18" s="395">
        <f>PRODUCT(D18,B18)</f>
        <v>0</v>
      </c>
      <c r="G18" s="395"/>
      <c r="H18" s="395"/>
    </row>
    <row r="19" spans="1:8" ht="15">
      <c r="A19" s="103" t="s">
        <v>148</v>
      </c>
      <c r="B19" s="395">
        <v>0</v>
      </c>
      <c r="C19" s="395"/>
      <c r="D19" s="416">
        <v>0</v>
      </c>
      <c r="E19" s="417"/>
      <c r="F19" s="416">
        <v>0</v>
      </c>
      <c r="G19" s="417"/>
      <c r="H19" s="165"/>
    </row>
    <row r="20" spans="1:8" ht="15">
      <c r="A20" s="103" t="s">
        <v>154</v>
      </c>
      <c r="B20" s="395">
        <f>G8</f>
        <v>119.80000000000291</v>
      </c>
      <c r="C20" s="395"/>
      <c r="D20" s="395">
        <v>2.54</v>
      </c>
      <c r="E20" s="395"/>
      <c r="F20" s="395">
        <f>PRODUCT(D20,B20)</f>
        <v>304.29200000000742</v>
      </c>
      <c r="G20" s="395"/>
      <c r="H20" s="395"/>
    </row>
    <row r="21" spans="1:8" ht="18.75">
      <c r="A21" s="391" t="s">
        <v>149</v>
      </c>
      <c r="B21" s="392"/>
      <c r="C21" s="392"/>
      <c r="D21" s="392"/>
      <c r="E21" s="393"/>
      <c r="F21" s="394">
        <f>SUM(F11+F13+F16+F17+F18+F20)</f>
        <v>1345.5920000000322</v>
      </c>
      <c r="G21" s="394"/>
      <c r="H21" s="394"/>
    </row>
    <row r="22" spans="1:8" ht="15">
      <c r="A22" s="380" t="s">
        <v>150</v>
      </c>
      <c r="B22" s="381"/>
      <c r="C22" s="381"/>
      <c r="D22" s="381"/>
      <c r="E22" s="382"/>
      <c r="F22" s="395">
        <f>PRODUCT(F21,0.07)</f>
        <v>94.19144000000226</v>
      </c>
      <c r="G22" s="395"/>
      <c r="H22" s="395"/>
    </row>
    <row r="23" spans="1:8" ht="15">
      <c r="A23" s="433" t="s">
        <v>151</v>
      </c>
      <c r="B23" s="434"/>
      <c r="C23" s="434"/>
      <c r="D23" s="434"/>
      <c r="E23" s="435"/>
      <c r="F23" s="395">
        <v>208.26</v>
      </c>
      <c r="G23" s="395"/>
      <c r="H23" s="395"/>
    </row>
    <row r="24" spans="1:8" ht="15.75">
      <c r="A24" s="380" t="s">
        <v>152</v>
      </c>
      <c r="B24" s="381"/>
      <c r="C24" s="381"/>
      <c r="D24" s="381"/>
      <c r="E24" s="382"/>
      <c r="F24" s="383">
        <f>SUM(F22:H23)</f>
        <v>302.45144000000226</v>
      </c>
      <c r="G24" s="383"/>
      <c r="H24" s="383"/>
    </row>
    <row r="25" spans="1:8">
      <c r="A25" s="384" t="s">
        <v>153</v>
      </c>
      <c r="B25" s="385"/>
      <c r="C25" s="385"/>
      <c r="D25" s="385"/>
      <c r="E25" s="386"/>
      <c r="F25" s="390">
        <f>SUM(F21,F24)</f>
        <v>1648.0434400000345</v>
      </c>
      <c r="G25" s="390"/>
      <c r="H25" s="390"/>
    </row>
    <row r="26" spans="1:8">
      <c r="A26" s="387"/>
      <c r="B26" s="388"/>
      <c r="C26" s="388"/>
      <c r="D26" s="388"/>
      <c r="E26" s="389"/>
      <c r="F26" s="390"/>
      <c r="G26" s="390"/>
      <c r="H26" s="390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0"/>
      <c r="B1" s="357" t="s">
        <v>155</v>
      </c>
      <c r="C1" s="358"/>
      <c r="D1" s="358"/>
      <c r="E1" s="358"/>
      <c r="F1" s="403" t="s">
        <v>88</v>
      </c>
      <c r="G1" s="404"/>
      <c r="H1" s="405"/>
    </row>
    <row r="2" spans="1:8" ht="15.75" customHeight="1" thickBot="1">
      <c r="A2" s="401"/>
      <c r="B2" s="359"/>
      <c r="C2" s="360"/>
      <c r="D2" s="360"/>
      <c r="E2" s="360"/>
      <c r="F2" s="406"/>
      <c r="G2" s="407"/>
      <c r="H2" s="408"/>
    </row>
    <row r="3" spans="1:8" ht="15" customHeight="1">
      <c r="A3" s="401"/>
      <c r="B3" s="359"/>
      <c r="C3" s="360"/>
      <c r="D3" s="360"/>
      <c r="E3" s="360"/>
      <c r="F3" s="403" t="s">
        <v>89</v>
      </c>
      <c r="G3" s="404"/>
      <c r="H3" s="405"/>
    </row>
    <row r="4" spans="1:8" ht="15.75" customHeight="1" thickBot="1">
      <c r="A4" s="402"/>
      <c r="B4" s="361"/>
      <c r="C4" s="362"/>
      <c r="D4" s="362"/>
      <c r="E4" s="362"/>
      <c r="F4" s="409"/>
      <c r="G4" s="410"/>
      <c r="H4" s="411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2560</v>
      </c>
      <c r="D8" s="97">
        <v>44531</v>
      </c>
      <c r="E8" s="96">
        <v>2560</v>
      </c>
      <c r="F8" s="97">
        <v>44562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2" t="s">
        <v>116</v>
      </c>
      <c r="C10" s="413"/>
      <c r="D10" s="414" t="s">
        <v>139</v>
      </c>
      <c r="E10" s="414"/>
      <c r="F10" s="412" t="s">
        <v>140</v>
      </c>
      <c r="G10" s="415"/>
      <c r="H10" s="413"/>
    </row>
    <row r="11" spans="1:8" ht="15">
      <c r="A11" s="102" t="s">
        <v>141</v>
      </c>
      <c r="B11" s="395"/>
      <c r="C11" s="395"/>
      <c r="D11" s="395"/>
      <c r="E11" s="395"/>
      <c r="F11" s="395">
        <v>15</v>
      </c>
      <c r="G11" s="395"/>
      <c r="H11" s="395"/>
    </row>
    <row r="12" spans="1:8" ht="21">
      <c r="A12" s="398" t="s">
        <v>142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156</v>
      </c>
      <c r="B13" s="395">
        <f>G8</f>
        <v>0</v>
      </c>
      <c r="C13" s="395"/>
      <c r="D13" s="395">
        <v>16.48</v>
      </c>
      <c r="E13" s="395"/>
      <c r="F13" s="399">
        <f>PRODUCT(D13,B13)</f>
        <v>0</v>
      </c>
      <c r="G13" s="399"/>
      <c r="H13" s="399"/>
    </row>
    <row r="14" spans="1:8" ht="15">
      <c r="A14" s="102" t="s">
        <v>157</v>
      </c>
      <c r="B14" s="416"/>
      <c r="C14" s="417"/>
      <c r="D14" s="416"/>
      <c r="E14" s="417"/>
      <c r="F14" s="416"/>
      <c r="G14" s="417"/>
      <c r="H14" s="111"/>
    </row>
    <row r="15" spans="1:8" ht="15">
      <c r="A15" s="102" t="s">
        <v>158</v>
      </c>
      <c r="B15" s="416"/>
      <c r="C15" s="417"/>
      <c r="D15" s="416"/>
      <c r="E15" s="417"/>
      <c r="F15" s="416"/>
      <c r="G15" s="417"/>
      <c r="H15" s="111"/>
    </row>
    <row r="16" spans="1:8" ht="15">
      <c r="A16" s="102" t="s">
        <v>159</v>
      </c>
      <c r="B16" s="416"/>
      <c r="C16" s="417"/>
      <c r="D16" s="416"/>
      <c r="E16" s="417"/>
      <c r="F16" s="416"/>
      <c r="G16" s="417"/>
      <c r="H16" s="111"/>
    </row>
    <row r="17" spans="1:8" ht="15">
      <c r="A17" s="102" t="s">
        <v>160</v>
      </c>
      <c r="B17" s="416"/>
      <c r="C17" s="417"/>
      <c r="D17" s="416"/>
      <c r="E17" s="417"/>
      <c r="F17" s="416"/>
      <c r="G17" s="417"/>
      <c r="H17" s="111"/>
    </row>
    <row r="18" spans="1:8" ht="45" customHeight="1">
      <c r="A18" s="396" t="s">
        <v>144</v>
      </c>
      <c r="B18" s="396"/>
      <c r="C18" s="396"/>
      <c r="D18" s="396"/>
      <c r="E18" s="396"/>
      <c r="F18" s="396"/>
      <c r="G18" s="396"/>
      <c r="H18" s="396"/>
    </row>
    <row r="19" spans="1:8">
      <c r="A19" s="397"/>
      <c r="B19" s="397"/>
      <c r="C19" s="397"/>
      <c r="D19" s="397"/>
      <c r="E19" s="397"/>
      <c r="F19" s="397"/>
      <c r="G19" s="397"/>
      <c r="H19" s="397"/>
    </row>
    <row r="20" spans="1:8" ht="15">
      <c r="A20" s="103" t="s">
        <v>145</v>
      </c>
      <c r="B20" s="395">
        <v>0</v>
      </c>
      <c r="C20" s="395"/>
      <c r="D20" s="395">
        <v>0</v>
      </c>
      <c r="E20" s="395"/>
      <c r="F20" s="395">
        <f>PRODUCT(D20,B20)</f>
        <v>0</v>
      </c>
      <c r="G20" s="395"/>
      <c r="H20" s="395"/>
    </row>
    <row r="21" spans="1:8" ht="15">
      <c r="A21" s="103" t="s">
        <v>146</v>
      </c>
      <c r="B21" s="395">
        <v>0</v>
      </c>
      <c r="C21" s="395"/>
      <c r="D21" s="395">
        <v>0</v>
      </c>
      <c r="E21" s="395"/>
      <c r="F21" s="395">
        <f>PRODUCT(D21,B21)</f>
        <v>0</v>
      </c>
      <c r="G21" s="395"/>
      <c r="H21" s="395"/>
    </row>
    <row r="22" spans="1:8" ht="15">
      <c r="A22" s="103" t="s">
        <v>147</v>
      </c>
      <c r="B22" s="395">
        <v>0</v>
      </c>
      <c r="C22" s="395"/>
      <c r="D22" s="395">
        <v>0</v>
      </c>
      <c r="E22" s="395"/>
      <c r="F22" s="395">
        <f>PRODUCT(D22,B22)</f>
        <v>0</v>
      </c>
      <c r="G22" s="395"/>
      <c r="H22" s="395"/>
    </row>
    <row r="23" spans="1:8" ht="15">
      <c r="A23" s="103" t="s">
        <v>148</v>
      </c>
      <c r="B23" s="395">
        <f>G8</f>
        <v>0</v>
      </c>
      <c r="C23" s="395"/>
      <c r="D23" s="395">
        <v>0</v>
      </c>
      <c r="E23" s="395"/>
      <c r="F23" s="395">
        <f>PRODUCT(D23,B23)</f>
        <v>0</v>
      </c>
      <c r="G23" s="395"/>
      <c r="H23" s="395"/>
    </row>
    <row r="24" spans="1:8" ht="15">
      <c r="A24" s="103" t="s">
        <v>154</v>
      </c>
      <c r="B24" s="416">
        <v>0</v>
      </c>
      <c r="C24" s="417"/>
      <c r="D24" s="416">
        <v>2.54</v>
      </c>
      <c r="E24" s="417"/>
      <c r="F24" s="416">
        <f>B24*D24</f>
        <v>0</v>
      </c>
      <c r="G24" s="417"/>
      <c r="H24" s="165"/>
    </row>
    <row r="25" spans="1:8" ht="18.75">
      <c r="A25" s="391" t="s">
        <v>149</v>
      </c>
      <c r="B25" s="392"/>
      <c r="C25" s="392"/>
      <c r="D25" s="392"/>
      <c r="E25" s="393"/>
      <c r="F25" s="418">
        <f>SUM(F11+F13+F20+F21+F22+F23)</f>
        <v>15</v>
      </c>
      <c r="G25" s="394"/>
      <c r="H25" s="394"/>
    </row>
    <row r="26" spans="1:8" ht="15">
      <c r="A26" s="380" t="s">
        <v>150</v>
      </c>
      <c r="B26" s="381"/>
      <c r="C26" s="381"/>
      <c r="D26" s="381"/>
      <c r="E26" s="382"/>
      <c r="F26" s="395">
        <v>63.63</v>
      </c>
      <c r="G26" s="395"/>
      <c r="H26" s="395"/>
    </row>
    <row r="27" spans="1:8" ht="15">
      <c r="A27" s="433" t="s">
        <v>151</v>
      </c>
      <c r="B27" s="434"/>
      <c r="C27" s="434"/>
      <c r="D27" s="434"/>
      <c r="E27" s="435"/>
      <c r="F27" s="395">
        <v>2.4300000000000002</v>
      </c>
      <c r="G27" s="395"/>
      <c r="H27" s="395"/>
    </row>
    <row r="28" spans="1:8" ht="15.75">
      <c r="A28" s="380" t="s">
        <v>152</v>
      </c>
      <c r="B28" s="381"/>
      <c r="C28" s="381"/>
      <c r="D28" s="381"/>
      <c r="E28" s="382"/>
      <c r="F28" s="383">
        <f>SUM(F26:H27)</f>
        <v>66.06</v>
      </c>
      <c r="G28" s="383"/>
      <c r="H28" s="383"/>
    </row>
    <row r="29" spans="1:8">
      <c r="A29" s="384" t="s">
        <v>153</v>
      </c>
      <c r="B29" s="385"/>
      <c r="C29" s="385"/>
      <c r="D29" s="385"/>
      <c r="E29" s="386"/>
      <c r="F29" s="390">
        <f>SUM(F25,F28)</f>
        <v>81.06</v>
      </c>
      <c r="G29" s="390"/>
      <c r="H29" s="390"/>
    </row>
    <row r="30" spans="1:8">
      <c r="A30" s="387"/>
      <c r="B30" s="388"/>
      <c r="C30" s="388"/>
      <c r="D30" s="388"/>
      <c r="E30" s="389"/>
      <c r="F30" s="390"/>
      <c r="G30" s="390"/>
      <c r="H30" s="390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12" zoomScaleNormal="100" workbookViewId="0">
      <selection activeCell="C26" sqref="C26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19" t="s">
        <v>161</v>
      </c>
      <c r="D5" s="420"/>
      <c r="E5" s="420"/>
      <c r="F5" s="420"/>
      <c r="G5" s="420"/>
      <c r="H5" s="420"/>
      <c r="I5" s="420"/>
      <c r="J5" s="420"/>
      <c r="K5" s="420"/>
      <c r="L5" s="420"/>
      <c r="M5" s="420"/>
      <c r="N5" s="421"/>
    </row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>
      <c r="B8" s="106" t="s">
        <v>174</v>
      </c>
      <c r="C8" s="425"/>
      <c r="D8" s="426"/>
      <c r="E8" s="426"/>
      <c r="F8" s="426"/>
      <c r="G8" s="426"/>
      <c r="H8" s="426"/>
      <c r="I8" s="426"/>
      <c r="J8" s="426"/>
      <c r="K8" s="427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>
      <c r="B15" s="166" t="s">
        <v>181</v>
      </c>
      <c r="C15" s="104">
        <v>206479</v>
      </c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>
      <c r="C16" s="422" t="s">
        <v>182</v>
      </c>
      <c r="D16" s="423"/>
      <c r="E16" s="423"/>
      <c r="F16" s="423"/>
      <c r="G16" s="423"/>
      <c r="H16" s="423"/>
      <c r="I16" s="423"/>
      <c r="J16" s="423"/>
      <c r="K16" s="423"/>
      <c r="L16" s="423"/>
      <c r="M16" s="423"/>
      <c r="N16" s="424"/>
    </row>
    <row r="18" spans="2:14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28.5" customHeight="1">
      <c r="B19" s="106" t="s">
        <v>174</v>
      </c>
      <c r="C19" s="425"/>
      <c r="D19" s="426"/>
      <c r="E19" s="426"/>
      <c r="F19" s="426"/>
      <c r="G19" s="426"/>
      <c r="H19" s="426"/>
      <c r="I19" s="426"/>
      <c r="J19" s="426"/>
      <c r="K19" s="427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>
      <c r="B20" s="107" t="s">
        <v>175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>
      <c r="B21" s="112" t="s">
        <v>176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>
      <c r="B22" s="108" t="s">
        <v>177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>
      <c r="B23" s="118" t="s">
        <v>178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>
      <c r="B24" s="147" t="s">
        <v>179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>
      <c r="B25" s="150" t="s">
        <v>180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>
      <c r="B26" s="166" t="s">
        <v>181</v>
      </c>
      <c r="C26" s="104">
        <v>240995.18219999998</v>
      </c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32" spans="2:14" ht="16.5" customHeight="1"/>
    <row r="33" ht="15.75" customHeight="1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21" zoomScaleNormal="100" workbookViewId="0">
      <selection activeCell="C26" sqref="C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19" t="s">
        <v>183</v>
      </c>
      <c r="D5" s="428"/>
      <c r="E5" s="428"/>
      <c r="F5" s="428"/>
      <c r="G5" s="428"/>
      <c r="H5" s="428"/>
      <c r="I5" s="428"/>
      <c r="J5" s="428"/>
      <c r="K5" s="428"/>
      <c r="L5" s="428"/>
      <c r="M5" s="428"/>
      <c r="N5" s="429"/>
    </row>
    <row r="6" spans="2:14" ht="21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>
      <c r="B8" s="106" t="s">
        <v>174</v>
      </c>
      <c r="C8" s="425"/>
      <c r="D8" s="426"/>
      <c r="E8" s="426"/>
      <c r="F8" s="426"/>
      <c r="G8" s="426"/>
      <c r="H8" s="426"/>
      <c r="I8" s="426"/>
      <c r="J8" s="426"/>
      <c r="K8" s="427"/>
      <c r="L8" s="104"/>
      <c r="M8" s="104">
        <v>3298</v>
      </c>
      <c r="N8" s="104">
        <v>3866</v>
      </c>
    </row>
    <row r="9" spans="2:14" ht="39" customHeight="1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180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>
      <c r="B15" s="166" t="s">
        <v>181</v>
      </c>
      <c r="C15" s="104">
        <v>1595.1000000000058</v>
      </c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>
      <c r="C16" s="422" t="s">
        <v>184</v>
      </c>
      <c r="D16" s="430"/>
      <c r="E16" s="430"/>
      <c r="F16" s="430"/>
      <c r="G16" s="430"/>
      <c r="H16" s="430"/>
      <c r="I16" s="430"/>
      <c r="J16" s="430"/>
      <c r="K16" s="430"/>
      <c r="L16" s="430"/>
      <c r="M16" s="430"/>
      <c r="N16" s="431"/>
    </row>
    <row r="18" spans="2:15" ht="18" customHeight="1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5" ht="30" customHeight="1">
      <c r="B19" s="106" t="s">
        <v>174</v>
      </c>
      <c r="C19" s="425"/>
      <c r="D19" s="426"/>
      <c r="E19" s="426"/>
      <c r="F19" s="426"/>
      <c r="G19" s="426"/>
      <c r="H19" s="426"/>
      <c r="I19" s="426"/>
      <c r="J19" s="426"/>
      <c r="K19" s="427"/>
      <c r="L19" s="104"/>
      <c r="M19" s="104">
        <v>43165.84</v>
      </c>
      <c r="N19" s="104">
        <v>50595.28</v>
      </c>
    </row>
    <row r="20" spans="2:15" ht="31.5" customHeight="1">
      <c r="B20" s="107" t="s">
        <v>175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>
      <c r="B21" s="112" t="s">
        <v>176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>
      <c r="B22" s="108" t="s">
        <v>177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>
      <c r="B23" s="118" t="s">
        <v>178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>
      <c r="B24" s="147" t="s">
        <v>179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>
      <c r="B25" s="150" t="s">
        <v>180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>
      <c r="B26" s="166" t="s">
        <v>181</v>
      </c>
      <c r="C26" s="104">
        <v>18207.140000000065</v>
      </c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31" spans="2:15" ht="16.5" customHeight="1">
      <c r="O31" t="s">
        <v>18</v>
      </c>
    </row>
    <row r="32" spans="2:15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21" zoomScaleNormal="100" workbookViewId="0">
      <selection activeCell="C26" sqref="C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19" t="s">
        <v>185</v>
      </c>
      <c r="D5" s="420"/>
      <c r="E5" s="420"/>
      <c r="F5" s="420"/>
      <c r="G5" s="420"/>
      <c r="H5" s="420"/>
      <c r="I5" s="420"/>
      <c r="J5" s="420"/>
      <c r="K5" s="420"/>
      <c r="L5" s="420"/>
      <c r="M5" s="420"/>
      <c r="N5" s="421"/>
    </row>
    <row r="6" spans="2:14" ht="23.25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>
      <c r="B8" s="106" t="s">
        <v>174</v>
      </c>
      <c r="C8" s="425"/>
      <c r="D8" s="426"/>
      <c r="E8" s="426"/>
      <c r="F8" s="426"/>
      <c r="G8" s="426"/>
      <c r="H8" s="426"/>
      <c r="I8" s="426"/>
      <c r="J8" s="426"/>
      <c r="K8" s="427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180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>
      <c r="B15" s="166" t="s">
        <v>181</v>
      </c>
      <c r="C15" s="104">
        <v>8859.1630000000005</v>
      </c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>
      <c r="C16" s="422" t="s">
        <v>186</v>
      </c>
      <c r="D16" s="423"/>
      <c r="E16" s="423"/>
      <c r="F16" s="423"/>
      <c r="G16" s="423"/>
      <c r="H16" s="423"/>
      <c r="I16" s="423"/>
      <c r="J16" s="423"/>
      <c r="K16" s="423"/>
      <c r="L16" s="423"/>
      <c r="M16" s="423"/>
      <c r="N16" s="424"/>
    </row>
    <row r="18" spans="2:14" ht="17.25" customHeight="1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30" customHeight="1">
      <c r="B19" s="106" t="s">
        <v>174</v>
      </c>
      <c r="C19" s="425"/>
      <c r="D19" s="426"/>
      <c r="E19" s="426"/>
      <c r="F19" s="426"/>
      <c r="G19" s="426"/>
      <c r="H19" s="426"/>
      <c r="I19" s="426"/>
      <c r="J19" s="426"/>
      <c r="K19" s="427"/>
      <c r="L19" s="104">
        <v>222503.85</v>
      </c>
      <c r="M19" s="104">
        <v>248385.8</v>
      </c>
      <c r="N19" s="104">
        <v>412790.47</v>
      </c>
    </row>
    <row r="20" spans="2:14" ht="30" customHeight="1">
      <c r="B20" s="107" t="s">
        <v>175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>
      <c r="B21" s="112" t="s">
        <v>176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>
      <c r="B22" s="108" t="s">
        <v>177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>
      <c r="B23" s="118" t="s">
        <v>178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>
      <c r="B24" s="147" t="s">
        <v>179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>
      <c r="B25" s="150" t="s">
        <v>180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>
      <c r="B26" s="166" t="s">
        <v>181</v>
      </c>
      <c r="C26" s="104">
        <v>102456.220095</v>
      </c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31" spans="2:14" ht="16.5" customHeight="1"/>
    <row r="32" spans="2:14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2022-02-08T07:27:43Z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