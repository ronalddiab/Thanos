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2 - 2021" sheetId="5" r:id="rId3"/>
  </sheets>
  <definedNames>
    <definedName name="_xlnm.Print_Area" localSheetId="2">'12 - 2021'!$A$1:$J$35</definedName>
  </definedNames>
  <calcPr calcId="162913"/>
</workbook>
</file>

<file path=xl/calcChain.xml><?xml version="1.0" encoding="utf-8"?>
<calcChain xmlns="http://schemas.openxmlformats.org/spreadsheetml/2006/main"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L25" i="3"/>
  <c r="K25" i="3"/>
  <c r="I25" i="3"/>
  <c r="G25" i="3"/>
  <c r="E25" i="3"/>
  <c r="L24" i="3"/>
  <c r="K24" i="3"/>
  <c r="I24" i="3"/>
  <c r="G24" i="3"/>
  <c r="E24" i="3"/>
  <c r="L23" i="3"/>
  <c r="K23" i="3"/>
  <c r="I23" i="3"/>
  <c r="G23" i="3"/>
  <c r="E23" i="3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J24" i="2"/>
  <c r="I24" i="2"/>
  <c r="H24" i="2"/>
  <c r="F24" i="2"/>
  <c r="E24" i="2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2" i="3" l="1"/>
  <c r="K2" i="3"/>
  <c r="I2" i="3"/>
  <c r="G2" i="3"/>
  <c r="E2" i="3"/>
  <c r="J2" i="2"/>
  <c r="I2" i="2"/>
  <c r="H2" i="2"/>
  <c r="F2" i="2"/>
  <c r="E2" i="2"/>
  <c r="I40" i="5" l="1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J13" i="2" l="1"/>
  <c r="I13" i="2"/>
  <c r="H13" i="2"/>
  <c r="F13" i="2"/>
  <c r="E13" i="2"/>
  <c r="J12" i="2" l="1"/>
  <c r="I12" i="2"/>
  <c r="H12" i="2"/>
  <c r="F12" i="2"/>
  <c r="E12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<sst xmlns="http://schemas.openxmlformats.org/spreadsheetml/2006/main" count="109" uniqueCount="40">
  <si>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</si>
  <si>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</si>
  <si>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</si>
  <si>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</si>
  <si>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</si>
  <si>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</si>
  <si>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</si>
  <si>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</si>
  <si>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</si>
  <si>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</si>
  <si>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</si>
  <si>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</si>
  <si>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</si>
  <si>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</si>
  <si>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</si>
  <si>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</si>
  <si>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</si>
  <si>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</si>
  <si>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</si>
  <si>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</si>
  <si>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</si>
  <si>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</si>
  <si>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</si>
  <si>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</si>
  <si>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</si>
  <si>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</si>
  <si>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</si>
  <si>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</si>
  <si>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</si>
  <si>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</si>
  <si>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</si>
  <si>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</si>
  <si>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</si>
  <si>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</si>
  <si>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</si>
  <si>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</si>
  <si>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</si>
  <si>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2021</t>
  </si>
  <si>
    <t>4050 Liters</t>
  </si>
  <si>
    <t>4250 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</si>
</sst>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2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2" fillId="3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9" fontId="5" fillId="0" borderId="14" xfId="0" applyNumberFormat="1" applyFont="1" applyBorder="1" applyAlignment="1">
      <alignment horizontal="center" vertical="center"/>
    </xf>
    <xf numFmtId="43" fontId="5" fillId="0" borderId="14" xfId="2" applyFont="1" applyFill="1" applyBorder="1" applyAlignment="1">
      <alignment horizontal="center" vertic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" xfId="2" applyFont="1" applyBorder="1" applyAlignment="1">
      <alignment horizontal="center" vertical="top"/>
    </xf>
    <xf numFmtId="43" fontId="6" fillId="0" borderId="14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3" fontId="5" fillId="0" borderId="14" xfId="2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3" fontId="6" fillId="0" borderId="1" xfId="2" applyFont="1" applyBorder="1" applyAlignment="1">
      <alignment horizontal="center"/>
    </xf>
    <xf numFmtId="43" fontId="5" fillId="0" borderId="1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7" fillId="3" borderId="2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43" fontId="5" fillId="2" borderId="18" xfId="2" applyFont="1" applyFill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6" fillId="0" borderId="18" xfId="2" applyFont="1" applyFill="1" applyBorder="1" applyAlignment="1" applyProtection="1">
      <alignment horizontal="center" vertical="center"/>
      <protection locked="0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4" fillId="0" borderId="16" xfId="2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164" fontId="5" fillId="0" borderId="1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43" fontId="4" fillId="0" borderId="13" xfId="0" applyNumberFormat="1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/>
    </xf>
    <xf numFmtId="43" fontId="4" fillId="0" borderId="13" xfId="2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/>
    </xf>
    <xf numFmtId="43" fontId="5" fillId="0" borderId="3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3" fontId="6" fillId="0" borderId="13" xfId="2" applyFont="1" applyBorder="1" applyAlignment="1">
      <alignment horizontal="center" vertical="center"/>
    </xf>
    <xf numFmtId="164" fontId="5" fillId="0" borderId="20" xfId="0" applyNumberFormat="1" applyFont="1" applyBorder="1" applyAlignment="1">
      <alignment horizontal="center" vertical="center"/>
    </xf>
    <xf numFmtId="43" fontId="5" fillId="0" borderId="21" xfId="2" applyFont="1" applyBorder="1" applyAlignment="1">
      <alignment horizontal="center" vertical="center"/>
    </xf>
    <xf numFmtId="43" fontId="5" fillId="2" borderId="21" xfId="2" applyFont="1" applyFill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43" fontId="6" fillId="0" borderId="21" xfId="2" applyFont="1" applyFill="1" applyBorder="1" applyAlignment="1" applyProtection="1">
      <alignment horizontal="center" vertical="center"/>
      <protection locked="0"/>
    </xf>
    <xf numFmtId="43" fontId="5" fillId="0" borderId="21" xfId="2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43" fontId="4" fillId="0" borderId="23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topLeftCell="A7" workbookViewId="0">
      <selection activeCell="P28" sqref="P28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4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6" t="s">
        <v>19</v>
      </c>
      <c r="L1" s="2" t="s">
        <v>19</v>
      </c>
      <c r="M1" s="5" t="s">
        <v>20</v>
      </c>
      <c r="N1" s="25" t="s">
        <v>21</v>
      </c>
      <c r="O1" s="2"/>
    </row>
    <row r="2" spans="1:21" x14ac:dyDescent="0.25">
      <c r="A2" t="s">
        <v>27</v>
      </c>
      <c r="B2">
        <v>1</v>
      </c>
      <c r="C2" s="14">
        <v>12</v>
      </c>
      <c r="D2">
        <v>2021</v>
      </c>
      <c r="E2" s="16">
        <f>'12 - 2021'!B8-'12 - 2021'!B7+'12 - 2021'!C8-'12 - 2021'!C7</f>
        <v>9500</v>
      </c>
      <c r="F2" s="14">
        <v>0.11799999999999999</v>
      </c>
      <c r="G2" s="16">
        <f>'12 - 2021'!D8-'12 - 2021'!D7+'12 - 2021'!E8-'12 - 2021'!E7</f>
        <v>17.980000000000018</v>
      </c>
      <c r="H2" s="14">
        <v>0.99</v>
      </c>
      <c r="I2" s="16">
        <f>'12 - 2021'!J8-'12 - 2021'!J7</f>
        <v>16979</v>
      </c>
      <c r="J2" s="14">
        <v>8.1000000000000003E-2</v>
      </c>
      <c r="K2" s="27">
        <f>'12 - 2021'!H8-'12 - 2021'!H7</f>
        <v>0</v>
      </c>
      <c r="L2" s="16">
        <f>'12 - 2021'!I8-'12 - 2021'!I7</f>
        <v>95</v>
      </c>
      <c r="M2" s="15">
        <v>4.393629424766913</v>
      </c>
      <c r="N2" s="16">
        <v>55</v>
      </c>
    </row>
    <row r="3" spans="1:21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'12 - 2021'!B9-'12 - 2021'!B8+'12 - 2021'!C9-'12 - 2021'!C8</f>
        <v>9577</v>
      </c>
      <c r="F3" s="14">
        <v>0.11799999999999999</v>
      </c>
      <c r="G3" s="16">
        <f>'12 - 2021'!D9-'12 - 2021'!D8+'12 - 2021'!E9-'12 - 2021'!E8</f>
        <v>19.090000000000146</v>
      </c>
      <c r="H3" s="14">
        <v>0.99</v>
      </c>
      <c r="I3" s="16">
        <f>'12 - 2021'!J9-'12 - 2021'!J8</f>
        <v>17520</v>
      </c>
      <c r="J3" s="14">
        <v>8.1000000000000003E-2</v>
      </c>
      <c r="K3" s="27">
        <f>'12 - 2021'!H9-'12 - 2021'!H8</f>
        <v>0</v>
      </c>
      <c r="L3" s="16">
        <f>'12 - 2021'!I9-'12 - 2021'!I8</f>
        <v>101</v>
      </c>
      <c r="M3" s="15">
        <v>4.393629424766913</v>
      </c>
      <c r="N3" s="22">
        <v>50</v>
      </c>
    </row>
    <row r="4" spans="1:21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'12 - 2021'!B10-'12 - 2021'!B9+'12 - 2021'!C10-'12 - 2021'!C9</f>
        <v>9489</v>
      </c>
      <c r="F4" s="14">
        <v>0.11799999999999999</v>
      </c>
      <c r="G4" s="16">
        <f>'12 - 2021'!D10-'12 - 2021'!D9+'12 - 2021'!E10-'12 - 2021'!E9</f>
        <v>17.190000000000055</v>
      </c>
      <c r="H4" s="14">
        <v>0.99</v>
      </c>
      <c r="I4" s="16">
        <f>'12 - 2021'!J10-'12 - 2021'!J9</f>
        <v>15975</v>
      </c>
      <c r="J4" s="14">
        <v>8.1000000000000003E-2</v>
      </c>
      <c r="K4" s="27">
        <f>'12 - 2021'!H10-'12 - 2021'!H9</f>
        <v>0</v>
      </c>
      <c r="L4" s="16">
        <f>'12 - 2021'!I10-'12 - 2021'!I9</f>
        <v>96</v>
      </c>
      <c r="M4" s="15">
        <v>4.393629424766913</v>
      </c>
      <c r="N4" s="22">
        <v>63</v>
      </c>
    </row>
    <row r="5" spans="1:21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'12 - 2021'!B11-'12 - 2021'!B10+'12 - 2021'!C11-'12 - 2021'!C10</f>
        <v>9841</v>
      </c>
      <c r="F5" s="14">
        <v>0.11799999999999999</v>
      </c>
      <c r="G5" s="16">
        <f>'12 - 2021'!D11-'12 - 2021'!D10+'12 - 2021'!E11-'12 - 2021'!E10</f>
        <v>17.3900000000001</v>
      </c>
      <c r="H5" s="14">
        <v>0.99</v>
      </c>
      <c r="I5" s="16">
        <f>'12 - 2021'!J11-'12 - 2021'!J10</f>
        <v>16731</v>
      </c>
      <c r="J5" s="14">
        <v>8.1000000000000003E-2</v>
      </c>
      <c r="K5" s="27">
        <f>'12 - 2021'!H11-'12 - 2021'!H10</f>
        <v>0</v>
      </c>
      <c r="L5" s="16">
        <f>'12 - 2021'!I11-'12 - 2021'!I10</f>
        <v>100</v>
      </c>
      <c r="M5" s="15">
        <v>4.393629424766913</v>
      </c>
      <c r="N5" s="22">
        <v>53</v>
      </c>
      <c r="R5" s="14"/>
    </row>
    <row r="6" spans="1:21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'12 - 2021'!B12-'12 - 2021'!B11+'12 - 2021'!C12-'12 - 2021'!C11</f>
        <v>9569</v>
      </c>
      <c r="F6" s="14">
        <v>0.11799999999999999</v>
      </c>
      <c r="G6" s="16">
        <f>'12 - 2021'!D12-'12 - 2021'!D11+'12 - 2021'!E12-'12 - 2021'!E11</f>
        <v>16.620000000000118</v>
      </c>
      <c r="H6" s="14">
        <v>0.99</v>
      </c>
      <c r="I6" s="16">
        <f>'12 - 2021'!J12-'12 - 2021'!J11</f>
        <v>15663</v>
      </c>
      <c r="J6" s="14">
        <v>8.1000000000000003E-2</v>
      </c>
      <c r="K6" s="27">
        <f>'12 - 2021'!H12-'12 - 2021'!H11</f>
        <v>0</v>
      </c>
      <c r="L6" s="16">
        <f>'12 - 2021'!I12-'12 - 2021'!I11</f>
        <v>94</v>
      </c>
      <c r="M6" s="15">
        <v>4.393629424766913</v>
      </c>
      <c r="N6" s="22">
        <v>57</v>
      </c>
    </row>
    <row r="7" spans="1:21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'12 - 2021'!B13-'12 - 2021'!B12+'12 - 2021'!C13-'12 - 2021'!C12</f>
        <v>9322</v>
      </c>
      <c r="F7" s="14">
        <v>0.11799999999999999</v>
      </c>
      <c r="G7" s="16">
        <f>'12 - 2021'!D13-'12 - 2021'!D12+'12 - 2021'!E13-'12 - 2021'!E12</f>
        <v>15.409999999999854</v>
      </c>
      <c r="H7" s="14">
        <v>0.99</v>
      </c>
      <c r="I7" s="16">
        <f>'12 - 2021'!J13-'12 - 2021'!J12</f>
        <v>13911</v>
      </c>
      <c r="J7" s="14">
        <v>8.1000000000000003E-2</v>
      </c>
      <c r="K7" s="27">
        <f>'12 - 2021'!H13-'12 - 2021'!H12</f>
        <v>0</v>
      </c>
      <c r="L7" s="16">
        <f>'12 - 2021'!I13-'12 - 2021'!I12</f>
        <v>98</v>
      </c>
      <c r="M7" s="15">
        <v>4.393629424766913</v>
      </c>
      <c r="N7" s="22">
        <v>78</v>
      </c>
    </row>
    <row r="8" spans="1:21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'12 - 2021'!B14-'12 - 2021'!B13+'12 - 2021'!C14-'12 - 2021'!C13</f>
        <v>9818</v>
      </c>
      <c r="F8" s="14">
        <v>0.11799999999999999</v>
      </c>
      <c r="G8" s="16">
        <f>'12 - 2021'!D14-'12 - 2021'!D13+'12 - 2021'!E14-'12 - 2021'!E13</f>
        <v>16.740000000000236</v>
      </c>
      <c r="H8" s="14">
        <v>0.99</v>
      </c>
      <c r="I8" s="16">
        <f>'12 - 2021'!J14-'12 - 2021'!J13</f>
        <v>16568</v>
      </c>
      <c r="J8" s="14">
        <v>8.1000000000000003E-2</v>
      </c>
      <c r="K8" s="27">
        <f>'12 - 2021'!H14-'12 - 2021'!H13</f>
        <v>0</v>
      </c>
      <c r="L8" s="16">
        <f>'12 - 2021'!I14-'12 - 2021'!I13</f>
        <v>103</v>
      </c>
      <c r="M8" s="15">
        <v>4.393629424766913</v>
      </c>
      <c r="N8" s="24">
        <v>91</v>
      </c>
      <c r="O8" s="16"/>
    </row>
    <row r="9" spans="1:21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'12 - 2021'!B15-'12 - 2021'!B14+'12 - 2021'!C15-'12 - 2021'!C14</f>
        <v>9694</v>
      </c>
      <c r="F9" s="14">
        <v>0.11799999999999999</v>
      </c>
      <c r="G9" s="16">
        <f>'12 - 2021'!D15-'12 - 2021'!D14+'12 - 2021'!E15-'12 - 2021'!E14</f>
        <v>16.819999999999936</v>
      </c>
      <c r="H9" s="14">
        <v>0.99</v>
      </c>
      <c r="I9" s="16">
        <f>'12 - 2021'!J15-'12 - 2021'!J14</f>
        <v>15544</v>
      </c>
      <c r="J9" s="14">
        <v>8.1000000000000003E-2</v>
      </c>
      <c r="K9" s="27">
        <f>'12 - 2021'!H15-'12 - 2021'!H14</f>
        <v>0</v>
      </c>
      <c r="L9" s="16">
        <f>'12 - 2021'!I15-'12 - 2021'!I14</f>
        <v>105</v>
      </c>
      <c r="M9" s="15">
        <v>4.393629424766913</v>
      </c>
      <c r="N9" s="22">
        <v>71</v>
      </c>
    </row>
    <row r="10" spans="1:21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'12 - 2021'!B16-'12 - 2021'!B15+'12 - 2021'!C16-'12 - 2021'!C15</f>
        <v>9772</v>
      </c>
      <c r="F10" s="14">
        <v>0.11799999999999999</v>
      </c>
      <c r="G10" s="16">
        <f>'12 - 2021'!D16-'12 - 2021'!D15+'12 - 2021'!E16-'12 - 2021'!E15</f>
        <v>16.750000000000227</v>
      </c>
      <c r="H10" s="14">
        <v>0.99</v>
      </c>
      <c r="I10" s="16">
        <f>'12 - 2021'!J16-'12 - 2021'!J15</f>
        <v>15859</v>
      </c>
      <c r="J10" s="14">
        <v>8.1000000000000003E-2</v>
      </c>
      <c r="K10" s="27">
        <f>'12 - 2021'!H16-'12 - 2021'!H15</f>
        <v>0</v>
      </c>
      <c r="L10" s="16">
        <f>'12 - 2021'!I16-'12 - 2021'!I15</f>
        <v>109</v>
      </c>
      <c r="M10" s="15">
        <v>4.393629424766913</v>
      </c>
      <c r="N10" s="22">
        <v>101</v>
      </c>
    </row>
    <row r="11" spans="1:21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'12 - 2021'!B17-'12 - 2021'!B16+'12 - 2021'!C17-'12 - 2021'!C16</f>
        <v>9993</v>
      </c>
      <c r="F11" s="14">
        <v>0.11799999999999999</v>
      </c>
      <c r="G11" s="16">
        <f>'12 - 2021'!D17-'12 - 2021'!D16+'12 - 2021'!E17-'12 - 2021'!E16</f>
        <v>20.549999999999955</v>
      </c>
      <c r="H11" s="14">
        <v>0.99</v>
      </c>
      <c r="I11" s="16">
        <f>'12 - 2021'!J17-'12 - 2021'!J16</f>
        <v>15154</v>
      </c>
      <c r="J11" s="14">
        <v>8.1000000000000003E-2</v>
      </c>
      <c r="K11" s="27">
        <f>'12 - 2021'!H17-'12 - 2021'!H16</f>
        <v>0</v>
      </c>
      <c r="L11" s="16">
        <f>'12 - 2021'!I17-'12 - 2021'!I16</f>
        <v>102</v>
      </c>
      <c r="M11" s="15">
        <v>4.393629424766913</v>
      </c>
      <c r="N11" s="22">
        <v>99</v>
      </c>
    </row>
    <row r="12" spans="1:21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'12 - 2021'!B18-'12 - 2021'!B17+'12 - 2021'!C18-'12 - 2021'!C17</f>
        <v>9454</v>
      </c>
      <c r="F12" s="14">
        <v>0.11799999999999999</v>
      </c>
      <c r="G12" s="16">
        <f>'12 - 2021'!D18-'12 - 2021'!D17+'12 - 2021'!E18-'12 - 2021'!E17</f>
        <v>19.980000000000018</v>
      </c>
      <c r="H12" s="14">
        <v>0.99</v>
      </c>
      <c r="I12" s="16">
        <f>'12 - 2021'!J18-'12 - 2021'!J17</f>
        <v>14896</v>
      </c>
      <c r="J12" s="14">
        <v>8.1000000000000003E-2</v>
      </c>
      <c r="K12" s="27">
        <f>'12 - 2021'!H18-'12 - 2021'!H17</f>
        <v>0</v>
      </c>
      <c r="L12" s="16">
        <f>'12 - 2021'!I18-'12 - 2021'!I17</f>
        <v>116</v>
      </c>
      <c r="M12" s="15">
        <v>4.393629424766913</v>
      </c>
      <c r="N12" s="16">
        <v>95</v>
      </c>
    </row>
    <row r="13" spans="1:21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'12 - 2021'!B19-'12 - 2021'!B18+'12 - 2021'!C19-'12 - 2021'!C18</f>
        <v>10201</v>
      </c>
      <c r="F13" s="14">
        <v>0.11799999999999999</v>
      </c>
      <c r="G13" s="16">
        <f>'12 - 2021'!D19-'12 - 2021'!D18+'12 - 2021'!E19-'12 - 2021'!E18</f>
        <v>19.630000000000109</v>
      </c>
      <c r="H13" s="14">
        <v>0.99</v>
      </c>
      <c r="I13" s="16">
        <f>'12 - 2021'!J19-'12 - 2021'!J18</f>
        <v>15268</v>
      </c>
      <c r="J13" s="14">
        <v>8.1000000000000003E-2</v>
      </c>
      <c r="K13" s="27">
        <f>'12 - 2021'!H19-'12 - 2021'!H18</f>
        <v>0</v>
      </c>
      <c r="L13" s="16">
        <f>'12 - 2021'!I19-'12 - 2021'!I18</f>
        <v>113</v>
      </c>
      <c r="M13" s="15">
        <v>4.393629424766913</v>
      </c>
      <c r="N13" s="16">
        <v>80</v>
      </c>
    </row>
    <row r="14" spans="1:21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'12 - 2021'!B20-'12 - 2021'!B19+'12 - 2021'!C20-'12 - 2021'!C19</f>
        <v>9345</v>
      </c>
      <c r="F14" s="14">
        <v>0.11799999999999999</v>
      </c>
      <c r="G14" s="16">
        <f>'12 - 2021'!D20-'12 - 2021'!D19+'12 - 2021'!E20-'12 - 2021'!E19</f>
        <v>18.259999999999991</v>
      </c>
      <c r="H14" s="14">
        <v>0.99</v>
      </c>
      <c r="I14" s="16">
        <f>'12 - 2021'!J20-'12 - 2021'!J19</f>
        <v>13916</v>
      </c>
      <c r="J14" s="14">
        <v>8.1000000000000003E-2</v>
      </c>
      <c r="K14" s="27">
        <f>'12 - 2021'!H20-'12 - 2021'!H19</f>
        <v>0</v>
      </c>
      <c r="L14" s="16">
        <f>'12 - 2021'!I20-'12 - 2021'!I19</f>
        <v>98</v>
      </c>
      <c r="M14" s="15">
        <v>4.393629424766913</v>
      </c>
      <c r="N14" s="16">
        <v>94</v>
      </c>
      <c r="O14" s="16"/>
    </row>
    <row r="15" spans="1:21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'12 - 2021'!B21-'12 - 2021'!B20+'12 - 2021'!C21-'12 - 2021'!C20</f>
        <v>10173</v>
      </c>
      <c r="F15" s="14">
        <v>0.11799999999999999</v>
      </c>
      <c r="G15" s="16">
        <f>'12 - 2021'!D21-'12 - 2021'!D20+'12 - 2021'!E21-'12 - 2021'!E20</f>
        <v>17.450000000000045</v>
      </c>
      <c r="H15" s="14">
        <v>0.99</v>
      </c>
      <c r="I15" s="16">
        <f>'12 - 2021'!J21-'12 - 2021'!J20</f>
        <v>15020</v>
      </c>
      <c r="J15" s="14">
        <v>8.1000000000000003E-2</v>
      </c>
      <c r="K15" s="27">
        <f>'12 - 2021'!H21-'12 - 2021'!H20</f>
        <v>0</v>
      </c>
      <c r="L15" s="16">
        <f>'12 - 2021'!I21-'12 - 2021'!I20</f>
        <v>102</v>
      </c>
      <c r="M15" s="15">
        <v>4.393629424766913</v>
      </c>
      <c r="N15" s="16">
        <v>103</v>
      </c>
      <c r="R15" s="14"/>
    </row>
    <row r="16" spans="1:21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'12 - 2021'!B22-'12 - 2021'!B21+'12 - 2021'!C22-'12 - 2021'!C21</f>
        <v>9692</v>
      </c>
      <c r="F16" s="14">
        <v>0.11799999999999999</v>
      </c>
      <c r="G16" s="16">
        <f>'12 - 2021'!D22-'12 - 2021'!D21+'12 - 2021'!E22-'12 - 2021'!E21</f>
        <v>18.720000000000255</v>
      </c>
      <c r="H16" s="14">
        <v>0.99</v>
      </c>
      <c r="I16" s="16">
        <f>'12 - 2021'!J22-'12 - 2021'!J21</f>
        <v>14694</v>
      </c>
      <c r="J16" s="14">
        <v>8.1000000000000003E-2</v>
      </c>
      <c r="K16" s="27">
        <f>'12 - 2021'!H22-'12 - 2021'!H21</f>
        <v>0</v>
      </c>
      <c r="L16" s="16">
        <f>'12 - 2021'!I22-'12 - 2021'!I21</f>
        <v>117</v>
      </c>
      <c r="M16" s="15">
        <v>4.393629424766913</v>
      </c>
      <c r="N16" s="16">
        <v>94</v>
      </c>
      <c r="U16" s="14"/>
    </row>
    <row r="17" spans="1:17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'12 - 2021'!B23-'12 - 2021'!B22+'12 - 2021'!C23-'12 - 2021'!C22</f>
        <v>9634</v>
      </c>
      <c r="F17" s="14">
        <v>0.11799999999999999</v>
      </c>
      <c r="G17" s="16">
        <f>'12 - 2021'!D23-'12 - 2021'!D22+'12 - 2021'!E23-'12 - 2021'!E22</f>
        <v>17.150000000000091</v>
      </c>
      <c r="H17" s="14">
        <v>0.99</v>
      </c>
      <c r="I17" s="16">
        <f>'12 - 2021'!J23-'12 - 2021'!J22</f>
        <v>15115</v>
      </c>
      <c r="J17" s="14">
        <v>8.1000000000000003E-2</v>
      </c>
      <c r="K17" s="27">
        <f>'12 - 2021'!H23-'12 - 2021'!H22</f>
        <v>0</v>
      </c>
      <c r="L17" s="16">
        <f>'12 - 2021'!I23-'12 - 2021'!I22</f>
        <v>114</v>
      </c>
      <c r="M17" s="15">
        <v>4.393629424766913</v>
      </c>
      <c r="N17" s="16">
        <v>89</v>
      </c>
      <c r="O17" s="14"/>
    </row>
    <row r="18" spans="1:17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'12 - 2021'!B24-'12 - 2021'!B23+'12 - 2021'!C24-'12 - 2021'!C23</f>
        <v>9670</v>
      </c>
      <c r="F18" s="14">
        <v>0.11799999999999999</v>
      </c>
      <c r="G18" s="16">
        <f>'12 - 2021'!D24-'12 - 2021'!D23+'12 - 2021'!E24-'12 - 2021'!E23</f>
        <v>20.799999999999955</v>
      </c>
      <c r="H18" s="14">
        <v>0.99</v>
      </c>
      <c r="I18" s="16">
        <f>'12 - 2021'!J24-'12 - 2021'!J23</f>
        <v>14851</v>
      </c>
      <c r="J18" s="14">
        <v>8.1000000000000003E-2</v>
      </c>
      <c r="K18" s="27">
        <f>'12 - 2021'!H24-'12 - 2021'!H23</f>
        <v>0</v>
      </c>
      <c r="L18" s="16">
        <f>'12 - 2021'!I24-'12 - 2021'!I23</f>
        <v>107</v>
      </c>
      <c r="M18" s="15">
        <v>4.393629424766913</v>
      </c>
      <c r="N18" s="16">
        <v>94</v>
      </c>
      <c r="Q18" s="14"/>
    </row>
    <row r="19" spans="1:17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'12 - 2021'!B25-'12 - 2021'!B24+'12 - 2021'!C25-'12 - 2021'!C24</f>
        <v>9922</v>
      </c>
      <c r="F19" s="14">
        <v>0.11799999999999999</v>
      </c>
      <c r="G19" s="16">
        <f>'12 - 2021'!D25-'12 - 2021'!D24+'12 - 2021'!E25-'12 - 2021'!E24</f>
        <v>18.5300000000002</v>
      </c>
      <c r="H19" s="14">
        <v>0.99</v>
      </c>
      <c r="I19" s="16">
        <f>'12 - 2021'!J25-'12 - 2021'!J24</f>
        <v>14932</v>
      </c>
      <c r="J19" s="14">
        <v>8.1000000000000003E-2</v>
      </c>
      <c r="K19" s="27">
        <f>'12 - 2021'!H25-'12 - 2021'!H24</f>
        <v>0</v>
      </c>
      <c r="L19" s="16">
        <f>'12 - 2021'!I25-'12 - 2021'!I24</f>
        <v>105</v>
      </c>
      <c r="M19" s="15">
        <v>4.393629424766913</v>
      </c>
      <c r="N19" s="16">
        <v>85</v>
      </c>
    </row>
    <row r="20" spans="1:17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'12 - 2021'!B26-'12 - 2021'!B25+'12 - 2021'!C26-'12 - 2021'!C25</f>
        <v>9907</v>
      </c>
      <c r="F20" s="14">
        <v>0.11799999999999999</v>
      </c>
      <c r="G20" s="16">
        <f>'12 - 2021'!D26-'12 - 2021'!D25+'12 - 2021'!E26-'12 - 2021'!E25</f>
        <v>16.599999999999909</v>
      </c>
      <c r="H20" s="14">
        <v>0.99</v>
      </c>
      <c r="I20" s="16">
        <f>'12 - 2021'!J26-'12 - 2021'!J25</f>
        <v>14908</v>
      </c>
      <c r="J20" s="14">
        <v>8.1000000000000003E-2</v>
      </c>
      <c r="K20" s="27">
        <f>'12 - 2021'!H26-'12 - 2021'!H25</f>
        <v>0</v>
      </c>
      <c r="L20" s="16">
        <f>'12 - 2021'!I26-'12 - 2021'!I25</f>
        <v>111</v>
      </c>
      <c r="M20" s="15">
        <v>4.393629424766913</v>
      </c>
      <c r="N20" s="16">
        <v>83</v>
      </c>
    </row>
    <row r="21" spans="1:17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'12 - 2021'!B27-'12 - 2021'!B26+'12 - 2021'!C27-'12 - 2021'!C26</f>
        <v>9828</v>
      </c>
      <c r="F21" s="14">
        <v>0.11799999999999999</v>
      </c>
      <c r="G21" s="16">
        <f>'12 - 2021'!D27-'12 - 2021'!D26+'12 - 2021'!E27-'12 - 2021'!E26</f>
        <v>17.730000000000018</v>
      </c>
      <c r="H21" s="14">
        <v>0.99</v>
      </c>
      <c r="I21" s="16">
        <f>'12 - 2021'!J27-'12 - 2021'!J26</f>
        <v>14516</v>
      </c>
      <c r="J21" s="14">
        <v>8.1000000000000003E-2</v>
      </c>
      <c r="K21" s="27">
        <f>'12 - 2021'!H27-'12 - 2021'!H26</f>
        <v>0</v>
      </c>
      <c r="L21" s="16">
        <f>'12 - 2021'!I27-'12 - 2021'!I26</f>
        <v>102</v>
      </c>
      <c r="M21" s="15">
        <v>4.393629424766913</v>
      </c>
      <c r="N21" s="16">
        <v>80</v>
      </c>
    </row>
    <row r="22" spans="1:17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'12 - 2021'!B28-'12 - 2021'!B27+'12 - 2021'!C28-'12 - 2021'!C27</f>
        <v>9479.5400000000373</v>
      </c>
      <c r="F22" s="14">
        <v>0.11799999999999999</v>
      </c>
      <c r="G22" s="16">
        <f>'12 - 2021'!D28-'12 - 2021'!D27+'12 - 2021'!E28-'12 - 2021'!E27</f>
        <v>18.299999999999955</v>
      </c>
      <c r="H22" s="14">
        <v>0.99</v>
      </c>
      <c r="I22" s="16">
        <f>'12 - 2021'!J28-'12 - 2021'!J27</f>
        <v>13916</v>
      </c>
      <c r="J22" s="14">
        <v>8.1000000000000003E-2</v>
      </c>
      <c r="K22" s="27">
        <f>'12 - 2021'!H28-'12 - 2021'!H27</f>
        <v>0</v>
      </c>
      <c r="L22" s="16">
        <f>'12 - 2021'!I28-'12 - 2021'!I27</f>
        <v>93</v>
      </c>
      <c r="M22" s="15">
        <v>4.393629424766913</v>
      </c>
      <c r="N22" s="16">
        <v>71</v>
      </c>
    </row>
    <row r="23" spans="1:17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'12 - 2021'!B29-'12 - 2021'!B28+'12 - 2021'!C29-'12 - 2021'!C28</f>
        <v>9391.2099999999627</v>
      </c>
      <c r="F23" s="14">
        <v>0.11799999999999999</v>
      </c>
      <c r="G23" s="16">
        <f>'12 - 2021'!D29-'12 - 2021'!D28+'12 - 2021'!E29-'12 - 2021'!E28</f>
        <v>19.410000000000082</v>
      </c>
      <c r="H23" s="14">
        <v>0.99</v>
      </c>
      <c r="I23" s="16">
        <f>'12 - 2021'!J29-'12 - 2021'!J28</f>
        <v>14452</v>
      </c>
      <c r="J23" s="14">
        <v>8.1000000000000003E-2</v>
      </c>
      <c r="K23" s="27">
        <f>'12 - 2021'!H29-'12 - 2021'!H28</f>
        <v>0</v>
      </c>
      <c r="L23" s="16">
        <f>'12 - 2021'!I29-'12 - 2021'!I28</f>
        <v>109</v>
      </c>
      <c r="M23" s="15">
        <v>4.393629424766913</v>
      </c>
      <c r="N23" s="16">
        <v>72</v>
      </c>
    </row>
    <row r="24" spans="1:17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'12 - 2021'!B30-'12 - 2021'!B29+'12 - 2021'!C30-'12 - 2021'!C29</f>
        <v>10121.050000000047</v>
      </c>
      <c r="F24" s="14">
        <v>0.11799999999999999</v>
      </c>
      <c r="G24" s="16">
        <f>'12 - 2021'!D30-'12 - 2021'!D29+'12 - 2021'!E30-'12 - 2021'!E29</f>
        <v>18.040000000000191</v>
      </c>
      <c r="H24" s="14">
        <v>0.99</v>
      </c>
      <c r="I24" s="16">
        <f>'12 - 2021'!J30-'12 - 2021'!J29</f>
        <v>15866</v>
      </c>
      <c r="J24" s="14">
        <v>8.1000000000000003E-2</v>
      </c>
      <c r="K24" s="27">
        <f>'12 - 2021'!H30-'12 - 2021'!H29</f>
        <v>0</v>
      </c>
      <c r="L24" s="16">
        <f>'12 - 2021'!I30-'12 - 2021'!I29</f>
        <v>98</v>
      </c>
      <c r="M24" s="15">
        <v>4.393629424766913</v>
      </c>
      <c r="N24" s="16">
        <v>75</v>
      </c>
    </row>
    <row r="25" spans="1:17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'12 - 2021'!B31-'12 - 2021'!B30+'12 - 2021'!C31-'12 - 2021'!C30</f>
        <v>10051</v>
      </c>
      <c r="F25" s="14">
        <v>0.11799999999999999</v>
      </c>
      <c r="G25" s="16">
        <f>'12 - 2021'!D31-'12 - 2021'!D30+'12 - 2021'!E31-'12 - 2021'!E30</f>
        <v>19.440000000000055</v>
      </c>
      <c r="H25" s="14">
        <v>0.99</v>
      </c>
      <c r="I25" s="16">
        <f>'12 - 2021'!J31-'12 - 2021'!J30</f>
        <v>14190</v>
      </c>
      <c r="J25" s="14">
        <v>8.1000000000000003E-2</v>
      </c>
      <c r="K25" s="27">
        <f>'12 - 2021'!H31-'12 - 2021'!H30</f>
        <v>0</v>
      </c>
      <c r="L25" s="16">
        <f>'12 - 2021'!I31-'12 - 2021'!I30</f>
        <v>109</v>
      </c>
      <c r="M25" s="15">
        <v>4.393629424766913</v>
      </c>
      <c r="N25" s="16">
        <v>79</v>
      </c>
      <c r="P25" s="12"/>
    </row>
    <row r="26" spans="1:17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'12 - 2021'!B32-'12 - 2021'!B31+'12 - 2021'!C32-'12 - 2021'!C31</f>
        <v>9998</v>
      </c>
      <c r="F26" s="14">
        <v>0.11799999999999999</v>
      </c>
      <c r="G26" s="16">
        <f>'12 - 2021'!D32-'12 - 2021'!D31+'12 - 2021'!E32-'12 - 2021'!E31</f>
        <v>18.6400000000001</v>
      </c>
      <c r="H26" s="14">
        <v>0.99</v>
      </c>
      <c r="I26" s="16">
        <f>'12 - 2021'!J32-'12 - 2021'!J31</f>
        <v>15299</v>
      </c>
      <c r="J26" s="14">
        <v>8.1000000000000003E-2</v>
      </c>
      <c r="K26" s="27">
        <f>'12 - 2021'!H32-'12 - 2021'!H31</f>
        <v>0</v>
      </c>
      <c r="L26" s="16">
        <f>'12 - 2021'!I32-'12 - 2021'!I31</f>
        <v>105</v>
      </c>
      <c r="M26" s="15">
        <v>4.393629424766913</v>
      </c>
      <c r="N26" s="16">
        <v>75</v>
      </c>
    </row>
    <row r="27" spans="1:17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'12 - 2021'!B33-'12 - 2021'!B32+'12 - 2021'!C33-'12 - 2021'!C32</f>
        <v>10040.79999999993</v>
      </c>
      <c r="F27" s="14">
        <v>0.11799999999999999</v>
      </c>
      <c r="G27" s="16">
        <f>'12 - 2021'!D33-'12 - 2021'!D32+'12 - 2021'!E33-'12 - 2021'!E32</f>
        <v>13.930000000000064</v>
      </c>
      <c r="H27" s="14">
        <v>0.99</v>
      </c>
      <c r="I27" s="16">
        <f>'12 - 2021'!J33-'12 - 2021'!J32</f>
        <v>15281</v>
      </c>
      <c r="J27" s="14">
        <v>8.1000000000000003E-2</v>
      </c>
      <c r="K27" s="27">
        <f>'12 - 2021'!H33-'12 - 2021'!H32</f>
        <v>0</v>
      </c>
      <c r="L27" s="16">
        <f>'12 - 2021'!I33-'12 - 2021'!I32</f>
        <v>101</v>
      </c>
      <c r="M27" s="15">
        <v>4.393629424766913</v>
      </c>
      <c r="N27" s="16">
        <v>80</v>
      </c>
    </row>
    <row r="28" spans="1:17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'12 - 2021'!B34-'12 - 2021'!B33+'12 - 2021'!C34-'12 - 2021'!C33</f>
        <v>9416</v>
      </c>
      <c r="F28" s="14">
        <v>0.11799999999999999</v>
      </c>
      <c r="G28" s="16">
        <f>'12 - 2021'!D34-'12 - 2021'!D33+'12 - 2021'!E34-'12 - 2021'!E33</f>
        <v>16.630000000000109</v>
      </c>
      <c r="H28" s="14">
        <v>0.99</v>
      </c>
      <c r="I28" s="16">
        <f>'12 - 2021'!J34-'12 - 2021'!J33</f>
        <v>14100</v>
      </c>
      <c r="J28" s="14">
        <v>8.1000000000000003E-2</v>
      </c>
      <c r="K28" s="27">
        <f>'12 - 2021'!H34-'12 - 2021'!H33</f>
        <v>0</v>
      </c>
      <c r="L28" s="16">
        <f>'12 - 2021'!I34-'12 - 2021'!I33</f>
        <v>101</v>
      </c>
      <c r="M28" s="15">
        <v>4.393629424766913</v>
      </c>
      <c r="N28" s="23">
        <v>77</v>
      </c>
    </row>
    <row r="29" spans="1:17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'12 - 2021'!B35-'12 - 2021'!B34+'12 - 2021'!C35-'12 - 2021'!C34</f>
        <v>9680.3000000000466</v>
      </c>
      <c r="F29" s="14">
        <v>0.11799999999999999</v>
      </c>
      <c r="G29" s="16">
        <f>'12 - 2021'!D35-'12 - 2021'!D34+'12 - 2021'!E35-'12 - 2021'!E34</f>
        <v>18.619999999999891</v>
      </c>
      <c r="H29" s="14">
        <v>0.99</v>
      </c>
      <c r="I29" s="16">
        <f>'12 - 2021'!J35-'12 - 2021'!J34</f>
        <v>13332</v>
      </c>
      <c r="J29" s="14">
        <v>8.1000000000000003E-2</v>
      </c>
      <c r="K29" s="27">
        <f>'12 - 2021'!H35-'12 - 2021'!H34</f>
        <v>0</v>
      </c>
      <c r="L29" s="16">
        <f>'12 - 2021'!I35-'12 - 2021'!I34</f>
        <v>87</v>
      </c>
      <c r="M29" s="15">
        <v>4.393629424766913</v>
      </c>
      <c r="N29" s="23">
        <v>76</v>
      </c>
    </row>
    <row r="30" spans="1:17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'12 - 2021'!B36-'12 - 2021'!B35+'12 - 2021'!C36-'12 - 2021'!C35</f>
        <v>9554.7999999999302</v>
      </c>
      <c r="F30" s="14">
        <v>0.11799999999999999</v>
      </c>
      <c r="G30" s="16">
        <f>'12 - 2021'!D36-'12 - 2021'!D35+'12 - 2021'!E36-'12 - 2021'!E35</f>
        <v>16.789999999999964</v>
      </c>
      <c r="H30" s="14">
        <v>0.99</v>
      </c>
      <c r="I30" s="16">
        <f>'12 - 2021'!J36-'12 - 2021'!J35</f>
        <v>12501</v>
      </c>
      <c r="J30" s="14">
        <v>8.1000000000000003E-2</v>
      </c>
      <c r="K30" s="27">
        <f>'12 - 2021'!H36-'12 - 2021'!H35</f>
        <v>0</v>
      </c>
      <c r="L30" s="16">
        <f>'12 - 2021'!I36-'12 - 2021'!I35</f>
        <v>106</v>
      </c>
      <c r="M30" s="15">
        <v>4.393629424766913</v>
      </c>
      <c r="N30" s="23">
        <v>88</v>
      </c>
    </row>
    <row r="31" spans="1:17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'12 - 2021'!B37-'12 - 2021'!B36+'12 - 2021'!C37-'12 - 2021'!C36</f>
        <v>9611.9000000001397</v>
      </c>
      <c r="F31" s="14">
        <v>0.11799999999999999</v>
      </c>
      <c r="G31" s="16">
        <f>'12 - 2021'!D37-'12 - 2021'!D36+'12 - 2021'!E37-'12 - 2021'!E36</f>
        <v>19.6400000000001</v>
      </c>
      <c r="H31" s="14">
        <v>0.99</v>
      </c>
      <c r="I31" s="16">
        <f>'12 - 2021'!J37-'12 - 2021'!J36</f>
        <v>12731</v>
      </c>
      <c r="J31" s="14">
        <v>8.1000000000000003E-2</v>
      </c>
      <c r="K31" s="27">
        <f>'12 - 2021'!H37-'12 - 2021'!H36</f>
        <v>0</v>
      </c>
      <c r="L31" s="16">
        <f>'12 - 2021'!I37-'12 - 2021'!I36</f>
        <v>105</v>
      </c>
      <c r="M31" s="15">
        <v>4.393629424766913</v>
      </c>
      <c r="N31" s="24">
        <v>77</v>
      </c>
    </row>
    <row r="32" spans="1:17" x14ac:dyDescent="0.25">
      <c r="A32" s="14" t="s">
        <v>27</v>
      </c>
      <c r="B32">
        <v>31</v>
      </c>
      <c r="C32" s="14">
        <v>12</v>
      </c>
      <c r="D32" s="14">
        <v>2021</v>
      </c>
      <c r="E32" s="16">
        <v>0</v>
      </c>
      <c r="F32" s="14">
        <v>0.11799999999999999</v>
      </c>
      <c r="G32" s="16">
        <v>0</v>
      </c>
      <c r="H32" s="14">
        <v>0.99</v>
      </c>
      <c r="I32" s="16">
        <v>0</v>
      </c>
      <c r="J32" s="14">
        <v>8.1000000000000003E-2</v>
      </c>
      <c r="K32" s="27">
        <v>0</v>
      </c>
      <c r="L32" s="16"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N29" sqref="N2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12</v>
      </c>
      <c r="D2">
        <v>2021</v>
      </c>
      <c r="E2" s="16">
        <f>'12 - 2021'!B8-'12 - 2021'!B7</f>
        <v>3812</v>
      </c>
      <c r="F2" s="16">
        <f>'12 - 2021'!C8-'12 - 2021'!C7</f>
        <v>5688</v>
      </c>
      <c r="G2" s="14">
        <v>0.11799999999999999</v>
      </c>
      <c r="H2" s="16">
        <f>'12 - 2021'!E8-'12 - 2021'!E7</f>
        <v>18.079999999999927</v>
      </c>
      <c r="I2" s="16">
        <f>'12 - 2021'!F8-'12 - 2021'!F7</f>
        <v>8.7200000000000273</v>
      </c>
      <c r="J2" s="16">
        <f>'12 - 2021'!G8-'12 - 2021'!G7</f>
        <v>33.969999999993888</v>
      </c>
      <c r="K2" s="14">
        <v>0.74</v>
      </c>
      <c r="L2" s="16">
        <v>55</v>
      </c>
      <c r="M2" s="10"/>
    </row>
    <row r="3" spans="1:13" x14ac:dyDescent="0.25">
      <c r="A3" t="s">
        <v>27</v>
      </c>
      <c r="B3">
        <f>B2+1</f>
        <v>2</v>
      </c>
      <c r="C3" s="14">
        <v>12</v>
      </c>
      <c r="D3" s="14">
        <v>2021</v>
      </c>
      <c r="E3" s="16">
        <f>'12 - 2021'!B9-'12 - 2021'!B8</f>
        <v>3858</v>
      </c>
      <c r="F3" s="16">
        <f>'12 - 2021'!C9-'12 - 2021'!C8</f>
        <v>5719</v>
      </c>
      <c r="G3" s="14">
        <v>0.11799999999999999</v>
      </c>
      <c r="H3" s="16">
        <f>'12 - 2021'!E9-'12 - 2021'!E8</f>
        <v>19.190000000000055</v>
      </c>
      <c r="I3" s="16">
        <f>'12 - 2021'!F9-'12 - 2021'!F8</f>
        <v>8.0900000000000318</v>
      </c>
      <c r="J3" s="16">
        <f>'12 - 2021'!G9-'12 - 2021'!G8</f>
        <v>35.55000000000291</v>
      </c>
      <c r="K3" s="14">
        <v>0.74</v>
      </c>
      <c r="L3" s="22">
        <v>50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12</v>
      </c>
      <c r="D4" s="14">
        <v>2021</v>
      </c>
      <c r="E4" s="16">
        <f>'12 - 2021'!B10-'12 - 2021'!B9</f>
        <v>3864</v>
      </c>
      <c r="F4" s="16">
        <f>'12 - 2021'!C10-'12 - 2021'!C9</f>
        <v>5625</v>
      </c>
      <c r="G4" s="14">
        <v>0.11799999999999999</v>
      </c>
      <c r="H4" s="16">
        <f>'12 - 2021'!E10-'12 - 2021'!E9</f>
        <v>17.25</v>
      </c>
      <c r="I4" s="16">
        <f>'12 - 2021'!F10-'12 - 2021'!F9</f>
        <v>8.0499999999999545</v>
      </c>
      <c r="J4" s="16">
        <f>'12 - 2021'!G10-'12 - 2021'!G9</f>
        <v>35.959999999999127</v>
      </c>
      <c r="K4" s="14">
        <v>0.74</v>
      </c>
      <c r="L4" s="22">
        <v>63</v>
      </c>
      <c r="M4" s="10"/>
    </row>
    <row r="5" spans="1:13" x14ac:dyDescent="0.25">
      <c r="A5" t="s">
        <v>27</v>
      </c>
      <c r="B5">
        <f t="shared" si="0"/>
        <v>4</v>
      </c>
      <c r="C5" s="14">
        <v>12</v>
      </c>
      <c r="D5" s="14">
        <v>2021</v>
      </c>
      <c r="E5" s="16">
        <f>'12 - 2021'!B11-'12 - 2021'!B10</f>
        <v>3924</v>
      </c>
      <c r="F5" s="16">
        <f>'12 - 2021'!C11-'12 - 2021'!C10</f>
        <v>5917</v>
      </c>
      <c r="G5" s="14">
        <v>0.11799999999999999</v>
      </c>
      <c r="H5" s="16">
        <f>'12 - 2021'!E11-'12 - 2021'!E10</f>
        <v>17.450000000000045</v>
      </c>
      <c r="I5" s="16">
        <f>'12 - 2021'!F11-'12 - 2021'!F10</f>
        <v>8.0299999999999727</v>
      </c>
      <c r="J5" s="16">
        <f>'12 - 2021'!G11-'12 - 2021'!G10</f>
        <v>34.879999999997381</v>
      </c>
      <c r="K5" s="14">
        <v>0.74</v>
      </c>
      <c r="L5" s="22">
        <v>53</v>
      </c>
      <c r="M5" s="10"/>
    </row>
    <row r="6" spans="1:13" x14ac:dyDescent="0.25">
      <c r="A6" t="s">
        <v>27</v>
      </c>
      <c r="B6">
        <f t="shared" si="0"/>
        <v>5</v>
      </c>
      <c r="C6" s="14">
        <v>12</v>
      </c>
      <c r="D6" s="14">
        <v>2021</v>
      </c>
      <c r="E6" s="16">
        <f>'12 - 2021'!B12-'12 - 2021'!B11</f>
        <v>3979</v>
      </c>
      <c r="F6" s="16">
        <f>'12 - 2021'!C12-'12 - 2021'!C11</f>
        <v>5590</v>
      </c>
      <c r="G6" s="14">
        <v>0.11799999999999999</v>
      </c>
      <c r="H6" s="16">
        <f>'12 - 2021'!E12-'12 - 2021'!E11</f>
        <v>16.680000000000064</v>
      </c>
      <c r="I6" s="16">
        <f>'12 - 2021'!F12-'12 - 2021'!F11</f>
        <v>7.6800000000000637</v>
      </c>
      <c r="J6" s="16">
        <f>'12 - 2021'!G12-'12 - 2021'!G11</f>
        <v>33.770000000004075</v>
      </c>
      <c r="K6" s="14">
        <v>0.74</v>
      </c>
      <c r="L6" s="22">
        <v>57</v>
      </c>
      <c r="M6" s="11"/>
    </row>
    <row r="7" spans="1:13" x14ac:dyDescent="0.25">
      <c r="A7" t="s">
        <v>27</v>
      </c>
      <c r="B7">
        <f t="shared" si="0"/>
        <v>6</v>
      </c>
      <c r="C7" s="14">
        <v>12</v>
      </c>
      <c r="D7" s="14">
        <v>2021</v>
      </c>
      <c r="E7" s="16">
        <f>'12 - 2021'!B13-'12 - 2021'!B12</f>
        <v>3835</v>
      </c>
      <c r="F7" s="16">
        <f>'12 - 2021'!C13-'12 - 2021'!C12</f>
        <v>5487</v>
      </c>
      <c r="G7" s="14">
        <v>0.11799999999999999</v>
      </c>
      <c r="H7" s="16">
        <f>'12 - 2021'!E13-'12 - 2021'!E12</f>
        <v>14.949999999999818</v>
      </c>
      <c r="I7" s="16">
        <f>'12 - 2021'!F13-'12 - 2021'!F12</f>
        <v>8.1100000000000136</v>
      </c>
      <c r="J7" s="16">
        <f>'12 - 2021'!G13-'12 - 2021'!G12</f>
        <v>33.010000000002037</v>
      </c>
      <c r="K7" s="14">
        <v>0.74</v>
      </c>
      <c r="L7" s="22">
        <v>78</v>
      </c>
      <c r="M7" s="11"/>
    </row>
    <row r="8" spans="1:13" x14ac:dyDescent="0.25">
      <c r="A8" t="s">
        <v>27</v>
      </c>
      <c r="B8">
        <f t="shared" si="0"/>
        <v>7</v>
      </c>
      <c r="C8" s="14">
        <v>12</v>
      </c>
      <c r="D8" s="14">
        <v>2021</v>
      </c>
      <c r="E8" s="16">
        <f>'12 - 2021'!B14-'12 - 2021'!B13</f>
        <v>3977</v>
      </c>
      <c r="F8" s="16">
        <f>'12 - 2021'!C14-'12 - 2021'!C13</f>
        <v>5841</v>
      </c>
      <c r="G8" s="14">
        <v>0.11799999999999999</v>
      </c>
      <c r="H8" s="16">
        <f>'12 - 2021'!E14-'12 - 2021'!E13</f>
        <v>16.840000000000146</v>
      </c>
      <c r="I8" s="16">
        <f>'12 - 2021'!F14-'12 - 2021'!F13</f>
        <v>8.5</v>
      </c>
      <c r="J8" s="16">
        <f>'12 - 2021'!G14-'12 - 2021'!G13</f>
        <v>35.099999999998545</v>
      </c>
      <c r="K8" s="14">
        <v>0.74</v>
      </c>
      <c r="L8" s="22">
        <v>91</v>
      </c>
      <c r="M8" s="11"/>
    </row>
    <row r="9" spans="1:13" x14ac:dyDescent="0.25">
      <c r="A9" t="s">
        <v>27</v>
      </c>
      <c r="B9">
        <f t="shared" si="0"/>
        <v>8</v>
      </c>
      <c r="C9" s="14">
        <v>12</v>
      </c>
      <c r="D9" s="14">
        <v>2021</v>
      </c>
      <c r="E9" s="16">
        <f>'12 - 2021'!B15-'12 - 2021'!B14</f>
        <v>3894</v>
      </c>
      <c r="F9" s="16">
        <f>'12 - 2021'!C15-'12 - 2021'!C14</f>
        <v>5800</v>
      </c>
      <c r="G9" s="14">
        <v>0.11799999999999999</v>
      </c>
      <c r="H9" s="16">
        <f>'12 - 2021'!E15-'12 - 2021'!E14</f>
        <v>16.899999999999864</v>
      </c>
      <c r="I9" s="16">
        <f>'12 - 2021'!F15-'12 - 2021'!F14</f>
        <v>8.0899999999999181</v>
      </c>
      <c r="J9" s="16">
        <f>'12 - 2021'!G15-'12 - 2021'!G14</f>
        <v>35.69999999999709</v>
      </c>
      <c r="K9" s="14">
        <v>0.74</v>
      </c>
      <c r="L9" s="22">
        <v>71</v>
      </c>
      <c r="M9" s="11"/>
    </row>
    <row r="10" spans="1:13" x14ac:dyDescent="0.25">
      <c r="A10" t="s">
        <v>27</v>
      </c>
      <c r="B10">
        <f t="shared" si="0"/>
        <v>9</v>
      </c>
      <c r="C10" s="14">
        <v>12</v>
      </c>
      <c r="D10" s="14">
        <v>2021</v>
      </c>
      <c r="E10" s="16">
        <f>'12 - 2021'!B16-'12 - 2021'!B15</f>
        <v>3959</v>
      </c>
      <c r="F10" s="16">
        <f>'12 - 2021'!C16-'12 - 2021'!C15</f>
        <v>5813</v>
      </c>
      <c r="G10" s="14">
        <v>0.11799999999999999</v>
      </c>
      <c r="H10" s="16">
        <f>'12 - 2021'!E16-'12 - 2021'!E15</f>
        <v>16.820000000000164</v>
      </c>
      <c r="I10" s="16">
        <f>'12 - 2021'!F16-'12 - 2021'!F15</f>
        <v>8.3400000000000318</v>
      </c>
      <c r="J10" s="16">
        <f>'12 - 2021'!G16-'12 - 2021'!G15</f>
        <v>35.959999999999127</v>
      </c>
      <c r="K10" s="14">
        <v>0.74</v>
      </c>
      <c r="L10" s="22">
        <v>101</v>
      </c>
      <c r="M10" s="11"/>
    </row>
    <row r="11" spans="1:13" x14ac:dyDescent="0.25">
      <c r="A11" t="s">
        <v>27</v>
      </c>
      <c r="B11">
        <f t="shared" si="0"/>
        <v>10</v>
      </c>
      <c r="C11" s="14">
        <v>12</v>
      </c>
      <c r="D11" s="14">
        <v>2021</v>
      </c>
      <c r="E11" s="16">
        <f>'12 - 2021'!B17-'12 - 2021'!B16</f>
        <v>4072</v>
      </c>
      <c r="F11" s="16">
        <f>'12 - 2021'!C17-'12 - 2021'!C16</f>
        <v>5921</v>
      </c>
      <c r="G11" s="14">
        <v>0.11799999999999999</v>
      </c>
      <c r="H11" s="16">
        <f>'12 - 2021'!E17-'12 - 2021'!E16</f>
        <v>20.629999999999882</v>
      </c>
      <c r="I11" s="16">
        <f>'12 - 2021'!F17-'12 - 2021'!F16</f>
        <v>7.8600000000000136</v>
      </c>
      <c r="J11" s="16">
        <f>'12 - 2021'!G17-'12 - 2021'!G16</f>
        <v>40.17000000000553</v>
      </c>
      <c r="K11" s="14">
        <v>0.74</v>
      </c>
      <c r="L11" s="22">
        <v>99</v>
      </c>
      <c r="M11" s="11"/>
    </row>
    <row r="12" spans="1:13" x14ac:dyDescent="0.25">
      <c r="A12" t="s">
        <v>27</v>
      </c>
      <c r="B12">
        <f t="shared" si="0"/>
        <v>11</v>
      </c>
      <c r="C12" s="14">
        <v>12</v>
      </c>
      <c r="D12" s="14">
        <v>2021</v>
      </c>
      <c r="E12" s="16">
        <f>'12 - 2021'!B18-'12 - 2021'!B17</f>
        <v>3847</v>
      </c>
      <c r="F12" s="16">
        <f>'12 - 2021'!C18-'12 - 2021'!C17</f>
        <v>5607</v>
      </c>
      <c r="G12" s="14">
        <v>0.11799999999999999</v>
      </c>
      <c r="H12" s="16">
        <f>'12 - 2021'!E18-'12 - 2021'!E17</f>
        <v>20.049999999999955</v>
      </c>
      <c r="I12" s="16">
        <f>'12 - 2021'!F18-'12 - 2021'!F17</f>
        <v>7.1399999999999864</v>
      </c>
      <c r="J12" s="16">
        <f>'12 - 2021'!G18-'12 - 2021'!G17</f>
        <v>36.969999999993888</v>
      </c>
      <c r="K12" s="14">
        <v>0.74</v>
      </c>
      <c r="L12" s="16">
        <v>95</v>
      </c>
      <c r="M12" s="11"/>
    </row>
    <row r="13" spans="1:13" x14ac:dyDescent="0.25">
      <c r="A13" t="s">
        <v>27</v>
      </c>
      <c r="B13">
        <f t="shared" si="0"/>
        <v>12</v>
      </c>
      <c r="C13" s="14">
        <v>12</v>
      </c>
      <c r="D13" s="14">
        <v>2021</v>
      </c>
      <c r="E13" s="16">
        <f>'12 - 2021'!B19-'12 - 2021'!B18</f>
        <v>4065</v>
      </c>
      <c r="F13" s="16">
        <f>'12 - 2021'!C19-'12 - 2021'!C18</f>
        <v>6136</v>
      </c>
      <c r="G13" s="14">
        <v>0.11799999999999999</v>
      </c>
      <c r="H13" s="16">
        <f>'12 - 2021'!E19-'12 - 2021'!E18</f>
        <v>19.180000000000064</v>
      </c>
      <c r="I13" s="16">
        <f>'12 - 2021'!F19-'12 - 2021'!F18</f>
        <v>8.2300000000000182</v>
      </c>
      <c r="J13" s="16">
        <f>'12 - 2021'!G19-'12 - 2021'!G18</f>
        <v>39.580000000001746</v>
      </c>
      <c r="K13" s="14">
        <v>0.74</v>
      </c>
      <c r="L13" s="16">
        <v>80</v>
      </c>
      <c r="M13" s="11"/>
    </row>
    <row r="14" spans="1:13" x14ac:dyDescent="0.25">
      <c r="A14" t="s">
        <v>27</v>
      </c>
      <c r="B14">
        <f t="shared" si="0"/>
        <v>13</v>
      </c>
      <c r="C14" s="14">
        <v>12</v>
      </c>
      <c r="D14" s="14">
        <v>2021</v>
      </c>
      <c r="E14" s="16">
        <f>'12 - 2021'!B20-'12 - 2021'!B19</f>
        <v>3778</v>
      </c>
      <c r="F14" s="16">
        <f>'12 - 2021'!C20-'12 - 2021'!C19</f>
        <v>5567</v>
      </c>
      <c r="G14" s="14">
        <v>0.11799999999999999</v>
      </c>
      <c r="H14" s="16">
        <f>'12 - 2021'!E20-'12 - 2021'!E19</f>
        <v>18.329999999999927</v>
      </c>
      <c r="I14" s="16">
        <f>'12 - 2021'!F20-'12 - 2021'!F19</f>
        <v>8.42999999999995</v>
      </c>
      <c r="J14" s="16">
        <f>'12 - 2021'!G20-'12 - 2021'!G19</f>
        <v>35.529999999998836</v>
      </c>
      <c r="K14" s="14">
        <v>0.74</v>
      </c>
      <c r="L14" s="16">
        <v>94</v>
      </c>
      <c r="M14" s="11"/>
    </row>
    <row r="15" spans="1:13" x14ac:dyDescent="0.25">
      <c r="A15" t="s">
        <v>27</v>
      </c>
      <c r="B15">
        <f t="shared" si="0"/>
        <v>14</v>
      </c>
      <c r="C15" s="14">
        <v>12</v>
      </c>
      <c r="D15" s="14">
        <v>2021</v>
      </c>
      <c r="E15" s="16">
        <f>'12 - 2021'!B21-'12 - 2021'!B20</f>
        <v>4193</v>
      </c>
      <c r="F15" s="16">
        <f>'12 - 2021'!C21-'12 - 2021'!C20</f>
        <v>5980</v>
      </c>
      <c r="G15" s="14">
        <v>0.11799999999999999</v>
      </c>
      <c r="H15" s="16">
        <f>'12 - 2021'!E21-'12 - 2021'!E20</f>
        <v>17.529999999999973</v>
      </c>
      <c r="I15" s="16">
        <f>'12 - 2021'!F21-'12 - 2021'!F20</f>
        <v>7.8799999999999955</v>
      </c>
      <c r="J15" s="16">
        <f>'12 - 2021'!G21-'12 - 2021'!G20</f>
        <v>38.510000000002037</v>
      </c>
      <c r="K15" s="14">
        <v>0.74</v>
      </c>
      <c r="L15" s="16">
        <v>103</v>
      </c>
      <c r="M15" s="11"/>
    </row>
    <row r="16" spans="1:13" x14ac:dyDescent="0.25">
      <c r="A16" t="s">
        <v>27</v>
      </c>
      <c r="B16">
        <f t="shared" si="0"/>
        <v>15</v>
      </c>
      <c r="C16" s="14">
        <v>12</v>
      </c>
      <c r="D16" s="14">
        <v>2021</v>
      </c>
      <c r="E16" s="16">
        <f>'12 - 2021'!B22-'12 - 2021'!B21</f>
        <v>3867</v>
      </c>
      <c r="F16" s="16">
        <f>'12 - 2021'!C22-'12 - 2021'!C21</f>
        <v>5825</v>
      </c>
      <c r="G16" s="14">
        <v>0.11799999999999999</v>
      </c>
      <c r="H16" s="16">
        <f>'12 - 2021'!E22-'12 - 2021'!E21</f>
        <v>18.810000000000173</v>
      </c>
      <c r="I16" s="16">
        <f>'12 - 2021'!F22-'12 - 2021'!F21</f>
        <v>8.1400000000001</v>
      </c>
      <c r="J16" s="16">
        <f>'12 - 2021'!G22-'12 - 2021'!G21</f>
        <v>37.760000000002037</v>
      </c>
      <c r="K16" s="14">
        <v>0.74</v>
      </c>
      <c r="L16" s="16">
        <v>94</v>
      </c>
      <c r="M16" s="11"/>
    </row>
    <row r="17" spans="1:13" x14ac:dyDescent="0.25">
      <c r="A17" t="s">
        <v>27</v>
      </c>
      <c r="B17">
        <f t="shared" si="0"/>
        <v>16</v>
      </c>
      <c r="C17" s="14">
        <v>12</v>
      </c>
      <c r="D17" s="14">
        <v>2021</v>
      </c>
      <c r="E17" s="16">
        <f>'12 - 2021'!B23-'12 - 2021'!B22</f>
        <v>3888</v>
      </c>
      <c r="F17" s="16">
        <f>'12 - 2021'!C23-'12 - 2021'!C22</f>
        <v>5746</v>
      </c>
      <c r="G17" s="14">
        <v>0.11799999999999999</v>
      </c>
      <c r="H17" s="16">
        <f>'12 - 2021'!E23-'12 - 2021'!E22</f>
        <v>17.240000000000009</v>
      </c>
      <c r="I17" s="16">
        <f>'12 - 2021'!F23-'12 - 2021'!F22</f>
        <v>7.8899999999999864</v>
      </c>
      <c r="J17" s="16">
        <f>'12 - 2021'!G23-'12 - 2021'!G22</f>
        <v>37.629999999997381</v>
      </c>
      <c r="K17" s="14">
        <v>0.74</v>
      </c>
      <c r="L17" s="16">
        <v>89</v>
      </c>
      <c r="M17" s="11"/>
    </row>
    <row r="18" spans="1:13" x14ac:dyDescent="0.25">
      <c r="A18" t="s">
        <v>27</v>
      </c>
      <c r="B18">
        <f t="shared" si="0"/>
        <v>17</v>
      </c>
      <c r="C18" s="14">
        <v>12</v>
      </c>
      <c r="D18" s="14">
        <v>2021</v>
      </c>
      <c r="E18" s="16">
        <f>'12 - 2021'!B24-'12 - 2021'!B23</f>
        <v>3859</v>
      </c>
      <c r="F18" s="16">
        <f>'12 - 2021'!C24-'12 - 2021'!C23</f>
        <v>5811</v>
      </c>
      <c r="G18" s="14">
        <v>0.11799999999999999</v>
      </c>
      <c r="H18" s="16">
        <f>'12 - 2021'!E24-'12 - 2021'!E23</f>
        <v>20.869999999999891</v>
      </c>
      <c r="I18" s="16">
        <f>'12 - 2021'!F24-'12 - 2021'!F23</f>
        <v>7.9600000000000364</v>
      </c>
      <c r="J18" s="16">
        <f>'12 - 2021'!G24-'12 - 2021'!G23</f>
        <v>37.5</v>
      </c>
      <c r="K18" s="14">
        <v>0.74</v>
      </c>
      <c r="L18" s="16">
        <v>94</v>
      </c>
      <c r="M18" s="11"/>
    </row>
    <row r="19" spans="1:13" x14ac:dyDescent="0.25">
      <c r="A19" t="s">
        <v>27</v>
      </c>
      <c r="B19">
        <f>B18+1</f>
        <v>18</v>
      </c>
      <c r="C19" s="14">
        <v>12</v>
      </c>
      <c r="D19" s="14">
        <v>2021</v>
      </c>
      <c r="E19" s="16">
        <f>'12 - 2021'!B25-'12 - 2021'!B24</f>
        <v>4071</v>
      </c>
      <c r="F19" s="16">
        <f>'12 - 2021'!C25-'12 - 2021'!C24</f>
        <v>5851</v>
      </c>
      <c r="G19" s="14">
        <v>0.11799999999999999</v>
      </c>
      <c r="H19" s="16">
        <f>'12 - 2021'!E25-'12 - 2021'!E24</f>
        <v>18.610000000000127</v>
      </c>
      <c r="I19" s="16">
        <f>'12 - 2021'!F25-'12 - 2021'!F24</f>
        <v>7.7200000000000273</v>
      </c>
      <c r="J19" s="16">
        <f>'12 - 2021'!G25-'12 - 2021'!G24</f>
        <v>37.520000000004075</v>
      </c>
      <c r="K19" s="14">
        <v>0.74</v>
      </c>
      <c r="L19" s="16">
        <v>85</v>
      </c>
      <c r="M19" s="11"/>
    </row>
    <row r="20" spans="1:13" x14ac:dyDescent="0.25">
      <c r="A20" t="s">
        <v>27</v>
      </c>
      <c r="B20">
        <f t="shared" si="0"/>
        <v>19</v>
      </c>
      <c r="C20" s="14">
        <v>12</v>
      </c>
      <c r="D20" s="14">
        <v>2021</v>
      </c>
      <c r="E20" s="16">
        <f>'12 - 2021'!B26-'12 - 2021'!B25</f>
        <v>4083</v>
      </c>
      <c r="F20" s="16">
        <f>'12 - 2021'!C26-'12 - 2021'!C25</f>
        <v>5824</v>
      </c>
      <c r="G20" s="14">
        <v>0.11799999999999999</v>
      </c>
      <c r="H20" s="16">
        <f>'12 - 2021'!E26-'12 - 2021'!E25</f>
        <v>16.669999999999845</v>
      </c>
      <c r="I20" s="16">
        <f>'12 - 2021'!F26-'12 - 2021'!F25</f>
        <v>7.6999999999998181</v>
      </c>
      <c r="J20" s="16">
        <f>'12 - 2021'!G26-'12 - 2021'!G25</f>
        <v>36.349999999998545</v>
      </c>
      <c r="K20" s="14">
        <v>0.74</v>
      </c>
      <c r="L20" s="4">
        <v>83</v>
      </c>
      <c r="M20" s="11"/>
    </row>
    <row r="21" spans="1:13" x14ac:dyDescent="0.25">
      <c r="A21" t="s">
        <v>27</v>
      </c>
      <c r="B21">
        <f t="shared" si="0"/>
        <v>20</v>
      </c>
      <c r="C21" s="14">
        <v>12</v>
      </c>
      <c r="D21" s="14">
        <v>2021</v>
      </c>
      <c r="E21" s="16">
        <f>'12 - 2021'!B27-'12 - 2021'!B26</f>
        <v>3982</v>
      </c>
      <c r="F21" s="16">
        <f>'12 - 2021'!C27-'12 - 2021'!C26</f>
        <v>5846</v>
      </c>
      <c r="G21" s="14">
        <v>0.11799999999999999</v>
      </c>
      <c r="H21" s="16">
        <f>'12 - 2021'!E27-'12 - 2021'!E26</f>
        <v>17.789999999999964</v>
      </c>
      <c r="I21" s="16">
        <f>'12 - 2021'!F27-'12 - 2021'!F26</f>
        <v>7.1000000000001364</v>
      </c>
      <c r="J21" s="16">
        <f>'12 - 2021'!G27-'12 - 2021'!G26</f>
        <v>34.510000000002037</v>
      </c>
      <c r="K21" s="14">
        <v>0.74</v>
      </c>
      <c r="L21" s="4">
        <v>80</v>
      </c>
      <c r="M21" s="11"/>
    </row>
    <row r="22" spans="1:13" x14ac:dyDescent="0.25">
      <c r="A22" t="s">
        <v>27</v>
      </c>
      <c r="B22">
        <f t="shared" si="0"/>
        <v>21</v>
      </c>
      <c r="C22" s="14">
        <v>12</v>
      </c>
      <c r="D22" s="14">
        <v>2021</v>
      </c>
      <c r="E22" s="16">
        <f>'12 - 2021'!B28-'12 - 2021'!B27</f>
        <v>3814</v>
      </c>
      <c r="F22" s="16">
        <f>'12 - 2021'!C28-'12 - 2021'!C27</f>
        <v>5665.5400000000373</v>
      </c>
      <c r="G22" s="14">
        <v>0.11799999999999999</v>
      </c>
      <c r="H22" s="16">
        <f>'12 - 2021'!E28-'12 - 2021'!E27</f>
        <v>17.740000000000009</v>
      </c>
      <c r="I22" s="16">
        <f>'12 - 2021'!F28-'12 - 2021'!F27</f>
        <v>7.7100000000000364</v>
      </c>
      <c r="J22" s="16">
        <f>'12 - 2021'!G28-'12 - 2021'!G27</f>
        <v>35.719999999993888</v>
      </c>
      <c r="K22" s="14">
        <v>0.74</v>
      </c>
      <c r="L22" s="16">
        <v>71</v>
      </c>
      <c r="M22" s="11"/>
    </row>
    <row r="23" spans="1:13" x14ac:dyDescent="0.25">
      <c r="A23" t="s">
        <v>27</v>
      </c>
      <c r="B23">
        <f t="shared" si="0"/>
        <v>22</v>
      </c>
      <c r="C23" s="14">
        <v>12</v>
      </c>
      <c r="D23" s="14">
        <v>2021</v>
      </c>
      <c r="E23" s="16">
        <f>'12 - 2021'!B29-'12 - 2021'!B28</f>
        <v>3768</v>
      </c>
      <c r="F23" s="16">
        <f>'12 - 2021'!C29-'12 - 2021'!C28</f>
        <v>5623.2099999999627</v>
      </c>
      <c r="G23" s="14">
        <v>0.11799999999999999</v>
      </c>
      <c r="H23" s="16">
        <f>'12 - 2021'!E29-'12 - 2021'!E28</f>
        <v>19.490000000000009</v>
      </c>
      <c r="I23" s="16">
        <f>'12 - 2021'!F29-'12 - 2021'!F28</f>
        <v>7.9099999999998545</v>
      </c>
      <c r="J23" s="16">
        <f>'12 - 2021'!G29-'12 - 2021'!G28</f>
        <v>35.370000000002619</v>
      </c>
      <c r="K23" s="14">
        <v>0.74</v>
      </c>
      <c r="L23" s="16">
        <v>72</v>
      </c>
      <c r="M23" s="11"/>
    </row>
    <row r="24" spans="1:13" x14ac:dyDescent="0.25">
      <c r="A24" t="s">
        <v>27</v>
      </c>
      <c r="B24">
        <f t="shared" si="0"/>
        <v>23</v>
      </c>
      <c r="C24" s="14">
        <v>12</v>
      </c>
      <c r="D24" s="14">
        <v>2021</v>
      </c>
      <c r="E24" s="16">
        <f>'12 - 2021'!B30-'12 - 2021'!B29</f>
        <v>3900</v>
      </c>
      <c r="F24" s="16">
        <f>'12 - 2021'!C30-'12 - 2021'!C29</f>
        <v>6221.0500000000466</v>
      </c>
      <c r="G24" s="14">
        <v>0.11799999999999999</v>
      </c>
      <c r="H24" s="16">
        <f>'12 - 2021'!E30-'12 - 2021'!E29</f>
        <v>18.130000000000109</v>
      </c>
      <c r="I24" s="16">
        <f>'12 - 2021'!F30-'12 - 2021'!F29</f>
        <v>8.2400000000000091</v>
      </c>
      <c r="J24" s="16">
        <f>'12 - 2021'!G30-'12 - 2021'!G29</f>
        <v>37.830000000001746</v>
      </c>
      <c r="K24" s="14">
        <v>0.74</v>
      </c>
      <c r="L24" s="16">
        <v>75</v>
      </c>
      <c r="M24" s="11"/>
    </row>
    <row r="25" spans="1:13" x14ac:dyDescent="0.25">
      <c r="A25" t="s">
        <v>27</v>
      </c>
      <c r="B25">
        <f t="shared" si="0"/>
        <v>24</v>
      </c>
      <c r="C25" s="14">
        <v>12</v>
      </c>
      <c r="D25" s="14">
        <v>2021</v>
      </c>
      <c r="E25" s="16">
        <f>'12 - 2021'!B31-'12 - 2021'!B30</f>
        <v>4055</v>
      </c>
      <c r="F25" s="16">
        <f>'12 - 2021'!C31-'12 - 2021'!C30</f>
        <v>5996</v>
      </c>
      <c r="G25" s="14">
        <v>0.11799999999999999</v>
      </c>
      <c r="H25" s="16">
        <f>'12 - 2021'!E31-'12 - 2021'!E30</f>
        <v>19.519999999999982</v>
      </c>
      <c r="I25" s="16">
        <f>'12 - 2021'!F31-'12 - 2021'!F30</f>
        <v>8.9500000000000455</v>
      </c>
      <c r="J25" s="16">
        <f>'12 - 2021'!G31-'12 - 2021'!G30</f>
        <v>37.169999999998254</v>
      </c>
      <c r="K25" s="14">
        <v>0.74</v>
      </c>
      <c r="L25" s="4">
        <v>79</v>
      </c>
      <c r="M25" s="11"/>
    </row>
    <row r="26" spans="1:13" x14ac:dyDescent="0.25">
      <c r="A26" t="s">
        <v>27</v>
      </c>
      <c r="B26">
        <f>B25+1</f>
        <v>25</v>
      </c>
      <c r="C26" s="14">
        <v>12</v>
      </c>
      <c r="D26" s="14">
        <v>2021</v>
      </c>
      <c r="E26" s="16">
        <f>'12 - 2021'!B32-'12 - 2021'!B31</f>
        <v>3986</v>
      </c>
      <c r="F26" s="16">
        <f>'12 - 2021'!C32-'12 - 2021'!C31</f>
        <v>6012</v>
      </c>
      <c r="G26" s="14">
        <v>0.11799999999999999</v>
      </c>
      <c r="H26" s="16">
        <f>'12 - 2021'!E32-'12 - 2021'!E31</f>
        <v>18.720000000000027</v>
      </c>
      <c r="I26" s="16">
        <f>'12 - 2021'!F32-'12 - 2021'!F31</f>
        <v>7.1700000000000728</v>
      </c>
      <c r="J26" s="16">
        <f>'12 - 2021'!G32-'12 - 2021'!G31</f>
        <v>36.529999999998836</v>
      </c>
      <c r="K26" s="14">
        <v>0.74</v>
      </c>
      <c r="L26" s="4">
        <v>75</v>
      </c>
      <c r="M26" s="11"/>
    </row>
    <row r="27" spans="1:13" x14ac:dyDescent="0.25">
      <c r="A27" t="s">
        <v>27</v>
      </c>
      <c r="B27">
        <f t="shared" si="0"/>
        <v>26</v>
      </c>
      <c r="C27" s="14">
        <v>12</v>
      </c>
      <c r="D27" s="14">
        <v>2021</v>
      </c>
      <c r="E27" s="16">
        <f>'12 - 2021'!B33-'12 - 2021'!B32</f>
        <v>3907</v>
      </c>
      <c r="F27" s="16">
        <f>'12 - 2021'!C33-'12 - 2021'!C32</f>
        <v>6133.7999999999302</v>
      </c>
      <c r="G27" s="14">
        <v>0.11799999999999999</v>
      </c>
      <c r="H27" s="16">
        <f>'12 - 2021'!E33-'12 - 2021'!E32</f>
        <v>14</v>
      </c>
      <c r="I27" s="16">
        <f>'12 - 2021'!F33-'12 - 2021'!F32</f>
        <v>7.5</v>
      </c>
      <c r="J27" s="16">
        <f>'12 - 2021'!G33-'12 - 2021'!G32</f>
        <v>36.029999999998836</v>
      </c>
      <c r="K27" s="14">
        <v>0.74</v>
      </c>
      <c r="L27" s="16">
        <v>80</v>
      </c>
      <c r="M27" s="11"/>
    </row>
    <row r="28" spans="1:13" x14ac:dyDescent="0.25">
      <c r="A28" t="s">
        <v>27</v>
      </c>
      <c r="B28">
        <f t="shared" si="0"/>
        <v>27</v>
      </c>
      <c r="C28" s="14">
        <v>12</v>
      </c>
      <c r="D28" s="14">
        <v>2021</v>
      </c>
      <c r="E28" s="16">
        <f>'12 - 2021'!B34-'12 - 2021'!B33</f>
        <v>3746</v>
      </c>
      <c r="F28" s="16">
        <f>'12 - 2021'!C34-'12 - 2021'!C33</f>
        <v>5670</v>
      </c>
      <c r="G28" s="14">
        <v>0.11799999999999999</v>
      </c>
      <c r="H28" s="16">
        <f>'12 - 2021'!E34-'12 - 2021'!E33</f>
        <v>16.710000000000036</v>
      </c>
      <c r="I28" s="16">
        <f>'12 - 2021'!F34-'12 - 2021'!F33</f>
        <v>7.3699999999998909</v>
      </c>
      <c r="J28" s="16">
        <f>'12 - 2021'!G34-'12 - 2021'!G33</f>
        <v>36.040000000000873</v>
      </c>
      <c r="K28" s="14">
        <v>0.74</v>
      </c>
      <c r="L28" s="4">
        <v>77</v>
      </c>
      <c r="M28" s="11"/>
    </row>
    <row r="29" spans="1:13" x14ac:dyDescent="0.25">
      <c r="A29" t="s">
        <v>27</v>
      </c>
      <c r="B29">
        <f t="shared" si="0"/>
        <v>28</v>
      </c>
      <c r="C29" s="14">
        <v>12</v>
      </c>
      <c r="D29" s="14">
        <v>2021</v>
      </c>
      <c r="E29" s="16">
        <f>'12 - 2021'!B35-'12 - 2021'!B34</f>
        <v>3988</v>
      </c>
      <c r="F29" s="16">
        <f>'12 - 2021'!C35-'12 - 2021'!C34</f>
        <v>5692.3000000000466</v>
      </c>
      <c r="G29" s="14">
        <v>0.11799999999999999</v>
      </c>
      <c r="H29" s="16">
        <f>'12 - 2021'!E35-'12 - 2021'!E34</f>
        <v>18.689999999999827</v>
      </c>
      <c r="I29" s="16">
        <f>'12 - 2021'!F35-'12 - 2021'!F34</f>
        <v>8.5399999999999636</v>
      </c>
      <c r="J29" s="16">
        <f>'12 - 2021'!G35-'12 - 2021'!G34</f>
        <v>36.069999999999709</v>
      </c>
      <c r="K29" s="14">
        <v>0.74</v>
      </c>
      <c r="L29" s="4">
        <v>76</v>
      </c>
      <c r="M29" s="11"/>
    </row>
    <row r="30" spans="1:13" x14ac:dyDescent="0.25">
      <c r="A30" s="14" t="s">
        <v>27</v>
      </c>
      <c r="B30" s="14">
        <f t="shared" si="0"/>
        <v>29</v>
      </c>
      <c r="C30" s="14">
        <v>12</v>
      </c>
      <c r="D30" s="14">
        <v>2021</v>
      </c>
      <c r="E30" s="16">
        <f>'12 - 2021'!B36-'12 - 2021'!B35</f>
        <v>3980</v>
      </c>
      <c r="F30" s="16">
        <f>'12 - 2021'!C36-'12 - 2021'!C35</f>
        <v>5574.7999999999302</v>
      </c>
      <c r="G30" s="14">
        <v>0.11799999999999999</v>
      </c>
      <c r="H30" s="16">
        <f>'12 - 2021'!E36-'12 - 2021'!E35</f>
        <v>16.240000000000009</v>
      </c>
      <c r="I30" s="16">
        <f>'12 - 2021'!F36-'12 - 2021'!F35</f>
        <v>7.2200000000000273</v>
      </c>
      <c r="J30" s="16">
        <f>'12 - 2021'!G36-'12 - 2021'!G35</f>
        <v>33.990000000005239</v>
      </c>
      <c r="K30" s="14">
        <v>0.74</v>
      </c>
      <c r="L30" s="16">
        <v>88</v>
      </c>
    </row>
    <row r="31" spans="1:13" x14ac:dyDescent="0.25">
      <c r="A31" s="14" t="s">
        <v>27</v>
      </c>
      <c r="B31" s="14">
        <f t="shared" si="0"/>
        <v>30</v>
      </c>
      <c r="C31" s="14">
        <v>12</v>
      </c>
      <c r="D31" s="14">
        <v>2021</v>
      </c>
      <c r="E31" s="16">
        <f>'12 - 2021'!B37-'12 - 2021'!B36</f>
        <v>3861</v>
      </c>
      <c r="F31" s="16">
        <f>'12 - 2021'!C37-'12 - 2021'!C36</f>
        <v>5750.9000000001397</v>
      </c>
      <c r="G31" s="14">
        <v>0.11799999999999999</v>
      </c>
      <c r="H31" s="16">
        <f>'12 - 2021'!E37-'12 - 2021'!E36</f>
        <v>19.720000000000027</v>
      </c>
      <c r="I31" s="16">
        <f>'12 - 2021'!F37-'12 - 2021'!F36</f>
        <v>8.5</v>
      </c>
      <c r="J31" s="16">
        <f>'12 - 2021'!G37-'12 - 2021'!G36</f>
        <v>39.439999999995052</v>
      </c>
      <c r="K31" s="14">
        <v>0.74</v>
      </c>
      <c r="L31" s="16">
        <v>77</v>
      </c>
    </row>
    <row r="32" spans="1:13" x14ac:dyDescent="0.25">
      <c r="A32" s="14" t="s">
        <v>27</v>
      </c>
      <c r="B32">
        <v>31</v>
      </c>
      <c r="C32">
        <v>12</v>
      </c>
      <c r="D32" s="14">
        <v>2021</v>
      </c>
      <c r="E32" s="16">
        <v>0</v>
      </c>
      <c r="F32" s="16">
        <v>0</v>
      </c>
      <c r="G32" s="14">
        <v>0.11799999999999999</v>
      </c>
      <c r="H32" s="16">
        <v>0</v>
      </c>
      <c r="I32" s="16">
        <v>0</v>
      </c>
      <c r="J32" s="16">
        <v>0</v>
      </c>
      <c r="K32" s="14">
        <v>0.74</v>
      </c>
      <c r="L32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4"/>
  <sheetViews>
    <sheetView topLeftCell="A4" zoomScaleNormal="100" workbookViewId="0">
      <selection activeCell="C38" sqref="C38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A1" s="57"/>
      <c r="B1" s="57"/>
      <c r="C1" s="57"/>
      <c r="D1" s="57"/>
      <c r="E1" s="57"/>
      <c r="F1" s="57"/>
      <c r="G1" s="57"/>
      <c r="H1" s="58"/>
      <c r="I1" s="58"/>
      <c r="J1" s="57"/>
      <c r="K1" s="57"/>
      <c r="L1" s="57"/>
    </row>
    <row r="2" spans="1:17" x14ac:dyDescent="0.25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7" ht="18.75" x14ac:dyDescent="0.25">
      <c r="A3" s="94" t="s">
        <v>30</v>
      </c>
      <c r="B3" s="94"/>
      <c r="C3" s="94"/>
      <c r="D3" s="94"/>
      <c r="E3" s="94"/>
      <c r="F3" s="94"/>
      <c r="G3" s="94"/>
      <c r="H3" s="94"/>
      <c r="I3" s="94"/>
      <c r="J3" s="94"/>
      <c r="K3" s="57"/>
      <c r="L3" s="57"/>
    </row>
    <row r="4" spans="1:17" ht="16.5" thickBot="1" x14ac:dyDescent="0.3">
      <c r="A4" s="95" t="s">
        <v>37</v>
      </c>
      <c r="B4" s="95"/>
      <c r="C4" s="95"/>
      <c r="D4" s="95"/>
      <c r="E4" s="95"/>
      <c r="F4" s="95"/>
      <c r="G4" s="95"/>
      <c r="H4" s="95"/>
      <c r="I4" s="95"/>
      <c r="J4" s="95"/>
      <c r="K4" s="57"/>
      <c r="L4" s="57"/>
    </row>
    <row r="5" spans="1:17" ht="16.5" thickBot="1" x14ac:dyDescent="0.3">
      <c r="A5" s="59"/>
      <c r="B5" s="96" t="s">
        <v>36</v>
      </c>
      <c r="C5" s="97"/>
      <c r="D5" s="96" t="s">
        <v>0</v>
      </c>
      <c r="E5" s="98"/>
      <c r="F5" s="98"/>
      <c r="G5" s="99"/>
      <c r="H5" s="100" t="s">
        <v>1</v>
      </c>
      <c r="I5" s="101"/>
      <c r="J5" s="60" t="s">
        <v>2</v>
      </c>
      <c r="K5" s="59"/>
      <c r="L5" s="57"/>
    </row>
    <row r="6" spans="1:17" ht="12" customHeight="1" thickBot="1" x14ac:dyDescent="0.3">
      <c r="A6" s="17" t="s">
        <v>3</v>
      </c>
      <c r="B6" s="18" t="s">
        <v>33</v>
      </c>
      <c r="C6" s="19" t="s">
        <v>34</v>
      </c>
      <c r="D6" s="19" t="s">
        <v>4</v>
      </c>
      <c r="E6" s="19" t="s">
        <v>5</v>
      </c>
      <c r="F6" s="19" t="s">
        <v>6</v>
      </c>
      <c r="G6" s="20" t="s">
        <v>7</v>
      </c>
      <c r="H6" s="19" t="s">
        <v>28</v>
      </c>
      <c r="I6" s="19" t="s">
        <v>29</v>
      </c>
      <c r="J6" s="19" t="s">
        <v>8</v>
      </c>
      <c r="K6" s="61" t="s">
        <v>31</v>
      </c>
      <c r="L6" s="62" t="s">
        <v>32</v>
      </c>
    </row>
    <row r="7" spans="1:17" s="12" customFormat="1" ht="12.95" customHeight="1" thickBot="1" x14ac:dyDescent="0.3">
      <c r="A7" s="63">
        <v>44530</v>
      </c>
      <c r="B7" s="64">
        <v>410619</v>
      </c>
      <c r="C7" s="65">
        <v>881759</v>
      </c>
      <c r="D7" s="66">
        <v>0.72</v>
      </c>
      <c r="E7" s="67">
        <v>1145.73</v>
      </c>
      <c r="F7" s="68">
        <v>899.03</v>
      </c>
      <c r="G7" s="68">
        <v>35488.980000000003</v>
      </c>
      <c r="H7" s="64">
        <v>14528</v>
      </c>
      <c r="I7" s="64">
        <v>139424</v>
      </c>
      <c r="J7" s="64">
        <v>52673712</v>
      </c>
      <c r="K7" s="69"/>
      <c r="L7" s="70"/>
      <c r="M7" s="21"/>
    </row>
    <row r="8" spans="1:17" s="37" customFormat="1" ht="12.95" customHeight="1" thickTop="1" x14ac:dyDescent="0.25">
      <c r="A8" s="56">
        <f>A7+1</f>
        <v>44531</v>
      </c>
      <c r="B8" s="52">
        <v>414431</v>
      </c>
      <c r="C8" s="52">
        <v>887447</v>
      </c>
      <c r="D8" s="34">
        <v>0.62</v>
      </c>
      <c r="E8" s="49">
        <v>1163.81</v>
      </c>
      <c r="F8" s="35">
        <v>907.75</v>
      </c>
      <c r="G8" s="52">
        <v>35522.949999999997</v>
      </c>
      <c r="H8" s="52">
        <v>14528</v>
      </c>
      <c r="I8" s="52">
        <v>139519</v>
      </c>
      <c r="J8" s="52">
        <v>52690691</v>
      </c>
      <c r="K8" s="53"/>
      <c r="L8" s="71"/>
      <c r="M8" s="36"/>
    </row>
    <row r="9" spans="1:17" s="37" customFormat="1" ht="12.95" customHeight="1" x14ac:dyDescent="0.25">
      <c r="A9" s="72">
        <f t="shared" ref="A9:A38" si="0">A8+1</f>
        <v>44532</v>
      </c>
      <c r="B9" s="40">
        <v>418289</v>
      </c>
      <c r="C9" s="30">
        <v>893166</v>
      </c>
      <c r="D9" s="39">
        <v>0.52</v>
      </c>
      <c r="E9" s="50">
        <v>1183</v>
      </c>
      <c r="F9" s="30">
        <v>915.84</v>
      </c>
      <c r="G9" s="30">
        <v>35558.5</v>
      </c>
      <c r="H9" s="40">
        <v>14528</v>
      </c>
      <c r="I9" s="40">
        <v>139620</v>
      </c>
      <c r="J9" s="40">
        <v>52708211</v>
      </c>
      <c r="K9" s="51"/>
      <c r="L9" s="73"/>
      <c r="M9" s="36"/>
    </row>
    <row r="10" spans="1:17" s="37" customFormat="1" ht="12.95" customHeight="1" x14ac:dyDescent="0.25">
      <c r="A10" s="72">
        <f t="shared" si="0"/>
        <v>44533</v>
      </c>
      <c r="B10" s="40">
        <v>422153</v>
      </c>
      <c r="C10" s="40">
        <v>898791</v>
      </c>
      <c r="D10" s="39">
        <v>0.46</v>
      </c>
      <c r="E10" s="50">
        <v>1200.25</v>
      </c>
      <c r="F10" s="30">
        <v>923.89</v>
      </c>
      <c r="G10" s="30">
        <v>35594.46</v>
      </c>
      <c r="H10" s="40">
        <v>14528</v>
      </c>
      <c r="I10" s="40">
        <v>139716</v>
      </c>
      <c r="J10" s="30">
        <v>52724186</v>
      </c>
      <c r="K10" s="51"/>
      <c r="L10" s="74"/>
      <c r="M10" s="36"/>
    </row>
    <row r="11" spans="1:17" s="37" customFormat="1" ht="12.95" customHeight="1" x14ac:dyDescent="0.25">
      <c r="A11" s="72">
        <f t="shared" si="0"/>
        <v>44534</v>
      </c>
      <c r="B11" s="40">
        <v>426077</v>
      </c>
      <c r="C11" s="40">
        <v>904708</v>
      </c>
      <c r="D11" s="39">
        <v>0.4</v>
      </c>
      <c r="E11" s="30">
        <v>1217.7</v>
      </c>
      <c r="F11" s="30">
        <v>931.92</v>
      </c>
      <c r="G11" s="30">
        <v>35629.339999999997</v>
      </c>
      <c r="H11" s="40">
        <v>14528</v>
      </c>
      <c r="I11" s="40">
        <v>139816</v>
      </c>
      <c r="J11" s="40">
        <v>52740917</v>
      </c>
      <c r="K11" s="51"/>
      <c r="L11" s="74"/>
      <c r="M11" s="36"/>
    </row>
    <row r="12" spans="1:17" s="37" customFormat="1" ht="12.95" customHeight="1" x14ac:dyDescent="0.25">
      <c r="A12" s="72">
        <f t="shared" si="0"/>
        <v>44535</v>
      </c>
      <c r="B12" s="38">
        <v>430056</v>
      </c>
      <c r="C12" s="38">
        <v>910298</v>
      </c>
      <c r="D12" s="39">
        <v>0.34</v>
      </c>
      <c r="E12" s="54">
        <v>1234.3800000000001</v>
      </c>
      <c r="F12" s="38">
        <v>939.6</v>
      </c>
      <c r="G12" s="38">
        <v>35663.11</v>
      </c>
      <c r="H12" s="38">
        <v>14528</v>
      </c>
      <c r="I12" s="38">
        <v>139910</v>
      </c>
      <c r="J12" s="38">
        <v>52756580</v>
      </c>
      <c r="K12" s="51"/>
      <c r="L12" s="74"/>
      <c r="M12" s="36"/>
      <c r="N12" s="36"/>
    </row>
    <row r="13" spans="1:17" s="37" customFormat="1" ht="12.95" customHeight="1" x14ac:dyDescent="0.25">
      <c r="A13" s="72">
        <f t="shared" si="0"/>
        <v>44536</v>
      </c>
      <c r="B13" s="48">
        <v>433891</v>
      </c>
      <c r="C13" s="30">
        <v>915785</v>
      </c>
      <c r="D13" s="39">
        <v>0.8</v>
      </c>
      <c r="E13" s="50">
        <v>1249.33</v>
      </c>
      <c r="F13" s="30">
        <v>947.71</v>
      </c>
      <c r="G13" s="30">
        <v>35696.120000000003</v>
      </c>
      <c r="H13" s="40">
        <v>14528</v>
      </c>
      <c r="I13" s="30">
        <v>140008</v>
      </c>
      <c r="J13" s="30">
        <v>52770491</v>
      </c>
      <c r="K13" s="51"/>
      <c r="L13" s="75"/>
      <c r="M13" s="36"/>
      <c r="N13" s="41"/>
      <c r="O13" s="41"/>
      <c r="P13" s="41"/>
      <c r="Q13" s="41"/>
    </row>
    <row r="14" spans="1:17" s="37" customFormat="1" ht="12.95" customHeight="1" x14ac:dyDescent="0.25">
      <c r="A14" s="72">
        <f t="shared" si="0"/>
        <v>44537</v>
      </c>
      <c r="B14" s="40">
        <v>437868</v>
      </c>
      <c r="C14" s="40">
        <v>921626</v>
      </c>
      <c r="D14" s="39">
        <v>0.7</v>
      </c>
      <c r="E14" s="50">
        <v>1266.17</v>
      </c>
      <c r="F14" s="30">
        <v>956.21</v>
      </c>
      <c r="G14" s="30">
        <v>35731.22</v>
      </c>
      <c r="H14" s="40">
        <v>14528</v>
      </c>
      <c r="I14" s="40">
        <v>140111</v>
      </c>
      <c r="J14" s="40">
        <v>52787059</v>
      </c>
      <c r="K14" s="51"/>
      <c r="L14" s="74"/>
      <c r="M14" s="36"/>
      <c r="N14" s="41"/>
      <c r="O14" s="41"/>
      <c r="P14" s="41"/>
      <c r="Q14" s="41"/>
    </row>
    <row r="15" spans="1:17" s="37" customFormat="1" ht="12.95" customHeight="1" x14ac:dyDescent="0.25">
      <c r="A15" s="72">
        <f t="shared" si="0"/>
        <v>44538</v>
      </c>
      <c r="B15" s="40">
        <v>441762</v>
      </c>
      <c r="C15" s="40">
        <v>927426</v>
      </c>
      <c r="D15" s="39">
        <v>0.62</v>
      </c>
      <c r="E15" s="30">
        <v>1283.07</v>
      </c>
      <c r="F15" s="55">
        <v>964.3</v>
      </c>
      <c r="G15" s="30">
        <v>35766.92</v>
      </c>
      <c r="H15" s="40">
        <v>14528</v>
      </c>
      <c r="I15" s="40">
        <v>140216</v>
      </c>
      <c r="J15" s="40">
        <v>52802603</v>
      </c>
      <c r="K15" s="51"/>
      <c r="L15" s="74"/>
      <c r="M15" s="36"/>
      <c r="N15" s="41"/>
      <c r="O15" s="41"/>
      <c r="P15" s="41"/>
      <c r="Q15" s="41"/>
    </row>
    <row r="16" spans="1:17" s="37" customFormat="1" ht="12.95" customHeight="1" x14ac:dyDescent="0.25">
      <c r="A16" s="72">
        <f t="shared" si="0"/>
        <v>44539</v>
      </c>
      <c r="B16" s="40">
        <v>445721</v>
      </c>
      <c r="C16" s="40">
        <v>933239</v>
      </c>
      <c r="D16" s="39">
        <v>0.55000000000000004</v>
      </c>
      <c r="E16" s="30">
        <v>1299.8900000000001</v>
      </c>
      <c r="F16" s="55">
        <v>972.64</v>
      </c>
      <c r="G16" s="30">
        <v>35802.879999999997</v>
      </c>
      <c r="H16" s="40">
        <v>14528</v>
      </c>
      <c r="I16" s="40">
        <v>140325</v>
      </c>
      <c r="J16" s="40">
        <v>52818462</v>
      </c>
      <c r="K16" s="51"/>
      <c r="L16" s="74"/>
      <c r="M16" s="36"/>
      <c r="N16" s="41"/>
      <c r="O16" s="41"/>
      <c r="P16" s="41"/>
      <c r="Q16" s="41"/>
    </row>
    <row r="17" spans="1:19" s="37" customFormat="1" ht="12.95" customHeight="1" x14ac:dyDescent="0.25">
      <c r="A17" s="72">
        <f t="shared" si="0"/>
        <v>44540</v>
      </c>
      <c r="B17" s="30">
        <v>449793</v>
      </c>
      <c r="C17" s="30">
        <v>939160</v>
      </c>
      <c r="D17" s="39">
        <v>0.47</v>
      </c>
      <c r="E17" s="30">
        <v>1320.52</v>
      </c>
      <c r="F17" s="55">
        <v>980.5</v>
      </c>
      <c r="G17" s="30">
        <v>35843.050000000003</v>
      </c>
      <c r="H17" s="40">
        <v>14528</v>
      </c>
      <c r="I17" s="30">
        <v>140427</v>
      </c>
      <c r="J17" s="30">
        <v>52833616</v>
      </c>
      <c r="K17" s="51"/>
      <c r="L17" s="74"/>
      <c r="M17" s="36"/>
      <c r="N17" s="41"/>
      <c r="O17" s="41"/>
      <c r="P17" s="41"/>
      <c r="Q17" s="41"/>
    </row>
    <row r="18" spans="1:19" s="37" customFormat="1" ht="12.95" customHeight="1" x14ac:dyDescent="0.25">
      <c r="A18" s="72">
        <f t="shared" si="0"/>
        <v>44541</v>
      </c>
      <c r="B18" s="40">
        <v>453640</v>
      </c>
      <c r="C18" s="40">
        <v>944767</v>
      </c>
      <c r="D18" s="39">
        <v>0.4</v>
      </c>
      <c r="E18" s="30">
        <v>1340.57</v>
      </c>
      <c r="F18" s="30">
        <v>987.64</v>
      </c>
      <c r="G18" s="30">
        <v>35880.019999999997</v>
      </c>
      <c r="H18" s="40">
        <v>14528</v>
      </c>
      <c r="I18" s="40">
        <v>140543</v>
      </c>
      <c r="J18" s="40">
        <v>52848512</v>
      </c>
      <c r="K18" s="51"/>
      <c r="L18" s="74"/>
      <c r="M18" s="36"/>
      <c r="N18" s="41"/>
      <c r="O18" s="43"/>
      <c r="P18" s="41"/>
      <c r="Q18" s="41"/>
    </row>
    <row r="19" spans="1:19" s="37" customFormat="1" ht="12.95" customHeight="1" x14ac:dyDescent="0.25">
      <c r="A19" s="72">
        <f t="shared" si="0"/>
        <v>44542</v>
      </c>
      <c r="B19" s="40">
        <v>457705</v>
      </c>
      <c r="C19" s="40">
        <v>950903</v>
      </c>
      <c r="D19" s="39">
        <v>0.85</v>
      </c>
      <c r="E19" s="30">
        <v>1359.75</v>
      </c>
      <c r="F19" s="30">
        <v>995.87</v>
      </c>
      <c r="G19" s="30">
        <v>35919.599999999999</v>
      </c>
      <c r="H19" s="40">
        <v>14528</v>
      </c>
      <c r="I19" s="40">
        <v>140656</v>
      </c>
      <c r="J19" s="40">
        <v>52863780</v>
      </c>
      <c r="K19" s="51"/>
      <c r="L19" s="74"/>
      <c r="M19" s="36"/>
      <c r="N19" s="41"/>
      <c r="O19" s="43"/>
      <c r="P19" s="41"/>
      <c r="Q19" s="41"/>
    </row>
    <row r="20" spans="1:19" s="37" customFormat="1" ht="12.95" customHeight="1" x14ac:dyDescent="0.25">
      <c r="A20" s="72">
        <f t="shared" si="0"/>
        <v>44543</v>
      </c>
      <c r="B20" s="32">
        <v>461483</v>
      </c>
      <c r="C20" s="32">
        <v>956470</v>
      </c>
      <c r="D20" s="39">
        <v>0.78</v>
      </c>
      <c r="E20" s="40">
        <v>1378.08</v>
      </c>
      <c r="F20" s="40">
        <v>1004.3</v>
      </c>
      <c r="G20" s="31">
        <v>35955.129999999997</v>
      </c>
      <c r="H20" s="40">
        <v>14528</v>
      </c>
      <c r="I20" s="32">
        <v>140754</v>
      </c>
      <c r="J20" s="32">
        <v>52877696</v>
      </c>
      <c r="K20" s="51"/>
      <c r="L20" s="76"/>
      <c r="M20" s="36"/>
      <c r="N20" s="44"/>
      <c r="O20" s="41"/>
      <c r="P20" s="41"/>
      <c r="Q20" s="41"/>
    </row>
    <row r="21" spans="1:19" s="37" customFormat="1" ht="12.95" customHeight="1" x14ac:dyDescent="0.25">
      <c r="A21" s="72">
        <f t="shared" si="0"/>
        <v>44544</v>
      </c>
      <c r="B21" s="32">
        <v>465676</v>
      </c>
      <c r="C21" s="32">
        <v>962450</v>
      </c>
      <c r="D21" s="39">
        <v>0.7</v>
      </c>
      <c r="E21" s="31">
        <v>1395.61</v>
      </c>
      <c r="F21" s="30">
        <v>1012.18</v>
      </c>
      <c r="G21" s="31">
        <v>35993.64</v>
      </c>
      <c r="H21" s="40">
        <v>14528</v>
      </c>
      <c r="I21" s="32">
        <v>140856</v>
      </c>
      <c r="J21" s="32">
        <v>52892716</v>
      </c>
      <c r="K21" s="51"/>
      <c r="L21" s="76"/>
      <c r="M21" s="36"/>
      <c r="N21" s="44"/>
      <c r="O21" s="44"/>
      <c r="P21" s="45"/>
      <c r="Q21" s="45"/>
      <c r="S21" s="36"/>
    </row>
    <row r="22" spans="1:19" s="37" customFormat="1" ht="12.95" customHeight="1" x14ac:dyDescent="0.25">
      <c r="A22" s="72">
        <f t="shared" si="0"/>
        <v>44545</v>
      </c>
      <c r="B22" s="40">
        <v>469543</v>
      </c>
      <c r="C22" s="40">
        <v>968275</v>
      </c>
      <c r="D22" s="39">
        <v>0.61</v>
      </c>
      <c r="E22" s="30">
        <v>1414.42</v>
      </c>
      <c r="F22" s="30">
        <v>1020.32</v>
      </c>
      <c r="G22" s="31">
        <v>36031.4</v>
      </c>
      <c r="H22" s="40">
        <v>14528</v>
      </c>
      <c r="I22" s="31">
        <v>140973</v>
      </c>
      <c r="J22" s="32">
        <v>52907410</v>
      </c>
      <c r="K22" s="51"/>
      <c r="L22" s="76"/>
      <c r="M22" s="36"/>
      <c r="N22" s="44"/>
      <c r="O22" s="44"/>
      <c r="P22" s="41"/>
      <c r="Q22" s="41"/>
    </row>
    <row r="23" spans="1:19" s="37" customFormat="1" ht="12.95" customHeight="1" x14ac:dyDescent="0.25">
      <c r="A23" s="72">
        <f t="shared" si="0"/>
        <v>44546</v>
      </c>
      <c r="B23" s="32">
        <v>473431</v>
      </c>
      <c r="C23" s="32">
        <v>974021</v>
      </c>
      <c r="D23" s="39">
        <v>0.52</v>
      </c>
      <c r="E23" s="31">
        <v>1431.66</v>
      </c>
      <c r="F23" s="30">
        <v>1028.21</v>
      </c>
      <c r="G23" s="31">
        <v>36069.03</v>
      </c>
      <c r="H23" s="40">
        <v>14528</v>
      </c>
      <c r="I23" s="32">
        <v>141087</v>
      </c>
      <c r="J23" s="32">
        <v>52922525</v>
      </c>
      <c r="K23" s="51"/>
      <c r="L23" s="76"/>
      <c r="M23" s="36"/>
      <c r="N23" s="44"/>
      <c r="O23" s="41"/>
      <c r="P23" s="41"/>
      <c r="Q23" s="41"/>
    </row>
    <row r="24" spans="1:19" s="37" customFormat="1" ht="12.95" customHeight="1" x14ac:dyDescent="0.25">
      <c r="A24" s="72">
        <f t="shared" si="0"/>
        <v>44547</v>
      </c>
      <c r="B24" s="32">
        <v>477290</v>
      </c>
      <c r="C24" s="32">
        <v>979832</v>
      </c>
      <c r="D24" s="39">
        <v>0.45</v>
      </c>
      <c r="E24" s="31">
        <v>1452.53</v>
      </c>
      <c r="F24" s="30">
        <v>1036.17</v>
      </c>
      <c r="G24" s="31">
        <v>36106.53</v>
      </c>
      <c r="H24" s="40">
        <v>14528</v>
      </c>
      <c r="I24" s="32">
        <v>141194</v>
      </c>
      <c r="J24" s="32">
        <v>52937376</v>
      </c>
      <c r="K24" s="51"/>
      <c r="L24" s="77"/>
      <c r="M24" s="36"/>
      <c r="N24" s="44"/>
      <c r="O24" s="44"/>
      <c r="P24" s="41"/>
      <c r="Q24" s="41"/>
    </row>
    <row r="25" spans="1:19" s="37" customFormat="1" ht="12.95" customHeight="1" x14ac:dyDescent="0.25">
      <c r="A25" s="72">
        <f t="shared" si="0"/>
        <v>44548</v>
      </c>
      <c r="B25" s="31">
        <v>481361</v>
      </c>
      <c r="C25" s="31">
        <v>985683</v>
      </c>
      <c r="D25" s="39">
        <v>0.37</v>
      </c>
      <c r="E25" s="31">
        <v>1471.14</v>
      </c>
      <c r="F25" s="30">
        <v>1043.8900000000001</v>
      </c>
      <c r="G25" s="31">
        <v>36144.050000000003</v>
      </c>
      <c r="H25" s="40">
        <v>14528</v>
      </c>
      <c r="I25" s="32">
        <v>141299</v>
      </c>
      <c r="J25" s="32">
        <v>52952308</v>
      </c>
      <c r="K25" s="78"/>
      <c r="L25" s="77"/>
      <c r="M25" s="36"/>
      <c r="N25" s="44"/>
      <c r="O25" s="44"/>
      <c r="P25" s="41"/>
      <c r="Q25" s="41"/>
    </row>
    <row r="26" spans="1:19" s="37" customFormat="1" ht="12.95" customHeight="1" x14ac:dyDescent="0.25">
      <c r="A26" s="72">
        <f t="shared" si="0"/>
        <v>44549</v>
      </c>
      <c r="B26" s="31">
        <v>485444</v>
      </c>
      <c r="C26" s="31">
        <v>991507</v>
      </c>
      <c r="D26" s="42">
        <v>0.3</v>
      </c>
      <c r="E26" s="31">
        <v>1487.81</v>
      </c>
      <c r="F26" s="30">
        <v>1051.5899999999999</v>
      </c>
      <c r="G26" s="31">
        <v>36180.400000000001</v>
      </c>
      <c r="H26" s="40">
        <v>14528</v>
      </c>
      <c r="I26" s="32">
        <v>141410</v>
      </c>
      <c r="J26" s="32">
        <v>52967216</v>
      </c>
      <c r="K26" s="51"/>
      <c r="L26" s="77"/>
      <c r="M26" s="36"/>
      <c r="N26" s="44"/>
      <c r="O26" s="44"/>
      <c r="P26" s="41"/>
      <c r="Q26" s="41"/>
    </row>
    <row r="27" spans="1:19" s="37" customFormat="1" ht="12.95" customHeight="1" x14ac:dyDescent="0.25">
      <c r="A27" s="72">
        <f t="shared" si="0"/>
        <v>44550</v>
      </c>
      <c r="B27" s="32">
        <v>489426</v>
      </c>
      <c r="C27" s="32">
        <v>997353</v>
      </c>
      <c r="D27" s="39">
        <v>0.24</v>
      </c>
      <c r="E27" s="31">
        <v>1505.6</v>
      </c>
      <c r="F27" s="30">
        <v>1058.69</v>
      </c>
      <c r="G27" s="31">
        <v>36214.910000000003</v>
      </c>
      <c r="H27" s="40">
        <v>14528</v>
      </c>
      <c r="I27" s="32">
        <v>141512</v>
      </c>
      <c r="J27" s="32">
        <v>52981732</v>
      </c>
      <c r="K27" s="79" t="s">
        <v>39</v>
      </c>
      <c r="L27" s="76"/>
      <c r="M27" s="36"/>
    </row>
    <row r="28" spans="1:19" s="37" customFormat="1" ht="12.95" customHeight="1" x14ac:dyDescent="0.25">
      <c r="A28" s="72">
        <f t="shared" si="0"/>
        <v>44551</v>
      </c>
      <c r="B28" s="32">
        <v>493240</v>
      </c>
      <c r="C28" s="32">
        <v>1003018.54</v>
      </c>
      <c r="D28" s="39">
        <v>0.8</v>
      </c>
      <c r="E28" s="31">
        <v>1523.34</v>
      </c>
      <c r="F28" s="30">
        <v>1066.4000000000001</v>
      </c>
      <c r="G28" s="31">
        <v>36250.629999999997</v>
      </c>
      <c r="H28" s="40">
        <v>14528</v>
      </c>
      <c r="I28" s="32">
        <v>141605</v>
      </c>
      <c r="J28" s="32">
        <v>52995648</v>
      </c>
      <c r="K28" s="51"/>
      <c r="L28" s="76"/>
      <c r="M28" s="36"/>
    </row>
    <row r="29" spans="1:19" s="37" customFormat="1" ht="12.95" customHeight="1" x14ac:dyDescent="0.25">
      <c r="A29" s="72">
        <f t="shared" si="0"/>
        <v>44552</v>
      </c>
      <c r="B29" s="32">
        <v>497008</v>
      </c>
      <c r="C29" s="32">
        <v>1008641.75</v>
      </c>
      <c r="D29" s="39">
        <v>0.72</v>
      </c>
      <c r="E29" s="31">
        <v>1542.83</v>
      </c>
      <c r="F29" s="30">
        <v>1074.31</v>
      </c>
      <c r="G29" s="31">
        <v>36286</v>
      </c>
      <c r="H29" s="40">
        <v>14528</v>
      </c>
      <c r="I29" s="32">
        <v>141714</v>
      </c>
      <c r="J29" s="32">
        <v>53010100</v>
      </c>
      <c r="K29" s="51"/>
      <c r="L29" s="76"/>
      <c r="M29" s="36"/>
      <c r="N29" s="36"/>
    </row>
    <row r="30" spans="1:19" s="37" customFormat="1" ht="12.95" customHeight="1" x14ac:dyDescent="0.25">
      <c r="A30" s="72">
        <f t="shared" si="0"/>
        <v>44553</v>
      </c>
      <c r="B30" s="32">
        <v>500908</v>
      </c>
      <c r="C30" s="32">
        <v>1014862.8</v>
      </c>
      <c r="D30" s="39">
        <v>0.63</v>
      </c>
      <c r="E30" s="31">
        <v>1560.96</v>
      </c>
      <c r="F30" s="30">
        <v>1082.55</v>
      </c>
      <c r="G30" s="31">
        <v>36323.83</v>
      </c>
      <c r="H30" s="40">
        <v>14528</v>
      </c>
      <c r="I30" s="32">
        <v>141812</v>
      </c>
      <c r="J30" s="32">
        <v>53025966</v>
      </c>
      <c r="K30" s="51"/>
      <c r="L30" s="76"/>
      <c r="M30" s="36"/>
    </row>
    <row r="31" spans="1:19" s="37" customFormat="1" ht="12.95" customHeight="1" x14ac:dyDescent="0.25">
      <c r="A31" s="72">
        <f t="shared" si="0"/>
        <v>44554</v>
      </c>
      <c r="B31" s="32">
        <v>504963</v>
      </c>
      <c r="C31" s="32">
        <v>1020858.8</v>
      </c>
      <c r="D31" s="39">
        <v>0.55000000000000004</v>
      </c>
      <c r="E31" s="31">
        <v>1580.48</v>
      </c>
      <c r="F31" s="30">
        <v>1091.5</v>
      </c>
      <c r="G31" s="31">
        <v>36361</v>
      </c>
      <c r="H31" s="40">
        <v>14528</v>
      </c>
      <c r="I31" s="32">
        <v>141921</v>
      </c>
      <c r="J31" s="32">
        <v>53040156</v>
      </c>
      <c r="K31" s="51"/>
      <c r="L31" s="76"/>
      <c r="M31" s="36"/>
      <c r="N31" s="36"/>
      <c r="O31" s="36"/>
    </row>
    <row r="32" spans="1:19" s="37" customFormat="1" ht="12.95" customHeight="1" x14ac:dyDescent="0.25">
      <c r="A32" s="72">
        <f t="shared" si="0"/>
        <v>44555</v>
      </c>
      <c r="B32" s="32">
        <v>508949</v>
      </c>
      <c r="C32" s="32">
        <v>1026870.8</v>
      </c>
      <c r="D32" s="39">
        <v>0.47</v>
      </c>
      <c r="E32" s="31">
        <v>1599.2</v>
      </c>
      <c r="F32" s="30">
        <v>1098.67</v>
      </c>
      <c r="G32" s="31">
        <v>36397.53</v>
      </c>
      <c r="H32" s="40">
        <v>14528</v>
      </c>
      <c r="I32" s="32">
        <v>142026</v>
      </c>
      <c r="J32" s="32">
        <v>53055455</v>
      </c>
      <c r="K32" s="51"/>
      <c r="L32" s="76"/>
      <c r="M32" s="36"/>
      <c r="N32" s="36"/>
      <c r="O32" s="36"/>
    </row>
    <row r="33" spans="1:16" s="37" customFormat="1" ht="12.95" customHeight="1" x14ac:dyDescent="0.25">
      <c r="A33" s="72">
        <f t="shared" si="0"/>
        <v>44556</v>
      </c>
      <c r="B33" s="32">
        <v>512856</v>
      </c>
      <c r="C33" s="32">
        <v>1033004.6</v>
      </c>
      <c r="D33" s="39">
        <v>0.4</v>
      </c>
      <c r="E33" s="31">
        <v>1613.2</v>
      </c>
      <c r="F33" s="30">
        <v>1106.17</v>
      </c>
      <c r="G33" s="31">
        <v>36433.56</v>
      </c>
      <c r="H33" s="40">
        <v>14528</v>
      </c>
      <c r="I33" s="32">
        <v>142127</v>
      </c>
      <c r="J33" s="32">
        <v>53070736</v>
      </c>
      <c r="K33" s="51"/>
      <c r="L33" s="76"/>
      <c r="N33" s="36"/>
      <c r="O33" s="36"/>
    </row>
    <row r="34" spans="1:16" s="37" customFormat="1" ht="12.95" customHeight="1" x14ac:dyDescent="0.25">
      <c r="A34" s="72">
        <f t="shared" si="0"/>
        <v>44557</v>
      </c>
      <c r="B34" s="32">
        <v>516602</v>
      </c>
      <c r="C34" s="32">
        <v>1038674.6</v>
      </c>
      <c r="D34" s="39">
        <v>0.32</v>
      </c>
      <c r="E34" s="31">
        <v>1629.91</v>
      </c>
      <c r="F34" s="30">
        <v>1113.54</v>
      </c>
      <c r="G34" s="31">
        <v>36469.599999999999</v>
      </c>
      <c r="H34" s="40">
        <v>14528</v>
      </c>
      <c r="I34" s="31">
        <v>142228</v>
      </c>
      <c r="J34" s="31">
        <v>53084836</v>
      </c>
      <c r="K34" s="51"/>
      <c r="L34" s="80"/>
      <c r="N34" s="36"/>
      <c r="P34" s="36"/>
    </row>
    <row r="35" spans="1:16" s="37" customFormat="1" ht="12.95" customHeight="1" x14ac:dyDescent="0.25">
      <c r="A35" s="72">
        <f>A34+1</f>
        <v>44558</v>
      </c>
      <c r="B35" s="40">
        <v>520590</v>
      </c>
      <c r="C35" s="46">
        <v>1044366.9</v>
      </c>
      <c r="D35" s="39">
        <v>0.25</v>
      </c>
      <c r="E35" s="31">
        <v>1648.6</v>
      </c>
      <c r="F35" s="30">
        <v>1122.08</v>
      </c>
      <c r="G35" s="30">
        <v>36505.67</v>
      </c>
      <c r="H35" s="40">
        <v>14528</v>
      </c>
      <c r="I35" s="40">
        <v>142315</v>
      </c>
      <c r="J35" s="40">
        <v>53098168</v>
      </c>
      <c r="K35" s="51"/>
      <c r="L35" s="76"/>
      <c r="M35" s="36"/>
      <c r="N35" s="36"/>
      <c r="O35" s="36"/>
    </row>
    <row r="36" spans="1:16" s="47" customFormat="1" x14ac:dyDescent="0.25">
      <c r="A36" s="72">
        <f t="shared" si="0"/>
        <v>44559</v>
      </c>
      <c r="B36" s="40">
        <v>524570</v>
      </c>
      <c r="C36" s="46">
        <v>1049941.7</v>
      </c>
      <c r="D36" s="39">
        <v>0.8</v>
      </c>
      <c r="E36" s="33">
        <v>1664.84</v>
      </c>
      <c r="F36" s="30">
        <v>1129.3</v>
      </c>
      <c r="G36" s="30">
        <v>36539.660000000003</v>
      </c>
      <c r="H36" s="40">
        <v>14528</v>
      </c>
      <c r="I36" s="40">
        <v>142421</v>
      </c>
      <c r="J36" s="40">
        <v>53110669</v>
      </c>
      <c r="K36" s="51" t="s">
        <v>38</v>
      </c>
      <c r="L36" s="81"/>
    </row>
    <row r="37" spans="1:16" s="47" customFormat="1" x14ac:dyDescent="0.25">
      <c r="A37" s="72">
        <f t="shared" si="0"/>
        <v>44560</v>
      </c>
      <c r="B37" s="40">
        <v>528431</v>
      </c>
      <c r="C37" s="46">
        <v>1055692.6000000001</v>
      </c>
      <c r="D37" s="39">
        <v>0.72</v>
      </c>
      <c r="E37" s="33">
        <v>1684.56</v>
      </c>
      <c r="F37" s="30">
        <v>1137.8</v>
      </c>
      <c r="G37" s="30">
        <v>36579.1</v>
      </c>
      <c r="H37" s="40">
        <v>14528</v>
      </c>
      <c r="I37" s="40">
        <v>142526</v>
      </c>
      <c r="J37" s="40">
        <v>53123400</v>
      </c>
      <c r="K37" s="51"/>
      <c r="L37" s="76"/>
    </row>
    <row r="38" spans="1:16" ht="15.75" thickBot="1" x14ac:dyDescent="0.3">
      <c r="A38" s="82">
        <f t="shared" si="0"/>
        <v>44561</v>
      </c>
      <c r="B38" s="83"/>
      <c r="C38" s="84"/>
      <c r="D38" s="85"/>
      <c r="E38" s="86"/>
      <c r="F38" s="87"/>
      <c r="G38" s="87"/>
      <c r="H38" s="83"/>
      <c r="I38" s="83"/>
      <c r="J38" s="83"/>
      <c r="K38" s="88"/>
      <c r="L38" s="89"/>
    </row>
    <row r="39" spans="1:16" x14ac:dyDescent="0.25">
      <c r="A39" s="90" t="s">
        <v>35</v>
      </c>
      <c r="B39" s="91">
        <f>B38-B7</f>
        <v>-410619</v>
      </c>
      <c r="C39" s="91">
        <f>C38-C7</f>
        <v>-881759</v>
      </c>
      <c r="D39" s="91"/>
      <c r="E39" s="91">
        <f>E38-E7</f>
        <v>-1145.73</v>
      </c>
      <c r="F39" s="91">
        <f t="shared" ref="F39:J39" si="1">F38-F7</f>
        <v>-899.03</v>
      </c>
      <c r="G39" s="91">
        <f t="shared" si="1"/>
        <v>-35488.980000000003</v>
      </c>
      <c r="H39" s="91">
        <f t="shared" si="1"/>
        <v>-14528</v>
      </c>
      <c r="I39" s="91">
        <f t="shared" si="1"/>
        <v>-139424</v>
      </c>
      <c r="J39" s="91">
        <f t="shared" si="1"/>
        <v>-52673712</v>
      </c>
      <c r="K39" s="91">
        <f>SUM(K7:K37)</f>
        <v>0</v>
      </c>
      <c r="L39" s="57"/>
    </row>
    <row r="40" spans="1:16" x14ac:dyDescent="0.25">
      <c r="A40" s="57"/>
      <c r="B40" s="57"/>
      <c r="C40" s="91"/>
      <c r="D40" s="57"/>
      <c r="E40" s="92"/>
      <c r="F40" s="92"/>
      <c r="G40" s="92"/>
      <c r="H40" s="93">
        <f>H39*219.969</f>
        <v>-3195709.6319999998</v>
      </c>
      <c r="I40" s="91">
        <f>I39*219.969</f>
        <v>-30668957.855999999</v>
      </c>
      <c r="J40" s="92"/>
      <c r="K40" s="57"/>
      <c r="L40" s="57"/>
    </row>
    <row r="41" spans="1:16" x14ac:dyDescent="0.25">
      <c r="I41" s="13"/>
    </row>
    <row r="42" spans="1:16" x14ac:dyDescent="0.25">
      <c r="C42" s="16"/>
    </row>
    <row r="43" spans="1:16" x14ac:dyDescent="0.25">
      <c r="J43" s="28"/>
    </row>
    <row r="44" spans="1:16" x14ac:dyDescent="0.25">
      <c r="C44" s="29"/>
      <c r="I44" s="28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12 - 2021</vt:lpstr>
      <vt:lpstr>'12 - 2021'!Print_Area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2021-12-30T04:29:44Z</dcterms:modified>
</cp:coreProperties>
</file>