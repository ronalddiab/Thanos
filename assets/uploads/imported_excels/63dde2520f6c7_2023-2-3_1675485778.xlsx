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8" i="3" l="1"/>
  <c r="AN38" i="3"/>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H14" i="5" l="1"/>
  <c r="BC16" i="5"/>
  <c r="BC17" i="5" s="1"/>
  <c r="BE17" i="5"/>
  <c r="AY17" i="5"/>
  <c r="AQ17" i="5"/>
  <c r="AO17" i="5"/>
  <c r="AM17" i="5"/>
  <c r="AC16" i="5"/>
  <c r="AC17" i="5" s="1"/>
  <c r="Y15" i="5"/>
  <c r="Y16" i="5" s="1"/>
  <c r="Y17" i="5" s="1"/>
  <c r="U17" i="5"/>
  <c r="BF10" i="5"/>
  <c r="BD10" i="5"/>
  <c r="BB10" i="5"/>
  <c r="AZ10" i="5"/>
  <c r="AR10" i="5"/>
  <c r="AT10" i="5"/>
  <c r="AV10" i="5"/>
  <c r="AX10" i="5"/>
  <c r="AP10" i="5"/>
  <c r="AN10" i="5"/>
  <c r="AL10" i="5"/>
  <c r="AJ10" i="5"/>
  <c r="AH10" i="5"/>
  <c r="AF10" i="5"/>
  <c r="AD10" i="5"/>
  <c r="AB10" i="5"/>
  <c r="Z10" i="5"/>
  <c r="X10" i="5"/>
  <c r="V10" i="5"/>
  <c r="T10" i="5"/>
  <c r="R10" i="5"/>
  <c r="P10" i="5"/>
  <c r="N10" i="5"/>
  <c r="L10" i="5"/>
  <c r="J10" i="5"/>
  <c r="H10" i="5"/>
  <c r="D10" i="5"/>
  <c r="F10" i="5" s="1"/>
  <c r="D39" i="5"/>
  <c r="F39" i="5" s="1"/>
  <c r="O39" i="5"/>
  <c r="P39" i="5" s="1"/>
  <c r="AC39" i="5"/>
  <c r="AD39" i="5" s="1"/>
  <c r="AN39" i="5"/>
  <c r="AR39" i="5"/>
  <c r="BC39" i="5"/>
  <c r="BD39" i="5" s="1"/>
  <c r="AY39" i="5"/>
  <c r="AZ39" i="5" s="1"/>
  <c r="AQ39" i="5"/>
  <c r="AO39" i="5"/>
  <c r="AP39" i="5" s="1"/>
  <c r="AI39" i="5"/>
  <c r="AJ39" i="5" s="1"/>
  <c r="AE39" i="5"/>
  <c r="AF39" i="5" s="1"/>
  <c r="Y39" i="5"/>
  <c r="Z39" i="5" s="1"/>
  <c r="W39" i="5"/>
  <c r="X39" i="5" s="1"/>
  <c r="U39" i="5"/>
  <c r="V39" i="5" s="1"/>
  <c r="S39" i="5"/>
  <c r="T39" i="5" s="1"/>
  <c r="Q39" i="5"/>
  <c r="R39" i="5" s="1"/>
  <c r="M39" i="5"/>
  <c r="N39" i="5" s="1"/>
  <c r="K39" i="5"/>
  <c r="L39" i="5" s="1"/>
  <c r="I39" i="5"/>
  <c r="J39" i="5" s="1"/>
  <c r="G39" i="5"/>
  <c r="H39" i="5" s="1"/>
  <c r="C39" i="5"/>
  <c r="I10" i="4"/>
  <c r="I11" i="4" s="1"/>
  <c r="I12" i="4" s="1"/>
  <c r="I13" i="4" s="1"/>
  <c r="I14" i="4" s="1"/>
  <c r="I15" i="4" s="1"/>
  <c r="G11" i="4"/>
  <c r="G12" i="4" s="1"/>
  <c r="G13" i="4" s="1"/>
  <c r="G14" i="4" s="1"/>
  <c r="G15" i="4" s="1"/>
  <c r="G16" i="4" s="1"/>
  <c r="G10" i="4"/>
  <c r="I7" i="4"/>
  <c r="G7" i="4"/>
  <c r="K16" i="4"/>
  <c r="O16" i="4"/>
  <c r="I37" i="4"/>
  <c r="G37" i="4"/>
  <c r="P35" i="4"/>
  <c r="L35" i="4"/>
  <c r="N35" i="4" s="1"/>
  <c r="J35" i="4"/>
  <c r="H35" i="4"/>
  <c r="F35" i="4"/>
  <c r="D35" i="4"/>
  <c r="R35" i="4" s="1"/>
  <c r="H31" i="8" s="1"/>
  <c r="I22" i="4"/>
  <c r="E16" i="4"/>
  <c r="C16" i="4"/>
  <c r="S35" i="4" l="1"/>
  <c r="BI10" i="5"/>
  <c r="E10" i="5"/>
  <c r="BH10" i="5" s="1"/>
  <c r="K4" i="8" s="1"/>
  <c r="M35" i="4"/>
  <c r="AZ22" i="5"/>
  <c r="AZ21" i="5"/>
  <c r="AZ20" i="5"/>
  <c r="AZ19" i="5"/>
  <c r="AZ18" i="5"/>
  <c r="AZ23" i="5"/>
  <c r="AD19" i="5"/>
  <c r="AR17" i="5" l="1"/>
  <c r="AR16" i="5"/>
  <c r="T15" i="5" l="1"/>
  <c r="D11" i="5" l="1"/>
  <c r="AT36" i="5" l="1"/>
  <c r="AJ33" i="5" l="1"/>
  <c r="AT30" i="5" l="1"/>
  <c r="V11" i="5" l="1"/>
  <c r="V9" i="5"/>
  <c r="AB26" i="3"/>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R36" i="5"/>
  <c r="AP36" i="5"/>
  <c r="AN36" i="5"/>
  <c r="AL36" i="5"/>
  <c r="AJ36" i="5"/>
  <c r="AH36" i="5"/>
  <c r="AF36" i="5"/>
  <c r="AD36" i="5"/>
  <c r="AB36" i="5"/>
  <c r="Z36" i="5"/>
  <c r="X36" i="5"/>
  <c r="V36" i="5"/>
  <c r="T36" i="5"/>
  <c r="R36" i="5"/>
  <c r="P36" i="5"/>
  <c r="N36" i="5"/>
  <c r="L36" i="5"/>
  <c r="J36" i="5"/>
  <c r="H36" i="5"/>
  <c r="D36" i="5"/>
  <c r="F36" i="5" s="1"/>
  <c r="BF35" i="5"/>
  <c r="BD35" i="5"/>
  <c r="BB35" i="5"/>
  <c r="AZ35" i="5"/>
  <c r="AV35" i="5"/>
  <c r="AT35" i="5"/>
  <c r="AR35" i="5"/>
  <c r="AP35" i="5"/>
  <c r="AN35" i="5"/>
  <c r="AL35" i="5"/>
  <c r="AJ35" i="5"/>
  <c r="AH35" i="5"/>
  <c r="AF35" i="5"/>
  <c r="AD35" i="5"/>
  <c r="AB35" i="5"/>
  <c r="Z35" i="5"/>
  <c r="X35" i="5"/>
  <c r="V35" i="5"/>
  <c r="T35" i="5"/>
  <c r="R35" i="5"/>
  <c r="P35" i="5"/>
  <c r="N35" i="5"/>
  <c r="L35" i="5"/>
  <c r="J35" i="5"/>
  <c r="H35" i="5"/>
  <c r="D35" i="5"/>
  <c r="E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F34" i="5" s="1"/>
  <c r="BF33" i="5"/>
  <c r="BD33" i="5"/>
  <c r="BB33" i="5"/>
  <c r="AZ33" i="5"/>
  <c r="AX33" i="5"/>
  <c r="AV33" i="5"/>
  <c r="AT33" i="5"/>
  <c r="AR33" i="5"/>
  <c r="AP33" i="5"/>
  <c r="AN33" i="5"/>
  <c r="AL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J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E31" i="5" s="1"/>
  <c r="BF30" i="5"/>
  <c r="BD30" i="5"/>
  <c r="BB30" i="5"/>
  <c r="AZ30" i="5"/>
  <c r="AX30" i="5"/>
  <c r="AV30" i="5"/>
  <c r="AR30" i="5"/>
  <c r="AP30" i="5"/>
  <c r="AN30" i="5"/>
  <c r="AL30" i="5"/>
  <c r="AJ30" i="5"/>
  <c r="AH30" i="5"/>
  <c r="AF30" i="5"/>
  <c r="AD30" i="5"/>
  <c r="AB30" i="5"/>
  <c r="Z30" i="5"/>
  <c r="X30" i="5"/>
  <c r="V30" i="5"/>
  <c r="T30" i="5"/>
  <c r="R30" i="5"/>
  <c r="P30" i="5"/>
  <c r="N30" i="5"/>
  <c r="L30" i="5"/>
  <c r="J30" i="5"/>
  <c r="H30" i="5"/>
  <c r="D30" i="5"/>
  <c r="F30" i="5" s="1"/>
  <c r="BF29" i="5"/>
  <c r="BD29" i="5"/>
  <c r="BB29" i="5"/>
  <c r="AZ29" i="5"/>
  <c r="AX29" i="5"/>
  <c r="AV29" i="5"/>
  <c r="AT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E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F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X23" i="5"/>
  <c r="AV23" i="5"/>
  <c r="AT23" i="5"/>
  <c r="AR23" i="5"/>
  <c r="AP23" i="5"/>
  <c r="AN23" i="5"/>
  <c r="AL23" i="5"/>
  <c r="AJ23" i="5"/>
  <c r="AH23" i="5"/>
  <c r="AF23" i="5"/>
  <c r="AD23" i="5"/>
  <c r="AB23" i="5"/>
  <c r="Z23" i="5"/>
  <c r="X23" i="5"/>
  <c r="V23" i="5"/>
  <c r="T23" i="5"/>
  <c r="R23" i="5"/>
  <c r="P23" i="5"/>
  <c r="N23" i="5"/>
  <c r="L23" i="5"/>
  <c r="J23" i="5"/>
  <c r="H23" i="5"/>
  <c r="D23" i="5"/>
  <c r="E23" i="5" s="1"/>
  <c r="BF22" i="5"/>
  <c r="BD22" i="5"/>
  <c r="BB22" i="5"/>
  <c r="AX22" i="5"/>
  <c r="AV22" i="5"/>
  <c r="AT22" i="5"/>
  <c r="AR22" i="5"/>
  <c r="AP22" i="5"/>
  <c r="AN22" i="5"/>
  <c r="AL22" i="5"/>
  <c r="AJ22" i="5"/>
  <c r="AH22" i="5"/>
  <c r="AF22" i="5"/>
  <c r="AD22" i="5"/>
  <c r="AB22" i="5"/>
  <c r="Z22" i="5"/>
  <c r="X22" i="5"/>
  <c r="V22" i="5"/>
  <c r="T22" i="5"/>
  <c r="R22" i="5"/>
  <c r="P22" i="5"/>
  <c r="N22" i="5"/>
  <c r="L22" i="5"/>
  <c r="J22" i="5"/>
  <c r="H22" i="5"/>
  <c r="D22" i="5"/>
  <c r="F22" i="5" s="1"/>
  <c r="BF21" i="5"/>
  <c r="BD21" i="5"/>
  <c r="BB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X19" i="5"/>
  <c r="AV19" i="5"/>
  <c r="AT19" i="5"/>
  <c r="AR19" i="5"/>
  <c r="AP19" i="5"/>
  <c r="AN19" i="5"/>
  <c r="AL19" i="5"/>
  <c r="AJ19" i="5"/>
  <c r="AH19" i="5"/>
  <c r="AF19" i="5"/>
  <c r="AB19" i="5"/>
  <c r="Z19" i="5"/>
  <c r="X19" i="5"/>
  <c r="V19" i="5"/>
  <c r="T19" i="5"/>
  <c r="R19" i="5"/>
  <c r="P19" i="5"/>
  <c r="N19" i="5"/>
  <c r="L19" i="5"/>
  <c r="J19" i="5"/>
  <c r="H19" i="5"/>
  <c r="D19" i="5"/>
  <c r="E19" i="5" s="1"/>
  <c r="BF18" i="5"/>
  <c r="BD18" i="5"/>
  <c r="BB18" i="5"/>
  <c r="AX18" i="5"/>
  <c r="AV18" i="5"/>
  <c r="AT18" i="5"/>
  <c r="AR18" i="5"/>
  <c r="AP18" i="5"/>
  <c r="AN18" i="5"/>
  <c r="AL18" i="5"/>
  <c r="AJ18" i="5"/>
  <c r="AH18" i="5"/>
  <c r="AF18" i="5"/>
  <c r="AD18" i="5"/>
  <c r="AB18" i="5"/>
  <c r="Z18" i="5"/>
  <c r="X18" i="5"/>
  <c r="V18" i="5"/>
  <c r="T18" i="5"/>
  <c r="R18" i="5"/>
  <c r="P18" i="5"/>
  <c r="N18" i="5"/>
  <c r="L18" i="5"/>
  <c r="J18" i="5"/>
  <c r="H18" i="5"/>
  <c r="D18" i="5"/>
  <c r="F18" i="5" s="1"/>
  <c r="BF17" i="5"/>
  <c r="BD17" i="5"/>
  <c r="BB17" i="5"/>
  <c r="AZ17" i="5"/>
  <c r="AX17" i="5"/>
  <c r="AV17" i="5"/>
  <c r="AT17" i="5"/>
  <c r="AP17" i="5"/>
  <c r="AN17" i="5"/>
  <c r="AL17" i="5"/>
  <c r="AJ17" i="5"/>
  <c r="AH17" i="5"/>
  <c r="AF17" i="5"/>
  <c r="AD17" i="5"/>
  <c r="AB17" i="5"/>
  <c r="Z17" i="5"/>
  <c r="X17" i="5"/>
  <c r="V17" i="5"/>
  <c r="T17" i="5"/>
  <c r="R17" i="5"/>
  <c r="P17" i="5"/>
  <c r="N17" i="5"/>
  <c r="L17" i="5"/>
  <c r="J17" i="5"/>
  <c r="H17" i="5"/>
  <c r="D17" i="5"/>
  <c r="E17" i="5" s="1"/>
  <c r="BF16" i="5"/>
  <c r="BD16" i="5"/>
  <c r="BB16" i="5"/>
  <c r="AZ16" i="5"/>
  <c r="AX16" i="5"/>
  <c r="AV16" i="5"/>
  <c r="AT16" i="5"/>
  <c r="AP16" i="5"/>
  <c r="AN16" i="5"/>
  <c r="AL16" i="5"/>
  <c r="AJ16" i="5"/>
  <c r="AH16" i="5"/>
  <c r="AF16" i="5"/>
  <c r="AD16" i="5"/>
  <c r="AB16" i="5"/>
  <c r="Z16" i="5"/>
  <c r="X16" i="5"/>
  <c r="V16" i="5"/>
  <c r="T16" i="5"/>
  <c r="R16" i="5"/>
  <c r="P16" i="5"/>
  <c r="N16" i="5"/>
  <c r="L16" i="5"/>
  <c r="J16" i="5"/>
  <c r="H16" i="5"/>
  <c r="D16" i="5"/>
  <c r="F16" i="5" s="1"/>
  <c r="BF15" i="5"/>
  <c r="BD15" i="5"/>
  <c r="BB15" i="5"/>
  <c r="AZ15" i="5"/>
  <c r="AX15" i="5"/>
  <c r="AV15" i="5"/>
  <c r="AT15" i="5"/>
  <c r="AR15" i="5"/>
  <c r="AP15" i="5"/>
  <c r="AN15" i="5"/>
  <c r="AL15" i="5"/>
  <c r="AJ15" i="5"/>
  <c r="AH15" i="5"/>
  <c r="AF15" i="5"/>
  <c r="AD15" i="5"/>
  <c r="AB15" i="5"/>
  <c r="Z15" i="5"/>
  <c r="X15" i="5"/>
  <c r="V15" i="5"/>
  <c r="R15" i="5"/>
  <c r="P15" i="5"/>
  <c r="N15" i="5"/>
  <c r="L15" i="5"/>
  <c r="J15" i="5"/>
  <c r="H15" i="5"/>
  <c r="D15" i="5"/>
  <c r="E15" i="5" s="1"/>
  <c r="BF14" i="5"/>
  <c r="BD14" i="5"/>
  <c r="BB14" i="5"/>
  <c r="AZ14" i="5"/>
  <c r="AX14" i="5"/>
  <c r="AV14" i="5"/>
  <c r="AT14" i="5"/>
  <c r="AR14" i="5"/>
  <c r="AP14" i="5"/>
  <c r="AN14" i="5"/>
  <c r="AL14" i="5"/>
  <c r="AJ14" i="5"/>
  <c r="AH14" i="5"/>
  <c r="AF14" i="5"/>
  <c r="AD14" i="5"/>
  <c r="AB14" i="5"/>
  <c r="Z14" i="5"/>
  <c r="X14" i="5"/>
  <c r="V14" i="5"/>
  <c r="T14" i="5"/>
  <c r="R14" i="5"/>
  <c r="P14" i="5"/>
  <c r="N14" i="5"/>
  <c r="L14" i="5"/>
  <c r="J14" i="5"/>
  <c r="D14" i="5"/>
  <c r="F14" i="5" s="1"/>
  <c r="BF13" i="5"/>
  <c r="BD13" i="5"/>
  <c r="BB13" i="5"/>
  <c r="AZ13" i="5"/>
  <c r="AX13" i="5"/>
  <c r="AV13" i="5"/>
  <c r="AT13" i="5"/>
  <c r="AR13" i="5"/>
  <c r="AN13" i="5"/>
  <c r="AL13" i="5"/>
  <c r="AJ13" i="5"/>
  <c r="AH13" i="5"/>
  <c r="AF13" i="5"/>
  <c r="AD13" i="5"/>
  <c r="AB13" i="5"/>
  <c r="Z13" i="5"/>
  <c r="X13" i="5"/>
  <c r="V13" i="5"/>
  <c r="T13" i="5"/>
  <c r="R13" i="5"/>
  <c r="P13" i="5"/>
  <c r="N13" i="5"/>
  <c r="L13" i="5"/>
  <c r="J13" i="5"/>
  <c r="H13" i="5"/>
  <c r="D13" i="5"/>
  <c r="E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F12" i="5" s="1"/>
  <c r="BF11" i="5"/>
  <c r="BD11" i="5"/>
  <c r="BB11" i="5"/>
  <c r="AZ11" i="5"/>
  <c r="AX11" i="5"/>
  <c r="AV11" i="5"/>
  <c r="AT11" i="5"/>
  <c r="AR11" i="5"/>
  <c r="AP11" i="5"/>
  <c r="AN11" i="5"/>
  <c r="AL11" i="5"/>
  <c r="AJ11" i="5"/>
  <c r="AH11" i="5"/>
  <c r="AF11" i="5"/>
  <c r="AD11" i="5"/>
  <c r="AB11" i="5"/>
  <c r="Z11" i="5"/>
  <c r="X11" i="5"/>
  <c r="T11" i="5"/>
  <c r="R11" i="5"/>
  <c r="P11" i="5"/>
  <c r="N11" i="5"/>
  <c r="L11" i="5"/>
  <c r="J11" i="5"/>
  <c r="H11" i="5"/>
  <c r="E11" i="5"/>
  <c r="BF9" i="5"/>
  <c r="BD9" i="5"/>
  <c r="BB9" i="5"/>
  <c r="AZ9" i="5"/>
  <c r="AX9" i="5"/>
  <c r="AV9" i="5"/>
  <c r="AT9" i="5"/>
  <c r="AR9" i="5"/>
  <c r="AP9" i="5"/>
  <c r="AN9" i="5"/>
  <c r="AL9" i="5"/>
  <c r="AJ9" i="5"/>
  <c r="AH9" i="5"/>
  <c r="AF9" i="5"/>
  <c r="AD9" i="5"/>
  <c r="AB9" i="5"/>
  <c r="Z9" i="5"/>
  <c r="X9" i="5"/>
  <c r="T9" i="5"/>
  <c r="R9" i="5"/>
  <c r="P9" i="5"/>
  <c r="N9" i="5"/>
  <c r="L9" i="5"/>
  <c r="J9" i="5"/>
  <c r="H9" i="5"/>
  <c r="D9" i="5"/>
  <c r="F9" i="5" s="1"/>
  <c r="P37" i="4"/>
  <c r="L37" i="4"/>
  <c r="M37" i="4" s="1"/>
  <c r="J37" i="4"/>
  <c r="H37" i="4"/>
  <c r="F37" i="4"/>
  <c r="D37" i="4"/>
  <c r="P36" i="4"/>
  <c r="L36" i="4"/>
  <c r="N36" i="4" s="1"/>
  <c r="J36" i="4"/>
  <c r="H36" i="4"/>
  <c r="F36" i="4"/>
  <c r="D36" i="4"/>
  <c r="P34" i="4"/>
  <c r="L34" i="4"/>
  <c r="N34" i="4" s="1"/>
  <c r="J34" i="4"/>
  <c r="H34" i="4"/>
  <c r="F34" i="4"/>
  <c r="D34" i="4"/>
  <c r="P33" i="4"/>
  <c r="L33" i="4"/>
  <c r="N33" i="4" s="1"/>
  <c r="J33" i="4"/>
  <c r="H33" i="4"/>
  <c r="F33" i="4"/>
  <c r="D33" i="4"/>
  <c r="P32" i="4"/>
  <c r="L32" i="4"/>
  <c r="N32" i="4" s="1"/>
  <c r="S32" i="4" s="1"/>
  <c r="J32" i="4"/>
  <c r="H32" i="4"/>
  <c r="F32" i="4"/>
  <c r="D32" i="4"/>
  <c r="P31" i="4"/>
  <c r="L31" i="4"/>
  <c r="N31" i="4" s="1"/>
  <c r="J31" i="4"/>
  <c r="H31" i="4"/>
  <c r="F31" i="4"/>
  <c r="D31" i="4"/>
  <c r="P30" i="4"/>
  <c r="L30" i="4"/>
  <c r="M30" i="4" s="1"/>
  <c r="J30" i="4"/>
  <c r="H30" i="4"/>
  <c r="F30" i="4"/>
  <c r="D30" i="4"/>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X22" i="3"/>
  <c r="T22" i="3"/>
  <c r="P22" i="3"/>
  <c r="N22" i="3"/>
  <c r="L22" i="3"/>
  <c r="H22" i="3"/>
  <c r="F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B8" i="3"/>
  <c r="X8" i="3"/>
  <c r="T8" i="3"/>
  <c r="P8" i="3"/>
  <c r="N8" i="3"/>
  <c r="L8" i="3"/>
  <c r="H8" i="3"/>
  <c r="F8" i="3"/>
  <c r="D8" i="3"/>
  <c r="S36" i="4" l="1"/>
  <c r="S33" i="4"/>
  <c r="S31" i="4"/>
  <c r="S28" i="4"/>
  <c r="N26" i="4"/>
  <c r="S26" i="4" s="1"/>
  <c r="R36" i="4"/>
  <c r="H32" i="8" s="1"/>
  <c r="BI9" i="5"/>
  <c r="S12" i="4"/>
  <c r="S18" i="4"/>
  <c r="S7" i="4"/>
  <c r="S13" i="4"/>
  <c r="S23" i="4"/>
  <c r="M17" i="4"/>
  <c r="M18" i="4"/>
  <c r="N25" i="4"/>
  <c r="S25" i="4" s="1"/>
  <c r="N30" i="4"/>
  <c r="S30" i="4" s="1"/>
  <c r="R32" i="4"/>
  <c r="R34" i="4"/>
  <c r="R8" i="4"/>
  <c r="R16" i="4"/>
  <c r="R22" i="4"/>
  <c r="R37" i="4"/>
  <c r="H33" i="8" s="1"/>
  <c r="S34" i="4"/>
  <c r="M33" i="4"/>
  <c r="M34" i="4"/>
  <c r="R33" i="4"/>
  <c r="R30" i="4"/>
  <c r="R31" i="4"/>
  <c r="R29" i="4"/>
  <c r="S29" i="4"/>
  <c r="M29" i="4"/>
  <c r="R28" i="4"/>
  <c r="E30" i="5"/>
  <c r="BH30" i="5" s="1"/>
  <c r="K24" i="8" s="1"/>
  <c r="S27" i="4"/>
  <c r="R27" i="4"/>
  <c r="R26" i="4"/>
  <c r="R25" i="4"/>
  <c r="F27" i="5"/>
  <c r="BI27" i="5" s="1"/>
  <c r="S24" i="4"/>
  <c r="R23" i="4"/>
  <c r="R24" i="4"/>
  <c r="M22" i="4"/>
  <c r="S21" i="4"/>
  <c r="S22" i="4"/>
  <c r="M21" i="4"/>
  <c r="S20" i="4"/>
  <c r="S19" i="4"/>
  <c r="R21" i="4"/>
  <c r="R20" i="4"/>
  <c r="R19" i="4"/>
  <c r="R18" i="4"/>
  <c r="E22" i="5"/>
  <c r="BH22" i="5" s="1"/>
  <c r="K16" i="8" s="1"/>
  <c r="E21" i="5"/>
  <c r="BH21" i="5" s="1"/>
  <c r="K15" i="8" s="1"/>
  <c r="E26" i="5"/>
  <c r="BH26" i="5" s="1"/>
  <c r="K20" i="8" s="1"/>
  <c r="F35" i="5"/>
  <c r="BI35" i="5" s="1"/>
  <c r="BI22" i="5"/>
  <c r="BI36" i="5"/>
  <c r="E37" i="5"/>
  <c r="BH37" i="5" s="1"/>
  <c r="K31" i="8" s="1"/>
  <c r="BH23" i="5"/>
  <c r="K17" i="8" s="1"/>
  <c r="S17" i="4"/>
  <c r="R17" i="4"/>
  <c r="E9" i="5"/>
  <c r="BH9" i="5" s="1"/>
  <c r="F11" i="5"/>
  <c r="BI11" i="5" s="1"/>
  <c r="F15" i="5"/>
  <c r="BI15" i="5" s="1"/>
  <c r="F23" i="5"/>
  <c r="BI23" i="5" s="1"/>
  <c r="E34" i="5"/>
  <c r="BH34" i="5" s="1"/>
  <c r="K28" i="8" s="1"/>
  <c r="E38" i="5"/>
  <c r="BH38" i="5" s="1"/>
  <c r="K32" i="8" s="1"/>
  <c r="BI29" i="5"/>
  <c r="BI25" i="5"/>
  <c r="BH27" i="5"/>
  <c r="K21" i="8" s="1"/>
  <c r="BI28" i="5"/>
  <c r="BI30" i="5"/>
  <c r="F31" i="5"/>
  <c r="BI31" i="5" s="1"/>
  <c r="BH35" i="5"/>
  <c r="K29" i="8" s="1"/>
  <c r="BH31" i="5"/>
  <c r="K25" i="8" s="1"/>
  <c r="BH19" i="5"/>
  <c r="K13" i="8" s="1"/>
  <c r="S15" i="4"/>
  <c r="R15" i="4"/>
  <c r="E18" i="5"/>
  <c r="BH18" i="5" s="1"/>
  <c r="K12" i="8" s="1"/>
  <c r="F19" i="5"/>
  <c r="BI19" i="5" s="1"/>
  <c r="BI18" i="5"/>
  <c r="BI33" i="5"/>
  <c r="BI37" i="5"/>
  <c r="BI32" i="5"/>
  <c r="BI34" i="5"/>
  <c r="BI38" i="5"/>
  <c r="BI20" i="5"/>
  <c r="BI24" i="5"/>
  <c r="BI26" i="5"/>
  <c r="BI21" i="5"/>
  <c r="BH17" i="5"/>
  <c r="K11" i="8" s="1"/>
  <c r="N14" i="4"/>
  <c r="S14" i="4" s="1"/>
  <c r="M13" i="4"/>
  <c r="R14" i="4"/>
  <c r="BI16" i="5"/>
  <c r="R13" i="4"/>
  <c r="BH15" i="5"/>
  <c r="K9" i="8" s="1"/>
  <c r="S11" i="4"/>
  <c r="R12" i="4"/>
  <c r="R11" i="4"/>
  <c r="BI14" i="5"/>
  <c r="E14" i="5"/>
  <c r="BH14" i="5" s="1"/>
  <c r="K8" i="8" s="1"/>
  <c r="P38" i="4"/>
  <c r="S10" i="4"/>
  <c r="M10" i="4"/>
  <c r="J38" i="4"/>
  <c r="D38" i="4"/>
  <c r="BI12" i="5"/>
  <c r="BH11" i="5"/>
  <c r="K5" i="8" s="1"/>
  <c r="BH13" i="5"/>
  <c r="K7" i="8" s="1"/>
  <c r="N9" i="4"/>
  <c r="S9" i="4" s="1"/>
  <c r="F38" i="4"/>
  <c r="R10" i="4"/>
  <c r="R9" i="4"/>
  <c r="H38" i="4"/>
  <c r="E25" i="5"/>
  <c r="BH25" i="5" s="1"/>
  <c r="K19" i="8" s="1"/>
  <c r="E29" i="5"/>
  <c r="BH29" i="5" s="1"/>
  <c r="K23" i="8" s="1"/>
  <c r="E33" i="5"/>
  <c r="BH33" i="5" s="1"/>
  <c r="K27" i="8" s="1"/>
  <c r="E36" i="5"/>
  <c r="BH36" i="5" s="1"/>
  <c r="K30" i="8" s="1"/>
  <c r="E12" i="5"/>
  <c r="BH12" i="5" s="1"/>
  <c r="K6" i="8" s="1"/>
  <c r="F13" i="5"/>
  <c r="BI13" i="5" s="1"/>
  <c r="E16" i="5"/>
  <c r="BH16" i="5" s="1"/>
  <c r="K10" i="8" s="1"/>
  <c r="F17" i="5"/>
  <c r="BI17" i="5" s="1"/>
  <c r="E20" i="5"/>
  <c r="BH20" i="5" s="1"/>
  <c r="K14" i="8" s="1"/>
  <c r="E24" i="5"/>
  <c r="BH24" i="5" s="1"/>
  <c r="K18" i="8" s="1"/>
  <c r="E28" i="5"/>
  <c r="BH28" i="5" s="1"/>
  <c r="K22" i="8" s="1"/>
  <c r="E32" i="5"/>
  <c r="BH32" i="5" s="1"/>
  <c r="K26" i="8" s="1"/>
  <c r="E39" i="5"/>
  <c r="R7" i="4"/>
  <c r="M12" i="4"/>
  <c r="M20" i="4"/>
  <c r="M24" i="4"/>
  <c r="M28" i="4"/>
  <c r="M32" i="4"/>
  <c r="M7" i="4"/>
  <c r="N8" i="4"/>
  <c r="S8" i="4" s="1"/>
  <c r="M11" i="4"/>
  <c r="M15" i="4"/>
  <c r="N16" i="4"/>
  <c r="S16" i="4" s="1"/>
  <c r="M19" i="4"/>
  <c r="M23" i="4"/>
  <c r="M27" i="4"/>
  <c r="M31" i="4"/>
  <c r="M36" i="4"/>
  <c r="N37" i="4"/>
  <c r="S37" i="4" s="1"/>
  <c r="L38" i="4"/>
  <c r="AQ39" i="3" l="1"/>
  <c r="AP39" i="3"/>
  <c r="BH39" i="5"/>
  <c r="K33" i="8" s="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<sst xmlns="http://schemas.openxmlformats.org/spreadsheetml/2006/main" count="1415" uniqueCount="403">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</sst>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1" fontId="0" fillId="4" borderId="43" xfId="0" applyNumberFormat="1" applyFill="1" applyBorder="1" applyAlignment="1">
      <alignment horizont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2" sqref="G2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9" t="s">
        <v>3</v>
      </c>
      <c r="B1" s="179" t="s">
        <v>4</v>
      </c>
      <c r="C1" s="180" t="s">
        <v>5</v>
      </c>
      <c r="D1" s="179" t="s">
        <v>64</v>
      </c>
      <c r="E1" s="181" t="s">
        <v>394</v>
      </c>
      <c r="F1" s="182" t="s">
        <v>395</v>
      </c>
      <c r="G1" s="181" t="s">
        <v>401</v>
      </c>
      <c r="H1" s="182" t="s">
        <v>396</v>
      </c>
      <c r="I1" s="181" t="s">
        <v>397</v>
      </c>
      <c r="J1" s="183" t="s">
        <v>398</v>
      </c>
      <c r="K1" s="181" t="s">
        <v>399</v>
      </c>
      <c r="L1" s="181" t="s">
        <v>63</v>
      </c>
    </row>
    <row r="2" spans="1:12">
      <c r="A2" s="184" t="s">
        <v>400</v>
      </c>
      <c r="B2" s="185">
        <v>1</v>
      </c>
      <c r="C2" s="186">
        <v>5</v>
      </c>
      <c r="D2" s="185">
        <v>2022</v>
      </c>
      <c r="E2" s="117">
        <f>Combine!G3</f>
        <v>64920</v>
      </c>
      <c r="F2" s="187">
        <v>1.5793476475230483</v>
      </c>
      <c r="G2" s="117">
        <f>Combine!M3</f>
        <v>7608.3916083916083</v>
      </c>
      <c r="H2" s="188">
        <v>9.6761297779406359</v>
      </c>
      <c r="I2" s="117">
        <f>Combine!J3</f>
        <v>1130.05</v>
      </c>
      <c r="J2" s="187">
        <v>8.3200032401907933</v>
      </c>
      <c r="K2" s="117">
        <f>Combine!N3</f>
        <v>443</v>
      </c>
      <c r="L2" s="117">
        <f>Combine!O3</f>
        <v>979</v>
      </c>
    </row>
    <row r="3" spans="1:12">
      <c r="A3" s="184" t="s">
        <v>400</v>
      </c>
      <c r="B3" s="185">
        <v>2</v>
      </c>
      <c r="C3" s="186">
        <v>5</v>
      </c>
      <c r="D3" s="185">
        <v>2022</v>
      </c>
      <c r="E3" s="117">
        <f>Combine!G4</f>
        <v>57870</v>
      </c>
      <c r="F3" s="187">
        <v>1.5793476475230483</v>
      </c>
      <c r="G3" s="117">
        <f>Combine!M4</f>
        <v>3161.4607614607617</v>
      </c>
      <c r="H3" s="188">
        <v>9.6761297779406359</v>
      </c>
      <c r="I3" s="117">
        <f>Combine!J4</f>
        <v>529.95000000000005</v>
      </c>
      <c r="J3" s="187">
        <v>8.3200032401907933</v>
      </c>
      <c r="K3" s="117">
        <f>Combine!N4</f>
        <v>360</v>
      </c>
      <c r="L3" s="117">
        <f>Combine!O4</f>
        <v>775</v>
      </c>
    </row>
    <row r="4" spans="1:12">
      <c r="A4" s="184" t="s">
        <v>400</v>
      </c>
      <c r="B4" s="185">
        <v>3</v>
      </c>
      <c r="C4" s="186">
        <v>5</v>
      </c>
      <c r="D4" s="185">
        <v>2022</v>
      </c>
      <c r="E4" s="117">
        <f>Combine!G5</f>
        <v>61250</v>
      </c>
      <c r="F4" s="187">
        <v>1.5793476475230483</v>
      </c>
      <c r="G4" s="117">
        <f>Combine!M5</f>
        <v>9343.9005439005432</v>
      </c>
      <c r="H4" s="188">
        <v>9.6761297779406359</v>
      </c>
      <c r="I4" s="117">
        <f>Combine!J5</f>
        <v>522.1</v>
      </c>
      <c r="J4" s="187">
        <v>8.3200032401907933</v>
      </c>
      <c r="K4" s="117">
        <f>Combine!N5</f>
        <v>345</v>
      </c>
      <c r="L4" s="117">
        <f>Combine!O5</f>
        <v>741</v>
      </c>
    </row>
    <row r="5" spans="1:12">
      <c r="A5" s="184" t="s">
        <v>400</v>
      </c>
      <c r="B5" s="185">
        <v>4</v>
      </c>
      <c r="C5" s="186">
        <v>5</v>
      </c>
      <c r="D5" s="185">
        <v>2022</v>
      </c>
      <c r="E5" s="117">
        <f>Combine!G6</f>
        <v>67510</v>
      </c>
      <c r="F5" s="187">
        <v>1.5793476475230483</v>
      </c>
      <c r="G5" s="117">
        <f>Combine!M6</f>
        <v>3846.4646464646466</v>
      </c>
      <c r="H5" s="188">
        <v>9.6761297779406359</v>
      </c>
      <c r="I5" s="117">
        <f>Combine!J6</f>
        <v>426.93512500000071</v>
      </c>
      <c r="J5" s="187">
        <v>8.3200032401907933</v>
      </c>
      <c r="K5" s="117">
        <f>Combine!N6</f>
        <v>336</v>
      </c>
      <c r="L5" s="117">
        <f>Combine!O6</f>
        <v>729</v>
      </c>
    </row>
    <row r="6" spans="1:12">
      <c r="A6" s="184" t="s">
        <v>400</v>
      </c>
      <c r="B6" s="185">
        <v>5</v>
      </c>
      <c r="C6" s="186">
        <v>5</v>
      </c>
      <c r="D6" s="185">
        <v>2022</v>
      </c>
      <c r="E6" s="117">
        <f>Combine!G7</f>
        <v>65570</v>
      </c>
      <c r="F6" s="187">
        <v>1.5793476475230483</v>
      </c>
      <c r="G6" s="117">
        <f>Combine!M7</f>
        <v>4622.2222222222226</v>
      </c>
      <c r="H6" s="188">
        <v>9.6761297779406359</v>
      </c>
      <c r="I6" s="117">
        <f>Combine!J7</f>
        <v>617.49823437500049</v>
      </c>
      <c r="J6" s="187">
        <v>8.3200032401907933</v>
      </c>
      <c r="K6" s="117">
        <f>Combine!N7</f>
        <v>353</v>
      </c>
      <c r="L6" s="117">
        <f>Combine!O7</f>
        <v>760</v>
      </c>
    </row>
    <row r="7" spans="1:12">
      <c r="A7" s="184" t="s">
        <v>400</v>
      </c>
      <c r="B7" s="185">
        <v>6</v>
      </c>
      <c r="C7" s="186">
        <v>5</v>
      </c>
      <c r="D7" s="185">
        <v>2022</v>
      </c>
      <c r="E7" s="117">
        <f>Combine!G8</f>
        <v>66980</v>
      </c>
      <c r="F7" s="187">
        <v>1.5793476475230483</v>
      </c>
      <c r="G7" s="117">
        <f>Combine!M8</f>
        <v>4618.4926184926189</v>
      </c>
      <c r="H7" s="188">
        <v>9.6761297779406359</v>
      </c>
      <c r="I7" s="117">
        <f>Combine!J8</f>
        <v>534.5803300781248</v>
      </c>
      <c r="J7" s="187">
        <v>8.3200032401907933</v>
      </c>
      <c r="K7" s="117">
        <f>Combine!N8</f>
        <v>371</v>
      </c>
      <c r="L7" s="117">
        <f>Combine!O8</f>
        <v>806</v>
      </c>
    </row>
    <row r="8" spans="1:12">
      <c r="A8" s="184" t="s">
        <v>400</v>
      </c>
      <c r="B8" s="185">
        <v>7</v>
      </c>
      <c r="C8" s="186">
        <v>5</v>
      </c>
      <c r="D8" s="185">
        <v>2022</v>
      </c>
      <c r="E8" s="117">
        <f>Combine!G9</f>
        <v>77000</v>
      </c>
      <c r="F8" s="187">
        <v>1.5793476475230483</v>
      </c>
      <c r="G8" s="117">
        <f>Combine!M9</f>
        <v>4974.6697746697746</v>
      </c>
      <c r="H8" s="188">
        <v>9.6761297779406359</v>
      </c>
      <c r="I8" s="117">
        <f>Combine!J9</f>
        <v>624.94378881835837</v>
      </c>
      <c r="J8" s="187">
        <v>8.3200032401907933</v>
      </c>
      <c r="K8" s="117">
        <f>Combine!N9</f>
        <v>471</v>
      </c>
      <c r="L8" s="117">
        <f>Combine!O9</f>
        <v>1055</v>
      </c>
    </row>
    <row r="9" spans="1:12">
      <c r="A9" s="184" t="s">
        <v>400</v>
      </c>
      <c r="B9" s="185">
        <v>8</v>
      </c>
      <c r="C9" s="186">
        <v>5</v>
      </c>
      <c r="D9" s="185">
        <v>2022</v>
      </c>
      <c r="E9" s="117">
        <f>Combine!G10</f>
        <v>68950</v>
      </c>
      <c r="F9" s="187">
        <v>1.5793476475230483</v>
      </c>
      <c r="G9" s="117">
        <f>Combine!M10</f>
        <v>5160.3957523957642</v>
      </c>
      <c r="H9" s="188">
        <v>9.6761297779406359</v>
      </c>
      <c r="I9" s="117">
        <f>Combine!J10</f>
        <v>697.56145271606397</v>
      </c>
      <c r="J9" s="187">
        <v>8.3200032401907933</v>
      </c>
      <c r="K9" s="117">
        <f>Combine!N10</f>
        <v>452</v>
      </c>
      <c r="L9" s="117">
        <f>Combine!O10</f>
        <v>1026</v>
      </c>
    </row>
    <row r="10" spans="1:12">
      <c r="A10" s="184" t="s">
        <v>400</v>
      </c>
      <c r="B10" s="185">
        <v>9</v>
      </c>
      <c r="C10" s="186">
        <v>5</v>
      </c>
      <c r="D10" s="185">
        <v>2022</v>
      </c>
      <c r="E10" s="117">
        <f>Combine!G11</f>
        <v>68940</v>
      </c>
      <c r="F10" s="187">
        <v>1.5793476475230483</v>
      </c>
      <c r="G10" s="117">
        <f>Combine!M11</f>
        <v>4657.7348528015154</v>
      </c>
      <c r="H10" s="188">
        <v>9.6761297779406359</v>
      </c>
      <c r="I10" s="117">
        <f>Combine!J11</f>
        <v>572.03288362655621</v>
      </c>
      <c r="J10" s="187">
        <v>8.3200032401907933</v>
      </c>
      <c r="K10" s="117">
        <f>Combine!N11</f>
        <v>375</v>
      </c>
      <c r="L10" s="117">
        <f>Combine!O11</f>
        <v>809</v>
      </c>
    </row>
    <row r="11" spans="1:12">
      <c r="A11" s="184" t="s">
        <v>400</v>
      </c>
      <c r="B11" s="185">
        <v>10</v>
      </c>
      <c r="C11" s="186">
        <v>5</v>
      </c>
      <c r="D11" s="185">
        <v>2022</v>
      </c>
      <c r="E11" s="117">
        <f>Combine!G12</f>
        <v>74660</v>
      </c>
      <c r="F11" s="187">
        <v>1.5793476475230483</v>
      </c>
      <c r="G11" s="117">
        <f>Combine!M12</f>
        <v>4716.6746784080033</v>
      </c>
      <c r="H11" s="188">
        <v>9.6761297779406359</v>
      </c>
      <c r="I11" s="117">
        <f>Combine!J12</f>
        <v>295.62477317323646</v>
      </c>
      <c r="J11" s="187">
        <v>8.3200032401907933</v>
      </c>
      <c r="K11" s="117">
        <f>Combine!N12</f>
        <v>362</v>
      </c>
      <c r="L11" s="117">
        <f>Combine!O12</f>
        <v>790</v>
      </c>
    </row>
    <row r="12" spans="1:12">
      <c r="A12" s="184" t="s">
        <v>400</v>
      </c>
      <c r="B12" s="185">
        <v>11</v>
      </c>
      <c r="C12" s="186">
        <v>5</v>
      </c>
      <c r="D12" s="185">
        <v>2022</v>
      </c>
      <c r="E12" s="117">
        <f>Combine!G13</f>
        <v>75920</v>
      </c>
      <c r="F12" s="187">
        <v>1.5793476475230483</v>
      </c>
      <c r="G12" s="117">
        <f>Combine!M13</f>
        <v>4811.472261072262</v>
      </c>
      <c r="H12" s="188">
        <v>9.6761297779406359</v>
      </c>
      <c r="I12" s="117">
        <f>Combine!J13</f>
        <v>297.70441221265901</v>
      </c>
      <c r="J12" s="187">
        <v>8.3200032401907933</v>
      </c>
      <c r="K12" s="117">
        <f>Combine!N13</f>
        <v>344</v>
      </c>
      <c r="L12" s="117">
        <f>Combine!O13</f>
        <v>746</v>
      </c>
    </row>
    <row r="13" spans="1:12">
      <c r="A13" s="184" t="s">
        <v>400</v>
      </c>
      <c r="B13" s="185">
        <v>12</v>
      </c>
      <c r="C13" s="186">
        <v>5</v>
      </c>
      <c r="D13" s="185">
        <v>2022</v>
      </c>
      <c r="E13" s="117">
        <f>Combine!G14</f>
        <v>77740</v>
      </c>
      <c r="F13" s="187">
        <v>1.5793476475230483</v>
      </c>
      <c r="G13" s="117">
        <f>Combine!M14</f>
        <v>4617.372494172494</v>
      </c>
      <c r="H13" s="188">
        <v>9.6761297779406359</v>
      </c>
      <c r="I13" s="117">
        <f>Combine!J14</f>
        <v>528.0399999999994</v>
      </c>
      <c r="J13" s="187">
        <v>8.3200032401907933</v>
      </c>
      <c r="K13" s="117">
        <f>Combine!N14</f>
        <v>353</v>
      </c>
      <c r="L13" s="117">
        <f>Combine!O14</f>
        <v>770</v>
      </c>
    </row>
    <row r="14" spans="1:12">
      <c r="A14" s="184" t="s">
        <v>400</v>
      </c>
      <c r="B14" s="185">
        <v>13</v>
      </c>
      <c r="C14" s="186">
        <v>5</v>
      </c>
      <c r="D14" s="185">
        <v>2022</v>
      </c>
      <c r="E14" s="117">
        <f>Combine!G15</f>
        <v>78830</v>
      </c>
      <c r="F14" s="187">
        <v>1.5793476475230483</v>
      </c>
      <c r="G14" s="117">
        <f>Combine!M15</f>
        <v>4653.7336441336438</v>
      </c>
      <c r="H14" s="188">
        <v>9.6761297779406359</v>
      </c>
      <c r="I14" s="117">
        <f>Combine!J15</f>
        <v>539.15500000000031</v>
      </c>
      <c r="J14" s="187">
        <v>8.3200032401907933</v>
      </c>
      <c r="K14" s="117">
        <f>Combine!N15</f>
        <v>356</v>
      </c>
      <c r="L14" s="117">
        <f>Combine!O15</f>
        <v>787</v>
      </c>
    </row>
    <row r="15" spans="1:12">
      <c r="A15" s="184" t="s">
        <v>400</v>
      </c>
      <c r="B15" s="185">
        <v>14</v>
      </c>
      <c r="C15" s="186">
        <v>5</v>
      </c>
      <c r="D15" s="185">
        <v>2022</v>
      </c>
      <c r="E15" s="117">
        <f>Combine!G16</f>
        <v>70712.260000000242</v>
      </c>
      <c r="F15" s="187">
        <v>1.5793476475230483</v>
      </c>
      <c r="G15" s="117">
        <f>Combine!M16</f>
        <v>5105.6534576534568</v>
      </c>
      <c r="H15" s="188">
        <v>9.6761297779406359</v>
      </c>
      <c r="I15" s="117">
        <f>Combine!J16</f>
        <v>579.48800000000051</v>
      </c>
      <c r="J15" s="187">
        <v>8.3200032401907933</v>
      </c>
      <c r="K15" s="117">
        <f>Combine!N16</f>
        <v>426</v>
      </c>
      <c r="L15" s="117">
        <f>Combine!O16</f>
        <v>961</v>
      </c>
    </row>
    <row r="16" spans="1:12">
      <c r="A16" s="184" t="s">
        <v>400</v>
      </c>
      <c r="B16" s="185">
        <v>15</v>
      </c>
      <c r="C16" s="186">
        <v>5</v>
      </c>
      <c r="D16" s="185">
        <v>2022</v>
      </c>
      <c r="E16" s="117">
        <f>Combine!G17</f>
        <v>67487.739999999758</v>
      </c>
      <c r="F16" s="187">
        <v>1.5793476475230483</v>
      </c>
      <c r="G16" s="117">
        <f>Combine!M17</f>
        <v>5133.1331779331776</v>
      </c>
      <c r="H16" s="188">
        <v>9.6761297779406359</v>
      </c>
      <c r="I16" s="117">
        <f>Combine!J17</f>
        <v>665.48509999999987</v>
      </c>
      <c r="J16" s="187">
        <v>8.3200032401907933</v>
      </c>
      <c r="K16" s="117">
        <f>Combine!N17</f>
        <v>398</v>
      </c>
      <c r="L16" s="117">
        <f>Combine!O17</f>
        <v>873</v>
      </c>
    </row>
    <row r="17" spans="1:12">
      <c r="A17" s="184" t="s">
        <v>400</v>
      </c>
      <c r="B17" s="185">
        <v>16</v>
      </c>
      <c r="C17" s="186">
        <v>5</v>
      </c>
      <c r="D17" s="185">
        <v>2022</v>
      </c>
      <c r="E17" s="117">
        <f>Combine!G18</f>
        <v>60790</v>
      </c>
      <c r="F17" s="187">
        <v>1.5793476475230483</v>
      </c>
      <c r="G17" s="117">
        <f>Combine!M18</f>
        <v>4989.4738150738158</v>
      </c>
      <c r="H17" s="188">
        <v>9.6761297779406359</v>
      </c>
      <c r="I17" s="117">
        <f>Combine!J18</f>
        <v>599.28289999999981</v>
      </c>
      <c r="J17" s="187">
        <v>8.3200032401907933</v>
      </c>
      <c r="K17" s="117">
        <f>Combine!N18</f>
        <v>362</v>
      </c>
      <c r="L17" s="117">
        <f>Combine!O18</f>
        <v>802</v>
      </c>
    </row>
    <row r="18" spans="1:12">
      <c r="A18" s="184" t="s">
        <v>400</v>
      </c>
      <c r="B18" s="185">
        <v>17</v>
      </c>
      <c r="C18" s="186">
        <v>5</v>
      </c>
      <c r="D18" s="185">
        <v>2022</v>
      </c>
      <c r="E18" s="117">
        <f>Combine!G19</f>
        <v>63220</v>
      </c>
      <c r="F18" s="187">
        <v>1.5793476475230483</v>
      </c>
      <c r="G18" s="117">
        <f>Combine!M19</f>
        <v>4837.1232323232316</v>
      </c>
      <c r="H18" s="188">
        <v>9.6761297779406359</v>
      </c>
      <c r="I18" s="117">
        <f>Combine!J19</f>
        <v>554.01800000000003</v>
      </c>
      <c r="J18" s="187">
        <v>8.3200032401907933</v>
      </c>
      <c r="K18" s="117">
        <f>Combine!N19</f>
        <v>352</v>
      </c>
      <c r="L18" s="117">
        <f>Combine!O19</f>
        <v>774</v>
      </c>
    </row>
    <row r="19" spans="1:12">
      <c r="A19" s="184" t="s">
        <v>400</v>
      </c>
      <c r="B19" s="185">
        <v>18</v>
      </c>
      <c r="C19" s="186">
        <v>5</v>
      </c>
      <c r="D19" s="185">
        <v>2022</v>
      </c>
      <c r="E19" s="117">
        <f>Combine!G20</f>
        <v>63800</v>
      </c>
      <c r="F19" s="187">
        <v>1.5793476475230483</v>
      </c>
      <c r="G19" s="117">
        <f>Combine!M20</f>
        <v>4159.6991452991442</v>
      </c>
      <c r="H19" s="188">
        <v>9.6761297779406359</v>
      </c>
      <c r="I19" s="117">
        <f>Combine!J20</f>
        <v>599.85</v>
      </c>
      <c r="J19" s="187">
        <v>8.3200032401907933</v>
      </c>
      <c r="K19" s="117">
        <f>Combine!N20</f>
        <v>373</v>
      </c>
      <c r="L19" s="117">
        <f>Combine!O20</f>
        <v>821</v>
      </c>
    </row>
    <row r="20" spans="1:12">
      <c r="A20" s="184" t="s">
        <v>400</v>
      </c>
      <c r="B20" s="185">
        <v>19</v>
      </c>
      <c r="C20" s="186">
        <v>5</v>
      </c>
      <c r="D20" s="185">
        <v>2022</v>
      </c>
      <c r="E20" s="117">
        <f>Combine!G21</f>
        <v>69290</v>
      </c>
      <c r="F20" s="187">
        <v>1.5793476475230483</v>
      </c>
      <c r="G20" s="117">
        <f>Combine!M21</f>
        <v>4643.9048951048962</v>
      </c>
      <c r="H20" s="188">
        <v>9.6761297779406359</v>
      </c>
      <c r="I20" s="117">
        <f>Combine!J21</f>
        <v>585.20000000000005</v>
      </c>
      <c r="J20" s="187">
        <v>8.3200032401907933</v>
      </c>
      <c r="K20" s="117">
        <f>Combine!N21</f>
        <v>397</v>
      </c>
      <c r="L20" s="117">
        <f>Combine!O21</f>
        <v>876</v>
      </c>
    </row>
    <row r="21" spans="1:12">
      <c r="A21" s="184" t="s">
        <v>400</v>
      </c>
      <c r="B21" s="185">
        <v>20</v>
      </c>
      <c r="C21" s="186">
        <v>5</v>
      </c>
      <c r="D21" s="185">
        <v>2022</v>
      </c>
      <c r="E21" s="117">
        <f>Combine!G22</f>
        <v>74410</v>
      </c>
      <c r="F21" s="187">
        <v>1.5793476475230483</v>
      </c>
      <c r="G21" s="117">
        <f>Combine!M22</f>
        <v>4762.8034188034189</v>
      </c>
      <c r="H21" s="188">
        <v>9.6761297779406359</v>
      </c>
      <c r="I21" s="117">
        <f>Combine!J22</f>
        <v>633.04999999999995</v>
      </c>
      <c r="J21" s="187">
        <v>8.3200032401907933</v>
      </c>
      <c r="K21" s="117">
        <f>Combine!N22</f>
        <v>441</v>
      </c>
      <c r="L21" s="117">
        <f>Combine!O22</f>
        <v>976</v>
      </c>
    </row>
    <row r="22" spans="1:12">
      <c r="A22" s="184" t="s">
        <v>400</v>
      </c>
      <c r="B22" s="185">
        <v>21</v>
      </c>
      <c r="C22" s="186">
        <v>5</v>
      </c>
      <c r="D22" s="185">
        <v>2022</v>
      </c>
      <c r="E22" s="117">
        <f>Combine!G23</f>
        <v>79440</v>
      </c>
      <c r="F22" s="187">
        <v>1.5793476475230483</v>
      </c>
      <c r="G22" s="117">
        <f>Combine!M23</f>
        <v>5155.8787878787871</v>
      </c>
      <c r="H22" s="188">
        <v>9.6761297779406359</v>
      </c>
      <c r="I22" s="117">
        <f>Combine!J23</f>
        <v>732.15</v>
      </c>
      <c r="J22" s="187">
        <v>8.3200032401907933</v>
      </c>
      <c r="K22" s="117">
        <f>Combine!N23</f>
        <v>485</v>
      </c>
      <c r="L22" s="117">
        <f>Combine!O23</f>
        <v>1085</v>
      </c>
    </row>
    <row r="23" spans="1:12">
      <c r="A23" s="184" t="s">
        <v>400</v>
      </c>
      <c r="B23" s="185">
        <v>22</v>
      </c>
      <c r="C23" s="186">
        <v>5</v>
      </c>
      <c r="D23" s="185">
        <v>2022</v>
      </c>
      <c r="E23" s="117">
        <f>Combine!G24</f>
        <v>73480</v>
      </c>
      <c r="F23" s="187">
        <v>1.5793476475230483</v>
      </c>
      <c r="G23" s="117">
        <f>Combine!M24</f>
        <v>5011.0955710955714</v>
      </c>
      <c r="H23" s="188">
        <v>9.6761297779406359</v>
      </c>
      <c r="I23" s="117">
        <f>Combine!J24</f>
        <v>800.05</v>
      </c>
      <c r="J23" s="187">
        <v>8.3200032401907933</v>
      </c>
      <c r="K23" s="117">
        <f>Combine!N24</f>
        <v>440</v>
      </c>
      <c r="L23" s="117">
        <f>Combine!O24</f>
        <v>956</v>
      </c>
    </row>
    <row r="24" spans="1:12">
      <c r="A24" s="184" t="s">
        <v>400</v>
      </c>
      <c r="B24" s="185">
        <v>23</v>
      </c>
      <c r="C24" s="186">
        <v>5</v>
      </c>
      <c r="D24" s="185">
        <v>2022</v>
      </c>
      <c r="E24" s="117">
        <f>Combine!G25</f>
        <v>72080</v>
      </c>
      <c r="F24" s="187">
        <v>1.5793476475230483</v>
      </c>
      <c r="G24" s="117">
        <f>Combine!M25</f>
        <v>4901.5819735819741</v>
      </c>
      <c r="H24" s="188">
        <v>9.6761297779406359</v>
      </c>
      <c r="I24" s="117">
        <f>Combine!J25</f>
        <v>677</v>
      </c>
      <c r="J24" s="187">
        <v>8.3200032401907933</v>
      </c>
      <c r="K24" s="117">
        <f>Combine!N25</f>
        <v>394</v>
      </c>
      <c r="L24" s="117">
        <f>Combine!O25</f>
        <v>863</v>
      </c>
    </row>
    <row r="25" spans="1:12">
      <c r="A25" s="184" t="s">
        <v>400</v>
      </c>
      <c r="B25" s="185">
        <v>24</v>
      </c>
      <c r="C25" s="186">
        <v>5</v>
      </c>
      <c r="D25" s="185">
        <v>2022</v>
      </c>
      <c r="E25" s="117">
        <f>Combine!G26</f>
        <v>75530</v>
      </c>
      <c r="F25" s="187">
        <v>1.5793476475230483</v>
      </c>
      <c r="G25" s="117">
        <f>Combine!M26</f>
        <v>4863.4654234654245</v>
      </c>
      <c r="H25" s="188">
        <v>9.6761297779406359</v>
      </c>
      <c r="I25" s="117">
        <f>Combine!J26</f>
        <v>604.9</v>
      </c>
      <c r="J25" s="187">
        <v>8.3200032401907933</v>
      </c>
      <c r="K25" s="117">
        <f>Combine!N26</f>
        <v>388</v>
      </c>
      <c r="L25" s="117">
        <f>Combine!O26</f>
        <v>849</v>
      </c>
    </row>
    <row r="26" spans="1:12">
      <c r="A26" s="184" t="s">
        <v>400</v>
      </c>
      <c r="B26" s="185">
        <v>25</v>
      </c>
      <c r="C26" s="186">
        <v>5</v>
      </c>
      <c r="D26" s="185">
        <v>2022</v>
      </c>
      <c r="E26" s="117">
        <f>Combine!G27</f>
        <v>74740</v>
      </c>
      <c r="F26" s="187">
        <v>1.5793476475230483</v>
      </c>
      <c r="G26" s="117">
        <f>Combine!M27</f>
        <v>4691.8414918414919</v>
      </c>
      <c r="H26" s="188">
        <v>9.6761297779406359</v>
      </c>
      <c r="I26" s="117">
        <f>Combine!J27</f>
        <v>594.25</v>
      </c>
      <c r="J26" s="187">
        <v>8.3200032401907933</v>
      </c>
      <c r="K26" s="117">
        <f>Combine!N27</f>
        <v>381</v>
      </c>
      <c r="L26" s="117">
        <f>Combine!O27</f>
        <v>833</v>
      </c>
    </row>
    <row r="27" spans="1:12">
      <c r="A27" s="184" t="s">
        <v>400</v>
      </c>
      <c r="B27" s="185">
        <v>26</v>
      </c>
      <c r="C27" s="186">
        <v>5</v>
      </c>
      <c r="D27" s="185">
        <v>2022</v>
      </c>
      <c r="E27" s="117">
        <f>Combine!G28</f>
        <v>80000</v>
      </c>
      <c r="F27" s="187">
        <v>1.5793476475230483</v>
      </c>
      <c r="G27" s="117">
        <f>Combine!M28</f>
        <v>4869.6192696192693</v>
      </c>
      <c r="H27" s="188">
        <v>9.6761297779406359</v>
      </c>
      <c r="I27" s="117">
        <f>Combine!J28</f>
        <v>588.54999999999995</v>
      </c>
      <c r="J27" s="187">
        <v>8.3200032401907933</v>
      </c>
      <c r="K27" s="117">
        <f>Combine!N28</f>
        <v>414</v>
      </c>
      <c r="L27" s="117">
        <f>Combine!O28</f>
        <v>898</v>
      </c>
    </row>
    <row r="28" spans="1:12">
      <c r="A28" s="184" t="s">
        <v>400</v>
      </c>
      <c r="B28" s="185">
        <v>27</v>
      </c>
      <c r="C28" s="186">
        <v>5</v>
      </c>
      <c r="D28" s="185">
        <v>2022</v>
      </c>
      <c r="E28" s="117">
        <f>Combine!G29</f>
        <v>83470</v>
      </c>
      <c r="F28" s="187">
        <v>1.5793476475230483</v>
      </c>
      <c r="G28" s="117">
        <f>Combine!M29</f>
        <v>4887.0240870240868</v>
      </c>
      <c r="H28" s="188">
        <v>9.6761297779406359</v>
      </c>
      <c r="I28" s="117">
        <f>Combine!J29</f>
        <v>631.45000000000005</v>
      </c>
      <c r="J28" s="187">
        <v>8.3200032401907933</v>
      </c>
      <c r="K28" s="117">
        <f>Combine!N29</f>
        <v>430</v>
      </c>
      <c r="L28" s="117">
        <f>Combine!O29</f>
        <v>946</v>
      </c>
    </row>
    <row r="29" spans="1:12">
      <c r="A29" s="184" t="s">
        <v>400</v>
      </c>
      <c r="B29" s="185">
        <v>28</v>
      </c>
      <c r="C29" s="186">
        <v>5</v>
      </c>
      <c r="D29" s="185">
        <v>2022</v>
      </c>
      <c r="E29" s="117">
        <f>Combine!G30</f>
        <v>88180</v>
      </c>
      <c r="F29" s="187">
        <v>1.5793476475230483</v>
      </c>
      <c r="G29" s="117">
        <f>Combine!M30</f>
        <v>5230.1476301476305</v>
      </c>
      <c r="H29" s="188">
        <v>9.6761297779406359</v>
      </c>
      <c r="I29" s="117">
        <f>Combine!J30</f>
        <v>638</v>
      </c>
      <c r="J29" s="187">
        <v>8.3200032401907933</v>
      </c>
      <c r="K29" s="117">
        <f>Combine!N30</f>
        <v>507</v>
      </c>
      <c r="L29" s="117">
        <f>Combine!O30</f>
        <v>1145</v>
      </c>
    </row>
    <row r="30" spans="1:12">
      <c r="A30" s="184" t="s">
        <v>400</v>
      </c>
      <c r="B30" s="185">
        <v>29</v>
      </c>
      <c r="C30" s="186">
        <v>5</v>
      </c>
      <c r="D30" s="185">
        <v>2022</v>
      </c>
      <c r="E30" s="117">
        <f>Combine!G31</f>
        <v>84410</v>
      </c>
      <c r="F30" s="187">
        <v>1.5793476475230483</v>
      </c>
      <c r="G30" s="117">
        <f>Combine!M31</f>
        <v>4869.6192696192693</v>
      </c>
      <c r="H30" s="188">
        <v>9.6761297779406359</v>
      </c>
      <c r="I30" s="117">
        <f>Combine!J31</f>
        <v>741.7</v>
      </c>
      <c r="J30" s="187">
        <v>8.3200032401907933</v>
      </c>
      <c r="K30" s="117">
        <f>Combine!N31</f>
        <v>455</v>
      </c>
      <c r="L30" s="117">
        <f>Combine!O31</f>
        <v>1005</v>
      </c>
    </row>
    <row r="31" spans="1:12">
      <c r="A31" s="184" t="s">
        <v>400</v>
      </c>
      <c r="B31" s="185">
        <v>30</v>
      </c>
      <c r="C31" s="186">
        <v>5</v>
      </c>
      <c r="D31" s="185">
        <v>2022</v>
      </c>
      <c r="E31" s="117">
        <f>Combine!G32</f>
        <v>87530</v>
      </c>
      <c r="F31" s="187">
        <v>1.5793476475230483</v>
      </c>
      <c r="G31" s="117">
        <f>Combine!M32</f>
        <v>4745.2991452991455</v>
      </c>
      <c r="H31" s="188">
        <v>9.6761297779406359</v>
      </c>
      <c r="I31" s="117">
        <f>Combine!J32</f>
        <v>1406.6</v>
      </c>
      <c r="J31" s="187">
        <v>8.3200032401907933</v>
      </c>
      <c r="K31" s="117">
        <f>Combine!N32</f>
        <v>447</v>
      </c>
      <c r="L31" s="117">
        <f>Combine!O32</f>
        <v>969</v>
      </c>
    </row>
    <row r="32" spans="1:12">
      <c r="A32" s="184" t="s">
        <v>400</v>
      </c>
      <c r="B32" s="185">
        <v>31</v>
      </c>
      <c r="C32" s="186">
        <v>5</v>
      </c>
      <c r="D32" s="185">
        <v>2022</v>
      </c>
      <c r="E32" s="117">
        <f>Combine!G33</f>
        <v>83850</v>
      </c>
      <c r="F32" s="187">
        <v>1.5793476475230483</v>
      </c>
      <c r="G32" s="117">
        <f>Combine!M33</f>
        <v>4696.8142968142965</v>
      </c>
      <c r="H32" s="188">
        <v>9.6761297779406359</v>
      </c>
      <c r="I32" s="117">
        <f>Combine!J33</f>
        <v>644.6</v>
      </c>
      <c r="J32" s="187">
        <v>8.3200032401907933</v>
      </c>
      <c r="K32" s="117">
        <f>Combine!N33</f>
        <v>412</v>
      </c>
      <c r="L32" s="117">
        <f>Combine!O33</f>
        <v>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K18" sqref="K1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6" t="s">
        <v>66</v>
      </c>
      <c r="O1" s="207"/>
      <c r="P1" s="208"/>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5</v>
      </c>
      <c r="D3" s="116">
        <v>2022</v>
      </c>
      <c r="E3" s="146">
        <f>'Athens Daily - EL'!AP8</f>
        <v>37505</v>
      </c>
      <c r="F3" s="148">
        <f>'Athens Daily - EL'!AQ8</f>
        <v>27415</v>
      </c>
      <c r="G3" s="127">
        <f>SUM(E3,F3)</f>
        <v>64920</v>
      </c>
      <c r="H3" s="146">
        <f>'Athens Daily - Water'!R7</f>
        <v>856.5</v>
      </c>
      <c r="I3" s="117">
        <f>'Athens Daily - Water'!S7</f>
        <v>273.55</v>
      </c>
      <c r="J3" s="123">
        <f t="shared" ref="J3:J33" si="0">SUM(H3,I3)</f>
        <v>1130.05</v>
      </c>
      <c r="K3" s="146">
        <f>'Athens Daily - Gas'!BH9</f>
        <v>188131.20000000001</v>
      </c>
      <c r="L3" s="117">
        <f>'Athens Daily - Gas'!BI9</f>
        <v>105628.8</v>
      </c>
      <c r="M3" s="127">
        <f>SUM(K3,L3)/38.61</f>
        <v>7608.3916083916083</v>
      </c>
      <c r="N3" s="155">
        <f>Occ!G10</f>
        <v>443</v>
      </c>
      <c r="O3" s="100">
        <f>Occ!H10</f>
        <v>979</v>
      </c>
      <c r="P3" s="154">
        <v>918</v>
      </c>
      <c r="Q3" s="163"/>
    </row>
    <row r="4" spans="1:17" ht="15.75">
      <c r="A4" s="7" t="s">
        <v>14</v>
      </c>
      <c r="B4" s="7">
        <v>2</v>
      </c>
      <c r="C4" s="7">
        <v>5</v>
      </c>
      <c r="D4" s="116">
        <v>2022</v>
      </c>
      <c r="E4" s="146">
        <f>'Athens Daily - EL'!AP9</f>
        <v>33475</v>
      </c>
      <c r="F4" s="148">
        <f>'Athens Daily - EL'!AQ9</f>
        <v>24395</v>
      </c>
      <c r="G4" s="127">
        <f t="shared" ref="G4:G33" si="1">SUM(E4,F4)</f>
        <v>57870</v>
      </c>
      <c r="H4" s="146">
        <f>'Athens Daily - Water'!R8</f>
        <v>393.5</v>
      </c>
      <c r="I4" s="117">
        <f>'Athens Daily - Water'!S8</f>
        <v>136.44999999999999</v>
      </c>
      <c r="J4" s="123">
        <f t="shared" si="0"/>
        <v>529.95000000000005</v>
      </c>
      <c r="K4" s="146">
        <f>'Athens Daily - Gas'!BH10</f>
        <v>58483.199999999997</v>
      </c>
      <c r="L4" s="117">
        <f>'Athens Daily - Gas'!BI10</f>
        <v>63580.800000000003</v>
      </c>
      <c r="M4" s="127">
        <f t="shared" ref="M4:M33" si="2">SUM(K4,L4)/38.61</f>
        <v>3161.4607614607617</v>
      </c>
      <c r="N4" s="155">
        <f>Occ!G11</f>
        <v>360</v>
      </c>
      <c r="O4" s="100">
        <f>Occ!H11</f>
        <v>775</v>
      </c>
      <c r="P4" s="154">
        <v>918</v>
      </c>
      <c r="Q4" s="163"/>
    </row>
    <row r="5" spans="1:17" ht="15.75">
      <c r="A5" s="7" t="s">
        <v>14</v>
      </c>
      <c r="B5" s="7">
        <v>3</v>
      </c>
      <c r="C5" s="7">
        <v>5</v>
      </c>
      <c r="D5" s="116">
        <v>2022</v>
      </c>
      <c r="E5" s="146">
        <f>'Athens Daily - EL'!AP10</f>
        <v>35160</v>
      </c>
      <c r="F5" s="148">
        <f>'Athens Daily - EL'!AQ10</f>
        <v>26090</v>
      </c>
      <c r="G5" s="127">
        <f t="shared" si="1"/>
        <v>61250</v>
      </c>
      <c r="H5" s="146">
        <f>'Athens Daily - Water'!R9</f>
        <v>372</v>
      </c>
      <c r="I5" s="117">
        <f>'Athens Daily - Water'!S9</f>
        <v>150.1</v>
      </c>
      <c r="J5" s="123">
        <f t="shared" si="0"/>
        <v>522.1</v>
      </c>
      <c r="K5" s="146">
        <f>'Athens Daily - Gas'!BH11</f>
        <v>216624</v>
      </c>
      <c r="L5" s="117">
        <f>'Athens Daily - Gas'!BI11</f>
        <v>144144</v>
      </c>
      <c r="M5" s="127">
        <f t="shared" si="2"/>
        <v>9343.9005439005432</v>
      </c>
      <c r="N5" s="155">
        <f>Occ!G12</f>
        <v>345</v>
      </c>
      <c r="O5" s="100">
        <f>Occ!H12</f>
        <v>741</v>
      </c>
      <c r="P5" s="154">
        <v>918</v>
      </c>
      <c r="Q5" s="163"/>
    </row>
    <row r="6" spans="1:17" ht="15.75">
      <c r="A6" s="7" t="s">
        <v>14</v>
      </c>
      <c r="B6" s="7">
        <v>4</v>
      </c>
      <c r="C6" s="7">
        <v>5</v>
      </c>
      <c r="D6" s="116">
        <v>2022</v>
      </c>
      <c r="E6" s="146">
        <f>'Athens Daily - EL'!AP11</f>
        <v>39415</v>
      </c>
      <c r="F6" s="148">
        <f>'Athens Daily - EL'!AQ11</f>
        <v>28095</v>
      </c>
      <c r="G6" s="127">
        <f t="shared" si="1"/>
        <v>67510</v>
      </c>
      <c r="H6" s="146">
        <f>'Athens Daily - Water'!R10</f>
        <v>293.3851250000007</v>
      </c>
      <c r="I6" s="117">
        <f>'Athens Daily - Water'!S10</f>
        <v>133.55000000000001</v>
      </c>
      <c r="J6" s="123">
        <f t="shared" si="0"/>
        <v>426.93512500000071</v>
      </c>
      <c r="K6" s="146">
        <f>'Athens Daily - Gas'!BH12</f>
        <v>106540.79999999999</v>
      </c>
      <c r="L6" s="117">
        <f>'Athens Daily - Gas'!BI12</f>
        <v>41971.200000000004</v>
      </c>
      <c r="M6" s="127">
        <f t="shared" si="2"/>
        <v>3846.4646464646466</v>
      </c>
      <c r="N6" s="155">
        <f>Occ!G13</f>
        <v>336</v>
      </c>
      <c r="O6" s="100">
        <f>Occ!H13</f>
        <v>729</v>
      </c>
      <c r="P6" s="154">
        <v>918</v>
      </c>
      <c r="Q6" s="163"/>
    </row>
    <row r="7" spans="1:17" ht="15.75">
      <c r="A7" s="7" t="s">
        <v>14</v>
      </c>
      <c r="B7" s="7">
        <v>5</v>
      </c>
      <c r="C7" s="7">
        <v>5</v>
      </c>
      <c r="D7" s="116">
        <v>2022</v>
      </c>
      <c r="E7" s="146">
        <f>'Athens Daily - EL'!AP12</f>
        <v>35155</v>
      </c>
      <c r="F7" s="148">
        <f>'Athens Daily - EL'!AQ12</f>
        <v>30415</v>
      </c>
      <c r="G7" s="127">
        <f t="shared" si="1"/>
        <v>65570</v>
      </c>
      <c r="H7" s="146">
        <f>'Athens Daily - Water'!R11</f>
        <v>485.44823437500054</v>
      </c>
      <c r="I7" s="117">
        <f>'Athens Daily - Water'!S11</f>
        <v>132.05000000000001</v>
      </c>
      <c r="J7" s="123">
        <f t="shared" si="0"/>
        <v>617.49823437500049</v>
      </c>
      <c r="K7" s="146">
        <f>'Athens Daily - Gas'!BH13</f>
        <v>113232</v>
      </c>
      <c r="L7" s="117">
        <f>'Athens Daily - Gas'!BI13</f>
        <v>65232</v>
      </c>
      <c r="M7" s="127">
        <f t="shared" si="2"/>
        <v>4622.2222222222226</v>
      </c>
      <c r="N7" s="155">
        <f>Occ!G14</f>
        <v>353</v>
      </c>
      <c r="O7" s="100">
        <f>Occ!H14</f>
        <v>760</v>
      </c>
      <c r="P7" s="154">
        <v>918</v>
      </c>
      <c r="Q7" s="163"/>
    </row>
    <row r="8" spans="1:17" ht="15.75">
      <c r="A8" s="7" t="s">
        <v>14</v>
      </c>
      <c r="B8" s="7">
        <v>6</v>
      </c>
      <c r="C8" s="7">
        <v>5</v>
      </c>
      <c r="D8" s="116">
        <v>2022</v>
      </c>
      <c r="E8" s="146">
        <f>'Athens Daily - EL'!AP13</f>
        <v>36930</v>
      </c>
      <c r="F8" s="148">
        <f>'Athens Daily - EL'!AQ13</f>
        <v>30050</v>
      </c>
      <c r="G8" s="127">
        <f t="shared" si="1"/>
        <v>66980</v>
      </c>
      <c r="H8" s="146">
        <f>'Athens Daily - Water'!R12</f>
        <v>406.18033007812483</v>
      </c>
      <c r="I8" s="117">
        <f>'Athens Daily - Water'!S12</f>
        <v>128.4</v>
      </c>
      <c r="J8" s="123">
        <f t="shared" si="0"/>
        <v>534.5803300781248</v>
      </c>
      <c r="K8" s="146">
        <f>'Athens Daily - Gas'!BH14</f>
        <v>110889.60000000001</v>
      </c>
      <c r="L8" s="117">
        <f>'Athens Daily - Gas'!BI14</f>
        <v>67430.399999999994</v>
      </c>
      <c r="M8" s="127">
        <f t="shared" si="2"/>
        <v>4618.4926184926189</v>
      </c>
      <c r="N8" s="155">
        <f>Occ!G15</f>
        <v>371</v>
      </c>
      <c r="O8" s="100">
        <f>Occ!H15</f>
        <v>806</v>
      </c>
      <c r="P8" s="154">
        <v>918</v>
      </c>
      <c r="Q8" s="163"/>
    </row>
    <row r="9" spans="1:17" ht="15.75">
      <c r="A9" s="7" t="s">
        <v>14</v>
      </c>
      <c r="B9" s="7">
        <v>7</v>
      </c>
      <c r="C9" s="7">
        <v>5</v>
      </c>
      <c r="D9" s="116">
        <v>2022</v>
      </c>
      <c r="E9" s="146">
        <f>'Athens Daily - EL'!AP14</f>
        <v>44240</v>
      </c>
      <c r="F9" s="148">
        <f>'Athens Daily - EL'!AQ14</f>
        <v>32760</v>
      </c>
      <c r="G9" s="127">
        <f t="shared" si="1"/>
        <v>77000</v>
      </c>
      <c r="H9" s="146">
        <f>'Athens Daily - Water'!R13</f>
        <v>488.94378881835837</v>
      </c>
      <c r="I9" s="117">
        <f>'Athens Daily - Water'!S13</f>
        <v>136</v>
      </c>
      <c r="J9" s="123">
        <f t="shared" si="0"/>
        <v>624.94378881835837</v>
      </c>
      <c r="K9" s="146">
        <f>'Athens Daily - Gas'!BH15</f>
        <v>121550.39999999999</v>
      </c>
      <c r="L9" s="117">
        <f>'Athens Daily - Gas'!BI15</f>
        <v>70521.600000000006</v>
      </c>
      <c r="M9" s="127">
        <f t="shared" si="2"/>
        <v>4974.6697746697746</v>
      </c>
      <c r="N9" s="155">
        <f>Occ!G16</f>
        <v>471</v>
      </c>
      <c r="O9" s="100">
        <f>Occ!H16</f>
        <v>1055</v>
      </c>
      <c r="P9" s="154">
        <v>918</v>
      </c>
      <c r="Q9" s="163"/>
    </row>
    <row r="10" spans="1:17">
      <c r="A10" s="7" t="s">
        <v>14</v>
      </c>
      <c r="B10" s="7">
        <v>8</v>
      </c>
      <c r="C10" s="7">
        <v>5</v>
      </c>
      <c r="D10" s="116">
        <v>2022</v>
      </c>
      <c r="E10" s="146">
        <f>'Athens Daily - EL'!AP15</f>
        <v>40410</v>
      </c>
      <c r="F10" s="148">
        <f>'Athens Daily - EL'!AQ15</f>
        <v>28540</v>
      </c>
      <c r="G10" s="127">
        <f t="shared" si="1"/>
        <v>68950</v>
      </c>
      <c r="H10" s="146">
        <f>'Athens Daily - Water'!R14</f>
        <v>552.01145271606401</v>
      </c>
      <c r="I10" s="117">
        <f>'Athens Daily - Water'!S14</f>
        <v>145.55000000000001</v>
      </c>
      <c r="J10" s="123">
        <f t="shared" si="0"/>
        <v>697.56145271606397</v>
      </c>
      <c r="K10" s="146">
        <f>'Athens Daily - Gas'!BH16</f>
        <v>126506.88000000002</v>
      </c>
      <c r="L10" s="117">
        <f>'Athens Daily - Gas'!BI16</f>
        <v>72736.000000000466</v>
      </c>
      <c r="M10" s="127">
        <f t="shared" si="2"/>
        <v>5160.3957523957642</v>
      </c>
      <c r="N10" s="155">
        <f>Occ!G17</f>
        <v>452</v>
      </c>
      <c r="O10" s="100">
        <f>Occ!H17</f>
        <v>1026</v>
      </c>
      <c r="P10" s="154">
        <v>918</v>
      </c>
      <c r="Q10" s="98"/>
    </row>
    <row r="11" spans="1:17">
      <c r="A11" s="7" t="s">
        <v>14</v>
      </c>
      <c r="B11" s="7">
        <v>9</v>
      </c>
      <c r="C11" s="7">
        <v>5</v>
      </c>
      <c r="D11" s="116">
        <v>2022</v>
      </c>
      <c r="E11" s="146">
        <f>'Athens Daily - EL'!AP16</f>
        <v>38920</v>
      </c>
      <c r="F11" s="148">
        <f>'Athens Daily - EL'!AQ16</f>
        <v>30020</v>
      </c>
      <c r="G11" s="127">
        <f t="shared" si="1"/>
        <v>68940</v>
      </c>
      <c r="H11" s="146">
        <f>'Athens Daily - Water'!R15</f>
        <v>451.03288362655621</v>
      </c>
      <c r="I11" s="117">
        <f>'Athens Daily - Water'!S15</f>
        <v>121</v>
      </c>
      <c r="J11" s="123">
        <f t="shared" si="0"/>
        <v>572.03288362655621</v>
      </c>
      <c r="K11" s="146">
        <f>'Athens Daily - Gas'!BH17</f>
        <v>112250.076</v>
      </c>
      <c r="L11" s="117">
        <f>'Athens Daily - Gas'!BI17</f>
        <v>67585.066666666506</v>
      </c>
      <c r="M11" s="127">
        <f t="shared" si="2"/>
        <v>4657.7348528015154</v>
      </c>
      <c r="N11" s="155">
        <f>Occ!G18</f>
        <v>375</v>
      </c>
      <c r="O11" s="100">
        <f>Occ!H18</f>
        <v>809</v>
      </c>
      <c r="P11" s="154">
        <v>918</v>
      </c>
      <c r="Q11" s="98"/>
    </row>
    <row r="12" spans="1:17" ht="15.75">
      <c r="A12" s="7" t="s">
        <v>14</v>
      </c>
      <c r="B12" s="7">
        <v>10</v>
      </c>
      <c r="C12" s="7">
        <v>5</v>
      </c>
      <c r="D12" s="116">
        <v>2022</v>
      </c>
      <c r="E12" s="146">
        <f>'Athens Daily - EL'!AP17</f>
        <v>41610</v>
      </c>
      <c r="F12" s="148">
        <f>'Athens Daily - EL'!AQ17</f>
        <v>33050</v>
      </c>
      <c r="G12" s="127">
        <f t="shared" si="1"/>
        <v>74660</v>
      </c>
      <c r="H12" s="146">
        <f>'Athens Daily - Water'!R16</f>
        <v>217.49977317323646</v>
      </c>
      <c r="I12" s="117">
        <f>'Athens Daily - Water'!S16</f>
        <v>78.125</v>
      </c>
      <c r="J12" s="123">
        <f t="shared" si="0"/>
        <v>295.62477317323646</v>
      </c>
      <c r="K12" s="146">
        <f>'Athens Daily - Gas'!BH18</f>
        <v>113161.476</v>
      </c>
      <c r="L12" s="117">
        <f>'Athens Daily - Gas'!BI18</f>
        <v>68949.333333333023</v>
      </c>
      <c r="M12" s="127">
        <f t="shared" si="2"/>
        <v>4716.6746784080033</v>
      </c>
      <c r="N12" s="155">
        <f>Occ!G19</f>
        <v>362</v>
      </c>
      <c r="O12" s="100">
        <f>Occ!H19</f>
        <v>790</v>
      </c>
      <c r="P12" s="154">
        <v>918</v>
      </c>
      <c r="Q12" s="163"/>
    </row>
    <row r="13" spans="1:17" ht="15.75">
      <c r="A13" s="7" t="s">
        <v>14</v>
      </c>
      <c r="B13" s="7">
        <v>11</v>
      </c>
      <c r="C13" s="7">
        <v>5</v>
      </c>
      <c r="D13" s="116">
        <v>2022</v>
      </c>
      <c r="E13" s="146">
        <f>'Athens Daily - EL'!AP18</f>
        <v>42170</v>
      </c>
      <c r="F13" s="148">
        <f>'Athens Daily - EL'!AQ18</f>
        <v>33750</v>
      </c>
      <c r="G13" s="127">
        <f t="shared" si="1"/>
        <v>75920</v>
      </c>
      <c r="H13" s="146">
        <f>'Athens Daily - Water'!R17</f>
        <v>219.57941221265901</v>
      </c>
      <c r="I13" s="117">
        <f>'Athens Daily - Water'!S17</f>
        <v>78.125</v>
      </c>
      <c r="J13" s="123">
        <f t="shared" si="0"/>
        <v>297.70441221265901</v>
      </c>
      <c r="K13" s="146">
        <f>'Athens Daily - Gas'!BH19</f>
        <v>114558.144</v>
      </c>
      <c r="L13" s="117">
        <f>'Athens Daily - Gas'!BI19</f>
        <v>71212.800000000003</v>
      </c>
      <c r="M13" s="127">
        <f t="shared" si="2"/>
        <v>4811.472261072262</v>
      </c>
      <c r="N13" s="155">
        <f>Occ!G20</f>
        <v>344</v>
      </c>
      <c r="O13" s="100">
        <f>Occ!H20</f>
        <v>746</v>
      </c>
      <c r="P13" s="154">
        <v>918</v>
      </c>
      <c r="Q13" s="163"/>
    </row>
    <row r="14" spans="1:17" ht="15.75">
      <c r="A14" s="7" t="s">
        <v>14</v>
      </c>
      <c r="B14" s="7">
        <v>12</v>
      </c>
      <c r="C14" s="7">
        <v>5</v>
      </c>
      <c r="D14" s="116">
        <v>2022</v>
      </c>
      <c r="E14" s="146">
        <f>'Athens Daily - EL'!AP19</f>
        <v>43480</v>
      </c>
      <c r="F14" s="148">
        <f>'Athens Daily - EL'!AQ19</f>
        <v>34260</v>
      </c>
      <c r="G14" s="127">
        <f t="shared" si="1"/>
        <v>77740</v>
      </c>
      <c r="H14" s="146">
        <f>'Athens Daily - Water'!R18</f>
        <v>391.88999999999942</v>
      </c>
      <c r="I14" s="117">
        <f>'Athens Daily - Water'!S18</f>
        <v>136.15</v>
      </c>
      <c r="J14" s="123">
        <f t="shared" si="0"/>
        <v>528.0399999999994</v>
      </c>
      <c r="K14" s="146">
        <f>'Athens Daily - Gas'!BH20</f>
        <v>111316.75200000001</v>
      </c>
      <c r="L14" s="117">
        <f>'Athens Daily - Gas'!BI20</f>
        <v>66960</v>
      </c>
      <c r="M14" s="127">
        <f t="shared" si="2"/>
        <v>4617.372494172494</v>
      </c>
      <c r="N14" s="155">
        <f>Occ!G21</f>
        <v>353</v>
      </c>
      <c r="O14" s="100">
        <f>Occ!H21</f>
        <v>770</v>
      </c>
      <c r="P14" s="154">
        <v>918</v>
      </c>
      <c r="Q14" s="163"/>
    </row>
    <row r="15" spans="1:17">
      <c r="A15" s="7" t="s">
        <v>14</v>
      </c>
      <c r="B15" s="7">
        <v>13</v>
      </c>
      <c r="C15" s="7">
        <v>5</v>
      </c>
      <c r="D15" s="116">
        <v>2022</v>
      </c>
      <c r="E15" s="146">
        <f>'Athens Daily - EL'!AP20</f>
        <v>43965</v>
      </c>
      <c r="F15" s="164">
        <f>'Athens Daily - EL'!AQ20</f>
        <v>34865</v>
      </c>
      <c r="G15" s="127">
        <f t="shared" si="1"/>
        <v>78830</v>
      </c>
      <c r="H15" s="146">
        <f>'Athens Daily - Water'!R19</f>
        <v>410.30500000000029</v>
      </c>
      <c r="I15" s="117">
        <f>'Athens Daily - Water'!S19</f>
        <v>128.85</v>
      </c>
      <c r="J15" s="123">
        <f t="shared" si="0"/>
        <v>539.15500000000031</v>
      </c>
      <c r="K15" s="146">
        <f>'Athens Daily - Gas'!BH21</f>
        <v>112912.65599999999</v>
      </c>
      <c r="L15" s="117">
        <f>'Athens Daily - Gas'!BI21</f>
        <v>66768</v>
      </c>
      <c r="M15" s="127">
        <f t="shared" si="2"/>
        <v>4653.7336441336438</v>
      </c>
      <c r="N15" s="155">
        <f>Occ!G22</f>
        <v>356</v>
      </c>
      <c r="O15" s="100">
        <f>Occ!H22</f>
        <v>787</v>
      </c>
      <c r="P15" s="154">
        <v>918</v>
      </c>
      <c r="Q15" s="160"/>
    </row>
    <row r="16" spans="1:17">
      <c r="A16" s="7" t="s">
        <v>14</v>
      </c>
      <c r="B16" s="7">
        <v>14</v>
      </c>
      <c r="C16" s="7">
        <v>5</v>
      </c>
      <c r="D16" s="116">
        <v>2022</v>
      </c>
      <c r="E16" s="146">
        <f>'Athens Daily - EL'!AP21</f>
        <v>39741.130000000121</v>
      </c>
      <c r="F16" s="148">
        <f>'Athens Daily - EL'!AQ21</f>
        <v>30971.130000000121</v>
      </c>
      <c r="G16" s="127">
        <f t="shared" si="1"/>
        <v>70712.260000000242</v>
      </c>
      <c r="H16" s="146">
        <f>'Athens Daily - Water'!R20</f>
        <v>440.28800000000047</v>
      </c>
      <c r="I16" s="117">
        <f>'Athens Daily - Water'!S20</f>
        <v>139.19999999999999</v>
      </c>
      <c r="J16" s="123">
        <f t="shared" si="0"/>
        <v>579.48800000000051</v>
      </c>
      <c r="K16" s="146">
        <f>'Athens Daily - Gas'!BH22</f>
        <v>120617.27999999998</v>
      </c>
      <c r="L16" s="117">
        <f>'Athens Daily - Gas'!BI22</f>
        <v>76512</v>
      </c>
      <c r="M16" s="127">
        <f t="shared" si="2"/>
        <v>5105.6534576534568</v>
      </c>
      <c r="N16" s="155">
        <f>Occ!G23</f>
        <v>426</v>
      </c>
      <c r="O16" s="100">
        <f>Occ!H23</f>
        <v>961</v>
      </c>
      <c r="P16" s="154">
        <v>918</v>
      </c>
      <c r="Q16" s="160"/>
    </row>
    <row r="17" spans="1:17">
      <c r="A17" s="7" t="s">
        <v>14</v>
      </c>
      <c r="B17" s="7">
        <v>15</v>
      </c>
      <c r="C17" s="7">
        <v>5</v>
      </c>
      <c r="D17" s="116">
        <v>2022</v>
      </c>
      <c r="E17" s="146">
        <f>'Athens Daily - EL'!AP22</f>
        <v>38568.869999999879</v>
      </c>
      <c r="F17" s="148">
        <f>'Athens Daily - EL'!AQ22</f>
        <v>28918.869999999879</v>
      </c>
      <c r="G17" s="127">
        <f t="shared" si="1"/>
        <v>67487.739999999758</v>
      </c>
      <c r="H17" s="146">
        <f>'Athens Daily - Water'!R21</f>
        <v>525.48509999999987</v>
      </c>
      <c r="I17" s="117">
        <f>'Athens Daily - Water'!S21</f>
        <v>140</v>
      </c>
      <c r="J17" s="123">
        <f t="shared" si="0"/>
        <v>665.48509999999987</v>
      </c>
      <c r="K17" s="146">
        <f>'Athens Daily - Gas'!BH23</f>
        <v>128081.47199999999</v>
      </c>
      <c r="L17" s="117">
        <f>'Athens Daily - Gas'!BI23</f>
        <v>70108.800000000003</v>
      </c>
      <c r="M17" s="127">
        <f t="shared" si="2"/>
        <v>5133.1331779331776</v>
      </c>
      <c r="N17" s="155">
        <f>Occ!G24</f>
        <v>398</v>
      </c>
      <c r="O17" s="100">
        <f>Occ!H24</f>
        <v>873</v>
      </c>
      <c r="P17" s="154">
        <v>918</v>
      </c>
      <c r="Q17" s="160"/>
    </row>
    <row r="18" spans="1:17">
      <c r="A18" s="7" t="s">
        <v>14</v>
      </c>
      <c r="B18" s="7">
        <v>16</v>
      </c>
      <c r="C18" s="7">
        <v>5</v>
      </c>
      <c r="D18" s="116">
        <v>2022</v>
      </c>
      <c r="E18" s="146">
        <f>'Athens Daily - EL'!AP23</f>
        <v>34265</v>
      </c>
      <c r="F18" s="148">
        <f>'Athens Daily - EL'!AQ23</f>
        <v>26525</v>
      </c>
      <c r="G18" s="127">
        <f t="shared" si="1"/>
        <v>60790</v>
      </c>
      <c r="H18" s="146">
        <f>'Athens Daily - Water'!R22</f>
        <v>462.18289999999979</v>
      </c>
      <c r="I18" s="117">
        <f>'Athens Daily - Water'!S22</f>
        <v>137.1</v>
      </c>
      <c r="J18" s="123">
        <f t="shared" si="0"/>
        <v>599.28289999999981</v>
      </c>
      <c r="K18" s="146">
        <f>'Athens Daily - Gas'!BH24</f>
        <v>121353.98400000001</v>
      </c>
      <c r="L18" s="117">
        <f>'Athens Daily - Gas'!BI24</f>
        <v>71289.600000000006</v>
      </c>
      <c r="M18" s="127">
        <f t="shared" si="2"/>
        <v>4989.4738150738158</v>
      </c>
      <c r="N18" s="155">
        <f>Occ!G25</f>
        <v>362</v>
      </c>
      <c r="O18" s="100">
        <f>Occ!H25</f>
        <v>802</v>
      </c>
      <c r="P18" s="154">
        <v>918</v>
      </c>
      <c r="Q18" s="159"/>
    </row>
    <row r="19" spans="1:17">
      <c r="A19" s="7" t="s">
        <v>14</v>
      </c>
      <c r="B19" s="7">
        <v>17</v>
      </c>
      <c r="C19" s="7">
        <v>5</v>
      </c>
      <c r="D19" s="116">
        <v>2022</v>
      </c>
      <c r="E19" s="146">
        <f>'Athens Daily - EL'!AP24</f>
        <v>35990</v>
      </c>
      <c r="F19" s="148">
        <f>'Athens Daily - EL'!AQ24</f>
        <v>27230</v>
      </c>
      <c r="G19" s="127">
        <f t="shared" si="1"/>
        <v>63220</v>
      </c>
      <c r="H19" s="146">
        <f>'Athens Daily - Water'!R23</f>
        <v>413.76800000000003</v>
      </c>
      <c r="I19" s="117">
        <f>'Athens Daily - Water'!S23</f>
        <v>140.25</v>
      </c>
      <c r="J19" s="123">
        <f t="shared" si="0"/>
        <v>554.01800000000003</v>
      </c>
      <c r="K19" s="146">
        <f>'Athens Daily - Gas'!BH25</f>
        <v>117506.928</v>
      </c>
      <c r="L19" s="117">
        <f>'Athens Daily - Gas'!BI25</f>
        <v>69254.399999999994</v>
      </c>
      <c r="M19" s="127">
        <f t="shared" si="2"/>
        <v>4837.1232323232316</v>
      </c>
      <c r="N19" s="155">
        <f>Occ!G26</f>
        <v>352</v>
      </c>
      <c r="O19" s="100">
        <f>Occ!H26</f>
        <v>774</v>
      </c>
      <c r="P19" s="154">
        <v>918</v>
      </c>
      <c r="Q19" s="159"/>
    </row>
    <row r="20" spans="1:17">
      <c r="A20" s="7" t="s">
        <v>14</v>
      </c>
      <c r="B20" s="7">
        <v>18</v>
      </c>
      <c r="C20" s="7">
        <v>5</v>
      </c>
      <c r="D20" s="116">
        <v>2022</v>
      </c>
      <c r="E20" s="146">
        <f>'Athens Daily - EL'!AP25</f>
        <v>36295</v>
      </c>
      <c r="F20" s="148">
        <f>'Athens Daily - EL'!AQ25</f>
        <v>27505</v>
      </c>
      <c r="G20" s="127">
        <f t="shared" si="1"/>
        <v>63800</v>
      </c>
      <c r="H20" s="146">
        <f>'Athens Daily - Water'!R24</f>
        <v>452</v>
      </c>
      <c r="I20" s="117">
        <f>'Athens Daily - Water'!S24</f>
        <v>147.85</v>
      </c>
      <c r="J20" s="123">
        <f t="shared" si="0"/>
        <v>599.85</v>
      </c>
      <c r="K20" s="146">
        <f>'Athens Daily - Gas'!BH26</f>
        <v>105242.78399999997</v>
      </c>
      <c r="L20" s="117">
        <f>'Athens Daily - Gas'!BI26</f>
        <v>55363.200000000004</v>
      </c>
      <c r="M20" s="127">
        <f t="shared" si="2"/>
        <v>4159.6991452991442</v>
      </c>
      <c r="N20" s="155">
        <f>Occ!G27</f>
        <v>373</v>
      </c>
      <c r="O20" s="100">
        <f>Occ!H27</f>
        <v>821</v>
      </c>
      <c r="P20" s="154">
        <v>918</v>
      </c>
      <c r="Q20" s="159"/>
    </row>
    <row r="21" spans="1:17">
      <c r="A21" s="7" t="s">
        <v>14</v>
      </c>
      <c r="B21" s="7">
        <v>19</v>
      </c>
      <c r="C21" s="7">
        <v>5</v>
      </c>
      <c r="D21" s="116">
        <v>2022</v>
      </c>
      <c r="E21" s="146">
        <f>'Athens Daily - EL'!AP26</f>
        <v>39270</v>
      </c>
      <c r="F21" s="148">
        <f>'Athens Daily - EL'!AQ26</f>
        <v>30020</v>
      </c>
      <c r="G21" s="127">
        <f t="shared" si="1"/>
        <v>69290</v>
      </c>
      <c r="H21" s="146">
        <f>'Athens Daily - Water'!R25</f>
        <v>426</v>
      </c>
      <c r="I21" s="117">
        <f>'Athens Daily - Water'!S25</f>
        <v>159.19999999999999</v>
      </c>
      <c r="J21" s="123">
        <f t="shared" si="0"/>
        <v>585.20000000000005</v>
      </c>
      <c r="K21" s="146">
        <f>'Athens Daily - Gas'!BH27</f>
        <v>109105.96800000002</v>
      </c>
      <c r="L21" s="167">
        <f>'Athens Daily - Gas'!BI27</f>
        <v>70195.200000000012</v>
      </c>
      <c r="M21" s="127">
        <f t="shared" si="2"/>
        <v>4643.9048951048962</v>
      </c>
      <c r="N21" s="155">
        <f>Occ!G28</f>
        <v>397</v>
      </c>
      <c r="O21" s="100">
        <f>Occ!H28</f>
        <v>876</v>
      </c>
      <c r="P21" s="154">
        <v>918</v>
      </c>
      <c r="Q21" s="159"/>
    </row>
    <row r="22" spans="1:17">
      <c r="A22" s="7" t="s">
        <v>14</v>
      </c>
      <c r="B22" s="7">
        <v>20</v>
      </c>
      <c r="C22" s="7">
        <v>5</v>
      </c>
      <c r="D22" s="116">
        <v>2022</v>
      </c>
      <c r="E22" s="146">
        <f>'Athens Daily - EL'!AP27</f>
        <v>41810</v>
      </c>
      <c r="F22" s="148">
        <f>'Athens Daily - EL'!AQ27</f>
        <v>32600</v>
      </c>
      <c r="G22" s="127">
        <f t="shared" si="1"/>
        <v>74410</v>
      </c>
      <c r="H22" s="146">
        <f>'Athens Daily - Water'!R26</f>
        <v>501</v>
      </c>
      <c r="I22" s="117">
        <f>'Athens Daily - Water'!S26</f>
        <v>132.05000000000001</v>
      </c>
      <c r="J22" s="123">
        <f t="shared" si="0"/>
        <v>633.04999999999995</v>
      </c>
      <c r="K22" s="146">
        <f>'Athens Daily - Gas'!BH28</f>
        <v>115847.03999999999</v>
      </c>
      <c r="L22" s="117">
        <f>'Athens Daily - Gas'!BI28</f>
        <v>68044.800000000003</v>
      </c>
      <c r="M22" s="127">
        <f t="shared" si="2"/>
        <v>4762.8034188034189</v>
      </c>
      <c r="N22" s="155">
        <f>Occ!G29</f>
        <v>441</v>
      </c>
      <c r="O22" s="100">
        <f>Occ!H29</f>
        <v>976</v>
      </c>
      <c r="P22" s="154">
        <v>918</v>
      </c>
      <c r="Q22" s="160"/>
    </row>
    <row r="23" spans="1:17">
      <c r="A23" s="7" t="s">
        <v>14</v>
      </c>
      <c r="B23" s="7">
        <v>21</v>
      </c>
      <c r="C23" s="7">
        <v>5</v>
      </c>
      <c r="D23" s="116">
        <v>2022</v>
      </c>
      <c r="E23" s="146">
        <f>'Athens Daily - EL'!AP28</f>
        <v>45225</v>
      </c>
      <c r="F23" s="148">
        <f>'Athens Daily - EL'!AQ28</f>
        <v>34215</v>
      </c>
      <c r="G23" s="127">
        <f t="shared" si="1"/>
        <v>79440</v>
      </c>
      <c r="H23" s="199">
        <f>'Athens Daily - Water'!R27</f>
        <v>580</v>
      </c>
      <c r="I23" s="167">
        <f>'Athens Daily - Water'!S27</f>
        <v>152.15</v>
      </c>
      <c r="J23" s="123">
        <f t="shared" si="0"/>
        <v>732.15</v>
      </c>
      <c r="K23" s="146">
        <f>'Athens Daily - Gas'!BH29</f>
        <v>132012.47999999998</v>
      </c>
      <c r="L23" s="117">
        <f>'Athens Daily - Gas'!BI29</f>
        <v>67056</v>
      </c>
      <c r="M23" s="127">
        <f t="shared" si="2"/>
        <v>5155.8787878787871</v>
      </c>
      <c r="N23" s="155">
        <f>Occ!G30</f>
        <v>485</v>
      </c>
      <c r="O23" s="100">
        <f>Occ!H30</f>
        <v>1085</v>
      </c>
      <c r="P23" s="154">
        <v>918</v>
      </c>
      <c r="Q23" s="160"/>
    </row>
    <row r="24" spans="1:17">
      <c r="A24" s="7" t="s">
        <v>14</v>
      </c>
      <c r="B24" s="7">
        <v>22</v>
      </c>
      <c r="C24" s="7">
        <v>5</v>
      </c>
      <c r="D24" s="116">
        <v>2022</v>
      </c>
      <c r="E24" s="146">
        <f>'Athens Daily - EL'!AP29</f>
        <v>41835</v>
      </c>
      <c r="F24" s="148">
        <f>'Athens Daily - EL'!AQ29</f>
        <v>31645</v>
      </c>
      <c r="G24" s="127">
        <f t="shared" si="1"/>
        <v>73480</v>
      </c>
      <c r="H24" s="199">
        <f>'Athens Daily - Water'!R28</f>
        <v>656</v>
      </c>
      <c r="I24" s="167">
        <f>'Athens Daily - Water'!S28</f>
        <v>144.05000000000001</v>
      </c>
      <c r="J24" s="123">
        <f t="shared" si="0"/>
        <v>800.05</v>
      </c>
      <c r="K24" s="146">
        <f>'Athens Daily - Gas'!BH30</f>
        <v>123235.2</v>
      </c>
      <c r="L24" s="117">
        <f>'Athens Daily - Gas'!BI30</f>
        <v>70243.200000000012</v>
      </c>
      <c r="M24" s="127">
        <f t="shared" si="2"/>
        <v>5011.0955710955714</v>
      </c>
      <c r="N24" s="155">
        <f>Occ!G31</f>
        <v>440</v>
      </c>
      <c r="O24" s="100">
        <f>Occ!H31</f>
        <v>956</v>
      </c>
      <c r="P24" s="154">
        <v>918</v>
      </c>
      <c r="Q24" s="160"/>
    </row>
    <row r="25" spans="1:17">
      <c r="A25" s="7" t="s">
        <v>14</v>
      </c>
      <c r="B25" s="7">
        <v>23</v>
      </c>
      <c r="C25" s="7">
        <v>5</v>
      </c>
      <c r="D25" s="116">
        <v>2022</v>
      </c>
      <c r="E25" s="146">
        <f>'Athens Daily - EL'!AP30</f>
        <v>40195</v>
      </c>
      <c r="F25" s="148">
        <f>'Athens Daily - EL'!AQ30</f>
        <v>31885</v>
      </c>
      <c r="G25" s="127">
        <f t="shared" si="1"/>
        <v>72080</v>
      </c>
      <c r="H25" s="199">
        <f>'Athens Daily - Water'!R29</f>
        <v>538</v>
      </c>
      <c r="I25" s="167">
        <f>'Athens Daily - Water'!S29</f>
        <v>139</v>
      </c>
      <c r="J25" s="123">
        <f t="shared" si="0"/>
        <v>677</v>
      </c>
      <c r="K25" s="146">
        <f>'Athens Daily - Gas'!BH31</f>
        <v>119861.28</v>
      </c>
      <c r="L25" s="117">
        <f>'Athens Daily - Gas'!BI31</f>
        <v>69388.800000000003</v>
      </c>
      <c r="M25" s="127">
        <f t="shared" si="2"/>
        <v>4901.5819735819741</v>
      </c>
      <c r="N25" s="155">
        <f>Occ!G32</f>
        <v>394</v>
      </c>
      <c r="O25" s="100">
        <f>Occ!H32</f>
        <v>863</v>
      </c>
      <c r="P25" s="154">
        <v>918</v>
      </c>
      <c r="Q25" s="160"/>
    </row>
    <row r="26" spans="1:17">
      <c r="A26" s="7" t="s">
        <v>14</v>
      </c>
      <c r="B26" s="7">
        <v>24</v>
      </c>
      <c r="C26" s="7">
        <v>5</v>
      </c>
      <c r="D26" s="116">
        <v>2022</v>
      </c>
      <c r="E26" s="146">
        <f>'Athens Daily - EL'!AP31</f>
        <v>42700</v>
      </c>
      <c r="F26" s="148">
        <f>'Athens Daily - EL'!AQ31</f>
        <v>32830</v>
      </c>
      <c r="G26" s="127">
        <f t="shared" si="1"/>
        <v>75530</v>
      </c>
      <c r="H26" s="199">
        <f>'Athens Daily - Water'!R30</f>
        <v>464</v>
      </c>
      <c r="I26" s="167">
        <f>'Athens Daily - Water'!S30</f>
        <v>140.9</v>
      </c>
      <c r="J26" s="123">
        <f t="shared" si="0"/>
        <v>604.9</v>
      </c>
      <c r="K26" s="146">
        <f>'Athens Daily - Gas'!BH32</f>
        <v>118629.6</v>
      </c>
      <c r="L26" s="117">
        <f>'Athens Daily - Gas'!BI32</f>
        <v>69148.800000000003</v>
      </c>
      <c r="M26" s="127">
        <f t="shared" si="2"/>
        <v>4863.4654234654245</v>
      </c>
      <c r="N26" s="155">
        <f>Occ!G33</f>
        <v>388</v>
      </c>
      <c r="O26" s="100">
        <f>Occ!H33</f>
        <v>849</v>
      </c>
      <c r="P26" s="154">
        <v>918</v>
      </c>
      <c r="Q26" s="160"/>
    </row>
    <row r="27" spans="1:17">
      <c r="A27" s="7" t="s">
        <v>14</v>
      </c>
      <c r="B27" s="7">
        <v>25</v>
      </c>
      <c r="C27" s="7">
        <v>5</v>
      </c>
      <c r="D27" s="116">
        <v>2022</v>
      </c>
      <c r="E27" s="146">
        <f>'Athens Daily - EL'!AP32</f>
        <v>41210</v>
      </c>
      <c r="F27" s="148">
        <f>'Athens Daily - EL'!AQ32</f>
        <v>33530</v>
      </c>
      <c r="G27" s="127">
        <f t="shared" si="1"/>
        <v>74740</v>
      </c>
      <c r="H27" s="146">
        <f>'Athens Daily - Water'!R31</f>
        <v>431</v>
      </c>
      <c r="I27" s="117">
        <f>'Athens Daily - Water'!S31</f>
        <v>163.25</v>
      </c>
      <c r="J27" s="123">
        <f t="shared" si="0"/>
        <v>594.25</v>
      </c>
      <c r="K27" s="146">
        <f>'Athens Daily - Gas'!BH33</f>
        <v>111820.79999999999</v>
      </c>
      <c r="L27" s="117">
        <f>'Athens Daily - Gas'!BI33</f>
        <v>69331.200000000012</v>
      </c>
      <c r="M27" s="127">
        <f t="shared" si="2"/>
        <v>4691.8414918414919</v>
      </c>
      <c r="N27" s="155">
        <f>Occ!G34</f>
        <v>381</v>
      </c>
      <c r="O27" s="100">
        <f>Occ!H34</f>
        <v>833</v>
      </c>
      <c r="P27" s="154">
        <v>918</v>
      </c>
      <c r="Q27" s="158"/>
    </row>
    <row r="28" spans="1:17">
      <c r="A28" s="7" t="s">
        <v>14</v>
      </c>
      <c r="B28" s="7">
        <v>26</v>
      </c>
      <c r="C28" s="7">
        <v>5</v>
      </c>
      <c r="D28" s="116">
        <v>2022</v>
      </c>
      <c r="E28" s="146">
        <f>'Athens Daily - EL'!AP33</f>
        <v>44645</v>
      </c>
      <c r="F28" s="148">
        <f>'Athens Daily - EL'!AQ33</f>
        <v>35355</v>
      </c>
      <c r="G28" s="127">
        <f t="shared" si="1"/>
        <v>80000</v>
      </c>
      <c r="H28" s="146">
        <f>'Athens Daily - Water'!R32</f>
        <v>446</v>
      </c>
      <c r="I28" s="117">
        <f>'Athens Daily - Water'!S32</f>
        <v>142.55000000000001</v>
      </c>
      <c r="J28" s="123">
        <f t="shared" si="0"/>
        <v>588.54999999999995</v>
      </c>
      <c r="K28" s="146">
        <f>'Athens Daily - Gas'!BH34</f>
        <v>118156.8</v>
      </c>
      <c r="L28" s="117">
        <f>'Athens Daily - Gas'!BI34</f>
        <v>69859.200000000012</v>
      </c>
      <c r="M28" s="127">
        <f t="shared" si="2"/>
        <v>4869.6192696192693</v>
      </c>
      <c r="N28" s="155">
        <f>Occ!G35</f>
        <v>414</v>
      </c>
      <c r="O28" s="100">
        <f>Occ!H35</f>
        <v>898</v>
      </c>
      <c r="P28" s="154">
        <v>918</v>
      </c>
      <c r="Q28" s="158"/>
    </row>
    <row r="29" spans="1:17">
      <c r="A29" s="7" t="s">
        <v>14</v>
      </c>
      <c r="B29" s="7">
        <v>27</v>
      </c>
      <c r="C29" s="7">
        <v>5</v>
      </c>
      <c r="D29" s="116">
        <v>2022</v>
      </c>
      <c r="E29" s="146">
        <f>'Athens Daily - EL'!AP34</f>
        <v>46675</v>
      </c>
      <c r="F29" s="148">
        <f>'Athens Daily - EL'!AQ34</f>
        <v>36795</v>
      </c>
      <c r="G29" s="127">
        <f t="shared" si="1"/>
        <v>83470</v>
      </c>
      <c r="H29" s="146">
        <f>'Athens Daily - Water'!R33</f>
        <v>477</v>
      </c>
      <c r="I29" s="117">
        <f>'Athens Daily - Water'!S33</f>
        <v>154.44999999999999</v>
      </c>
      <c r="J29" s="123">
        <f t="shared" si="0"/>
        <v>631.45000000000005</v>
      </c>
      <c r="K29" s="146">
        <f>'Athens Daily - Gas'!BH35</f>
        <v>119030.39999999999</v>
      </c>
      <c r="L29" s="117">
        <f>'Athens Daily - Gas'!BI35</f>
        <v>69657.600000000006</v>
      </c>
      <c r="M29" s="127">
        <f t="shared" si="2"/>
        <v>4887.0240870240868</v>
      </c>
      <c r="N29" s="155">
        <f>Occ!G36</f>
        <v>430</v>
      </c>
      <c r="O29" s="100">
        <f>Occ!H36</f>
        <v>946</v>
      </c>
      <c r="P29" s="154">
        <v>918</v>
      </c>
      <c r="Q29" s="158"/>
    </row>
    <row r="30" spans="1:17">
      <c r="A30" s="7" t="s">
        <v>14</v>
      </c>
      <c r="B30" s="7">
        <v>28</v>
      </c>
      <c r="C30" s="7">
        <v>5</v>
      </c>
      <c r="D30" s="116">
        <v>2022</v>
      </c>
      <c r="E30" s="146">
        <f>'Athens Daily - EL'!AP35</f>
        <v>49270</v>
      </c>
      <c r="F30" s="148">
        <f>'Athens Daily - EL'!AQ35</f>
        <v>38910</v>
      </c>
      <c r="G30" s="127">
        <f t="shared" si="1"/>
        <v>88180</v>
      </c>
      <c r="H30" s="146">
        <f>'Athens Daily - Water'!R34</f>
        <v>481</v>
      </c>
      <c r="I30" s="117">
        <f>'Athens Daily - Water'!S34</f>
        <v>157</v>
      </c>
      <c r="J30" s="123">
        <f t="shared" si="0"/>
        <v>638</v>
      </c>
      <c r="K30" s="146">
        <f>'Athens Daily - Gas'!BH36</f>
        <v>128697.59999999999</v>
      </c>
      <c r="L30" s="117">
        <f>'Athens Daily - Gas'!BI36</f>
        <v>73238.399999999994</v>
      </c>
      <c r="M30" s="127">
        <f t="shared" si="2"/>
        <v>5230.1476301476305</v>
      </c>
      <c r="N30" s="155">
        <f>Occ!G37</f>
        <v>507</v>
      </c>
      <c r="O30" s="100">
        <f>Occ!H37</f>
        <v>1145</v>
      </c>
      <c r="P30" s="154">
        <v>918</v>
      </c>
      <c r="Q30" s="158"/>
    </row>
    <row r="31" spans="1:17">
      <c r="A31" s="7" t="s">
        <v>14</v>
      </c>
      <c r="B31" s="7">
        <v>29</v>
      </c>
      <c r="C31" s="7">
        <v>5</v>
      </c>
      <c r="D31" s="116">
        <v>2022</v>
      </c>
      <c r="E31" s="146">
        <f>'Athens Daily - EL'!AP36</f>
        <v>47655</v>
      </c>
      <c r="F31" s="148">
        <f>'Athens Daily - EL'!AQ36</f>
        <v>36755</v>
      </c>
      <c r="G31" s="127">
        <f t="shared" si="1"/>
        <v>84410</v>
      </c>
      <c r="H31" s="146">
        <f>'Athens Daily - Water'!R35</f>
        <v>578</v>
      </c>
      <c r="I31" s="117">
        <f>'Athens Daily - Water'!S35</f>
        <v>163.69999999999999</v>
      </c>
      <c r="J31" s="123">
        <f t="shared" si="0"/>
        <v>741.7</v>
      </c>
      <c r="K31" s="146">
        <f>'Athens Daily - Gas'!BH37</f>
        <v>119481.60000000001</v>
      </c>
      <c r="L31" s="117">
        <f>'Athens Daily - Gas'!BI37</f>
        <v>68534.399999999994</v>
      </c>
      <c r="M31" s="127">
        <f t="shared" si="2"/>
        <v>4869.6192696192693</v>
      </c>
      <c r="N31" s="155">
        <f>Occ!G38</f>
        <v>455</v>
      </c>
      <c r="O31" s="100">
        <f>Occ!H38</f>
        <v>1005</v>
      </c>
      <c r="P31" s="154">
        <v>918</v>
      </c>
      <c r="Q31" s="158"/>
    </row>
    <row r="32" spans="1:17">
      <c r="A32" s="7" t="s">
        <v>14</v>
      </c>
      <c r="B32" s="7">
        <v>30</v>
      </c>
      <c r="C32" s="7">
        <v>5</v>
      </c>
      <c r="D32" s="116">
        <v>2022</v>
      </c>
      <c r="E32" s="146">
        <f>'Athens Daily - EL'!AP37</f>
        <v>48215</v>
      </c>
      <c r="F32" s="148">
        <f>'Athens Daily - EL'!AQ37</f>
        <v>39315</v>
      </c>
      <c r="G32" s="127">
        <f t="shared" si="1"/>
        <v>87530</v>
      </c>
      <c r="H32" s="146">
        <f>'Athens Daily - Water'!R36</f>
        <v>1104</v>
      </c>
      <c r="I32" s="117">
        <f>'Athens Daily - Water'!S36</f>
        <v>302.60000000000002</v>
      </c>
      <c r="J32" s="123">
        <f t="shared" si="0"/>
        <v>1406.6</v>
      </c>
      <c r="K32" s="146">
        <f>'Athens Daily - Gas'!BH38</f>
        <v>116908.79999999999</v>
      </c>
      <c r="L32" s="117">
        <f>'Athens Daily - Gas'!BI38</f>
        <v>66307.200000000012</v>
      </c>
      <c r="M32" s="127">
        <f t="shared" si="2"/>
        <v>4745.2991452991455</v>
      </c>
      <c r="N32" s="155">
        <f>Occ!G39</f>
        <v>447</v>
      </c>
      <c r="O32" s="100">
        <f>Occ!H39</f>
        <v>969</v>
      </c>
      <c r="P32" s="154">
        <v>918</v>
      </c>
      <c r="Q32" s="158"/>
    </row>
    <row r="33" spans="1:17" ht="15.75" thickBot="1">
      <c r="A33" s="7" t="s">
        <v>14</v>
      </c>
      <c r="B33" s="7">
        <v>31</v>
      </c>
      <c r="C33" s="7">
        <v>5</v>
      </c>
      <c r="D33" s="116">
        <v>2022</v>
      </c>
      <c r="E33" s="147">
        <f>'Athens Daily - EL'!AP38</f>
        <v>47050</v>
      </c>
      <c r="F33" s="149">
        <f>'Athens Daily - EL'!AQ38</f>
        <v>36800</v>
      </c>
      <c r="G33" s="128">
        <f t="shared" si="1"/>
        <v>83850</v>
      </c>
      <c r="H33" s="147">
        <f>'Athens Daily - Water'!R37</f>
        <v>478</v>
      </c>
      <c r="I33" s="121">
        <f>'Athens Daily - Water'!S37</f>
        <v>166.60000000000002</v>
      </c>
      <c r="J33" s="124">
        <f t="shared" si="0"/>
        <v>644.6</v>
      </c>
      <c r="K33" s="146">
        <f>'Athens Daily - Gas'!BH39</f>
        <v>116908.79999999999</v>
      </c>
      <c r="L33" s="121">
        <f>'Athens Daily - Gas'!BI39</f>
        <v>64435.200000000004</v>
      </c>
      <c r="M33" s="128">
        <f t="shared" si="2"/>
        <v>4696.8142968142965</v>
      </c>
      <c r="N33" s="162">
        <f>Occ!G40</f>
        <v>412</v>
      </c>
      <c r="O33" s="153">
        <f>Occ!H40</f>
        <v>895</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8" sqref="L2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09" t="s">
        <v>22</v>
      </c>
      <c r="H8" s="210"/>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70">
        <v>162</v>
      </c>
      <c r="D10" s="171">
        <v>354</v>
      </c>
      <c r="E10" s="139">
        <v>281</v>
      </c>
      <c r="F10" s="140">
        <v>625</v>
      </c>
      <c r="G10" s="161">
        <f>SUM(C10+E10)</f>
        <v>443</v>
      </c>
      <c r="H10" s="140">
        <f>D10+F10</f>
        <v>979</v>
      </c>
      <c r="I10" s="137">
        <v>918</v>
      </c>
      <c r="J10" s="129"/>
      <c r="K10" s="129"/>
      <c r="L10" s="129"/>
      <c r="M10" s="129"/>
      <c r="N10" s="129"/>
    </row>
    <row r="11" spans="1:14">
      <c r="A11" s="129"/>
      <c r="B11" s="138" t="s">
        <v>29</v>
      </c>
      <c r="C11" s="170">
        <v>79</v>
      </c>
      <c r="D11" s="171">
        <v>150</v>
      </c>
      <c r="E11" s="139">
        <v>281</v>
      </c>
      <c r="F11" s="140">
        <v>625</v>
      </c>
      <c r="G11" s="161">
        <f t="shared" ref="G11:G40" si="0">SUM(C11+E11)</f>
        <v>360</v>
      </c>
      <c r="H11" s="140">
        <f t="shared" ref="H11:H14" si="1">D11+F11</f>
        <v>775</v>
      </c>
      <c r="I11" s="137">
        <v>918</v>
      </c>
      <c r="J11" s="129"/>
      <c r="K11" s="129"/>
      <c r="L11" s="129"/>
      <c r="M11" s="129"/>
      <c r="N11" s="129"/>
    </row>
    <row r="12" spans="1:14">
      <c r="A12" s="129"/>
      <c r="B12" s="138" t="s">
        <v>30</v>
      </c>
      <c r="C12" s="170">
        <v>61</v>
      </c>
      <c r="D12" s="171">
        <v>112</v>
      </c>
      <c r="E12" s="139">
        <v>284</v>
      </c>
      <c r="F12" s="140">
        <v>629</v>
      </c>
      <c r="G12" s="161">
        <f t="shared" si="0"/>
        <v>345</v>
      </c>
      <c r="H12" s="140">
        <f t="shared" si="1"/>
        <v>741</v>
      </c>
      <c r="I12" s="137">
        <v>918</v>
      </c>
      <c r="J12" s="129"/>
      <c r="K12" s="129"/>
      <c r="L12" s="129"/>
      <c r="M12" s="129"/>
      <c r="N12" s="129"/>
    </row>
    <row r="13" spans="1:14">
      <c r="A13" s="129"/>
      <c r="B13" s="138" t="s">
        <v>31</v>
      </c>
      <c r="C13" s="170">
        <v>56</v>
      </c>
      <c r="D13" s="171">
        <v>104</v>
      </c>
      <c r="E13" s="139">
        <v>280</v>
      </c>
      <c r="F13" s="140">
        <v>625</v>
      </c>
      <c r="G13" s="161">
        <f t="shared" si="0"/>
        <v>336</v>
      </c>
      <c r="H13" s="140">
        <f t="shared" si="1"/>
        <v>729</v>
      </c>
      <c r="I13" s="137">
        <v>918</v>
      </c>
      <c r="J13" s="129"/>
      <c r="K13" s="129"/>
      <c r="L13" s="129"/>
      <c r="M13" s="129"/>
      <c r="N13" s="129"/>
    </row>
    <row r="14" spans="1:14">
      <c r="A14" s="129"/>
      <c r="B14" s="138" t="s">
        <v>32</v>
      </c>
      <c r="C14" s="170">
        <v>74</v>
      </c>
      <c r="D14" s="171">
        <v>137</v>
      </c>
      <c r="E14" s="139">
        <v>279</v>
      </c>
      <c r="F14" s="140">
        <v>623</v>
      </c>
      <c r="G14" s="161">
        <f t="shared" si="0"/>
        <v>353</v>
      </c>
      <c r="H14" s="140">
        <f t="shared" si="1"/>
        <v>760</v>
      </c>
      <c r="I14" s="137">
        <v>918</v>
      </c>
      <c r="J14" s="129"/>
      <c r="K14" s="129"/>
      <c r="L14" s="129"/>
      <c r="M14" s="129"/>
      <c r="N14" s="129"/>
    </row>
    <row r="15" spans="1:14">
      <c r="A15" s="129"/>
      <c r="B15" s="138" t="s">
        <v>33</v>
      </c>
      <c r="C15" s="170">
        <v>90</v>
      </c>
      <c r="D15" s="171">
        <v>178</v>
      </c>
      <c r="E15" s="139">
        <v>281</v>
      </c>
      <c r="F15" s="140">
        <v>628</v>
      </c>
      <c r="G15" s="161">
        <f t="shared" si="0"/>
        <v>371</v>
      </c>
      <c r="H15" s="140">
        <f t="shared" ref="H15:H40" si="2">D15+F15</f>
        <v>806</v>
      </c>
      <c r="I15" s="137">
        <v>918</v>
      </c>
      <c r="J15" s="129"/>
      <c r="K15" s="129"/>
      <c r="L15" s="129"/>
      <c r="M15" s="129"/>
      <c r="N15" s="129"/>
    </row>
    <row r="16" spans="1:14">
      <c r="A16" s="129"/>
      <c r="B16" s="138" t="s">
        <v>34</v>
      </c>
      <c r="C16" s="170">
        <v>191</v>
      </c>
      <c r="D16" s="171">
        <v>426</v>
      </c>
      <c r="E16" s="139">
        <v>280</v>
      </c>
      <c r="F16" s="140">
        <v>629</v>
      </c>
      <c r="G16" s="161">
        <f t="shared" si="0"/>
        <v>471</v>
      </c>
      <c r="H16" s="140">
        <f t="shared" si="2"/>
        <v>1055</v>
      </c>
      <c r="I16" s="137">
        <v>918</v>
      </c>
      <c r="J16" s="129"/>
      <c r="K16" s="129"/>
      <c r="L16" s="129"/>
      <c r="M16" s="129"/>
      <c r="N16" s="129"/>
    </row>
    <row r="17" spans="1:14">
      <c r="A17" s="129"/>
      <c r="B17" s="138" t="s">
        <v>35</v>
      </c>
      <c r="C17" s="170">
        <v>170</v>
      </c>
      <c r="D17" s="171">
        <v>393</v>
      </c>
      <c r="E17" s="139">
        <v>282</v>
      </c>
      <c r="F17" s="140">
        <v>633</v>
      </c>
      <c r="G17" s="161">
        <f t="shared" si="0"/>
        <v>452</v>
      </c>
      <c r="H17" s="140">
        <f t="shared" si="2"/>
        <v>1026</v>
      </c>
      <c r="I17" s="137">
        <v>918</v>
      </c>
      <c r="J17" s="129"/>
      <c r="K17" s="129"/>
      <c r="L17" s="129"/>
      <c r="M17" s="129"/>
      <c r="N17" s="129"/>
    </row>
    <row r="18" spans="1:14">
      <c r="A18" s="129"/>
      <c r="B18" s="138" t="s">
        <v>36</v>
      </c>
      <c r="C18" s="170">
        <v>91</v>
      </c>
      <c r="D18" s="171">
        <v>173</v>
      </c>
      <c r="E18" s="139">
        <v>284</v>
      </c>
      <c r="F18" s="140">
        <v>636</v>
      </c>
      <c r="G18" s="161">
        <f t="shared" si="0"/>
        <v>375</v>
      </c>
      <c r="H18" s="140">
        <f t="shared" si="2"/>
        <v>809</v>
      </c>
      <c r="I18" s="137">
        <v>918</v>
      </c>
      <c r="J18" s="129"/>
      <c r="K18" s="129"/>
      <c r="L18" s="129"/>
      <c r="M18" s="129"/>
      <c r="N18" s="129"/>
    </row>
    <row r="19" spans="1:14">
      <c r="A19" s="129"/>
      <c r="B19" s="138" t="s">
        <v>37</v>
      </c>
      <c r="C19" s="170">
        <v>75</v>
      </c>
      <c r="D19" s="171">
        <v>146</v>
      </c>
      <c r="E19" s="139">
        <v>287</v>
      </c>
      <c r="F19" s="140">
        <v>644</v>
      </c>
      <c r="G19" s="161">
        <f t="shared" si="0"/>
        <v>362</v>
      </c>
      <c r="H19" s="140">
        <f t="shared" si="2"/>
        <v>790</v>
      </c>
      <c r="I19" s="137">
        <v>918</v>
      </c>
      <c r="J19" s="129"/>
      <c r="K19" s="129"/>
      <c r="L19" s="129"/>
      <c r="M19" s="129"/>
      <c r="N19" s="129"/>
    </row>
    <row r="20" spans="1:14">
      <c r="A20" s="129"/>
      <c r="B20" s="138" t="s">
        <v>38</v>
      </c>
      <c r="C20" s="170">
        <v>57</v>
      </c>
      <c r="D20" s="171">
        <v>99</v>
      </c>
      <c r="E20" s="139">
        <v>287</v>
      </c>
      <c r="F20" s="140">
        <v>647</v>
      </c>
      <c r="G20" s="161">
        <f t="shared" si="0"/>
        <v>344</v>
      </c>
      <c r="H20" s="140">
        <f t="shared" si="2"/>
        <v>746</v>
      </c>
      <c r="I20" s="137">
        <v>918</v>
      </c>
      <c r="J20" s="129"/>
      <c r="K20" s="129"/>
      <c r="L20" s="129"/>
      <c r="M20" s="129"/>
      <c r="N20" s="129"/>
    </row>
    <row r="21" spans="1:14">
      <c r="A21" s="129"/>
      <c r="B21" s="138" t="s">
        <v>39</v>
      </c>
      <c r="C21" s="170">
        <v>68</v>
      </c>
      <c r="D21" s="171">
        <v>128</v>
      </c>
      <c r="E21" s="161">
        <v>285</v>
      </c>
      <c r="F21" s="140">
        <v>642</v>
      </c>
      <c r="G21" s="161">
        <f t="shared" ref="G21:G34" si="3">SUM(C21+E21)</f>
        <v>353</v>
      </c>
      <c r="H21" s="140">
        <f t="shared" ref="H21:H34" si="4">D21+F21</f>
        <v>770</v>
      </c>
      <c r="I21" s="137">
        <v>918</v>
      </c>
      <c r="J21" s="129"/>
      <c r="K21" s="129"/>
      <c r="L21" s="129"/>
      <c r="M21" s="129"/>
      <c r="N21" s="129"/>
    </row>
    <row r="22" spans="1:14">
      <c r="A22" s="129"/>
      <c r="B22" s="138" t="s">
        <v>40</v>
      </c>
      <c r="C22" s="170">
        <v>69</v>
      </c>
      <c r="D22" s="171">
        <v>137</v>
      </c>
      <c r="E22" s="161">
        <v>287</v>
      </c>
      <c r="F22" s="140">
        <v>650</v>
      </c>
      <c r="G22" s="161">
        <f t="shared" si="3"/>
        <v>356</v>
      </c>
      <c r="H22" s="140">
        <f t="shared" si="4"/>
        <v>787</v>
      </c>
      <c r="I22" s="137">
        <v>918</v>
      </c>
      <c r="J22" s="129"/>
      <c r="K22" s="129"/>
      <c r="L22" s="129"/>
      <c r="M22" s="129"/>
      <c r="N22" s="129"/>
    </row>
    <row r="23" spans="1:14">
      <c r="A23" s="129"/>
      <c r="B23" s="138" t="s">
        <v>41</v>
      </c>
      <c r="C23" s="170">
        <v>136</v>
      </c>
      <c r="D23" s="171">
        <v>306</v>
      </c>
      <c r="E23" s="161">
        <v>290</v>
      </c>
      <c r="F23" s="140">
        <v>655</v>
      </c>
      <c r="G23" s="161">
        <f t="shared" si="3"/>
        <v>426</v>
      </c>
      <c r="H23" s="140">
        <f t="shared" si="4"/>
        <v>961</v>
      </c>
      <c r="I23" s="137">
        <v>918</v>
      </c>
      <c r="J23" s="129"/>
      <c r="K23" s="129"/>
      <c r="L23" s="129"/>
      <c r="M23" s="129"/>
      <c r="N23" s="129"/>
    </row>
    <row r="24" spans="1:14">
      <c r="A24" s="129"/>
      <c r="B24" s="138" t="s">
        <v>42</v>
      </c>
      <c r="C24" s="170">
        <v>107</v>
      </c>
      <c r="D24" s="171">
        <v>213</v>
      </c>
      <c r="E24" s="161">
        <v>291</v>
      </c>
      <c r="F24" s="140">
        <v>660</v>
      </c>
      <c r="G24" s="161">
        <f t="shared" si="3"/>
        <v>398</v>
      </c>
      <c r="H24" s="140">
        <f t="shared" si="4"/>
        <v>873</v>
      </c>
      <c r="I24" s="137">
        <v>918</v>
      </c>
      <c r="J24" s="129"/>
      <c r="K24" s="129"/>
      <c r="L24" s="129"/>
      <c r="M24" s="129"/>
      <c r="N24" s="129"/>
    </row>
    <row r="25" spans="1:14">
      <c r="A25" s="129"/>
      <c r="B25" s="138" t="s">
        <v>43</v>
      </c>
      <c r="C25" s="170">
        <v>71</v>
      </c>
      <c r="D25" s="171">
        <v>143</v>
      </c>
      <c r="E25" s="161">
        <v>291</v>
      </c>
      <c r="F25" s="140">
        <v>659</v>
      </c>
      <c r="G25" s="161">
        <f t="shared" si="3"/>
        <v>362</v>
      </c>
      <c r="H25" s="140">
        <f t="shared" si="4"/>
        <v>802</v>
      </c>
      <c r="I25" s="137">
        <v>918</v>
      </c>
      <c r="J25" s="129"/>
      <c r="K25" s="129"/>
      <c r="L25" s="129"/>
      <c r="M25" s="129"/>
      <c r="N25" s="129"/>
    </row>
    <row r="26" spans="1:14">
      <c r="A26" s="129"/>
      <c r="B26" s="138" t="s">
        <v>44</v>
      </c>
      <c r="C26" s="170">
        <v>62</v>
      </c>
      <c r="D26" s="171">
        <v>116</v>
      </c>
      <c r="E26" s="161">
        <v>290</v>
      </c>
      <c r="F26" s="140">
        <v>658</v>
      </c>
      <c r="G26" s="161">
        <f t="shared" si="3"/>
        <v>352</v>
      </c>
      <c r="H26" s="140">
        <f t="shared" si="4"/>
        <v>774</v>
      </c>
      <c r="I26" s="137">
        <v>918</v>
      </c>
      <c r="J26" s="129"/>
      <c r="K26" s="129"/>
      <c r="L26" s="129"/>
      <c r="M26" s="129"/>
      <c r="N26" s="129"/>
    </row>
    <row r="27" spans="1:14">
      <c r="A27" s="129"/>
      <c r="B27" s="138" t="s">
        <v>45</v>
      </c>
      <c r="C27" s="170">
        <v>85</v>
      </c>
      <c r="D27" s="171">
        <v>168</v>
      </c>
      <c r="E27" s="161">
        <v>288</v>
      </c>
      <c r="F27" s="140">
        <v>653</v>
      </c>
      <c r="G27" s="161">
        <f t="shared" si="3"/>
        <v>373</v>
      </c>
      <c r="H27" s="140">
        <f t="shared" si="4"/>
        <v>821</v>
      </c>
      <c r="I27" s="137">
        <v>918</v>
      </c>
      <c r="J27" s="129"/>
      <c r="K27" s="129"/>
      <c r="L27" s="129"/>
      <c r="M27" s="129"/>
      <c r="N27" s="129"/>
    </row>
    <row r="28" spans="1:14">
      <c r="A28" s="129"/>
      <c r="B28" s="138" t="s">
        <v>46</v>
      </c>
      <c r="C28" s="139">
        <v>106</v>
      </c>
      <c r="D28" s="140">
        <v>213</v>
      </c>
      <c r="E28" s="161">
        <v>291</v>
      </c>
      <c r="F28" s="140">
        <v>663</v>
      </c>
      <c r="G28" s="161">
        <f t="shared" si="3"/>
        <v>397</v>
      </c>
      <c r="H28" s="140">
        <f t="shared" si="4"/>
        <v>876</v>
      </c>
      <c r="I28" s="137">
        <v>918</v>
      </c>
      <c r="J28" s="129"/>
      <c r="K28" s="129"/>
      <c r="L28" s="129"/>
      <c r="M28" s="129"/>
      <c r="N28" s="129"/>
    </row>
    <row r="29" spans="1:14">
      <c r="A29" s="129"/>
      <c r="B29" s="138" t="s">
        <v>47</v>
      </c>
      <c r="C29" s="139">
        <v>148</v>
      </c>
      <c r="D29" s="140">
        <v>309</v>
      </c>
      <c r="E29" s="161">
        <v>293</v>
      </c>
      <c r="F29" s="140">
        <v>667</v>
      </c>
      <c r="G29" s="161">
        <f t="shared" si="3"/>
        <v>441</v>
      </c>
      <c r="H29" s="140">
        <f t="shared" si="4"/>
        <v>976</v>
      </c>
      <c r="I29" s="137">
        <v>918</v>
      </c>
      <c r="J29" s="129"/>
      <c r="K29" s="129"/>
      <c r="L29" s="129"/>
      <c r="M29" s="129"/>
      <c r="N29" s="129"/>
    </row>
    <row r="30" spans="1:14">
      <c r="A30" s="129"/>
      <c r="B30" s="138" t="s">
        <v>48</v>
      </c>
      <c r="C30" s="139">
        <v>191</v>
      </c>
      <c r="D30" s="140">
        <v>417</v>
      </c>
      <c r="E30" s="161">
        <v>294</v>
      </c>
      <c r="F30" s="140">
        <v>668</v>
      </c>
      <c r="G30" s="161">
        <f t="shared" si="3"/>
        <v>485</v>
      </c>
      <c r="H30" s="140">
        <f t="shared" si="4"/>
        <v>1085</v>
      </c>
      <c r="I30" s="137">
        <v>918</v>
      </c>
      <c r="J30" s="129"/>
      <c r="K30" s="129"/>
      <c r="L30" s="129"/>
      <c r="M30" s="129"/>
      <c r="N30" s="129"/>
    </row>
    <row r="31" spans="1:14">
      <c r="A31" s="129"/>
      <c r="B31" s="138" t="s">
        <v>49</v>
      </c>
      <c r="C31" s="139">
        <v>147</v>
      </c>
      <c r="D31" s="140">
        <v>288</v>
      </c>
      <c r="E31" s="161">
        <v>293</v>
      </c>
      <c r="F31" s="140">
        <v>668</v>
      </c>
      <c r="G31" s="161">
        <f t="shared" si="3"/>
        <v>440</v>
      </c>
      <c r="H31" s="140">
        <f t="shared" si="4"/>
        <v>956</v>
      </c>
      <c r="I31" s="137">
        <v>918</v>
      </c>
      <c r="J31" s="129"/>
      <c r="K31" s="129"/>
      <c r="L31" s="129"/>
      <c r="M31" s="129"/>
      <c r="N31" s="129"/>
    </row>
    <row r="32" spans="1:14">
      <c r="A32" s="129"/>
      <c r="B32" s="138" t="s">
        <v>50</v>
      </c>
      <c r="C32" s="139">
        <v>99</v>
      </c>
      <c r="D32" s="140">
        <v>191</v>
      </c>
      <c r="E32" s="161">
        <v>295</v>
      </c>
      <c r="F32" s="140">
        <v>672</v>
      </c>
      <c r="G32" s="161">
        <f t="shared" si="3"/>
        <v>394</v>
      </c>
      <c r="H32" s="140">
        <f t="shared" si="4"/>
        <v>863</v>
      </c>
      <c r="I32" s="137">
        <v>918</v>
      </c>
      <c r="J32" s="129"/>
      <c r="K32" s="129"/>
      <c r="L32" s="129"/>
      <c r="M32" s="129"/>
      <c r="N32" s="129"/>
    </row>
    <row r="33" spans="1:14">
      <c r="A33" s="129"/>
      <c r="B33" s="138" t="s">
        <v>51</v>
      </c>
      <c r="C33" s="139">
        <v>93</v>
      </c>
      <c r="D33" s="140">
        <v>181</v>
      </c>
      <c r="E33" s="161">
        <v>295</v>
      </c>
      <c r="F33" s="140">
        <v>668</v>
      </c>
      <c r="G33" s="161">
        <f t="shared" si="3"/>
        <v>388</v>
      </c>
      <c r="H33" s="140">
        <f t="shared" si="4"/>
        <v>849</v>
      </c>
      <c r="I33" s="137">
        <v>918</v>
      </c>
      <c r="J33" s="129"/>
      <c r="K33" s="129"/>
      <c r="L33" s="129"/>
      <c r="M33" s="129"/>
      <c r="N33" s="129"/>
    </row>
    <row r="34" spans="1:14">
      <c r="A34" s="129"/>
      <c r="B34" s="138" t="s">
        <v>52</v>
      </c>
      <c r="C34" s="139">
        <v>85</v>
      </c>
      <c r="D34" s="140">
        <v>163</v>
      </c>
      <c r="E34" s="161">
        <v>296</v>
      </c>
      <c r="F34" s="140">
        <v>670</v>
      </c>
      <c r="G34" s="161">
        <f t="shared" si="3"/>
        <v>381</v>
      </c>
      <c r="H34" s="140">
        <f t="shared" si="4"/>
        <v>833</v>
      </c>
      <c r="I34" s="137">
        <v>918</v>
      </c>
      <c r="J34" s="129"/>
      <c r="K34" s="129"/>
      <c r="L34" s="129"/>
      <c r="M34" s="129"/>
      <c r="N34" s="129"/>
    </row>
    <row r="35" spans="1:14">
      <c r="A35" s="129"/>
      <c r="B35" s="138" t="s">
        <v>53</v>
      </c>
      <c r="C35" s="139">
        <v>117</v>
      </c>
      <c r="D35" s="140">
        <v>226</v>
      </c>
      <c r="E35" s="139">
        <v>297</v>
      </c>
      <c r="F35" s="140">
        <v>672</v>
      </c>
      <c r="G35" s="161">
        <f t="shared" si="0"/>
        <v>414</v>
      </c>
      <c r="H35" s="140">
        <f t="shared" si="2"/>
        <v>898</v>
      </c>
      <c r="I35" s="137">
        <v>918</v>
      </c>
      <c r="J35" s="129"/>
      <c r="K35" s="129"/>
      <c r="L35" s="129"/>
      <c r="M35" s="129"/>
      <c r="N35" s="129"/>
    </row>
    <row r="36" spans="1:14">
      <c r="A36" s="129"/>
      <c r="B36" s="138" t="s">
        <v>54</v>
      </c>
      <c r="C36" s="139">
        <v>131</v>
      </c>
      <c r="D36" s="140">
        <v>271</v>
      </c>
      <c r="E36" s="139">
        <v>299</v>
      </c>
      <c r="F36" s="140">
        <v>675</v>
      </c>
      <c r="G36" s="161">
        <f t="shared" si="0"/>
        <v>430</v>
      </c>
      <c r="H36" s="140">
        <f t="shared" si="2"/>
        <v>946</v>
      </c>
      <c r="I36" s="137">
        <v>918</v>
      </c>
      <c r="J36" s="129"/>
      <c r="K36" s="129"/>
      <c r="L36" s="129"/>
      <c r="M36" s="129"/>
      <c r="N36" s="129"/>
    </row>
    <row r="37" spans="1:14">
      <c r="A37" s="129"/>
      <c r="B37" s="138" t="s">
        <v>55</v>
      </c>
      <c r="C37" s="139">
        <v>208</v>
      </c>
      <c r="D37" s="140">
        <v>471</v>
      </c>
      <c r="E37" s="139">
        <v>299</v>
      </c>
      <c r="F37" s="140">
        <v>674</v>
      </c>
      <c r="G37" s="161">
        <f t="shared" si="0"/>
        <v>507</v>
      </c>
      <c r="H37" s="140">
        <f t="shared" si="2"/>
        <v>1145</v>
      </c>
      <c r="I37" s="137">
        <v>918</v>
      </c>
      <c r="J37" s="129"/>
      <c r="K37" s="129"/>
      <c r="L37" s="129"/>
      <c r="M37" s="129"/>
      <c r="N37" s="129"/>
    </row>
    <row r="38" spans="1:14" s="174" customFormat="1">
      <c r="A38" s="168"/>
      <c r="B38" s="169" t="s">
        <v>56</v>
      </c>
      <c r="C38" s="170">
        <v>157</v>
      </c>
      <c r="D38" s="140">
        <v>332</v>
      </c>
      <c r="E38" s="170">
        <v>298</v>
      </c>
      <c r="F38" s="171">
        <v>673</v>
      </c>
      <c r="G38" s="172">
        <f t="shared" si="0"/>
        <v>455</v>
      </c>
      <c r="H38" s="171">
        <f t="shared" si="2"/>
        <v>1005</v>
      </c>
      <c r="I38" s="173">
        <v>918</v>
      </c>
      <c r="J38" s="168"/>
      <c r="K38" s="168"/>
      <c r="L38" s="168"/>
      <c r="M38" s="168"/>
      <c r="N38" s="168"/>
    </row>
    <row r="39" spans="1:14" s="174" customFormat="1">
      <c r="A39" s="168"/>
      <c r="B39" s="169" t="s">
        <v>57</v>
      </c>
      <c r="C39" s="170">
        <v>146</v>
      </c>
      <c r="D39" s="171">
        <v>288</v>
      </c>
      <c r="E39" s="170">
        <v>301</v>
      </c>
      <c r="F39" s="171">
        <v>681</v>
      </c>
      <c r="G39" s="172">
        <f t="shared" si="0"/>
        <v>447</v>
      </c>
      <c r="H39" s="171">
        <f t="shared" si="2"/>
        <v>969</v>
      </c>
      <c r="I39" s="173">
        <v>918</v>
      </c>
      <c r="J39" s="168"/>
      <c r="K39" s="168"/>
      <c r="L39" s="168"/>
      <c r="M39" s="168"/>
      <c r="N39" s="168"/>
    </row>
    <row r="40" spans="1:14" s="174" customFormat="1" ht="15.75" thickBot="1">
      <c r="A40" s="168"/>
      <c r="B40" s="169" t="s">
        <v>58</v>
      </c>
      <c r="C40" s="175">
        <v>112</v>
      </c>
      <c r="D40" s="176">
        <v>214</v>
      </c>
      <c r="E40" s="175">
        <v>300</v>
      </c>
      <c r="F40" s="176">
        <v>681</v>
      </c>
      <c r="G40" s="177">
        <f t="shared" si="0"/>
        <v>412</v>
      </c>
      <c r="H40" s="176">
        <f t="shared" si="2"/>
        <v>895</v>
      </c>
      <c r="I40" s="173">
        <v>918</v>
      </c>
      <c r="J40" s="168"/>
      <c r="K40" s="168"/>
      <c r="L40" s="168"/>
      <c r="M40" s="168"/>
      <c r="N40" s="168"/>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37505</v>
      </c>
      <c r="F2" s="100"/>
      <c r="G2" s="100">
        <f>'Athens Daily - Gas'!BH9</f>
        <v>188131.20000000001</v>
      </c>
      <c r="H2" s="100">
        <f>G2/38.3</f>
        <v>4912.0417754569198</v>
      </c>
      <c r="I2" s="100"/>
      <c r="J2" s="100">
        <f>'Athens Daily - Water'!R7</f>
        <v>856.5</v>
      </c>
      <c r="K2" s="100"/>
      <c r="L2" s="101">
        <v>142</v>
      </c>
      <c r="M2" s="100">
        <f>L2*2</f>
        <v>284</v>
      </c>
      <c r="N2" s="98">
        <v>10</v>
      </c>
    </row>
    <row r="3" spans="1:14">
      <c r="A3" s="7" t="s">
        <v>14</v>
      </c>
      <c r="B3" s="7">
        <v>2</v>
      </c>
      <c r="C3" s="7">
        <v>1</v>
      </c>
      <c r="D3" s="7">
        <v>2021</v>
      </c>
      <c r="E3" s="100">
        <f>'Athens Daily - EL'!AP9</f>
        <v>33475</v>
      </c>
      <c r="F3" s="100"/>
      <c r="G3" s="100">
        <f>'Athens Daily - Gas'!BH11</f>
        <v>216624</v>
      </c>
      <c r="H3" s="100">
        <f t="shared" ref="H3:H32" si="0">G3/38.3</f>
        <v>5655.9791122715405</v>
      </c>
      <c r="I3" s="100"/>
      <c r="J3" s="100">
        <f>'Athens Daily - Water'!R8</f>
        <v>393.5</v>
      </c>
      <c r="K3" s="100"/>
      <c r="L3" s="101">
        <v>102</v>
      </c>
      <c r="M3" s="100">
        <f t="shared" ref="M3:M32" si="1">L3*2</f>
        <v>204</v>
      </c>
      <c r="N3" s="98">
        <v>12</v>
      </c>
    </row>
    <row r="4" spans="1:14">
      <c r="A4" s="7" t="s">
        <v>14</v>
      </c>
      <c r="B4" s="7">
        <v>3</v>
      </c>
      <c r="C4" s="7">
        <v>1</v>
      </c>
      <c r="D4" s="7">
        <v>2021</v>
      </c>
      <c r="E4" s="100">
        <f>'Athens Daily - EL'!AP10</f>
        <v>35160</v>
      </c>
      <c r="F4" s="100"/>
      <c r="G4" s="100">
        <f>'Athens Daily - Gas'!BH12</f>
        <v>106540.79999999999</v>
      </c>
      <c r="H4" s="100">
        <f t="shared" si="0"/>
        <v>2781.7441253263705</v>
      </c>
      <c r="I4" s="100"/>
      <c r="J4" s="100">
        <f>'Athens Daily - Water'!R9</f>
        <v>372</v>
      </c>
      <c r="K4" s="100"/>
      <c r="L4" s="101">
        <v>55</v>
      </c>
      <c r="M4" s="100">
        <f t="shared" si="1"/>
        <v>110</v>
      </c>
      <c r="N4" s="98">
        <v>15</v>
      </c>
    </row>
    <row r="5" spans="1:14">
      <c r="A5" s="7" t="s">
        <v>14</v>
      </c>
      <c r="B5" s="7">
        <v>4</v>
      </c>
      <c r="C5" s="7">
        <v>1</v>
      </c>
      <c r="D5" s="7">
        <v>2021</v>
      </c>
      <c r="E5" s="100">
        <f>'Athens Daily - EL'!AP11</f>
        <v>39415</v>
      </c>
      <c r="F5" s="100"/>
      <c r="G5" s="100">
        <f>'Athens Daily - Gas'!BH13</f>
        <v>113232</v>
      </c>
      <c r="H5" s="100">
        <f t="shared" si="0"/>
        <v>2956.4490861618801</v>
      </c>
      <c r="I5" s="100"/>
      <c r="J5" s="100">
        <f>'Athens Daily - Water'!R10</f>
        <v>293.3851250000007</v>
      </c>
      <c r="K5" s="100"/>
      <c r="L5" s="101">
        <v>45</v>
      </c>
      <c r="M5" s="100">
        <f t="shared" si="1"/>
        <v>90</v>
      </c>
      <c r="N5" s="98">
        <v>17</v>
      </c>
    </row>
    <row r="6" spans="1:14">
      <c r="A6" s="7" t="s">
        <v>14</v>
      </c>
      <c r="B6" s="7">
        <v>5</v>
      </c>
      <c r="C6" s="7">
        <v>1</v>
      </c>
      <c r="D6" s="7">
        <v>2021</v>
      </c>
      <c r="E6" s="100">
        <f>'Athens Daily - EL'!AP12</f>
        <v>35155</v>
      </c>
      <c r="F6" s="100"/>
      <c r="G6" s="100">
        <f>'Athens Daily - Gas'!BH14</f>
        <v>110889.60000000001</v>
      </c>
      <c r="H6" s="100">
        <f t="shared" si="0"/>
        <v>2895.2898172323762</v>
      </c>
      <c r="I6" s="100"/>
      <c r="J6" s="100">
        <f>'Athens Daily - Water'!R11</f>
        <v>485.44823437500054</v>
      </c>
      <c r="K6" s="100"/>
      <c r="L6" s="101">
        <v>34</v>
      </c>
      <c r="M6" s="100">
        <f t="shared" si="1"/>
        <v>68</v>
      </c>
      <c r="N6" s="98">
        <v>15</v>
      </c>
    </row>
    <row r="7" spans="1:14">
      <c r="A7" s="7" t="s">
        <v>14</v>
      </c>
      <c r="B7" s="7">
        <v>6</v>
      </c>
      <c r="C7" s="7">
        <v>1</v>
      </c>
      <c r="D7" s="7">
        <v>2021</v>
      </c>
      <c r="E7" s="100">
        <f>'Athens Daily - EL'!AP13</f>
        <v>36930</v>
      </c>
      <c r="F7" s="100"/>
      <c r="G7" s="100">
        <f>'Athens Daily - Gas'!BH15</f>
        <v>121550.39999999999</v>
      </c>
      <c r="H7" s="100">
        <f t="shared" si="0"/>
        <v>3173.6396866840732</v>
      </c>
      <c r="I7" s="100"/>
      <c r="J7" s="100">
        <f>'Athens Daily - Water'!R12</f>
        <v>406.18033007812483</v>
      </c>
      <c r="K7" s="100"/>
      <c r="L7" s="101">
        <v>36</v>
      </c>
      <c r="M7" s="100">
        <f t="shared" si="1"/>
        <v>72</v>
      </c>
      <c r="N7" s="98"/>
    </row>
    <row r="8" spans="1:14">
      <c r="A8" s="7" t="s">
        <v>14</v>
      </c>
      <c r="B8" s="7">
        <v>7</v>
      </c>
      <c r="C8" s="7">
        <v>1</v>
      </c>
      <c r="D8" s="7">
        <v>2021</v>
      </c>
      <c r="E8" s="100">
        <f>'Athens Daily - EL'!AP14</f>
        <v>44240</v>
      </c>
      <c r="F8" s="100"/>
      <c r="G8" s="100">
        <f>'Athens Daily - Gas'!BH16</f>
        <v>126506.88000000002</v>
      </c>
      <c r="H8" s="100">
        <f t="shared" si="0"/>
        <v>3303.051697127938</v>
      </c>
      <c r="I8" s="100"/>
      <c r="J8" s="100">
        <f>'Athens Daily - Water'!R13</f>
        <v>488.94378881835837</v>
      </c>
      <c r="K8" s="100"/>
      <c r="L8" s="101">
        <v>60</v>
      </c>
      <c r="M8" s="100">
        <f t="shared" si="1"/>
        <v>120</v>
      </c>
      <c r="N8" s="98"/>
    </row>
    <row r="9" spans="1:14">
      <c r="A9" s="7" t="s">
        <v>14</v>
      </c>
      <c r="B9" s="7">
        <v>8</v>
      </c>
      <c r="C9" s="7">
        <v>1</v>
      </c>
      <c r="D9" s="7">
        <v>2021</v>
      </c>
      <c r="E9" s="100">
        <f>'Athens Daily - EL'!AP15</f>
        <v>40410</v>
      </c>
      <c r="F9" s="100"/>
      <c r="G9" s="100">
        <f>'Athens Daily - Gas'!BH17</f>
        <v>112250.076</v>
      </c>
      <c r="H9" s="100">
        <f t="shared" si="0"/>
        <v>2930.8113838120107</v>
      </c>
      <c r="I9" s="100"/>
      <c r="J9" s="100">
        <f>'Athens Daily - Water'!R14</f>
        <v>552.01145271606401</v>
      </c>
      <c r="K9" s="100"/>
      <c r="L9" s="101">
        <v>64</v>
      </c>
      <c r="M9" s="100">
        <f t="shared" si="1"/>
        <v>128</v>
      </c>
      <c r="N9" s="98"/>
    </row>
    <row r="10" spans="1:14">
      <c r="A10" s="7" t="s">
        <v>14</v>
      </c>
      <c r="B10" s="7">
        <v>9</v>
      </c>
      <c r="C10" s="7">
        <v>1</v>
      </c>
      <c r="D10" s="7">
        <v>2021</v>
      </c>
      <c r="E10" s="100">
        <f>'Athens Daily - EL'!AP16</f>
        <v>38920</v>
      </c>
      <c r="F10" s="100"/>
      <c r="G10" s="100">
        <f>'Athens Daily - Gas'!BH18</f>
        <v>113161.476</v>
      </c>
      <c r="H10" s="100">
        <f t="shared" si="0"/>
        <v>2954.6077284595303</v>
      </c>
      <c r="I10" s="100"/>
      <c r="J10" s="100">
        <f>'Athens Daily - Water'!R15</f>
        <v>451.03288362655621</v>
      </c>
      <c r="K10" s="100"/>
      <c r="L10" s="101">
        <v>100</v>
      </c>
      <c r="M10" s="100">
        <f t="shared" si="1"/>
        <v>200</v>
      </c>
      <c r="N10" s="98">
        <v>9</v>
      </c>
    </row>
    <row r="11" spans="1:14">
      <c r="A11" s="7" t="s">
        <v>14</v>
      </c>
      <c r="B11" s="7">
        <v>10</v>
      </c>
      <c r="C11" s="7">
        <v>1</v>
      </c>
      <c r="D11" s="7">
        <v>2021</v>
      </c>
      <c r="E11" s="100">
        <f>'Athens Daily - EL'!AP17</f>
        <v>41610</v>
      </c>
      <c r="F11" s="100"/>
      <c r="G11" s="100">
        <f>'Athens Daily - Gas'!BH19</f>
        <v>114558.144</v>
      </c>
      <c r="H11" s="100">
        <f t="shared" si="0"/>
        <v>2991.0742558746738</v>
      </c>
      <c r="I11" s="100"/>
      <c r="J11" s="100">
        <f>'Athens Daily - Water'!R16</f>
        <v>217.49977317323646</v>
      </c>
      <c r="K11" s="100"/>
      <c r="L11" s="101">
        <v>63</v>
      </c>
      <c r="M11" s="100">
        <f t="shared" si="1"/>
        <v>126</v>
      </c>
      <c r="N11" s="98">
        <v>12</v>
      </c>
    </row>
    <row r="12" spans="1:14">
      <c r="A12" s="7" t="s">
        <v>14</v>
      </c>
      <c r="B12" s="7">
        <v>11</v>
      </c>
      <c r="C12" s="7">
        <v>1</v>
      </c>
      <c r="D12" s="7">
        <v>2021</v>
      </c>
      <c r="E12" s="100">
        <f>'Athens Daily - EL'!AP18</f>
        <v>42170</v>
      </c>
      <c r="F12" s="100"/>
      <c r="G12" s="100">
        <f>'Athens Daily - Gas'!BH20</f>
        <v>111316.75200000001</v>
      </c>
      <c r="H12" s="100">
        <f t="shared" si="0"/>
        <v>2906.4426109660581</v>
      </c>
      <c r="I12" s="100"/>
      <c r="J12" s="100">
        <f>'Athens Daily - Water'!R17</f>
        <v>219.57941221265901</v>
      </c>
      <c r="K12" s="100"/>
      <c r="L12" s="101">
        <v>39</v>
      </c>
      <c r="M12" s="100">
        <f t="shared" si="1"/>
        <v>78</v>
      </c>
      <c r="N12" s="98">
        <v>12</v>
      </c>
    </row>
    <row r="13" spans="1:14">
      <c r="A13" s="7" t="s">
        <v>14</v>
      </c>
      <c r="B13" s="7">
        <v>12</v>
      </c>
      <c r="C13" s="7">
        <v>1</v>
      </c>
      <c r="D13" s="7">
        <v>2021</v>
      </c>
      <c r="E13" s="100">
        <f>'Athens Daily - EL'!AP19</f>
        <v>43480</v>
      </c>
      <c r="F13" s="100"/>
      <c r="G13" s="100">
        <f>'Athens Daily - Gas'!BH21</f>
        <v>112912.65599999999</v>
      </c>
      <c r="H13" s="100">
        <f t="shared" si="0"/>
        <v>2948.1111227154047</v>
      </c>
      <c r="I13" s="100"/>
      <c r="J13" s="100">
        <f>'Athens Daily - Water'!R18</f>
        <v>391.88999999999942</v>
      </c>
      <c r="K13" s="100"/>
      <c r="L13" s="101">
        <v>43</v>
      </c>
      <c r="M13" s="100">
        <f t="shared" si="1"/>
        <v>86</v>
      </c>
      <c r="N13" s="98">
        <v>10</v>
      </c>
    </row>
    <row r="14" spans="1:14">
      <c r="A14" s="7" t="s">
        <v>14</v>
      </c>
      <c r="B14" s="7">
        <v>13</v>
      </c>
      <c r="C14" s="7">
        <v>1</v>
      </c>
      <c r="D14" s="7">
        <v>2021</v>
      </c>
      <c r="E14" s="100">
        <f>'Athens Daily - EL'!AP20</f>
        <v>43965</v>
      </c>
      <c r="F14" s="100"/>
      <c r="G14" s="100">
        <f>'Athens Daily - Gas'!BH22</f>
        <v>120617.27999999998</v>
      </c>
      <c r="H14" s="100">
        <f t="shared" si="0"/>
        <v>3149.276240208877</v>
      </c>
      <c r="I14" s="100"/>
      <c r="J14" s="100">
        <f>'Athens Daily - Water'!R19</f>
        <v>410.30500000000029</v>
      </c>
      <c r="K14" s="100"/>
      <c r="L14" s="101">
        <v>46</v>
      </c>
      <c r="M14" s="100">
        <f t="shared" si="1"/>
        <v>92</v>
      </c>
      <c r="N14" s="98">
        <v>12</v>
      </c>
    </row>
    <row r="15" spans="1:14">
      <c r="A15" s="7" t="s">
        <v>14</v>
      </c>
      <c r="B15" s="7">
        <v>14</v>
      </c>
      <c r="C15" s="7">
        <v>1</v>
      </c>
      <c r="D15" s="7">
        <v>2021</v>
      </c>
      <c r="E15" s="100">
        <f>'Athens Daily - EL'!AP21</f>
        <v>39741.130000000121</v>
      </c>
      <c r="F15" s="100"/>
      <c r="G15" s="100">
        <f>'Athens Daily - Gas'!BH23</f>
        <v>128081.47199999999</v>
      </c>
      <c r="H15" s="100">
        <f t="shared" si="0"/>
        <v>3344.1637597911226</v>
      </c>
      <c r="I15" s="100"/>
      <c r="J15" s="100">
        <f>'Athens Daily - Water'!R20</f>
        <v>440.28800000000047</v>
      </c>
      <c r="K15" s="100"/>
      <c r="L15" s="101">
        <v>55</v>
      </c>
      <c r="M15" s="100">
        <f t="shared" si="1"/>
        <v>110</v>
      </c>
      <c r="N15" s="98">
        <v>13</v>
      </c>
    </row>
    <row r="16" spans="1:14">
      <c r="A16" s="7" t="s">
        <v>14</v>
      </c>
      <c r="B16" s="7">
        <v>15</v>
      </c>
      <c r="C16" s="7">
        <v>1</v>
      </c>
      <c r="D16" s="7">
        <v>2021</v>
      </c>
      <c r="E16" s="100">
        <f>'Athens Daily - EL'!AP22</f>
        <v>38568.869999999879</v>
      </c>
      <c r="F16" s="100"/>
      <c r="G16" s="100">
        <f>'Athens Daily - Gas'!BH24</f>
        <v>121353.98400000001</v>
      </c>
      <c r="H16" s="100">
        <f t="shared" si="0"/>
        <v>3168.5113315926897</v>
      </c>
      <c r="I16" s="100"/>
      <c r="J16" s="100">
        <f>'Athens Daily - Water'!R21</f>
        <v>525.48509999999987</v>
      </c>
      <c r="K16" s="100"/>
      <c r="L16" s="101">
        <v>74</v>
      </c>
      <c r="M16" s="100">
        <f t="shared" si="1"/>
        <v>148</v>
      </c>
      <c r="N16" s="98">
        <v>13</v>
      </c>
    </row>
    <row r="17" spans="1:14">
      <c r="A17" s="7" t="s">
        <v>14</v>
      </c>
      <c r="B17" s="7">
        <v>16</v>
      </c>
      <c r="C17" s="7">
        <v>1</v>
      </c>
      <c r="D17" s="7">
        <v>2021</v>
      </c>
      <c r="E17" s="100">
        <f>'Athens Daily - EL'!AP23</f>
        <v>34265</v>
      </c>
      <c r="F17" s="100"/>
      <c r="G17" s="100">
        <f>'Athens Daily - Gas'!BH25</f>
        <v>117506.928</v>
      </c>
      <c r="H17" s="100">
        <f t="shared" si="0"/>
        <v>3068.0660052219323</v>
      </c>
      <c r="I17" s="100"/>
      <c r="J17" s="100">
        <f>'Athens Daily - Water'!R22</f>
        <v>462.18289999999979</v>
      </c>
      <c r="K17" s="100"/>
      <c r="L17" s="101">
        <v>149</v>
      </c>
      <c r="M17" s="100">
        <f t="shared" si="1"/>
        <v>298</v>
      </c>
      <c r="N17" s="102"/>
    </row>
    <row r="18" spans="1:14">
      <c r="A18" s="7" t="s">
        <v>14</v>
      </c>
      <c r="B18" s="7">
        <v>17</v>
      </c>
      <c r="C18" s="7">
        <v>1</v>
      </c>
      <c r="D18" s="7">
        <v>2021</v>
      </c>
      <c r="E18" s="100">
        <f>'Athens Daily - EL'!AP24</f>
        <v>35990</v>
      </c>
      <c r="F18" s="100"/>
      <c r="G18" s="100">
        <f>'Athens Daily - Gas'!BH26</f>
        <v>105242.78399999997</v>
      </c>
      <c r="H18" s="100">
        <f t="shared" si="0"/>
        <v>2747.8533681462136</v>
      </c>
      <c r="I18" s="100"/>
      <c r="J18" s="100">
        <f>'Athens Daily - Water'!R23</f>
        <v>413.76800000000003</v>
      </c>
      <c r="K18" s="100"/>
      <c r="L18" s="101">
        <v>64</v>
      </c>
      <c r="M18" s="100">
        <f t="shared" si="1"/>
        <v>128</v>
      </c>
      <c r="N18" s="102"/>
    </row>
    <row r="19" spans="1:14">
      <c r="A19" s="7" t="s">
        <v>14</v>
      </c>
      <c r="B19" s="7">
        <v>18</v>
      </c>
      <c r="C19" s="7">
        <v>1</v>
      </c>
      <c r="D19" s="7">
        <v>2021</v>
      </c>
      <c r="E19" s="100">
        <f>'Athens Daily - EL'!AP25</f>
        <v>36295</v>
      </c>
      <c r="F19" s="100"/>
      <c r="G19" s="100">
        <f>'Athens Daily - Gas'!BH27</f>
        <v>109105.96800000002</v>
      </c>
      <c r="H19" s="100">
        <f t="shared" si="0"/>
        <v>2848.7197911227163</v>
      </c>
      <c r="I19" s="100"/>
      <c r="J19" s="100">
        <f>'Athens Daily - Water'!R24</f>
        <v>452</v>
      </c>
      <c r="K19" s="100"/>
      <c r="L19" s="101">
        <v>58</v>
      </c>
      <c r="M19" s="100">
        <f t="shared" si="1"/>
        <v>116</v>
      </c>
      <c r="N19" s="102"/>
    </row>
    <row r="20" spans="1:14">
      <c r="A20" s="7" t="s">
        <v>14</v>
      </c>
      <c r="B20" s="7">
        <v>19</v>
      </c>
      <c r="C20" s="7">
        <v>1</v>
      </c>
      <c r="D20" s="7">
        <v>2021</v>
      </c>
      <c r="E20" s="100">
        <f>'Athens Daily - EL'!AP26</f>
        <v>39270</v>
      </c>
      <c r="F20" s="100"/>
      <c r="G20" s="100">
        <f>'Athens Daily - Gas'!BH28</f>
        <v>115847.03999999999</v>
      </c>
      <c r="H20" s="100">
        <f t="shared" si="0"/>
        <v>3024.7268929503916</v>
      </c>
      <c r="I20" s="100"/>
      <c r="J20" s="100">
        <f>'Athens Daily - Water'!R25</f>
        <v>426</v>
      </c>
      <c r="K20" s="100"/>
      <c r="L20" s="101">
        <v>69</v>
      </c>
      <c r="M20" s="100">
        <f t="shared" si="1"/>
        <v>138</v>
      </c>
      <c r="N20" s="102"/>
    </row>
    <row r="21" spans="1:14">
      <c r="A21" s="7" t="s">
        <v>14</v>
      </c>
      <c r="B21" s="7">
        <v>20</v>
      </c>
      <c r="C21" s="7">
        <v>1</v>
      </c>
      <c r="D21" s="7">
        <v>2021</v>
      </c>
      <c r="E21" s="100">
        <f>'Athens Daily - EL'!AP27</f>
        <v>41810</v>
      </c>
      <c r="F21" s="100"/>
      <c r="G21" s="100">
        <f>'Athens Daily - Gas'!BH29</f>
        <v>132012.47999999998</v>
      </c>
      <c r="H21" s="100">
        <f t="shared" si="0"/>
        <v>3446.8010443864227</v>
      </c>
      <c r="I21" s="100"/>
      <c r="J21" s="100">
        <f>'Athens Daily - Water'!R26</f>
        <v>501</v>
      </c>
      <c r="K21" s="100"/>
      <c r="L21" s="101">
        <v>42</v>
      </c>
      <c r="M21" s="100">
        <f t="shared" si="1"/>
        <v>84</v>
      </c>
      <c r="N21" s="98"/>
    </row>
    <row r="22" spans="1:14">
      <c r="A22" s="7" t="s">
        <v>14</v>
      </c>
      <c r="B22" s="7">
        <v>21</v>
      </c>
      <c r="C22" s="7">
        <v>1</v>
      </c>
      <c r="D22" s="7">
        <v>2021</v>
      </c>
      <c r="E22" s="100">
        <f>'Athens Daily - EL'!AP28</f>
        <v>45225</v>
      </c>
      <c r="F22" s="100"/>
      <c r="G22" s="100">
        <f>'Athens Daily - Gas'!BH30</f>
        <v>123235.2</v>
      </c>
      <c r="H22" s="100">
        <f t="shared" si="0"/>
        <v>3217.6292428198435</v>
      </c>
      <c r="I22" s="100"/>
      <c r="J22" s="100">
        <f>'Athens Daily - Water'!R27</f>
        <v>580</v>
      </c>
      <c r="K22" s="100"/>
      <c r="L22" s="101">
        <v>45</v>
      </c>
      <c r="M22" s="100">
        <f t="shared" si="1"/>
        <v>90</v>
      </c>
      <c r="N22" s="98"/>
    </row>
    <row r="23" spans="1:14">
      <c r="A23" s="7" t="s">
        <v>14</v>
      </c>
      <c r="B23" s="7">
        <v>22</v>
      </c>
      <c r="C23" s="7">
        <v>1</v>
      </c>
      <c r="D23" s="7">
        <v>2021</v>
      </c>
      <c r="E23" s="100">
        <f>'Athens Daily - EL'!AP29</f>
        <v>41835</v>
      </c>
      <c r="F23" s="100"/>
      <c r="G23" s="100">
        <f>'Athens Daily - Gas'!BH31</f>
        <v>119861.28</v>
      </c>
      <c r="H23" s="100">
        <f t="shared" si="0"/>
        <v>3129.5373368146215</v>
      </c>
      <c r="I23" s="100"/>
      <c r="J23" s="100">
        <f>'Athens Daily - Water'!R28</f>
        <v>656</v>
      </c>
      <c r="K23" s="100"/>
      <c r="L23" s="101">
        <v>82</v>
      </c>
      <c r="M23" s="100">
        <f t="shared" si="1"/>
        <v>164</v>
      </c>
      <c r="N23" s="98">
        <v>19</v>
      </c>
    </row>
    <row r="24" spans="1:14">
      <c r="A24" s="7" t="s">
        <v>14</v>
      </c>
      <c r="B24" s="7">
        <v>23</v>
      </c>
      <c r="C24" s="7">
        <v>1</v>
      </c>
      <c r="D24" s="7">
        <v>2021</v>
      </c>
      <c r="E24" s="100">
        <f>'Athens Daily - EL'!AP30</f>
        <v>40195</v>
      </c>
      <c r="F24" s="100"/>
      <c r="G24" s="100">
        <f>'Athens Daily - Gas'!BH32</f>
        <v>118629.6</v>
      </c>
      <c r="H24" s="100">
        <f t="shared" si="0"/>
        <v>3097.3785900783296</v>
      </c>
      <c r="I24" s="100"/>
      <c r="J24" s="100">
        <f>'Athens Daily - Water'!R29</f>
        <v>538</v>
      </c>
      <c r="K24" s="100"/>
      <c r="L24" s="101">
        <v>170</v>
      </c>
      <c r="M24" s="100">
        <f t="shared" si="1"/>
        <v>340</v>
      </c>
      <c r="N24" s="98">
        <v>20</v>
      </c>
    </row>
    <row r="25" spans="1:14">
      <c r="A25" s="7" t="s">
        <v>14</v>
      </c>
      <c r="B25" s="7">
        <v>24</v>
      </c>
      <c r="C25" s="7">
        <v>1</v>
      </c>
      <c r="D25" s="7">
        <v>2021</v>
      </c>
      <c r="E25" s="100">
        <f>'Athens Daily - EL'!AP31</f>
        <v>42700</v>
      </c>
      <c r="F25" s="100"/>
      <c r="G25" s="100">
        <f>'Athens Daily - Gas'!BH33</f>
        <v>111820.79999999999</v>
      </c>
      <c r="H25" s="100">
        <f t="shared" si="0"/>
        <v>2919.603133159269</v>
      </c>
      <c r="I25" s="100"/>
      <c r="J25" s="100">
        <f>'Athens Daily - Water'!R30</f>
        <v>464</v>
      </c>
      <c r="K25" s="100"/>
      <c r="L25" s="101">
        <v>91</v>
      </c>
      <c r="M25" s="100">
        <f t="shared" si="1"/>
        <v>182</v>
      </c>
      <c r="N25" s="98">
        <v>19</v>
      </c>
    </row>
    <row r="26" spans="1:14">
      <c r="A26" s="7" t="s">
        <v>14</v>
      </c>
      <c r="B26" s="7">
        <v>25</v>
      </c>
      <c r="C26" s="7">
        <v>1</v>
      </c>
      <c r="D26" s="7">
        <v>2021</v>
      </c>
      <c r="E26" s="100">
        <f>'Athens Daily - EL'!AP32</f>
        <v>41210</v>
      </c>
      <c r="F26" s="100"/>
      <c r="G26" s="100">
        <f>'Athens Daily - Gas'!BH34</f>
        <v>118156.8</v>
      </c>
      <c r="H26" s="100">
        <f t="shared" si="0"/>
        <v>3085.0339425587472</v>
      </c>
      <c r="I26" s="100"/>
      <c r="J26" s="100">
        <f>'Athens Daily - Water'!R31</f>
        <v>431</v>
      </c>
      <c r="K26" s="100"/>
      <c r="L26" s="101">
        <v>56</v>
      </c>
      <c r="M26" s="100">
        <f t="shared" si="1"/>
        <v>112</v>
      </c>
      <c r="N26" s="99"/>
    </row>
    <row r="27" spans="1:14">
      <c r="A27" s="7" t="s">
        <v>14</v>
      </c>
      <c r="B27" s="7">
        <v>26</v>
      </c>
      <c r="C27" s="7">
        <v>1</v>
      </c>
      <c r="D27" s="7">
        <v>2021</v>
      </c>
      <c r="E27" s="100">
        <f>'Athens Daily - EL'!AP33</f>
        <v>44645</v>
      </c>
      <c r="F27" s="100"/>
      <c r="G27" s="100">
        <f>'Athens Daily - Gas'!BH35</f>
        <v>119030.39999999999</v>
      </c>
      <c r="H27" s="100">
        <f t="shared" si="0"/>
        <v>3107.8433420365536</v>
      </c>
      <c r="I27" s="100"/>
      <c r="J27" s="100">
        <f>'Athens Daily - Water'!R32</f>
        <v>446</v>
      </c>
      <c r="K27" s="100"/>
      <c r="L27" s="100"/>
      <c r="M27" s="100">
        <f t="shared" si="1"/>
        <v>0</v>
      </c>
      <c r="N27" s="99"/>
    </row>
    <row r="28" spans="1:14">
      <c r="A28" s="7" t="s">
        <v>14</v>
      </c>
      <c r="B28" s="7">
        <v>27</v>
      </c>
      <c r="C28" s="7">
        <v>1</v>
      </c>
      <c r="D28" s="7">
        <v>2021</v>
      </c>
      <c r="E28" s="100">
        <f>'Athens Daily - EL'!AP34</f>
        <v>46675</v>
      </c>
      <c r="F28" s="100"/>
      <c r="G28" s="100">
        <f>'Athens Daily - Gas'!BH36</f>
        <v>128697.59999999999</v>
      </c>
      <c r="H28" s="100">
        <f t="shared" si="0"/>
        <v>3360.2506527415144</v>
      </c>
      <c r="I28" s="100"/>
      <c r="J28" s="100">
        <f>'Athens Daily - Water'!R33</f>
        <v>477</v>
      </c>
      <c r="K28" s="100"/>
      <c r="L28" s="100"/>
      <c r="M28" s="100">
        <f t="shared" si="1"/>
        <v>0</v>
      </c>
      <c r="N28" s="99"/>
    </row>
    <row r="29" spans="1:14">
      <c r="A29" s="7" t="s">
        <v>14</v>
      </c>
      <c r="B29" s="7">
        <v>28</v>
      </c>
      <c r="C29" s="7">
        <v>1</v>
      </c>
      <c r="D29" s="7">
        <v>2021</v>
      </c>
      <c r="E29" s="100">
        <f>'Athens Daily - EL'!AP35</f>
        <v>49270</v>
      </c>
      <c r="F29" s="100"/>
      <c r="G29" s="100">
        <f>'Athens Daily - Gas'!BH37</f>
        <v>119481.60000000001</v>
      </c>
      <c r="H29" s="100">
        <f t="shared" si="0"/>
        <v>3119.6240208877289</v>
      </c>
      <c r="I29" s="100"/>
      <c r="J29" s="100">
        <f>'Athens Daily - Water'!R34</f>
        <v>481</v>
      </c>
      <c r="K29" s="100"/>
      <c r="L29" s="100"/>
      <c r="M29" s="100">
        <f t="shared" si="1"/>
        <v>0</v>
      </c>
      <c r="N29" s="99"/>
    </row>
    <row r="30" spans="1:14">
      <c r="A30" s="7" t="s">
        <v>14</v>
      </c>
      <c r="B30" s="7">
        <v>29</v>
      </c>
      <c r="C30" s="7">
        <v>1</v>
      </c>
      <c r="D30" s="7">
        <v>2021</v>
      </c>
      <c r="E30" s="100">
        <f>'Athens Daily - EL'!AP36</f>
        <v>47655</v>
      </c>
      <c r="F30" s="100"/>
      <c r="G30" s="100">
        <f>'Athens Daily - Gas'!BH38</f>
        <v>116908.79999999999</v>
      </c>
      <c r="H30" s="100">
        <f t="shared" si="0"/>
        <v>3052.4490861618797</v>
      </c>
      <c r="I30" s="100"/>
      <c r="J30" s="100">
        <f>'Athens Daily - Water'!R36</f>
        <v>1104</v>
      </c>
      <c r="K30" s="100"/>
      <c r="L30" s="100"/>
      <c r="M30" s="100">
        <f t="shared" si="1"/>
        <v>0</v>
      </c>
      <c r="N30" s="99"/>
    </row>
    <row r="31" spans="1:14">
      <c r="A31" s="7" t="s">
        <v>14</v>
      </c>
      <c r="B31" s="7">
        <v>30</v>
      </c>
      <c r="C31" s="7">
        <v>1</v>
      </c>
      <c r="D31" s="7">
        <v>2021</v>
      </c>
      <c r="E31" s="100">
        <f>'Athens Daily - EL'!AP37</f>
        <v>48215</v>
      </c>
      <c r="F31" s="100"/>
      <c r="G31" s="100">
        <f>'Athens Daily - Gas'!BH39</f>
        <v>116908.79999999999</v>
      </c>
      <c r="H31" s="100">
        <f t="shared" si="0"/>
        <v>3052.4490861618797</v>
      </c>
      <c r="I31" s="100"/>
      <c r="J31" s="100">
        <f>'Athens Daily - Water'!R38</f>
        <v>0</v>
      </c>
      <c r="K31" s="100"/>
      <c r="L31" s="100"/>
      <c r="M31" s="100">
        <f t="shared" si="1"/>
        <v>0</v>
      </c>
      <c r="N31" s="99"/>
    </row>
    <row r="32" spans="1:14">
      <c r="A32" s="7" t="s">
        <v>14</v>
      </c>
      <c r="B32" s="7">
        <v>31</v>
      </c>
      <c r="C32" s="7">
        <v>1</v>
      </c>
      <c r="D32" s="7">
        <v>2021</v>
      </c>
      <c r="E32" s="100">
        <f>'Athens Daily - EL'!AP38</f>
        <v>47050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27415</v>
      </c>
      <c r="F2" s="7"/>
      <c r="G2" s="38">
        <f>'Athens Daily - Gas'!BI9</f>
        <v>105628.8</v>
      </c>
      <c r="H2" s="7"/>
      <c r="I2" s="39">
        <f>'Athens Daily - Water'!S7</f>
        <v>273.55</v>
      </c>
      <c r="J2" s="7"/>
      <c r="K2" s="7">
        <v>286</v>
      </c>
      <c r="L2" s="7">
        <v>2</v>
      </c>
    </row>
    <row r="3" spans="1:12">
      <c r="A3" s="7" t="s">
        <v>14</v>
      </c>
      <c r="B3" s="7">
        <v>2</v>
      </c>
      <c r="C3" s="7">
        <v>1</v>
      </c>
      <c r="D3" s="7">
        <v>2021</v>
      </c>
      <c r="E3" s="7">
        <f>'Athens Daily - EL'!AQ9</f>
        <v>24395</v>
      </c>
      <c r="F3" s="7"/>
      <c r="G3" s="38">
        <f>'Athens Daily - Gas'!BI11</f>
        <v>144144</v>
      </c>
      <c r="H3" s="7"/>
      <c r="I3" s="39">
        <f>'Athens Daily - Water'!S8</f>
        <v>136.44999999999999</v>
      </c>
      <c r="J3" s="7"/>
      <c r="K3" s="7">
        <v>285</v>
      </c>
      <c r="L3" s="7">
        <v>2</v>
      </c>
    </row>
    <row r="4" spans="1:12">
      <c r="A4" s="7" t="s">
        <v>14</v>
      </c>
      <c r="B4" s="7">
        <v>3</v>
      </c>
      <c r="C4" s="7">
        <v>1</v>
      </c>
      <c r="D4" s="7">
        <v>2021</v>
      </c>
      <c r="E4" s="7">
        <f>'Athens Daily - EL'!AQ10</f>
        <v>26090</v>
      </c>
      <c r="F4" s="7"/>
      <c r="G4" s="38">
        <f>'Athens Daily - Gas'!BI12</f>
        <v>41971.200000000004</v>
      </c>
      <c r="H4" s="7"/>
      <c r="I4" s="39">
        <f>'Athens Daily - Water'!S9</f>
        <v>150.1</v>
      </c>
      <c r="J4" s="7"/>
      <c r="K4" s="7">
        <v>282</v>
      </c>
      <c r="L4" s="7">
        <v>2</v>
      </c>
    </row>
    <row r="5" spans="1:12">
      <c r="A5" s="7" t="s">
        <v>14</v>
      </c>
      <c r="B5" s="7">
        <v>4</v>
      </c>
      <c r="C5" s="7">
        <v>1</v>
      </c>
      <c r="D5" s="7">
        <v>2021</v>
      </c>
      <c r="E5" s="7">
        <f>'Athens Daily - EL'!AQ11</f>
        <v>28095</v>
      </c>
      <c r="F5" s="7"/>
      <c r="G5" s="38">
        <f>'Athens Daily - Gas'!BI13</f>
        <v>65232</v>
      </c>
      <c r="H5" s="7"/>
      <c r="I5" s="39">
        <f>'Athens Daily - Water'!S10</f>
        <v>133.55000000000001</v>
      </c>
      <c r="J5" s="7"/>
      <c r="K5" s="7">
        <v>284</v>
      </c>
      <c r="L5" s="7">
        <v>2</v>
      </c>
    </row>
    <row r="6" spans="1:12">
      <c r="A6" s="7" t="s">
        <v>14</v>
      </c>
      <c r="B6" s="7">
        <v>5</v>
      </c>
      <c r="C6" s="7">
        <v>1</v>
      </c>
      <c r="D6" s="7">
        <v>2021</v>
      </c>
      <c r="E6" s="7">
        <f>'Athens Daily - EL'!AQ12</f>
        <v>30415</v>
      </c>
      <c r="F6" s="7"/>
      <c r="G6" s="38">
        <f>'Athens Daily - Gas'!BI14</f>
        <v>67430.399999999994</v>
      </c>
      <c r="H6" s="7"/>
      <c r="I6" s="39">
        <f>'Athens Daily - Water'!S11</f>
        <v>132.05000000000001</v>
      </c>
      <c r="J6" s="7"/>
      <c r="K6" s="7">
        <v>286</v>
      </c>
      <c r="L6" s="7">
        <v>2</v>
      </c>
    </row>
    <row r="7" spans="1:12">
      <c r="A7" s="7" t="s">
        <v>14</v>
      </c>
      <c r="B7" s="7">
        <v>6</v>
      </c>
      <c r="C7" s="7">
        <v>1</v>
      </c>
      <c r="D7" s="7">
        <v>2021</v>
      </c>
      <c r="E7" s="7">
        <f>'Athens Daily - EL'!AQ13</f>
        <v>30050</v>
      </c>
      <c r="F7" s="7"/>
      <c r="G7" s="38">
        <f>'Athens Daily - Gas'!BI15</f>
        <v>70521.600000000006</v>
      </c>
      <c r="H7" s="7"/>
      <c r="I7" s="39">
        <f>'Athens Daily - Water'!S12</f>
        <v>128.4</v>
      </c>
      <c r="J7" s="7"/>
      <c r="K7" s="7">
        <v>288</v>
      </c>
      <c r="L7" s="7">
        <v>2</v>
      </c>
    </row>
    <row r="8" spans="1:12">
      <c r="A8" s="7" t="s">
        <v>14</v>
      </c>
      <c r="B8" s="7">
        <v>7</v>
      </c>
      <c r="C8" s="7">
        <v>1</v>
      </c>
      <c r="D8" s="7">
        <v>2021</v>
      </c>
      <c r="E8" s="7">
        <f>'Athens Daily - EL'!AQ14</f>
        <v>32760</v>
      </c>
      <c r="F8" s="7"/>
      <c r="G8" s="38">
        <f>'Athens Daily - Gas'!BI16</f>
        <v>72736.000000000466</v>
      </c>
      <c r="H8" s="7"/>
      <c r="I8" s="39">
        <f>'Athens Daily - Water'!S13</f>
        <v>136</v>
      </c>
      <c r="J8" s="7"/>
      <c r="K8" s="7">
        <v>286</v>
      </c>
      <c r="L8" s="7">
        <v>2</v>
      </c>
    </row>
    <row r="9" spans="1:12">
      <c r="A9" s="7" t="s">
        <v>14</v>
      </c>
      <c r="B9" s="7">
        <v>8</v>
      </c>
      <c r="C9" s="7">
        <v>1</v>
      </c>
      <c r="D9" s="7">
        <v>2021</v>
      </c>
      <c r="E9" s="7">
        <f>'Athens Daily - EL'!AQ15</f>
        <v>28540</v>
      </c>
      <c r="F9" s="7"/>
      <c r="G9" s="38">
        <f>'Athens Daily - Gas'!BI17</f>
        <v>67585.066666666506</v>
      </c>
      <c r="H9" s="7"/>
      <c r="I9" s="39">
        <f>'Athens Daily - Water'!S14</f>
        <v>145.55000000000001</v>
      </c>
      <c r="J9" s="7"/>
      <c r="K9" s="7">
        <v>287</v>
      </c>
      <c r="L9" s="7">
        <v>2</v>
      </c>
    </row>
    <row r="10" spans="1:12">
      <c r="A10" s="7" t="s">
        <v>14</v>
      </c>
      <c r="B10" s="7">
        <v>9</v>
      </c>
      <c r="C10" s="7">
        <v>1</v>
      </c>
      <c r="D10" s="7">
        <v>2021</v>
      </c>
      <c r="E10" s="7">
        <f>'Athens Daily - EL'!AQ16</f>
        <v>30020</v>
      </c>
      <c r="F10" s="7"/>
      <c r="G10" s="38">
        <f>'Athens Daily - Gas'!BI18</f>
        <v>68949.333333333023</v>
      </c>
      <c r="H10" s="7"/>
      <c r="I10" s="39">
        <f>'Athens Daily - Water'!S15</f>
        <v>121</v>
      </c>
      <c r="J10" s="7"/>
      <c r="K10" s="7">
        <v>284</v>
      </c>
      <c r="L10" s="7">
        <v>2</v>
      </c>
    </row>
    <row r="11" spans="1:12">
      <c r="A11" s="7" t="s">
        <v>14</v>
      </c>
      <c r="B11" s="7">
        <v>10</v>
      </c>
      <c r="C11" s="7">
        <v>1</v>
      </c>
      <c r="D11" s="7">
        <v>2021</v>
      </c>
      <c r="E11" s="7">
        <f>'Athens Daily - EL'!AQ17</f>
        <v>33050</v>
      </c>
      <c r="F11" s="7"/>
      <c r="G11" s="38">
        <f>'Athens Daily - Gas'!BI19</f>
        <v>71212.800000000003</v>
      </c>
      <c r="H11" s="7"/>
      <c r="I11" s="39">
        <f>'Athens Daily - Water'!S16</f>
        <v>78.125</v>
      </c>
      <c r="J11" s="7"/>
      <c r="K11" s="7">
        <v>284</v>
      </c>
      <c r="L11" s="7">
        <v>2</v>
      </c>
    </row>
    <row r="12" spans="1:12">
      <c r="A12" s="7" t="s">
        <v>14</v>
      </c>
      <c r="B12" s="7">
        <v>11</v>
      </c>
      <c r="C12" s="7">
        <v>1</v>
      </c>
      <c r="D12" s="7">
        <v>2021</v>
      </c>
      <c r="E12" s="7">
        <f>'Athens Daily - EL'!AQ18</f>
        <v>33750</v>
      </c>
      <c r="F12" s="7"/>
      <c r="G12" s="38">
        <f>'Athens Daily - Gas'!BI20</f>
        <v>66960</v>
      </c>
      <c r="H12" s="7"/>
      <c r="I12" s="39">
        <f>'Athens Daily - Water'!S17</f>
        <v>78.125</v>
      </c>
      <c r="J12" s="7"/>
      <c r="K12" s="7">
        <v>284</v>
      </c>
      <c r="L12" s="7">
        <v>2</v>
      </c>
    </row>
    <row r="13" spans="1:12">
      <c r="A13" s="7" t="s">
        <v>14</v>
      </c>
      <c r="B13" s="7">
        <v>12</v>
      </c>
      <c r="C13" s="7">
        <v>1</v>
      </c>
      <c r="D13" s="7">
        <v>2021</v>
      </c>
      <c r="E13" s="7">
        <f>'Athens Daily - EL'!AQ19</f>
        <v>34260</v>
      </c>
      <c r="F13" s="7"/>
      <c r="G13" s="38">
        <f>'Athens Daily - Gas'!BI21</f>
        <v>66768</v>
      </c>
      <c r="H13" s="7"/>
      <c r="I13" s="39">
        <f>'Athens Daily - Water'!S18</f>
        <v>136.15</v>
      </c>
      <c r="J13" s="7"/>
      <c r="K13" s="7">
        <v>286</v>
      </c>
      <c r="L13" s="7">
        <v>2</v>
      </c>
    </row>
    <row r="14" spans="1:12">
      <c r="A14" s="7" t="s">
        <v>14</v>
      </c>
      <c r="B14" s="7">
        <v>13</v>
      </c>
      <c r="C14" s="7">
        <v>1</v>
      </c>
      <c r="D14" s="7">
        <v>2021</v>
      </c>
      <c r="E14" s="7">
        <f>'Athens Daily - EL'!AQ20</f>
        <v>34865</v>
      </c>
      <c r="F14" s="7"/>
      <c r="G14" s="38">
        <f>'Athens Daily - Gas'!BI22</f>
        <v>76512</v>
      </c>
      <c r="H14" s="7"/>
      <c r="I14" s="39">
        <f>'Athens Daily - Water'!S19</f>
        <v>128.85</v>
      </c>
      <c r="J14" s="7"/>
      <c r="K14" s="7">
        <v>287</v>
      </c>
      <c r="L14" s="7">
        <v>2</v>
      </c>
    </row>
    <row r="15" spans="1:12">
      <c r="A15" s="7" t="s">
        <v>14</v>
      </c>
      <c r="B15" s="7">
        <v>14</v>
      </c>
      <c r="C15" s="7">
        <v>1</v>
      </c>
      <c r="D15" s="7">
        <v>2021</v>
      </c>
      <c r="E15" s="7">
        <f>'Athens Daily - EL'!AQ21</f>
        <v>30971.130000000121</v>
      </c>
      <c r="F15" s="7"/>
      <c r="G15" s="38">
        <f>'Athens Daily - Gas'!BI23</f>
        <v>70108.800000000003</v>
      </c>
      <c r="H15" s="7"/>
      <c r="I15" s="39">
        <f>'Athens Daily - Water'!S20</f>
        <v>139.19999999999999</v>
      </c>
      <c r="J15" s="7"/>
      <c r="K15" s="7">
        <v>287</v>
      </c>
      <c r="L15" s="7">
        <v>2</v>
      </c>
    </row>
    <row r="16" spans="1:12">
      <c r="A16" s="7" t="s">
        <v>14</v>
      </c>
      <c r="B16" s="7">
        <v>15</v>
      </c>
      <c r="C16" s="7">
        <v>1</v>
      </c>
      <c r="D16" s="7">
        <v>2021</v>
      </c>
      <c r="E16" s="7">
        <f>'Athens Daily - EL'!AQ22</f>
        <v>28918.869999999879</v>
      </c>
      <c r="F16" s="7"/>
      <c r="G16" s="38">
        <f>'Athens Daily - Gas'!BI24</f>
        <v>71289.600000000006</v>
      </c>
      <c r="H16" s="7"/>
      <c r="I16" s="39">
        <f>'Athens Daily - Water'!S21</f>
        <v>140</v>
      </c>
      <c r="J16" s="7"/>
      <c r="K16" s="7">
        <v>288</v>
      </c>
      <c r="L16" s="7">
        <v>2</v>
      </c>
    </row>
    <row r="17" spans="1:12">
      <c r="A17" s="7" t="s">
        <v>14</v>
      </c>
      <c r="B17" s="7">
        <v>16</v>
      </c>
      <c r="C17" s="7">
        <v>1</v>
      </c>
      <c r="D17" s="7">
        <v>2021</v>
      </c>
      <c r="E17" s="7">
        <f>'Athens Daily - EL'!AQ23</f>
        <v>26525</v>
      </c>
      <c r="F17" s="7"/>
      <c r="G17" s="38">
        <f>'Athens Daily - Gas'!BI25</f>
        <v>69254.399999999994</v>
      </c>
      <c r="H17" s="7"/>
      <c r="I17" s="39">
        <f>'Athens Daily - Water'!S22</f>
        <v>137.1</v>
      </c>
      <c r="J17" s="7"/>
      <c r="K17" s="7">
        <v>288</v>
      </c>
      <c r="L17" s="7">
        <v>2</v>
      </c>
    </row>
    <row r="18" spans="1:12">
      <c r="A18" s="7" t="s">
        <v>14</v>
      </c>
      <c r="B18" s="7">
        <v>17</v>
      </c>
      <c r="C18" s="7">
        <v>1</v>
      </c>
      <c r="D18" s="7">
        <v>2021</v>
      </c>
      <c r="E18" s="7">
        <f>'Athens Daily - EL'!AQ24</f>
        <v>27230</v>
      </c>
      <c r="F18" s="7"/>
      <c r="G18" s="38">
        <f>'Athens Daily - Gas'!BI26</f>
        <v>55363.200000000004</v>
      </c>
      <c r="H18" s="7"/>
      <c r="I18" s="39">
        <f>'Athens Daily - Water'!S23</f>
        <v>140.25</v>
      </c>
      <c r="J18" s="7"/>
      <c r="K18" s="7">
        <v>288</v>
      </c>
      <c r="L18" s="7">
        <v>2</v>
      </c>
    </row>
    <row r="19" spans="1:12">
      <c r="A19" s="7" t="s">
        <v>14</v>
      </c>
      <c r="B19" s="7">
        <v>18</v>
      </c>
      <c r="C19" s="7">
        <v>1</v>
      </c>
      <c r="D19" s="7">
        <v>2021</v>
      </c>
      <c r="E19" s="7">
        <f>'Athens Daily - EL'!AQ25</f>
        <v>27505</v>
      </c>
      <c r="F19" s="7"/>
      <c r="G19" s="38">
        <f>'Athens Daily - Gas'!BI27</f>
        <v>70195.200000000012</v>
      </c>
      <c r="H19" s="7"/>
      <c r="I19" s="39">
        <f>'Athens Daily - Water'!S24</f>
        <v>147.85</v>
      </c>
      <c r="J19" s="7"/>
      <c r="K19" s="7">
        <v>291</v>
      </c>
      <c r="L19" s="7">
        <v>2</v>
      </c>
    </row>
    <row r="20" spans="1:12">
      <c r="A20" s="7" t="s">
        <v>14</v>
      </c>
      <c r="B20" s="7">
        <v>19</v>
      </c>
      <c r="C20" s="7">
        <v>1</v>
      </c>
      <c r="D20" s="7">
        <v>2021</v>
      </c>
      <c r="E20" s="7">
        <f>'Athens Daily - EL'!AQ26</f>
        <v>30020</v>
      </c>
      <c r="F20" s="7"/>
      <c r="G20" s="38">
        <f>'Athens Daily - Gas'!BI28</f>
        <v>68044.800000000003</v>
      </c>
      <c r="H20" s="7"/>
      <c r="I20" s="39">
        <f>'Athens Daily - Water'!S25</f>
        <v>159.19999999999999</v>
      </c>
      <c r="J20" s="7"/>
      <c r="K20" s="7">
        <v>290</v>
      </c>
      <c r="L20" s="7">
        <v>2</v>
      </c>
    </row>
    <row r="21" spans="1:12">
      <c r="A21" s="7" t="s">
        <v>14</v>
      </c>
      <c r="B21" s="7">
        <v>20</v>
      </c>
      <c r="C21" s="7">
        <v>1</v>
      </c>
      <c r="D21" s="7">
        <v>2021</v>
      </c>
      <c r="E21" s="7">
        <f>'Athens Daily - EL'!AQ27</f>
        <v>32600</v>
      </c>
      <c r="F21" s="7"/>
      <c r="G21" s="38">
        <f>'Athens Daily - Gas'!BI29</f>
        <v>67056</v>
      </c>
      <c r="H21" s="7"/>
      <c r="I21" s="39">
        <f>'Athens Daily - Water'!S26</f>
        <v>132.05000000000001</v>
      </c>
      <c r="J21" s="7"/>
      <c r="K21" s="7">
        <v>292</v>
      </c>
      <c r="L21" s="7">
        <v>2</v>
      </c>
    </row>
    <row r="22" spans="1:12">
      <c r="A22" s="7" t="s">
        <v>14</v>
      </c>
      <c r="B22" s="7">
        <v>21</v>
      </c>
      <c r="C22" s="7">
        <v>1</v>
      </c>
      <c r="D22" s="7">
        <v>2021</v>
      </c>
      <c r="E22" s="7">
        <f>'Athens Daily - EL'!AQ28</f>
        <v>34215</v>
      </c>
      <c r="F22" s="7"/>
      <c r="G22" s="38">
        <f>'Athens Daily - Gas'!BI30</f>
        <v>70243.200000000012</v>
      </c>
      <c r="H22" s="7"/>
      <c r="I22" s="39">
        <f>'Athens Daily - Water'!S27</f>
        <v>152.15</v>
      </c>
      <c r="J22" s="7"/>
      <c r="K22" s="7">
        <v>293</v>
      </c>
      <c r="L22" s="7">
        <v>2</v>
      </c>
    </row>
    <row r="23" spans="1:12">
      <c r="A23" s="7" t="s">
        <v>14</v>
      </c>
      <c r="B23" s="7">
        <v>22</v>
      </c>
      <c r="C23" s="7">
        <v>1</v>
      </c>
      <c r="D23" s="7">
        <v>2021</v>
      </c>
      <c r="E23" s="7">
        <f>'Athens Daily - EL'!AQ29</f>
        <v>31645</v>
      </c>
      <c r="F23" s="7"/>
      <c r="G23" s="38">
        <f>'Athens Daily - Gas'!BI31</f>
        <v>69388.800000000003</v>
      </c>
      <c r="H23" s="7"/>
      <c r="I23" s="39">
        <f>'Athens Daily - Water'!S28</f>
        <v>144.05000000000001</v>
      </c>
      <c r="J23" s="7"/>
      <c r="K23" s="7">
        <v>293</v>
      </c>
      <c r="L23" s="7">
        <v>2</v>
      </c>
    </row>
    <row r="24" spans="1:12">
      <c r="A24" s="7" t="s">
        <v>14</v>
      </c>
      <c r="B24" s="7">
        <v>23</v>
      </c>
      <c r="C24" s="7">
        <v>1</v>
      </c>
      <c r="D24" s="7">
        <v>2021</v>
      </c>
      <c r="E24" s="7">
        <f>'Athens Daily - EL'!AQ30</f>
        <v>31885</v>
      </c>
      <c r="F24" s="7"/>
      <c r="G24" s="38">
        <f>'Athens Daily - Gas'!BI32</f>
        <v>69148.800000000003</v>
      </c>
      <c r="H24" s="7"/>
      <c r="I24" s="39">
        <f>'Athens Daily - Water'!S29</f>
        <v>139</v>
      </c>
      <c r="J24" s="7"/>
      <c r="K24" s="7">
        <v>294</v>
      </c>
      <c r="L24" s="7">
        <v>2</v>
      </c>
    </row>
    <row r="25" spans="1:12">
      <c r="A25" s="7" t="s">
        <v>14</v>
      </c>
      <c r="B25" s="7">
        <v>24</v>
      </c>
      <c r="C25" s="7">
        <v>1</v>
      </c>
      <c r="D25" s="7">
        <v>2021</v>
      </c>
      <c r="E25" s="7">
        <f>'Athens Daily - EL'!AQ31</f>
        <v>32830</v>
      </c>
      <c r="F25" s="7"/>
      <c r="G25" s="38">
        <f>'Athens Daily - Gas'!BI33</f>
        <v>69331.200000000012</v>
      </c>
      <c r="H25" s="7"/>
      <c r="I25" s="39">
        <f>'Athens Daily - Water'!S30</f>
        <v>140.9</v>
      </c>
      <c r="J25" s="7"/>
      <c r="K25" s="7">
        <v>294</v>
      </c>
      <c r="L25" s="7">
        <v>2</v>
      </c>
    </row>
    <row r="26" spans="1:12">
      <c r="A26" s="7" t="s">
        <v>14</v>
      </c>
      <c r="B26" s="7">
        <v>25</v>
      </c>
      <c r="C26" s="7">
        <v>1</v>
      </c>
      <c r="D26" s="7">
        <v>2021</v>
      </c>
      <c r="E26" s="7">
        <f>'Athens Daily - EL'!AQ32</f>
        <v>33530</v>
      </c>
      <c r="F26" s="7"/>
      <c r="G26" s="38">
        <f>'Athens Daily - Gas'!BI34</f>
        <v>69859.200000000012</v>
      </c>
      <c r="H26" s="7"/>
      <c r="I26" s="39">
        <f>'Athens Daily - Water'!S31</f>
        <v>163.25</v>
      </c>
      <c r="J26" s="7"/>
      <c r="K26" s="7">
        <v>291</v>
      </c>
      <c r="L26" s="7">
        <v>2</v>
      </c>
    </row>
    <row r="27" spans="1:12">
      <c r="A27" s="7" t="s">
        <v>14</v>
      </c>
      <c r="B27" s="7">
        <v>26</v>
      </c>
      <c r="C27" s="7">
        <v>1</v>
      </c>
      <c r="D27" s="7">
        <v>2021</v>
      </c>
      <c r="E27" s="7">
        <f>'Athens Daily - EL'!AQ33</f>
        <v>35355</v>
      </c>
      <c r="F27" s="7"/>
      <c r="G27" s="38">
        <f>'Athens Daily - Gas'!BI35</f>
        <v>69657.600000000006</v>
      </c>
      <c r="H27" s="7"/>
      <c r="I27" s="39">
        <f>'Athens Daily - Water'!S32</f>
        <v>142.55000000000001</v>
      </c>
      <c r="J27" s="7"/>
      <c r="K27" s="7">
        <v>291</v>
      </c>
      <c r="L27" s="7">
        <v>2</v>
      </c>
    </row>
    <row r="28" spans="1:12">
      <c r="A28" s="7" t="s">
        <v>14</v>
      </c>
      <c r="B28" s="7">
        <v>27</v>
      </c>
      <c r="C28" s="7">
        <v>1</v>
      </c>
      <c r="D28" s="7">
        <v>2021</v>
      </c>
      <c r="E28" s="7">
        <f>'Athens Daily - EL'!AQ34</f>
        <v>36795</v>
      </c>
      <c r="F28" s="7"/>
      <c r="G28" s="38">
        <f>'Athens Daily - Gas'!BI36</f>
        <v>73238.399999999994</v>
      </c>
      <c r="H28" s="7"/>
      <c r="I28" s="39">
        <f>'Athens Daily - Water'!S33</f>
        <v>154.44999999999999</v>
      </c>
      <c r="J28" s="7"/>
      <c r="K28" s="7">
        <v>288</v>
      </c>
      <c r="L28" s="7">
        <v>2</v>
      </c>
    </row>
    <row r="29" spans="1:12">
      <c r="A29" s="7" t="s">
        <v>14</v>
      </c>
      <c r="B29" s="7">
        <v>28</v>
      </c>
      <c r="C29" s="7">
        <v>1</v>
      </c>
      <c r="D29" s="7">
        <v>2021</v>
      </c>
      <c r="E29" s="7">
        <f>'Athens Daily - EL'!AQ35</f>
        <v>38910</v>
      </c>
      <c r="F29" s="7"/>
      <c r="G29" s="38">
        <f>'Athens Daily - Gas'!BI37</f>
        <v>68534.399999999994</v>
      </c>
      <c r="H29" s="7"/>
      <c r="I29" s="39">
        <f>'Athens Daily - Water'!S34</f>
        <v>157</v>
      </c>
      <c r="J29" s="7"/>
      <c r="K29" s="7">
        <v>290</v>
      </c>
      <c r="L29" s="7">
        <v>2</v>
      </c>
    </row>
    <row r="30" spans="1:12">
      <c r="A30" s="7" t="s">
        <v>14</v>
      </c>
      <c r="B30" s="7">
        <v>29</v>
      </c>
      <c r="C30" s="7">
        <v>1</v>
      </c>
      <c r="D30" s="7">
        <v>2021</v>
      </c>
      <c r="E30" s="7">
        <f>'Athens Daily - EL'!AQ36</f>
        <v>36755</v>
      </c>
      <c r="F30" s="7"/>
      <c r="G30" s="38">
        <f>'Athens Daily - Gas'!BI38</f>
        <v>66307.200000000012</v>
      </c>
      <c r="H30" s="7"/>
      <c r="I30" s="39">
        <f>'Athens Daily - Water'!S36</f>
        <v>302.60000000000002</v>
      </c>
      <c r="J30" s="7"/>
      <c r="K30" s="7">
        <v>291</v>
      </c>
      <c r="L30" s="7">
        <v>2</v>
      </c>
    </row>
    <row r="31" spans="1:12">
      <c r="A31" s="7" t="s">
        <v>14</v>
      </c>
      <c r="B31" s="7">
        <v>30</v>
      </c>
      <c r="C31" s="7">
        <v>1</v>
      </c>
      <c r="D31" s="7">
        <v>2021</v>
      </c>
      <c r="E31" s="7">
        <f>'Athens Daily - EL'!AQ37</f>
        <v>39315</v>
      </c>
      <c r="F31" s="7"/>
      <c r="G31" s="38">
        <f>'Athens Daily - Gas'!BI39</f>
        <v>64435.200000000004</v>
      </c>
      <c r="H31" s="7"/>
      <c r="I31" s="39">
        <f>'Athens Daily - Water'!S38</f>
        <v>0</v>
      </c>
      <c r="J31" s="7"/>
      <c r="K31" s="7">
        <v>290</v>
      </c>
      <c r="L31" s="7">
        <v>2</v>
      </c>
    </row>
    <row r="32" spans="1:12">
      <c r="A32" s="7" t="s">
        <v>14</v>
      </c>
      <c r="B32" s="7">
        <v>31</v>
      </c>
      <c r="C32" s="7">
        <v>1</v>
      </c>
      <c r="D32" s="7">
        <v>2021</v>
      </c>
      <c r="E32" s="7">
        <f>'Athens Daily - EL'!AQ38</f>
        <v>36800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57" zoomScaleNormal="57" workbookViewId="0">
      <pane xSplit="2" ySplit="5" topLeftCell="AC7" activePane="bottomRight" state="frozen"/>
      <selection pane="topRight" activeCell="C2" sqref="C2"/>
      <selection pane="bottomLeft" activeCell="A7" sqref="A7"/>
      <selection pane="bottomRight" activeCell="AN15" sqref="AN15"/>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5"/>
      <c r="B1" s="195"/>
      <c r="C1" s="213" t="s">
        <v>65</v>
      </c>
      <c r="D1" s="213"/>
      <c r="E1" s="213" t="s">
        <v>65</v>
      </c>
      <c r="F1" s="213"/>
      <c r="G1" s="213" t="s">
        <v>65</v>
      </c>
      <c r="H1" s="213"/>
      <c r="I1" s="201"/>
      <c r="J1" s="195"/>
      <c r="K1" s="213" t="s">
        <v>65</v>
      </c>
      <c r="L1" s="213"/>
      <c r="M1" s="213" t="s">
        <v>65</v>
      </c>
      <c r="N1" s="213"/>
      <c r="O1" s="226" t="s">
        <v>66</v>
      </c>
      <c r="P1" s="227"/>
      <c r="Q1" s="227"/>
      <c r="R1" s="228"/>
      <c r="S1" s="226" t="s">
        <v>66</v>
      </c>
      <c r="T1" s="227"/>
      <c r="U1" s="227"/>
      <c r="V1" s="228"/>
      <c r="W1" s="226" t="s">
        <v>66</v>
      </c>
      <c r="X1" s="227"/>
      <c r="Y1" s="227"/>
      <c r="Z1" s="228"/>
      <c r="AA1" s="226" t="s">
        <v>66</v>
      </c>
      <c r="AB1" s="227"/>
      <c r="AC1" s="227"/>
      <c r="AD1" s="228"/>
      <c r="AE1" s="213" t="s">
        <v>67</v>
      </c>
      <c r="AF1" s="213"/>
      <c r="AG1" s="213" t="s">
        <v>67</v>
      </c>
      <c r="AH1" s="213"/>
      <c r="AI1" s="213" t="s">
        <v>67</v>
      </c>
      <c r="AJ1" s="213"/>
      <c r="AK1" s="213" t="s">
        <v>67</v>
      </c>
      <c r="AL1" s="213"/>
      <c r="AM1" s="213" t="s">
        <v>67</v>
      </c>
      <c r="AN1" s="213"/>
    </row>
    <row r="2" spans="1:50" s="114" customFormat="1" ht="113.25" customHeight="1">
      <c r="A2" s="13"/>
      <c r="B2" s="14"/>
      <c r="C2" s="212" t="s">
        <v>68</v>
      </c>
      <c r="D2" s="212"/>
      <c r="E2" s="212" t="s">
        <v>69</v>
      </c>
      <c r="F2" s="212"/>
      <c r="G2" s="217" t="s">
        <v>70</v>
      </c>
      <c r="H2" s="218"/>
      <c r="I2" s="218"/>
      <c r="J2" s="219"/>
      <c r="K2" s="212" t="s">
        <v>71</v>
      </c>
      <c r="L2" s="212"/>
      <c r="M2" s="212" t="s">
        <v>72</v>
      </c>
      <c r="N2" s="212"/>
      <c r="O2" s="217" t="s">
        <v>73</v>
      </c>
      <c r="P2" s="218"/>
      <c r="Q2" s="218"/>
      <c r="R2" s="219"/>
      <c r="S2" s="217" t="s">
        <v>74</v>
      </c>
      <c r="T2" s="218"/>
      <c r="U2" s="218"/>
      <c r="V2" s="219"/>
      <c r="W2" s="217" t="s">
        <v>75</v>
      </c>
      <c r="X2" s="218"/>
      <c r="Y2" s="218"/>
      <c r="Z2" s="219"/>
      <c r="AA2" s="217" t="s">
        <v>76</v>
      </c>
      <c r="AB2" s="218"/>
      <c r="AC2" s="218"/>
      <c r="AD2" s="219"/>
      <c r="AE2" s="212" t="s">
        <v>77</v>
      </c>
      <c r="AF2" s="212"/>
      <c r="AG2" s="212" t="s">
        <v>78</v>
      </c>
      <c r="AH2" s="212"/>
      <c r="AI2" s="212" t="s">
        <v>79</v>
      </c>
      <c r="AJ2" s="212"/>
      <c r="AK2" s="212" t="s">
        <v>78</v>
      </c>
      <c r="AL2" s="212"/>
      <c r="AM2" s="212" t="s">
        <v>80</v>
      </c>
      <c r="AN2" s="212"/>
    </row>
    <row r="3" spans="1:50" s="24" customFormat="1" ht="30" customHeight="1">
      <c r="A3" s="194"/>
      <c r="B3" s="48"/>
      <c r="C3" s="214">
        <v>5065546</v>
      </c>
      <c r="D3" s="216"/>
      <c r="E3" s="214">
        <v>5065547</v>
      </c>
      <c r="F3" s="216"/>
      <c r="G3" s="214">
        <v>5008272</v>
      </c>
      <c r="H3" s="215"/>
      <c r="I3" s="215"/>
      <c r="J3" s="216"/>
      <c r="K3" s="214">
        <v>5065548</v>
      </c>
      <c r="L3" s="216"/>
      <c r="M3" s="214">
        <v>5465545</v>
      </c>
      <c r="N3" s="216"/>
      <c r="O3" s="214">
        <v>5008273</v>
      </c>
      <c r="P3" s="215"/>
      <c r="Q3" s="215"/>
      <c r="R3" s="216"/>
      <c r="S3" s="214">
        <v>5018351</v>
      </c>
      <c r="T3" s="215"/>
      <c r="U3" s="215"/>
      <c r="V3" s="216"/>
      <c r="W3" s="214">
        <v>5018354</v>
      </c>
      <c r="X3" s="215"/>
      <c r="Y3" s="215"/>
      <c r="Z3" s="216"/>
      <c r="AA3" s="214">
        <v>5018350</v>
      </c>
      <c r="AB3" s="215"/>
      <c r="AC3" s="215"/>
      <c r="AD3" s="216"/>
      <c r="AE3" s="214">
        <v>5065543</v>
      </c>
      <c r="AF3" s="216"/>
      <c r="AG3" s="214">
        <v>5065544</v>
      </c>
      <c r="AH3" s="216"/>
      <c r="AI3" s="214">
        <v>5065541</v>
      </c>
      <c r="AJ3" s="216"/>
      <c r="AK3" s="214">
        <v>5065542</v>
      </c>
      <c r="AL3" s="216"/>
      <c r="AM3" s="214">
        <v>5065540</v>
      </c>
      <c r="AN3" s="216"/>
      <c r="AP3" s="211" t="s">
        <v>81</v>
      </c>
      <c r="AQ3" s="211"/>
    </row>
    <row r="4" spans="1:50" s="23" customFormat="1" ht="30" customHeight="1">
      <c r="A4" s="194"/>
      <c r="B4" s="197"/>
      <c r="C4" s="222" t="s">
        <v>82</v>
      </c>
      <c r="D4" s="223"/>
      <c r="E4" s="222" t="s">
        <v>83</v>
      </c>
      <c r="F4" s="223"/>
      <c r="G4" s="222" t="s">
        <v>84</v>
      </c>
      <c r="H4" s="224"/>
      <c r="I4" s="224"/>
      <c r="J4" s="223"/>
      <c r="K4" s="222" t="s">
        <v>85</v>
      </c>
      <c r="L4" s="223"/>
      <c r="M4" s="222" t="s">
        <v>86</v>
      </c>
      <c r="N4" s="223"/>
      <c r="O4" s="222" t="s">
        <v>87</v>
      </c>
      <c r="P4" s="224"/>
      <c r="Q4" s="224"/>
      <c r="R4" s="223"/>
      <c r="S4" s="222" t="s">
        <v>88</v>
      </c>
      <c r="T4" s="224"/>
      <c r="U4" s="224"/>
      <c r="V4" s="223"/>
      <c r="W4" s="222" t="s">
        <v>89</v>
      </c>
      <c r="X4" s="224"/>
      <c r="Y4" s="224"/>
      <c r="Z4" s="223"/>
      <c r="AA4" s="222" t="s">
        <v>90</v>
      </c>
      <c r="AB4" s="224"/>
      <c r="AC4" s="224"/>
      <c r="AD4" s="223"/>
      <c r="AE4" s="222" t="s">
        <v>91</v>
      </c>
      <c r="AF4" s="223"/>
      <c r="AG4" s="222" t="s">
        <v>92</v>
      </c>
      <c r="AH4" s="223"/>
      <c r="AI4" s="222" t="s">
        <v>93</v>
      </c>
      <c r="AJ4" s="223"/>
      <c r="AK4" s="222" t="s">
        <v>94</v>
      </c>
      <c r="AL4" s="223"/>
      <c r="AM4" s="222" t="s">
        <v>95</v>
      </c>
      <c r="AN4" s="223"/>
      <c r="AP4" s="211"/>
      <c r="AQ4" s="211"/>
    </row>
    <row r="5" spans="1:50" s="8" customFormat="1" ht="30" customHeight="1">
      <c r="A5" s="194" t="s">
        <v>96</v>
      </c>
      <c r="B5" s="49"/>
      <c r="C5" s="220" t="s">
        <v>97</v>
      </c>
      <c r="D5" s="221"/>
      <c r="E5" s="220" t="s">
        <v>97</v>
      </c>
      <c r="F5" s="221"/>
      <c r="G5" s="220" t="s">
        <v>97</v>
      </c>
      <c r="H5" s="225"/>
      <c r="I5" s="225"/>
      <c r="J5" s="221"/>
      <c r="K5" s="49" t="s">
        <v>97</v>
      </c>
      <c r="L5" s="49"/>
      <c r="M5" s="220" t="s">
        <v>97</v>
      </c>
      <c r="N5" s="221"/>
      <c r="O5" s="220" t="s">
        <v>97</v>
      </c>
      <c r="P5" s="225"/>
      <c r="Q5" s="225"/>
      <c r="R5" s="221"/>
      <c r="S5" s="220" t="s">
        <v>98</v>
      </c>
      <c r="T5" s="225"/>
      <c r="U5" s="225"/>
      <c r="V5" s="221"/>
      <c r="W5" s="220" t="s">
        <v>98</v>
      </c>
      <c r="X5" s="225"/>
      <c r="Y5" s="225"/>
      <c r="Z5" s="221"/>
      <c r="AA5" s="220" t="s">
        <v>98</v>
      </c>
      <c r="AB5" s="225"/>
      <c r="AC5" s="225"/>
      <c r="AD5" s="221"/>
      <c r="AE5" s="220" t="s">
        <v>97</v>
      </c>
      <c r="AF5" s="221"/>
      <c r="AG5" s="220" t="s">
        <v>97</v>
      </c>
      <c r="AH5" s="221"/>
      <c r="AI5" s="220" t="s">
        <v>97</v>
      </c>
      <c r="AJ5" s="221"/>
      <c r="AK5" s="220" t="s">
        <v>97</v>
      </c>
      <c r="AL5" s="221"/>
      <c r="AM5" s="220" t="s">
        <v>97</v>
      </c>
      <c r="AN5" s="221"/>
    </row>
    <row r="6" spans="1:50" s="10" customFormat="1" ht="50.1" customHeight="1">
      <c r="A6" s="194" t="s">
        <v>99</v>
      </c>
      <c r="B6" s="194"/>
      <c r="C6" s="194" t="s">
        <v>100</v>
      </c>
      <c r="D6" s="194" t="s">
        <v>101</v>
      </c>
      <c r="E6" s="194" t="s">
        <v>100</v>
      </c>
      <c r="F6" s="194" t="s">
        <v>101</v>
      </c>
      <c r="G6" s="194" t="s">
        <v>100</v>
      </c>
      <c r="H6" s="194" t="s">
        <v>101</v>
      </c>
      <c r="I6" s="200">
        <v>50</v>
      </c>
      <c r="J6" s="200">
        <v>50</v>
      </c>
      <c r="K6" s="194" t="s">
        <v>100</v>
      </c>
      <c r="L6" s="194" t="s">
        <v>101</v>
      </c>
      <c r="M6" s="194" t="s">
        <v>100</v>
      </c>
      <c r="N6" s="194" t="s">
        <v>101</v>
      </c>
      <c r="O6" s="194" t="s">
        <v>100</v>
      </c>
      <c r="P6" s="194" t="s">
        <v>101</v>
      </c>
      <c r="Q6" s="200">
        <v>50</v>
      </c>
      <c r="R6" s="200">
        <v>50</v>
      </c>
      <c r="S6" s="194" t="s">
        <v>100</v>
      </c>
      <c r="T6" s="194" t="s">
        <v>101</v>
      </c>
      <c r="U6" s="200">
        <v>50</v>
      </c>
      <c r="V6" s="200">
        <v>50</v>
      </c>
      <c r="W6" s="194" t="s">
        <v>100</v>
      </c>
      <c r="X6" s="194" t="s">
        <v>101</v>
      </c>
      <c r="Y6" s="200">
        <v>50</v>
      </c>
      <c r="Z6" s="200">
        <v>50</v>
      </c>
      <c r="AA6" s="194" t="s">
        <v>100</v>
      </c>
      <c r="AB6" s="194" t="s">
        <v>101</v>
      </c>
      <c r="AC6" s="200">
        <v>50</v>
      </c>
      <c r="AD6" s="200">
        <v>50</v>
      </c>
      <c r="AE6" s="194" t="s">
        <v>100</v>
      </c>
      <c r="AF6" s="194" t="s">
        <v>101</v>
      </c>
      <c r="AG6" s="194" t="s">
        <v>100</v>
      </c>
      <c r="AH6" s="194" t="s">
        <v>101</v>
      </c>
      <c r="AI6" s="194" t="s">
        <v>100</v>
      </c>
      <c r="AJ6" s="194" t="s">
        <v>101</v>
      </c>
      <c r="AK6" s="194" t="s">
        <v>100</v>
      </c>
      <c r="AL6" s="194" t="s">
        <v>101</v>
      </c>
      <c r="AM6" s="194" t="s">
        <v>100</v>
      </c>
      <c r="AN6" s="194" t="s">
        <v>101</v>
      </c>
      <c r="AP6" s="194" t="s">
        <v>65</v>
      </c>
      <c r="AQ6" s="194" t="s">
        <v>67</v>
      </c>
    </row>
    <row r="7" spans="1:50" ht="39.950000000000003" customHeight="1">
      <c r="A7" s="189">
        <v>44681</v>
      </c>
      <c r="B7" s="16"/>
      <c r="C7" s="190">
        <v>246724</v>
      </c>
      <c r="D7" s="17"/>
      <c r="E7" s="190">
        <v>412770</v>
      </c>
      <c r="F7" s="17"/>
      <c r="G7" s="190">
        <v>114642</v>
      </c>
      <c r="H7" s="17"/>
      <c r="I7" s="203"/>
      <c r="J7" s="203"/>
      <c r="K7" s="190">
        <v>361380</v>
      </c>
      <c r="L7" s="17"/>
      <c r="M7" s="190">
        <v>570391</v>
      </c>
      <c r="N7" s="17"/>
      <c r="O7" s="190">
        <v>271794</v>
      </c>
      <c r="P7" s="17"/>
      <c r="Q7" s="203"/>
      <c r="R7" s="203"/>
      <c r="S7" s="190">
        <v>359612</v>
      </c>
      <c r="T7" s="17"/>
      <c r="U7" s="203"/>
      <c r="V7" s="203"/>
      <c r="W7" s="190">
        <v>171800</v>
      </c>
      <c r="X7" s="17"/>
      <c r="Y7" s="203"/>
      <c r="Z7" s="203"/>
      <c r="AA7" s="190">
        <v>248432</v>
      </c>
      <c r="AB7" s="17"/>
      <c r="AC7" s="203"/>
      <c r="AD7" s="203"/>
      <c r="AE7" s="190">
        <v>69398</v>
      </c>
      <c r="AF7" s="17"/>
      <c r="AG7" s="190">
        <v>132564</v>
      </c>
      <c r="AH7" s="17"/>
      <c r="AI7" s="190">
        <v>238713</v>
      </c>
      <c r="AJ7" s="17"/>
      <c r="AK7" s="190">
        <v>122655</v>
      </c>
      <c r="AL7" s="17"/>
      <c r="AM7" s="190">
        <v>642182</v>
      </c>
      <c r="AN7" s="17"/>
      <c r="AO7" s="19"/>
      <c r="AP7" s="96"/>
      <c r="AQ7" s="97"/>
      <c r="AR7" s="19"/>
      <c r="AS7" s="19"/>
      <c r="AT7" s="19"/>
      <c r="AU7" s="19"/>
      <c r="AV7" s="19"/>
      <c r="AW7" s="19"/>
      <c r="AX7" s="19"/>
    </row>
    <row r="8" spans="1:50" s="2" customFormat="1" ht="39.950000000000003" customHeight="1">
      <c r="A8" s="189">
        <v>44682</v>
      </c>
      <c r="B8" s="15"/>
      <c r="C8" s="191">
        <v>247119</v>
      </c>
      <c r="D8" s="17">
        <f>(C8-C7)*10</f>
        <v>3950</v>
      </c>
      <c r="E8" s="191">
        <v>413553</v>
      </c>
      <c r="F8" s="17">
        <f>(E8-E7)*10</f>
        <v>7830</v>
      </c>
      <c r="G8" s="191">
        <v>115538</v>
      </c>
      <c r="H8" s="17">
        <f>(G8-G7)*10</f>
        <v>8960</v>
      </c>
      <c r="I8" s="204">
        <f>H8*I6/100</f>
        <v>4480</v>
      </c>
      <c r="J8" s="204">
        <f>H8*J6/100</f>
        <v>4480</v>
      </c>
      <c r="K8" s="191">
        <v>361948</v>
      </c>
      <c r="L8" s="17">
        <f>(K8-K7)*10</f>
        <v>5680</v>
      </c>
      <c r="M8" s="191">
        <v>571382</v>
      </c>
      <c r="N8" s="17">
        <f>(M8-M7)*10</f>
        <v>9910</v>
      </c>
      <c r="O8" s="191">
        <v>272912</v>
      </c>
      <c r="P8" s="17">
        <f t="shared" ref="P8:P38" si="0">(O8-O7)*10</f>
        <v>11180</v>
      </c>
      <c r="Q8" s="204">
        <f>P8*Q6/100</f>
        <v>5590</v>
      </c>
      <c r="R8" s="204">
        <f>P8*R6/100</f>
        <v>5590</v>
      </c>
      <c r="S8" s="191">
        <v>359614</v>
      </c>
      <c r="T8" s="17">
        <f t="shared" ref="T8:T38" si="1">(S8-S7)*10</f>
        <v>20</v>
      </c>
      <c r="U8" s="204">
        <f>T8*U6/100</f>
        <v>10</v>
      </c>
      <c r="V8" s="204">
        <f>T8*V6/100</f>
        <v>10</v>
      </c>
      <c r="W8" s="191">
        <v>171803</v>
      </c>
      <c r="X8" s="17">
        <f>(W8-W7)*10</f>
        <v>30</v>
      </c>
      <c r="Y8" s="204">
        <f>X8*Y6/100</f>
        <v>15</v>
      </c>
      <c r="Z8" s="204">
        <f>X8*Z6/100</f>
        <v>15</v>
      </c>
      <c r="AA8" s="191">
        <v>248440</v>
      </c>
      <c r="AB8" s="17">
        <f>(AA8-AA7)*10</f>
        <v>80</v>
      </c>
      <c r="AC8" s="204">
        <f>AB8*AC6/100</f>
        <v>40</v>
      </c>
      <c r="AD8" s="204">
        <f>AB8*AD6/100</f>
        <v>40</v>
      </c>
      <c r="AE8" s="191">
        <v>69499</v>
      </c>
      <c r="AF8" s="17">
        <f>(AE8-AE7)*10</f>
        <v>1010</v>
      </c>
      <c r="AG8" s="191">
        <v>132766</v>
      </c>
      <c r="AH8" s="17">
        <f>(AG8-AG7)*10</f>
        <v>2020</v>
      </c>
      <c r="AI8" s="191">
        <v>239055</v>
      </c>
      <c r="AJ8" s="17">
        <f>(AI8-AI7)*10</f>
        <v>3420</v>
      </c>
      <c r="AK8" s="191">
        <v>122820</v>
      </c>
      <c r="AL8" s="17">
        <f>(AK8-AK7)*10</f>
        <v>1650</v>
      </c>
      <c r="AM8" s="191">
        <v>643100</v>
      </c>
      <c r="AN8" s="17">
        <f>(AM8-AM7)*10</f>
        <v>9180</v>
      </c>
      <c r="AP8" s="204">
        <f t="shared" ref="AP8:AP38" si="2">SUM(D8,F8,I8,L8,N8,Q8,U8,Y8,AC8)</f>
        <v>37505</v>
      </c>
      <c r="AQ8" s="205">
        <f t="shared" ref="AQ8:AQ37" si="3">SUM(R8,V8,Z8,AD8,AF8,AH8,AJ8,AL8,AN8, J8)</f>
        <v>27415</v>
      </c>
    </row>
    <row r="9" spans="1:50" ht="39.950000000000003" customHeight="1">
      <c r="A9" s="189">
        <f>SUM(A8+1)</f>
        <v>44683</v>
      </c>
      <c r="B9" s="16"/>
      <c r="C9" s="191">
        <v>247497</v>
      </c>
      <c r="D9" s="17">
        <f t="shared" ref="D9:F25" si="4">(C9-C8)*10</f>
        <v>3780</v>
      </c>
      <c r="E9" s="191">
        <v>414320</v>
      </c>
      <c r="F9" s="17">
        <f t="shared" si="4"/>
        <v>7670</v>
      </c>
      <c r="G9" s="191">
        <v>116583</v>
      </c>
      <c r="H9" s="17">
        <f t="shared" ref="H9:H38" si="5">(G9-G8)*10</f>
        <v>10450</v>
      </c>
      <c r="I9" s="204">
        <f>H9*I6/100</f>
        <v>5225</v>
      </c>
      <c r="J9" s="204">
        <f>H9*J6/100</f>
        <v>5225</v>
      </c>
      <c r="K9" s="191">
        <v>362495</v>
      </c>
      <c r="L9" s="17">
        <f t="shared" ref="L9:L38" si="6">(K9-K8)*10</f>
        <v>5470</v>
      </c>
      <c r="M9" s="191">
        <v>572263</v>
      </c>
      <c r="N9" s="17">
        <f t="shared" ref="N9:N38" si="7">(M9-M8)*10</f>
        <v>8810</v>
      </c>
      <c r="O9" s="191">
        <v>273405</v>
      </c>
      <c r="P9" s="17">
        <f t="shared" si="0"/>
        <v>4930</v>
      </c>
      <c r="Q9" s="204">
        <f>P9*Q6/100</f>
        <v>2465</v>
      </c>
      <c r="R9" s="204">
        <f>P9*R6/100</f>
        <v>2465</v>
      </c>
      <c r="S9" s="191">
        <v>359616</v>
      </c>
      <c r="T9" s="17">
        <f t="shared" si="1"/>
        <v>20</v>
      </c>
      <c r="U9" s="204">
        <f>T9*U6/100</f>
        <v>10</v>
      </c>
      <c r="V9" s="204">
        <f>T9*V6/100</f>
        <v>10</v>
      </c>
      <c r="W9" s="191">
        <v>171805</v>
      </c>
      <c r="X9" s="17">
        <f t="shared" ref="X9:X38" si="8">(W9-W8)*10</f>
        <v>20</v>
      </c>
      <c r="Y9" s="204">
        <f>X9*Y6/100</f>
        <v>10</v>
      </c>
      <c r="Z9" s="204">
        <f>X9*Z6/100</f>
        <v>10</v>
      </c>
      <c r="AA9" s="191">
        <v>248447</v>
      </c>
      <c r="AB9" s="17">
        <f t="shared" ref="AB9:AB38" si="9">(AA9-AA8)*10</f>
        <v>70</v>
      </c>
      <c r="AC9" s="204">
        <f>AB9*AC6/100</f>
        <v>35</v>
      </c>
      <c r="AD9" s="204">
        <f>AB9*AD6/100</f>
        <v>35</v>
      </c>
      <c r="AE9" s="191">
        <v>69598</v>
      </c>
      <c r="AF9" s="17">
        <f t="shared" ref="AF9:AF38" si="10">(AE9-AE8)*10</f>
        <v>990</v>
      </c>
      <c r="AG9" s="191">
        <v>132959</v>
      </c>
      <c r="AH9" s="17">
        <f t="shared" ref="AH9:AH38" si="11">(AG9-AG8)*10</f>
        <v>1930</v>
      </c>
      <c r="AI9" s="191">
        <v>239381</v>
      </c>
      <c r="AJ9" s="17">
        <f t="shared" ref="AJ9:AJ38" si="12">(AI9-AI8)*10</f>
        <v>3260</v>
      </c>
      <c r="AK9" s="191">
        <v>122980</v>
      </c>
      <c r="AL9" s="17">
        <f t="shared" ref="AL9:AL38" si="13">(AK9-AK8)*10</f>
        <v>1600</v>
      </c>
      <c r="AM9" s="191">
        <v>643987</v>
      </c>
      <c r="AN9" s="17">
        <f t="shared" ref="AN9:AN38" si="14">(AM9-AM8)*10</f>
        <v>8870</v>
      </c>
      <c r="AP9" s="204">
        <f t="shared" si="2"/>
        <v>33475</v>
      </c>
      <c r="AQ9" s="205">
        <f t="shared" si="3"/>
        <v>24395</v>
      </c>
    </row>
    <row r="10" spans="1:50" ht="39.950000000000003" customHeight="1">
      <c r="A10" s="189">
        <f t="shared" ref="A10:A38" si="15">SUM(A9+1)</f>
        <v>44684</v>
      </c>
      <c r="B10" s="16"/>
      <c r="C10" s="191">
        <v>247862</v>
      </c>
      <c r="D10" s="17">
        <f t="shared" si="4"/>
        <v>3650</v>
      </c>
      <c r="E10" s="191">
        <v>415052</v>
      </c>
      <c r="F10" s="17">
        <f t="shared" si="4"/>
        <v>7320</v>
      </c>
      <c r="G10" s="191">
        <v>117724</v>
      </c>
      <c r="H10" s="17">
        <f t="shared" si="5"/>
        <v>11410</v>
      </c>
      <c r="I10" s="204">
        <f>H10*I6/100</f>
        <v>5705</v>
      </c>
      <c r="J10" s="204">
        <f>H10*J6/100</f>
        <v>5705</v>
      </c>
      <c r="K10" s="191">
        <v>363045</v>
      </c>
      <c r="L10" s="17">
        <f t="shared" si="6"/>
        <v>5500</v>
      </c>
      <c r="M10" s="191">
        <v>573211</v>
      </c>
      <c r="N10" s="17">
        <f t="shared" si="7"/>
        <v>9480</v>
      </c>
      <c r="O10" s="191">
        <v>273910</v>
      </c>
      <c r="P10" s="17">
        <f t="shared" si="0"/>
        <v>5050</v>
      </c>
      <c r="Q10" s="204">
        <f>P10*Q6/100</f>
        <v>2525</v>
      </c>
      <c r="R10" s="204">
        <f>P10*R6/100</f>
        <v>2525</v>
      </c>
      <c r="S10" s="191">
        <v>359802</v>
      </c>
      <c r="T10" s="17">
        <f t="shared" si="1"/>
        <v>1860</v>
      </c>
      <c r="U10" s="204">
        <f>T10*U6/100</f>
        <v>930</v>
      </c>
      <c r="V10" s="204">
        <f>T10*V6/100</f>
        <v>930</v>
      </c>
      <c r="W10" s="191">
        <v>171807</v>
      </c>
      <c r="X10" s="17">
        <f t="shared" si="8"/>
        <v>20</v>
      </c>
      <c r="Y10" s="204">
        <f>X10*Y6/100</f>
        <v>10</v>
      </c>
      <c r="Z10" s="204">
        <f>X10*Z6/100</f>
        <v>10</v>
      </c>
      <c r="AA10" s="191">
        <v>248455</v>
      </c>
      <c r="AB10" s="17">
        <f t="shared" si="9"/>
        <v>80</v>
      </c>
      <c r="AC10" s="204">
        <f>AB10*AC6/100</f>
        <v>40</v>
      </c>
      <c r="AD10" s="204">
        <f>AB10*AD6/100</f>
        <v>40</v>
      </c>
      <c r="AE10" s="191">
        <v>69689</v>
      </c>
      <c r="AF10" s="17">
        <f t="shared" si="10"/>
        <v>910</v>
      </c>
      <c r="AG10" s="191">
        <v>133151</v>
      </c>
      <c r="AH10" s="17">
        <f t="shared" si="11"/>
        <v>1920</v>
      </c>
      <c r="AI10" s="191">
        <v>239722</v>
      </c>
      <c r="AJ10" s="17">
        <f t="shared" si="12"/>
        <v>3410</v>
      </c>
      <c r="AK10" s="191">
        <v>123138</v>
      </c>
      <c r="AL10" s="17">
        <f t="shared" si="13"/>
        <v>1580</v>
      </c>
      <c r="AM10" s="191">
        <v>644893</v>
      </c>
      <c r="AN10" s="17">
        <f t="shared" si="14"/>
        <v>9060</v>
      </c>
      <c r="AP10" s="204">
        <f t="shared" si="2"/>
        <v>35160</v>
      </c>
      <c r="AQ10" s="205">
        <f t="shared" si="3"/>
        <v>26090</v>
      </c>
    </row>
    <row r="11" spans="1:50" ht="39.950000000000003" customHeight="1">
      <c r="A11" s="189">
        <f t="shared" si="15"/>
        <v>44685</v>
      </c>
      <c r="B11" s="16"/>
      <c r="C11" s="191">
        <v>248463</v>
      </c>
      <c r="D11" s="17">
        <f t="shared" si="4"/>
        <v>6010</v>
      </c>
      <c r="E11" s="191">
        <v>415740</v>
      </c>
      <c r="F11" s="17">
        <f t="shared" si="4"/>
        <v>6880</v>
      </c>
      <c r="G11" s="191">
        <v>118897</v>
      </c>
      <c r="H11" s="17">
        <f t="shared" si="5"/>
        <v>11730</v>
      </c>
      <c r="I11" s="204">
        <f>H11*I6/100</f>
        <v>5865</v>
      </c>
      <c r="J11" s="204">
        <f>H11*J6/100</f>
        <v>5865</v>
      </c>
      <c r="K11" s="191">
        <v>363628</v>
      </c>
      <c r="L11" s="17">
        <f t="shared" si="6"/>
        <v>5830</v>
      </c>
      <c r="M11" s="191">
        <v>574223</v>
      </c>
      <c r="N11" s="17">
        <f t="shared" si="7"/>
        <v>10120</v>
      </c>
      <c r="O11" s="191">
        <v>274410</v>
      </c>
      <c r="P11" s="17">
        <f t="shared" si="0"/>
        <v>5000</v>
      </c>
      <c r="Q11" s="204">
        <f>P11*Q6/100</f>
        <v>2500</v>
      </c>
      <c r="R11" s="204">
        <f>P11*R6/100</f>
        <v>2500</v>
      </c>
      <c r="S11" s="191">
        <v>360234</v>
      </c>
      <c r="T11" s="17">
        <f t="shared" si="1"/>
        <v>4320</v>
      </c>
      <c r="U11" s="204">
        <f>T11*U6/100</f>
        <v>2160</v>
      </c>
      <c r="V11" s="204">
        <f>T11*V6/100</f>
        <v>2160</v>
      </c>
      <c r="W11" s="191">
        <v>171809</v>
      </c>
      <c r="X11" s="17">
        <f t="shared" si="8"/>
        <v>20</v>
      </c>
      <c r="Y11" s="204">
        <f>X11*Y6/100</f>
        <v>10</v>
      </c>
      <c r="Z11" s="204">
        <f>X11*Z6/100</f>
        <v>10</v>
      </c>
      <c r="AA11" s="191">
        <v>248463</v>
      </c>
      <c r="AB11" s="17">
        <f t="shared" si="9"/>
        <v>80</v>
      </c>
      <c r="AC11" s="204">
        <f>AB11*AC6/100</f>
        <v>40</v>
      </c>
      <c r="AD11" s="204">
        <f>AB11*AD6/100</f>
        <v>40</v>
      </c>
      <c r="AE11" s="191">
        <v>69798</v>
      </c>
      <c r="AF11" s="17">
        <f t="shared" si="10"/>
        <v>1090</v>
      </c>
      <c r="AG11" s="191">
        <v>133351</v>
      </c>
      <c r="AH11" s="17">
        <f t="shared" si="11"/>
        <v>2000</v>
      </c>
      <c r="AI11" s="191">
        <v>240064</v>
      </c>
      <c r="AJ11" s="17">
        <f t="shared" si="12"/>
        <v>3420</v>
      </c>
      <c r="AK11" s="191">
        <v>123297</v>
      </c>
      <c r="AL11" s="17">
        <f t="shared" si="13"/>
        <v>1590</v>
      </c>
      <c r="AM11" s="191">
        <v>645835</v>
      </c>
      <c r="AN11" s="17">
        <f t="shared" si="14"/>
        <v>9420</v>
      </c>
      <c r="AP11" s="204">
        <f t="shared" si="2"/>
        <v>39415</v>
      </c>
      <c r="AQ11" s="205">
        <f t="shared" si="3"/>
        <v>28095</v>
      </c>
    </row>
    <row r="12" spans="1:50" ht="39.950000000000003" customHeight="1">
      <c r="A12" s="189">
        <f t="shared" si="15"/>
        <v>44686</v>
      </c>
      <c r="B12" s="16"/>
      <c r="C12" s="191">
        <v>248470</v>
      </c>
      <c r="D12" s="17">
        <f t="shared" si="4"/>
        <v>70</v>
      </c>
      <c r="E12" s="191">
        <v>416421</v>
      </c>
      <c r="F12" s="17">
        <f t="shared" si="4"/>
        <v>6810</v>
      </c>
      <c r="G12" s="191">
        <v>120141</v>
      </c>
      <c r="H12" s="17">
        <f t="shared" si="5"/>
        <v>12440</v>
      </c>
      <c r="I12" s="204">
        <f>H12*I6/100</f>
        <v>6220</v>
      </c>
      <c r="J12" s="204">
        <f>H12*J6/100</f>
        <v>6220</v>
      </c>
      <c r="K12" s="191">
        <v>364229</v>
      </c>
      <c r="L12" s="17">
        <f t="shared" si="6"/>
        <v>6010</v>
      </c>
      <c r="M12" s="191">
        <v>575213</v>
      </c>
      <c r="N12" s="17">
        <f t="shared" si="7"/>
        <v>9900</v>
      </c>
      <c r="O12" s="191">
        <v>275494</v>
      </c>
      <c r="P12" s="17">
        <f t="shared" si="0"/>
        <v>10840</v>
      </c>
      <c r="Q12" s="204">
        <f>P12*Q6/100</f>
        <v>5420</v>
      </c>
      <c r="R12" s="204">
        <f>P12*R6/100</f>
        <v>5420</v>
      </c>
      <c r="S12" s="191">
        <v>360236</v>
      </c>
      <c r="T12" s="17">
        <f t="shared" si="1"/>
        <v>20</v>
      </c>
      <c r="U12" s="204">
        <f>T12*U6/100</f>
        <v>10</v>
      </c>
      <c r="V12" s="204">
        <f>T12*V6/100</f>
        <v>10</v>
      </c>
      <c r="W12" s="191">
        <v>171811</v>
      </c>
      <c r="X12" s="17">
        <f t="shared" si="8"/>
        <v>20</v>
      </c>
      <c r="Y12" s="204">
        <f>X12*Y6/100</f>
        <v>10</v>
      </c>
      <c r="Z12" s="204">
        <f>X12*Z6/100</f>
        <v>10</v>
      </c>
      <c r="AA12" s="191">
        <v>248604</v>
      </c>
      <c r="AB12" s="17">
        <f t="shared" si="9"/>
        <v>1410</v>
      </c>
      <c r="AC12" s="204">
        <f>AB12*AC6/100</f>
        <v>705</v>
      </c>
      <c r="AD12" s="204">
        <f>AB12*AD6/100</f>
        <v>705</v>
      </c>
      <c r="AE12" s="191">
        <v>69906</v>
      </c>
      <c r="AF12" s="17">
        <f t="shared" si="10"/>
        <v>1080</v>
      </c>
      <c r="AG12" s="191">
        <v>133563</v>
      </c>
      <c r="AH12" s="17">
        <f t="shared" si="11"/>
        <v>2120</v>
      </c>
      <c r="AI12" s="191">
        <v>240420</v>
      </c>
      <c r="AJ12" s="17">
        <f t="shared" si="12"/>
        <v>3560</v>
      </c>
      <c r="AK12" s="191">
        <v>123467</v>
      </c>
      <c r="AL12" s="17">
        <f t="shared" si="13"/>
        <v>1700</v>
      </c>
      <c r="AM12" s="191">
        <v>646794</v>
      </c>
      <c r="AN12" s="17">
        <f t="shared" si="14"/>
        <v>9590</v>
      </c>
      <c r="AP12" s="204">
        <f t="shared" si="2"/>
        <v>35155</v>
      </c>
      <c r="AQ12" s="205">
        <f t="shared" si="3"/>
        <v>30415</v>
      </c>
    </row>
    <row r="13" spans="1:50" ht="39.950000000000003" customHeight="1">
      <c r="A13" s="189">
        <f t="shared" si="15"/>
        <v>44687</v>
      </c>
      <c r="B13" s="16"/>
      <c r="C13" s="191">
        <v>248664</v>
      </c>
      <c r="D13" s="17">
        <f t="shared" si="4"/>
        <v>1940</v>
      </c>
      <c r="E13" s="191">
        <v>417142</v>
      </c>
      <c r="F13" s="17">
        <f t="shared" si="4"/>
        <v>7210</v>
      </c>
      <c r="G13" s="191">
        <v>121164</v>
      </c>
      <c r="H13" s="17">
        <f t="shared" si="5"/>
        <v>10230</v>
      </c>
      <c r="I13" s="204">
        <f>H13*I6/100</f>
        <v>5115</v>
      </c>
      <c r="J13" s="204">
        <f>H13*J6/100</f>
        <v>5115</v>
      </c>
      <c r="K13" s="191">
        <v>364828</v>
      </c>
      <c r="L13" s="17">
        <f t="shared" si="6"/>
        <v>5990</v>
      </c>
      <c r="M13" s="191">
        <v>576224</v>
      </c>
      <c r="N13" s="17">
        <f t="shared" si="7"/>
        <v>10110</v>
      </c>
      <c r="O13" s="191">
        <v>276654</v>
      </c>
      <c r="P13" s="17">
        <f t="shared" si="0"/>
        <v>11600</v>
      </c>
      <c r="Q13" s="204">
        <f>P13*Q6/100</f>
        <v>5800</v>
      </c>
      <c r="R13" s="204">
        <f>P13*R6/100</f>
        <v>5800</v>
      </c>
      <c r="S13" s="191">
        <v>360286</v>
      </c>
      <c r="T13" s="17">
        <f t="shared" si="1"/>
        <v>500</v>
      </c>
      <c r="U13" s="204">
        <f>T13*U6/100</f>
        <v>250</v>
      </c>
      <c r="V13" s="204">
        <f>T13*V6/100</f>
        <v>250</v>
      </c>
      <c r="W13" s="191">
        <v>171854</v>
      </c>
      <c r="X13" s="17">
        <f t="shared" si="8"/>
        <v>430</v>
      </c>
      <c r="Y13" s="204">
        <f>X13*Y6/100</f>
        <v>215</v>
      </c>
      <c r="Z13" s="204">
        <f>X13*Z6/100</f>
        <v>215</v>
      </c>
      <c r="AA13" s="191">
        <v>248664</v>
      </c>
      <c r="AB13" s="17">
        <f t="shared" si="9"/>
        <v>600</v>
      </c>
      <c r="AC13" s="204">
        <f>AB13*AC6/100</f>
        <v>300</v>
      </c>
      <c r="AD13" s="204">
        <f>AB13*AD6/100</f>
        <v>300</v>
      </c>
      <c r="AE13" s="191">
        <v>70022</v>
      </c>
      <c r="AF13" s="17">
        <f t="shared" si="10"/>
        <v>1160</v>
      </c>
      <c r="AG13" s="191">
        <v>133772</v>
      </c>
      <c r="AH13" s="17">
        <f t="shared" si="11"/>
        <v>2090</v>
      </c>
      <c r="AI13" s="191">
        <v>240781</v>
      </c>
      <c r="AJ13" s="17">
        <f t="shared" si="12"/>
        <v>3610</v>
      </c>
      <c r="AK13" s="191">
        <v>123638</v>
      </c>
      <c r="AL13" s="17">
        <f t="shared" si="13"/>
        <v>1710</v>
      </c>
      <c r="AM13" s="191">
        <v>647774</v>
      </c>
      <c r="AN13" s="17">
        <f t="shared" si="14"/>
        <v>9800</v>
      </c>
      <c r="AP13" s="204">
        <f t="shared" si="2"/>
        <v>36930</v>
      </c>
      <c r="AQ13" s="205">
        <f t="shared" si="3"/>
        <v>30050</v>
      </c>
    </row>
    <row r="14" spans="1:50" ht="39.950000000000003" customHeight="1">
      <c r="A14" s="189">
        <f t="shared" si="15"/>
        <v>44688</v>
      </c>
      <c r="B14" s="16"/>
      <c r="C14" s="191">
        <v>249374</v>
      </c>
      <c r="D14" s="17">
        <f t="shared" si="4"/>
        <v>7100</v>
      </c>
      <c r="E14" s="191">
        <v>417935</v>
      </c>
      <c r="F14" s="17">
        <f t="shared" si="4"/>
        <v>7930</v>
      </c>
      <c r="G14" s="191">
        <v>122545</v>
      </c>
      <c r="H14" s="17">
        <f t="shared" si="5"/>
        <v>13810</v>
      </c>
      <c r="I14" s="204">
        <f>H14*I6/100</f>
        <v>6905</v>
      </c>
      <c r="J14" s="204">
        <f>H14*J6/100</f>
        <v>6905</v>
      </c>
      <c r="K14" s="191">
        <v>365436</v>
      </c>
      <c r="L14" s="17">
        <f t="shared" si="6"/>
        <v>6080</v>
      </c>
      <c r="M14" s="191">
        <v>577239</v>
      </c>
      <c r="N14" s="17">
        <f t="shared" si="7"/>
        <v>10150</v>
      </c>
      <c r="O14" s="191">
        <v>277858</v>
      </c>
      <c r="P14" s="17">
        <f t="shared" si="0"/>
        <v>12040</v>
      </c>
      <c r="Q14" s="204">
        <f>P14*Q6/100</f>
        <v>6020</v>
      </c>
      <c r="R14" s="204">
        <f>P14*R6/100</f>
        <v>6020</v>
      </c>
      <c r="S14" s="191">
        <v>360288</v>
      </c>
      <c r="T14" s="17">
        <f t="shared" si="1"/>
        <v>20</v>
      </c>
      <c r="U14" s="204">
        <f>T14*U6/100</f>
        <v>10</v>
      </c>
      <c r="V14" s="204">
        <f>T14*V6/100</f>
        <v>10</v>
      </c>
      <c r="W14" s="191">
        <v>171856</v>
      </c>
      <c r="X14" s="17">
        <f t="shared" si="8"/>
        <v>20</v>
      </c>
      <c r="Y14" s="204">
        <f>X14*Y6/100</f>
        <v>10</v>
      </c>
      <c r="Z14" s="204">
        <f>X14*Z6/100</f>
        <v>10</v>
      </c>
      <c r="AA14" s="191">
        <v>248671</v>
      </c>
      <c r="AB14" s="17">
        <f t="shared" si="9"/>
        <v>70</v>
      </c>
      <c r="AC14" s="204">
        <f>AB14*AC6/100</f>
        <v>35</v>
      </c>
      <c r="AD14" s="204">
        <f>AB14*AD6/100</f>
        <v>35</v>
      </c>
      <c r="AE14" s="191">
        <v>70231</v>
      </c>
      <c r="AF14" s="17">
        <f t="shared" si="10"/>
        <v>2090</v>
      </c>
      <c r="AG14" s="191">
        <v>133986</v>
      </c>
      <c r="AH14" s="17">
        <f t="shared" si="11"/>
        <v>2140</v>
      </c>
      <c r="AI14" s="191">
        <v>241148</v>
      </c>
      <c r="AJ14" s="17">
        <f t="shared" si="12"/>
        <v>3670</v>
      </c>
      <c r="AK14" s="191">
        <v>123814</v>
      </c>
      <c r="AL14" s="17">
        <f t="shared" si="13"/>
        <v>1760</v>
      </c>
      <c r="AM14" s="191">
        <v>648786</v>
      </c>
      <c r="AN14" s="17">
        <f t="shared" si="14"/>
        <v>10120</v>
      </c>
      <c r="AP14" s="204">
        <f t="shared" si="2"/>
        <v>44240</v>
      </c>
      <c r="AQ14" s="205">
        <f t="shared" si="3"/>
        <v>32760</v>
      </c>
    </row>
    <row r="15" spans="1:50" ht="39.950000000000003" customHeight="1">
      <c r="A15" s="189">
        <f t="shared" si="15"/>
        <v>44689</v>
      </c>
      <c r="B15" s="16"/>
      <c r="C15" s="191">
        <v>249779</v>
      </c>
      <c r="D15" s="17">
        <f t="shared" si="4"/>
        <v>4050</v>
      </c>
      <c r="E15" s="191">
        <v>418747</v>
      </c>
      <c r="F15" s="17">
        <f t="shared" si="4"/>
        <v>8120</v>
      </c>
      <c r="G15" s="191">
        <v>123792</v>
      </c>
      <c r="H15" s="17">
        <f t="shared" si="5"/>
        <v>12470</v>
      </c>
      <c r="I15" s="204">
        <f>H15*I6/100</f>
        <v>6235</v>
      </c>
      <c r="J15" s="204">
        <f>H15*J6/100</f>
        <v>6235</v>
      </c>
      <c r="K15" s="191">
        <v>366045</v>
      </c>
      <c r="L15" s="17">
        <f t="shared" si="6"/>
        <v>6090</v>
      </c>
      <c r="M15" s="191">
        <v>578263</v>
      </c>
      <c r="N15" s="17">
        <f t="shared" si="7"/>
        <v>10240</v>
      </c>
      <c r="O15" s="191">
        <v>278981</v>
      </c>
      <c r="P15" s="17">
        <f t="shared" si="0"/>
        <v>11230</v>
      </c>
      <c r="Q15" s="204">
        <f>P15*Q6/100</f>
        <v>5615</v>
      </c>
      <c r="R15" s="204">
        <f>P15*R6/100</f>
        <v>5615</v>
      </c>
      <c r="S15" s="191">
        <v>360290</v>
      </c>
      <c r="T15" s="17">
        <f t="shared" si="1"/>
        <v>20</v>
      </c>
      <c r="U15" s="204">
        <f>T15*U6/100</f>
        <v>10</v>
      </c>
      <c r="V15" s="204">
        <f>T15*V6/100</f>
        <v>10</v>
      </c>
      <c r="W15" s="191">
        <v>171858</v>
      </c>
      <c r="X15" s="17">
        <f t="shared" si="8"/>
        <v>20</v>
      </c>
      <c r="Y15" s="204">
        <f>X15*Y6/100</f>
        <v>10</v>
      </c>
      <c r="Z15" s="204">
        <f>X15*Z6/100</f>
        <v>10</v>
      </c>
      <c r="AA15" s="191">
        <v>248679</v>
      </c>
      <c r="AB15" s="17">
        <f t="shared" si="9"/>
        <v>80</v>
      </c>
      <c r="AC15" s="204">
        <f>AB15*AC6/100</f>
        <v>40</v>
      </c>
      <c r="AD15" s="204">
        <f>AB15*AD6/100</f>
        <v>40</v>
      </c>
      <c r="AE15" s="191">
        <v>70244</v>
      </c>
      <c r="AF15" s="17">
        <f t="shared" si="10"/>
        <v>130</v>
      </c>
      <c r="AG15" s="191">
        <v>134185</v>
      </c>
      <c r="AH15" s="17">
        <f t="shared" si="11"/>
        <v>1990</v>
      </c>
      <c r="AI15" s="191">
        <v>241491</v>
      </c>
      <c r="AJ15" s="17">
        <f t="shared" si="12"/>
        <v>3430</v>
      </c>
      <c r="AK15" s="191">
        <v>123978</v>
      </c>
      <c r="AL15" s="17">
        <f t="shared" si="13"/>
        <v>1640</v>
      </c>
      <c r="AM15" s="191">
        <v>649730</v>
      </c>
      <c r="AN15" s="17">
        <f t="shared" si="14"/>
        <v>9440</v>
      </c>
      <c r="AP15" s="204">
        <f t="shared" si="2"/>
        <v>40410</v>
      </c>
      <c r="AQ15" s="205">
        <f t="shared" si="3"/>
        <v>28540</v>
      </c>
    </row>
    <row r="16" spans="1:50" ht="39.950000000000003" customHeight="1">
      <c r="A16" s="189">
        <f t="shared" si="15"/>
        <v>44690</v>
      </c>
      <c r="B16" s="16"/>
      <c r="C16" s="191">
        <v>250174</v>
      </c>
      <c r="D16" s="17">
        <f t="shared" si="4"/>
        <v>3950</v>
      </c>
      <c r="E16" s="191">
        <v>419517</v>
      </c>
      <c r="F16" s="17">
        <f t="shared" si="4"/>
        <v>7700</v>
      </c>
      <c r="G16" s="191">
        <v>125087</v>
      </c>
      <c r="H16" s="17">
        <f t="shared" si="5"/>
        <v>12950</v>
      </c>
      <c r="I16" s="204">
        <f>H16*I6/100</f>
        <v>6475</v>
      </c>
      <c r="J16" s="204">
        <f>H16*J6/100</f>
        <v>6475</v>
      </c>
      <c r="K16" s="191">
        <v>366619</v>
      </c>
      <c r="L16" s="17">
        <f t="shared" si="6"/>
        <v>5740</v>
      </c>
      <c r="M16" s="191">
        <v>579161</v>
      </c>
      <c r="N16" s="17">
        <f t="shared" si="7"/>
        <v>8980</v>
      </c>
      <c r="O16" s="191">
        <v>280185</v>
      </c>
      <c r="P16" s="17">
        <f t="shared" si="0"/>
        <v>12040</v>
      </c>
      <c r="Q16" s="204">
        <f>P16*Q6/100</f>
        <v>6020</v>
      </c>
      <c r="R16" s="204">
        <f>P16*R6/100</f>
        <v>6020</v>
      </c>
      <c r="S16" s="191">
        <v>360292</v>
      </c>
      <c r="T16" s="17">
        <f t="shared" si="1"/>
        <v>20</v>
      </c>
      <c r="U16" s="204">
        <f>T16*U6/100</f>
        <v>10</v>
      </c>
      <c r="V16" s="204">
        <f>T16*V6/100</f>
        <v>10</v>
      </c>
      <c r="W16" s="191">
        <v>171860</v>
      </c>
      <c r="X16" s="17">
        <f t="shared" si="8"/>
        <v>20</v>
      </c>
      <c r="Y16" s="204">
        <f>X16*Y6/100</f>
        <v>10</v>
      </c>
      <c r="Z16" s="204">
        <f>X16*Z6/100</f>
        <v>10</v>
      </c>
      <c r="AA16" s="191">
        <v>248686</v>
      </c>
      <c r="AB16" s="17">
        <f t="shared" si="9"/>
        <v>70</v>
      </c>
      <c r="AC16" s="204">
        <f>AB16*AC6/100</f>
        <v>35</v>
      </c>
      <c r="AD16" s="204">
        <f>AB16*AD6/100</f>
        <v>35</v>
      </c>
      <c r="AE16" s="191">
        <v>70348</v>
      </c>
      <c r="AF16" s="17">
        <f t="shared" si="10"/>
        <v>1040</v>
      </c>
      <c r="AG16" s="191">
        <v>134380</v>
      </c>
      <c r="AH16" s="17">
        <f t="shared" si="11"/>
        <v>1950</v>
      </c>
      <c r="AI16" s="191">
        <v>241828</v>
      </c>
      <c r="AJ16" s="17">
        <f t="shared" si="12"/>
        <v>3370</v>
      </c>
      <c r="AK16" s="191">
        <v>124144</v>
      </c>
      <c r="AL16" s="17">
        <f t="shared" si="13"/>
        <v>1660</v>
      </c>
      <c r="AM16" s="191">
        <v>650675</v>
      </c>
      <c r="AN16" s="17">
        <f t="shared" si="14"/>
        <v>9450</v>
      </c>
      <c r="AP16" s="204">
        <f t="shared" si="2"/>
        <v>38920</v>
      </c>
      <c r="AQ16" s="205">
        <f t="shared" si="3"/>
        <v>30020</v>
      </c>
    </row>
    <row r="17" spans="1:43" ht="39.950000000000003" customHeight="1">
      <c r="A17" s="189">
        <f t="shared" si="15"/>
        <v>44691</v>
      </c>
      <c r="B17" s="16"/>
      <c r="C17" s="191">
        <v>250549</v>
      </c>
      <c r="D17" s="17">
        <f t="shared" si="4"/>
        <v>3750</v>
      </c>
      <c r="E17" s="191">
        <v>420244</v>
      </c>
      <c r="F17" s="17">
        <f t="shared" si="4"/>
        <v>7270</v>
      </c>
      <c r="G17" s="191">
        <v>126481</v>
      </c>
      <c r="H17" s="17">
        <f t="shared" si="5"/>
        <v>13940</v>
      </c>
      <c r="I17" s="204">
        <f>H17*I6/100</f>
        <v>6970</v>
      </c>
      <c r="J17" s="204">
        <f>H17*J6/100</f>
        <v>6970</v>
      </c>
      <c r="K17" s="191">
        <v>367194</v>
      </c>
      <c r="L17" s="17">
        <f t="shared" si="6"/>
        <v>5750</v>
      </c>
      <c r="M17" s="191">
        <v>580126</v>
      </c>
      <c r="N17" s="17">
        <f t="shared" si="7"/>
        <v>9650</v>
      </c>
      <c r="O17" s="191">
        <v>281440</v>
      </c>
      <c r="P17" s="17">
        <f t="shared" si="0"/>
        <v>12550</v>
      </c>
      <c r="Q17" s="204">
        <f>P17*Q6/100</f>
        <v>6275</v>
      </c>
      <c r="R17" s="204">
        <f>P17*R6/100</f>
        <v>6275</v>
      </c>
      <c r="S17" s="191">
        <v>360294</v>
      </c>
      <c r="T17" s="17">
        <f t="shared" si="1"/>
        <v>20</v>
      </c>
      <c r="U17" s="204">
        <f>T17*U6/100</f>
        <v>10</v>
      </c>
      <c r="V17" s="204">
        <f>T17*V6/100</f>
        <v>10</v>
      </c>
      <c r="W17" s="191">
        <v>172216</v>
      </c>
      <c r="X17" s="17">
        <f t="shared" si="8"/>
        <v>3560</v>
      </c>
      <c r="Y17" s="204">
        <f>X17*Y6/100</f>
        <v>1780</v>
      </c>
      <c r="Z17" s="204">
        <f>X17*Z6/100</f>
        <v>1780</v>
      </c>
      <c r="AA17" s="191">
        <v>248717</v>
      </c>
      <c r="AB17" s="17">
        <f t="shared" si="9"/>
        <v>310</v>
      </c>
      <c r="AC17" s="204">
        <f>AB17*AC6/100</f>
        <v>155</v>
      </c>
      <c r="AD17" s="204">
        <f>AB17*AD6/100</f>
        <v>155</v>
      </c>
      <c r="AE17" s="191">
        <v>70454</v>
      </c>
      <c r="AF17" s="17">
        <f t="shared" si="10"/>
        <v>1060</v>
      </c>
      <c r="AG17" s="191">
        <v>134582</v>
      </c>
      <c r="AH17" s="17">
        <f t="shared" si="11"/>
        <v>2020</v>
      </c>
      <c r="AI17" s="191">
        <v>242183</v>
      </c>
      <c r="AJ17" s="17">
        <f t="shared" si="12"/>
        <v>3550</v>
      </c>
      <c r="AK17" s="191">
        <v>124310</v>
      </c>
      <c r="AL17" s="17">
        <f t="shared" si="13"/>
        <v>1660</v>
      </c>
      <c r="AM17" s="191">
        <v>651632</v>
      </c>
      <c r="AN17" s="17">
        <f t="shared" si="14"/>
        <v>9570</v>
      </c>
      <c r="AP17" s="204">
        <f t="shared" si="2"/>
        <v>41610</v>
      </c>
      <c r="AQ17" s="205">
        <f t="shared" si="3"/>
        <v>33050</v>
      </c>
    </row>
    <row r="18" spans="1:43" ht="39.950000000000003" customHeight="1">
      <c r="A18" s="189">
        <f t="shared" si="15"/>
        <v>44692</v>
      </c>
      <c r="B18" s="16"/>
      <c r="C18" s="191">
        <v>250923</v>
      </c>
      <c r="D18" s="17">
        <f t="shared" si="4"/>
        <v>3740</v>
      </c>
      <c r="E18" s="191">
        <v>420960</v>
      </c>
      <c r="F18" s="17">
        <f t="shared" si="4"/>
        <v>7160</v>
      </c>
      <c r="G18" s="191">
        <v>127868</v>
      </c>
      <c r="H18" s="17">
        <f t="shared" si="5"/>
        <v>13870</v>
      </c>
      <c r="I18" s="204">
        <f>H18*I6/100</f>
        <v>6935</v>
      </c>
      <c r="J18" s="204">
        <f>H18*J6/100</f>
        <v>6935</v>
      </c>
      <c r="K18" s="191">
        <v>367778</v>
      </c>
      <c r="L18" s="17">
        <f t="shared" si="6"/>
        <v>5840</v>
      </c>
      <c r="M18" s="191">
        <v>581128</v>
      </c>
      <c r="N18" s="17">
        <f t="shared" si="7"/>
        <v>10020</v>
      </c>
      <c r="O18" s="191">
        <v>282992</v>
      </c>
      <c r="P18" s="17">
        <f t="shared" si="0"/>
        <v>15520</v>
      </c>
      <c r="Q18" s="204">
        <f>P18*Q6/100</f>
        <v>7760</v>
      </c>
      <c r="R18" s="204">
        <f>P18*R6/100</f>
        <v>7760</v>
      </c>
      <c r="S18" s="191">
        <v>360427</v>
      </c>
      <c r="T18" s="17">
        <f t="shared" si="1"/>
        <v>1330</v>
      </c>
      <c r="U18" s="204">
        <f>T18*U6/100</f>
        <v>665</v>
      </c>
      <c r="V18" s="204">
        <f>T18*V6/100</f>
        <v>665</v>
      </c>
      <c r="W18" s="191">
        <v>172218</v>
      </c>
      <c r="X18" s="17">
        <f t="shared" si="8"/>
        <v>20</v>
      </c>
      <c r="Y18" s="204">
        <f>X18*Y6/100</f>
        <v>10</v>
      </c>
      <c r="Z18" s="204">
        <f>X18*Z6/100</f>
        <v>10</v>
      </c>
      <c r="AA18" s="191">
        <v>248725</v>
      </c>
      <c r="AB18" s="17">
        <f t="shared" si="9"/>
        <v>80</v>
      </c>
      <c r="AC18" s="204">
        <f>AB18*AC6/100</f>
        <v>40</v>
      </c>
      <c r="AD18" s="204">
        <f>AB18*AD6/100</f>
        <v>40</v>
      </c>
      <c r="AE18" s="191">
        <v>70562</v>
      </c>
      <c r="AF18" s="17">
        <f t="shared" si="10"/>
        <v>1080</v>
      </c>
      <c r="AG18" s="191">
        <v>134791</v>
      </c>
      <c r="AH18" s="17">
        <f t="shared" si="11"/>
        <v>2090</v>
      </c>
      <c r="AI18" s="191">
        <v>242543</v>
      </c>
      <c r="AJ18" s="17">
        <f t="shared" si="12"/>
        <v>3600</v>
      </c>
      <c r="AK18" s="191">
        <v>124493</v>
      </c>
      <c r="AL18" s="17">
        <f t="shared" si="13"/>
        <v>1830</v>
      </c>
      <c r="AM18" s="191">
        <v>652606</v>
      </c>
      <c r="AN18" s="17">
        <f t="shared" si="14"/>
        <v>9740</v>
      </c>
      <c r="AP18" s="204">
        <f t="shared" si="2"/>
        <v>42170</v>
      </c>
      <c r="AQ18" s="205">
        <f t="shared" si="3"/>
        <v>33750</v>
      </c>
    </row>
    <row r="19" spans="1:43" ht="39.950000000000003" customHeight="1">
      <c r="A19" s="189">
        <f t="shared" si="15"/>
        <v>44693</v>
      </c>
      <c r="B19" s="16"/>
      <c r="C19" s="191">
        <v>251304</v>
      </c>
      <c r="D19" s="17">
        <f t="shared" si="4"/>
        <v>3810</v>
      </c>
      <c r="E19" s="191">
        <v>421700</v>
      </c>
      <c r="F19" s="17">
        <f t="shared" si="4"/>
        <v>7400</v>
      </c>
      <c r="G19" s="191">
        <v>129091</v>
      </c>
      <c r="H19" s="17">
        <f t="shared" si="5"/>
        <v>12230</v>
      </c>
      <c r="I19" s="204">
        <f>H19*I6/100</f>
        <v>6115</v>
      </c>
      <c r="J19" s="204">
        <f>H19*J6/100</f>
        <v>6115</v>
      </c>
      <c r="K19" s="191">
        <v>368379</v>
      </c>
      <c r="L19" s="17">
        <f t="shared" si="6"/>
        <v>6010</v>
      </c>
      <c r="M19" s="191">
        <v>582115</v>
      </c>
      <c r="N19" s="17">
        <f t="shared" si="7"/>
        <v>9870</v>
      </c>
      <c r="O19" s="191">
        <v>284109</v>
      </c>
      <c r="P19" s="17">
        <f t="shared" si="0"/>
        <v>11170</v>
      </c>
      <c r="Q19" s="204">
        <f>P19*Q6/100</f>
        <v>5585</v>
      </c>
      <c r="R19" s="204">
        <f>P19*R6/100</f>
        <v>5585</v>
      </c>
      <c r="S19" s="191">
        <v>360927</v>
      </c>
      <c r="T19" s="17">
        <f t="shared" si="1"/>
        <v>5000</v>
      </c>
      <c r="U19" s="204">
        <f>T19*U6/100</f>
        <v>2500</v>
      </c>
      <c r="V19" s="204">
        <f>T19*V6/100</f>
        <v>2500</v>
      </c>
      <c r="W19" s="191">
        <v>172507</v>
      </c>
      <c r="X19" s="17">
        <f t="shared" si="8"/>
        <v>2890</v>
      </c>
      <c r="Y19" s="204">
        <f>X19*Y6/100</f>
        <v>1445</v>
      </c>
      <c r="Z19" s="204">
        <f>X19*Z6/100</f>
        <v>1445</v>
      </c>
      <c r="AA19" s="191">
        <v>248874</v>
      </c>
      <c r="AB19" s="17">
        <f t="shared" si="9"/>
        <v>1490</v>
      </c>
      <c r="AC19" s="204">
        <f>AB19*AC6/100</f>
        <v>745</v>
      </c>
      <c r="AD19" s="204">
        <f>AB19*AD6/100</f>
        <v>745</v>
      </c>
      <c r="AE19" s="191">
        <v>70675</v>
      </c>
      <c r="AF19" s="17">
        <f t="shared" si="10"/>
        <v>1130</v>
      </c>
      <c r="AG19" s="191">
        <v>134999</v>
      </c>
      <c r="AH19" s="17">
        <f t="shared" si="11"/>
        <v>2080</v>
      </c>
      <c r="AI19" s="191">
        <v>242888</v>
      </c>
      <c r="AJ19" s="17">
        <f t="shared" si="12"/>
        <v>3450</v>
      </c>
      <c r="AK19" s="191">
        <v>124673</v>
      </c>
      <c r="AL19" s="17">
        <f t="shared" si="13"/>
        <v>1800</v>
      </c>
      <c r="AM19" s="191">
        <v>653547</v>
      </c>
      <c r="AN19" s="17">
        <f t="shared" si="14"/>
        <v>9410</v>
      </c>
      <c r="AP19" s="204">
        <f t="shared" si="2"/>
        <v>43480</v>
      </c>
      <c r="AQ19" s="205">
        <f t="shared" si="3"/>
        <v>34260</v>
      </c>
    </row>
    <row r="20" spans="1:43" ht="39.950000000000003" customHeight="1">
      <c r="A20" s="189">
        <f t="shared" si="15"/>
        <v>44694</v>
      </c>
      <c r="B20" s="16"/>
      <c r="C20" s="191">
        <v>251699</v>
      </c>
      <c r="D20" s="17">
        <f t="shared" si="4"/>
        <v>3950</v>
      </c>
      <c r="E20" s="191">
        <v>422458</v>
      </c>
      <c r="F20" s="17">
        <f t="shared" si="4"/>
        <v>7580</v>
      </c>
      <c r="G20" s="191">
        <v>129349</v>
      </c>
      <c r="H20" s="17">
        <f t="shared" si="5"/>
        <v>2580</v>
      </c>
      <c r="I20" s="204">
        <f>H20*I6/100</f>
        <v>1290</v>
      </c>
      <c r="J20" s="204">
        <f>H20*J6/100</f>
        <v>1290</v>
      </c>
      <c r="K20" s="191">
        <v>368998</v>
      </c>
      <c r="L20" s="17">
        <f t="shared" si="6"/>
        <v>6190</v>
      </c>
      <c r="M20" s="191">
        <v>583131</v>
      </c>
      <c r="N20" s="17">
        <f t="shared" si="7"/>
        <v>10160</v>
      </c>
      <c r="O20" s="191">
        <v>284623</v>
      </c>
      <c r="P20" s="17">
        <f t="shared" si="0"/>
        <v>5140</v>
      </c>
      <c r="Q20" s="204">
        <f>P20*Q6/100</f>
        <v>2570</v>
      </c>
      <c r="R20" s="204">
        <f>P20*R6/100</f>
        <v>2570</v>
      </c>
      <c r="S20" s="191">
        <v>361276</v>
      </c>
      <c r="T20" s="17">
        <f t="shared" si="1"/>
        <v>3490</v>
      </c>
      <c r="U20" s="204">
        <f>T20*U6/100</f>
        <v>1745</v>
      </c>
      <c r="V20" s="204">
        <f>T20*V6/100</f>
        <v>1745</v>
      </c>
      <c r="W20" s="191">
        <v>173371</v>
      </c>
      <c r="X20" s="17">
        <f t="shared" si="8"/>
        <v>8640</v>
      </c>
      <c r="Y20" s="204">
        <f>X20*Y6/100</f>
        <v>4320</v>
      </c>
      <c r="Z20" s="204">
        <f>X20*Z6/100</f>
        <v>4320</v>
      </c>
      <c r="AA20" s="191">
        <v>250106</v>
      </c>
      <c r="AB20" s="17">
        <f t="shared" si="9"/>
        <v>12320</v>
      </c>
      <c r="AC20" s="204">
        <f>AB20*AC6/100</f>
        <v>6160</v>
      </c>
      <c r="AD20" s="204">
        <f>AB20*AD6/100</f>
        <v>6160</v>
      </c>
      <c r="AE20" s="191">
        <v>70792</v>
      </c>
      <c r="AF20" s="17">
        <f t="shared" si="10"/>
        <v>1170</v>
      </c>
      <c r="AG20" s="191">
        <v>135221</v>
      </c>
      <c r="AH20" s="17">
        <f t="shared" si="11"/>
        <v>2220</v>
      </c>
      <c r="AI20" s="191">
        <v>243258</v>
      </c>
      <c r="AJ20" s="17">
        <f t="shared" si="12"/>
        <v>3700</v>
      </c>
      <c r="AK20" s="191">
        <v>124852</v>
      </c>
      <c r="AL20" s="17">
        <f t="shared" si="13"/>
        <v>1790</v>
      </c>
      <c r="AM20" s="191">
        <v>654537</v>
      </c>
      <c r="AN20" s="17">
        <f t="shared" si="14"/>
        <v>9900</v>
      </c>
      <c r="AP20" s="204">
        <f t="shared" si="2"/>
        <v>43965</v>
      </c>
      <c r="AQ20" s="205">
        <f t="shared" si="3"/>
        <v>34865</v>
      </c>
    </row>
    <row r="21" spans="1:43" ht="39.950000000000003" customHeight="1">
      <c r="A21" s="189">
        <f t="shared" si="15"/>
        <v>44695</v>
      </c>
      <c r="B21" s="16"/>
      <c r="C21" s="191">
        <v>252071</v>
      </c>
      <c r="D21" s="17">
        <f t="shared" si="4"/>
        <v>3720</v>
      </c>
      <c r="E21" s="191">
        <v>423172</v>
      </c>
      <c r="F21" s="17">
        <f t="shared" si="4"/>
        <v>7140</v>
      </c>
      <c r="G21" s="191">
        <v>129596</v>
      </c>
      <c r="H21" s="17">
        <f t="shared" si="5"/>
        <v>2470</v>
      </c>
      <c r="I21" s="204">
        <f>H21*I6/100</f>
        <v>1235</v>
      </c>
      <c r="J21" s="204">
        <f>H21*J6/100</f>
        <v>1235</v>
      </c>
      <c r="K21" s="191">
        <v>369574</v>
      </c>
      <c r="L21" s="17">
        <f t="shared" si="6"/>
        <v>5760</v>
      </c>
      <c r="M21" s="191">
        <v>584098</v>
      </c>
      <c r="N21" s="17">
        <f t="shared" si="7"/>
        <v>9670</v>
      </c>
      <c r="O21" s="191">
        <v>285074</v>
      </c>
      <c r="P21" s="17">
        <f t="shared" si="0"/>
        <v>4510</v>
      </c>
      <c r="Q21" s="204">
        <f>P21*Q6/100</f>
        <v>2255</v>
      </c>
      <c r="R21" s="204">
        <f>P21*R6/100</f>
        <v>2255</v>
      </c>
      <c r="S21" s="198">
        <v>361594.22600000002</v>
      </c>
      <c r="T21" s="17">
        <f t="shared" si="1"/>
        <v>3182.2600000002421</v>
      </c>
      <c r="U21" s="204">
        <f>T21*U6/100</f>
        <v>1591.1300000001211</v>
      </c>
      <c r="V21" s="204">
        <f>T21*V6/100</f>
        <v>1591.1300000001211</v>
      </c>
      <c r="W21" s="191">
        <v>174275</v>
      </c>
      <c r="X21" s="17">
        <f t="shared" si="8"/>
        <v>9040</v>
      </c>
      <c r="Y21" s="204">
        <f>X21*Y6/100</f>
        <v>4520</v>
      </c>
      <c r="Z21" s="204">
        <f>X21*Z6/100</f>
        <v>4520</v>
      </c>
      <c r="AA21" s="191">
        <v>250876</v>
      </c>
      <c r="AB21" s="17">
        <f t="shared" si="9"/>
        <v>7700</v>
      </c>
      <c r="AC21" s="204">
        <f>AB21*AC6/100</f>
        <v>3850</v>
      </c>
      <c r="AD21" s="204">
        <f>AB21*AD6/100</f>
        <v>3850</v>
      </c>
      <c r="AE21" s="191">
        <v>70894</v>
      </c>
      <c r="AF21" s="17">
        <f t="shared" si="10"/>
        <v>1020</v>
      </c>
      <c r="AG21" s="191">
        <v>135425</v>
      </c>
      <c r="AH21" s="17">
        <f t="shared" si="11"/>
        <v>2040</v>
      </c>
      <c r="AI21" s="191">
        <v>243614</v>
      </c>
      <c r="AJ21" s="17">
        <f t="shared" si="12"/>
        <v>3560</v>
      </c>
      <c r="AK21" s="191">
        <v>125016</v>
      </c>
      <c r="AL21" s="17">
        <f t="shared" si="13"/>
        <v>1640</v>
      </c>
      <c r="AM21" s="191">
        <v>655463</v>
      </c>
      <c r="AN21" s="17">
        <f t="shared" si="14"/>
        <v>9260</v>
      </c>
      <c r="AP21" s="204">
        <f t="shared" si="2"/>
        <v>39741.130000000121</v>
      </c>
      <c r="AQ21" s="205">
        <f t="shared" si="3"/>
        <v>30971.130000000121</v>
      </c>
    </row>
    <row r="22" spans="1:43" ht="39.950000000000003" customHeight="1">
      <c r="A22" s="189">
        <f t="shared" si="15"/>
        <v>44696</v>
      </c>
      <c r="B22" s="16"/>
      <c r="C22" s="191">
        <v>252458</v>
      </c>
      <c r="D22" s="17">
        <f t="shared" si="4"/>
        <v>3870</v>
      </c>
      <c r="E22" s="191">
        <v>423921</v>
      </c>
      <c r="F22" s="17">
        <f t="shared" si="4"/>
        <v>7490</v>
      </c>
      <c r="G22" s="191">
        <v>129823</v>
      </c>
      <c r="H22" s="17">
        <f t="shared" si="5"/>
        <v>2270</v>
      </c>
      <c r="I22" s="204">
        <f>H22*I6/100</f>
        <v>1135</v>
      </c>
      <c r="J22" s="204">
        <f>H22*J6/100</f>
        <v>1135</v>
      </c>
      <c r="K22" s="191">
        <v>370167</v>
      </c>
      <c r="L22" s="17">
        <f t="shared" si="6"/>
        <v>5930</v>
      </c>
      <c r="M22" s="191">
        <v>585082</v>
      </c>
      <c r="N22" s="17">
        <f t="shared" si="7"/>
        <v>9840</v>
      </c>
      <c r="O22" s="191">
        <v>285543</v>
      </c>
      <c r="P22" s="17">
        <f t="shared" si="0"/>
        <v>4690</v>
      </c>
      <c r="Q22" s="204">
        <f>P22*Q6/100</f>
        <v>2345</v>
      </c>
      <c r="R22" s="204">
        <f>P22*R6/100</f>
        <v>2345</v>
      </c>
      <c r="S22" s="191">
        <v>361596</v>
      </c>
      <c r="T22" s="17">
        <f t="shared" si="1"/>
        <v>17.739999999757856</v>
      </c>
      <c r="U22" s="204">
        <f>T22*U6/100</f>
        <v>8.8699999998789281</v>
      </c>
      <c r="V22" s="204">
        <f>T22*V6/100</f>
        <v>8.8699999998789281</v>
      </c>
      <c r="W22" s="191">
        <v>175096</v>
      </c>
      <c r="X22" s="17">
        <f t="shared" si="8"/>
        <v>8210</v>
      </c>
      <c r="Y22" s="204">
        <f>X22*Y6/100</f>
        <v>4105</v>
      </c>
      <c r="Z22" s="204">
        <f>X22*Z6/100</f>
        <v>4105</v>
      </c>
      <c r="AA22" s="191">
        <v>251645</v>
      </c>
      <c r="AB22" s="17">
        <f t="shared" si="9"/>
        <v>7690</v>
      </c>
      <c r="AC22" s="204">
        <f>AB22*AC6/100</f>
        <v>3845</v>
      </c>
      <c r="AD22" s="204">
        <f>AB22*AD6/100</f>
        <v>3845</v>
      </c>
      <c r="AE22" s="191">
        <v>71002</v>
      </c>
      <c r="AF22" s="17">
        <f t="shared" si="10"/>
        <v>1080</v>
      </c>
      <c r="AG22" s="191">
        <v>135625</v>
      </c>
      <c r="AH22" s="17">
        <f t="shared" si="11"/>
        <v>2000</v>
      </c>
      <c r="AI22" s="191">
        <v>243963</v>
      </c>
      <c r="AJ22" s="17">
        <f t="shared" si="12"/>
        <v>3490</v>
      </c>
      <c r="AK22" s="191">
        <v>125186</v>
      </c>
      <c r="AL22" s="17">
        <f t="shared" si="13"/>
        <v>1700</v>
      </c>
      <c r="AM22" s="191">
        <v>656384</v>
      </c>
      <c r="AN22" s="17">
        <f t="shared" si="14"/>
        <v>9210</v>
      </c>
      <c r="AP22" s="204">
        <f t="shared" si="2"/>
        <v>38568.869999999879</v>
      </c>
      <c r="AQ22" s="205">
        <f t="shared" si="3"/>
        <v>28918.869999999879</v>
      </c>
    </row>
    <row r="23" spans="1:43" ht="39.950000000000003" customHeight="1">
      <c r="A23" s="189">
        <f t="shared" si="15"/>
        <v>44697</v>
      </c>
      <c r="B23" s="16"/>
      <c r="C23" s="191">
        <v>252821</v>
      </c>
      <c r="D23" s="17">
        <f t="shared" si="4"/>
        <v>3630</v>
      </c>
      <c r="E23" s="191">
        <v>424652</v>
      </c>
      <c r="F23" s="17">
        <f t="shared" si="4"/>
        <v>7310</v>
      </c>
      <c r="G23" s="191">
        <v>130051</v>
      </c>
      <c r="H23" s="17">
        <f t="shared" si="5"/>
        <v>2280</v>
      </c>
      <c r="I23" s="204">
        <f>H23*I6/100</f>
        <v>1140</v>
      </c>
      <c r="J23" s="204">
        <f>H23*J6/100</f>
        <v>1140</v>
      </c>
      <c r="K23" s="191">
        <v>370755</v>
      </c>
      <c r="L23" s="17">
        <f t="shared" si="6"/>
        <v>5880</v>
      </c>
      <c r="M23" s="191">
        <v>585954</v>
      </c>
      <c r="N23" s="17">
        <f t="shared" si="7"/>
        <v>8720</v>
      </c>
      <c r="O23" s="191">
        <v>286031</v>
      </c>
      <c r="P23" s="17">
        <f t="shared" si="0"/>
        <v>4880</v>
      </c>
      <c r="Q23" s="204">
        <f>P23*Q6/100</f>
        <v>2440</v>
      </c>
      <c r="R23" s="204">
        <f>P23*R6/100</f>
        <v>2440</v>
      </c>
      <c r="S23" s="191">
        <v>361598</v>
      </c>
      <c r="T23" s="17">
        <f t="shared" si="1"/>
        <v>20</v>
      </c>
      <c r="U23" s="204">
        <f>T23*U6/100</f>
        <v>10</v>
      </c>
      <c r="V23" s="204">
        <f>T23*V6/100</f>
        <v>10</v>
      </c>
      <c r="W23" s="191">
        <v>175098</v>
      </c>
      <c r="X23" s="17">
        <f t="shared" si="8"/>
        <v>20</v>
      </c>
      <c r="Y23" s="204">
        <f>X23*Y6/100</f>
        <v>10</v>
      </c>
      <c r="Z23" s="204">
        <f>X23*Z6/100</f>
        <v>10</v>
      </c>
      <c r="AA23" s="191">
        <v>252670</v>
      </c>
      <c r="AB23" s="17">
        <f t="shared" si="9"/>
        <v>10250</v>
      </c>
      <c r="AC23" s="204">
        <f>AB23*AC6/100</f>
        <v>5125</v>
      </c>
      <c r="AD23" s="204">
        <f>AB23*AD6/100</f>
        <v>5125</v>
      </c>
      <c r="AE23" s="191">
        <v>71110</v>
      </c>
      <c r="AF23" s="17">
        <f t="shared" si="10"/>
        <v>1080</v>
      </c>
      <c r="AG23" s="191">
        <v>135840</v>
      </c>
      <c r="AH23" s="17">
        <f t="shared" si="11"/>
        <v>2150</v>
      </c>
      <c r="AI23" s="191">
        <v>244328</v>
      </c>
      <c r="AJ23" s="17">
        <f t="shared" si="12"/>
        <v>3650</v>
      </c>
      <c r="AK23" s="191">
        <v>125359</v>
      </c>
      <c r="AL23" s="17">
        <f t="shared" si="13"/>
        <v>1730</v>
      </c>
      <c r="AM23" s="191">
        <v>657303</v>
      </c>
      <c r="AN23" s="17">
        <f t="shared" si="14"/>
        <v>9190</v>
      </c>
      <c r="AP23" s="204">
        <f t="shared" si="2"/>
        <v>34265</v>
      </c>
      <c r="AQ23" s="205">
        <f t="shared" si="3"/>
        <v>26525</v>
      </c>
    </row>
    <row r="24" spans="1:43" ht="39.950000000000003" customHeight="1">
      <c r="A24" s="189">
        <f t="shared" si="15"/>
        <v>44698</v>
      </c>
      <c r="B24" s="16"/>
      <c r="C24" s="191">
        <v>253180</v>
      </c>
      <c r="D24" s="17">
        <f t="shared" si="4"/>
        <v>3590</v>
      </c>
      <c r="E24" s="191">
        <v>425372</v>
      </c>
      <c r="F24" s="17">
        <f t="shared" si="4"/>
        <v>7200</v>
      </c>
      <c r="G24" s="191">
        <v>130686</v>
      </c>
      <c r="H24" s="17">
        <f t="shared" si="5"/>
        <v>6350</v>
      </c>
      <c r="I24" s="204">
        <f>H24*I6/100</f>
        <v>3175</v>
      </c>
      <c r="J24" s="204">
        <f>H24*J6/100</f>
        <v>3175</v>
      </c>
      <c r="K24" s="191">
        <v>371347</v>
      </c>
      <c r="L24" s="17">
        <f t="shared" si="6"/>
        <v>5920</v>
      </c>
      <c r="M24" s="191">
        <v>586925</v>
      </c>
      <c r="N24" s="17">
        <f t="shared" si="7"/>
        <v>9710</v>
      </c>
      <c r="O24" s="191">
        <v>286523</v>
      </c>
      <c r="P24" s="17">
        <f t="shared" si="0"/>
        <v>4920</v>
      </c>
      <c r="Q24" s="204">
        <f>P24*Q6/100</f>
        <v>2460</v>
      </c>
      <c r="R24" s="204">
        <f>P24*R6/100</f>
        <v>2460</v>
      </c>
      <c r="S24" s="191">
        <v>361600</v>
      </c>
      <c r="T24" s="17">
        <f t="shared" si="1"/>
        <v>20</v>
      </c>
      <c r="U24" s="204">
        <f>T24*U6/100</f>
        <v>10</v>
      </c>
      <c r="V24" s="204">
        <f>T24*V6/100</f>
        <v>10</v>
      </c>
      <c r="W24" s="191">
        <v>175367</v>
      </c>
      <c r="X24" s="17">
        <f t="shared" si="8"/>
        <v>2690</v>
      </c>
      <c r="Y24" s="204">
        <f>X24*Y6/100</f>
        <v>1345</v>
      </c>
      <c r="Z24" s="204">
        <f>X24*Z6/100</f>
        <v>1345</v>
      </c>
      <c r="AA24" s="191">
        <v>253186</v>
      </c>
      <c r="AB24" s="17">
        <f t="shared" si="9"/>
        <v>5160</v>
      </c>
      <c r="AC24" s="204">
        <f>AB24*AC6/100</f>
        <v>2580</v>
      </c>
      <c r="AD24" s="204">
        <f>AB24*AD6/100</f>
        <v>2580</v>
      </c>
      <c r="AE24" s="191">
        <v>71216</v>
      </c>
      <c r="AF24" s="17">
        <f t="shared" si="10"/>
        <v>1060</v>
      </c>
      <c r="AG24" s="191">
        <v>136044</v>
      </c>
      <c r="AH24" s="17">
        <f t="shared" si="11"/>
        <v>2040</v>
      </c>
      <c r="AI24" s="191">
        <v>244690</v>
      </c>
      <c r="AJ24" s="17">
        <f t="shared" si="12"/>
        <v>3620</v>
      </c>
      <c r="AK24" s="191">
        <v>125525</v>
      </c>
      <c r="AL24" s="17">
        <f t="shared" si="13"/>
        <v>1660</v>
      </c>
      <c r="AM24" s="191">
        <v>658231</v>
      </c>
      <c r="AN24" s="17">
        <f t="shared" si="14"/>
        <v>9280</v>
      </c>
      <c r="AP24" s="204">
        <f t="shared" si="2"/>
        <v>35990</v>
      </c>
      <c r="AQ24" s="205">
        <f t="shared" si="3"/>
        <v>27230</v>
      </c>
    </row>
    <row r="25" spans="1:43" ht="39.950000000000003" customHeight="1">
      <c r="A25" s="189">
        <f t="shared" si="15"/>
        <v>44699</v>
      </c>
      <c r="B25" s="16"/>
      <c r="C25" s="191">
        <v>253541</v>
      </c>
      <c r="D25" s="17">
        <f t="shared" si="4"/>
        <v>3610</v>
      </c>
      <c r="E25" s="191">
        <v>426085</v>
      </c>
      <c r="F25" s="17">
        <f t="shared" si="4"/>
        <v>7130</v>
      </c>
      <c r="G25" s="191">
        <v>131346</v>
      </c>
      <c r="H25" s="17">
        <f t="shared" si="5"/>
        <v>6600</v>
      </c>
      <c r="I25" s="204">
        <f>H25*I6/100</f>
        <v>3300</v>
      </c>
      <c r="J25" s="204">
        <f>H25*J6/100</f>
        <v>3300</v>
      </c>
      <c r="K25" s="191">
        <v>371952</v>
      </c>
      <c r="L25" s="17">
        <f t="shared" si="6"/>
        <v>6050</v>
      </c>
      <c r="M25" s="191">
        <v>587907</v>
      </c>
      <c r="N25" s="17">
        <f t="shared" si="7"/>
        <v>9820</v>
      </c>
      <c r="O25" s="191">
        <v>287024</v>
      </c>
      <c r="P25" s="17">
        <f t="shared" si="0"/>
        <v>5010</v>
      </c>
      <c r="Q25" s="204">
        <f>P25*Q6/100</f>
        <v>2505</v>
      </c>
      <c r="R25" s="204">
        <f>P25*R6/100</f>
        <v>2505</v>
      </c>
      <c r="S25" s="191">
        <v>362208</v>
      </c>
      <c r="T25" s="17">
        <f t="shared" si="1"/>
        <v>6080</v>
      </c>
      <c r="U25" s="204">
        <f>T25*U6/100</f>
        <v>3040</v>
      </c>
      <c r="V25" s="204">
        <f>T25*V6/100</f>
        <v>3040</v>
      </c>
      <c r="W25" s="191">
        <v>175461</v>
      </c>
      <c r="X25" s="17">
        <f t="shared" si="8"/>
        <v>940</v>
      </c>
      <c r="Y25" s="204">
        <f>X25*Y6/100</f>
        <v>470</v>
      </c>
      <c r="Z25" s="204">
        <f>X25*Z6/100</f>
        <v>470</v>
      </c>
      <c r="AA25" s="191">
        <v>253260</v>
      </c>
      <c r="AB25" s="17">
        <f t="shared" si="9"/>
        <v>740</v>
      </c>
      <c r="AC25" s="204">
        <f>AB25*AC6/100</f>
        <v>370</v>
      </c>
      <c r="AD25" s="204">
        <f>AB25*AD6/100</f>
        <v>370</v>
      </c>
      <c r="AE25" s="191">
        <v>71325</v>
      </c>
      <c r="AF25" s="17">
        <f t="shared" si="10"/>
        <v>1090</v>
      </c>
      <c r="AG25" s="191">
        <v>136250</v>
      </c>
      <c r="AH25" s="17">
        <f t="shared" si="11"/>
        <v>2060</v>
      </c>
      <c r="AI25" s="191">
        <v>245050</v>
      </c>
      <c r="AJ25" s="17">
        <f t="shared" si="12"/>
        <v>3600</v>
      </c>
      <c r="AK25" s="191">
        <v>125692</v>
      </c>
      <c r="AL25" s="17">
        <f t="shared" si="13"/>
        <v>1670</v>
      </c>
      <c r="AM25" s="191">
        <v>659171</v>
      </c>
      <c r="AN25" s="17">
        <f t="shared" si="14"/>
        <v>9400</v>
      </c>
      <c r="AP25" s="204">
        <f t="shared" si="2"/>
        <v>36295</v>
      </c>
      <c r="AQ25" s="205">
        <f t="shared" si="3"/>
        <v>27505</v>
      </c>
    </row>
    <row r="26" spans="1:43" ht="39.950000000000003" customHeight="1">
      <c r="A26" s="189">
        <f t="shared" si="15"/>
        <v>44700</v>
      </c>
      <c r="B26" s="16"/>
      <c r="C26" s="191">
        <v>253923</v>
      </c>
      <c r="D26" s="17">
        <f t="shared" ref="D26:D38" si="16">(C26-C25)*10</f>
        <v>3820</v>
      </c>
      <c r="E26" s="191">
        <v>426848</v>
      </c>
      <c r="F26" s="17">
        <f t="shared" ref="F26:F38" si="17">(E26-E25)*10</f>
        <v>7630</v>
      </c>
      <c r="G26" s="191">
        <v>131637</v>
      </c>
      <c r="H26" s="17">
        <f t="shared" si="5"/>
        <v>2910</v>
      </c>
      <c r="I26" s="204">
        <f>H26*I6/100</f>
        <v>1455</v>
      </c>
      <c r="J26" s="204">
        <f>H26*J6/100</f>
        <v>1455</v>
      </c>
      <c r="K26" s="191">
        <v>372564</v>
      </c>
      <c r="L26" s="17">
        <f t="shared" si="6"/>
        <v>6120</v>
      </c>
      <c r="M26" s="191">
        <v>588920</v>
      </c>
      <c r="N26" s="17">
        <f t="shared" si="7"/>
        <v>10130</v>
      </c>
      <c r="O26" s="191">
        <v>287545</v>
      </c>
      <c r="P26" s="17">
        <f t="shared" si="0"/>
        <v>5210</v>
      </c>
      <c r="Q26" s="204">
        <f>P26*Q6/100</f>
        <v>2605</v>
      </c>
      <c r="R26" s="204">
        <f>P26*R6/100</f>
        <v>2605</v>
      </c>
      <c r="S26" s="191">
        <v>363160</v>
      </c>
      <c r="T26" s="17">
        <f t="shared" si="1"/>
        <v>9520</v>
      </c>
      <c r="U26" s="204">
        <f>T26*U6/100</f>
        <v>4760</v>
      </c>
      <c r="V26" s="204">
        <f>T26*V6/100</f>
        <v>4760</v>
      </c>
      <c r="W26" s="191">
        <v>175463</v>
      </c>
      <c r="X26" s="17">
        <f t="shared" si="8"/>
        <v>20</v>
      </c>
      <c r="Y26" s="204">
        <f>X26*Y6/100</f>
        <v>10</v>
      </c>
      <c r="Z26" s="204">
        <f>X26*Z6/100</f>
        <v>10</v>
      </c>
      <c r="AA26" s="191">
        <v>253808</v>
      </c>
      <c r="AB26" s="17">
        <f>(AA26-AA25)*10</f>
        <v>5480</v>
      </c>
      <c r="AC26" s="204">
        <f>AB26*AC6/100</f>
        <v>2740</v>
      </c>
      <c r="AD26" s="204">
        <f>AB26*AD6/100</f>
        <v>2740</v>
      </c>
      <c r="AE26" s="191">
        <v>71438</v>
      </c>
      <c r="AF26" s="17">
        <f>(AE26-AE25)*10</f>
        <v>1130</v>
      </c>
      <c r="AG26" s="191">
        <v>136464</v>
      </c>
      <c r="AH26" s="17">
        <f>(AG26-AG25)*10</f>
        <v>2140</v>
      </c>
      <c r="AI26" s="191">
        <v>245422</v>
      </c>
      <c r="AJ26" s="17">
        <f>(AI26-AI25)*10</f>
        <v>3720</v>
      </c>
      <c r="AK26" s="191">
        <v>125865</v>
      </c>
      <c r="AL26" s="17">
        <f>(AK26-AK25)*10</f>
        <v>1730</v>
      </c>
      <c r="AM26" s="191">
        <v>660144</v>
      </c>
      <c r="AN26" s="17">
        <f>(AM26-AM25)*10</f>
        <v>9730</v>
      </c>
      <c r="AP26" s="204">
        <f t="shared" si="2"/>
        <v>39270</v>
      </c>
      <c r="AQ26" s="205">
        <f t="shared" si="3"/>
        <v>30020</v>
      </c>
    </row>
    <row r="27" spans="1:43" ht="39.950000000000003" customHeight="1">
      <c r="A27" s="189">
        <f t="shared" si="15"/>
        <v>44701</v>
      </c>
      <c r="B27" s="16"/>
      <c r="C27" s="191">
        <v>254318</v>
      </c>
      <c r="D27" s="17">
        <f t="shared" si="16"/>
        <v>3950</v>
      </c>
      <c r="E27" s="191">
        <v>427596</v>
      </c>
      <c r="F27" s="17">
        <f t="shared" si="17"/>
        <v>7480</v>
      </c>
      <c r="G27" s="191">
        <v>132889</v>
      </c>
      <c r="H27" s="17">
        <f t="shared" si="5"/>
        <v>12520</v>
      </c>
      <c r="I27" s="204">
        <f>H27*I6/100</f>
        <v>6260</v>
      </c>
      <c r="J27" s="204">
        <f>H27*J6/100</f>
        <v>6260</v>
      </c>
      <c r="K27" s="191">
        <v>373149</v>
      </c>
      <c r="L27" s="17">
        <f t="shared" si="6"/>
        <v>5850</v>
      </c>
      <c r="M27" s="191">
        <v>589902</v>
      </c>
      <c r="N27" s="17">
        <f t="shared" si="7"/>
        <v>9820</v>
      </c>
      <c r="O27" s="191">
        <v>288022</v>
      </c>
      <c r="P27" s="17">
        <f t="shared" si="0"/>
        <v>4770</v>
      </c>
      <c r="Q27" s="204">
        <f>P27*Q6/100</f>
        <v>2385</v>
      </c>
      <c r="R27" s="204">
        <f>P27*R6/100</f>
        <v>2385</v>
      </c>
      <c r="S27" s="191">
        <v>364097</v>
      </c>
      <c r="T27" s="17">
        <f t="shared" si="1"/>
        <v>9370</v>
      </c>
      <c r="U27" s="204">
        <f>T27*U6/100</f>
        <v>4685</v>
      </c>
      <c r="V27" s="204">
        <f>T27*V6/100</f>
        <v>4685</v>
      </c>
      <c r="W27" s="191">
        <v>175698</v>
      </c>
      <c r="X27" s="17">
        <f t="shared" si="8"/>
        <v>2350</v>
      </c>
      <c r="Y27" s="204">
        <f>X27*Y6/100</f>
        <v>1175</v>
      </c>
      <c r="Z27" s="204">
        <f>X27*Z6/100</f>
        <v>1175</v>
      </c>
      <c r="AA27" s="191">
        <v>253849</v>
      </c>
      <c r="AB27" s="17">
        <f t="shared" si="9"/>
        <v>410</v>
      </c>
      <c r="AC27" s="204">
        <f>AB27*AC6/100</f>
        <v>205</v>
      </c>
      <c r="AD27" s="204">
        <f>AB27*AD6/100</f>
        <v>205</v>
      </c>
      <c r="AE27" s="191">
        <v>71546</v>
      </c>
      <c r="AF27" s="17">
        <f t="shared" si="10"/>
        <v>1080</v>
      </c>
      <c r="AG27" s="191">
        <v>136664</v>
      </c>
      <c r="AH27" s="17">
        <f t="shared" si="11"/>
        <v>2000</v>
      </c>
      <c r="AI27" s="191">
        <v>245779</v>
      </c>
      <c r="AJ27" s="17">
        <f t="shared" si="12"/>
        <v>3570</v>
      </c>
      <c r="AK27" s="191">
        <v>126029</v>
      </c>
      <c r="AL27" s="17">
        <f t="shared" si="13"/>
        <v>1640</v>
      </c>
      <c r="AM27" s="191">
        <v>661104</v>
      </c>
      <c r="AN27" s="17">
        <f t="shared" si="14"/>
        <v>9600</v>
      </c>
      <c r="AP27" s="204">
        <f t="shared" si="2"/>
        <v>41810</v>
      </c>
      <c r="AQ27" s="205">
        <f t="shared" si="3"/>
        <v>32600</v>
      </c>
    </row>
    <row r="28" spans="1:43" ht="39.950000000000003" customHeight="1">
      <c r="A28" s="189">
        <f t="shared" si="15"/>
        <v>44702</v>
      </c>
      <c r="B28" s="16"/>
      <c r="C28" s="191">
        <v>254729</v>
      </c>
      <c r="D28" s="17">
        <f t="shared" si="16"/>
        <v>4110</v>
      </c>
      <c r="E28" s="191">
        <v>428409</v>
      </c>
      <c r="F28" s="17">
        <f t="shared" si="17"/>
        <v>8130</v>
      </c>
      <c r="G28" s="191">
        <v>134215</v>
      </c>
      <c r="H28" s="17">
        <f t="shared" si="5"/>
        <v>13260</v>
      </c>
      <c r="I28" s="204">
        <f>H28*I6/100</f>
        <v>6630</v>
      </c>
      <c r="J28" s="204">
        <f>H28*J6/100</f>
        <v>6630</v>
      </c>
      <c r="K28" s="191">
        <v>373794</v>
      </c>
      <c r="L28" s="17">
        <f t="shared" si="6"/>
        <v>6450</v>
      </c>
      <c r="M28" s="191">
        <v>590953</v>
      </c>
      <c r="N28" s="17">
        <f t="shared" si="7"/>
        <v>10510</v>
      </c>
      <c r="O28" s="191">
        <v>288505</v>
      </c>
      <c r="P28" s="17">
        <f t="shared" si="0"/>
        <v>4830</v>
      </c>
      <c r="Q28" s="204">
        <f>P28*Q6/100</f>
        <v>2415</v>
      </c>
      <c r="R28" s="204">
        <f>P28*R6/100</f>
        <v>2415</v>
      </c>
      <c r="S28" s="191">
        <v>365091</v>
      </c>
      <c r="T28" s="17">
        <f t="shared" si="1"/>
        <v>9940</v>
      </c>
      <c r="U28" s="204">
        <f>T28*U6/100</f>
        <v>4970</v>
      </c>
      <c r="V28" s="204">
        <f>T28*V6/100</f>
        <v>4970</v>
      </c>
      <c r="W28" s="191">
        <v>176085</v>
      </c>
      <c r="X28" s="17">
        <f t="shared" si="8"/>
        <v>3870</v>
      </c>
      <c r="Y28" s="204">
        <f>X28*Y6/100</f>
        <v>1935</v>
      </c>
      <c r="Z28" s="204">
        <f>X28*Z6/100</f>
        <v>1935</v>
      </c>
      <c r="AA28" s="191">
        <v>253864</v>
      </c>
      <c r="AB28" s="17">
        <f t="shared" si="9"/>
        <v>150</v>
      </c>
      <c r="AC28" s="204">
        <f>AB28*AC6/100</f>
        <v>75</v>
      </c>
      <c r="AD28" s="204">
        <f>AB28*AD6/100</f>
        <v>75</v>
      </c>
      <c r="AE28" s="191">
        <v>71662</v>
      </c>
      <c r="AF28" s="17">
        <f t="shared" si="10"/>
        <v>1160</v>
      </c>
      <c r="AG28" s="191">
        <v>136867</v>
      </c>
      <c r="AH28" s="17">
        <f t="shared" si="11"/>
        <v>2030</v>
      </c>
      <c r="AI28" s="191">
        <v>246141</v>
      </c>
      <c r="AJ28" s="17">
        <f t="shared" si="12"/>
        <v>3620</v>
      </c>
      <c r="AK28" s="191">
        <v>126202</v>
      </c>
      <c r="AL28" s="17">
        <f t="shared" si="13"/>
        <v>1730</v>
      </c>
      <c r="AM28" s="191">
        <v>662069</v>
      </c>
      <c r="AN28" s="17">
        <f t="shared" si="14"/>
        <v>9650</v>
      </c>
      <c r="AP28" s="204">
        <f t="shared" si="2"/>
        <v>45225</v>
      </c>
      <c r="AQ28" s="205">
        <f t="shared" si="3"/>
        <v>34215</v>
      </c>
    </row>
    <row r="29" spans="1:43" ht="39.950000000000003" customHeight="1">
      <c r="A29" s="189">
        <f t="shared" si="15"/>
        <v>44703</v>
      </c>
      <c r="B29" s="16"/>
      <c r="C29" s="191">
        <v>255137</v>
      </c>
      <c r="D29" s="17">
        <f t="shared" si="16"/>
        <v>4080</v>
      </c>
      <c r="E29" s="191">
        <v>429211</v>
      </c>
      <c r="F29" s="17">
        <f t="shared" si="17"/>
        <v>8020</v>
      </c>
      <c r="G29" s="191">
        <v>135544</v>
      </c>
      <c r="H29" s="17">
        <f t="shared" si="5"/>
        <v>13290</v>
      </c>
      <c r="I29" s="204">
        <f>H29*I6/100</f>
        <v>6645</v>
      </c>
      <c r="J29" s="204">
        <f>H29*J6/100</f>
        <v>6645</v>
      </c>
      <c r="K29" s="191">
        <v>374379</v>
      </c>
      <c r="L29" s="17">
        <f t="shared" si="6"/>
        <v>5850</v>
      </c>
      <c r="M29" s="191">
        <v>591942</v>
      </c>
      <c r="N29" s="17">
        <f t="shared" si="7"/>
        <v>9890</v>
      </c>
      <c r="O29" s="191">
        <v>288993</v>
      </c>
      <c r="P29" s="17">
        <f t="shared" si="0"/>
        <v>4880</v>
      </c>
      <c r="Q29" s="204">
        <f>P29*Q6/100</f>
        <v>2440</v>
      </c>
      <c r="R29" s="204">
        <f>P29*R6/100</f>
        <v>2440</v>
      </c>
      <c r="S29" s="191">
        <v>366049</v>
      </c>
      <c r="T29" s="17">
        <f t="shared" si="1"/>
        <v>9580</v>
      </c>
      <c r="U29" s="204">
        <f>T29*U6/100</f>
        <v>4790</v>
      </c>
      <c r="V29" s="204">
        <f>T29*V6/100</f>
        <v>4790</v>
      </c>
      <c r="W29" s="191">
        <v>176087</v>
      </c>
      <c r="X29" s="17">
        <f t="shared" si="8"/>
        <v>20</v>
      </c>
      <c r="Y29" s="204">
        <f>X29*Y6/100</f>
        <v>10</v>
      </c>
      <c r="Z29" s="204">
        <f>X29*Z6/100</f>
        <v>10</v>
      </c>
      <c r="AA29" s="191">
        <v>253886</v>
      </c>
      <c r="AB29" s="17">
        <f t="shared" si="9"/>
        <v>220</v>
      </c>
      <c r="AC29" s="204">
        <f>AB29*AC6/100</f>
        <v>110</v>
      </c>
      <c r="AD29" s="204">
        <f>AB29*AD6/100</f>
        <v>110</v>
      </c>
      <c r="AE29" s="191">
        <v>71769</v>
      </c>
      <c r="AF29" s="17">
        <f t="shared" si="10"/>
        <v>1070</v>
      </c>
      <c r="AG29" s="191">
        <v>137067</v>
      </c>
      <c r="AH29" s="17">
        <f t="shared" si="11"/>
        <v>2000</v>
      </c>
      <c r="AI29" s="191">
        <v>246492</v>
      </c>
      <c r="AJ29" s="17">
        <f t="shared" si="12"/>
        <v>3510</v>
      </c>
      <c r="AK29" s="191">
        <v>126375</v>
      </c>
      <c r="AL29" s="17">
        <f t="shared" si="13"/>
        <v>1730</v>
      </c>
      <c r="AM29" s="191">
        <v>663003</v>
      </c>
      <c r="AN29" s="17">
        <f t="shared" si="14"/>
        <v>9340</v>
      </c>
      <c r="AP29" s="204">
        <f t="shared" si="2"/>
        <v>41835</v>
      </c>
      <c r="AQ29" s="205">
        <f t="shared" si="3"/>
        <v>31645</v>
      </c>
    </row>
    <row r="30" spans="1:43" ht="39.950000000000003" customHeight="1">
      <c r="A30" s="189">
        <f t="shared" si="15"/>
        <v>44704</v>
      </c>
      <c r="B30" s="16"/>
      <c r="C30" s="191">
        <v>255520</v>
      </c>
      <c r="D30" s="17">
        <f t="shared" si="16"/>
        <v>3830</v>
      </c>
      <c r="E30" s="191">
        <v>429974</v>
      </c>
      <c r="F30" s="17">
        <f t="shared" si="17"/>
        <v>7630</v>
      </c>
      <c r="G30" s="191">
        <v>136864</v>
      </c>
      <c r="H30" s="17">
        <f t="shared" si="5"/>
        <v>13200</v>
      </c>
      <c r="I30" s="204">
        <f>H30*I6/100</f>
        <v>6600</v>
      </c>
      <c r="J30" s="204">
        <f>H30*J6/100</f>
        <v>6600</v>
      </c>
      <c r="K30" s="191">
        <v>374951</v>
      </c>
      <c r="L30" s="17">
        <f t="shared" si="6"/>
        <v>5720</v>
      </c>
      <c r="M30" s="191">
        <v>592851</v>
      </c>
      <c r="N30" s="17">
        <f t="shared" si="7"/>
        <v>9090</v>
      </c>
      <c r="O30" s="191">
        <v>289477</v>
      </c>
      <c r="P30" s="17">
        <f t="shared" si="0"/>
        <v>4840</v>
      </c>
      <c r="Q30" s="204">
        <f>P30*Q6/100</f>
        <v>2420</v>
      </c>
      <c r="R30" s="204">
        <f>P30*R6/100</f>
        <v>2420</v>
      </c>
      <c r="S30" s="191">
        <v>367020</v>
      </c>
      <c r="T30" s="17">
        <f t="shared" si="1"/>
        <v>9710</v>
      </c>
      <c r="U30" s="204">
        <f>T30*U6/100</f>
        <v>4855</v>
      </c>
      <c r="V30" s="204">
        <f>T30*V6/100</f>
        <v>4855</v>
      </c>
      <c r="W30" s="191">
        <v>176089</v>
      </c>
      <c r="X30" s="17">
        <f t="shared" si="8"/>
        <v>20</v>
      </c>
      <c r="Y30" s="204">
        <f>X30*Y6/100</f>
        <v>10</v>
      </c>
      <c r="Z30" s="204">
        <f>X30*Z6/100</f>
        <v>10</v>
      </c>
      <c r="AA30" s="191">
        <v>253894</v>
      </c>
      <c r="AB30" s="17">
        <f t="shared" si="9"/>
        <v>80</v>
      </c>
      <c r="AC30" s="204">
        <f>AB30*AC6/100</f>
        <v>40</v>
      </c>
      <c r="AD30" s="204">
        <f>AB30*AD6/100</f>
        <v>40</v>
      </c>
      <c r="AE30" s="191">
        <v>71874</v>
      </c>
      <c r="AF30" s="17">
        <f t="shared" si="10"/>
        <v>1050</v>
      </c>
      <c r="AG30" s="191">
        <v>137272</v>
      </c>
      <c r="AH30" s="17">
        <f t="shared" si="11"/>
        <v>2050</v>
      </c>
      <c r="AI30" s="191">
        <v>246866</v>
      </c>
      <c r="AJ30" s="17">
        <f t="shared" si="12"/>
        <v>3740</v>
      </c>
      <c r="AK30" s="191">
        <v>126552</v>
      </c>
      <c r="AL30" s="17">
        <f t="shared" si="13"/>
        <v>1770</v>
      </c>
      <c r="AM30" s="191">
        <v>663938</v>
      </c>
      <c r="AN30" s="17">
        <f t="shared" si="14"/>
        <v>9350</v>
      </c>
      <c r="AP30" s="204">
        <f t="shared" si="2"/>
        <v>40195</v>
      </c>
      <c r="AQ30" s="205">
        <f t="shared" si="3"/>
        <v>31885</v>
      </c>
    </row>
    <row r="31" spans="1:43" ht="39.950000000000003" customHeight="1">
      <c r="A31" s="189">
        <f t="shared" si="15"/>
        <v>44705</v>
      </c>
      <c r="B31" s="16"/>
      <c r="C31" s="191">
        <v>255899</v>
      </c>
      <c r="D31" s="17">
        <f t="shared" si="16"/>
        <v>3790</v>
      </c>
      <c r="E31" s="191">
        <v>430809</v>
      </c>
      <c r="F31" s="17">
        <f t="shared" si="17"/>
        <v>8350</v>
      </c>
      <c r="G31" s="191">
        <v>138253</v>
      </c>
      <c r="H31" s="17">
        <f t="shared" si="5"/>
        <v>13890</v>
      </c>
      <c r="I31" s="204">
        <f>H31*I6/100</f>
        <v>6945</v>
      </c>
      <c r="J31" s="204">
        <f>H31*J6/100</f>
        <v>6945</v>
      </c>
      <c r="K31" s="191">
        <v>375538</v>
      </c>
      <c r="L31" s="17">
        <f t="shared" si="6"/>
        <v>5870</v>
      </c>
      <c r="M31" s="191">
        <v>593855</v>
      </c>
      <c r="N31" s="17">
        <f t="shared" si="7"/>
        <v>10040</v>
      </c>
      <c r="O31" s="191">
        <v>289963</v>
      </c>
      <c r="P31" s="17">
        <f t="shared" si="0"/>
        <v>4860</v>
      </c>
      <c r="Q31" s="204">
        <f>P31*Q6/100</f>
        <v>2430</v>
      </c>
      <c r="R31" s="204">
        <f>P31*R6/100</f>
        <v>2430</v>
      </c>
      <c r="S31" s="191">
        <v>368066</v>
      </c>
      <c r="T31" s="17">
        <f t="shared" si="1"/>
        <v>10460</v>
      </c>
      <c r="U31" s="204">
        <f>T31*U6/100</f>
        <v>5230</v>
      </c>
      <c r="V31" s="204">
        <f>T31*V6/100</f>
        <v>5230</v>
      </c>
      <c r="W31" s="191">
        <v>176091</v>
      </c>
      <c r="X31" s="17">
        <f t="shared" si="8"/>
        <v>20</v>
      </c>
      <c r="Y31" s="204">
        <f>X31*Y6/100</f>
        <v>10</v>
      </c>
      <c r="Z31" s="204">
        <f>X31*Z6/100</f>
        <v>10</v>
      </c>
      <c r="AA31" s="191">
        <v>253901</v>
      </c>
      <c r="AB31" s="17">
        <f t="shared" si="9"/>
        <v>70</v>
      </c>
      <c r="AC31" s="204">
        <f>AB31*AC6/100</f>
        <v>35</v>
      </c>
      <c r="AD31" s="204">
        <f>AB31*AD6/100</f>
        <v>35</v>
      </c>
      <c r="AE31" s="191">
        <v>71987</v>
      </c>
      <c r="AF31" s="17">
        <f t="shared" si="10"/>
        <v>1130</v>
      </c>
      <c r="AG31" s="191">
        <v>137481</v>
      </c>
      <c r="AH31" s="17">
        <f t="shared" si="11"/>
        <v>2090</v>
      </c>
      <c r="AI31" s="191">
        <v>247235</v>
      </c>
      <c r="AJ31" s="17">
        <f t="shared" si="12"/>
        <v>3690</v>
      </c>
      <c r="AK31" s="191">
        <v>126726</v>
      </c>
      <c r="AL31" s="17">
        <f t="shared" si="13"/>
        <v>1740</v>
      </c>
      <c r="AM31" s="191">
        <v>664891</v>
      </c>
      <c r="AN31" s="17">
        <f t="shared" si="14"/>
        <v>9530</v>
      </c>
      <c r="AP31" s="204">
        <f t="shared" si="2"/>
        <v>42700</v>
      </c>
      <c r="AQ31" s="205">
        <f t="shared" si="3"/>
        <v>32830</v>
      </c>
    </row>
    <row r="32" spans="1:43" ht="39.950000000000003" customHeight="1">
      <c r="A32" s="189">
        <f t="shared" si="15"/>
        <v>44706</v>
      </c>
      <c r="B32" s="16"/>
      <c r="C32" s="190">
        <v>256274</v>
      </c>
      <c r="D32" s="17">
        <f t="shared" si="16"/>
        <v>3750</v>
      </c>
      <c r="E32" s="190">
        <v>431411</v>
      </c>
      <c r="F32" s="17">
        <f t="shared" si="17"/>
        <v>6020</v>
      </c>
      <c r="G32" s="190">
        <v>139545</v>
      </c>
      <c r="H32" s="17">
        <f t="shared" si="5"/>
        <v>12920</v>
      </c>
      <c r="I32" s="204">
        <f>H32*I6/100</f>
        <v>6460</v>
      </c>
      <c r="J32" s="204">
        <f>H32*J6/100</f>
        <v>6460</v>
      </c>
      <c r="K32" s="190">
        <v>376148</v>
      </c>
      <c r="L32" s="17">
        <f t="shared" si="6"/>
        <v>6100</v>
      </c>
      <c r="M32" s="190">
        <v>594861</v>
      </c>
      <c r="N32" s="17">
        <f t="shared" si="7"/>
        <v>10060</v>
      </c>
      <c r="O32" s="190">
        <v>290428</v>
      </c>
      <c r="P32" s="17">
        <f t="shared" si="0"/>
        <v>4650</v>
      </c>
      <c r="Q32" s="204">
        <f>P32*Q6/100</f>
        <v>2325</v>
      </c>
      <c r="R32" s="204">
        <f>P32*R6/100</f>
        <v>2325</v>
      </c>
      <c r="S32" s="190">
        <v>368991</v>
      </c>
      <c r="T32" s="17">
        <f t="shared" si="1"/>
        <v>9250</v>
      </c>
      <c r="U32" s="204">
        <f>T32*U6/100</f>
        <v>4625</v>
      </c>
      <c r="V32" s="204">
        <f>T32*V6/100</f>
        <v>4625</v>
      </c>
      <c r="W32" s="190">
        <v>176093</v>
      </c>
      <c r="X32" s="17">
        <f t="shared" si="8"/>
        <v>20</v>
      </c>
      <c r="Y32" s="204">
        <f>X32*Y6/100</f>
        <v>10</v>
      </c>
      <c r="Z32" s="204">
        <f>X32*Z6/100</f>
        <v>10</v>
      </c>
      <c r="AA32" s="190">
        <v>254273</v>
      </c>
      <c r="AB32" s="17">
        <f t="shared" si="9"/>
        <v>3720</v>
      </c>
      <c r="AC32" s="204">
        <f>AB32*AC6/100</f>
        <v>1860</v>
      </c>
      <c r="AD32" s="204">
        <f>AB32*AD6/100</f>
        <v>1860</v>
      </c>
      <c r="AE32" s="190">
        <v>72103</v>
      </c>
      <c r="AF32" s="17">
        <f t="shared" si="10"/>
        <v>1160</v>
      </c>
      <c r="AG32" s="190">
        <v>137689</v>
      </c>
      <c r="AH32" s="17">
        <f t="shared" si="11"/>
        <v>2080</v>
      </c>
      <c r="AI32" s="190">
        <v>247602</v>
      </c>
      <c r="AJ32" s="17">
        <f t="shared" si="12"/>
        <v>3670</v>
      </c>
      <c r="AK32" s="190">
        <v>126899</v>
      </c>
      <c r="AL32" s="17">
        <f t="shared" si="13"/>
        <v>1730</v>
      </c>
      <c r="AM32" s="190">
        <v>665852</v>
      </c>
      <c r="AN32" s="17">
        <f t="shared" si="14"/>
        <v>9610</v>
      </c>
      <c r="AP32" s="204">
        <f t="shared" si="2"/>
        <v>41210</v>
      </c>
      <c r="AQ32" s="205">
        <f t="shared" si="3"/>
        <v>33530</v>
      </c>
    </row>
    <row r="33" spans="1:43" ht="39.950000000000003" customHeight="1">
      <c r="A33" s="189">
        <f t="shared" si="15"/>
        <v>44707</v>
      </c>
      <c r="B33" s="16"/>
      <c r="C33" s="190">
        <v>256684</v>
      </c>
      <c r="D33" s="17">
        <f t="shared" si="16"/>
        <v>4100</v>
      </c>
      <c r="E33" s="190">
        <v>432154</v>
      </c>
      <c r="F33" s="17">
        <f t="shared" si="17"/>
        <v>7430</v>
      </c>
      <c r="G33" s="190">
        <v>140952</v>
      </c>
      <c r="H33" s="17">
        <f t="shared" si="5"/>
        <v>14070</v>
      </c>
      <c r="I33" s="204">
        <f>H33*I6/100</f>
        <v>7035</v>
      </c>
      <c r="J33" s="204">
        <f>H33*J6/100</f>
        <v>7035</v>
      </c>
      <c r="K33" s="190">
        <v>376754</v>
      </c>
      <c r="L33" s="17">
        <f t="shared" si="6"/>
        <v>6060</v>
      </c>
      <c r="M33" s="190">
        <v>595859</v>
      </c>
      <c r="N33" s="17">
        <f t="shared" si="7"/>
        <v>9980</v>
      </c>
      <c r="O33" s="190">
        <v>290915</v>
      </c>
      <c r="P33" s="17">
        <f t="shared" si="0"/>
        <v>4870</v>
      </c>
      <c r="Q33" s="204">
        <f>P33*Q6/100</f>
        <v>2435</v>
      </c>
      <c r="R33" s="204">
        <f>P33*R6/100</f>
        <v>2435</v>
      </c>
      <c r="S33" s="190">
        <v>369936</v>
      </c>
      <c r="T33" s="17">
        <f t="shared" si="1"/>
        <v>9450</v>
      </c>
      <c r="U33" s="204">
        <f>T33*U6/100</f>
        <v>4725</v>
      </c>
      <c r="V33" s="204">
        <f>T33*V6/100</f>
        <v>4725</v>
      </c>
      <c r="W33" s="190">
        <v>176095</v>
      </c>
      <c r="X33" s="17">
        <f t="shared" si="8"/>
        <v>20</v>
      </c>
      <c r="Y33" s="204">
        <f>X33*Y6/100</f>
        <v>10</v>
      </c>
      <c r="Z33" s="204">
        <f>X33*Z6/100</f>
        <v>10</v>
      </c>
      <c r="AA33" s="190">
        <v>254847</v>
      </c>
      <c r="AB33" s="17">
        <f t="shared" si="9"/>
        <v>5740</v>
      </c>
      <c r="AC33" s="204">
        <f>AB33*AC6/100</f>
        <v>2870</v>
      </c>
      <c r="AD33" s="204">
        <f>AB33*AD6/100</f>
        <v>2870</v>
      </c>
      <c r="AE33" s="190">
        <v>72215</v>
      </c>
      <c r="AF33" s="17">
        <f t="shared" si="10"/>
        <v>1120</v>
      </c>
      <c r="AG33" s="190">
        <v>137892</v>
      </c>
      <c r="AH33" s="17">
        <f t="shared" si="11"/>
        <v>2030</v>
      </c>
      <c r="AI33" s="190">
        <v>247968</v>
      </c>
      <c r="AJ33" s="17">
        <f t="shared" si="12"/>
        <v>3660</v>
      </c>
      <c r="AK33" s="190">
        <v>127079</v>
      </c>
      <c r="AL33" s="17">
        <f t="shared" si="13"/>
        <v>1800</v>
      </c>
      <c r="AM33" s="190">
        <v>666819</v>
      </c>
      <c r="AN33" s="17">
        <f t="shared" si="14"/>
        <v>9670</v>
      </c>
      <c r="AP33" s="204">
        <f t="shared" si="2"/>
        <v>44645</v>
      </c>
      <c r="AQ33" s="205">
        <f t="shared" si="3"/>
        <v>35355</v>
      </c>
    </row>
    <row r="34" spans="1:43" ht="39.950000000000003" customHeight="1">
      <c r="A34" s="189">
        <f t="shared" si="15"/>
        <v>44708</v>
      </c>
      <c r="B34" s="16"/>
      <c r="C34" s="190">
        <v>257097</v>
      </c>
      <c r="D34" s="17">
        <f t="shared" si="16"/>
        <v>4130</v>
      </c>
      <c r="E34" s="190">
        <v>432929</v>
      </c>
      <c r="F34" s="17">
        <f t="shared" si="17"/>
        <v>7750</v>
      </c>
      <c r="G34" s="190">
        <v>142442</v>
      </c>
      <c r="H34" s="17">
        <f t="shared" si="5"/>
        <v>14900</v>
      </c>
      <c r="I34" s="204">
        <f>H34*I6/100</f>
        <v>7450</v>
      </c>
      <c r="J34" s="204">
        <f>H34*J6/100</f>
        <v>7450</v>
      </c>
      <c r="K34" s="190">
        <v>377360</v>
      </c>
      <c r="L34" s="17">
        <f t="shared" si="6"/>
        <v>6060</v>
      </c>
      <c r="M34" s="190">
        <v>596894</v>
      </c>
      <c r="N34" s="17">
        <f t="shared" si="7"/>
        <v>10350</v>
      </c>
      <c r="O34" s="190">
        <v>291400</v>
      </c>
      <c r="P34" s="17">
        <f t="shared" si="0"/>
        <v>4850</v>
      </c>
      <c r="Q34" s="204">
        <f>P34*Q6/100</f>
        <v>2425</v>
      </c>
      <c r="R34" s="204">
        <f>P34*R6/100</f>
        <v>2425</v>
      </c>
      <c r="S34" s="190">
        <v>370984</v>
      </c>
      <c r="T34" s="17">
        <f t="shared" si="1"/>
        <v>10480</v>
      </c>
      <c r="U34" s="204">
        <f>T34*U6/100</f>
        <v>5240</v>
      </c>
      <c r="V34" s="204">
        <f>T34*V6/100</f>
        <v>5240</v>
      </c>
      <c r="W34" s="190">
        <v>176708</v>
      </c>
      <c r="X34" s="17">
        <f t="shared" si="8"/>
        <v>6130</v>
      </c>
      <c r="Y34" s="204">
        <f>X34*Y6/100</f>
        <v>3065</v>
      </c>
      <c r="Z34" s="204">
        <f>X34*Z6/100</f>
        <v>3065</v>
      </c>
      <c r="AA34" s="190">
        <v>254888</v>
      </c>
      <c r="AB34" s="17">
        <f t="shared" si="9"/>
        <v>410</v>
      </c>
      <c r="AC34" s="204">
        <f>AB34*AC6/100</f>
        <v>205</v>
      </c>
      <c r="AD34" s="204">
        <f>AB34*AD6/100</f>
        <v>205</v>
      </c>
      <c r="AE34" s="190">
        <v>72329</v>
      </c>
      <c r="AF34" s="17">
        <f t="shared" si="10"/>
        <v>1140</v>
      </c>
      <c r="AG34" s="190">
        <v>138100</v>
      </c>
      <c r="AH34" s="17">
        <f t="shared" si="11"/>
        <v>2080</v>
      </c>
      <c r="AI34" s="190">
        <v>248356</v>
      </c>
      <c r="AJ34" s="17">
        <f t="shared" si="12"/>
        <v>3880</v>
      </c>
      <c r="AK34" s="190">
        <v>127254</v>
      </c>
      <c r="AL34" s="17">
        <f t="shared" si="13"/>
        <v>1750</v>
      </c>
      <c r="AM34" s="190">
        <v>667775</v>
      </c>
      <c r="AN34" s="17">
        <f t="shared" si="14"/>
        <v>9560</v>
      </c>
      <c r="AP34" s="204">
        <f t="shared" si="2"/>
        <v>46675</v>
      </c>
      <c r="AQ34" s="205">
        <f t="shared" si="3"/>
        <v>36795</v>
      </c>
    </row>
    <row r="35" spans="1:43" ht="39.950000000000003" customHeight="1">
      <c r="A35" s="189">
        <f t="shared" si="15"/>
        <v>44709</v>
      </c>
      <c r="B35" s="16"/>
      <c r="C35" s="190">
        <v>257537</v>
      </c>
      <c r="D35" s="17">
        <f t="shared" si="16"/>
        <v>4400</v>
      </c>
      <c r="E35" s="190">
        <v>433728</v>
      </c>
      <c r="F35" s="17">
        <f t="shared" si="17"/>
        <v>7990</v>
      </c>
      <c r="G35" s="190">
        <v>143924</v>
      </c>
      <c r="H35" s="17">
        <f t="shared" si="5"/>
        <v>14820</v>
      </c>
      <c r="I35" s="204">
        <f>H35*I6/100</f>
        <v>7410</v>
      </c>
      <c r="J35" s="204">
        <f>H35*J6/100</f>
        <v>7410</v>
      </c>
      <c r="K35" s="190">
        <v>377992</v>
      </c>
      <c r="L35" s="17">
        <f t="shared" si="6"/>
        <v>6320</v>
      </c>
      <c r="M35" s="190">
        <v>597971</v>
      </c>
      <c r="N35" s="17">
        <f t="shared" si="7"/>
        <v>10770</v>
      </c>
      <c r="O35" s="190">
        <v>291885</v>
      </c>
      <c r="P35" s="17">
        <f t="shared" si="0"/>
        <v>4850</v>
      </c>
      <c r="Q35" s="204">
        <f>P35*Q6/100</f>
        <v>2425</v>
      </c>
      <c r="R35" s="204">
        <f>P35*R6/100</f>
        <v>2425</v>
      </c>
      <c r="S35" s="190">
        <v>371864</v>
      </c>
      <c r="T35" s="17">
        <f t="shared" si="1"/>
        <v>8800</v>
      </c>
      <c r="U35" s="204">
        <f>T35*U6/100</f>
        <v>4400</v>
      </c>
      <c r="V35" s="204">
        <f>T35*V6/100</f>
        <v>4400</v>
      </c>
      <c r="W35" s="190">
        <v>177010</v>
      </c>
      <c r="X35" s="17">
        <f t="shared" si="8"/>
        <v>3020</v>
      </c>
      <c r="Y35" s="204">
        <f>X35*Y6/100</f>
        <v>1510</v>
      </c>
      <c r="Z35" s="204">
        <f>X35*Z6/100</f>
        <v>1510</v>
      </c>
      <c r="AA35" s="190">
        <v>255697</v>
      </c>
      <c r="AB35" s="17">
        <f t="shared" si="9"/>
        <v>8090</v>
      </c>
      <c r="AC35" s="204">
        <f>AB35*AC6/100</f>
        <v>4045</v>
      </c>
      <c r="AD35" s="204">
        <f>AB35*AD6/100</f>
        <v>4045</v>
      </c>
      <c r="AE35" s="190">
        <v>72456</v>
      </c>
      <c r="AF35" s="17">
        <f t="shared" si="10"/>
        <v>1270</v>
      </c>
      <c r="AG35" s="190">
        <v>138313</v>
      </c>
      <c r="AH35" s="17">
        <f t="shared" si="11"/>
        <v>2130</v>
      </c>
      <c r="AI35" s="190">
        <v>248750</v>
      </c>
      <c r="AJ35" s="17">
        <f t="shared" si="12"/>
        <v>3940</v>
      </c>
      <c r="AK35" s="190">
        <v>127432</v>
      </c>
      <c r="AL35" s="17">
        <f t="shared" si="13"/>
        <v>1780</v>
      </c>
      <c r="AM35" s="190">
        <v>668775</v>
      </c>
      <c r="AN35" s="17">
        <f t="shared" si="14"/>
        <v>10000</v>
      </c>
      <c r="AP35" s="204">
        <f t="shared" si="2"/>
        <v>49270</v>
      </c>
      <c r="AQ35" s="205">
        <f t="shared" si="3"/>
        <v>38910</v>
      </c>
    </row>
    <row r="36" spans="1:43" ht="39.950000000000003" customHeight="1">
      <c r="A36" s="189">
        <f t="shared" si="15"/>
        <v>44710</v>
      </c>
      <c r="B36" s="16"/>
      <c r="C36" s="190">
        <v>257981</v>
      </c>
      <c r="D36" s="17">
        <f t="shared" si="16"/>
        <v>4440</v>
      </c>
      <c r="E36" s="190">
        <v>434526</v>
      </c>
      <c r="F36" s="17">
        <f t="shared" si="17"/>
        <v>7980</v>
      </c>
      <c r="G36" s="190">
        <v>145437</v>
      </c>
      <c r="H36" s="17">
        <f t="shared" si="5"/>
        <v>15130</v>
      </c>
      <c r="I36" s="204">
        <f>H36*I6/100</f>
        <v>7565</v>
      </c>
      <c r="J36" s="204">
        <f>H36*J6/100</f>
        <v>7565</v>
      </c>
      <c r="K36" s="190">
        <v>378574</v>
      </c>
      <c r="L36" s="17">
        <f t="shared" si="6"/>
        <v>5820</v>
      </c>
      <c r="M36" s="190">
        <v>598960</v>
      </c>
      <c r="N36" s="17">
        <f t="shared" si="7"/>
        <v>9890</v>
      </c>
      <c r="O36" s="190">
        <v>292360</v>
      </c>
      <c r="P36" s="17">
        <f t="shared" si="0"/>
        <v>4750</v>
      </c>
      <c r="Q36" s="204">
        <f>P36*Q6/100</f>
        <v>2375</v>
      </c>
      <c r="R36" s="204">
        <f>P36*R6/100</f>
        <v>2375</v>
      </c>
      <c r="S36" s="190">
        <v>372910</v>
      </c>
      <c r="T36" s="17">
        <f t="shared" si="1"/>
        <v>10460</v>
      </c>
      <c r="U36" s="204">
        <f>T36*U6/100</f>
        <v>5230</v>
      </c>
      <c r="V36" s="204">
        <f>T36*V6/100</f>
        <v>5230</v>
      </c>
      <c r="W36" s="190">
        <v>177012</v>
      </c>
      <c r="X36" s="17">
        <f t="shared" si="8"/>
        <v>20</v>
      </c>
      <c r="Y36" s="204">
        <f>X36*Y6/100</f>
        <v>10</v>
      </c>
      <c r="Z36" s="204">
        <f>X36*Z6/100</f>
        <v>10</v>
      </c>
      <c r="AA36" s="190">
        <v>256566</v>
      </c>
      <c r="AB36" s="17">
        <f t="shared" si="9"/>
        <v>8690</v>
      </c>
      <c r="AC36" s="204">
        <f>AB36*AC6/100</f>
        <v>4345</v>
      </c>
      <c r="AD36" s="204">
        <f>AB36*AD6/100</f>
        <v>4345</v>
      </c>
      <c r="AE36" s="190">
        <v>72560</v>
      </c>
      <c r="AF36" s="17">
        <f t="shared" si="10"/>
        <v>1040</v>
      </c>
      <c r="AG36" s="190">
        <v>138490</v>
      </c>
      <c r="AH36" s="17">
        <f t="shared" si="11"/>
        <v>1770</v>
      </c>
      <c r="AI36" s="190">
        <v>249113</v>
      </c>
      <c r="AJ36" s="17">
        <f t="shared" si="12"/>
        <v>3630</v>
      </c>
      <c r="AK36" s="190">
        <v>127595</v>
      </c>
      <c r="AL36" s="17">
        <f t="shared" si="13"/>
        <v>1630</v>
      </c>
      <c r="AM36" s="190">
        <v>669691</v>
      </c>
      <c r="AN36" s="17">
        <f t="shared" si="14"/>
        <v>9160</v>
      </c>
      <c r="AP36" s="204">
        <f t="shared" si="2"/>
        <v>47655</v>
      </c>
      <c r="AQ36" s="205">
        <f t="shared" si="3"/>
        <v>36755</v>
      </c>
    </row>
    <row r="37" spans="1:43" ht="39.950000000000003" customHeight="1">
      <c r="A37" s="189">
        <f t="shared" si="15"/>
        <v>44711</v>
      </c>
      <c r="B37" s="16"/>
      <c r="C37" s="190">
        <v>258418</v>
      </c>
      <c r="D37" s="17">
        <f t="shared" si="16"/>
        <v>4370</v>
      </c>
      <c r="E37" s="190">
        <v>435315</v>
      </c>
      <c r="F37" s="17">
        <f t="shared" si="17"/>
        <v>7890</v>
      </c>
      <c r="G37" s="190">
        <v>146992</v>
      </c>
      <c r="H37" s="17">
        <f t="shared" si="5"/>
        <v>15550</v>
      </c>
      <c r="I37" s="204">
        <f>H37*I6/100</f>
        <v>7775</v>
      </c>
      <c r="J37" s="204">
        <f>H37*J6/100</f>
        <v>7775</v>
      </c>
      <c r="K37" s="190">
        <v>379188</v>
      </c>
      <c r="L37" s="17">
        <f t="shared" si="6"/>
        <v>6140</v>
      </c>
      <c r="M37" s="190">
        <v>599895</v>
      </c>
      <c r="N37" s="17">
        <f t="shared" si="7"/>
        <v>9350</v>
      </c>
      <c r="O37" s="190">
        <v>292805</v>
      </c>
      <c r="P37" s="17">
        <f t="shared" si="0"/>
        <v>4450</v>
      </c>
      <c r="Q37" s="204">
        <f>P37*Q6/100</f>
        <v>2225</v>
      </c>
      <c r="R37" s="204">
        <f>P37*R6/100</f>
        <v>2225</v>
      </c>
      <c r="S37" s="190">
        <v>373981</v>
      </c>
      <c r="T37" s="17">
        <f t="shared" si="1"/>
        <v>10710</v>
      </c>
      <c r="U37" s="204">
        <f>T37*U6/100</f>
        <v>5355</v>
      </c>
      <c r="V37" s="204">
        <f>T37*V6/100</f>
        <v>5355</v>
      </c>
      <c r="W37" s="190">
        <v>177696</v>
      </c>
      <c r="X37" s="17">
        <f t="shared" si="8"/>
        <v>6840</v>
      </c>
      <c r="Y37" s="204">
        <f>X37*Y6/100</f>
        <v>3420</v>
      </c>
      <c r="Z37" s="204">
        <f>X37*Z6/100</f>
        <v>3420</v>
      </c>
      <c r="AA37" s="190">
        <v>256904</v>
      </c>
      <c r="AB37" s="17">
        <f t="shared" si="9"/>
        <v>3380</v>
      </c>
      <c r="AC37" s="204">
        <f>AB37*AC6/100</f>
        <v>1690</v>
      </c>
      <c r="AD37" s="204">
        <f>AB37*AD6/100</f>
        <v>1690</v>
      </c>
      <c r="AE37" s="190">
        <v>72677</v>
      </c>
      <c r="AF37" s="17">
        <f t="shared" si="10"/>
        <v>1170</v>
      </c>
      <c r="AG37" s="190">
        <v>138702</v>
      </c>
      <c r="AH37" s="17">
        <f t="shared" si="11"/>
        <v>2120</v>
      </c>
      <c r="AI37" s="190">
        <v>249507</v>
      </c>
      <c r="AJ37" s="17">
        <f t="shared" si="12"/>
        <v>3940</v>
      </c>
      <c r="AK37" s="190">
        <v>127772</v>
      </c>
      <c r="AL37" s="17">
        <f t="shared" si="13"/>
        <v>1770</v>
      </c>
      <c r="AM37" s="190">
        <v>670676</v>
      </c>
      <c r="AN37" s="17">
        <f t="shared" si="14"/>
        <v>9850</v>
      </c>
      <c r="AP37" s="204">
        <f t="shared" si="2"/>
        <v>48215</v>
      </c>
      <c r="AQ37" s="205">
        <f t="shared" si="3"/>
        <v>39315</v>
      </c>
    </row>
    <row r="38" spans="1:43" s="144" customFormat="1" ht="39.950000000000003" customHeight="1">
      <c r="A38" s="189">
        <f t="shared" si="15"/>
        <v>44712</v>
      </c>
      <c r="B38" s="143"/>
      <c r="C38" s="192">
        <v>258826</v>
      </c>
      <c r="D38" s="17">
        <f t="shared" si="16"/>
        <v>4080</v>
      </c>
      <c r="E38" s="192">
        <v>436059</v>
      </c>
      <c r="F38" s="17">
        <f t="shared" si="17"/>
        <v>7440</v>
      </c>
      <c r="G38" s="192">
        <v>148472</v>
      </c>
      <c r="H38" s="17">
        <f t="shared" si="5"/>
        <v>14800</v>
      </c>
      <c r="I38" s="204">
        <f>H38*I6/100</f>
        <v>7400</v>
      </c>
      <c r="J38" s="204">
        <f>H38*J6/100</f>
        <v>7400</v>
      </c>
      <c r="K38" s="192">
        <v>379822</v>
      </c>
      <c r="L38" s="17">
        <f t="shared" si="6"/>
        <v>6340</v>
      </c>
      <c r="M38" s="192">
        <v>600934</v>
      </c>
      <c r="N38" s="17">
        <f t="shared" si="7"/>
        <v>10390</v>
      </c>
      <c r="O38" s="192">
        <v>293736</v>
      </c>
      <c r="P38" s="17">
        <f t="shared" si="0"/>
        <v>9310</v>
      </c>
      <c r="Q38" s="204">
        <f>P38*Q6/100</f>
        <v>4655</v>
      </c>
      <c r="R38" s="204">
        <f>P38*R6/100</f>
        <v>4655</v>
      </c>
      <c r="S38" s="192">
        <v>374540</v>
      </c>
      <c r="T38" s="17">
        <f t="shared" si="1"/>
        <v>5590</v>
      </c>
      <c r="U38" s="204">
        <f>T38*U6/100</f>
        <v>2795</v>
      </c>
      <c r="V38" s="204">
        <f>T38*V6/100</f>
        <v>2795</v>
      </c>
      <c r="W38" s="192">
        <v>178440</v>
      </c>
      <c r="X38" s="17">
        <f t="shared" si="8"/>
        <v>7440</v>
      </c>
      <c r="Y38" s="204">
        <f>X38*Y6/100</f>
        <v>3720</v>
      </c>
      <c r="Z38" s="204">
        <f>X38*Z6/100</f>
        <v>3720</v>
      </c>
      <c r="AA38" s="192">
        <v>256950</v>
      </c>
      <c r="AB38" s="17">
        <f t="shared" si="9"/>
        <v>460</v>
      </c>
      <c r="AC38" s="204">
        <f>AB38*AC6/100</f>
        <v>230</v>
      </c>
      <c r="AD38" s="204">
        <f>AB38*AD6/100</f>
        <v>230</v>
      </c>
      <c r="AE38" s="192">
        <v>72795</v>
      </c>
      <c r="AF38" s="17">
        <f t="shared" si="10"/>
        <v>1180</v>
      </c>
      <c r="AG38" s="192">
        <v>138902</v>
      </c>
      <c r="AH38" s="17">
        <f t="shared" si="11"/>
        <v>2000</v>
      </c>
      <c r="AI38" s="192">
        <v>249883</v>
      </c>
      <c r="AJ38" s="17">
        <f t="shared" si="12"/>
        <v>3760</v>
      </c>
      <c r="AK38" s="192">
        <v>127940</v>
      </c>
      <c r="AL38" s="17">
        <f t="shared" si="13"/>
        <v>1680</v>
      </c>
      <c r="AM38" s="192">
        <v>671614</v>
      </c>
      <c r="AN38" s="17">
        <f t="shared" si="14"/>
        <v>9380</v>
      </c>
      <c r="AP38" s="204">
        <f t="shared" si="2"/>
        <v>47050</v>
      </c>
      <c r="AQ38" s="205">
        <f>SUM(R38,V38,Z38,AD38,AF38,AH38,AJ38,AL38,AN38, J38)</f>
        <v>36800</v>
      </c>
    </row>
    <row r="39" spans="1:43" s="19" customFormat="1" ht="39.950000000000003" customHeight="1">
      <c r="A39" s="18"/>
      <c r="D39" s="20"/>
      <c r="AP39" s="202">
        <f>SUM(AP8:AP38)</f>
        <v>1273050</v>
      </c>
      <c r="AQ39" s="202">
        <f>SUM(AQ8:AQ38)</f>
        <v>985510</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L5" activePane="bottomRight" state="frozen"/>
      <selection pane="topRight" activeCell="C1" sqref="C1"/>
      <selection pane="bottomLeft" activeCell="A5" sqref="A5"/>
      <selection pane="bottomRight" activeCell="R7" sqref="R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5"/>
      <c r="B1" s="195"/>
      <c r="C1" s="213" t="s">
        <v>65</v>
      </c>
      <c r="D1" s="213"/>
      <c r="E1" s="213" t="s">
        <v>65</v>
      </c>
      <c r="F1" s="213"/>
      <c r="G1" s="213" t="s">
        <v>65</v>
      </c>
      <c r="H1" s="213"/>
      <c r="I1" s="213" t="s">
        <v>65</v>
      </c>
      <c r="J1" s="213"/>
      <c r="K1" s="226" t="s">
        <v>66</v>
      </c>
      <c r="L1" s="227"/>
      <c r="M1" s="227"/>
      <c r="N1" s="228"/>
      <c r="O1" s="213" t="s">
        <v>67</v>
      </c>
      <c r="P1" s="213"/>
    </row>
    <row r="2" spans="1:19" s="26" customFormat="1" ht="113.25" customHeight="1">
      <c r="A2" s="25"/>
      <c r="B2" s="25"/>
      <c r="C2" s="229" t="s">
        <v>102</v>
      </c>
      <c r="D2" s="230"/>
      <c r="E2" s="229" t="s">
        <v>103</v>
      </c>
      <c r="F2" s="230"/>
      <c r="G2" s="229" t="s">
        <v>104</v>
      </c>
      <c r="H2" s="230"/>
      <c r="I2" s="229" t="s">
        <v>105</v>
      </c>
      <c r="J2" s="230"/>
      <c r="K2" s="238" t="s">
        <v>106</v>
      </c>
      <c r="L2" s="239"/>
      <c r="M2" s="239"/>
      <c r="N2" s="240"/>
      <c r="O2" s="229" t="s">
        <v>107</v>
      </c>
      <c r="P2" s="230"/>
    </row>
    <row r="3" spans="1:19" s="31" customFormat="1" ht="50.1" customHeight="1">
      <c r="A3" s="40"/>
      <c r="B3" s="40"/>
      <c r="C3" s="233" t="s">
        <v>108</v>
      </c>
      <c r="D3" s="234"/>
      <c r="E3" s="231" t="s">
        <v>109</v>
      </c>
      <c r="F3" s="232"/>
      <c r="G3" s="231" t="s">
        <v>110</v>
      </c>
      <c r="H3" s="232"/>
      <c r="I3" s="231" t="s">
        <v>111</v>
      </c>
      <c r="J3" s="232"/>
      <c r="K3" s="235" t="s">
        <v>112</v>
      </c>
      <c r="L3" s="236"/>
      <c r="M3" s="236"/>
      <c r="N3" s="237"/>
      <c r="O3" s="233" t="s">
        <v>113</v>
      </c>
      <c r="P3" s="234"/>
      <c r="R3" s="211" t="s">
        <v>81</v>
      </c>
      <c r="S3" s="211"/>
    </row>
    <row r="4" spans="1:19" s="8" customFormat="1" ht="30" customHeight="1">
      <c r="A4" s="194" t="s">
        <v>96</v>
      </c>
      <c r="B4" s="49"/>
      <c r="C4" s="220"/>
      <c r="D4" s="221"/>
      <c r="E4" s="220"/>
      <c r="F4" s="221"/>
      <c r="G4" s="220"/>
      <c r="H4" s="221"/>
      <c r="I4" s="220"/>
      <c r="J4" s="221"/>
      <c r="K4" s="220"/>
      <c r="L4" s="225"/>
      <c r="M4" s="225"/>
      <c r="N4" s="221"/>
      <c r="O4" s="49"/>
      <c r="P4" s="49"/>
      <c r="R4" s="211"/>
      <c r="S4" s="211"/>
    </row>
    <row r="5" spans="1:19" s="10" customFormat="1" ht="50.1" customHeight="1">
      <c r="A5" s="194" t="s">
        <v>99</v>
      </c>
      <c r="B5" s="194"/>
      <c r="C5" s="194" t="s">
        <v>114</v>
      </c>
      <c r="D5" s="194" t="s">
        <v>115</v>
      </c>
      <c r="E5" s="194" t="s">
        <v>114</v>
      </c>
      <c r="F5" s="194" t="s">
        <v>115</v>
      </c>
      <c r="G5" s="194" t="s">
        <v>114</v>
      </c>
      <c r="H5" s="194" t="s">
        <v>115</v>
      </c>
      <c r="I5" s="194" t="s">
        <v>114</v>
      </c>
      <c r="J5" s="194" t="s">
        <v>115</v>
      </c>
      <c r="K5" s="194" t="s">
        <v>114</v>
      </c>
      <c r="L5" s="194" t="s">
        <v>115</v>
      </c>
      <c r="M5" s="194" t="s">
        <v>65</v>
      </c>
      <c r="N5" s="194" t="s">
        <v>67</v>
      </c>
      <c r="O5" s="194" t="s">
        <v>114</v>
      </c>
      <c r="P5" s="194" t="s">
        <v>115</v>
      </c>
      <c r="R5" s="194"/>
      <c r="S5" s="194"/>
    </row>
    <row r="6" spans="1:19" ht="39.950000000000003" customHeight="1">
      <c r="A6" s="189">
        <v>44681</v>
      </c>
      <c r="B6" s="81"/>
      <c r="C6" s="72">
        <v>54024</v>
      </c>
      <c r="D6" s="74"/>
      <c r="E6" s="72">
        <v>84695</v>
      </c>
      <c r="F6" s="74"/>
      <c r="G6" s="83">
        <v>9164</v>
      </c>
      <c r="H6" s="75"/>
      <c r="I6" s="72">
        <v>18218</v>
      </c>
      <c r="J6" s="74"/>
      <c r="K6" s="72">
        <v>19784</v>
      </c>
      <c r="L6" s="74"/>
      <c r="M6" s="75"/>
      <c r="N6" s="75"/>
      <c r="O6" s="72">
        <v>30208</v>
      </c>
      <c r="P6" s="74"/>
      <c r="R6" s="106"/>
      <c r="S6" s="97"/>
    </row>
    <row r="7" spans="1:19" s="2" customFormat="1" ht="39.950000000000003" customHeight="1">
      <c r="A7" s="189">
        <v>44682</v>
      </c>
      <c r="B7" s="15"/>
      <c r="C7" s="72">
        <v>54371</v>
      </c>
      <c r="D7" s="74">
        <f>(C7-C6)</f>
        <v>347</v>
      </c>
      <c r="E7" s="72">
        <v>85195</v>
      </c>
      <c r="F7" s="74">
        <f>(E7-E6)</f>
        <v>500</v>
      </c>
      <c r="G7" s="72">
        <f>(G6+G8)/2</f>
        <v>9173.5</v>
      </c>
      <c r="H7" s="75">
        <f>(G7-G6)</f>
        <v>9.5</v>
      </c>
      <c r="I7" s="72">
        <f>(I6+I8)/2</f>
        <v>18245.5</v>
      </c>
      <c r="J7" s="74">
        <f>(I7-I6)</f>
        <v>27.5</v>
      </c>
      <c r="K7" s="72">
        <v>20063</v>
      </c>
      <c r="L7" s="74">
        <f>(K7-K6)</f>
        <v>279</v>
      </c>
      <c r="M7" s="75">
        <f>L7*55%</f>
        <v>153.45000000000002</v>
      </c>
      <c r="N7" s="75">
        <f>L7*45%</f>
        <v>125.55</v>
      </c>
      <c r="O7" s="72">
        <v>30356</v>
      </c>
      <c r="P7" s="74">
        <f>(O7-O6)</f>
        <v>148</v>
      </c>
      <c r="R7" s="106">
        <f t="shared" ref="R7:R34" si="0">SUM(D7,F7,M71,H7)</f>
        <v>856.5</v>
      </c>
      <c r="S7" s="97">
        <f>SUM(N7,P7)</f>
        <v>273.55</v>
      </c>
    </row>
    <row r="8" spans="1:19" ht="39.950000000000003" customHeight="1">
      <c r="A8" s="189">
        <f>SUM(A7+1)</f>
        <v>44683</v>
      </c>
      <c r="B8" s="16"/>
      <c r="C8" s="72">
        <v>54517</v>
      </c>
      <c r="D8" s="74">
        <f t="shared" ref="D8:J35" si="1">(C8-C7)</f>
        <v>146</v>
      </c>
      <c r="E8" s="72">
        <v>85433</v>
      </c>
      <c r="F8" s="74">
        <f t="shared" si="1"/>
        <v>238</v>
      </c>
      <c r="G8" s="83">
        <v>9183</v>
      </c>
      <c r="H8" s="75">
        <f t="shared" ref="H8:H37" si="2">(G8-G7)</f>
        <v>9.5</v>
      </c>
      <c r="I8" s="72">
        <v>18273</v>
      </c>
      <c r="J8" s="74">
        <f t="shared" ref="J8:J37" si="3">(I8-I7)</f>
        <v>27.5</v>
      </c>
      <c r="K8" s="72">
        <v>20204</v>
      </c>
      <c r="L8" s="74">
        <f t="shared" ref="L8:L37" si="4">(K8-K7)</f>
        <v>141</v>
      </c>
      <c r="M8" s="75">
        <f t="shared" ref="M8:M37" si="5">L8*55%</f>
        <v>77.550000000000011</v>
      </c>
      <c r="N8" s="75">
        <f t="shared" ref="N8:N37" si="6">L8*45%</f>
        <v>63.45</v>
      </c>
      <c r="O8" s="72">
        <v>30429</v>
      </c>
      <c r="P8" s="74">
        <f t="shared" ref="P8:P37" si="7">(O8-O7)</f>
        <v>73</v>
      </c>
      <c r="R8" s="106">
        <f t="shared" si="0"/>
        <v>393.5</v>
      </c>
      <c r="S8" s="97">
        <f t="shared" ref="S8:S37" si="8">SUM(N8,P8)</f>
        <v>136.44999999999999</v>
      </c>
    </row>
    <row r="9" spans="1:19" ht="39.950000000000003" customHeight="1">
      <c r="A9" s="189">
        <f t="shared" ref="A9:A37" si="9">SUM(A8+1)</f>
        <v>44684</v>
      </c>
      <c r="B9" s="16"/>
      <c r="C9" s="72">
        <v>54617</v>
      </c>
      <c r="D9" s="74">
        <f t="shared" si="1"/>
        <v>100</v>
      </c>
      <c r="E9" s="72">
        <v>85703</v>
      </c>
      <c r="F9" s="74">
        <f t="shared" si="1"/>
        <v>270</v>
      </c>
      <c r="G9" s="83">
        <v>9185</v>
      </c>
      <c r="H9" s="75">
        <f t="shared" si="2"/>
        <v>2</v>
      </c>
      <c r="I9" s="72">
        <v>18296</v>
      </c>
      <c r="J9" s="74">
        <f t="shared" si="3"/>
        <v>23</v>
      </c>
      <c r="K9" s="72">
        <v>20342</v>
      </c>
      <c r="L9" s="74">
        <f t="shared" si="4"/>
        <v>138</v>
      </c>
      <c r="M9" s="75">
        <f t="shared" si="5"/>
        <v>75.900000000000006</v>
      </c>
      <c r="N9" s="75">
        <f t="shared" si="6"/>
        <v>62.1</v>
      </c>
      <c r="O9" s="72">
        <v>30517</v>
      </c>
      <c r="P9" s="74">
        <f t="shared" si="7"/>
        <v>88</v>
      </c>
      <c r="R9" s="106">
        <f t="shared" si="0"/>
        <v>372</v>
      </c>
      <c r="S9" s="97">
        <f t="shared" si="8"/>
        <v>150.1</v>
      </c>
    </row>
    <row r="10" spans="1:19" ht="39.950000000000003" customHeight="1">
      <c r="A10" s="189">
        <f t="shared" si="9"/>
        <v>44685</v>
      </c>
      <c r="B10" s="16"/>
      <c r="C10" s="72">
        <v>54628</v>
      </c>
      <c r="D10" s="74">
        <f t="shared" si="1"/>
        <v>11</v>
      </c>
      <c r="E10" s="72">
        <v>85983</v>
      </c>
      <c r="F10" s="74">
        <f t="shared" si="1"/>
        <v>280</v>
      </c>
      <c r="G10" s="83">
        <f>(G17-G9)/8+G9</f>
        <v>9187.3851250000007</v>
      </c>
      <c r="H10" s="75">
        <f t="shared" si="2"/>
        <v>2.3851250000006985</v>
      </c>
      <c r="I10" s="83">
        <f>(I17-I9)/8+I9</f>
        <v>18325</v>
      </c>
      <c r="J10" s="178">
        <f t="shared" si="3"/>
        <v>29</v>
      </c>
      <c r="K10" s="72">
        <v>20481</v>
      </c>
      <c r="L10" s="74">
        <f t="shared" si="4"/>
        <v>139</v>
      </c>
      <c r="M10" s="75">
        <f t="shared" si="5"/>
        <v>76.45</v>
      </c>
      <c r="N10" s="75">
        <f t="shared" si="6"/>
        <v>62.550000000000004</v>
      </c>
      <c r="O10" s="72">
        <v>30588</v>
      </c>
      <c r="P10" s="74">
        <f t="shared" si="7"/>
        <v>71</v>
      </c>
      <c r="R10" s="106">
        <f t="shared" si="0"/>
        <v>293.3851250000007</v>
      </c>
      <c r="S10" s="97">
        <f t="shared" si="8"/>
        <v>133.55000000000001</v>
      </c>
    </row>
    <row r="11" spans="1:19" ht="39.950000000000003" customHeight="1">
      <c r="A11" s="189">
        <f t="shared" si="9"/>
        <v>44686</v>
      </c>
      <c r="B11" s="16"/>
      <c r="C11" s="72">
        <v>54824</v>
      </c>
      <c r="D11" s="74">
        <f t="shared" si="1"/>
        <v>196</v>
      </c>
      <c r="E11" s="72">
        <v>86270</v>
      </c>
      <c r="F11" s="74">
        <f t="shared" si="1"/>
        <v>287</v>
      </c>
      <c r="G11" s="83">
        <f t="shared" ref="G11:I16" si="10">(G18-G10)/8+G10</f>
        <v>9189.8333593750012</v>
      </c>
      <c r="H11" s="75">
        <f t="shared" si="2"/>
        <v>2.4482343750005384</v>
      </c>
      <c r="I11" s="83">
        <f t="shared" si="10"/>
        <v>18352.625</v>
      </c>
      <c r="J11" s="178">
        <f t="shared" si="3"/>
        <v>27.625</v>
      </c>
      <c r="K11" s="72">
        <v>20610</v>
      </c>
      <c r="L11" s="74">
        <f t="shared" si="4"/>
        <v>129</v>
      </c>
      <c r="M11" s="75">
        <f t="shared" si="5"/>
        <v>70.95</v>
      </c>
      <c r="N11" s="75">
        <f t="shared" si="6"/>
        <v>58.050000000000004</v>
      </c>
      <c r="O11" s="72">
        <v>30662</v>
      </c>
      <c r="P11" s="74">
        <f t="shared" si="7"/>
        <v>74</v>
      </c>
      <c r="R11" s="106">
        <f t="shared" si="0"/>
        <v>485.44823437500054</v>
      </c>
      <c r="S11" s="97">
        <f t="shared" si="8"/>
        <v>132.05000000000001</v>
      </c>
    </row>
    <row r="12" spans="1:19" ht="39.950000000000003" customHeight="1">
      <c r="A12" s="189">
        <f t="shared" si="9"/>
        <v>44687</v>
      </c>
      <c r="B12" s="16"/>
      <c r="C12" s="72">
        <v>54924</v>
      </c>
      <c r="D12" s="74">
        <f t="shared" si="1"/>
        <v>100</v>
      </c>
      <c r="E12" s="72">
        <v>86574</v>
      </c>
      <c r="F12" s="74">
        <f t="shared" si="1"/>
        <v>304</v>
      </c>
      <c r="G12" s="83">
        <f t="shared" si="10"/>
        <v>9192.0136894531261</v>
      </c>
      <c r="H12" s="75">
        <f t="shared" si="2"/>
        <v>2.1803300781248254</v>
      </c>
      <c r="I12" s="83">
        <f t="shared" si="10"/>
        <v>18377.421875</v>
      </c>
      <c r="J12" s="178">
        <f t="shared" si="3"/>
        <v>24.796875</v>
      </c>
      <c r="K12" s="72">
        <v>20742</v>
      </c>
      <c r="L12" s="74">
        <f t="shared" si="4"/>
        <v>132</v>
      </c>
      <c r="M12" s="75">
        <f t="shared" si="5"/>
        <v>72.600000000000009</v>
      </c>
      <c r="N12" s="75">
        <f t="shared" si="6"/>
        <v>59.4</v>
      </c>
      <c r="O12" s="72">
        <v>30731</v>
      </c>
      <c r="P12" s="74">
        <f t="shared" si="7"/>
        <v>69</v>
      </c>
      <c r="R12" s="106">
        <f t="shared" si="0"/>
        <v>406.18033007812483</v>
      </c>
      <c r="S12" s="97">
        <f t="shared" si="8"/>
        <v>128.4</v>
      </c>
    </row>
    <row r="13" spans="1:19" ht="39.950000000000003" customHeight="1">
      <c r="A13" s="189">
        <f t="shared" si="9"/>
        <v>44688</v>
      </c>
      <c r="B13" s="16"/>
      <c r="C13" s="72">
        <v>55098</v>
      </c>
      <c r="D13" s="74">
        <f t="shared" si="1"/>
        <v>174</v>
      </c>
      <c r="E13" s="72">
        <v>86887</v>
      </c>
      <c r="F13" s="74">
        <f t="shared" si="1"/>
        <v>313</v>
      </c>
      <c r="G13" s="83">
        <f t="shared" si="10"/>
        <v>9193.9574782714844</v>
      </c>
      <c r="H13" s="75">
        <f t="shared" si="2"/>
        <v>1.9437888183583709</v>
      </c>
      <c r="I13" s="83">
        <f t="shared" si="10"/>
        <v>18399.369140625</v>
      </c>
      <c r="J13" s="178">
        <f t="shared" si="3"/>
        <v>21.947265625</v>
      </c>
      <c r="K13" s="72">
        <v>20882</v>
      </c>
      <c r="L13" s="74">
        <f t="shared" si="4"/>
        <v>140</v>
      </c>
      <c r="M13" s="75">
        <f t="shared" si="5"/>
        <v>77</v>
      </c>
      <c r="N13" s="75">
        <f t="shared" si="6"/>
        <v>63</v>
      </c>
      <c r="O13" s="72">
        <v>30804</v>
      </c>
      <c r="P13" s="74">
        <f t="shared" si="7"/>
        <v>73</v>
      </c>
      <c r="R13" s="106">
        <f t="shared" si="0"/>
        <v>488.94378881835837</v>
      </c>
      <c r="S13" s="97">
        <f t="shared" si="8"/>
        <v>136</v>
      </c>
    </row>
    <row r="14" spans="1:19" ht="39.950000000000003" customHeight="1">
      <c r="A14" s="189">
        <f t="shared" si="9"/>
        <v>44689</v>
      </c>
      <c r="B14" s="16"/>
      <c r="C14" s="72">
        <v>55289</v>
      </c>
      <c r="D14" s="74">
        <f t="shared" si="1"/>
        <v>191</v>
      </c>
      <c r="E14" s="72">
        <v>87246</v>
      </c>
      <c r="F14" s="74">
        <f t="shared" si="1"/>
        <v>359</v>
      </c>
      <c r="G14" s="83">
        <f t="shared" si="10"/>
        <v>9195.9689309875484</v>
      </c>
      <c r="H14" s="75">
        <f t="shared" si="2"/>
        <v>2.0114527160640137</v>
      </c>
      <c r="I14" s="83">
        <f t="shared" si="10"/>
        <v>18418.572998046875</v>
      </c>
      <c r="J14" s="178">
        <f t="shared" si="3"/>
        <v>19.203857421875</v>
      </c>
      <c r="K14" s="72">
        <v>21041</v>
      </c>
      <c r="L14" s="74">
        <f t="shared" si="4"/>
        <v>159</v>
      </c>
      <c r="M14" s="75">
        <f t="shared" si="5"/>
        <v>87.45</v>
      </c>
      <c r="N14" s="75">
        <f t="shared" si="6"/>
        <v>71.55</v>
      </c>
      <c r="O14" s="72">
        <v>30878</v>
      </c>
      <c r="P14" s="74">
        <f t="shared" si="7"/>
        <v>74</v>
      </c>
      <c r="R14" s="106">
        <f t="shared" si="0"/>
        <v>552.01145271606401</v>
      </c>
      <c r="S14" s="97">
        <f t="shared" si="8"/>
        <v>145.55000000000001</v>
      </c>
    </row>
    <row r="15" spans="1:19" ht="39.950000000000003" customHeight="1">
      <c r="A15" s="189">
        <f t="shared" si="9"/>
        <v>44690</v>
      </c>
      <c r="B15" s="16"/>
      <c r="C15" s="72">
        <v>55452</v>
      </c>
      <c r="D15" s="74">
        <f t="shared" si="1"/>
        <v>163</v>
      </c>
      <c r="E15" s="72">
        <v>87532</v>
      </c>
      <c r="F15" s="74">
        <f t="shared" si="1"/>
        <v>286</v>
      </c>
      <c r="G15" s="83">
        <f t="shared" si="10"/>
        <v>9198.0018146141047</v>
      </c>
      <c r="H15" s="75">
        <f t="shared" si="2"/>
        <v>2.0328836265562131</v>
      </c>
      <c r="I15" s="83">
        <f t="shared" si="10"/>
        <v>18438.501373291016</v>
      </c>
      <c r="J15" s="178">
        <f t="shared" si="3"/>
        <v>19.928375244140625</v>
      </c>
      <c r="K15" s="72">
        <v>21181</v>
      </c>
      <c r="L15" s="74">
        <f t="shared" si="4"/>
        <v>140</v>
      </c>
      <c r="M15" s="75">
        <f t="shared" si="5"/>
        <v>77</v>
      </c>
      <c r="N15" s="75">
        <f t="shared" si="6"/>
        <v>63</v>
      </c>
      <c r="O15" s="72">
        <v>30936</v>
      </c>
      <c r="P15" s="74">
        <f t="shared" si="7"/>
        <v>58</v>
      </c>
      <c r="R15" s="106">
        <f t="shared" si="0"/>
        <v>451.03288362655621</v>
      </c>
      <c r="S15" s="97">
        <f t="shared" si="8"/>
        <v>121</v>
      </c>
    </row>
    <row r="16" spans="1:19" ht="39.950000000000003" customHeight="1">
      <c r="A16" s="189">
        <f t="shared" si="9"/>
        <v>44691</v>
      </c>
      <c r="B16" s="16"/>
      <c r="C16" s="83">
        <f>(C15+C17)/2</f>
        <v>55512.5</v>
      </c>
      <c r="D16" s="74">
        <f t="shared" si="1"/>
        <v>60.5</v>
      </c>
      <c r="E16" s="83">
        <f>(E15+E17)/2</f>
        <v>87687</v>
      </c>
      <c r="F16" s="74">
        <f t="shared" si="1"/>
        <v>155</v>
      </c>
      <c r="G16" s="83">
        <f t="shared" si="10"/>
        <v>9200.0015877873411</v>
      </c>
      <c r="H16" s="75">
        <f t="shared" si="2"/>
        <v>1.9997731732364628</v>
      </c>
      <c r="I16" s="72">
        <v>18501</v>
      </c>
      <c r="J16" s="178">
        <f t="shared" si="3"/>
        <v>62.498626708984375</v>
      </c>
      <c r="K16" s="72">
        <f>(K15+K17)/2</f>
        <v>21253.5</v>
      </c>
      <c r="L16" s="74">
        <f t="shared" si="4"/>
        <v>72.5</v>
      </c>
      <c r="M16" s="75">
        <f t="shared" si="5"/>
        <v>39.875</v>
      </c>
      <c r="N16" s="75">
        <f t="shared" si="6"/>
        <v>32.625</v>
      </c>
      <c r="O16" s="72">
        <f>(O15+O17)/2</f>
        <v>30981.5</v>
      </c>
      <c r="P16" s="74">
        <f t="shared" si="7"/>
        <v>45.5</v>
      </c>
      <c r="R16" s="106">
        <f t="shared" si="0"/>
        <v>217.49977317323646</v>
      </c>
      <c r="S16" s="97">
        <f t="shared" si="8"/>
        <v>78.125</v>
      </c>
    </row>
    <row r="17" spans="1:19" ht="39.950000000000003" customHeight="1">
      <c r="A17" s="189">
        <f t="shared" si="9"/>
        <v>44692</v>
      </c>
      <c r="B17" s="16"/>
      <c r="C17" s="72">
        <v>55573</v>
      </c>
      <c r="D17" s="74">
        <f t="shared" si="1"/>
        <v>60.5</v>
      </c>
      <c r="E17" s="72">
        <v>87842</v>
      </c>
      <c r="F17" s="74">
        <f t="shared" si="1"/>
        <v>155</v>
      </c>
      <c r="G17" s="83">
        <v>9204.0810000000001</v>
      </c>
      <c r="H17" s="75">
        <f t="shared" si="2"/>
        <v>4.0794122126590082</v>
      </c>
      <c r="I17" s="72">
        <v>18528</v>
      </c>
      <c r="J17" s="74">
        <f t="shared" si="3"/>
        <v>27</v>
      </c>
      <c r="K17" s="72">
        <v>21326</v>
      </c>
      <c r="L17" s="74">
        <f t="shared" si="4"/>
        <v>72.5</v>
      </c>
      <c r="M17" s="75">
        <f t="shared" si="5"/>
        <v>39.875</v>
      </c>
      <c r="N17" s="75">
        <f t="shared" si="6"/>
        <v>32.625</v>
      </c>
      <c r="O17" s="72">
        <v>31027</v>
      </c>
      <c r="P17" s="178">
        <f t="shared" si="7"/>
        <v>45.5</v>
      </c>
      <c r="R17" s="106">
        <f t="shared" si="0"/>
        <v>219.57941221265901</v>
      </c>
      <c r="S17" s="97">
        <f t="shared" si="8"/>
        <v>78.125</v>
      </c>
    </row>
    <row r="18" spans="1:19" ht="39.950000000000003" customHeight="1">
      <c r="A18" s="189">
        <f t="shared" si="9"/>
        <v>44693</v>
      </c>
      <c r="B18" s="16"/>
      <c r="C18" s="72">
        <v>55686</v>
      </c>
      <c r="D18" s="74">
        <f t="shared" si="1"/>
        <v>113</v>
      </c>
      <c r="E18" s="72">
        <v>88118</v>
      </c>
      <c r="F18" s="74">
        <f t="shared" si="1"/>
        <v>276</v>
      </c>
      <c r="G18" s="83">
        <v>9206.9709999999995</v>
      </c>
      <c r="H18" s="75">
        <f t="shared" si="2"/>
        <v>2.8899999999994179</v>
      </c>
      <c r="I18" s="72">
        <v>18546</v>
      </c>
      <c r="J18" s="74">
        <f t="shared" si="3"/>
        <v>18</v>
      </c>
      <c r="K18" s="72">
        <v>21473</v>
      </c>
      <c r="L18" s="74">
        <f t="shared" si="4"/>
        <v>147</v>
      </c>
      <c r="M18" s="75">
        <f t="shared" si="5"/>
        <v>80.850000000000009</v>
      </c>
      <c r="N18" s="75">
        <f t="shared" si="6"/>
        <v>66.150000000000006</v>
      </c>
      <c r="O18" s="72">
        <v>31097</v>
      </c>
      <c r="P18" s="178">
        <f t="shared" si="7"/>
        <v>70</v>
      </c>
      <c r="R18" s="106">
        <f t="shared" si="0"/>
        <v>391.88999999999942</v>
      </c>
      <c r="S18" s="97">
        <f t="shared" si="8"/>
        <v>136.15</v>
      </c>
    </row>
    <row r="19" spans="1:19" s="78" customFormat="1" ht="39.950000000000003" customHeight="1">
      <c r="A19" s="189">
        <f t="shared" si="9"/>
        <v>44694</v>
      </c>
      <c r="B19" s="81"/>
      <c r="C19" s="72">
        <v>55816</v>
      </c>
      <c r="D19" s="74">
        <f t="shared" si="1"/>
        <v>130</v>
      </c>
      <c r="E19" s="72">
        <v>88398</v>
      </c>
      <c r="F19" s="74">
        <f t="shared" si="1"/>
        <v>280</v>
      </c>
      <c r="G19" s="83">
        <v>9207.2759999999998</v>
      </c>
      <c r="H19" s="75">
        <f t="shared" si="2"/>
        <v>0.30500000000029104</v>
      </c>
      <c r="I19" s="72">
        <v>18551</v>
      </c>
      <c r="J19" s="74">
        <f t="shared" si="3"/>
        <v>5</v>
      </c>
      <c r="K19" s="72">
        <v>21606</v>
      </c>
      <c r="L19" s="74">
        <f t="shared" si="4"/>
        <v>133</v>
      </c>
      <c r="M19" s="75">
        <f t="shared" si="5"/>
        <v>73.150000000000006</v>
      </c>
      <c r="N19" s="75">
        <f t="shared" si="6"/>
        <v>59.85</v>
      </c>
      <c r="O19" s="72">
        <v>31166</v>
      </c>
      <c r="P19" s="178">
        <f t="shared" si="7"/>
        <v>69</v>
      </c>
      <c r="R19" s="165">
        <f t="shared" si="0"/>
        <v>410.30500000000029</v>
      </c>
      <c r="S19" s="105">
        <f t="shared" si="8"/>
        <v>128.85</v>
      </c>
    </row>
    <row r="20" spans="1:19" s="78" customFormat="1" ht="39.950000000000003" customHeight="1">
      <c r="A20" s="189">
        <f t="shared" si="9"/>
        <v>44695</v>
      </c>
      <c r="B20" s="81"/>
      <c r="C20" s="72">
        <v>55939</v>
      </c>
      <c r="D20" s="74">
        <f t="shared" si="1"/>
        <v>123</v>
      </c>
      <c r="E20" s="72">
        <v>88715</v>
      </c>
      <c r="F20" s="74">
        <f t="shared" si="1"/>
        <v>317</v>
      </c>
      <c r="G20" s="83">
        <v>9207.5640000000003</v>
      </c>
      <c r="H20" s="75">
        <f t="shared" si="2"/>
        <v>0.28800000000046566</v>
      </c>
      <c r="I20" s="72">
        <v>18553</v>
      </c>
      <c r="J20" s="74">
        <f t="shared" si="3"/>
        <v>2</v>
      </c>
      <c r="K20" s="72">
        <v>21742</v>
      </c>
      <c r="L20" s="74">
        <f t="shared" si="4"/>
        <v>136</v>
      </c>
      <c r="M20" s="75">
        <f t="shared" si="5"/>
        <v>74.800000000000011</v>
      </c>
      <c r="N20" s="75">
        <f t="shared" si="6"/>
        <v>61.2</v>
      </c>
      <c r="O20" s="72">
        <v>31244</v>
      </c>
      <c r="P20" s="178">
        <f t="shared" si="7"/>
        <v>78</v>
      </c>
      <c r="R20" s="165">
        <f t="shared" si="0"/>
        <v>440.28800000000047</v>
      </c>
      <c r="S20" s="105">
        <f t="shared" si="8"/>
        <v>139.19999999999999</v>
      </c>
    </row>
    <row r="21" spans="1:19" s="78" customFormat="1" ht="39.950000000000003" customHeight="1">
      <c r="A21" s="189">
        <f t="shared" si="9"/>
        <v>44696</v>
      </c>
      <c r="B21" s="81"/>
      <c r="C21" s="73">
        <v>56129</v>
      </c>
      <c r="D21" s="74">
        <f t="shared" si="1"/>
        <v>190</v>
      </c>
      <c r="E21" s="73">
        <v>89048</v>
      </c>
      <c r="F21" s="178">
        <f>(E21-E20)</f>
        <v>333</v>
      </c>
      <c r="G21" s="82">
        <v>9210.0491000000002</v>
      </c>
      <c r="H21" s="75">
        <f t="shared" si="2"/>
        <v>2.4850999999998749</v>
      </c>
      <c r="I21" s="72">
        <v>18553</v>
      </c>
      <c r="J21" s="74">
        <f t="shared" si="3"/>
        <v>0</v>
      </c>
      <c r="K21" s="73">
        <v>21882</v>
      </c>
      <c r="L21" s="74">
        <f t="shared" si="4"/>
        <v>140</v>
      </c>
      <c r="M21" s="75">
        <f t="shared" si="5"/>
        <v>77</v>
      </c>
      <c r="N21" s="75">
        <f t="shared" si="6"/>
        <v>63</v>
      </c>
      <c r="O21" s="73">
        <v>31321</v>
      </c>
      <c r="P21" s="74">
        <f t="shared" si="7"/>
        <v>77</v>
      </c>
      <c r="R21" s="165">
        <f t="shared" si="0"/>
        <v>525.48509999999987</v>
      </c>
      <c r="S21" s="105">
        <f t="shared" si="8"/>
        <v>140</v>
      </c>
    </row>
    <row r="22" spans="1:19" s="78" customFormat="1" ht="39.950000000000003" customHeight="1">
      <c r="A22" s="189">
        <f t="shared" si="9"/>
        <v>44697</v>
      </c>
      <c r="B22" s="81"/>
      <c r="C22" s="73">
        <v>56293</v>
      </c>
      <c r="D22" s="74">
        <f t="shared" si="1"/>
        <v>164</v>
      </c>
      <c r="E22" s="73">
        <v>89344</v>
      </c>
      <c r="F22" s="74">
        <f>(E22-E21)</f>
        <v>296</v>
      </c>
      <c r="G22" s="82">
        <v>9212.232</v>
      </c>
      <c r="H22" s="75">
        <f t="shared" si="2"/>
        <v>2.1828999999997905</v>
      </c>
      <c r="I22" s="83">
        <f>(I21+I23)/2</f>
        <v>18578</v>
      </c>
      <c r="J22" s="74">
        <f t="shared" si="3"/>
        <v>25</v>
      </c>
      <c r="K22" s="73">
        <v>22020</v>
      </c>
      <c r="L22" s="74">
        <f t="shared" si="4"/>
        <v>138</v>
      </c>
      <c r="M22" s="75">
        <f t="shared" si="5"/>
        <v>75.900000000000006</v>
      </c>
      <c r="N22" s="75">
        <f t="shared" si="6"/>
        <v>62.1</v>
      </c>
      <c r="O22" s="73">
        <v>31396</v>
      </c>
      <c r="P22" s="74">
        <f t="shared" si="7"/>
        <v>75</v>
      </c>
      <c r="R22" s="165">
        <f t="shared" si="0"/>
        <v>462.18289999999979</v>
      </c>
      <c r="S22" s="105">
        <f t="shared" si="8"/>
        <v>137.1</v>
      </c>
    </row>
    <row r="23" spans="1:19" s="78" customFormat="1" ht="39.950000000000003" customHeight="1">
      <c r="A23" s="189">
        <f t="shared" si="9"/>
        <v>44698</v>
      </c>
      <c r="B23" s="81"/>
      <c r="C23" s="73">
        <v>56434</v>
      </c>
      <c r="D23" s="74">
        <f t="shared" si="1"/>
        <v>141</v>
      </c>
      <c r="E23" s="73">
        <v>89615</v>
      </c>
      <c r="F23" s="74">
        <f>(E23-E22)</f>
        <v>271</v>
      </c>
      <c r="G23" s="82">
        <v>9214</v>
      </c>
      <c r="H23" s="75">
        <f t="shared" si="2"/>
        <v>1.7680000000000291</v>
      </c>
      <c r="I23" s="72">
        <v>18603</v>
      </c>
      <c r="J23" s="74">
        <f t="shared" si="3"/>
        <v>25</v>
      </c>
      <c r="K23" s="73">
        <v>22165</v>
      </c>
      <c r="L23" s="74">
        <f t="shared" si="4"/>
        <v>145</v>
      </c>
      <c r="M23" s="75">
        <f t="shared" si="5"/>
        <v>79.75</v>
      </c>
      <c r="N23" s="75">
        <f t="shared" si="6"/>
        <v>65.25</v>
      </c>
      <c r="O23" s="73">
        <v>31471</v>
      </c>
      <c r="P23" s="74">
        <f t="shared" si="7"/>
        <v>75</v>
      </c>
      <c r="R23" s="165">
        <f t="shared" si="0"/>
        <v>413.76800000000003</v>
      </c>
      <c r="S23" s="105">
        <f t="shared" si="8"/>
        <v>140.25</v>
      </c>
    </row>
    <row r="24" spans="1:19" s="78" customFormat="1" ht="39.950000000000003" customHeight="1">
      <c r="A24" s="189">
        <f t="shared" si="9"/>
        <v>44699</v>
      </c>
      <c r="B24" s="81"/>
      <c r="C24" s="73">
        <v>56577</v>
      </c>
      <c r="D24" s="74">
        <f t="shared" si="1"/>
        <v>143</v>
      </c>
      <c r="E24" s="73">
        <v>89920</v>
      </c>
      <c r="F24" s="74">
        <f t="shared" si="1"/>
        <v>305</v>
      </c>
      <c r="G24" s="82">
        <v>9218</v>
      </c>
      <c r="H24" s="75">
        <f t="shared" si="2"/>
        <v>4</v>
      </c>
      <c r="I24" s="72">
        <v>18679</v>
      </c>
      <c r="J24" s="74">
        <f t="shared" si="3"/>
        <v>76</v>
      </c>
      <c r="K24" s="73">
        <v>22298</v>
      </c>
      <c r="L24" s="74">
        <f t="shared" si="4"/>
        <v>133</v>
      </c>
      <c r="M24" s="75">
        <f t="shared" si="5"/>
        <v>73.150000000000006</v>
      </c>
      <c r="N24" s="75">
        <f t="shared" si="6"/>
        <v>59.85</v>
      </c>
      <c r="O24" s="73">
        <v>31559</v>
      </c>
      <c r="P24" s="74">
        <f t="shared" si="7"/>
        <v>88</v>
      </c>
      <c r="R24" s="165">
        <f t="shared" si="0"/>
        <v>452</v>
      </c>
      <c r="S24" s="105">
        <f t="shared" si="8"/>
        <v>147.85</v>
      </c>
    </row>
    <row r="25" spans="1:19" s="78" customFormat="1" ht="39.950000000000003" customHeight="1">
      <c r="A25" s="189">
        <f t="shared" si="9"/>
        <v>44700</v>
      </c>
      <c r="B25" s="81"/>
      <c r="C25" s="73">
        <v>56745</v>
      </c>
      <c r="D25" s="74">
        <f t="shared" si="1"/>
        <v>168</v>
      </c>
      <c r="E25" s="73">
        <v>90174</v>
      </c>
      <c r="F25" s="74">
        <f t="shared" si="1"/>
        <v>254</v>
      </c>
      <c r="G25" s="82">
        <v>9222</v>
      </c>
      <c r="H25" s="75">
        <f t="shared" si="2"/>
        <v>4</v>
      </c>
      <c r="I25" s="72">
        <v>18727</v>
      </c>
      <c r="J25" s="74">
        <f t="shared" si="3"/>
        <v>48</v>
      </c>
      <c r="K25" s="73">
        <v>22434</v>
      </c>
      <c r="L25" s="74">
        <f t="shared" si="4"/>
        <v>136</v>
      </c>
      <c r="M25" s="75">
        <f t="shared" si="5"/>
        <v>74.800000000000011</v>
      </c>
      <c r="N25" s="75">
        <f t="shared" si="6"/>
        <v>61.2</v>
      </c>
      <c r="O25" s="73">
        <v>31657</v>
      </c>
      <c r="P25" s="74">
        <f t="shared" si="7"/>
        <v>98</v>
      </c>
      <c r="R25" s="165">
        <f t="shared" si="0"/>
        <v>426</v>
      </c>
      <c r="S25" s="105">
        <f t="shared" si="8"/>
        <v>159.19999999999999</v>
      </c>
    </row>
    <row r="26" spans="1:19" ht="39.950000000000003" customHeight="1">
      <c r="A26" s="189">
        <f t="shared" si="9"/>
        <v>44701</v>
      </c>
      <c r="B26" s="81"/>
      <c r="C26" s="73">
        <v>56935</v>
      </c>
      <c r="D26" s="74">
        <f t="shared" si="1"/>
        <v>190</v>
      </c>
      <c r="E26" s="73">
        <v>90476</v>
      </c>
      <c r="F26" s="74">
        <f t="shared" si="1"/>
        <v>302</v>
      </c>
      <c r="G26" s="82">
        <v>9231</v>
      </c>
      <c r="H26" s="75">
        <f t="shared" si="2"/>
        <v>9</v>
      </c>
      <c r="I26" s="72">
        <v>18756</v>
      </c>
      <c r="J26" s="74">
        <f t="shared" si="3"/>
        <v>29</v>
      </c>
      <c r="K26" s="73">
        <v>22563</v>
      </c>
      <c r="L26" s="74">
        <f t="shared" si="4"/>
        <v>129</v>
      </c>
      <c r="M26" s="75">
        <f t="shared" si="5"/>
        <v>70.95</v>
      </c>
      <c r="N26" s="75">
        <f t="shared" si="6"/>
        <v>58.050000000000004</v>
      </c>
      <c r="O26" s="73">
        <v>31731</v>
      </c>
      <c r="P26" s="74">
        <f t="shared" si="7"/>
        <v>74</v>
      </c>
      <c r="R26" s="106">
        <f t="shared" si="0"/>
        <v>501</v>
      </c>
      <c r="S26" s="97">
        <f t="shared" si="8"/>
        <v>132.05000000000001</v>
      </c>
    </row>
    <row r="27" spans="1:19" ht="39.950000000000003" customHeight="1">
      <c r="A27" s="189">
        <f t="shared" si="9"/>
        <v>44702</v>
      </c>
      <c r="B27" s="81"/>
      <c r="C27" s="73">
        <v>57161</v>
      </c>
      <c r="D27" s="74">
        <f t="shared" si="1"/>
        <v>226</v>
      </c>
      <c r="E27" s="73">
        <v>90803</v>
      </c>
      <c r="F27" s="74">
        <f t="shared" si="1"/>
        <v>327</v>
      </c>
      <c r="G27" s="82">
        <v>9258</v>
      </c>
      <c r="H27" s="75">
        <f t="shared" si="2"/>
        <v>27</v>
      </c>
      <c r="I27" s="72">
        <v>18773</v>
      </c>
      <c r="J27" s="74">
        <f t="shared" si="3"/>
        <v>17</v>
      </c>
      <c r="K27" s="73">
        <v>22710</v>
      </c>
      <c r="L27" s="74">
        <f t="shared" si="4"/>
        <v>147</v>
      </c>
      <c r="M27" s="75">
        <f t="shared" si="5"/>
        <v>80.850000000000009</v>
      </c>
      <c r="N27" s="75">
        <f t="shared" si="6"/>
        <v>66.150000000000006</v>
      </c>
      <c r="O27" s="73">
        <v>31817</v>
      </c>
      <c r="P27" s="74">
        <f t="shared" si="7"/>
        <v>86</v>
      </c>
      <c r="R27" s="106">
        <f t="shared" si="0"/>
        <v>580</v>
      </c>
      <c r="S27" s="97">
        <f t="shared" si="8"/>
        <v>152.15</v>
      </c>
    </row>
    <row r="28" spans="1:19" ht="39.950000000000003" customHeight="1">
      <c r="A28" s="189">
        <f t="shared" si="9"/>
        <v>44703</v>
      </c>
      <c r="B28" s="81"/>
      <c r="C28" s="73">
        <v>57429</v>
      </c>
      <c r="D28" s="74">
        <f t="shared" si="1"/>
        <v>268</v>
      </c>
      <c r="E28" s="73">
        <v>91167</v>
      </c>
      <c r="F28" s="74">
        <f t="shared" si="1"/>
        <v>364</v>
      </c>
      <c r="G28" s="82">
        <v>9282</v>
      </c>
      <c r="H28" s="75">
        <f t="shared" si="2"/>
        <v>24</v>
      </c>
      <c r="I28" s="73">
        <v>18784</v>
      </c>
      <c r="J28" s="74">
        <f t="shared" si="3"/>
        <v>11</v>
      </c>
      <c r="K28" s="73">
        <v>22859</v>
      </c>
      <c r="L28" s="74">
        <f t="shared" si="4"/>
        <v>149</v>
      </c>
      <c r="M28" s="75">
        <f t="shared" si="5"/>
        <v>81.95</v>
      </c>
      <c r="N28" s="75">
        <f t="shared" si="6"/>
        <v>67.05</v>
      </c>
      <c r="O28" s="73">
        <v>31894</v>
      </c>
      <c r="P28" s="74">
        <f t="shared" si="7"/>
        <v>77</v>
      </c>
      <c r="R28" s="106">
        <f t="shared" si="0"/>
        <v>656</v>
      </c>
      <c r="S28" s="97">
        <f t="shared" si="8"/>
        <v>144.05000000000001</v>
      </c>
    </row>
    <row r="29" spans="1:19" ht="39.950000000000003" customHeight="1">
      <c r="A29" s="189">
        <f t="shared" si="9"/>
        <v>44704</v>
      </c>
      <c r="B29" s="81"/>
      <c r="C29" s="73">
        <v>57649</v>
      </c>
      <c r="D29" s="74">
        <f t="shared" si="1"/>
        <v>220</v>
      </c>
      <c r="E29" s="73">
        <v>91473</v>
      </c>
      <c r="F29" s="74">
        <f t="shared" si="1"/>
        <v>306</v>
      </c>
      <c r="G29" s="82">
        <v>9294</v>
      </c>
      <c r="H29" s="75">
        <f t="shared" si="2"/>
        <v>12</v>
      </c>
      <c r="I29" s="73">
        <v>18805</v>
      </c>
      <c r="J29" s="74">
        <f t="shared" si="3"/>
        <v>21</v>
      </c>
      <c r="K29" s="73">
        <v>22999</v>
      </c>
      <c r="L29" s="74">
        <f t="shared" si="4"/>
        <v>140</v>
      </c>
      <c r="M29" s="75">
        <f t="shared" si="5"/>
        <v>77</v>
      </c>
      <c r="N29" s="75">
        <f t="shared" si="6"/>
        <v>63</v>
      </c>
      <c r="O29" s="73">
        <v>31970</v>
      </c>
      <c r="P29" s="74">
        <f t="shared" si="7"/>
        <v>76</v>
      </c>
      <c r="R29" s="106">
        <f t="shared" si="0"/>
        <v>538</v>
      </c>
      <c r="S29" s="97">
        <f t="shared" si="8"/>
        <v>139</v>
      </c>
    </row>
    <row r="30" spans="1:19" ht="39.950000000000003" customHeight="1">
      <c r="A30" s="189">
        <f t="shared" si="9"/>
        <v>44705</v>
      </c>
      <c r="B30" s="81"/>
      <c r="C30" s="73">
        <v>57830</v>
      </c>
      <c r="D30" s="74">
        <f t="shared" si="1"/>
        <v>181</v>
      </c>
      <c r="E30" s="73">
        <v>91738</v>
      </c>
      <c r="F30" s="74">
        <f t="shared" si="1"/>
        <v>265</v>
      </c>
      <c r="G30" s="82">
        <v>9312</v>
      </c>
      <c r="H30" s="75">
        <f t="shared" si="2"/>
        <v>18</v>
      </c>
      <c r="I30" s="73">
        <v>18828</v>
      </c>
      <c r="J30" s="74">
        <f t="shared" si="3"/>
        <v>23</v>
      </c>
      <c r="K30" s="73">
        <v>23141</v>
      </c>
      <c r="L30" s="74">
        <f t="shared" si="4"/>
        <v>142</v>
      </c>
      <c r="M30" s="75">
        <f t="shared" si="5"/>
        <v>78.100000000000009</v>
      </c>
      <c r="N30" s="75">
        <f t="shared" si="6"/>
        <v>63.9</v>
      </c>
      <c r="O30" s="73">
        <v>32047</v>
      </c>
      <c r="P30" s="74">
        <f t="shared" si="7"/>
        <v>77</v>
      </c>
      <c r="R30" s="106">
        <f t="shared" si="0"/>
        <v>464</v>
      </c>
      <c r="S30" s="97">
        <f t="shared" si="8"/>
        <v>140.9</v>
      </c>
    </row>
    <row r="31" spans="1:19" ht="39.950000000000003" customHeight="1">
      <c r="A31" s="189">
        <f t="shared" si="9"/>
        <v>44706</v>
      </c>
      <c r="B31" s="81"/>
      <c r="C31" s="73">
        <v>57978</v>
      </c>
      <c r="D31" s="74">
        <f t="shared" si="1"/>
        <v>148</v>
      </c>
      <c r="E31" s="73">
        <v>92018</v>
      </c>
      <c r="F31" s="74">
        <f t="shared" si="1"/>
        <v>280</v>
      </c>
      <c r="G31" s="82">
        <v>9315</v>
      </c>
      <c r="H31" s="75">
        <f t="shared" si="2"/>
        <v>3</v>
      </c>
      <c r="I31" s="73">
        <v>18848</v>
      </c>
      <c r="J31" s="74">
        <f t="shared" si="3"/>
        <v>20</v>
      </c>
      <c r="K31" s="73">
        <v>23286</v>
      </c>
      <c r="L31" s="74">
        <f t="shared" si="4"/>
        <v>145</v>
      </c>
      <c r="M31" s="75">
        <f t="shared" si="5"/>
        <v>79.75</v>
      </c>
      <c r="N31" s="75">
        <f t="shared" si="6"/>
        <v>65.25</v>
      </c>
      <c r="O31" s="73">
        <v>32145</v>
      </c>
      <c r="P31" s="74">
        <f t="shared" si="7"/>
        <v>98</v>
      </c>
      <c r="R31" s="106">
        <f t="shared" si="0"/>
        <v>431</v>
      </c>
      <c r="S31" s="97">
        <f t="shared" si="8"/>
        <v>163.25</v>
      </c>
    </row>
    <row r="32" spans="1:19" ht="39.950000000000003" customHeight="1">
      <c r="A32" s="189">
        <f t="shared" si="9"/>
        <v>44707</v>
      </c>
      <c r="B32" s="81"/>
      <c r="C32" s="73">
        <v>58104</v>
      </c>
      <c r="D32" s="74">
        <f t="shared" si="1"/>
        <v>126</v>
      </c>
      <c r="E32" s="73">
        <v>92335</v>
      </c>
      <c r="F32" s="74">
        <f t="shared" si="1"/>
        <v>317</v>
      </c>
      <c r="G32" s="82">
        <v>9318</v>
      </c>
      <c r="H32" s="75">
        <f t="shared" si="2"/>
        <v>3</v>
      </c>
      <c r="I32" s="73">
        <v>18877</v>
      </c>
      <c r="J32" s="74">
        <f t="shared" si="3"/>
        <v>29</v>
      </c>
      <c r="K32" s="73">
        <v>23425</v>
      </c>
      <c r="L32" s="74">
        <f t="shared" si="4"/>
        <v>139</v>
      </c>
      <c r="M32" s="75">
        <f t="shared" si="5"/>
        <v>76.45</v>
      </c>
      <c r="N32" s="75">
        <f t="shared" si="6"/>
        <v>62.550000000000004</v>
      </c>
      <c r="O32" s="73">
        <v>32225</v>
      </c>
      <c r="P32" s="74">
        <f t="shared" si="7"/>
        <v>80</v>
      </c>
      <c r="R32" s="106">
        <f t="shared" si="0"/>
        <v>446</v>
      </c>
      <c r="S32" s="97">
        <f t="shared" si="8"/>
        <v>142.55000000000001</v>
      </c>
    </row>
    <row r="33" spans="1:19" ht="39.950000000000003" customHeight="1">
      <c r="A33" s="189">
        <f t="shared" si="9"/>
        <v>44708</v>
      </c>
      <c r="B33" s="81"/>
      <c r="C33" s="73">
        <v>58238</v>
      </c>
      <c r="D33" s="74">
        <f t="shared" si="1"/>
        <v>134</v>
      </c>
      <c r="E33" s="73">
        <v>92675</v>
      </c>
      <c r="F33" s="74">
        <f t="shared" si="1"/>
        <v>340</v>
      </c>
      <c r="G33" s="82">
        <v>9321</v>
      </c>
      <c r="H33" s="75">
        <f t="shared" si="2"/>
        <v>3</v>
      </c>
      <c r="I33" s="73">
        <v>18917</v>
      </c>
      <c r="J33" s="74">
        <f t="shared" si="3"/>
        <v>40</v>
      </c>
      <c r="K33" s="73">
        <v>23566</v>
      </c>
      <c r="L33" s="74">
        <f t="shared" si="4"/>
        <v>141</v>
      </c>
      <c r="M33" s="75">
        <f t="shared" si="5"/>
        <v>77.550000000000011</v>
      </c>
      <c r="N33" s="75">
        <f t="shared" si="6"/>
        <v>63.45</v>
      </c>
      <c r="O33" s="73">
        <v>32316</v>
      </c>
      <c r="P33" s="74">
        <f t="shared" si="7"/>
        <v>91</v>
      </c>
      <c r="R33" s="106">
        <f t="shared" si="0"/>
        <v>477</v>
      </c>
      <c r="S33" s="97">
        <f t="shared" si="8"/>
        <v>154.44999999999999</v>
      </c>
    </row>
    <row r="34" spans="1:19" ht="39.950000000000003" customHeight="1">
      <c r="A34" s="189">
        <f t="shared" si="9"/>
        <v>44709</v>
      </c>
      <c r="B34" s="81"/>
      <c r="C34" s="73">
        <v>58388</v>
      </c>
      <c r="D34" s="178">
        <f t="shared" si="1"/>
        <v>150</v>
      </c>
      <c r="E34" s="73">
        <v>93005</v>
      </c>
      <c r="F34" s="74">
        <f t="shared" si="1"/>
        <v>330</v>
      </c>
      <c r="G34" s="82">
        <v>9322</v>
      </c>
      <c r="H34" s="75">
        <f t="shared" si="2"/>
        <v>1</v>
      </c>
      <c r="I34" s="73">
        <v>18934</v>
      </c>
      <c r="J34" s="74">
        <f t="shared" si="3"/>
        <v>17</v>
      </c>
      <c r="K34" s="73">
        <v>23726</v>
      </c>
      <c r="L34" s="74">
        <f t="shared" si="4"/>
        <v>160</v>
      </c>
      <c r="M34" s="75">
        <f t="shared" si="5"/>
        <v>88</v>
      </c>
      <c r="N34" s="75">
        <f t="shared" si="6"/>
        <v>72</v>
      </c>
      <c r="O34" s="73">
        <v>32401</v>
      </c>
      <c r="P34" s="178">
        <f t="shared" si="7"/>
        <v>85</v>
      </c>
      <c r="R34" s="106">
        <f t="shared" si="0"/>
        <v>481</v>
      </c>
      <c r="S34" s="97">
        <f t="shared" si="8"/>
        <v>157</v>
      </c>
    </row>
    <row r="35" spans="1:19" ht="39.950000000000003" customHeight="1">
      <c r="A35" s="189">
        <f t="shared" si="9"/>
        <v>44710</v>
      </c>
      <c r="B35" s="81"/>
      <c r="C35" s="73">
        <v>58594</v>
      </c>
      <c r="D35" s="178">
        <f t="shared" si="1"/>
        <v>206</v>
      </c>
      <c r="E35" s="73">
        <v>93373</v>
      </c>
      <c r="F35" s="178">
        <f t="shared" si="1"/>
        <v>368</v>
      </c>
      <c r="G35" s="82">
        <v>9326</v>
      </c>
      <c r="H35" s="178">
        <f t="shared" si="1"/>
        <v>4</v>
      </c>
      <c r="I35" s="73">
        <v>18977</v>
      </c>
      <c r="J35" s="178">
        <f t="shared" si="1"/>
        <v>43</v>
      </c>
      <c r="K35" s="73">
        <v>23892</v>
      </c>
      <c r="L35" s="74">
        <f t="shared" ref="L35" si="11">(K35-K34)</f>
        <v>166</v>
      </c>
      <c r="M35" s="75">
        <f t="shared" ref="M35" si="12">L35*55%</f>
        <v>91.300000000000011</v>
      </c>
      <c r="N35" s="75">
        <f t="shared" ref="N35" si="13">L35*45%</f>
        <v>74.7</v>
      </c>
      <c r="O35" s="73">
        <v>32490</v>
      </c>
      <c r="P35" s="178">
        <f t="shared" si="7"/>
        <v>89</v>
      </c>
      <c r="R35" s="106">
        <f t="shared" ref="R35" si="14">SUM(D35,F35,M99,H35)</f>
        <v>578</v>
      </c>
      <c r="S35" s="97">
        <f t="shared" ref="S35" si="15">SUM(N35,P35)</f>
        <v>163.69999999999999</v>
      </c>
    </row>
    <row r="36" spans="1:19" ht="39.950000000000003" customHeight="1">
      <c r="A36" s="189">
        <f t="shared" si="9"/>
        <v>44711</v>
      </c>
      <c r="B36" s="81"/>
      <c r="C36" s="82">
        <v>58787</v>
      </c>
      <c r="D36" s="178">
        <f>(C36-C34)</f>
        <v>399</v>
      </c>
      <c r="E36" s="82">
        <v>93703</v>
      </c>
      <c r="F36" s="74">
        <f>(E36-E34)</f>
        <v>698</v>
      </c>
      <c r="G36" s="82">
        <v>9329</v>
      </c>
      <c r="H36" s="75">
        <f>(G36-G34)</f>
        <v>7</v>
      </c>
      <c r="I36" s="82">
        <v>19013</v>
      </c>
      <c r="J36" s="74">
        <f>(I36-I34)</f>
        <v>79</v>
      </c>
      <c r="K36" s="82">
        <v>24034</v>
      </c>
      <c r="L36" s="74">
        <f>(K36-K34)</f>
        <v>308</v>
      </c>
      <c r="M36" s="75">
        <f t="shared" si="5"/>
        <v>169.4</v>
      </c>
      <c r="N36" s="75">
        <f t="shared" si="6"/>
        <v>138.6</v>
      </c>
      <c r="O36" s="82">
        <v>32565</v>
      </c>
      <c r="P36" s="178">
        <f>(O36-O34)</f>
        <v>164</v>
      </c>
      <c r="R36" s="106">
        <f t="shared" ref="R36:R37" si="16">SUM(D36,F36,M99,H36)</f>
        <v>1104</v>
      </c>
      <c r="S36" s="97">
        <f t="shared" si="8"/>
        <v>302.60000000000002</v>
      </c>
    </row>
    <row r="37" spans="1:19" ht="39.950000000000003" customHeight="1">
      <c r="A37" s="189">
        <f t="shared" si="9"/>
        <v>44712</v>
      </c>
      <c r="B37" s="81"/>
      <c r="C37" s="73">
        <v>58958</v>
      </c>
      <c r="D37" s="74">
        <f t="shared" ref="D37" si="17">(C37-C36)</f>
        <v>171</v>
      </c>
      <c r="E37" s="73">
        <v>94007</v>
      </c>
      <c r="F37" s="74">
        <f t="shared" ref="F37" si="18">(E37-E36)</f>
        <v>304</v>
      </c>
      <c r="G37" s="82">
        <f>G36-G35+G36</f>
        <v>9332</v>
      </c>
      <c r="H37" s="75">
        <f t="shared" si="2"/>
        <v>3</v>
      </c>
      <c r="I37" s="82">
        <f>I36-I35+I36</f>
        <v>19049</v>
      </c>
      <c r="J37" s="74">
        <f t="shared" si="3"/>
        <v>36</v>
      </c>
      <c r="K37" s="73">
        <v>24182</v>
      </c>
      <c r="L37" s="74">
        <f t="shared" si="4"/>
        <v>148</v>
      </c>
      <c r="M37" s="75">
        <f t="shared" si="5"/>
        <v>81.400000000000006</v>
      </c>
      <c r="N37" s="75">
        <f t="shared" si="6"/>
        <v>66.600000000000009</v>
      </c>
      <c r="O37" s="73">
        <v>32665</v>
      </c>
      <c r="P37" s="74">
        <f t="shared" si="7"/>
        <v>100</v>
      </c>
      <c r="R37" s="106">
        <f t="shared" si="16"/>
        <v>478</v>
      </c>
      <c r="S37" s="97">
        <f t="shared" si="8"/>
        <v>166.60000000000002</v>
      </c>
    </row>
    <row r="38" spans="1:19" s="21" customFormat="1" ht="39.950000000000003" customHeight="1">
      <c r="A38" s="18"/>
      <c r="D38" s="22">
        <f>SUM(D7:D37)</f>
        <v>5140</v>
      </c>
      <c r="F38" s="22">
        <f>SUM(F7:F37)</f>
        <v>9680</v>
      </c>
      <c r="H38" s="22">
        <f>SUM(H7:H37)</f>
        <v>172</v>
      </c>
      <c r="J38" s="22">
        <f>SUM(J7:J37)</f>
        <v>874</v>
      </c>
      <c r="L38" s="22">
        <f>SUM(L7:L37)</f>
        <v>4564</v>
      </c>
      <c r="M38" s="22"/>
      <c r="N38" s="22"/>
      <c r="P38" s="22">
        <f>SUM(P7:P37)</f>
        <v>2546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Z8" activePane="bottomRight" state="frozen"/>
      <selection pane="topRight" activeCell="C1" sqref="C1"/>
      <selection pane="bottomLeft" activeCell="A8" sqref="A8"/>
      <selection pane="bottomRight" activeCell="AZ39" sqref="AZ39"/>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5"/>
      <c r="B1" s="195"/>
      <c r="C1" s="213" t="s">
        <v>66</v>
      </c>
      <c r="D1" s="213"/>
      <c r="E1" s="213"/>
      <c r="F1" s="213"/>
      <c r="G1" s="213" t="s">
        <v>65</v>
      </c>
      <c r="H1" s="213"/>
      <c r="I1" s="213" t="s">
        <v>65</v>
      </c>
      <c r="J1" s="213"/>
      <c r="K1" s="213" t="s">
        <v>65</v>
      </c>
      <c r="L1" s="213"/>
      <c r="M1" s="213" t="s">
        <v>65</v>
      </c>
      <c r="N1" s="213"/>
      <c r="O1" s="213" t="s">
        <v>65</v>
      </c>
      <c r="P1" s="213"/>
      <c r="Q1" s="226" t="s">
        <v>65</v>
      </c>
      <c r="R1" s="227"/>
      <c r="S1" s="226" t="s">
        <v>65</v>
      </c>
      <c r="T1" s="227"/>
      <c r="U1" s="226" t="s">
        <v>65</v>
      </c>
      <c r="V1" s="227"/>
      <c r="W1" s="226" t="s">
        <v>65</v>
      </c>
      <c r="X1" s="228"/>
      <c r="Y1" s="213" t="s">
        <v>65</v>
      </c>
      <c r="Z1" s="213"/>
      <c r="AA1" s="226" t="s">
        <v>65</v>
      </c>
      <c r="AB1" s="227"/>
      <c r="AC1" s="213" t="s">
        <v>65</v>
      </c>
      <c r="AD1" s="213"/>
      <c r="AE1" s="213" t="s">
        <v>65</v>
      </c>
      <c r="AF1" s="213"/>
      <c r="AG1" s="213" t="s">
        <v>65</v>
      </c>
      <c r="AH1" s="213"/>
      <c r="AI1" s="213" t="s">
        <v>65</v>
      </c>
      <c r="AJ1" s="213"/>
      <c r="AK1" s="213" t="s">
        <v>65</v>
      </c>
      <c r="AL1" s="213"/>
      <c r="AM1" s="213" t="s">
        <v>67</v>
      </c>
      <c r="AN1" s="213"/>
      <c r="AO1" s="213" t="s">
        <v>67</v>
      </c>
      <c r="AP1" s="213"/>
      <c r="AQ1" s="213" t="s">
        <v>67</v>
      </c>
      <c r="AR1" s="213"/>
      <c r="AS1" s="213" t="s">
        <v>67</v>
      </c>
      <c r="AT1" s="213"/>
      <c r="AU1" s="213" t="s">
        <v>67</v>
      </c>
      <c r="AV1" s="213"/>
      <c r="AW1" s="213" t="s">
        <v>67</v>
      </c>
      <c r="AX1" s="213"/>
      <c r="AY1" s="213" t="s">
        <v>67</v>
      </c>
      <c r="AZ1" s="213"/>
      <c r="BA1" s="213" t="s">
        <v>67</v>
      </c>
      <c r="BB1" s="213"/>
      <c r="BC1" s="213" t="s">
        <v>67</v>
      </c>
      <c r="BD1" s="213"/>
      <c r="BE1" s="213" t="s">
        <v>67</v>
      </c>
      <c r="BF1" s="213"/>
      <c r="BH1" s="32"/>
      <c r="BI1" s="32"/>
    </row>
    <row r="2" spans="1:61" s="24" customFormat="1" ht="75.75" customHeight="1">
      <c r="A2" s="48"/>
      <c r="B2" s="48"/>
      <c r="C2" s="248" t="s">
        <v>116</v>
      </c>
      <c r="D2" s="248"/>
      <c r="E2" s="248"/>
      <c r="F2" s="248"/>
      <c r="G2" s="248" t="s">
        <v>117</v>
      </c>
      <c r="H2" s="248"/>
      <c r="I2" s="248" t="s">
        <v>118</v>
      </c>
      <c r="J2" s="248"/>
      <c r="K2" s="248" t="s">
        <v>119</v>
      </c>
      <c r="L2" s="248"/>
      <c r="M2" s="248" t="s">
        <v>120</v>
      </c>
      <c r="N2" s="248"/>
      <c r="O2" s="253" t="s">
        <v>121</v>
      </c>
      <c r="P2" s="255"/>
      <c r="Q2" s="253" t="s">
        <v>122</v>
      </c>
      <c r="R2" s="255"/>
      <c r="S2" s="253" t="s">
        <v>123</v>
      </c>
      <c r="T2" s="255"/>
      <c r="U2" s="253" t="s">
        <v>124</v>
      </c>
      <c r="V2" s="255"/>
      <c r="W2" s="253" t="s">
        <v>125</v>
      </c>
      <c r="X2" s="254"/>
      <c r="Y2" s="248" t="s">
        <v>126</v>
      </c>
      <c r="Z2" s="248"/>
      <c r="AA2" s="253" t="s">
        <v>127</v>
      </c>
      <c r="AB2" s="255"/>
      <c r="AC2" s="248" t="s">
        <v>128</v>
      </c>
      <c r="AD2" s="248"/>
      <c r="AE2" s="248" t="s">
        <v>129</v>
      </c>
      <c r="AF2" s="248"/>
      <c r="AG2" s="248" t="s">
        <v>129</v>
      </c>
      <c r="AH2" s="248"/>
      <c r="AI2" s="248" t="s">
        <v>129</v>
      </c>
      <c r="AJ2" s="248"/>
      <c r="AK2" s="248" t="s">
        <v>129</v>
      </c>
      <c r="AL2" s="248"/>
      <c r="AM2" s="248" t="s">
        <v>130</v>
      </c>
      <c r="AN2" s="248"/>
      <c r="AO2" s="248" t="s">
        <v>131</v>
      </c>
      <c r="AP2" s="248"/>
      <c r="AQ2" s="248" t="s">
        <v>132</v>
      </c>
      <c r="AR2" s="248"/>
      <c r="AS2" s="248" t="s">
        <v>132</v>
      </c>
      <c r="AT2" s="248"/>
      <c r="AU2" s="248" t="s">
        <v>133</v>
      </c>
      <c r="AV2" s="248"/>
      <c r="AW2" s="248" t="s">
        <v>134</v>
      </c>
      <c r="AX2" s="248"/>
      <c r="AY2" s="248" t="s">
        <v>135</v>
      </c>
      <c r="AZ2" s="248"/>
      <c r="BA2" s="248" t="s">
        <v>135</v>
      </c>
      <c r="BB2" s="248"/>
      <c r="BC2" s="248" t="s">
        <v>136</v>
      </c>
      <c r="BD2" s="248"/>
      <c r="BE2" s="248" t="s">
        <v>136</v>
      </c>
      <c r="BF2" s="248"/>
      <c r="BH2" s="32"/>
      <c r="BI2" s="32"/>
    </row>
    <row r="3" spans="1:61" s="10" customFormat="1" ht="87.75" customHeight="1">
      <c r="A3" s="194"/>
      <c r="B3" s="194"/>
      <c r="C3" s="241" t="s">
        <v>137</v>
      </c>
      <c r="D3" s="242"/>
      <c r="E3" s="194" t="s">
        <v>65</v>
      </c>
      <c r="F3" s="195" t="s">
        <v>67</v>
      </c>
      <c r="G3" s="245" t="s">
        <v>138</v>
      </c>
      <c r="H3" s="246"/>
      <c r="I3" s="245" t="s">
        <v>138</v>
      </c>
      <c r="J3" s="246"/>
      <c r="K3" s="245" t="s">
        <v>138</v>
      </c>
      <c r="L3" s="246"/>
      <c r="M3" s="243" t="s">
        <v>139</v>
      </c>
      <c r="N3" s="244"/>
      <c r="O3" s="245" t="s">
        <v>138</v>
      </c>
      <c r="P3" s="246"/>
      <c r="Q3" s="245" t="s">
        <v>138</v>
      </c>
      <c r="R3" s="246"/>
      <c r="S3" s="251" t="s">
        <v>138</v>
      </c>
      <c r="T3" s="252"/>
      <c r="U3" s="245" t="s">
        <v>138</v>
      </c>
      <c r="V3" s="246"/>
      <c r="W3" s="245" t="s">
        <v>138</v>
      </c>
      <c r="X3" s="246"/>
      <c r="Y3" s="247" t="s">
        <v>140</v>
      </c>
      <c r="Z3" s="246"/>
      <c r="AA3" s="245" t="s">
        <v>141</v>
      </c>
      <c r="AB3" s="246"/>
      <c r="AC3" s="245" t="s">
        <v>142</v>
      </c>
      <c r="AD3" s="246"/>
      <c r="AE3" s="245" t="s">
        <v>142</v>
      </c>
      <c r="AF3" s="246"/>
      <c r="AG3" s="247" t="s">
        <v>143</v>
      </c>
      <c r="AH3" s="246"/>
      <c r="AI3" s="245" t="s">
        <v>144</v>
      </c>
      <c r="AJ3" s="246"/>
      <c r="AK3" s="247" t="s">
        <v>145</v>
      </c>
      <c r="AL3" s="246"/>
      <c r="AM3" s="245" t="s">
        <v>146</v>
      </c>
      <c r="AN3" s="246"/>
      <c r="AO3" s="245" t="s">
        <v>146</v>
      </c>
      <c r="AP3" s="246"/>
      <c r="AQ3" s="247" t="s">
        <v>147</v>
      </c>
      <c r="AR3" s="246"/>
      <c r="AS3" s="245" t="s">
        <v>148</v>
      </c>
      <c r="AT3" s="246"/>
      <c r="AU3" s="247" t="s">
        <v>149</v>
      </c>
      <c r="AV3" s="246"/>
      <c r="AW3" s="247" t="s">
        <v>149</v>
      </c>
      <c r="AX3" s="246"/>
      <c r="AY3" s="245" t="s">
        <v>144</v>
      </c>
      <c r="AZ3" s="246"/>
      <c r="BA3" s="247" t="s">
        <v>145</v>
      </c>
      <c r="BB3" s="246"/>
      <c r="BC3" s="245" t="s">
        <v>144</v>
      </c>
      <c r="BD3" s="246"/>
      <c r="BE3" s="247" t="s">
        <v>145</v>
      </c>
      <c r="BF3" s="246"/>
      <c r="BH3" s="32"/>
      <c r="BI3" s="32"/>
    </row>
    <row r="4" spans="1:61" s="24" customFormat="1" ht="50.1" customHeight="1">
      <c r="A4" s="194"/>
      <c r="B4" s="48"/>
      <c r="C4" s="214" t="s">
        <v>150</v>
      </c>
      <c r="D4" s="216"/>
      <c r="E4" s="249" t="s">
        <v>151</v>
      </c>
      <c r="F4" s="250"/>
      <c r="G4" s="214" t="s">
        <v>152</v>
      </c>
      <c r="H4" s="216"/>
      <c r="I4" s="214" t="s">
        <v>153</v>
      </c>
      <c r="J4" s="216"/>
      <c r="K4" s="214" t="s">
        <v>154</v>
      </c>
      <c r="L4" s="216"/>
      <c r="M4" s="214">
        <v>7092801222</v>
      </c>
      <c r="N4" s="216"/>
      <c r="O4" s="214" t="s">
        <v>155</v>
      </c>
      <c r="P4" s="215"/>
      <c r="Q4" s="214" t="s">
        <v>156</v>
      </c>
      <c r="R4" s="215"/>
      <c r="S4" s="214" t="s">
        <v>157</v>
      </c>
      <c r="T4" s="215"/>
      <c r="U4" s="214" t="s">
        <v>158</v>
      </c>
      <c r="V4" s="215"/>
      <c r="W4" s="214" t="s">
        <v>159</v>
      </c>
      <c r="X4" s="216"/>
      <c r="Y4" s="214" t="s">
        <v>160</v>
      </c>
      <c r="Z4" s="216"/>
      <c r="AA4" s="214" t="s">
        <v>161</v>
      </c>
      <c r="AB4" s="215"/>
      <c r="AC4" s="214" t="s">
        <v>162</v>
      </c>
      <c r="AD4" s="216"/>
      <c r="AE4" s="214" t="s">
        <v>163</v>
      </c>
      <c r="AF4" s="216"/>
      <c r="AG4" s="214" t="s">
        <v>164</v>
      </c>
      <c r="AH4" s="216"/>
      <c r="AI4" s="214">
        <v>7105826734</v>
      </c>
      <c r="AJ4" s="216"/>
      <c r="AK4" s="214">
        <v>7105825932</v>
      </c>
      <c r="AL4" s="216"/>
      <c r="AM4" s="214" t="s">
        <v>165</v>
      </c>
      <c r="AN4" s="216"/>
      <c r="AO4" s="214" t="s">
        <v>166</v>
      </c>
      <c r="AP4" s="216"/>
      <c r="AQ4" s="214" t="s">
        <v>167</v>
      </c>
      <c r="AR4" s="216"/>
      <c r="AS4" s="214" t="s">
        <v>168</v>
      </c>
      <c r="AT4" s="216"/>
      <c r="AU4" s="214" t="s">
        <v>169</v>
      </c>
      <c r="AV4" s="216"/>
      <c r="AW4" s="214" t="s">
        <v>170</v>
      </c>
      <c r="AX4" s="216"/>
      <c r="AY4" s="214">
        <v>7111912486</v>
      </c>
      <c r="AZ4" s="216"/>
      <c r="BA4" s="214">
        <v>7111911842</v>
      </c>
      <c r="BB4" s="216"/>
      <c r="BC4" s="214">
        <v>7111913281</v>
      </c>
      <c r="BD4" s="216"/>
      <c r="BE4" s="214">
        <v>7111912723</v>
      </c>
      <c r="BF4" s="216"/>
      <c r="BH4" s="211" t="s">
        <v>81</v>
      </c>
      <c r="BI4" s="211"/>
    </row>
    <row r="5" spans="1:61" s="24" customFormat="1" ht="50.1" customHeight="1">
      <c r="A5" s="48" t="s">
        <v>171</v>
      </c>
      <c r="B5" s="48"/>
      <c r="C5" s="214" t="s">
        <v>172</v>
      </c>
      <c r="D5" s="216"/>
      <c r="E5" s="79">
        <v>0.6</v>
      </c>
      <c r="F5" s="30">
        <v>0.4</v>
      </c>
      <c r="G5" s="214" t="s">
        <v>173</v>
      </c>
      <c r="H5" s="216"/>
      <c r="I5" s="214" t="s">
        <v>174</v>
      </c>
      <c r="J5" s="216"/>
      <c r="K5" s="214" t="s">
        <v>175</v>
      </c>
      <c r="L5" s="216"/>
      <c r="M5" s="214" t="s">
        <v>176</v>
      </c>
      <c r="N5" s="216"/>
      <c r="O5" s="214" t="s">
        <v>177</v>
      </c>
      <c r="P5" s="215"/>
      <c r="Q5" s="214" t="s">
        <v>178</v>
      </c>
      <c r="R5" s="215"/>
      <c r="S5" s="214" t="s">
        <v>179</v>
      </c>
      <c r="T5" s="215"/>
      <c r="U5" s="214" t="s">
        <v>180</v>
      </c>
      <c r="V5" s="215"/>
      <c r="W5" s="214" t="s">
        <v>181</v>
      </c>
      <c r="X5" s="216"/>
      <c r="Y5" s="214" t="s">
        <v>182</v>
      </c>
      <c r="Z5" s="216"/>
      <c r="AA5" s="214" t="s">
        <v>183</v>
      </c>
      <c r="AB5" s="215"/>
      <c r="AC5" s="214" t="s">
        <v>184</v>
      </c>
      <c r="AD5" s="216"/>
      <c r="AE5" s="214" t="s">
        <v>185</v>
      </c>
      <c r="AF5" s="216"/>
      <c r="AG5" s="214" t="s">
        <v>186</v>
      </c>
      <c r="AH5" s="216"/>
      <c r="AI5" s="214" t="s">
        <v>187</v>
      </c>
      <c r="AJ5" s="216"/>
      <c r="AK5" s="214" t="s">
        <v>188</v>
      </c>
      <c r="AL5" s="216"/>
      <c r="AM5" s="214" t="s">
        <v>189</v>
      </c>
      <c r="AN5" s="216"/>
      <c r="AO5" s="214" t="s">
        <v>190</v>
      </c>
      <c r="AP5" s="216"/>
      <c r="AQ5" s="214" t="s">
        <v>191</v>
      </c>
      <c r="AR5" s="216"/>
      <c r="AS5" s="214" t="s">
        <v>192</v>
      </c>
      <c r="AT5" s="216"/>
      <c r="AU5" s="214" t="s">
        <v>193</v>
      </c>
      <c r="AV5" s="216"/>
      <c r="AW5" s="214" t="s">
        <v>194</v>
      </c>
      <c r="AX5" s="216"/>
      <c r="AY5" s="214">
        <v>744483</v>
      </c>
      <c r="AZ5" s="216"/>
      <c r="BA5" s="214">
        <v>119314</v>
      </c>
      <c r="BB5" s="216"/>
      <c r="BC5" s="214">
        <v>1053229</v>
      </c>
      <c r="BD5" s="216"/>
      <c r="BE5" s="214">
        <v>1053215</v>
      </c>
      <c r="BF5" s="216"/>
      <c r="BH5" s="211"/>
      <c r="BI5" s="211"/>
    </row>
    <row r="6" spans="1:61" s="8" customFormat="1" ht="30" customHeight="1">
      <c r="A6" s="194" t="s">
        <v>96</v>
      </c>
      <c r="B6" s="49"/>
      <c r="C6" s="220"/>
      <c r="D6" s="221"/>
      <c r="E6" s="80"/>
      <c r="F6" s="196"/>
      <c r="G6" s="194"/>
      <c r="H6" s="49"/>
      <c r="I6" s="220"/>
      <c r="J6" s="221"/>
      <c r="K6" s="220"/>
      <c r="L6" s="221"/>
      <c r="M6" s="220"/>
      <c r="N6" s="221"/>
      <c r="O6" s="220"/>
      <c r="P6" s="225"/>
      <c r="Q6" s="220"/>
      <c r="R6" s="225"/>
      <c r="S6" s="220"/>
      <c r="T6" s="225"/>
      <c r="U6" s="220"/>
      <c r="V6" s="225"/>
      <c r="W6" s="220"/>
      <c r="X6" s="221"/>
      <c r="Y6" s="220"/>
      <c r="Z6" s="221"/>
      <c r="AA6" s="220"/>
      <c r="AB6" s="225"/>
      <c r="AC6" s="220"/>
      <c r="AD6" s="221"/>
      <c r="AE6" s="220"/>
      <c r="AF6" s="221"/>
      <c r="AG6" s="220"/>
      <c r="AH6" s="221"/>
      <c r="AI6" s="220"/>
      <c r="AJ6" s="221"/>
      <c r="AK6" s="220"/>
      <c r="AL6" s="221"/>
      <c r="AM6" s="220"/>
      <c r="AN6" s="221"/>
      <c r="AO6" s="220"/>
      <c r="AP6" s="221"/>
      <c r="AQ6" s="220"/>
      <c r="AR6" s="221"/>
      <c r="AS6" s="220"/>
      <c r="AT6" s="221"/>
      <c r="AU6" s="220"/>
      <c r="AV6" s="221"/>
      <c r="AW6" s="220"/>
      <c r="AX6" s="221"/>
      <c r="AY6" s="220"/>
      <c r="AZ6" s="221"/>
      <c r="BA6" s="220"/>
      <c r="BB6" s="221"/>
      <c r="BC6" s="220"/>
      <c r="BD6" s="221"/>
      <c r="BE6" s="220"/>
      <c r="BF6" s="221"/>
      <c r="BH6" s="32"/>
      <c r="BI6" s="32"/>
    </row>
    <row r="7" spans="1:61" s="10" customFormat="1" ht="50.1" customHeight="1">
      <c r="A7" s="194" t="s">
        <v>99</v>
      </c>
      <c r="B7" s="194"/>
      <c r="C7" s="194" t="s">
        <v>114</v>
      </c>
      <c r="D7" s="194" t="s">
        <v>195</v>
      </c>
      <c r="E7" s="194" t="s">
        <v>195</v>
      </c>
      <c r="F7" s="194" t="s">
        <v>195</v>
      </c>
      <c r="G7" s="194" t="s">
        <v>114</v>
      </c>
      <c r="H7" s="194" t="s">
        <v>195</v>
      </c>
      <c r="I7" s="194" t="s">
        <v>114</v>
      </c>
      <c r="J7" s="194" t="s">
        <v>195</v>
      </c>
      <c r="K7" s="194" t="s">
        <v>114</v>
      </c>
      <c r="L7" s="194" t="s">
        <v>195</v>
      </c>
      <c r="M7" s="194" t="s">
        <v>114</v>
      </c>
      <c r="N7" s="194" t="s">
        <v>195</v>
      </c>
      <c r="O7" s="194" t="s">
        <v>114</v>
      </c>
      <c r="P7" s="194" t="s">
        <v>195</v>
      </c>
      <c r="Q7" s="194" t="s">
        <v>114</v>
      </c>
      <c r="R7" s="194" t="s">
        <v>195</v>
      </c>
      <c r="S7" s="194" t="s">
        <v>114</v>
      </c>
      <c r="T7" s="194" t="s">
        <v>195</v>
      </c>
      <c r="U7" s="194" t="s">
        <v>114</v>
      </c>
      <c r="V7" s="194" t="s">
        <v>195</v>
      </c>
      <c r="W7" s="194" t="s">
        <v>114</v>
      </c>
      <c r="X7" s="194" t="s">
        <v>195</v>
      </c>
      <c r="Y7" s="194" t="s">
        <v>114</v>
      </c>
      <c r="Z7" s="194" t="s">
        <v>195</v>
      </c>
      <c r="AA7" s="194" t="s">
        <v>114</v>
      </c>
      <c r="AB7" s="194" t="s">
        <v>195</v>
      </c>
      <c r="AC7" s="194" t="s">
        <v>114</v>
      </c>
      <c r="AD7" s="194" t="s">
        <v>195</v>
      </c>
      <c r="AE7" s="13" t="s">
        <v>114</v>
      </c>
      <c r="AF7" s="194" t="s">
        <v>195</v>
      </c>
      <c r="AG7" s="13" t="s">
        <v>114</v>
      </c>
      <c r="AH7" s="194" t="s">
        <v>195</v>
      </c>
      <c r="AI7" s="13" t="s">
        <v>114</v>
      </c>
      <c r="AJ7" s="194" t="s">
        <v>195</v>
      </c>
      <c r="AK7" s="13" t="s">
        <v>114</v>
      </c>
      <c r="AL7" s="194" t="s">
        <v>195</v>
      </c>
      <c r="AM7" s="13" t="s">
        <v>114</v>
      </c>
      <c r="AN7" s="194" t="s">
        <v>195</v>
      </c>
      <c r="AO7" s="13" t="s">
        <v>114</v>
      </c>
      <c r="AP7" s="194" t="s">
        <v>195</v>
      </c>
      <c r="AQ7" s="13" t="s">
        <v>114</v>
      </c>
      <c r="AR7" s="194" t="s">
        <v>195</v>
      </c>
      <c r="AS7" s="13" t="s">
        <v>114</v>
      </c>
      <c r="AT7" s="194" t="s">
        <v>195</v>
      </c>
      <c r="AU7" s="13" t="s">
        <v>114</v>
      </c>
      <c r="AV7" s="194" t="s">
        <v>195</v>
      </c>
      <c r="AW7" s="13" t="s">
        <v>114</v>
      </c>
      <c r="AX7" s="194" t="s">
        <v>195</v>
      </c>
      <c r="AY7" s="13" t="s">
        <v>114</v>
      </c>
      <c r="AZ7" s="194" t="s">
        <v>195</v>
      </c>
      <c r="BA7" s="13" t="s">
        <v>114</v>
      </c>
      <c r="BB7" s="194" t="s">
        <v>195</v>
      </c>
      <c r="BC7" s="13" t="s">
        <v>114</v>
      </c>
      <c r="BD7" s="194" t="s">
        <v>195</v>
      </c>
      <c r="BE7" s="13" t="s">
        <v>114</v>
      </c>
      <c r="BF7" s="194" t="s">
        <v>195</v>
      </c>
      <c r="BH7" s="194" t="s">
        <v>65</v>
      </c>
      <c r="BI7" s="194" t="s">
        <v>67</v>
      </c>
    </row>
    <row r="8" spans="1:61" s="35" customFormat="1" ht="39.950000000000003" customHeight="1">
      <c r="A8" s="189">
        <v>44681</v>
      </c>
      <c r="B8" s="34"/>
      <c r="C8" s="77">
        <v>6858484</v>
      </c>
      <c r="D8" s="103"/>
      <c r="E8" s="104"/>
      <c r="F8" s="103"/>
      <c r="G8" s="77">
        <v>294264</v>
      </c>
      <c r="H8" s="103"/>
      <c r="I8" s="77">
        <v>183114</v>
      </c>
      <c r="J8" s="37"/>
      <c r="K8" s="77">
        <v>268742</v>
      </c>
      <c r="L8" s="103"/>
      <c r="M8" s="77">
        <v>25315</v>
      </c>
      <c r="N8" s="37"/>
      <c r="O8" s="77">
        <v>325875</v>
      </c>
      <c r="P8" s="37"/>
      <c r="Q8" s="77">
        <v>474944</v>
      </c>
      <c r="R8" s="103"/>
      <c r="S8" s="77">
        <v>761579</v>
      </c>
      <c r="T8" s="103"/>
      <c r="U8" s="82">
        <v>4691</v>
      </c>
      <c r="V8" s="103"/>
      <c r="W8" s="77">
        <v>84567</v>
      </c>
      <c r="X8" s="103"/>
      <c r="Y8" s="77">
        <v>1518181</v>
      </c>
      <c r="Z8" s="103"/>
      <c r="AA8" s="77">
        <v>13886</v>
      </c>
      <c r="AB8" s="103"/>
      <c r="AC8" s="77">
        <v>497949</v>
      </c>
      <c r="AD8" s="103"/>
      <c r="AE8" s="77">
        <v>568597</v>
      </c>
      <c r="AF8" s="103"/>
      <c r="AG8" s="77">
        <v>49787</v>
      </c>
      <c r="AH8" s="103"/>
      <c r="AI8" s="77">
        <v>442026</v>
      </c>
      <c r="AJ8" s="103"/>
      <c r="AK8" s="77">
        <v>102770</v>
      </c>
      <c r="AL8" s="103"/>
      <c r="AM8" s="77">
        <v>604412</v>
      </c>
      <c r="AN8" s="103"/>
      <c r="AO8" s="77">
        <v>991531</v>
      </c>
      <c r="AP8" s="103"/>
      <c r="AQ8" s="77">
        <v>88721</v>
      </c>
      <c r="AR8" s="103"/>
      <c r="AS8" s="77">
        <v>2453</v>
      </c>
      <c r="AT8" s="103"/>
      <c r="AU8" s="77">
        <v>939</v>
      </c>
      <c r="AV8" s="103"/>
      <c r="AW8" s="77">
        <v>3110</v>
      </c>
      <c r="AX8" s="103"/>
      <c r="AY8" s="77">
        <v>345805</v>
      </c>
      <c r="AZ8" s="103"/>
      <c r="BA8" s="77">
        <v>161101</v>
      </c>
      <c r="BB8" s="103"/>
      <c r="BC8" s="77">
        <v>233820</v>
      </c>
      <c r="BD8" s="103"/>
      <c r="BE8" s="77">
        <v>5349</v>
      </c>
      <c r="BF8" s="103"/>
      <c r="BH8" s="105"/>
      <c r="BI8" s="105"/>
    </row>
    <row r="9" spans="1:61" s="28" customFormat="1" ht="39.950000000000003" customHeight="1">
      <c r="A9" s="189">
        <v>44682</v>
      </c>
      <c r="B9" s="27"/>
      <c r="C9" s="77">
        <v>6862653</v>
      </c>
      <c r="D9" s="37">
        <f>(+C9-+C8)*48</f>
        <v>200112</v>
      </c>
      <c r="E9" s="104">
        <f>D9*0.6</f>
        <v>120067.2</v>
      </c>
      <c r="F9" s="37">
        <f>D9*0.4</f>
        <v>80044.800000000003</v>
      </c>
      <c r="G9" s="77">
        <v>294296</v>
      </c>
      <c r="H9" s="37">
        <f>(+G9-+G8)*48</f>
        <v>1536</v>
      </c>
      <c r="I9" s="77">
        <v>183288</v>
      </c>
      <c r="J9" s="37">
        <f>(+I9-+I8)*48</f>
        <v>8352</v>
      </c>
      <c r="K9" s="77">
        <v>268758</v>
      </c>
      <c r="L9" s="37">
        <f t="shared" ref="L9:L38" si="0">(+K9-+K8)*48</f>
        <v>768</v>
      </c>
      <c r="M9" s="77">
        <v>25315</v>
      </c>
      <c r="N9" s="37">
        <f>(+M9-+M8)*48</f>
        <v>0</v>
      </c>
      <c r="O9" s="77">
        <v>326065</v>
      </c>
      <c r="P9" s="37">
        <f>(+O9-+O8)*48</f>
        <v>9120</v>
      </c>
      <c r="Q9" s="77">
        <v>475040</v>
      </c>
      <c r="R9" s="37">
        <f>(+Q9-+Q8)*48</f>
        <v>4608</v>
      </c>
      <c r="S9" s="77">
        <v>761678</v>
      </c>
      <c r="T9" s="37">
        <f>(+S9-+S8)*48</f>
        <v>4752</v>
      </c>
      <c r="U9" s="77">
        <v>4705</v>
      </c>
      <c r="V9" s="103">
        <f>(+U9-+U8)*48</f>
        <v>672</v>
      </c>
      <c r="W9" s="77">
        <v>84579</v>
      </c>
      <c r="X9" s="37">
        <f>(+W9-+W8)*48</f>
        <v>576</v>
      </c>
      <c r="Y9" s="77">
        <v>1518181</v>
      </c>
      <c r="Z9" s="37">
        <f>(+Y9-+Y8)*48</f>
        <v>0</v>
      </c>
      <c r="AA9" s="77">
        <v>13886</v>
      </c>
      <c r="AB9" s="37">
        <f>(+AA9-+AA8)*48</f>
        <v>0</v>
      </c>
      <c r="AC9" s="77">
        <v>498298</v>
      </c>
      <c r="AD9" s="37">
        <f>(+AC9-+AC8)*48</f>
        <v>16752</v>
      </c>
      <c r="AE9" s="77">
        <v>568885</v>
      </c>
      <c r="AF9" s="37">
        <f>(+AE9-+AE8)*48</f>
        <v>13824</v>
      </c>
      <c r="AG9" s="76">
        <v>49787</v>
      </c>
      <c r="AH9" s="37">
        <f>(+AG9-+AG8)*48</f>
        <v>0</v>
      </c>
      <c r="AI9" s="77">
        <v>442174</v>
      </c>
      <c r="AJ9" s="37">
        <f>(+AI9-+AI8)*48</f>
        <v>7104</v>
      </c>
      <c r="AK9" s="77">
        <v>102770</v>
      </c>
      <c r="AL9" s="37">
        <f>(+AK9-+AK8)*48</f>
        <v>0</v>
      </c>
      <c r="AM9" s="77">
        <v>604557</v>
      </c>
      <c r="AN9" s="37">
        <f>(+AM9-+AM8)*48</f>
        <v>6960</v>
      </c>
      <c r="AO9" s="77">
        <v>991742</v>
      </c>
      <c r="AP9" s="37">
        <f>(+AO9-+AO8)*48</f>
        <v>10128</v>
      </c>
      <c r="AQ9" s="77">
        <v>88721</v>
      </c>
      <c r="AR9" s="37">
        <f>(+AQ9-+AQ8)*48</f>
        <v>0</v>
      </c>
      <c r="AS9" s="77">
        <v>2453</v>
      </c>
      <c r="AT9" s="37">
        <f>(+AS9-+AS8)*48</f>
        <v>0</v>
      </c>
      <c r="AU9" s="77">
        <v>939</v>
      </c>
      <c r="AV9" s="37">
        <f>(+AU9-+AU8)*48</f>
        <v>0</v>
      </c>
      <c r="AW9" s="77">
        <v>3110</v>
      </c>
      <c r="AX9" s="37">
        <f>(+AW9-+AW8)*48</f>
        <v>0</v>
      </c>
      <c r="AY9" s="77">
        <v>345909</v>
      </c>
      <c r="AZ9" s="37">
        <f>(+AY9-+AY8)*48</f>
        <v>4992</v>
      </c>
      <c r="BA9" s="76">
        <v>161101</v>
      </c>
      <c r="BB9" s="37">
        <f>(+BA9-+BA8)*48</f>
        <v>0</v>
      </c>
      <c r="BC9" s="77">
        <v>233893</v>
      </c>
      <c r="BD9" s="37">
        <f>(+BC9-+BC8)*48</f>
        <v>3504</v>
      </c>
      <c r="BE9" s="77">
        <v>5349</v>
      </c>
      <c r="BF9" s="37">
        <f>(+BE9-+BE8)*48</f>
        <v>0</v>
      </c>
      <c r="BH9" s="105">
        <f t="shared" ref="BH9:BH39" si="1">SUM(E9,J9,P9,H9,L9,R9,T9,V9,X9,N9,AB9,Z9,AD9,AF9,AH9,AL9,AJ9)</f>
        <v>188131.20000000001</v>
      </c>
      <c r="BI9" s="105">
        <f t="shared" ref="BI9:BI39" si="2">SUM(F9,AN9,AP9,AT9,AV9,AX9,AR9,AZ9,BB9,BD9,BF9)</f>
        <v>105628.8</v>
      </c>
    </row>
    <row r="10" spans="1:61" s="28" customFormat="1" ht="39.950000000000003" customHeight="1">
      <c r="A10" s="189">
        <v>44683</v>
      </c>
      <c r="B10" s="27"/>
      <c r="C10" s="77">
        <v>6864687</v>
      </c>
      <c r="D10" s="37">
        <f>(+C10-+C9)*48</f>
        <v>97632</v>
      </c>
      <c r="E10" s="104">
        <f>D10*0.6</f>
        <v>58579.199999999997</v>
      </c>
      <c r="F10" s="37">
        <f>D10*0.4</f>
        <v>39052.800000000003</v>
      </c>
      <c r="G10" s="77">
        <v>294325</v>
      </c>
      <c r="H10" s="37">
        <f>(+G10-+G9)*48</f>
        <v>1392</v>
      </c>
      <c r="I10" s="77">
        <v>183448</v>
      </c>
      <c r="J10" s="37">
        <f>(+I10-+I9)*48</f>
        <v>7680</v>
      </c>
      <c r="K10" s="77">
        <v>268776</v>
      </c>
      <c r="L10" s="37">
        <f>(+K10-+K9)*48</f>
        <v>864</v>
      </c>
      <c r="M10" s="77">
        <v>25315</v>
      </c>
      <c r="N10" s="37">
        <f>(+M10-+M9)*48</f>
        <v>0</v>
      </c>
      <c r="O10" s="77">
        <v>326206</v>
      </c>
      <c r="P10" s="37">
        <f>(+O10-+O9)*48</f>
        <v>6768</v>
      </c>
      <c r="Q10" s="77">
        <v>475122</v>
      </c>
      <c r="R10" s="37">
        <f>(+Q10-+Q9)*48</f>
        <v>3936</v>
      </c>
      <c r="S10" s="77">
        <v>761768</v>
      </c>
      <c r="T10" s="37">
        <f>(+S10-+S9)*48</f>
        <v>4320</v>
      </c>
      <c r="U10" s="77">
        <v>4705</v>
      </c>
      <c r="V10" s="37">
        <f>(+U10-+U9)*48</f>
        <v>0</v>
      </c>
      <c r="W10" s="77">
        <v>84579</v>
      </c>
      <c r="X10" s="37">
        <f>(+W10-+W9)*48</f>
        <v>0</v>
      </c>
      <c r="Y10" s="77">
        <v>1518181</v>
      </c>
      <c r="Z10" s="37">
        <f>(+Y10-+Y9)*48</f>
        <v>0</v>
      </c>
      <c r="AA10" s="77">
        <v>13886</v>
      </c>
      <c r="AB10" s="37">
        <f>(+AA10-+AA9)*48</f>
        <v>0</v>
      </c>
      <c r="AC10" s="77">
        <v>498473</v>
      </c>
      <c r="AD10" s="37">
        <f>(+AC10-+AC9)*48</f>
        <v>8400</v>
      </c>
      <c r="AE10" s="77">
        <v>568046</v>
      </c>
      <c r="AF10" s="37">
        <f>(+AE10-+AE9)*48</f>
        <v>-40272</v>
      </c>
      <c r="AG10" s="76">
        <v>49787</v>
      </c>
      <c r="AH10" s="37">
        <f>(+AG10-+AG9)*48</f>
        <v>0</v>
      </c>
      <c r="AI10" s="77">
        <v>442316</v>
      </c>
      <c r="AJ10" s="37">
        <f>(+AI10-+AI9)*48</f>
        <v>6816</v>
      </c>
      <c r="AK10" s="77">
        <v>102770</v>
      </c>
      <c r="AL10" s="37">
        <f>(+AK10-+AK9)*48</f>
        <v>0</v>
      </c>
      <c r="AM10" s="77">
        <v>604693</v>
      </c>
      <c r="AN10" s="37">
        <f>(+AM10-+AM9)*48</f>
        <v>6528</v>
      </c>
      <c r="AO10" s="77">
        <v>991941</v>
      </c>
      <c r="AP10" s="37">
        <f>(+AO10-+AO9)*48</f>
        <v>9552</v>
      </c>
      <c r="AQ10" s="77">
        <v>88721</v>
      </c>
      <c r="AR10" s="37">
        <f>(+AQ10-+AQ9)*48</f>
        <v>0</v>
      </c>
      <c r="AS10" s="77">
        <v>2453</v>
      </c>
      <c r="AT10" s="37">
        <f>(+AS10-+AS9)*48</f>
        <v>0</v>
      </c>
      <c r="AU10" s="77">
        <v>939</v>
      </c>
      <c r="AV10" s="37">
        <f>(+AU10-+AU9)*48</f>
        <v>0</v>
      </c>
      <c r="AW10" s="77">
        <v>3110</v>
      </c>
      <c r="AX10" s="37">
        <f>(+AW10-+AW9)*48</f>
        <v>0</v>
      </c>
      <c r="AY10" s="77">
        <v>346012</v>
      </c>
      <c r="AZ10" s="37">
        <f>(+AY10-+AY9)*48</f>
        <v>4944</v>
      </c>
      <c r="BA10" s="76">
        <v>161101</v>
      </c>
      <c r="BB10" s="37">
        <f>(+BA10-+BA9)*48</f>
        <v>0</v>
      </c>
      <c r="BC10" s="77">
        <v>233966</v>
      </c>
      <c r="BD10" s="37">
        <f>(+BC10-+BC9)*48</f>
        <v>3504</v>
      </c>
      <c r="BE10" s="77">
        <v>5349</v>
      </c>
      <c r="BF10" s="37">
        <f>(+BE10-+BE9)*48</f>
        <v>0</v>
      </c>
      <c r="BH10" s="105">
        <f t="shared" ref="BH10" si="3">SUM(E10,J10,P10,H10,L10,R10,T10,V10,X10,N10,AB10,Z10,AD10,AF10,AH10,AL10,AJ10)</f>
        <v>58483.199999999997</v>
      </c>
      <c r="BI10" s="105">
        <f t="shared" ref="BI10" si="4">SUM(F10,AN10,AP10,AT10,AV10,AX10,AR10,AZ10,BB10,BD10,BF10)</f>
        <v>63580.800000000003</v>
      </c>
    </row>
    <row r="11" spans="1:61" s="35" customFormat="1" ht="39.950000000000003" customHeight="1">
      <c r="A11" s="189">
        <v>44684</v>
      </c>
      <c r="B11" s="34"/>
      <c r="C11" s="77">
        <v>6866703</v>
      </c>
      <c r="D11" s="37">
        <f>(+C11-+C9)*48</f>
        <v>194400</v>
      </c>
      <c r="E11" s="104">
        <f t="shared" ref="E11:E39" si="5">D11*0.6</f>
        <v>116640</v>
      </c>
      <c r="F11" s="103">
        <f t="shared" ref="F11:F39" si="6">D11*0.4</f>
        <v>77760</v>
      </c>
      <c r="G11" s="77">
        <v>294367</v>
      </c>
      <c r="H11" s="37">
        <f>(+G11-+G9)*48</f>
        <v>3408</v>
      </c>
      <c r="I11" s="77">
        <v>183614</v>
      </c>
      <c r="J11" s="37">
        <f>(+I11-+I9)*48</f>
        <v>15648</v>
      </c>
      <c r="K11" s="77">
        <v>268786</v>
      </c>
      <c r="L11" s="37">
        <f>(+K11-+K9)*48</f>
        <v>1344</v>
      </c>
      <c r="M11" s="77">
        <v>25315</v>
      </c>
      <c r="N11" s="37">
        <f>(+M11-+M9)*48</f>
        <v>0</v>
      </c>
      <c r="O11" s="77">
        <v>326442</v>
      </c>
      <c r="P11" s="37">
        <f>(+O11-+O9)*48</f>
        <v>18096</v>
      </c>
      <c r="Q11" s="77">
        <v>475201</v>
      </c>
      <c r="R11" s="37">
        <f>(+Q11-+Q9)*48</f>
        <v>7728</v>
      </c>
      <c r="S11" s="77">
        <v>761883</v>
      </c>
      <c r="T11" s="37">
        <f>(+S11-+S9)*48</f>
        <v>9840</v>
      </c>
      <c r="U11" s="77">
        <v>4723</v>
      </c>
      <c r="V11" s="103">
        <f>(+U11-+U9)*48</f>
        <v>864</v>
      </c>
      <c r="W11" s="77">
        <v>84591</v>
      </c>
      <c r="X11" s="37">
        <f>(+W11-+W9)*48</f>
        <v>576</v>
      </c>
      <c r="Y11" s="77">
        <v>1518181</v>
      </c>
      <c r="Z11" s="37">
        <f>(+Y11-+Y9)*48</f>
        <v>0</v>
      </c>
      <c r="AA11" s="77">
        <v>13886</v>
      </c>
      <c r="AB11" s="37">
        <f>(+AA11-+AA9)*48</f>
        <v>0</v>
      </c>
      <c r="AC11" s="77">
        <v>498610</v>
      </c>
      <c r="AD11" s="37">
        <f>(+AC11-+AC9)*48</f>
        <v>14976</v>
      </c>
      <c r="AE11" s="77">
        <v>569169</v>
      </c>
      <c r="AF11" s="37">
        <f>(+AE11-+AE9)*48</f>
        <v>13632</v>
      </c>
      <c r="AG11" s="76">
        <v>49787</v>
      </c>
      <c r="AH11" s="37">
        <f>(+AG11-+AG9)*48</f>
        <v>0</v>
      </c>
      <c r="AI11" s="77">
        <v>442463</v>
      </c>
      <c r="AJ11" s="37">
        <f>(+AI11-+AI9)*48</f>
        <v>13872</v>
      </c>
      <c r="AK11" s="77">
        <v>102770</v>
      </c>
      <c r="AL11" s="37">
        <f>(+AK11-+AK9)*48</f>
        <v>0</v>
      </c>
      <c r="AM11" s="77">
        <v>604790</v>
      </c>
      <c r="AN11" s="37">
        <f>(+AM11-+AM9)*48</f>
        <v>11184</v>
      </c>
      <c r="AO11" s="77">
        <v>992084</v>
      </c>
      <c r="AP11" s="37">
        <f>(+AO11-+AO9)*48</f>
        <v>16416</v>
      </c>
      <c r="AQ11" s="77">
        <v>88721</v>
      </c>
      <c r="AR11" s="37">
        <f>(+AQ16-+AQ9)*48</f>
        <v>21408</v>
      </c>
      <c r="AS11" s="77">
        <v>2453</v>
      </c>
      <c r="AT11" s="37">
        <f>(+AS11-+AS9)*48</f>
        <v>0</v>
      </c>
      <c r="AU11" s="77">
        <v>939</v>
      </c>
      <c r="AV11" s="37">
        <f>(+AU11-+AU9)*48</f>
        <v>0</v>
      </c>
      <c r="AW11" s="77">
        <v>3110</v>
      </c>
      <c r="AX11" s="37">
        <f>(+AW11-+AW9)*48</f>
        <v>0</v>
      </c>
      <c r="AY11" s="77">
        <v>346118</v>
      </c>
      <c r="AZ11" s="37">
        <f>(+AY11-+AY9)*48</f>
        <v>10032</v>
      </c>
      <c r="BA11" s="76">
        <v>161101</v>
      </c>
      <c r="BB11" s="37">
        <f>(+BA11-+BA9)*48</f>
        <v>0</v>
      </c>
      <c r="BC11" s="77">
        <v>234046</v>
      </c>
      <c r="BD11" s="37">
        <f>(+BC11-+BC9)*48</f>
        <v>7344</v>
      </c>
      <c r="BE11" s="77">
        <v>5349</v>
      </c>
      <c r="BF11" s="37">
        <f>(+BE11-+BE9)*48</f>
        <v>0</v>
      </c>
      <c r="BH11" s="105">
        <f t="shared" si="1"/>
        <v>216624</v>
      </c>
      <c r="BI11" s="105">
        <f t="shared" si="2"/>
        <v>144144</v>
      </c>
    </row>
    <row r="12" spans="1:61" s="35" customFormat="1" ht="39.950000000000003" customHeight="1">
      <c r="A12" s="189">
        <v>44685</v>
      </c>
      <c r="B12" s="34"/>
      <c r="C12" s="77">
        <v>6868789</v>
      </c>
      <c r="D12" s="37">
        <f t="shared" ref="D12:D38" si="7">(+C12-+C11)*48</f>
        <v>100128</v>
      </c>
      <c r="E12" s="104">
        <f t="shared" si="5"/>
        <v>60076.799999999996</v>
      </c>
      <c r="F12" s="103">
        <f t="shared" si="6"/>
        <v>40051.200000000004</v>
      </c>
      <c r="G12" s="77">
        <v>294401</v>
      </c>
      <c r="H12" s="37">
        <f t="shared" ref="H12:H38" si="8">(+G12-+G11)*48</f>
        <v>1632</v>
      </c>
      <c r="I12" s="77">
        <v>183782</v>
      </c>
      <c r="J12" s="37">
        <f t="shared" ref="J12:J38" si="9">(+I12-+I11)*48</f>
        <v>8064</v>
      </c>
      <c r="K12" s="77">
        <v>268799</v>
      </c>
      <c r="L12" s="37">
        <f t="shared" si="0"/>
        <v>624</v>
      </c>
      <c r="M12" s="77">
        <v>25315</v>
      </c>
      <c r="N12" s="37">
        <f t="shared" ref="N12:N38" si="10">(+M12-+M11)*48</f>
        <v>0</v>
      </c>
      <c r="O12" s="77">
        <v>326620</v>
      </c>
      <c r="P12" s="37">
        <f t="shared" ref="P12:P38" si="11">(+O12-+O11)*48</f>
        <v>8544</v>
      </c>
      <c r="Q12" s="77">
        <v>475281</v>
      </c>
      <c r="R12" s="37">
        <f t="shared" ref="R12:R38" si="12">(+Q12-+Q11)*48</f>
        <v>3840</v>
      </c>
      <c r="S12" s="77">
        <v>761978</v>
      </c>
      <c r="T12" s="37">
        <f t="shared" ref="T12:T38" si="13">(+S12-+S11)*48</f>
        <v>4560</v>
      </c>
      <c r="U12" s="193">
        <v>4742</v>
      </c>
      <c r="V12" s="103">
        <f t="shared" ref="V12:V14" si="14">(+U12-+U11)*48</f>
        <v>912</v>
      </c>
      <c r="W12" s="77">
        <v>84606</v>
      </c>
      <c r="X12" s="37">
        <f t="shared" ref="X12:X39" si="15">(+W12-+W11)*48</f>
        <v>720</v>
      </c>
      <c r="Y12" s="77">
        <v>1518193</v>
      </c>
      <c r="Z12" s="37">
        <f t="shared" ref="Z12:Z35" si="16">(+Y12-+Y11)*48</f>
        <v>576</v>
      </c>
      <c r="AA12" s="77">
        <v>13886</v>
      </c>
      <c r="AB12" s="37">
        <f t="shared" ref="AB12:AB38" si="17">(+AA12-+AA11)*48</f>
        <v>0</v>
      </c>
      <c r="AC12" s="77">
        <v>498763</v>
      </c>
      <c r="AD12" s="37">
        <f t="shared" ref="AD12:AF37" si="18">(+AC12-+AC11)*48</f>
        <v>7344</v>
      </c>
      <c r="AE12" s="77">
        <v>569283</v>
      </c>
      <c r="AF12" s="37">
        <f t="shared" si="18"/>
        <v>5472</v>
      </c>
      <c r="AG12" s="76">
        <v>49787</v>
      </c>
      <c r="AH12" s="37">
        <f t="shared" ref="AH12:AH37" si="19">(+AG12-+AG11)*48</f>
        <v>0</v>
      </c>
      <c r="AI12" s="77">
        <v>442550</v>
      </c>
      <c r="AJ12" s="37">
        <f t="shared" ref="AJ12:AJ39" si="20">(+AI12-+AI11)*48</f>
        <v>4176</v>
      </c>
      <c r="AK12" s="77">
        <v>102770</v>
      </c>
      <c r="AL12" s="37">
        <f t="shared" ref="AL12:AL38" si="21">(+AK12-+AK11)*48</f>
        <v>0</v>
      </c>
      <c r="AM12" s="77">
        <v>604906</v>
      </c>
      <c r="AN12" s="37">
        <f t="shared" ref="AN12:AN39" si="22">(+AM12-+AM11)*48</f>
        <v>5568</v>
      </c>
      <c r="AO12" s="77">
        <v>992267</v>
      </c>
      <c r="AP12" s="37">
        <f t="shared" ref="AP12:AP39" si="23">(+AO12-+AO11)*48</f>
        <v>8784</v>
      </c>
      <c r="AQ12" s="77">
        <v>88721</v>
      </c>
      <c r="AR12" s="37">
        <f>(+AQ12-+AQ16)*48</f>
        <v>-21408</v>
      </c>
      <c r="AS12" s="77">
        <v>2453</v>
      </c>
      <c r="AT12" s="37">
        <f t="shared" ref="AT12:AT34" si="24">(+AS12-+AS11)*48</f>
        <v>0</v>
      </c>
      <c r="AU12" s="77">
        <v>939</v>
      </c>
      <c r="AV12" s="37">
        <f t="shared" ref="AV12:AV38" si="25">(+AU12-+AU11)*48</f>
        <v>0</v>
      </c>
      <c r="AW12" s="77">
        <v>3110</v>
      </c>
      <c r="AX12" s="37">
        <f t="shared" ref="AX12:AX33" si="26">(+AW12-+AW11)*48</f>
        <v>0</v>
      </c>
      <c r="AY12" s="77">
        <v>346225</v>
      </c>
      <c r="AZ12" s="37">
        <f t="shared" ref="AZ12:AZ26" si="27">(+AY12-+AY11)*48</f>
        <v>5136</v>
      </c>
      <c r="BA12" s="76">
        <v>161101</v>
      </c>
      <c r="BB12" s="37">
        <f>(+BA12-+BA11)*48</f>
        <v>0</v>
      </c>
      <c r="BC12" s="77">
        <v>234126</v>
      </c>
      <c r="BD12" s="37">
        <f t="shared" ref="BD12:BD39" si="28">(+BC12-+BC11)*48</f>
        <v>3840</v>
      </c>
      <c r="BE12" s="77">
        <v>5349</v>
      </c>
      <c r="BF12" s="37">
        <f t="shared" ref="BF12:BF38" si="29">(+BE12-+BE11)*48</f>
        <v>0</v>
      </c>
      <c r="BH12" s="105">
        <f t="shared" si="1"/>
        <v>106540.79999999999</v>
      </c>
      <c r="BI12" s="105">
        <f t="shared" si="2"/>
        <v>41971.200000000004</v>
      </c>
    </row>
    <row r="13" spans="1:61" s="35" customFormat="1" ht="39.950000000000003" customHeight="1">
      <c r="A13" s="189">
        <v>44686</v>
      </c>
      <c r="B13" s="34"/>
      <c r="C13" s="77">
        <v>6870839</v>
      </c>
      <c r="D13" s="37">
        <f t="shared" si="7"/>
        <v>98400</v>
      </c>
      <c r="E13" s="104">
        <f t="shared" si="5"/>
        <v>59040</v>
      </c>
      <c r="F13" s="103">
        <f t="shared" si="6"/>
        <v>39360</v>
      </c>
      <c r="G13" s="77">
        <v>294417</v>
      </c>
      <c r="H13" s="37">
        <f t="shared" si="8"/>
        <v>768</v>
      </c>
      <c r="I13" s="77">
        <v>183944</v>
      </c>
      <c r="J13" s="37">
        <f t="shared" si="9"/>
        <v>7776</v>
      </c>
      <c r="K13" s="77">
        <v>268813</v>
      </c>
      <c r="L13" s="37">
        <f t="shared" si="0"/>
        <v>672</v>
      </c>
      <c r="M13" s="77">
        <v>25315</v>
      </c>
      <c r="N13" s="37">
        <f t="shared" si="10"/>
        <v>0</v>
      </c>
      <c r="O13" s="77">
        <v>326796</v>
      </c>
      <c r="P13" s="37">
        <f t="shared" si="11"/>
        <v>8448</v>
      </c>
      <c r="Q13" s="77">
        <v>475377</v>
      </c>
      <c r="R13" s="37">
        <f t="shared" si="12"/>
        <v>4608</v>
      </c>
      <c r="S13" s="77">
        <v>762092</v>
      </c>
      <c r="T13" s="37">
        <f t="shared" si="13"/>
        <v>5472</v>
      </c>
      <c r="U13" s="193">
        <v>4763</v>
      </c>
      <c r="V13" s="103">
        <f t="shared" si="14"/>
        <v>1008</v>
      </c>
      <c r="W13" s="77">
        <v>84618</v>
      </c>
      <c r="X13" s="37">
        <f t="shared" si="15"/>
        <v>576</v>
      </c>
      <c r="Y13" s="77">
        <v>1518366</v>
      </c>
      <c r="Z13" s="37">
        <f t="shared" si="16"/>
        <v>8304</v>
      </c>
      <c r="AA13" s="77">
        <v>13886</v>
      </c>
      <c r="AB13" s="37">
        <f t="shared" si="17"/>
        <v>0</v>
      </c>
      <c r="AC13" s="77">
        <v>498917</v>
      </c>
      <c r="AD13" s="37">
        <f t="shared" si="18"/>
        <v>7392</v>
      </c>
      <c r="AE13" s="77">
        <v>569378</v>
      </c>
      <c r="AF13" s="37">
        <f t="shared" si="18"/>
        <v>4560</v>
      </c>
      <c r="AG13" s="76">
        <v>49787</v>
      </c>
      <c r="AH13" s="37">
        <f t="shared" si="19"/>
        <v>0</v>
      </c>
      <c r="AI13" s="77">
        <v>442646</v>
      </c>
      <c r="AJ13" s="37">
        <f t="shared" si="20"/>
        <v>4608</v>
      </c>
      <c r="AK13" s="77">
        <v>102770</v>
      </c>
      <c r="AL13" s="37">
        <f t="shared" si="21"/>
        <v>0</v>
      </c>
      <c r="AM13" s="77">
        <v>605034</v>
      </c>
      <c r="AN13" s="37">
        <f t="shared" si="22"/>
        <v>6144</v>
      </c>
      <c r="AO13" s="77">
        <v>992471</v>
      </c>
      <c r="AP13" s="37"/>
      <c r="AQ13" s="77">
        <v>88951</v>
      </c>
      <c r="AR13" s="37">
        <f t="shared" ref="AR13:AR39" si="30">(+AQ13-+AQ12)*48</f>
        <v>11040</v>
      </c>
      <c r="AS13" s="77">
        <v>2453</v>
      </c>
      <c r="AT13" s="37">
        <f t="shared" si="24"/>
        <v>0</v>
      </c>
      <c r="AU13" s="77">
        <v>939</v>
      </c>
      <c r="AV13" s="37">
        <f t="shared" si="25"/>
        <v>0</v>
      </c>
      <c r="AW13" s="77">
        <v>3110</v>
      </c>
      <c r="AX13" s="37">
        <f t="shared" si="26"/>
        <v>0</v>
      </c>
      <c r="AY13" s="77">
        <v>346329</v>
      </c>
      <c r="AZ13" s="37">
        <f t="shared" si="27"/>
        <v>4992</v>
      </c>
      <c r="BA13" s="76">
        <v>161101</v>
      </c>
      <c r="BB13" s="37">
        <f t="shared" ref="BB13:BB22" si="31">(+BA13-+BA12)*48</f>
        <v>0</v>
      </c>
      <c r="BC13" s="77">
        <v>234203</v>
      </c>
      <c r="BD13" s="37">
        <f t="shared" si="28"/>
        <v>3696</v>
      </c>
      <c r="BE13" s="77">
        <v>5349</v>
      </c>
      <c r="BF13" s="37">
        <f t="shared" si="29"/>
        <v>0</v>
      </c>
      <c r="BH13" s="105">
        <f t="shared" si="1"/>
        <v>113232</v>
      </c>
      <c r="BI13" s="105">
        <f t="shared" si="2"/>
        <v>65232</v>
      </c>
    </row>
    <row r="14" spans="1:61" s="35" customFormat="1" ht="39.950000000000003" customHeight="1">
      <c r="A14" s="189">
        <v>44687</v>
      </c>
      <c r="B14" s="34"/>
      <c r="C14" s="77">
        <v>6872861</v>
      </c>
      <c r="D14" s="37">
        <f t="shared" si="7"/>
        <v>97056</v>
      </c>
      <c r="E14" s="104">
        <f t="shared" si="5"/>
        <v>58233.599999999999</v>
      </c>
      <c r="F14" s="103">
        <f t="shared" si="6"/>
        <v>38822.400000000001</v>
      </c>
      <c r="G14" s="77">
        <v>294483</v>
      </c>
      <c r="H14" s="37">
        <f t="shared" si="8"/>
        <v>3168</v>
      </c>
      <c r="I14" s="77">
        <v>184103</v>
      </c>
      <c r="J14" s="37">
        <f t="shared" si="9"/>
        <v>7632</v>
      </c>
      <c r="K14" s="77">
        <v>268831</v>
      </c>
      <c r="L14" s="37">
        <f t="shared" si="0"/>
        <v>864</v>
      </c>
      <c r="M14" s="77">
        <v>25315</v>
      </c>
      <c r="N14" s="37">
        <f t="shared" si="10"/>
        <v>0</v>
      </c>
      <c r="O14" s="77">
        <v>326984</v>
      </c>
      <c r="P14" s="37">
        <f t="shared" si="11"/>
        <v>9024</v>
      </c>
      <c r="Q14" s="77">
        <v>475479</v>
      </c>
      <c r="R14" s="37">
        <f t="shared" si="12"/>
        <v>4896</v>
      </c>
      <c r="S14" s="77">
        <v>762207</v>
      </c>
      <c r="T14" s="37">
        <f t="shared" si="13"/>
        <v>5520</v>
      </c>
      <c r="U14" s="193">
        <v>4781</v>
      </c>
      <c r="V14" s="103">
        <f t="shared" si="14"/>
        <v>864</v>
      </c>
      <c r="W14" s="77">
        <v>84631</v>
      </c>
      <c r="X14" s="37">
        <f t="shared" si="15"/>
        <v>624</v>
      </c>
      <c r="Y14" s="77">
        <v>1518441</v>
      </c>
      <c r="Z14" s="37">
        <f t="shared" si="16"/>
        <v>3600</v>
      </c>
      <c r="AA14" s="77">
        <v>13886</v>
      </c>
      <c r="AB14" s="37">
        <f t="shared" si="17"/>
        <v>0</v>
      </c>
      <c r="AC14" s="77">
        <v>499070</v>
      </c>
      <c r="AD14" s="37">
        <f t="shared" si="18"/>
        <v>7344</v>
      </c>
      <c r="AE14" s="77">
        <v>569474</v>
      </c>
      <c r="AF14" s="37">
        <f t="shared" si="18"/>
        <v>4608</v>
      </c>
      <c r="AG14" s="76">
        <v>49788</v>
      </c>
      <c r="AH14" s="37">
        <f t="shared" si="19"/>
        <v>48</v>
      </c>
      <c r="AI14" s="77">
        <v>442739</v>
      </c>
      <c r="AJ14" s="37">
        <f t="shared" si="20"/>
        <v>4464</v>
      </c>
      <c r="AK14" s="77">
        <v>102770</v>
      </c>
      <c r="AL14" s="37">
        <f t="shared" si="21"/>
        <v>0</v>
      </c>
      <c r="AM14" s="77">
        <v>605165</v>
      </c>
      <c r="AN14" s="37">
        <f t="shared" si="22"/>
        <v>6288</v>
      </c>
      <c r="AO14" s="77">
        <v>992680</v>
      </c>
      <c r="AP14" s="37">
        <f t="shared" si="23"/>
        <v>10032</v>
      </c>
      <c r="AQ14" s="77">
        <v>89029</v>
      </c>
      <c r="AR14" s="37">
        <f t="shared" si="30"/>
        <v>3744</v>
      </c>
      <c r="AS14" s="77">
        <v>2453</v>
      </c>
      <c r="AT14" s="37">
        <f t="shared" si="24"/>
        <v>0</v>
      </c>
      <c r="AU14" s="77">
        <v>939</v>
      </c>
      <c r="AV14" s="37">
        <f t="shared" si="25"/>
        <v>0</v>
      </c>
      <c r="AW14" s="77">
        <v>3110</v>
      </c>
      <c r="AX14" s="37">
        <f t="shared" si="26"/>
        <v>0</v>
      </c>
      <c r="AY14" s="77">
        <v>346433</v>
      </c>
      <c r="AZ14" s="37">
        <f t="shared" si="27"/>
        <v>4992</v>
      </c>
      <c r="BA14" s="76">
        <v>161101</v>
      </c>
      <c r="BB14" s="37">
        <f t="shared" si="31"/>
        <v>0</v>
      </c>
      <c r="BC14" s="77">
        <v>234277</v>
      </c>
      <c r="BD14" s="37">
        <f t="shared" si="28"/>
        <v>3552</v>
      </c>
      <c r="BE14" s="77">
        <v>5349</v>
      </c>
      <c r="BF14" s="37">
        <f t="shared" si="29"/>
        <v>0</v>
      </c>
      <c r="BH14" s="105">
        <f t="shared" si="1"/>
        <v>110889.60000000001</v>
      </c>
      <c r="BI14" s="105">
        <f t="shared" si="2"/>
        <v>67430.399999999994</v>
      </c>
    </row>
    <row r="15" spans="1:61" s="35" customFormat="1" ht="39.950000000000003" customHeight="1">
      <c r="A15" s="189">
        <v>44688</v>
      </c>
      <c r="B15" s="34"/>
      <c r="C15" s="77">
        <v>6875119</v>
      </c>
      <c r="D15" s="37">
        <f t="shared" si="7"/>
        <v>108384</v>
      </c>
      <c r="E15" s="104">
        <f t="shared" si="5"/>
        <v>65030.399999999994</v>
      </c>
      <c r="F15" s="103">
        <f t="shared" si="6"/>
        <v>43353.600000000006</v>
      </c>
      <c r="G15" s="77">
        <v>294521</v>
      </c>
      <c r="H15" s="37">
        <f t="shared" si="8"/>
        <v>1824</v>
      </c>
      <c r="I15" s="77">
        <v>184274</v>
      </c>
      <c r="J15" s="37">
        <f t="shared" si="9"/>
        <v>8208</v>
      </c>
      <c r="K15" s="77">
        <v>268865</v>
      </c>
      <c r="L15" s="37">
        <f t="shared" si="0"/>
        <v>1632</v>
      </c>
      <c r="M15" s="77">
        <v>25315</v>
      </c>
      <c r="N15" s="37">
        <f t="shared" si="10"/>
        <v>0</v>
      </c>
      <c r="O15" s="77">
        <v>327198</v>
      </c>
      <c r="P15" s="37">
        <f t="shared" si="11"/>
        <v>10272</v>
      </c>
      <c r="Q15" s="77">
        <v>475583</v>
      </c>
      <c r="R15" s="37">
        <f t="shared" si="12"/>
        <v>4992</v>
      </c>
      <c r="S15" s="77">
        <v>762339</v>
      </c>
      <c r="T15" s="37">
        <f t="shared" si="13"/>
        <v>6336</v>
      </c>
      <c r="U15" s="193">
        <v>4799</v>
      </c>
      <c r="V15" s="103">
        <f>(+U15-+U14)*48</f>
        <v>864</v>
      </c>
      <c r="W15" s="77">
        <v>84645</v>
      </c>
      <c r="X15" s="37">
        <f t="shared" si="15"/>
        <v>672</v>
      </c>
      <c r="Y15" s="82">
        <f>(Y18-Y14)/4+Y14</f>
        <v>1518540.5</v>
      </c>
      <c r="Z15" s="37">
        <f t="shared" si="16"/>
        <v>4776</v>
      </c>
      <c r="AA15" s="77">
        <v>13886</v>
      </c>
      <c r="AB15" s="37">
        <f t="shared" si="17"/>
        <v>0</v>
      </c>
      <c r="AC15" s="77">
        <v>499218</v>
      </c>
      <c r="AD15" s="37">
        <f t="shared" si="18"/>
        <v>7104</v>
      </c>
      <c r="AE15" s="77">
        <v>569558</v>
      </c>
      <c r="AF15" s="37">
        <f t="shared" si="18"/>
        <v>4032</v>
      </c>
      <c r="AG15" s="76">
        <v>49788</v>
      </c>
      <c r="AH15" s="37">
        <f t="shared" si="19"/>
        <v>0</v>
      </c>
      <c r="AI15" s="77">
        <v>442860</v>
      </c>
      <c r="AJ15" s="37">
        <f t="shared" si="20"/>
        <v>5808</v>
      </c>
      <c r="AK15" s="77">
        <v>102770</v>
      </c>
      <c r="AL15" s="37">
        <f t="shared" si="21"/>
        <v>0</v>
      </c>
      <c r="AM15" s="77">
        <v>605292</v>
      </c>
      <c r="AN15" s="37">
        <f t="shared" si="22"/>
        <v>6096</v>
      </c>
      <c r="AO15" s="77">
        <v>992883</v>
      </c>
      <c r="AP15" s="37">
        <f t="shared" si="23"/>
        <v>9744</v>
      </c>
      <c r="AQ15" s="77">
        <v>89090</v>
      </c>
      <c r="AR15" s="37">
        <f t="shared" si="30"/>
        <v>2928</v>
      </c>
      <c r="AS15" s="77">
        <v>2453</v>
      </c>
      <c r="AT15" s="37">
        <f t="shared" si="24"/>
        <v>0</v>
      </c>
      <c r="AU15" s="77">
        <v>939</v>
      </c>
      <c r="AV15" s="37">
        <f t="shared" si="25"/>
        <v>0</v>
      </c>
      <c r="AW15" s="77">
        <v>3110</v>
      </c>
      <c r="AX15" s="37">
        <f t="shared" si="26"/>
        <v>0</v>
      </c>
      <c r="AY15" s="77">
        <v>346540</v>
      </c>
      <c r="AZ15" s="37">
        <f t="shared" si="27"/>
        <v>5136</v>
      </c>
      <c r="BA15" s="76">
        <v>161101</v>
      </c>
      <c r="BB15" s="37">
        <f t="shared" si="31"/>
        <v>0</v>
      </c>
      <c r="BC15" s="77">
        <v>234345</v>
      </c>
      <c r="BD15" s="37">
        <f t="shared" si="28"/>
        <v>3264</v>
      </c>
      <c r="BE15" s="77">
        <v>5349</v>
      </c>
      <c r="BF15" s="37">
        <f t="shared" si="29"/>
        <v>0</v>
      </c>
      <c r="BH15" s="105">
        <f t="shared" si="1"/>
        <v>121550.39999999999</v>
      </c>
      <c r="BI15" s="105">
        <f t="shared" si="2"/>
        <v>70521.600000000006</v>
      </c>
    </row>
    <row r="16" spans="1:61" s="35" customFormat="1" ht="39.950000000000003" customHeight="1">
      <c r="A16" s="189">
        <v>44689</v>
      </c>
      <c r="B16" s="34"/>
      <c r="C16" s="77">
        <v>6877454</v>
      </c>
      <c r="D16" s="37">
        <f t="shared" si="7"/>
        <v>112080</v>
      </c>
      <c r="E16" s="104">
        <f t="shared" si="5"/>
        <v>67248</v>
      </c>
      <c r="F16" s="103">
        <f t="shared" si="6"/>
        <v>44832</v>
      </c>
      <c r="G16" s="77">
        <v>294573</v>
      </c>
      <c r="H16" s="37">
        <f t="shared" si="8"/>
        <v>2496</v>
      </c>
      <c r="I16" s="77">
        <v>184437</v>
      </c>
      <c r="J16" s="37">
        <f t="shared" si="9"/>
        <v>7824</v>
      </c>
      <c r="K16" s="77">
        <v>268915</v>
      </c>
      <c r="L16" s="37">
        <f t="shared" si="0"/>
        <v>2400</v>
      </c>
      <c r="M16" s="77">
        <v>25315</v>
      </c>
      <c r="N16" s="37">
        <f t="shared" si="10"/>
        <v>0</v>
      </c>
      <c r="O16" s="77">
        <v>327406</v>
      </c>
      <c r="P16" s="37">
        <f t="shared" si="11"/>
        <v>9984</v>
      </c>
      <c r="Q16" s="77">
        <v>475694</v>
      </c>
      <c r="R16" s="37">
        <f t="shared" si="12"/>
        <v>5328</v>
      </c>
      <c r="S16" s="77">
        <v>762471</v>
      </c>
      <c r="T16" s="37">
        <f t="shared" si="13"/>
        <v>6336</v>
      </c>
      <c r="U16" s="193">
        <v>4818.4350000000004</v>
      </c>
      <c r="V16" s="103">
        <f t="shared" ref="D16:V39" si="32">(+U16-+U15)*48</f>
        <v>932.88000000001921</v>
      </c>
      <c r="W16" s="77">
        <v>84656</v>
      </c>
      <c r="X16" s="37">
        <f t="shared" si="15"/>
        <v>528</v>
      </c>
      <c r="Y16" s="82">
        <f t="shared" ref="Y16:Y17" si="33">(Y19-Y15)/4+Y15</f>
        <v>1518645.125</v>
      </c>
      <c r="Z16" s="37">
        <f t="shared" si="16"/>
        <v>5022</v>
      </c>
      <c r="AA16" s="77">
        <v>13886</v>
      </c>
      <c r="AB16" s="37">
        <f t="shared" si="17"/>
        <v>0</v>
      </c>
      <c r="AC16" s="82">
        <f t="shared" ref="AC16:AC17" si="34">(AC19-AC15)/4+AC15</f>
        <v>499371.5</v>
      </c>
      <c r="AD16" s="37">
        <f t="shared" si="18"/>
        <v>7368</v>
      </c>
      <c r="AE16" s="77">
        <v>569656</v>
      </c>
      <c r="AF16" s="37">
        <f t="shared" si="18"/>
        <v>4704</v>
      </c>
      <c r="AG16" s="76">
        <v>49788</v>
      </c>
      <c r="AH16" s="37">
        <f t="shared" si="19"/>
        <v>0</v>
      </c>
      <c r="AI16" s="77">
        <v>442992</v>
      </c>
      <c r="AJ16" s="37">
        <f t="shared" si="20"/>
        <v>6336</v>
      </c>
      <c r="AK16" s="77">
        <v>102770</v>
      </c>
      <c r="AL16" s="37">
        <f t="shared" si="21"/>
        <v>0</v>
      </c>
      <c r="AM16" s="77">
        <v>605416</v>
      </c>
      <c r="AN16" s="37">
        <f t="shared" si="22"/>
        <v>5952</v>
      </c>
      <c r="AO16" s="77">
        <v>993088</v>
      </c>
      <c r="AP16" s="37">
        <f t="shared" si="23"/>
        <v>9840</v>
      </c>
      <c r="AQ16" s="77">
        <v>89167</v>
      </c>
      <c r="AR16" s="37">
        <f t="shared" si="30"/>
        <v>3696</v>
      </c>
      <c r="AS16" s="77">
        <v>2455</v>
      </c>
      <c r="AT16" s="37">
        <f t="shared" si="24"/>
        <v>96</v>
      </c>
      <c r="AU16" s="77">
        <v>939</v>
      </c>
      <c r="AV16" s="37">
        <f t="shared" si="25"/>
        <v>0</v>
      </c>
      <c r="AW16" s="77">
        <v>3110</v>
      </c>
      <c r="AX16" s="37">
        <f t="shared" si="26"/>
        <v>0</v>
      </c>
      <c r="AY16" s="77">
        <v>346645</v>
      </c>
      <c r="AZ16" s="37">
        <f t="shared" si="27"/>
        <v>5040</v>
      </c>
      <c r="BA16" s="76">
        <v>161101</v>
      </c>
      <c r="BB16" s="37">
        <f t="shared" si="31"/>
        <v>0</v>
      </c>
      <c r="BC16" s="82">
        <f>(BC18-BC15)/3+BC15</f>
        <v>234413.33333333334</v>
      </c>
      <c r="BD16" s="37">
        <f t="shared" si="28"/>
        <v>3280.0000000004657</v>
      </c>
      <c r="BE16" s="77">
        <v>5349</v>
      </c>
      <c r="BF16" s="37">
        <f t="shared" si="29"/>
        <v>0</v>
      </c>
      <c r="BH16" s="105">
        <f t="shared" si="1"/>
        <v>126506.88000000002</v>
      </c>
      <c r="BI16" s="105">
        <f t="shared" si="2"/>
        <v>72736.000000000466</v>
      </c>
    </row>
    <row r="17" spans="1:61" s="35" customFormat="1" ht="39.950000000000003" customHeight="1">
      <c r="A17" s="189">
        <v>44690</v>
      </c>
      <c r="B17" s="34"/>
      <c r="C17" s="77">
        <v>6879511</v>
      </c>
      <c r="D17" s="37">
        <f t="shared" si="7"/>
        <v>98736</v>
      </c>
      <c r="E17" s="104">
        <f t="shared" si="5"/>
        <v>59241.599999999999</v>
      </c>
      <c r="F17" s="103">
        <f t="shared" si="6"/>
        <v>39494.400000000001</v>
      </c>
      <c r="G17" s="77">
        <v>294612</v>
      </c>
      <c r="H17" s="37">
        <f t="shared" si="8"/>
        <v>1872</v>
      </c>
      <c r="I17" s="77">
        <v>184599</v>
      </c>
      <c r="J17" s="37">
        <f t="shared" si="9"/>
        <v>7776</v>
      </c>
      <c r="K17" s="77">
        <v>268931</v>
      </c>
      <c r="L17" s="37">
        <f t="shared" si="0"/>
        <v>768</v>
      </c>
      <c r="M17" s="77">
        <v>25315</v>
      </c>
      <c r="N17" s="37">
        <f t="shared" si="10"/>
        <v>0</v>
      </c>
      <c r="O17" s="77">
        <v>327593</v>
      </c>
      <c r="P17" s="37">
        <f t="shared" si="11"/>
        <v>8976</v>
      </c>
      <c r="Q17" s="77">
        <v>475775</v>
      </c>
      <c r="R17" s="37">
        <f t="shared" si="12"/>
        <v>3888</v>
      </c>
      <c r="S17" s="77">
        <v>762592</v>
      </c>
      <c r="T17" s="37">
        <f t="shared" si="13"/>
        <v>5808</v>
      </c>
      <c r="U17" s="193">
        <f>(U16+U18)/2</f>
        <v>4836.1845000000003</v>
      </c>
      <c r="V17" s="103">
        <f t="shared" si="32"/>
        <v>851.97599999999511</v>
      </c>
      <c r="W17" s="77">
        <v>84656</v>
      </c>
      <c r="X17" s="37">
        <f t="shared" si="15"/>
        <v>0</v>
      </c>
      <c r="Y17" s="82">
        <f t="shared" si="33"/>
        <v>1518756.34375</v>
      </c>
      <c r="Z17" s="103">
        <f t="shared" si="16"/>
        <v>5338.5</v>
      </c>
      <c r="AA17" s="77">
        <v>13886</v>
      </c>
      <c r="AB17" s="37">
        <f t="shared" si="17"/>
        <v>0</v>
      </c>
      <c r="AC17" s="82">
        <f t="shared" si="34"/>
        <v>499523.875</v>
      </c>
      <c r="AD17" s="37">
        <f t="shared" si="18"/>
        <v>7314</v>
      </c>
      <c r="AE17" s="77">
        <v>569750</v>
      </c>
      <c r="AF17" s="37">
        <f t="shared" si="18"/>
        <v>4512</v>
      </c>
      <c r="AG17" s="76">
        <v>49788</v>
      </c>
      <c r="AH17" s="37">
        <f>(+AG17-+AG16)*48</f>
        <v>0</v>
      </c>
      <c r="AI17" s="77">
        <v>443115</v>
      </c>
      <c r="AJ17" s="37">
        <f t="shared" si="20"/>
        <v>5904</v>
      </c>
      <c r="AK17" s="77">
        <v>102770</v>
      </c>
      <c r="AL17" s="37">
        <f t="shared" si="21"/>
        <v>0</v>
      </c>
      <c r="AM17" s="77">
        <f>(AM16+AM18)/2</f>
        <v>605550</v>
      </c>
      <c r="AN17" s="37">
        <f t="shared" si="22"/>
        <v>6432</v>
      </c>
      <c r="AO17" s="77">
        <f>(AO16+AO18)/2</f>
        <v>993298.5</v>
      </c>
      <c r="AP17" s="37">
        <f t="shared" si="23"/>
        <v>10104</v>
      </c>
      <c r="AQ17" s="77">
        <f>(AQ16+AQ18)/2</f>
        <v>89232</v>
      </c>
      <c r="AR17" s="37">
        <f t="shared" si="30"/>
        <v>3120</v>
      </c>
      <c r="AS17" s="77">
        <v>2456</v>
      </c>
      <c r="AT17" s="37">
        <f t="shared" si="24"/>
        <v>48</v>
      </c>
      <c r="AU17" s="77">
        <v>939</v>
      </c>
      <c r="AV17" s="37">
        <f t="shared" si="25"/>
        <v>0</v>
      </c>
      <c r="AW17" s="77">
        <v>3110</v>
      </c>
      <c r="AX17" s="37">
        <f t="shared" si="26"/>
        <v>0</v>
      </c>
      <c r="AY17" s="77">
        <f>(AY16+AY18)/2</f>
        <v>346752.5</v>
      </c>
      <c r="AZ17" s="37">
        <f t="shared" si="27"/>
        <v>5160</v>
      </c>
      <c r="BA17" s="76">
        <v>161101</v>
      </c>
      <c r="BB17" s="37">
        <f t="shared" si="31"/>
        <v>0</v>
      </c>
      <c r="BC17" s="82">
        <f>(BC19-BC16)/3+BC16</f>
        <v>234480.55555555556</v>
      </c>
      <c r="BD17" s="103">
        <f t="shared" si="28"/>
        <v>3226.6666666665114</v>
      </c>
      <c r="BE17" s="77">
        <f>(BE16+BE18)/2</f>
        <v>5349</v>
      </c>
      <c r="BF17" s="37">
        <f t="shared" si="29"/>
        <v>0</v>
      </c>
      <c r="BH17" s="105">
        <f t="shared" si="1"/>
        <v>112250.076</v>
      </c>
      <c r="BI17" s="105">
        <f t="shared" si="2"/>
        <v>67585.066666666506</v>
      </c>
    </row>
    <row r="18" spans="1:61" s="35" customFormat="1" ht="39.950000000000003" customHeight="1">
      <c r="A18" s="189">
        <v>44691</v>
      </c>
      <c r="B18" s="34"/>
      <c r="C18" s="77">
        <v>6881636</v>
      </c>
      <c r="D18" s="37">
        <f t="shared" si="7"/>
        <v>102000</v>
      </c>
      <c r="E18" s="104">
        <f t="shared" si="5"/>
        <v>61200</v>
      </c>
      <c r="F18" s="103">
        <f t="shared" si="6"/>
        <v>40800</v>
      </c>
      <c r="G18" s="77">
        <v>294646</v>
      </c>
      <c r="H18" s="37">
        <f t="shared" si="8"/>
        <v>1632</v>
      </c>
      <c r="I18" s="77">
        <v>184761</v>
      </c>
      <c r="J18" s="37">
        <f t="shared" si="9"/>
        <v>7776</v>
      </c>
      <c r="K18" s="77">
        <v>268942</v>
      </c>
      <c r="L18" s="37">
        <f t="shared" si="0"/>
        <v>528</v>
      </c>
      <c r="M18" s="77">
        <v>25315</v>
      </c>
      <c r="N18" s="37">
        <f t="shared" si="10"/>
        <v>0</v>
      </c>
      <c r="O18" s="77">
        <v>327770</v>
      </c>
      <c r="P18" s="37">
        <f t="shared" si="11"/>
        <v>8496</v>
      </c>
      <c r="Q18" s="77">
        <v>475865</v>
      </c>
      <c r="R18" s="37">
        <f t="shared" si="12"/>
        <v>4320</v>
      </c>
      <c r="S18" s="77">
        <v>762741</v>
      </c>
      <c r="T18" s="37">
        <f t="shared" si="13"/>
        <v>7152</v>
      </c>
      <c r="U18" s="193">
        <v>4853.9340000000002</v>
      </c>
      <c r="V18" s="103">
        <f t="shared" si="32"/>
        <v>851.97599999999511</v>
      </c>
      <c r="W18" s="77">
        <v>84669</v>
      </c>
      <c r="X18" s="37">
        <f t="shared" si="15"/>
        <v>624</v>
      </c>
      <c r="Y18" s="77">
        <v>1518839</v>
      </c>
      <c r="Z18" s="103">
        <f t="shared" si="16"/>
        <v>3967.5</v>
      </c>
      <c r="AA18" s="77">
        <v>13886</v>
      </c>
      <c r="AB18" s="37">
        <f t="shared" si="17"/>
        <v>0</v>
      </c>
      <c r="AC18" s="77">
        <v>499677</v>
      </c>
      <c r="AD18" s="37">
        <f t="shared" si="18"/>
        <v>7350</v>
      </c>
      <c r="AE18" s="77">
        <v>569843</v>
      </c>
      <c r="AF18" s="37">
        <f t="shared" si="18"/>
        <v>4464</v>
      </c>
      <c r="AG18" s="76">
        <v>49788</v>
      </c>
      <c r="AH18" s="37">
        <f>(+AG18-+AG17)*48</f>
        <v>0</v>
      </c>
      <c r="AI18" s="77">
        <v>443215</v>
      </c>
      <c r="AJ18" s="37">
        <f t="shared" si="20"/>
        <v>4800</v>
      </c>
      <c r="AK18" s="77">
        <v>102770</v>
      </c>
      <c r="AL18" s="37">
        <f t="shared" si="21"/>
        <v>0</v>
      </c>
      <c r="AM18" s="77">
        <v>605684</v>
      </c>
      <c r="AN18" s="37">
        <f t="shared" si="22"/>
        <v>6432</v>
      </c>
      <c r="AO18" s="77">
        <v>993509</v>
      </c>
      <c r="AP18" s="37">
        <f t="shared" si="23"/>
        <v>10104</v>
      </c>
      <c r="AQ18" s="77">
        <v>89297</v>
      </c>
      <c r="AR18" s="37">
        <f t="shared" si="30"/>
        <v>3120</v>
      </c>
      <c r="AS18" s="77">
        <v>2456</v>
      </c>
      <c r="AT18" s="37">
        <f t="shared" si="24"/>
        <v>0</v>
      </c>
      <c r="AU18" s="77">
        <v>939</v>
      </c>
      <c r="AV18" s="37">
        <f t="shared" si="25"/>
        <v>0</v>
      </c>
      <c r="AW18" s="77">
        <v>3110</v>
      </c>
      <c r="AX18" s="37">
        <f t="shared" si="26"/>
        <v>0</v>
      </c>
      <c r="AY18" s="77">
        <v>346860</v>
      </c>
      <c r="AZ18" s="37">
        <f t="shared" si="27"/>
        <v>5160</v>
      </c>
      <c r="BA18" s="76">
        <v>161101</v>
      </c>
      <c r="BB18" s="37">
        <f t="shared" si="31"/>
        <v>0</v>
      </c>
      <c r="BC18" s="77">
        <v>234550</v>
      </c>
      <c r="BD18" s="103">
        <f t="shared" si="28"/>
        <v>3333.3333333330229</v>
      </c>
      <c r="BE18" s="77">
        <v>5349</v>
      </c>
      <c r="BF18" s="37">
        <f t="shared" si="29"/>
        <v>0</v>
      </c>
      <c r="BH18" s="105">
        <f t="shared" si="1"/>
        <v>113161.476</v>
      </c>
      <c r="BI18" s="105">
        <f t="shared" si="2"/>
        <v>68949.333333333023</v>
      </c>
    </row>
    <row r="19" spans="1:61" s="35" customFormat="1" ht="39.950000000000003" customHeight="1">
      <c r="A19" s="189">
        <v>44692</v>
      </c>
      <c r="B19" s="34"/>
      <c r="C19" s="77">
        <v>6883840</v>
      </c>
      <c r="D19" s="37">
        <f t="shared" si="7"/>
        <v>105792</v>
      </c>
      <c r="E19" s="104">
        <f t="shared" si="5"/>
        <v>63475.199999999997</v>
      </c>
      <c r="F19" s="103">
        <f t="shared" si="6"/>
        <v>42316.800000000003</v>
      </c>
      <c r="G19" s="77">
        <v>294678</v>
      </c>
      <c r="H19" s="37">
        <f t="shared" si="8"/>
        <v>1536</v>
      </c>
      <c r="I19" s="77">
        <v>184928</v>
      </c>
      <c r="J19" s="37">
        <f t="shared" si="9"/>
        <v>8016</v>
      </c>
      <c r="K19" s="77">
        <v>268955</v>
      </c>
      <c r="L19" s="37">
        <f t="shared" si="0"/>
        <v>624</v>
      </c>
      <c r="M19" s="77">
        <v>25315</v>
      </c>
      <c r="N19" s="37">
        <f t="shared" si="10"/>
        <v>0</v>
      </c>
      <c r="O19" s="77">
        <v>327939</v>
      </c>
      <c r="P19" s="37">
        <f t="shared" si="11"/>
        <v>8112</v>
      </c>
      <c r="Q19" s="77">
        <v>475950</v>
      </c>
      <c r="R19" s="37">
        <f t="shared" si="12"/>
        <v>4080</v>
      </c>
      <c r="S19" s="77">
        <v>762859</v>
      </c>
      <c r="T19" s="37">
        <f t="shared" si="13"/>
        <v>5664</v>
      </c>
      <c r="U19" s="193">
        <v>4868.1620000000003</v>
      </c>
      <c r="V19" s="103">
        <f t="shared" si="32"/>
        <v>682.94400000000314</v>
      </c>
      <c r="W19" s="77">
        <v>84674</v>
      </c>
      <c r="X19" s="37">
        <f t="shared" si="15"/>
        <v>240</v>
      </c>
      <c r="Y19" s="77">
        <v>1518959</v>
      </c>
      <c r="Z19" s="37">
        <f t="shared" si="16"/>
        <v>5760</v>
      </c>
      <c r="AA19" s="77">
        <v>13886</v>
      </c>
      <c r="AB19" s="37">
        <f t="shared" si="17"/>
        <v>0</v>
      </c>
      <c r="AC19" s="77">
        <v>499832</v>
      </c>
      <c r="AD19" s="37">
        <f t="shared" si="18"/>
        <v>7440</v>
      </c>
      <c r="AE19" s="77">
        <v>569938</v>
      </c>
      <c r="AF19" s="37">
        <f t="shared" si="18"/>
        <v>4560</v>
      </c>
      <c r="AG19" s="77">
        <v>49788</v>
      </c>
      <c r="AH19" s="37">
        <f>(+AG19-+AG18)*48</f>
        <v>0</v>
      </c>
      <c r="AI19" s="77">
        <v>443306</v>
      </c>
      <c r="AJ19" s="37">
        <f t="shared" si="20"/>
        <v>4368</v>
      </c>
      <c r="AK19" s="77">
        <v>102770</v>
      </c>
      <c r="AL19" s="37">
        <f t="shared" si="21"/>
        <v>0</v>
      </c>
      <c r="AM19" s="77">
        <v>605813</v>
      </c>
      <c r="AN19" s="37">
        <f t="shared" si="22"/>
        <v>6192</v>
      </c>
      <c r="AO19" s="77">
        <v>993699</v>
      </c>
      <c r="AP19" s="37">
        <f t="shared" si="23"/>
        <v>9120</v>
      </c>
      <c r="AQ19" s="77">
        <v>89420</v>
      </c>
      <c r="AR19" s="37">
        <f t="shared" si="30"/>
        <v>5904</v>
      </c>
      <c r="AS19" s="77">
        <v>2456</v>
      </c>
      <c r="AT19" s="37">
        <f t="shared" si="24"/>
        <v>0</v>
      </c>
      <c r="AU19" s="77">
        <v>939</v>
      </c>
      <c r="AV19" s="37">
        <f t="shared" si="25"/>
        <v>0</v>
      </c>
      <c r="AW19" s="77">
        <v>3110</v>
      </c>
      <c r="AX19" s="37">
        <f t="shared" si="26"/>
        <v>0</v>
      </c>
      <c r="AY19" s="77">
        <v>346955</v>
      </c>
      <c r="AZ19" s="37">
        <f t="shared" si="27"/>
        <v>4560</v>
      </c>
      <c r="BA19" s="76">
        <v>161101</v>
      </c>
      <c r="BB19" s="37">
        <f t="shared" si="31"/>
        <v>0</v>
      </c>
      <c r="BC19" s="77">
        <v>234615</v>
      </c>
      <c r="BD19" s="37">
        <f t="shared" si="28"/>
        <v>3120</v>
      </c>
      <c r="BE19" s="77">
        <v>5349</v>
      </c>
      <c r="BF19" s="37">
        <f t="shared" si="29"/>
        <v>0</v>
      </c>
      <c r="BH19" s="105">
        <f t="shared" si="1"/>
        <v>114558.144</v>
      </c>
      <c r="BI19" s="105">
        <f t="shared" si="2"/>
        <v>71212.800000000003</v>
      </c>
    </row>
    <row r="20" spans="1:61" s="35" customFormat="1" ht="39.950000000000003" customHeight="1">
      <c r="A20" s="189">
        <v>44693</v>
      </c>
      <c r="B20" s="34"/>
      <c r="C20" s="77">
        <v>6885840</v>
      </c>
      <c r="D20" s="37">
        <f t="shared" si="7"/>
        <v>96000</v>
      </c>
      <c r="E20" s="104">
        <f t="shared" si="5"/>
        <v>57600</v>
      </c>
      <c r="F20" s="103">
        <f t="shared" si="6"/>
        <v>38400</v>
      </c>
      <c r="G20" s="77">
        <v>294713</v>
      </c>
      <c r="H20" s="37">
        <f t="shared" si="8"/>
        <v>1680</v>
      </c>
      <c r="I20" s="77">
        <v>185086</v>
      </c>
      <c r="J20" s="37">
        <f t="shared" si="9"/>
        <v>7584</v>
      </c>
      <c r="K20" s="77">
        <v>268968</v>
      </c>
      <c r="L20" s="37">
        <f t="shared" si="0"/>
        <v>624</v>
      </c>
      <c r="M20" s="77">
        <v>25315</v>
      </c>
      <c r="N20" s="37">
        <f t="shared" si="10"/>
        <v>0</v>
      </c>
      <c r="O20" s="77">
        <v>328109</v>
      </c>
      <c r="P20" s="37">
        <f t="shared" si="11"/>
        <v>8160</v>
      </c>
      <c r="Q20" s="77">
        <v>476034</v>
      </c>
      <c r="R20" s="37">
        <f t="shared" si="12"/>
        <v>4032</v>
      </c>
      <c r="S20" s="77">
        <v>763033</v>
      </c>
      <c r="T20" s="37">
        <f t="shared" si="13"/>
        <v>8352</v>
      </c>
      <c r="U20" s="193">
        <v>4881.2610000000004</v>
      </c>
      <c r="V20" s="103">
        <f t="shared" si="32"/>
        <v>628.75200000000768</v>
      </c>
      <c r="W20" s="77">
        <v>84681</v>
      </c>
      <c r="X20" s="37">
        <f t="shared" si="15"/>
        <v>336</v>
      </c>
      <c r="Y20" s="77">
        <v>1519090</v>
      </c>
      <c r="Z20" s="37">
        <f t="shared" si="16"/>
        <v>6288</v>
      </c>
      <c r="AA20" s="77">
        <v>13886</v>
      </c>
      <c r="AB20" s="37">
        <f t="shared" si="17"/>
        <v>0</v>
      </c>
      <c r="AC20" s="77">
        <v>499981</v>
      </c>
      <c r="AD20" s="37">
        <f t="shared" si="18"/>
        <v>7152</v>
      </c>
      <c r="AE20" s="77">
        <v>570028</v>
      </c>
      <c r="AF20" s="37">
        <f t="shared" si="18"/>
        <v>4320</v>
      </c>
      <c r="AG20" s="77">
        <v>49788</v>
      </c>
      <c r="AH20" s="37">
        <f>(+AG20-+AG19)*48</f>
        <v>0</v>
      </c>
      <c r="AI20" s="77">
        <v>443401</v>
      </c>
      <c r="AJ20" s="37">
        <f t="shared" si="20"/>
        <v>4560</v>
      </c>
      <c r="AK20" s="77">
        <v>102770</v>
      </c>
      <c r="AL20" s="37">
        <f t="shared" si="21"/>
        <v>0</v>
      </c>
      <c r="AM20" s="77">
        <v>605947</v>
      </c>
      <c r="AN20" s="37">
        <f t="shared" si="22"/>
        <v>6432</v>
      </c>
      <c r="AO20" s="77">
        <v>993904</v>
      </c>
      <c r="AP20" s="37">
        <f t="shared" si="23"/>
        <v>9840</v>
      </c>
      <c r="AQ20" s="77">
        <v>89503</v>
      </c>
      <c r="AR20" s="37">
        <f t="shared" si="30"/>
        <v>3984</v>
      </c>
      <c r="AS20" s="77">
        <v>2458</v>
      </c>
      <c r="AT20" s="37">
        <f t="shared" si="24"/>
        <v>96</v>
      </c>
      <c r="AU20" s="77">
        <v>939</v>
      </c>
      <c r="AV20" s="37">
        <f t="shared" si="25"/>
        <v>0</v>
      </c>
      <c r="AW20" s="77">
        <v>3110</v>
      </c>
      <c r="AX20" s="37">
        <f t="shared" si="26"/>
        <v>0</v>
      </c>
      <c r="AY20" s="77">
        <v>347058</v>
      </c>
      <c r="AZ20" s="37">
        <f t="shared" si="27"/>
        <v>4944</v>
      </c>
      <c r="BA20" s="76">
        <v>161101</v>
      </c>
      <c r="BB20" s="37">
        <f t="shared" si="31"/>
        <v>0</v>
      </c>
      <c r="BC20" s="77">
        <v>234683</v>
      </c>
      <c r="BD20" s="37">
        <f t="shared" si="28"/>
        <v>3264</v>
      </c>
      <c r="BE20" s="77">
        <v>5349</v>
      </c>
      <c r="BF20" s="37">
        <f t="shared" si="29"/>
        <v>0</v>
      </c>
      <c r="BH20" s="166">
        <f t="shared" si="1"/>
        <v>111316.75200000001</v>
      </c>
      <c r="BI20" s="166">
        <f t="shared" si="2"/>
        <v>66960</v>
      </c>
    </row>
    <row r="21" spans="1:61" s="35" customFormat="1" ht="39.950000000000003" customHeight="1">
      <c r="A21" s="189">
        <v>44694</v>
      </c>
      <c r="B21" s="34"/>
      <c r="C21" s="77">
        <v>6887875</v>
      </c>
      <c r="D21" s="37">
        <f t="shared" si="7"/>
        <v>97680</v>
      </c>
      <c r="E21" s="104">
        <f t="shared" si="5"/>
        <v>58608</v>
      </c>
      <c r="F21" s="103">
        <f t="shared" si="6"/>
        <v>39072</v>
      </c>
      <c r="G21" s="77">
        <v>294760</v>
      </c>
      <c r="H21" s="37">
        <f t="shared" si="8"/>
        <v>2256</v>
      </c>
      <c r="I21" s="77">
        <v>185240</v>
      </c>
      <c r="J21" s="37">
        <f t="shared" si="9"/>
        <v>7392</v>
      </c>
      <c r="K21" s="77">
        <v>268986</v>
      </c>
      <c r="L21" s="37">
        <f t="shared" si="0"/>
        <v>864</v>
      </c>
      <c r="M21" s="77">
        <v>25315</v>
      </c>
      <c r="N21" s="37">
        <f t="shared" si="10"/>
        <v>0</v>
      </c>
      <c r="O21" s="77">
        <v>328304</v>
      </c>
      <c r="P21" s="37">
        <f t="shared" si="11"/>
        <v>9360</v>
      </c>
      <c r="Q21" s="77">
        <v>476126</v>
      </c>
      <c r="R21" s="37">
        <f t="shared" si="12"/>
        <v>4416</v>
      </c>
      <c r="S21" s="77">
        <v>763152</v>
      </c>
      <c r="T21" s="37">
        <f t="shared" si="13"/>
        <v>5712</v>
      </c>
      <c r="U21" s="193">
        <v>4897.6080000000002</v>
      </c>
      <c r="V21" s="103">
        <f t="shared" si="32"/>
        <v>784.65599999998813</v>
      </c>
      <c r="W21" s="77">
        <v>84702</v>
      </c>
      <c r="X21" s="37">
        <f t="shared" si="15"/>
        <v>1008</v>
      </c>
      <c r="Y21" s="77">
        <v>1519219</v>
      </c>
      <c r="Z21" s="37">
        <f t="shared" si="16"/>
        <v>6192</v>
      </c>
      <c r="AA21" s="77">
        <v>13886</v>
      </c>
      <c r="AB21" s="37">
        <f t="shared" si="17"/>
        <v>0</v>
      </c>
      <c r="AC21" s="76">
        <v>500133</v>
      </c>
      <c r="AD21" s="37">
        <f t="shared" si="18"/>
        <v>7296</v>
      </c>
      <c r="AE21" s="76">
        <v>570119</v>
      </c>
      <c r="AF21" s="37">
        <f t="shared" si="18"/>
        <v>4368</v>
      </c>
      <c r="AG21" s="77">
        <v>49788</v>
      </c>
      <c r="AH21" s="37">
        <f t="shared" si="19"/>
        <v>0</v>
      </c>
      <c r="AI21" s="76">
        <v>443498</v>
      </c>
      <c r="AJ21" s="37">
        <f t="shared" si="20"/>
        <v>4656</v>
      </c>
      <c r="AK21" s="77">
        <v>102770</v>
      </c>
      <c r="AL21" s="37">
        <f t="shared" si="21"/>
        <v>0</v>
      </c>
      <c r="AM21" s="77">
        <v>606084</v>
      </c>
      <c r="AN21" s="37">
        <f t="shared" si="22"/>
        <v>6576</v>
      </c>
      <c r="AO21" s="77">
        <v>994113</v>
      </c>
      <c r="AP21" s="37">
        <f t="shared" si="23"/>
        <v>10032</v>
      </c>
      <c r="AQ21" s="77">
        <v>89558</v>
      </c>
      <c r="AR21" s="37">
        <f t="shared" si="30"/>
        <v>2640</v>
      </c>
      <c r="AS21" s="77">
        <v>2458</v>
      </c>
      <c r="AT21" s="37">
        <f t="shared" si="24"/>
        <v>0</v>
      </c>
      <c r="AU21" s="77">
        <v>939</v>
      </c>
      <c r="AV21" s="37">
        <f t="shared" si="25"/>
        <v>0</v>
      </c>
      <c r="AW21" s="77">
        <v>3110</v>
      </c>
      <c r="AX21" s="37">
        <f t="shared" si="26"/>
        <v>0</v>
      </c>
      <c r="AY21" s="77">
        <v>347165</v>
      </c>
      <c r="AZ21" s="37">
        <f t="shared" si="27"/>
        <v>5136</v>
      </c>
      <c r="BA21" s="76">
        <v>161101</v>
      </c>
      <c r="BB21" s="37">
        <f t="shared" si="31"/>
        <v>0</v>
      </c>
      <c r="BC21" s="77">
        <v>234752</v>
      </c>
      <c r="BD21" s="37">
        <f t="shared" si="28"/>
        <v>3312</v>
      </c>
      <c r="BE21" s="77">
        <v>5349</v>
      </c>
      <c r="BF21" s="37">
        <f t="shared" si="29"/>
        <v>0</v>
      </c>
      <c r="BH21" s="166">
        <f t="shared" si="1"/>
        <v>112912.65599999999</v>
      </c>
      <c r="BI21" s="166">
        <f t="shared" si="2"/>
        <v>66768</v>
      </c>
    </row>
    <row r="22" spans="1:61" s="35" customFormat="1" ht="39.950000000000003" customHeight="1">
      <c r="A22" s="189">
        <v>44695</v>
      </c>
      <c r="B22" s="34"/>
      <c r="C22" s="77">
        <v>6890085</v>
      </c>
      <c r="D22" s="37">
        <f t="shared" si="7"/>
        <v>106080</v>
      </c>
      <c r="E22" s="104">
        <f t="shared" si="5"/>
        <v>63648</v>
      </c>
      <c r="F22" s="103">
        <f t="shared" si="6"/>
        <v>42432</v>
      </c>
      <c r="G22" s="77">
        <v>294794</v>
      </c>
      <c r="H22" s="37">
        <f t="shared" si="8"/>
        <v>1632</v>
      </c>
      <c r="I22" s="77">
        <v>185412</v>
      </c>
      <c r="J22" s="37">
        <f t="shared" si="9"/>
        <v>8256</v>
      </c>
      <c r="K22" s="77">
        <v>269000</v>
      </c>
      <c r="L22" s="37">
        <f t="shared" si="0"/>
        <v>672</v>
      </c>
      <c r="M22" s="77">
        <v>25315</v>
      </c>
      <c r="N22" s="37">
        <f t="shared" si="10"/>
        <v>0</v>
      </c>
      <c r="O22" s="77">
        <v>328512</v>
      </c>
      <c r="P22" s="37">
        <f t="shared" si="11"/>
        <v>9984</v>
      </c>
      <c r="Q22" s="77">
        <v>476213</v>
      </c>
      <c r="R22" s="37">
        <f t="shared" si="12"/>
        <v>4176</v>
      </c>
      <c r="S22" s="77">
        <v>763264</v>
      </c>
      <c r="T22" s="37">
        <f t="shared" si="13"/>
        <v>5376</v>
      </c>
      <c r="U22" s="193">
        <v>4916.4679999999998</v>
      </c>
      <c r="V22" s="103">
        <f t="shared" si="32"/>
        <v>905.27999999998428</v>
      </c>
      <c r="W22" s="77">
        <v>84718</v>
      </c>
      <c r="X22" s="37">
        <f t="shared" si="15"/>
        <v>768</v>
      </c>
      <c r="Y22" s="77">
        <v>1519440</v>
      </c>
      <c r="Z22" s="37">
        <f t="shared" si="16"/>
        <v>10608</v>
      </c>
      <c r="AA22" s="77">
        <v>13886</v>
      </c>
      <c r="AB22" s="37">
        <f t="shared" si="17"/>
        <v>0</v>
      </c>
      <c r="AC22" s="77">
        <v>500285</v>
      </c>
      <c r="AD22" s="37">
        <f t="shared" si="18"/>
        <v>7296</v>
      </c>
      <c r="AE22" s="77">
        <v>570214</v>
      </c>
      <c r="AF22" s="37">
        <f t="shared" si="18"/>
        <v>4560</v>
      </c>
      <c r="AG22" s="77">
        <v>49788</v>
      </c>
      <c r="AH22" s="37">
        <f t="shared" si="19"/>
        <v>0</v>
      </c>
      <c r="AI22" s="77">
        <v>443555</v>
      </c>
      <c r="AJ22" s="37">
        <f t="shared" si="20"/>
        <v>2736</v>
      </c>
      <c r="AK22" s="77">
        <v>102770</v>
      </c>
      <c r="AL22" s="37">
        <f t="shared" si="21"/>
        <v>0</v>
      </c>
      <c r="AM22" s="76">
        <v>606221</v>
      </c>
      <c r="AN22" s="37">
        <f t="shared" si="22"/>
        <v>6576</v>
      </c>
      <c r="AO22" s="76">
        <v>994321</v>
      </c>
      <c r="AP22" s="37">
        <f t="shared" si="23"/>
        <v>9984</v>
      </c>
      <c r="AQ22" s="77">
        <v>89728</v>
      </c>
      <c r="AR22" s="37">
        <f t="shared" si="30"/>
        <v>8160</v>
      </c>
      <c r="AS22" s="77">
        <v>2458</v>
      </c>
      <c r="AT22" s="37">
        <f t="shared" si="24"/>
        <v>0</v>
      </c>
      <c r="AU22" s="77">
        <v>939</v>
      </c>
      <c r="AV22" s="37">
        <f t="shared" si="25"/>
        <v>0</v>
      </c>
      <c r="AW22" s="77">
        <v>3110</v>
      </c>
      <c r="AX22" s="37">
        <f t="shared" si="26"/>
        <v>0</v>
      </c>
      <c r="AY22" s="77">
        <v>347270</v>
      </c>
      <c r="AZ22" s="37">
        <f t="shared" si="27"/>
        <v>5040</v>
      </c>
      <c r="BA22" s="76">
        <v>161101</v>
      </c>
      <c r="BB22" s="37">
        <f t="shared" si="31"/>
        <v>0</v>
      </c>
      <c r="BC22" s="77">
        <v>234842</v>
      </c>
      <c r="BD22" s="37">
        <f t="shared" si="28"/>
        <v>4320</v>
      </c>
      <c r="BE22" s="77">
        <v>5349</v>
      </c>
      <c r="BF22" s="37">
        <f t="shared" si="29"/>
        <v>0</v>
      </c>
      <c r="BH22" s="166">
        <f t="shared" si="1"/>
        <v>120617.27999999998</v>
      </c>
      <c r="BI22" s="166">
        <f t="shared" si="2"/>
        <v>76512</v>
      </c>
    </row>
    <row r="23" spans="1:61" s="35" customFormat="1" ht="39.950000000000003" customHeight="1">
      <c r="A23" s="189">
        <v>44696</v>
      </c>
      <c r="B23" s="34"/>
      <c r="C23" s="77">
        <v>6892284</v>
      </c>
      <c r="D23" s="37">
        <f t="shared" si="7"/>
        <v>105552</v>
      </c>
      <c r="E23" s="104">
        <f t="shared" si="5"/>
        <v>63331.199999999997</v>
      </c>
      <c r="F23" s="103">
        <f t="shared" si="6"/>
        <v>42220.800000000003</v>
      </c>
      <c r="G23" s="77">
        <v>294833</v>
      </c>
      <c r="H23" s="37">
        <f t="shared" si="8"/>
        <v>1872</v>
      </c>
      <c r="I23" s="77">
        <v>185574</v>
      </c>
      <c r="J23" s="37">
        <f t="shared" si="9"/>
        <v>7776</v>
      </c>
      <c r="K23" s="77">
        <v>269016</v>
      </c>
      <c r="L23" s="37">
        <f t="shared" si="0"/>
        <v>768</v>
      </c>
      <c r="M23" s="77">
        <v>25315</v>
      </c>
      <c r="N23" s="37">
        <f t="shared" si="10"/>
        <v>0</v>
      </c>
      <c r="O23" s="77">
        <v>328702</v>
      </c>
      <c r="P23" s="37">
        <f t="shared" si="11"/>
        <v>9120</v>
      </c>
      <c r="Q23" s="77">
        <v>476307</v>
      </c>
      <c r="R23" s="37">
        <f t="shared" si="12"/>
        <v>4512</v>
      </c>
      <c r="S23" s="77">
        <v>763403</v>
      </c>
      <c r="T23" s="37">
        <f t="shared" si="13"/>
        <v>6672</v>
      </c>
      <c r="U23" s="193">
        <v>4935.4319999999998</v>
      </c>
      <c r="V23" s="103">
        <f t="shared" si="32"/>
        <v>910.27199999999721</v>
      </c>
      <c r="W23" s="77">
        <v>84730</v>
      </c>
      <c r="X23" s="37">
        <f t="shared" si="15"/>
        <v>576</v>
      </c>
      <c r="Y23" s="77">
        <v>1519732</v>
      </c>
      <c r="Z23" s="37">
        <f t="shared" si="16"/>
        <v>14016</v>
      </c>
      <c r="AA23" s="77">
        <v>13886</v>
      </c>
      <c r="AB23" s="37">
        <f t="shared" si="17"/>
        <v>0</v>
      </c>
      <c r="AC23" s="77">
        <v>500443</v>
      </c>
      <c r="AD23" s="37">
        <f t="shared" si="18"/>
        <v>7584</v>
      </c>
      <c r="AE23" s="77">
        <v>570312</v>
      </c>
      <c r="AF23" s="37">
        <f t="shared" si="18"/>
        <v>4704</v>
      </c>
      <c r="AG23" s="77">
        <v>49788</v>
      </c>
      <c r="AH23" s="37">
        <f t="shared" si="19"/>
        <v>0</v>
      </c>
      <c r="AI23" s="77">
        <v>443685</v>
      </c>
      <c r="AJ23" s="37">
        <f t="shared" si="20"/>
        <v>6240</v>
      </c>
      <c r="AK23" s="77">
        <v>102770</v>
      </c>
      <c r="AL23" s="37">
        <f t="shared" si="21"/>
        <v>0</v>
      </c>
      <c r="AM23" s="77">
        <v>606361</v>
      </c>
      <c r="AN23" s="37">
        <f t="shared" si="22"/>
        <v>6720</v>
      </c>
      <c r="AO23" s="77">
        <v>994533</v>
      </c>
      <c r="AP23" s="37">
        <f t="shared" si="23"/>
        <v>10176</v>
      </c>
      <c r="AQ23" s="77">
        <v>89801</v>
      </c>
      <c r="AR23" s="37">
        <f t="shared" si="30"/>
        <v>3504</v>
      </c>
      <c r="AS23" s="77">
        <v>2458</v>
      </c>
      <c r="AT23" s="37">
        <f t="shared" si="24"/>
        <v>0</v>
      </c>
      <c r="AU23" s="77">
        <v>939</v>
      </c>
      <c r="AV23" s="37">
        <f t="shared" si="25"/>
        <v>0</v>
      </c>
      <c r="AW23" s="77">
        <v>3110</v>
      </c>
      <c r="AX23" s="37">
        <f t="shared" si="26"/>
        <v>0</v>
      </c>
      <c r="AY23" s="77">
        <v>347378</v>
      </c>
      <c r="AZ23" s="103">
        <f t="shared" si="27"/>
        <v>5184</v>
      </c>
      <c r="BA23" s="76">
        <v>161101</v>
      </c>
      <c r="BB23" s="37">
        <f>(+BA24-+BA22)*48</f>
        <v>0</v>
      </c>
      <c r="BC23" s="77">
        <v>234890</v>
      </c>
      <c r="BD23" s="37">
        <f t="shared" si="28"/>
        <v>2304</v>
      </c>
      <c r="BE23" s="77">
        <v>5349</v>
      </c>
      <c r="BF23" s="37">
        <f t="shared" si="29"/>
        <v>0</v>
      </c>
      <c r="BH23" s="166">
        <f t="shared" si="1"/>
        <v>128081.47199999999</v>
      </c>
      <c r="BI23" s="166">
        <f t="shared" si="2"/>
        <v>70108.800000000003</v>
      </c>
    </row>
    <row r="24" spans="1:61" s="35" customFormat="1" ht="39.950000000000003" customHeight="1">
      <c r="A24" s="189">
        <v>44697</v>
      </c>
      <c r="B24" s="34"/>
      <c r="C24" s="77">
        <v>6894237</v>
      </c>
      <c r="D24" s="37">
        <f t="shared" si="7"/>
        <v>93744</v>
      </c>
      <c r="E24" s="104">
        <f t="shared" si="5"/>
        <v>56246.400000000001</v>
      </c>
      <c r="F24" s="103">
        <f t="shared" si="6"/>
        <v>37497.599999999999</v>
      </c>
      <c r="G24" s="77">
        <v>294868</v>
      </c>
      <c r="H24" s="37">
        <f t="shared" si="8"/>
        <v>1680</v>
      </c>
      <c r="I24" s="77">
        <v>185732</v>
      </c>
      <c r="J24" s="37">
        <f t="shared" si="9"/>
        <v>7584</v>
      </c>
      <c r="K24" s="77">
        <v>269032</v>
      </c>
      <c r="L24" s="37">
        <f t="shared" si="0"/>
        <v>768</v>
      </c>
      <c r="M24" s="77">
        <v>25315</v>
      </c>
      <c r="N24" s="37">
        <f t="shared" si="10"/>
        <v>0</v>
      </c>
      <c r="O24" s="77">
        <v>328872</v>
      </c>
      <c r="P24" s="37">
        <f t="shared" si="11"/>
        <v>8160</v>
      </c>
      <c r="Q24" s="77">
        <v>476379</v>
      </c>
      <c r="R24" s="37">
        <f t="shared" si="12"/>
        <v>3456</v>
      </c>
      <c r="S24" s="77">
        <v>763511</v>
      </c>
      <c r="T24" s="37">
        <f t="shared" si="13"/>
        <v>5184</v>
      </c>
      <c r="U24" s="193">
        <v>4951.84</v>
      </c>
      <c r="V24" s="103">
        <f t="shared" si="32"/>
        <v>787.58400000001711</v>
      </c>
      <c r="W24" s="77">
        <v>84730</v>
      </c>
      <c r="X24" s="37">
        <f t="shared" si="15"/>
        <v>0</v>
      </c>
      <c r="Y24" s="77">
        <v>1520013</v>
      </c>
      <c r="Z24" s="37">
        <f t="shared" si="16"/>
        <v>13488</v>
      </c>
      <c r="AA24" s="77">
        <v>13886</v>
      </c>
      <c r="AB24" s="37">
        <f t="shared" si="17"/>
        <v>0</v>
      </c>
      <c r="AC24" s="77">
        <v>500675</v>
      </c>
      <c r="AD24" s="37">
        <f t="shared" si="18"/>
        <v>11136</v>
      </c>
      <c r="AE24" s="77">
        <v>570442</v>
      </c>
      <c r="AF24" s="37">
        <f t="shared" si="18"/>
        <v>6240</v>
      </c>
      <c r="AG24" s="77">
        <v>49788</v>
      </c>
      <c r="AH24" s="37">
        <f t="shared" si="19"/>
        <v>0</v>
      </c>
      <c r="AI24" s="77">
        <v>443823</v>
      </c>
      <c r="AJ24" s="37">
        <f t="shared" si="20"/>
        <v>6624</v>
      </c>
      <c r="AK24" s="77">
        <v>102770</v>
      </c>
      <c r="AL24" s="37">
        <f t="shared" si="21"/>
        <v>0</v>
      </c>
      <c r="AM24" s="77">
        <v>606497</v>
      </c>
      <c r="AN24" s="37">
        <f t="shared" si="22"/>
        <v>6528</v>
      </c>
      <c r="AO24" s="77">
        <v>994740</v>
      </c>
      <c r="AP24" s="37">
        <f t="shared" si="23"/>
        <v>9936</v>
      </c>
      <c r="AQ24" s="77">
        <v>89987</v>
      </c>
      <c r="AR24" s="37">
        <f t="shared" si="30"/>
        <v>8928</v>
      </c>
      <c r="AS24" s="77">
        <v>2458</v>
      </c>
      <c r="AT24" s="37">
        <f t="shared" si="24"/>
        <v>0</v>
      </c>
      <c r="AU24" s="77">
        <v>939</v>
      </c>
      <c r="AV24" s="37">
        <f t="shared" si="25"/>
        <v>0</v>
      </c>
      <c r="AW24" s="77">
        <v>3110</v>
      </c>
      <c r="AX24" s="37">
        <f t="shared" si="26"/>
        <v>0</v>
      </c>
      <c r="AY24" s="77">
        <v>347482</v>
      </c>
      <c r="AZ24" s="37">
        <f t="shared" si="27"/>
        <v>4992</v>
      </c>
      <c r="BA24" s="76">
        <v>161101</v>
      </c>
      <c r="BB24" s="103">
        <f t="shared" ref="BB24:BB26" si="35">(+BA24-+BA23)*48</f>
        <v>0</v>
      </c>
      <c r="BC24" s="77">
        <v>234961</v>
      </c>
      <c r="BD24" s="37">
        <f t="shared" si="28"/>
        <v>3408</v>
      </c>
      <c r="BE24" s="77">
        <v>5349</v>
      </c>
      <c r="BF24" s="37">
        <f t="shared" si="29"/>
        <v>0</v>
      </c>
      <c r="BH24" s="105">
        <f t="shared" si="1"/>
        <v>121353.98400000001</v>
      </c>
      <c r="BI24" s="105">
        <f t="shared" si="2"/>
        <v>71289.600000000006</v>
      </c>
    </row>
    <row r="25" spans="1:61" s="35" customFormat="1" ht="39.950000000000003" customHeight="1">
      <c r="A25" s="189">
        <v>44698</v>
      </c>
      <c r="B25" s="34"/>
      <c r="C25" s="77">
        <v>6896384</v>
      </c>
      <c r="D25" s="103">
        <f t="shared" si="7"/>
        <v>103056</v>
      </c>
      <c r="E25" s="104">
        <f t="shared" si="5"/>
        <v>61833.599999999999</v>
      </c>
      <c r="F25" s="103">
        <f t="shared" si="6"/>
        <v>41222.400000000001</v>
      </c>
      <c r="G25" s="77">
        <v>294889</v>
      </c>
      <c r="H25" s="103">
        <f t="shared" si="8"/>
        <v>1008</v>
      </c>
      <c r="I25" s="77">
        <v>185907</v>
      </c>
      <c r="J25" s="103">
        <f t="shared" si="9"/>
        <v>8400</v>
      </c>
      <c r="K25" s="77">
        <v>269047</v>
      </c>
      <c r="L25" s="103">
        <f t="shared" si="0"/>
        <v>720</v>
      </c>
      <c r="M25" s="77">
        <v>25315</v>
      </c>
      <c r="N25" s="37">
        <f t="shared" si="10"/>
        <v>0</v>
      </c>
      <c r="O25" s="77">
        <v>329059</v>
      </c>
      <c r="P25" s="103">
        <f t="shared" si="11"/>
        <v>8976</v>
      </c>
      <c r="Q25" s="77">
        <v>476459</v>
      </c>
      <c r="R25" s="103">
        <f t="shared" si="12"/>
        <v>3840</v>
      </c>
      <c r="S25" s="77">
        <v>763622</v>
      </c>
      <c r="T25" s="103">
        <f t="shared" si="13"/>
        <v>5328</v>
      </c>
      <c r="U25" s="193">
        <v>4971.701</v>
      </c>
      <c r="V25" s="103">
        <f t="shared" si="32"/>
        <v>953.32799999999406</v>
      </c>
      <c r="W25" s="77">
        <v>84741</v>
      </c>
      <c r="X25" s="103">
        <f t="shared" si="15"/>
        <v>528</v>
      </c>
      <c r="Y25" s="77">
        <v>1520266</v>
      </c>
      <c r="Z25" s="103">
        <f t="shared" si="16"/>
        <v>12144</v>
      </c>
      <c r="AA25" s="77">
        <v>13886</v>
      </c>
      <c r="AB25" s="103">
        <f t="shared" si="17"/>
        <v>0</v>
      </c>
      <c r="AC25" s="77">
        <v>500789</v>
      </c>
      <c r="AD25" s="103">
        <f t="shared" si="18"/>
        <v>5472</v>
      </c>
      <c r="AE25" s="77">
        <v>570515</v>
      </c>
      <c r="AF25" s="103">
        <f t="shared" si="18"/>
        <v>3504</v>
      </c>
      <c r="AG25" s="77">
        <v>49788</v>
      </c>
      <c r="AH25" s="103">
        <f t="shared" si="19"/>
        <v>0</v>
      </c>
      <c r="AI25" s="77">
        <v>443923</v>
      </c>
      <c r="AJ25" s="103">
        <f t="shared" si="20"/>
        <v>4800</v>
      </c>
      <c r="AK25" s="77">
        <v>102770</v>
      </c>
      <c r="AL25" s="103">
        <f t="shared" si="21"/>
        <v>0</v>
      </c>
      <c r="AM25" s="77">
        <v>606616</v>
      </c>
      <c r="AN25" s="103">
        <f t="shared" si="22"/>
        <v>5712</v>
      </c>
      <c r="AO25" s="77">
        <v>994933</v>
      </c>
      <c r="AP25" s="103">
        <f t="shared" si="23"/>
        <v>9264</v>
      </c>
      <c r="AQ25" s="77">
        <v>90077</v>
      </c>
      <c r="AR25" s="103">
        <f t="shared" si="30"/>
        <v>4320</v>
      </c>
      <c r="AS25" s="77">
        <v>2458</v>
      </c>
      <c r="AT25" s="103">
        <f t="shared" si="24"/>
        <v>0</v>
      </c>
      <c r="AU25" s="77">
        <v>939</v>
      </c>
      <c r="AV25" s="103">
        <f t="shared" si="25"/>
        <v>0</v>
      </c>
      <c r="AW25" s="77">
        <v>3110</v>
      </c>
      <c r="AX25" s="103">
        <f t="shared" si="26"/>
        <v>0</v>
      </c>
      <c r="AY25" s="77">
        <v>347589</v>
      </c>
      <c r="AZ25" s="103">
        <f t="shared" si="27"/>
        <v>5136</v>
      </c>
      <c r="BA25" s="76">
        <v>161101</v>
      </c>
      <c r="BB25" s="103">
        <f t="shared" si="35"/>
        <v>0</v>
      </c>
      <c r="BC25" s="77">
        <v>235036</v>
      </c>
      <c r="BD25" s="103">
        <f t="shared" si="28"/>
        <v>3600</v>
      </c>
      <c r="BE25" s="77">
        <v>5349</v>
      </c>
      <c r="BF25" s="103">
        <f t="shared" si="29"/>
        <v>0</v>
      </c>
      <c r="BH25" s="105">
        <f t="shared" si="1"/>
        <v>117506.928</v>
      </c>
      <c r="BI25" s="105">
        <f t="shared" si="2"/>
        <v>69254.399999999994</v>
      </c>
    </row>
    <row r="26" spans="1:61" s="35" customFormat="1" ht="39.950000000000003" customHeight="1">
      <c r="A26" s="189">
        <v>44699</v>
      </c>
      <c r="B26" s="34"/>
      <c r="C26" s="77">
        <v>6898315</v>
      </c>
      <c r="D26" s="103">
        <f t="shared" si="7"/>
        <v>92688</v>
      </c>
      <c r="E26" s="104">
        <f t="shared" si="5"/>
        <v>55612.799999999996</v>
      </c>
      <c r="F26" s="103">
        <f t="shared" si="6"/>
        <v>37075.200000000004</v>
      </c>
      <c r="G26" s="77">
        <v>294926</v>
      </c>
      <c r="H26" s="103">
        <f t="shared" si="8"/>
        <v>1776</v>
      </c>
      <c r="I26" s="77">
        <v>186058</v>
      </c>
      <c r="J26" s="103">
        <f t="shared" si="9"/>
        <v>7248</v>
      </c>
      <c r="K26" s="77">
        <v>269060</v>
      </c>
      <c r="L26" s="103">
        <f t="shared" si="0"/>
        <v>624</v>
      </c>
      <c r="M26" s="77">
        <v>25315</v>
      </c>
      <c r="N26" s="37">
        <f t="shared" si="10"/>
        <v>0</v>
      </c>
      <c r="O26" s="77">
        <v>329253</v>
      </c>
      <c r="P26" s="103">
        <f t="shared" si="11"/>
        <v>9312</v>
      </c>
      <c r="Q26" s="77">
        <v>476542</v>
      </c>
      <c r="R26" s="103">
        <f t="shared" si="12"/>
        <v>3984</v>
      </c>
      <c r="S26" s="77">
        <v>763699</v>
      </c>
      <c r="T26" s="103">
        <f t="shared" si="13"/>
        <v>3696</v>
      </c>
      <c r="U26" s="193">
        <v>4989.6589999999997</v>
      </c>
      <c r="V26" s="103">
        <f t="shared" si="32"/>
        <v>861.98399999998219</v>
      </c>
      <c r="W26" s="77">
        <v>84756</v>
      </c>
      <c r="X26" s="103">
        <f t="shared" si="15"/>
        <v>720</v>
      </c>
      <c r="Y26" s="77">
        <v>1520404</v>
      </c>
      <c r="Z26" s="103">
        <f t="shared" si="16"/>
        <v>6624</v>
      </c>
      <c r="AA26" s="77">
        <v>13886</v>
      </c>
      <c r="AB26" s="103">
        <f t="shared" si="17"/>
        <v>0</v>
      </c>
      <c r="AC26" s="77">
        <v>500909</v>
      </c>
      <c r="AD26" s="103">
        <f t="shared" si="18"/>
        <v>5760</v>
      </c>
      <c r="AE26" s="77">
        <v>570605</v>
      </c>
      <c r="AF26" s="103">
        <f t="shared" si="18"/>
        <v>4320</v>
      </c>
      <c r="AG26" s="77">
        <v>49788</v>
      </c>
      <c r="AH26" s="103">
        <f t="shared" si="19"/>
        <v>0</v>
      </c>
      <c r="AI26" s="77">
        <v>444021</v>
      </c>
      <c r="AJ26" s="103">
        <f t="shared" si="20"/>
        <v>4704</v>
      </c>
      <c r="AK26" s="77">
        <v>102770</v>
      </c>
      <c r="AL26" s="103">
        <f t="shared" si="21"/>
        <v>0</v>
      </c>
      <c r="AM26" s="77">
        <v>606692</v>
      </c>
      <c r="AN26" s="103">
        <f t="shared" si="22"/>
        <v>3648</v>
      </c>
      <c r="AO26" s="77">
        <v>995035</v>
      </c>
      <c r="AP26" s="103">
        <f t="shared" si="23"/>
        <v>4896</v>
      </c>
      <c r="AQ26" s="77">
        <v>90103</v>
      </c>
      <c r="AR26" s="103">
        <f t="shared" si="30"/>
        <v>1248</v>
      </c>
      <c r="AS26" s="77">
        <v>2458</v>
      </c>
      <c r="AT26" s="103">
        <f t="shared" si="24"/>
        <v>0</v>
      </c>
      <c r="AU26" s="77">
        <v>939</v>
      </c>
      <c r="AV26" s="103">
        <f t="shared" si="25"/>
        <v>0</v>
      </c>
      <c r="AW26" s="77">
        <v>3110</v>
      </c>
      <c r="AX26" s="103">
        <f t="shared" si="26"/>
        <v>0</v>
      </c>
      <c r="AY26" s="77">
        <v>347696</v>
      </c>
      <c r="AZ26" s="103">
        <f t="shared" si="27"/>
        <v>5136</v>
      </c>
      <c r="BA26" s="76">
        <v>161101</v>
      </c>
      <c r="BB26" s="103">
        <f t="shared" si="35"/>
        <v>0</v>
      </c>
      <c r="BC26" s="77">
        <v>235105</v>
      </c>
      <c r="BD26" s="103">
        <f t="shared" si="28"/>
        <v>3312</v>
      </c>
      <c r="BE26" s="77">
        <v>5350</v>
      </c>
      <c r="BF26" s="103">
        <f t="shared" si="29"/>
        <v>48</v>
      </c>
      <c r="BH26" s="105">
        <f t="shared" si="1"/>
        <v>105242.78399999997</v>
      </c>
      <c r="BI26" s="105">
        <f t="shared" si="2"/>
        <v>55363.200000000004</v>
      </c>
    </row>
    <row r="27" spans="1:61" s="35" customFormat="1" ht="39.950000000000003" customHeight="1">
      <c r="A27" s="189">
        <v>44700</v>
      </c>
      <c r="B27" s="34"/>
      <c r="C27" s="77">
        <v>6900356</v>
      </c>
      <c r="D27" s="103">
        <f t="shared" si="7"/>
        <v>97968</v>
      </c>
      <c r="E27" s="104">
        <f t="shared" si="5"/>
        <v>58780.799999999996</v>
      </c>
      <c r="F27" s="103">
        <f t="shared" si="6"/>
        <v>39187.200000000004</v>
      </c>
      <c r="G27" s="77">
        <v>294957</v>
      </c>
      <c r="H27" s="103">
        <f t="shared" si="8"/>
        <v>1488</v>
      </c>
      <c r="I27" s="77">
        <v>186226</v>
      </c>
      <c r="J27" s="103">
        <f t="shared" si="9"/>
        <v>8064</v>
      </c>
      <c r="K27" s="77">
        <v>269074</v>
      </c>
      <c r="L27" s="103">
        <f t="shared" si="0"/>
        <v>672</v>
      </c>
      <c r="M27" s="77">
        <v>25315</v>
      </c>
      <c r="N27" s="37">
        <f t="shared" si="10"/>
        <v>0</v>
      </c>
      <c r="O27" s="77">
        <v>329436</v>
      </c>
      <c r="P27" s="103">
        <f t="shared" si="11"/>
        <v>8784</v>
      </c>
      <c r="Q27" s="77">
        <v>476623</v>
      </c>
      <c r="R27" s="103">
        <f t="shared" si="12"/>
        <v>3888</v>
      </c>
      <c r="S27" s="77">
        <v>763785</v>
      </c>
      <c r="T27" s="103">
        <f t="shared" si="13"/>
        <v>4128</v>
      </c>
      <c r="U27" s="193">
        <v>5010.1000000000004</v>
      </c>
      <c r="V27" s="103">
        <f t="shared" si="32"/>
        <v>981.16800000003423</v>
      </c>
      <c r="W27" s="77">
        <v>84770</v>
      </c>
      <c r="X27" s="103">
        <f t="shared" si="15"/>
        <v>672</v>
      </c>
      <c r="Y27" s="77">
        <v>1520550</v>
      </c>
      <c r="Z27" s="103">
        <f t="shared" si="16"/>
        <v>7008</v>
      </c>
      <c r="AA27" s="77">
        <v>13886</v>
      </c>
      <c r="AB27" s="103">
        <f t="shared" si="17"/>
        <v>0</v>
      </c>
      <c r="AC27" s="77">
        <v>501025</v>
      </c>
      <c r="AD27" s="103">
        <f t="shared" si="18"/>
        <v>5568</v>
      </c>
      <c r="AE27" s="77">
        <v>570697</v>
      </c>
      <c r="AF27" s="103">
        <f t="shared" si="18"/>
        <v>4416</v>
      </c>
      <c r="AG27" s="77">
        <v>49788</v>
      </c>
      <c r="AH27" s="103">
        <f t="shared" si="19"/>
        <v>0</v>
      </c>
      <c r="AI27" s="77">
        <v>444118</v>
      </c>
      <c r="AJ27" s="103">
        <f t="shared" si="20"/>
        <v>4656</v>
      </c>
      <c r="AK27" s="77">
        <v>102770</v>
      </c>
      <c r="AL27" s="103">
        <f t="shared" si="21"/>
        <v>0</v>
      </c>
      <c r="AM27" s="77">
        <v>606803</v>
      </c>
      <c r="AN27" s="103">
        <f t="shared" si="22"/>
        <v>5328</v>
      </c>
      <c r="AO27" s="77">
        <v>995219</v>
      </c>
      <c r="AP27" s="103">
        <f t="shared" si="23"/>
        <v>8832</v>
      </c>
      <c r="AQ27" s="77">
        <v>90276</v>
      </c>
      <c r="AR27" s="103">
        <f t="shared" si="30"/>
        <v>8304</v>
      </c>
      <c r="AS27" s="77">
        <v>2458</v>
      </c>
      <c r="AT27" s="103">
        <f t="shared" si="24"/>
        <v>0</v>
      </c>
      <c r="AU27" s="77">
        <v>939</v>
      </c>
      <c r="AV27" s="103">
        <f t="shared" si="25"/>
        <v>0</v>
      </c>
      <c r="AW27" s="77">
        <v>3110</v>
      </c>
      <c r="AX27" s="103">
        <f t="shared" si="26"/>
        <v>0</v>
      </c>
      <c r="AY27" s="77">
        <v>347802</v>
      </c>
      <c r="AZ27" s="103">
        <f>(+AY27-+AY26)*48</f>
        <v>5088</v>
      </c>
      <c r="BA27" s="76">
        <v>161101</v>
      </c>
      <c r="BB27" s="103">
        <f>(+BA27-+BA26)*48</f>
        <v>0</v>
      </c>
      <c r="BC27" s="77">
        <v>235177</v>
      </c>
      <c r="BD27" s="103">
        <f t="shared" si="28"/>
        <v>3456</v>
      </c>
      <c r="BE27" s="77">
        <v>5350</v>
      </c>
      <c r="BF27" s="103">
        <f t="shared" si="29"/>
        <v>0</v>
      </c>
      <c r="BH27" s="105">
        <f t="shared" si="1"/>
        <v>109105.96800000002</v>
      </c>
      <c r="BI27" s="105">
        <f t="shared" si="2"/>
        <v>70195.200000000012</v>
      </c>
    </row>
    <row r="28" spans="1:61" s="35" customFormat="1" ht="39.950000000000003" customHeight="1">
      <c r="A28" s="189">
        <v>44701</v>
      </c>
      <c r="B28" s="34"/>
      <c r="C28" s="77">
        <v>6902535</v>
      </c>
      <c r="D28" s="103">
        <f t="shared" si="7"/>
        <v>104592</v>
      </c>
      <c r="E28" s="104">
        <f t="shared" si="5"/>
        <v>62755.199999999997</v>
      </c>
      <c r="F28" s="103">
        <f t="shared" si="6"/>
        <v>41836.800000000003</v>
      </c>
      <c r="G28" s="77">
        <v>294996</v>
      </c>
      <c r="H28" s="103">
        <f t="shared" si="8"/>
        <v>1872</v>
      </c>
      <c r="I28" s="77">
        <v>186394</v>
      </c>
      <c r="J28" s="103">
        <f t="shared" si="9"/>
        <v>8064</v>
      </c>
      <c r="K28" s="77">
        <v>269113</v>
      </c>
      <c r="L28" s="103">
        <f t="shared" si="0"/>
        <v>1872</v>
      </c>
      <c r="M28" s="77">
        <v>25315</v>
      </c>
      <c r="N28" s="37">
        <f t="shared" si="10"/>
        <v>0</v>
      </c>
      <c r="O28" s="77">
        <v>329619</v>
      </c>
      <c r="P28" s="103">
        <f t="shared" si="11"/>
        <v>8784</v>
      </c>
      <c r="Q28" s="77">
        <v>476713</v>
      </c>
      <c r="R28" s="103">
        <f t="shared" si="12"/>
        <v>4320</v>
      </c>
      <c r="S28" s="77">
        <v>763882</v>
      </c>
      <c r="T28" s="103">
        <f t="shared" si="13"/>
        <v>4656</v>
      </c>
      <c r="U28" s="77">
        <v>5030.18</v>
      </c>
      <c r="V28" s="103">
        <f t="shared" si="32"/>
        <v>963.83999999999651</v>
      </c>
      <c r="W28" s="77">
        <v>84788</v>
      </c>
      <c r="X28" s="103">
        <f t="shared" si="15"/>
        <v>864</v>
      </c>
      <c r="Y28" s="77">
        <v>1520613</v>
      </c>
      <c r="Z28" s="103">
        <f t="shared" si="16"/>
        <v>3024</v>
      </c>
      <c r="AA28" s="77">
        <v>13886</v>
      </c>
      <c r="AB28" s="103">
        <f t="shared" si="17"/>
        <v>0</v>
      </c>
      <c r="AC28" s="77">
        <v>501167</v>
      </c>
      <c r="AD28" s="103">
        <f t="shared" si="18"/>
        <v>6816</v>
      </c>
      <c r="AE28" s="77">
        <v>570830</v>
      </c>
      <c r="AF28" s="103">
        <f t="shared" si="18"/>
        <v>6384</v>
      </c>
      <c r="AG28" s="77">
        <v>49788</v>
      </c>
      <c r="AH28" s="103">
        <f t="shared" si="19"/>
        <v>0</v>
      </c>
      <c r="AI28" s="77">
        <v>444232</v>
      </c>
      <c r="AJ28" s="103">
        <f t="shared" si="20"/>
        <v>5472</v>
      </c>
      <c r="AK28" s="77">
        <v>102770</v>
      </c>
      <c r="AL28" s="103">
        <f t="shared" si="21"/>
        <v>0</v>
      </c>
      <c r="AM28" s="77">
        <v>606927</v>
      </c>
      <c r="AN28" s="103">
        <f t="shared" si="22"/>
        <v>5952</v>
      </c>
      <c r="AO28" s="77">
        <v>995442</v>
      </c>
      <c r="AP28" s="103">
        <f t="shared" si="23"/>
        <v>10704</v>
      </c>
      <c r="AQ28" s="77">
        <v>90298</v>
      </c>
      <c r="AR28" s="103">
        <f t="shared" si="30"/>
        <v>1056</v>
      </c>
      <c r="AS28" s="77">
        <v>2459</v>
      </c>
      <c r="AT28" s="103">
        <f t="shared" si="24"/>
        <v>48</v>
      </c>
      <c r="AU28" s="77">
        <v>939</v>
      </c>
      <c r="AV28" s="103">
        <f t="shared" si="25"/>
        <v>0</v>
      </c>
      <c r="AW28" s="77">
        <v>3110</v>
      </c>
      <c r="AX28" s="103">
        <f t="shared" si="26"/>
        <v>0</v>
      </c>
      <c r="AY28" s="77">
        <v>347909</v>
      </c>
      <c r="AZ28" s="103">
        <f t="shared" ref="AZ28:AZ39" si="36">(+AY28-+AY27)*48</f>
        <v>5136</v>
      </c>
      <c r="BA28" s="76">
        <v>161101</v>
      </c>
      <c r="BB28" s="103">
        <f>(+BA28-+BA27)*48</f>
        <v>0</v>
      </c>
      <c r="BC28" s="77">
        <v>235246</v>
      </c>
      <c r="BD28" s="103">
        <f t="shared" si="28"/>
        <v>3312</v>
      </c>
      <c r="BE28" s="77">
        <v>5350</v>
      </c>
      <c r="BF28" s="103">
        <f t="shared" si="29"/>
        <v>0</v>
      </c>
      <c r="BH28" s="105">
        <f t="shared" si="1"/>
        <v>115847.03999999999</v>
      </c>
      <c r="BI28" s="105">
        <f t="shared" si="2"/>
        <v>68044.800000000003</v>
      </c>
    </row>
    <row r="29" spans="1:61" s="35" customFormat="1" ht="39.950000000000003" customHeight="1">
      <c r="A29" s="189">
        <v>44702</v>
      </c>
      <c r="B29" s="34"/>
      <c r="C29" s="77">
        <v>6904775</v>
      </c>
      <c r="D29" s="103">
        <f t="shared" si="7"/>
        <v>107520</v>
      </c>
      <c r="E29" s="104">
        <f t="shared" si="5"/>
        <v>64512</v>
      </c>
      <c r="F29" s="103">
        <f t="shared" si="6"/>
        <v>43008</v>
      </c>
      <c r="G29" s="77">
        <v>295042</v>
      </c>
      <c r="H29" s="103">
        <f t="shared" si="8"/>
        <v>2208</v>
      </c>
      <c r="I29" s="77">
        <v>186567</v>
      </c>
      <c r="J29" s="103">
        <f t="shared" si="9"/>
        <v>8304</v>
      </c>
      <c r="K29" s="77">
        <v>269179</v>
      </c>
      <c r="L29" s="103">
        <f t="shared" si="0"/>
        <v>3168</v>
      </c>
      <c r="M29" s="77">
        <v>25315</v>
      </c>
      <c r="N29" s="37">
        <f t="shared" si="10"/>
        <v>0</v>
      </c>
      <c r="O29" s="77">
        <v>329834</v>
      </c>
      <c r="P29" s="103">
        <f t="shared" si="11"/>
        <v>10320</v>
      </c>
      <c r="Q29" s="77">
        <v>476801</v>
      </c>
      <c r="R29" s="103">
        <f t="shared" si="12"/>
        <v>4224</v>
      </c>
      <c r="S29" s="76">
        <v>763991</v>
      </c>
      <c r="T29" s="103">
        <f t="shared" si="13"/>
        <v>5232</v>
      </c>
      <c r="U29" s="76">
        <v>5049.4399999999996</v>
      </c>
      <c r="V29" s="103">
        <f t="shared" si="32"/>
        <v>924.47999999996682</v>
      </c>
      <c r="W29" s="77">
        <v>84801</v>
      </c>
      <c r="X29" s="103">
        <f t="shared" si="15"/>
        <v>624</v>
      </c>
      <c r="Y29" s="77">
        <v>1520642</v>
      </c>
      <c r="Z29" s="103">
        <f t="shared" si="16"/>
        <v>1392</v>
      </c>
      <c r="AA29" s="77">
        <v>13886</v>
      </c>
      <c r="AB29" s="103">
        <f t="shared" si="17"/>
        <v>0</v>
      </c>
      <c r="AC29" s="77">
        <v>501456</v>
      </c>
      <c r="AD29" s="103">
        <f t="shared" si="18"/>
        <v>13872</v>
      </c>
      <c r="AE29" s="77">
        <v>571066</v>
      </c>
      <c r="AF29" s="103">
        <f t="shared" si="18"/>
        <v>11328</v>
      </c>
      <c r="AG29" s="77">
        <v>49788</v>
      </c>
      <c r="AH29" s="103">
        <f t="shared" si="19"/>
        <v>0</v>
      </c>
      <c r="AI29" s="77">
        <v>444355</v>
      </c>
      <c r="AJ29" s="103">
        <f t="shared" si="20"/>
        <v>5904</v>
      </c>
      <c r="AK29" s="77">
        <v>102770</v>
      </c>
      <c r="AL29" s="103">
        <f t="shared" si="21"/>
        <v>0</v>
      </c>
      <c r="AM29" s="77">
        <v>607051</v>
      </c>
      <c r="AN29" s="103">
        <f t="shared" si="22"/>
        <v>5952</v>
      </c>
      <c r="AO29" s="77">
        <v>995623</v>
      </c>
      <c r="AP29" s="103">
        <f t="shared" si="23"/>
        <v>8688</v>
      </c>
      <c r="AQ29" s="77">
        <v>90318</v>
      </c>
      <c r="AR29" s="103">
        <f t="shared" si="30"/>
        <v>960</v>
      </c>
      <c r="AS29" s="77">
        <v>2459</v>
      </c>
      <c r="AT29" s="103">
        <f t="shared" si="24"/>
        <v>0</v>
      </c>
      <c r="AU29" s="77">
        <v>939</v>
      </c>
      <c r="AV29" s="103">
        <f t="shared" si="25"/>
        <v>0</v>
      </c>
      <c r="AW29" s="77">
        <v>3110</v>
      </c>
      <c r="AX29" s="103">
        <f t="shared" si="26"/>
        <v>0</v>
      </c>
      <c r="AY29" s="77">
        <v>348015</v>
      </c>
      <c r="AZ29" s="103">
        <f t="shared" si="36"/>
        <v>5088</v>
      </c>
      <c r="BA29" s="76">
        <v>161101</v>
      </c>
      <c r="BB29" s="103">
        <f t="shared" ref="BB29:BB38" si="37">(+BA29-+BA28)*48</f>
        <v>0</v>
      </c>
      <c r="BC29" s="77">
        <v>235316</v>
      </c>
      <c r="BD29" s="103">
        <f t="shared" si="28"/>
        <v>3360</v>
      </c>
      <c r="BE29" s="77">
        <v>5350</v>
      </c>
      <c r="BF29" s="103">
        <f t="shared" si="29"/>
        <v>0</v>
      </c>
      <c r="BH29" s="105">
        <f t="shared" si="1"/>
        <v>132012.47999999998</v>
      </c>
      <c r="BI29" s="105">
        <f t="shared" si="2"/>
        <v>67056</v>
      </c>
    </row>
    <row r="30" spans="1:61" s="35" customFormat="1" ht="39.950000000000003" customHeight="1">
      <c r="A30" s="189">
        <v>44703</v>
      </c>
      <c r="B30" s="34"/>
      <c r="C30" s="77">
        <v>6906996</v>
      </c>
      <c r="D30" s="103">
        <f t="shared" si="7"/>
        <v>106608</v>
      </c>
      <c r="E30" s="104">
        <f t="shared" si="5"/>
        <v>63964.799999999996</v>
      </c>
      <c r="F30" s="103">
        <f t="shared" si="6"/>
        <v>42643.200000000004</v>
      </c>
      <c r="G30" s="77">
        <v>295077</v>
      </c>
      <c r="H30" s="103">
        <f t="shared" si="8"/>
        <v>1680</v>
      </c>
      <c r="I30" s="77">
        <v>186738</v>
      </c>
      <c r="J30" s="103">
        <f t="shared" si="9"/>
        <v>8208</v>
      </c>
      <c r="K30" s="77">
        <v>269195</v>
      </c>
      <c r="L30" s="103">
        <f t="shared" si="0"/>
        <v>768</v>
      </c>
      <c r="M30" s="77">
        <v>25319</v>
      </c>
      <c r="N30" s="37">
        <f t="shared" si="10"/>
        <v>192</v>
      </c>
      <c r="O30" s="77">
        <v>330079</v>
      </c>
      <c r="P30" s="103">
        <f t="shared" si="11"/>
        <v>11760</v>
      </c>
      <c r="Q30" s="77">
        <v>476874</v>
      </c>
      <c r="R30" s="103">
        <f t="shared" si="12"/>
        <v>3504</v>
      </c>
      <c r="S30" s="77">
        <v>764092</v>
      </c>
      <c r="T30" s="103">
        <f t="shared" si="13"/>
        <v>4848</v>
      </c>
      <c r="U30" s="77">
        <v>5066.24</v>
      </c>
      <c r="V30" s="103">
        <f t="shared" si="32"/>
        <v>806.40000000000873</v>
      </c>
      <c r="W30" s="77">
        <v>84816</v>
      </c>
      <c r="X30" s="103">
        <f t="shared" si="15"/>
        <v>720</v>
      </c>
      <c r="Y30" s="77">
        <v>1520784</v>
      </c>
      <c r="Z30" s="103">
        <f t="shared" si="16"/>
        <v>6816</v>
      </c>
      <c r="AA30" s="77">
        <v>13886</v>
      </c>
      <c r="AB30" s="103">
        <f t="shared" si="17"/>
        <v>0</v>
      </c>
      <c r="AC30" s="77">
        <v>501606</v>
      </c>
      <c r="AD30" s="103">
        <f t="shared" si="18"/>
        <v>7200</v>
      </c>
      <c r="AE30" s="77">
        <v>571203</v>
      </c>
      <c r="AF30" s="103">
        <f t="shared" si="18"/>
        <v>6576</v>
      </c>
      <c r="AG30" s="77">
        <v>49788</v>
      </c>
      <c r="AH30" s="103">
        <f t="shared" si="19"/>
        <v>0</v>
      </c>
      <c r="AI30" s="77">
        <v>444484</v>
      </c>
      <c r="AJ30" s="103">
        <f t="shared" si="20"/>
        <v>6192</v>
      </c>
      <c r="AK30" s="77">
        <v>102770</v>
      </c>
      <c r="AL30" s="103">
        <f t="shared" si="21"/>
        <v>0</v>
      </c>
      <c r="AM30" s="77">
        <v>607185</v>
      </c>
      <c r="AN30" s="103">
        <f t="shared" si="22"/>
        <v>6432</v>
      </c>
      <c r="AO30" s="77">
        <v>995817</v>
      </c>
      <c r="AP30" s="103">
        <f t="shared" si="23"/>
        <v>9312</v>
      </c>
      <c r="AQ30" s="77">
        <v>90393</v>
      </c>
      <c r="AR30" s="103">
        <f t="shared" si="30"/>
        <v>3600</v>
      </c>
      <c r="AS30" s="77">
        <v>2459</v>
      </c>
      <c r="AT30" s="103">
        <f t="shared" si="24"/>
        <v>0</v>
      </c>
      <c r="AU30" s="77">
        <v>939</v>
      </c>
      <c r="AV30" s="103">
        <f t="shared" si="25"/>
        <v>0</v>
      </c>
      <c r="AW30" s="77">
        <v>3110</v>
      </c>
      <c r="AX30" s="103">
        <f t="shared" si="26"/>
        <v>0</v>
      </c>
      <c r="AY30" s="77">
        <v>348119</v>
      </c>
      <c r="AZ30" s="103">
        <f t="shared" si="36"/>
        <v>4992</v>
      </c>
      <c r="BA30" s="76">
        <v>161101</v>
      </c>
      <c r="BB30" s="103">
        <f t="shared" si="37"/>
        <v>0</v>
      </c>
      <c r="BC30" s="77">
        <v>235384</v>
      </c>
      <c r="BD30" s="103">
        <f t="shared" si="28"/>
        <v>3264</v>
      </c>
      <c r="BE30" s="77">
        <v>5350</v>
      </c>
      <c r="BF30" s="103">
        <f t="shared" si="29"/>
        <v>0</v>
      </c>
      <c r="BH30" s="105">
        <f t="shared" si="1"/>
        <v>123235.2</v>
      </c>
      <c r="BI30" s="105">
        <f t="shared" si="2"/>
        <v>70243.200000000012</v>
      </c>
    </row>
    <row r="31" spans="1:61" s="35" customFormat="1" ht="39.950000000000003" customHeight="1">
      <c r="A31" s="189">
        <v>44704</v>
      </c>
      <c r="B31" s="34"/>
      <c r="C31" s="77">
        <v>6909145</v>
      </c>
      <c r="D31" s="103">
        <f t="shared" si="7"/>
        <v>103152</v>
      </c>
      <c r="E31" s="104">
        <f t="shared" si="5"/>
        <v>61891.199999999997</v>
      </c>
      <c r="F31" s="103">
        <f t="shared" si="6"/>
        <v>41260.800000000003</v>
      </c>
      <c r="G31" s="77">
        <v>295121</v>
      </c>
      <c r="H31" s="103">
        <f t="shared" si="8"/>
        <v>2112</v>
      </c>
      <c r="I31" s="77">
        <v>186901</v>
      </c>
      <c r="J31" s="103">
        <f t="shared" si="9"/>
        <v>7824</v>
      </c>
      <c r="K31" s="77">
        <v>269207</v>
      </c>
      <c r="L31" s="103">
        <f t="shared" si="0"/>
        <v>576</v>
      </c>
      <c r="M31" s="77">
        <v>25319</v>
      </c>
      <c r="N31" s="37">
        <f t="shared" si="10"/>
        <v>0</v>
      </c>
      <c r="O31" s="77">
        <v>330289</v>
      </c>
      <c r="P31" s="103">
        <f t="shared" si="11"/>
        <v>10080</v>
      </c>
      <c r="Q31" s="77">
        <v>476959</v>
      </c>
      <c r="R31" s="103">
        <f t="shared" si="12"/>
        <v>4080</v>
      </c>
      <c r="S31" s="77">
        <v>764200</v>
      </c>
      <c r="T31" s="103">
        <f t="shared" si="13"/>
        <v>5184</v>
      </c>
      <c r="U31" s="77">
        <v>5084.95</v>
      </c>
      <c r="V31" s="103">
        <f t="shared" si="32"/>
        <v>898.08000000000175</v>
      </c>
      <c r="W31" s="77">
        <v>84816</v>
      </c>
      <c r="X31" s="103">
        <f t="shared" si="15"/>
        <v>0</v>
      </c>
      <c r="Y31" s="77">
        <v>1520959</v>
      </c>
      <c r="Z31" s="103">
        <f t="shared" si="16"/>
        <v>8400</v>
      </c>
      <c r="AA31" s="77">
        <v>13886</v>
      </c>
      <c r="AB31" s="103">
        <f t="shared" si="17"/>
        <v>0</v>
      </c>
      <c r="AC31" s="77">
        <v>501758</v>
      </c>
      <c r="AD31" s="103">
        <f t="shared" si="18"/>
        <v>7296</v>
      </c>
      <c r="AE31" s="77">
        <v>571339</v>
      </c>
      <c r="AF31" s="103">
        <f t="shared" si="18"/>
        <v>6528</v>
      </c>
      <c r="AG31" s="77">
        <v>49788</v>
      </c>
      <c r="AH31" s="103">
        <f t="shared" si="19"/>
        <v>0</v>
      </c>
      <c r="AI31" s="77">
        <v>444588</v>
      </c>
      <c r="AJ31" s="103">
        <f t="shared" si="20"/>
        <v>4992</v>
      </c>
      <c r="AK31" s="77">
        <v>102770</v>
      </c>
      <c r="AL31" s="103">
        <f t="shared" si="21"/>
        <v>0</v>
      </c>
      <c r="AM31" s="77">
        <v>607323</v>
      </c>
      <c r="AN31" s="103">
        <f t="shared" si="22"/>
        <v>6624</v>
      </c>
      <c r="AO31" s="77">
        <v>996008</v>
      </c>
      <c r="AP31" s="103">
        <f t="shared" si="23"/>
        <v>9168</v>
      </c>
      <c r="AQ31" s="77">
        <v>90473</v>
      </c>
      <c r="AR31" s="103">
        <f t="shared" si="30"/>
        <v>3840</v>
      </c>
      <c r="AS31" s="77">
        <v>2459</v>
      </c>
      <c r="AT31" s="103">
        <f t="shared" si="24"/>
        <v>0</v>
      </c>
      <c r="AU31" s="77">
        <v>939</v>
      </c>
      <c r="AV31" s="103">
        <f t="shared" si="25"/>
        <v>0</v>
      </c>
      <c r="AW31" s="77">
        <v>3110</v>
      </c>
      <c r="AX31" s="103">
        <f t="shared" si="26"/>
        <v>0</v>
      </c>
      <c r="AY31" s="77">
        <v>348223</v>
      </c>
      <c r="AZ31" s="103">
        <f t="shared" si="36"/>
        <v>4992</v>
      </c>
      <c r="BA31" s="76">
        <v>161101</v>
      </c>
      <c r="BB31" s="103">
        <f t="shared" si="37"/>
        <v>0</v>
      </c>
      <c r="BC31" s="77">
        <v>235457</v>
      </c>
      <c r="BD31" s="103">
        <f t="shared" si="28"/>
        <v>3504</v>
      </c>
      <c r="BE31" s="77">
        <v>5350</v>
      </c>
      <c r="BF31" s="103">
        <f t="shared" si="29"/>
        <v>0</v>
      </c>
      <c r="BH31" s="105">
        <f t="shared" si="1"/>
        <v>119861.28</v>
      </c>
      <c r="BI31" s="105">
        <f t="shared" si="2"/>
        <v>69388.800000000003</v>
      </c>
    </row>
    <row r="32" spans="1:61" s="35" customFormat="1" ht="39.950000000000003" customHeight="1">
      <c r="A32" s="189">
        <v>44705</v>
      </c>
      <c r="B32" s="34"/>
      <c r="C32" s="77">
        <v>6911319</v>
      </c>
      <c r="D32" s="103">
        <f t="shared" si="7"/>
        <v>104352</v>
      </c>
      <c r="E32" s="104">
        <f t="shared" si="5"/>
        <v>62611.199999999997</v>
      </c>
      <c r="F32" s="103">
        <f t="shared" si="6"/>
        <v>41740.800000000003</v>
      </c>
      <c r="G32" s="77">
        <v>295154</v>
      </c>
      <c r="H32" s="103">
        <f t="shared" si="8"/>
        <v>1584</v>
      </c>
      <c r="I32" s="77">
        <v>187071</v>
      </c>
      <c r="J32" s="103">
        <f t="shared" si="9"/>
        <v>8160</v>
      </c>
      <c r="K32" s="77">
        <v>269221</v>
      </c>
      <c r="L32" s="103">
        <f t="shared" si="0"/>
        <v>672</v>
      </c>
      <c r="M32" s="77">
        <v>25319</v>
      </c>
      <c r="N32" s="37">
        <f t="shared" si="10"/>
        <v>0</v>
      </c>
      <c r="O32" s="77">
        <v>330488</v>
      </c>
      <c r="P32" s="103">
        <f t="shared" si="11"/>
        <v>9552</v>
      </c>
      <c r="Q32" s="77">
        <v>477047</v>
      </c>
      <c r="R32" s="103">
        <f t="shared" si="12"/>
        <v>4224</v>
      </c>
      <c r="S32" s="77">
        <v>764324</v>
      </c>
      <c r="T32" s="103">
        <f t="shared" si="13"/>
        <v>5952</v>
      </c>
      <c r="U32" s="77">
        <v>5101</v>
      </c>
      <c r="V32" s="103">
        <f t="shared" si="32"/>
        <v>770.40000000000873</v>
      </c>
      <c r="W32" s="77">
        <v>84833</v>
      </c>
      <c r="X32" s="103">
        <f t="shared" si="15"/>
        <v>816</v>
      </c>
      <c r="Y32" s="77">
        <v>1521107</v>
      </c>
      <c r="Z32" s="103">
        <f t="shared" si="16"/>
        <v>7104</v>
      </c>
      <c r="AA32" s="77">
        <v>13886</v>
      </c>
      <c r="AB32" s="103">
        <f t="shared" si="17"/>
        <v>0</v>
      </c>
      <c r="AC32" s="77">
        <v>501913</v>
      </c>
      <c r="AD32" s="103">
        <f t="shared" si="18"/>
        <v>7440</v>
      </c>
      <c r="AE32" s="77">
        <v>571436</v>
      </c>
      <c r="AF32" s="103">
        <f t="shared" si="18"/>
        <v>4656</v>
      </c>
      <c r="AG32" s="77">
        <v>49788</v>
      </c>
      <c r="AH32" s="103">
        <f>(+AG32-+AG31)*48</f>
        <v>0</v>
      </c>
      <c r="AI32" s="77">
        <v>444694</v>
      </c>
      <c r="AJ32" s="103">
        <f t="shared" si="20"/>
        <v>5088</v>
      </c>
      <c r="AK32" s="77">
        <v>102770</v>
      </c>
      <c r="AL32" s="103">
        <f t="shared" si="21"/>
        <v>0</v>
      </c>
      <c r="AM32" s="77">
        <v>607461</v>
      </c>
      <c r="AN32" s="103">
        <f t="shared" si="22"/>
        <v>6624</v>
      </c>
      <c r="AO32" s="77">
        <v>996193</v>
      </c>
      <c r="AP32" s="103">
        <f t="shared" si="23"/>
        <v>8880</v>
      </c>
      <c r="AQ32" s="77">
        <v>90529</v>
      </c>
      <c r="AR32" s="103">
        <f t="shared" si="30"/>
        <v>2688</v>
      </c>
      <c r="AS32" s="77">
        <v>2459</v>
      </c>
      <c r="AT32" s="103">
        <f t="shared" si="24"/>
        <v>0</v>
      </c>
      <c r="AU32" s="77">
        <v>939</v>
      </c>
      <c r="AV32" s="103">
        <f t="shared" si="25"/>
        <v>0</v>
      </c>
      <c r="AW32" s="77">
        <v>3110</v>
      </c>
      <c r="AX32" s="103">
        <f t="shared" si="26"/>
        <v>0</v>
      </c>
      <c r="AY32" s="77">
        <v>348342</v>
      </c>
      <c r="AZ32" s="103">
        <f t="shared" si="36"/>
        <v>5712</v>
      </c>
      <c r="BA32" s="76">
        <v>161101</v>
      </c>
      <c r="BB32" s="103">
        <f t="shared" si="37"/>
        <v>0</v>
      </c>
      <c r="BC32" s="77">
        <v>235530</v>
      </c>
      <c r="BD32" s="103">
        <f t="shared" si="28"/>
        <v>3504</v>
      </c>
      <c r="BE32" s="77">
        <v>5350</v>
      </c>
      <c r="BF32" s="103">
        <f t="shared" si="29"/>
        <v>0</v>
      </c>
      <c r="BH32" s="105">
        <f t="shared" si="1"/>
        <v>118629.6</v>
      </c>
      <c r="BI32" s="105">
        <f t="shared" si="2"/>
        <v>69148.800000000003</v>
      </c>
    </row>
    <row r="33" spans="1:61" s="35" customFormat="1" ht="39.950000000000003" customHeight="1">
      <c r="A33" s="189">
        <v>44706</v>
      </c>
      <c r="B33" s="34"/>
      <c r="C33" s="77">
        <v>6913525</v>
      </c>
      <c r="D33" s="103">
        <f t="shared" si="7"/>
        <v>105888</v>
      </c>
      <c r="E33" s="104">
        <f t="shared" si="5"/>
        <v>63532.799999999996</v>
      </c>
      <c r="F33" s="103">
        <f t="shared" si="6"/>
        <v>42355.200000000004</v>
      </c>
      <c r="G33" s="77">
        <v>295190</v>
      </c>
      <c r="H33" s="37">
        <f t="shared" si="8"/>
        <v>1728</v>
      </c>
      <c r="I33" s="77">
        <v>187238</v>
      </c>
      <c r="J33" s="37">
        <f t="shared" si="9"/>
        <v>8016</v>
      </c>
      <c r="K33" s="77">
        <v>269236</v>
      </c>
      <c r="L33" s="37">
        <f t="shared" si="0"/>
        <v>720</v>
      </c>
      <c r="M33" s="77">
        <v>25319</v>
      </c>
      <c r="N33" s="37">
        <f t="shared" si="10"/>
        <v>0</v>
      </c>
      <c r="O33" s="77">
        <v>330692</v>
      </c>
      <c r="P33" s="37">
        <f t="shared" si="11"/>
        <v>9792</v>
      </c>
      <c r="Q33" s="77">
        <v>477122</v>
      </c>
      <c r="R33" s="103">
        <f t="shared" si="12"/>
        <v>3600</v>
      </c>
      <c r="S33" s="77">
        <v>764411</v>
      </c>
      <c r="T33" s="103">
        <f t="shared" si="13"/>
        <v>4176</v>
      </c>
      <c r="U33" s="77">
        <v>5121</v>
      </c>
      <c r="V33" s="103">
        <f t="shared" si="32"/>
        <v>960</v>
      </c>
      <c r="W33" s="77">
        <v>84847</v>
      </c>
      <c r="X33" s="103">
        <f t="shared" si="15"/>
        <v>672</v>
      </c>
      <c r="Y33" s="77">
        <v>1521191</v>
      </c>
      <c r="Z33" s="103">
        <f t="shared" si="16"/>
        <v>4032</v>
      </c>
      <c r="AA33" s="77">
        <v>13886</v>
      </c>
      <c r="AB33" s="103">
        <f t="shared" si="17"/>
        <v>0</v>
      </c>
      <c r="AC33" s="77">
        <v>502019</v>
      </c>
      <c r="AD33" s="103">
        <f t="shared" si="18"/>
        <v>5088</v>
      </c>
      <c r="AE33" s="77">
        <v>571531</v>
      </c>
      <c r="AF33" s="103">
        <f t="shared" si="18"/>
        <v>4560</v>
      </c>
      <c r="AG33" s="77">
        <v>49788</v>
      </c>
      <c r="AH33" s="103">
        <f>(+AG33-+AG32)*48</f>
        <v>0</v>
      </c>
      <c r="AI33" s="77">
        <v>444797</v>
      </c>
      <c r="AJ33" s="103">
        <f t="shared" si="20"/>
        <v>4944</v>
      </c>
      <c r="AK33" s="77">
        <v>102770</v>
      </c>
      <c r="AL33" s="103">
        <f>(+AK33-+AK32)*48</f>
        <v>0</v>
      </c>
      <c r="AM33" s="77">
        <v>607597</v>
      </c>
      <c r="AN33" s="103">
        <f t="shared" si="22"/>
        <v>6528</v>
      </c>
      <c r="AO33" s="77">
        <v>996377</v>
      </c>
      <c r="AP33" s="103">
        <f t="shared" si="23"/>
        <v>8832</v>
      </c>
      <c r="AQ33" s="77">
        <v>90597</v>
      </c>
      <c r="AR33" s="103">
        <f t="shared" si="30"/>
        <v>3264</v>
      </c>
      <c r="AS33" s="77">
        <v>2459</v>
      </c>
      <c r="AT33" s="103">
        <f t="shared" si="24"/>
        <v>0</v>
      </c>
      <c r="AU33" s="77">
        <v>939</v>
      </c>
      <c r="AV33" s="103">
        <f t="shared" si="25"/>
        <v>0</v>
      </c>
      <c r="AW33" s="77">
        <v>3110</v>
      </c>
      <c r="AX33" s="103">
        <f t="shared" si="26"/>
        <v>0</v>
      </c>
      <c r="AY33" s="77">
        <v>348446</v>
      </c>
      <c r="AZ33" s="103">
        <f t="shared" si="36"/>
        <v>4992</v>
      </c>
      <c r="BA33" s="76">
        <v>161101</v>
      </c>
      <c r="BB33" s="103">
        <f t="shared" si="37"/>
        <v>0</v>
      </c>
      <c r="BC33" s="77">
        <v>235600</v>
      </c>
      <c r="BD33" s="103">
        <f t="shared" si="28"/>
        <v>3360</v>
      </c>
      <c r="BE33" s="77">
        <v>5350</v>
      </c>
      <c r="BF33" s="103">
        <f t="shared" si="29"/>
        <v>0</v>
      </c>
      <c r="BH33" s="105">
        <f t="shared" si="1"/>
        <v>111820.79999999999</v>
      </c>
      <c r="BI33" s="105">
        <f t="shared" si="2"/>
        <v>69331.200000000012</v>
      </c>
    </row>
    <row r="34" spans="1:61" s="35" customFormat="1" ht="39.950000000000003" customHeight="1">
      <c r="A34" s="189">
        <v>44707</v>
      </c>
      <c r="B34" s="34"/>
      <c r="C34" s="77">
        <v>6915861</v>
      </c>
      <c r="D34" s="103">
        <f t="shared" si="7"/>
        <v>112128</v>
      </c>
      <c r="E34" s="104">
        <f t="shared" si="5"/>
        <v>67276.800000000003</v>
      </c>
      <c r="F34" s="103">
        <f t="shared" si="6"/>
        <v>44851.200000000004</v>
      </c>
      <c r="G34" s="77">
        <v>295223</v>
      </c>
      <c r="H34" s="37">
        <f t="shared" si="8"/>
        <v>1584</v>
      </c>
      <c r="I34" s="77">
        <v>187404</v>
      </c>
      <c r="J34" s="37">
        <f t="shared" si="9"/>
        <v>7968</v>
      </c>
      <c r="K34" s="77">
        <v>269253</v>
      </c>
      <c r="L34" s="37">
        <f t="shared" si="0"/>
        <v>816</v>
      </c>
      <c r="M34" s="77">
        <v>25319</v>
      </c>
      <c r="N34" s="37">
        <f t="shared" si="10"/>
        <v>0</v>
      </c>
      <c r="O34" s="77">
        <v>330901</v>
      </c>
      <c r="P34" s="37">
        <f t="shared" si="11"/>
        <v>10032</v>
      </c>
      <c r="Q34" s="77">
        <v>477197</v>
      </c>
      <c r="R34" s="103">
        <f t="shared" si="12"/>
        <v>3600</v>
      </c>
      <c r="S34" s="77">
        <v>764512</v>
      </c>
      <c r="T34" s="103">
        <f t="shared" si="13"/>
        <v>4848</v>
      </c>
      <c r="U34" s="82">
        <v>5139</v>
      </c>
      <c r="V34" s="103">
        <f t="shared" si="32"/>
        <v>864</v>
      </c>
      <c r="W34" s="77">
        <v>84864</v>
      </c>
      <c r="X34" s="103">
        <f t="shared" si="15"/>
        <v>816</v>
      </c>
      <c r="Y34" s="77">
        <v>1521300</v>
      </c>
      <c r="Z34" s="103">
        <f t="shared" si="16"/>
        <v>5232</v>
      </c>
      <c r="AA34" s="77">
        <v>13886</v>
      </c>
      <c r="AB34" s="103">
        <f>(+AA34-+AA33)*48</f>
        <v>0</v>
      </c>
      <c r="AC34" s="77">
        <v>502126</v>
      </c>
      <c r="AD34" s="103">
        <f t="shared" si="18"/>
        <v>5136</v>
      </c>
      <c r="AE34" s="77">
        <v>571629</v>
      </c>
      <c r="AF34" s="103">
        <f t="shared" si="18"/>
        <v>4704</v>
      </c>
      <c r="AG34" s="77">
        <v>49788</v>
      </c>
      <c r="AH34" s="103">
        <f>(+AG34-+AG33)*48</f>
        <v>0</v>
      </c>
      <c r="AI34" s="77">
        <v>444907</v>
      </c>
      <c r="AJ34" s="103">
        <f t="shared" si="20"/>
        <v>5280</v>
      </c>
      <c r="AK34" s="77">
        <v>102770</v>
      </c>
      <c r="AL34" s="103">
        <f>(+AK34-+AK33)*48</f>
        <v>0</v>
      </c>
      <c r="AM34" s="77">
        <v>607724</v>
      </c>
      <c r="AN34" s="103">
        <f t="shared" si="22"/>
        <v>6096</v>
      </c>
      <c r="AO34" s="77">
        <v>996564</v>
      </c>
      <c r="AP34" s="103">
        <f t="shared" si="23"/>
        <v>8976</v>
      </c>
      <c r="AQ34" s="77">
        <v>90636</v>
      </c>
      <c r="AR34" s="103">
        <f t="shared" si="30"/>
        <v>1872</v>
      </c>
      <c r="AS34" s="77">
        <v>2459</v>
      </c>
      <c r="AT34" s="103">
        <f t="shared" si="24"/>
        <v>0</v>
      </c>
      <c r="AU34" s="77">
        <v>939</v>
      </c>
      <c r="AV34" s="103">
        <f t="shared" si="25"/>
        <v>0</v>
      </c>
      <c r="AW34" s="77">
        <v>3110</v>
      </c>
      <c r="AX34" s="103">
        <v>0</v>
      </c>
      <c r="AY34" s="77">
        <v>348546</v>
      </c>
      <c r="AZ34" s="103">
        <f t="shared" si="36"/>
        <v>4800</v>
      </c>
      <c r="BA34" s="76">
        <v>161101</v>
      </c>
      <c r="BB34" s="103">
        <f t="shared" si="37"/>
        <v>0</v>
      </c>
      <c r="BC34" s="77">
        <v>235668</v>
      </c>
      <c r="BD34" s="103">
        <f t="shared" si="28"/>
        <v>3264</v>
      </c>
      <c r="BE34" s="77">
        <v>5350</v>
      </c>
      <c r="BF34" s="103">
        <f t="shared" si="29"/>
        <v>0</v>
      </c>
      <c r="BH34" s="105">
        <f t="shared" si="1"/>
        <v>118156.8</v>
      </c>
      <c r="BI34" s="105">
        <f t="shared" si="2"/>
        <v>69859.200000000012</v>
      </c>
    </row>
    <row r="35" spans="1:61" s="35" customFormat="1" ht="39.950000000000003" customHeight="1">
      <c r="A35" s="189">
        <v>44708</v>
      </c>
      <c r="B35" s="34"/>
      <c r="C35" s="77">
        <v>6918119</v>
      </c>
      <c r="D35" s="103">
        <f t="shared" si="7"/>
        <v>108384</v>
      </c>
      <c r="E35" s="104">
        <f t="shared" si="5"/>
        <v>65030.399999999994</v>
      </c>
      <c r="F35" s="103">
        <f t="shared" si="6"/>
        <v>43353.600000000006</v>
      </c>
      <c r="G35" s="77">
        <v>295265</v>
      </c>
      <c r="H35" s="103">
        <f t="shared" si="8"/>
        <v>2016</v>
      </c>
      <c r="I35" s="77">
        <v>187575</v>
      </c>
      <c r="J35" s="37">
        <f t="shared" si="9"/>
        <v>8208</v>
      </c>
      <c r="K35" s="77">
        <v>269273</v>
      </c>
      <c r="L35" s="103">
        <f t="shared" si="0"/>
        <v>960</v>
      </c>
      <c r="M35" s="77">
        <v>25319</v>
      </c>
      <c r="N35" s="37">
        <f t="shared" si="10"/>
        <v>0</v>
      </c>
      <c r="O35" s="77">
        <v>331099</v>
      </c>
      <c r="P35" s="37">
        <f t="shared" si="11"/>
        <v>9504</v>
      </c>
      <c r="Q35" s="77">
        <v>477278</v>
      </c>
      <c r="R35" s="103">
        <f t="shared" si="12"/>
        <v>3888</v>
      </c>
      <c r="S35" s="77">
        <v>764614</v>
      </c>
      <c r="T35" s="103">
        <f t="shared" si="13"/>
        <v>4896</v>
      </c>
      <c r="U35" s="82">
        <v>5157</v>
      </c>
      <c r="V35" s="103">
        <f t="shared" si="32"/>
        <v>864</v>
      </c>
      <c r="W35" s="77">
        <v>84881</v>
      </c>
      <c r="X35" s="103">
        <f t="shared" si="15"/>
        <v>816</v>
      </c>
      <c r="Y35" s="77">
        <v>1521449</v>
      </c>
      <c r="Z35" s="103">
        <f t="shared" si="16"/>
        <v>7152</v>
      </c>
      <c r="AA35" s="77">
        <v>13886</v>
      </c>
      <c r="AB35" s="103">
        <f>(+AA35-+AA34)*48</f>
        <v>0</v>
      </c>
      <c r="AC35" s="77">
        <v>502236</v>
      </c>
      <c r="AD35" s="103">
        <f t="shared" si="18"/>
        <v>5280</v>
      </c>
      <c r="AE35" s="77">
        <v>571734</v>
      </c>
      <c r="AF35" s="103">
        <f t="shared" si="18"/>
        <v>5040</v>
      </c>
      <c r="AG35" s="77">
        <v>49788</v>
      </c>
      <c r="AH35" s="103">
        <f t="shared" si="19"/>
        <v>0</v>
      </c>
      <c r="AI35" s="77">
        <v>445019</v>
      </c>
      <c r="AJ35" s="103">
        <f t="shared" si="20"/>
        <v>5376</v>
      </c>
      <c r="AK35" s="77">
        <v>102770</v>
      </c>
      <c r="AL35" s="103">
        <f>(+AK35-+AK34)*48</f>
        <v>0</v>
      </c>
      <c r="AM35" s="77">
        <v>607853</v>
      </c>
      <c r="AN35" s="103">
        <f t="shared" si="22"/>
        <v>6192</v>
      </c>
      <c r="AO35" s="77">
        <v>996768</v>
      </c>
      <c r="AP35" s="103">
        <f t="shared" si="23"/>
        <v>9792</v>
      </c>
      <c r="AQ35" s="77">
        <v>90674</v>
      </c>
      <c r="AR35" s="103">
        <f t="shared" si="30"/>
        <v>1824</v>
      </c>
      <c r="AS35" s="77">
        <v>2459</v>
      </c>
      <c r="AT35" s="103">
        <f>(+AS35-+AS34)*48</f>
        <v>0</v>
      </c>
      <c r="AU35" s="77">
        <v>939</v>
      </c>
      <c r="AV35" s="103">
        <f t="shared" si="25"/>
        <v>0</v>
      </c>
      <c r="AW35" s="77">
        <v>3110</v>
      </c>
      <c r="AX35" s="103">
        <v>0</v>
      </c>
      <c r="AY35" s="77">
        <v>348650</v>
      </c>
      <c r="AZ35" s="103">
        <f t="shared" si="36"/>
        <v>4992</v>
      </c>
      <c r="BA35" s="76">
        <v>161101</v>
      </c>
      <c r="BB35" s="103">
        <f t="shared" si="37"/>
        <v>0</v>
      </c>
      <c r="BC35" s="77">
        <v>235741</v>
      </c>
      <c r="BD35" s="103">
        <f t="shared" si="28"/>
        <v>3504</v>
      </c>
      <c r="BE35" s="77">
        <v>5350</v>
      </c>
      <c r="BF35" s="103">
        <f t="shared" si="29"/>
        <v>0</v>
      </c>
      <c r="BH35" s="105">
        <f t="shared" si="1"/>
        <v>119030.39999999999</v>
      </c>
      <c r="BI35" s="105">
        <f t="shared" si="2"/>
        <v>69657.600000000006</v>
      </c>
    </row>
    <row r="36" spans="1:61" s="35" customFormat="1" ht="39.950000000000003" customHeight="1">
      <c r="A36" s="189">
        <v>44709</v>
      </c>
      <c r="B36" s="34"/>
      <c r="C36" s="77">
        <v>6920481</v>
      </c>
      <c r="D36" s="103">
        <f t="shared" si="7"/>
        <v>113376</v>
      </c>
      <c r="E36" s="104">
        <f t="shared" si="5"/>
        <v>68025.599999999991</v>
      </c>
      <c r="F36" s="103">
        <f t="shared" si="6"/>
        <v>45350.400000000001</v>
      </c>
      <c r="G36" s="77">
        <v>295312</v>
      </c>
      <c r="H36" s="103">
        <f t="shared" si="8"/>
        <v>2256</v>
      </c>
      <c r="I36" s="77">
        <v>187751</v>
      </c>
      <c r="J36" s="37">
        <f t="shared" si="9"/>
        <v>8448</v>
      </c>
      <c r="K36" s="77">
        <v>269308</v>
      </c>
      <c r="L36" s="103">
        <f t="shared" si="0"/>
        <v>1680</v>
      </c>
      <c r="M36" s="77">
        <v>25322</v>
      </c>
      <c r="N36" s="37">
        <f t="shared" si="10"/>
        <v>144</v>
      </c>
      <c r="O36" s="77">
        <v>331340</v>
      </c>
      <c r="P36" s="37">
        <f t="shared" si="11"/>
        <v>11568</v>
      </c>
      <c r="Q36" s="77">
        <v>477379</v>
      </c>
      <c r="R36" s="103">
        <f t="shared" si="12"/>
        <v>4848</v>
      </c>
      <c r="S36" s="77">
        <v>764717</v>
      </c>
      <c r="T36" s="103">
        <f t="shared" si="13"/>
        <v>4944</v>
      </c>
      <c r="U36" s="82">
        <v>5176</v>
      </c>
      <c r="V36" s="103">
        <f t="shared" si="32"/>
        <v>912</v>
      </c>
      <c r="W36" s="77">
        <v>84902</v>
      </c>
      <c r="X36" s="103">
        <f t="shared" si="15"/>
        <v>1008</v>
      </c>
      <c r="Y36" s="77">
        <v>1521611</v>
      </c>
      <c r="Z36" s="103">
        <f>(+Y36-+Y35)*48</f>
        <v>7776</v>
      </c>
      <c r="AA36" s="77">
        <v>13886</v>
      </c>
      <c r="AB36" s="103">
        <f>(+AA36-+AA35)*48</f>
        <v>0</v>
      </c>
      <c r="AC36" s="77">
        <v>502345</v>
      </c>
      <c r="AD36" s="103">
        <f t="shared" si="18"/>
        <v>5232</v>
      </c>
      <c r="AE36" s="77">
        <v>571855</v>
      </c>
      <c r="AF36" s="103">
        <f t="shared" si="18"/>
        <v>5808</v>
      </c>
      <c r="AG36" s="77">
        <v>49788</v>
      </c>
      <c r="AH36" s="103">
        <f t="shared" si="19"/>
        <v>0</v>
      </c>
      <c r="AI36" s="77">
        <v>445145</v>
      </c>
      <c r="AJ36" s="103">
        <f t="shared" si="20"/>
        <v>6048</v>
      </c>
      <c r="AK36" s="77">
        <v>102770</v>
      </c>
      <c r="AL36" s="103">
        <f t="shared" si="21"/>
        <v>0</v>
      </c>
      <c r="AM36" s="77">
        <v>607977</v>
      </c>
      <c r="AN36" s="103">
        <f t="shared" si="22"/>
        <v>5952</v>
      </c>
      <c r="AO36" s="77">
        <v>996968</v>
      </c>
      <c r="AP36" s="103">
        <f t="shared" si="23"/>
        <v>9600</v>
      </c>
      <c r="AQ36" s="77">
        <v>90759</v>
      </c>
      <c r="AR36" s="103">
        <f t="shared" si="30"/>
        <v>4080</v>
      </c>
      <c r="AS36" s="77">
        <v>2459</v>
      </c>
      <c r="AT36" s="103">
        <f>(+AS36-+AS35)*48</f>
        <v>0</v>
      </c>
      <c r="AU36" s="77">
        <v>939</v>
      </c>
      <c r="AV36" s="103">
        <f t="shared" si="25"/>
        <v>0</v>
      </c>
      <c r="AW36" s="77">
        <v>3110</v>
      </c>
      <c r="AX36" s="103">
        <f t="shared" ref="AX36:AX38" si="38">(+AW36-+AW35)*48</f>
        <v>0</v>
      </c>
      <c r="AY36" s="77">
        <v>348754</v>
      </c>
      <c r="AZ36" s="103">
        <f t="shared" si="36"/>
        <v>4992</v>
      </c>
      <c r="BA36" s="76">
        <v>161101</v>
      </c>
      <c r="BB36" s="103">
        <f t="shared" si="37"/>
        <v>0</v>
      </c>
      <c r="BC36" s="77">
        <v>235809</v>
      </c>
      <c r="BD36" s="103">
        <f t="shared" si="28"/>
        <v>3264</v>
      </c>
      <c r="BE36" s="77">
        <v>5350</v>
      </c>
      <c r="BF36" s="103">
        <f t="shared" si="29"/>
        <v>0</v>
      </c>
      <c r="BH36" s="105">
        <f t="shared" si="1"/>
        <v>128697.59999999999</v>
      </c>
      <c r="BI36" s="105">
        <f t="shared" si="2"/>
        <v>73238.399999999994</v>
      </c>
    </row>
    <row r="37" spans="1:61" s="35" customFormat="1" ht="39.950000000000003" customHeight="1">
      <c r="A37" s="189">
        <v>44710</v>
      </c>
      <c r="B37" s="34"/>
      <c r="C37" s="77">
        <v>6922598</v>
      </c>
      <c r="D37" s="103">
        <f t="shared" si="7"/>
        <v>101616</v>
      </c>
      <c r="E37" s="104">
        <f t="shared" si="5"/>
        <v>60969.599999999999</v>
      </c>
      <c r="F37" s="103">
        <f t="shared" si="6"/>
        <v>40646.400000000001</v>
      </c>
      <c r="G37" s="77">
        <v>295343</v>
      </c>
      <c r="H37" s="103">
        <f t="shared" si="8"/>
        <v>1488</v>
      </c>
      <c r="I37" s="77">
        <v>187925</v>
      </c>
      <c r="J37" s="37">
        <f t="shared" si="9"/>
        <v>8352</v>
      </c>
      <c r="K37" s="77">
        <v>269330</v>
      </c>
      <c r="L37" s="103">
        <f t="shared" si="0"/>
        <v>1056</v>
      </c>
      <c r="M37" s="77">
        <v>25323</v>
      </c>
      <c r="N37" s="37">
        <f t="shared" si="10"/>
        <v>48</v>
      </c>
      <c r="O37" s="77">
        <v>331582</v>
      </c>
      <c r="P37" s="37">
        <f t="shared" si="11"/>
        <v>11616</v>
      </c>
      <c r="Q37" s="77">
        <v>477473</v>
      </c>
      <c r="R37" s="103">
        <f t="shared" si="12"/>
        <v>4512</v>
      </c>
      <c r="S37" s="77">
        <v>764814</v>
      </c>
      <c r="T37" s="103">
        <f t="shared" si="13"/>
        <v>4656</v>
      </c>
      <c r="U37" s="82">
        <v>5195</v>
      </c>
      <c r="V37" s="103">
        <f t="shared" si="32"/>
        <v>912</v>
      </c>
      <c r="W37" s="77">
        <v>84927</v>
      </c>
      <c r="X37" s="103">
        <f t="shared" si="15"/>
        <v>1200</v>
      </c>
      <c r="Y37" s="77">
        <v>1521746</v>
      </c>
      <c r="Z37" s="103">
        <f>(+Y37-+Y36)*48</f>
        <v>6480</v>
      </c>
      <c r="AA37" s="77">
        <v>13886</v>
      </c>
      <c r="AB37" s="103">
        <f t="shared" si="17"/>
        <v>0</v>
      </c>
      <c r="AC37" s="77">
        <v>502481</v>
      </c>
      <c r="AD37" s="103">
        <f t="shared" si="18"/>
        <v>6528</v>
      </c>
      <c r="AE37" s="77">
        <v>571979</v>
      </c>
      <c r="AF37" s="103">
        <f t="shared" si="18"/>
        <v>5952</v>
      </c>
      <c r="AG37" s="77">
        <v>49788</v>
      </c>
      <c r="AH37" s="103">
        <f t="shared" si="19"/>
        <v>0</v>
      </c>
      <c r="AI37" s="77">
        <v>445264</v>
      </c>
      <c r="AJ37" s="103">
        <f t="shared" si="20"/>
        <v>5712</v>
      </c>
      <c r="AK37" s="77">
        <v>102770</v>
      </c>
      <c r="AL37" s="103">
        <f t="shared" si="21"/>
        <v>0</v>
      </c>
      <c r="AM37" s="77">
        <v>608106</v>
      </c>
      <c r="AN37" s="103">
        <f t="shared" si="22"/>
        <v>6192</v>
      </c>
      <c r="AO37" s="77">
        <v>997177</v>
      </c>
      <c r="AP37" s="103">
        <f t="shared" si="23"/>
        <v>10032</v>
      </c>
      <c r="AQ37" s="77">
        <v>90824</v>
      </c>
      <c r="AR37" s="103">
        <f t="shared" si="30"/>
        <v>3120</v>
      </c>
      <c r="AS37" s="77">
        <v>2459</v>
      </c>
      <c r="AT37" s="103">
        <f>(+AS37-+AS36)*48</f>
        <v>0</v>
      </c>
      <c r="AU37" s="77">
        <v>939</v>
      </c>
      <c r="AV37" s="103">
        <f t="shared" si="25"/>
        <v>0</v>
      </c>
      <c r="AW37" s="77">
        <v>3110</v>
      </c>
      <c r="AX37" s="103">
        <f t="shared" si="38"/>
        <v>0</v>
      </c>
      <c r="AY37" s="77">
        <v>348860</v>
      </c>
      <c r="AZ37" s="103">
        <f t="shared" si="36"/>
        <v>5088</v>
      </c>
      <c r="BA37" s="76">
        <v>161101</v>
      </c>
      <c r="BB37" s="103">
        <f t="shared" si="37"/>
        <v>0</v>
      </c>
      <c r="BC37" s="77">
        <v>235881</v>
      </c>
      <c r="BD37" s="103">
        <f t="shared" si="28"/>
        <v>3456</v>
      </c>
      <c r="BE37" s="77">
        <v>5350</v>
      </c>
      <c r="BF37" s="103">
        <f t="shared" si="29"/>
        <v>0</v>
      </c>
      <c r="BH37" s="105">
        <f t="shared" si="1"/>
        <v>119481.60000000001</v>
      </c>
      <c r="BI37" s="105">
        <f t="shared" si="2"/>
        <v>68534.399999999994</v>
      </c>
    </row>
    <row r="38" spans="1:61" s="35" customFormat="1" ht="39.950000000000003" customHeight="1">
      <c r="A38" s="189">
        <v>44711</v>
      </c>
      <c r="B38" s="34"/>
      <c r="C38" s="77">
        <v>6924824</v>
      </c>
      <c r="D38" s="103">
        <f t="shared" si="7"/>
        <v>106848</v>
      </c>
      <c r="E38" s="104">
        <f t="shared" si="5"/>
        <v>64108.799999999996</v>
      </c>
      <c r="F38" s="103">
        <f t="shared" si="6"/>
        <v>42739.200000000004</v>
      </c>
      <c r="G38" s="77">
        <v>295381</v>
      </c>
      <c r="H38" s="103">
        <f t="shared" si="8"/>
        <v>1824</v>
      </c>
      <c r="I38" s="77">
        <v>188093</v>
      </c>
      <c r="J38" s="37">
        <f t="shared" si="9"/>
        <v>8064</v>
      </c>
      <c r="K38" s="77">
        <v>269353</v>
      </c>
      <c r="L38" s="103">
        <f t="shared" si="0"/>
        <v>1104</v>
      </c>
      <c r="M38" s="77">
        <v>25325</v>
      </c>
      <c r="N38" s="37">
        <f t="shared" si="10"/>
        <v>96</v>
      </c>
      <c r="O38" s="77">
        <v>331790</v>
      </c>
      <c r="P38" s="37">
        <f t="shared" si="11"/>
        <v>9984</v>
      </c>
      <c r="Q38" s="77">
        <v>477563</v>
      </c>
      <c r="R38" s="103">
        <f t="shared" si="12"/>
        <v>4320</v>
      </c>
      <c r="S38" s="77">
        <v>764909</v>
      </c>
      <c r="T38" s="103">
        <f t="shared" si="13"/>
        <v>4560</v>
      </c>
      <c r="U38" s="82">
        <v>5213</v>
      </c>
      <c r="V38" s="103">
        <f t="shared" si="32"/>
        <v>864</v>
      </c>
      <c r="W38" s="77">
        <v>84932</v>
      </c>
      <c r="X38" s="103">
        <f t="shared" si="15"/>
        <v>240</v>
      </c>
      <c r="Y38" s="77">
        <v>1521850</v>
      </c>
      <c r="Z38" s="103">
        <f>(+Y38-+Y37)*48</f>
        <v>4992</v>
      </c>
      <c r="AA38" s="77">
        <v>13886</v>
      </c>
      <c r="AB38" s="103">
        <f t="shared" si="17"/>
        <v>0</v>
      </c>
      <c r="AC38" s="77">
        <v>502616</v>
      </c>
      <c r="AD38" s="103">
        <f t="shared" ref="AD38:AD39" si="39">(+AC38-+AC37)*48</f>
        <v>6480</v>
      </c>
      <c r="AE38" s="77">
        <v>572105</v>
      </c>
      <c r="AF38" s="103">
        <f t="shared" ref="AF38:AF39" si="40">(+AE38-+AE37)*48</f>
        <v>6048</v>
      </c>
      <c r="AG38" s="77">
        <v>49788</v>
      </c>
      <c r="AH38" s="103">
        <f>(+AG38-+AG37)*48</f>
        <v>0</v>
      </c>
      <c r="AI38" s="77">
        <v>445352</v>
      </c>
      <c r="AJ38" s="103">
        <f t="shared" si="20"/>
        <v>4224</v>
      </c>
      <c r="AK38" s="77">
        <v>102770</v>
      </c>
      <c r="AL38" s="103">
        <f t="shared" si="21"/>
        <v>0</v>
      </c>
      <c r="AM38" s="77">
        <v>608221</v>
      </c>
      <c r="AN38" s="103">
        <f t="shared" si="22"/>
        <v>5520</v>
      </c>
      <c r="AO38" s="77">
        <v>997367</v>
      </c>
      <c r="AP38" s="103">
        <f t="shared" si="23"/>
        <v>9120</v>
      </c>
      <c r="AQ38" s="77">
        <v>90873</v>
      </c>
      <c r="AR38" s="103">
        <f t="shared" si="30"/>
        <v>2352</v>
      </c>
      <c r="AS38" s="77">
        <v>2459</v>
      </c>
      <c r="AT38" s="103">
        <f>(+AS38-+AS37)*48</f>
        <v>0</v>
      </c>
      <c r="AU38" s="77">
        <v>939</v>
      </c>
      <c r="AV38" s="103">
        <f t="shared" si="25"/>
        <v>0</v>
      </c>
      <c r="AW38" s="77">
        <v>3110</v>
      </c>
      <c r="AX38" s="103">
        <f t="shared" si="38"/>
        <v>0</v>
      </c>
      <c r="AY38" s="77">
        <v>348950</v>
      </c>
      <c r="AZ38" s="103">
        <f t="shared" si="36"/>
        <v>4320</v>
      </c>
      <c r="BA38" s="76">
        <v>161101</v>
      </c>
      <c r="BB38" s="103">
        <f t="shared" si="37"/>
        <v>0</v>
      </c>
      <c r="BC38" s="77">
        <v>235928</v>
      </c>
      <c r="BD38" s="103">
        <f t="shared" si="28"/>
        <v>2256</v>
      </c>
      <c r="BE38" s="77">
        <v>5350</v>
      </c>
      <c r="BF38" s="103">
        <f t="shared" si="29"/>
        <v>0</v>
      </c>
      <c r="BH38" s="105">
        <f t="shared" si="1"/>
        <v>116908.79999999999</v>
      </c>
      <c r="BI38" s="105">
        <f t="shared" si="2"/>
        <v>66307.200000000012</v>
      </c>
    </row>
    <row r="39" spans="1:61" s="35" customFormat="1" ht="39.950000000000003" customHeight="1">
      <c r="A39" s="189">
        <v>44712</v>
      </c>
      <c r="B39" s="34"/>
      <c r="C39" s="77">
        <f>C38-C37+C38</f>
        <v>6927050</v>
      </c>
      <c r="D39" s="103">
        <f t="shared" si="32"/>
        <v>106848</v>
      </c>
      <c r="E39" s="104">
        <f t="shared" si="5"/>
        <v>64108.799999999996</v>
      </c>
      <c r="F39" s="103">
        <f t="shared" si="6"/>
        <v>42739.200000000004</v>
      </c>
      <c r="G39" s="77">
        <f>G38-G37+G38</f>
        <v>295419</v>
      </c>
      <c r="H39" s="103">
        <f t="shared" si="32"/>
        <v>1824</v>
      </c>
      <c r="I39" s="77">
        <f>I38-I37+I38</f>
        <v>188261</v>
      </c>
      <c r="J39" s="103">
        <f t="shared" si="32"/>
        <v>8064</v>
      </c>
      <c r="K39" s="77">
        <f>K38-K37+K38</f>
        <v>269376</v>
      </c>
      <c r="L39" s="103">
        <f t="shared" si="32"/>
        <v>1104</v>
      </c>
      <c r="M39" s="77">
        <f>M38-M37+M38</f>
        <v>25327</v>
      </c>
      <c r="N39" s="103">
        <f t="shared" si="32"/>
        <v>96</v>
      </c>
      <c r="O39" s="77">
        <f>O38-O37+O38</f>
        <v>331998</v>
      </c>
      <c r="P39" s="103">
        <f t="shared" si="32"/>
        <v>9984</v>
      </c>
      <c r="Q39" s="77">
        <f>Q38-Q37+Q38</f>
        <v>477653</v>
      </c>
      <c r="R39" s="103">
        <f t="shared" si="32"/>
        <v>4320</v>
      </c>
      <c r="S39" s="77">
        <f>S38-S37+S38</f>
        <v>765004</v>
      </c>
      <c r="T39" s="103">
        <f t="shared" si="32"/>
        <v>4560</v>
      </c>
      <c r="U39" s="77">
        <f>U38-U37+U38</f>
        <v>5231</v>
      </c>
      <c r="V39" s="103">
        <f t="shared" si="32"/>
        <v>864</v>
      </c>
      <c r="W39" s="77">
        <f>W38-W37+W38</f>
        <v>84937</v>
      </c>
      <c r="X39" s="103">
        <f t="shared" si="15"/>
        <v>240</v>
      </c>
      <c r="Y39" s="77">
        <f>Y38-Y37+Y38</f>
        <v>1521954</v>
      </c>
      <c r="Z39" s="103">
        <f t="shared" ref="Z39" si="41">(+Y39-+Y38)*48</f>
        <v>4992</v>
      </c>
      <c r="AA39" s="77">
        <v>13886</v>
      </c>
      <c r="AB39" s="103">
        <f>(+AA39-+AA37)*48</f>
        <v>0</v>
      </c>
      <c r="AC39" s="77">
        <f>AC38-AC37+AC38</f>
        <v>502751</v>
      </c>
      <c r="AD39" s="103">
        <f t="shared" si="39"/>
        <v>6480</v>
      </c>
      <c r="AE39" s="77">
        <f>AE38-AE37+AE38</f>
        <v>572231</v>
      </c>
      <c r="AF39" s="103">
        <f t="shared" si="40"/>
        <v>6048</v>
      </c>
      <c r="AG39" s="77">
        <v>49788</v>
      </c>
      <c r="AH39" s="103">
        <f>(+AG39-+AG37)*48</f>
        <v>0</v>
      </c>
      <c r="AI39" s="77">
        <f>AI38-AI37+AI38</f>
        <v>445440</v>
      </c>
      <c r="AJ39" s="103">
        <f t="shared" si="20"/>
        <v>4224</v>
      </c>
      <c r="AK39" s="77">
        <v>102770</v>
      </c>
      <c r="AL39" s="103">
        <f>(+AK39-+AK37)*48</f>
        <v>0</v>
      </c>
      <c r="AM39" s="77">
        <v>608297</v>
      </c>
      <c r="AN39" s="103">
        <f t="shared" si="22"/>
        <v>3648</v>
      </c>
      <c r="AO39" s="77">
        <f>AO38-AO37+AO38</f>
        <v>997557</v>
      </c>
      <c r="AP39" s="103">
        <f t="shared" si="23"/>
        <v>9120</v>
      </c>
      <c r="AQ39" s="77">
        <f>AQ38-AQ37+AQ38</f>
        <v>90922</v>
      </c>
      <c r="AR39" s="103">
        <f t="shared" si="30"/>
        <v>2352</v>
      </c>
      <c r="AS39" s="77">
        <v>2459</v>
      </c>
      <c r="AT39" s="103">
        <f t="shared" ref="AT39" si="42">(+AS39-+AS37)*48</f>
        <v>0</v>
      </c>
      <c r="AU39" s="77">
        <v>939</v>
      </c>
      <c r="AV39" s="103">
        <f>(+AU39-+AU37)*48</f>
        <v>0</v>
      </c>
      <c r="AW39" s="77">
        <v>3110</v>
      </c>
      <c r="AX39" s="103">
        <f>(+AW39-+AW37)*48</f>
        <v>0</v>
      </c>
      <c r="AY39" s="77">
        <f>AY38-AY37+AY38</f>
        <v>349040</v>
      </c>
      <c r="AZ39" s="103">
        <f t="shared" si="36"/>
        <v>4320</v>
      </c>
      <c r="BA39" s="76">
        <v>161101</v>
      </c>
      <c r="BB39" s="103">
        <f>(+BA39-+BA37)*48</f>
        <v>0</v>
      </c>
      <c r="BC39" s="77">
        <f>BC38-BC37+BC38</f>
        <v>235975</v>
      </c>
      <c r="BD39" s="103">
        <f t="shared" si="28"/>
        <v>2256</v>
      </c>
      <c r="BE39" s="77">
        <v>5350</v>
      </c>
      <c r="BF39" s="103">
        <f>(+BE39-+BE37)*48</f>
        <v>0</v>
      </c>
      <c r="BH39" s="105">
        <f t="shared" si="1"/>
        <v>116908.79999999999</v>
      </c>
      <c r="BI39" s="105">
        <f t="shared" si="2"/>
        <v>64435.200000000004</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3" t="s">
        <v>196</v>
      </c>
      <c r="C1" s="273"/>
      <c r="D1" s="273" t="s">
        <v>196</v>
      </c>
      <c r="E1" s="273"/>
      <c r="F1" s="273" t="s">
        <v>196</v>
      </c>
      <c r="G1" s="273"/>
      <c r="H1" s="273" t="s">
        <v>197</v>
      </c>
      <c r="I1" s="273"/>
      <c r="J1" s="270"/>
      <c r="K1" s="270"/>
      <c r="L1" s="273" t="s">
        <v>198</v>
      </c>
      <c r="M1" s="273"/>
      <c r="N1" s="273" t="s">
        <v>198</v>
      </c>
      <c r="O1" s="273"/>
      <c r="P1" s="273" t="s">
        <v>198</v>
      </c>
      <c r="Q1" s="273"/>
      <c r="R1" s="273" t="s">
        <v>198</v>
      </c>
      <c r="S1" s="273"/>
      <c r="T1" s="273" t="s">
        <v>199</v>
      </c>
      <c r="U1" s="273"/>
      <c r="V1" s="281" t="s">
        <v>199</v>
      </c>
      <c r="W1" s="281"/>
      <c r="X1" s="273" t="s">
        <v>199</v>
      </c>
      <c r="Y1" s="273"/>
      <c r="Z1" s="273" t="s">
        <v>199</v>
      </c>
      <c r="AA1" s="273"/>
      <c r="AB1" s="270"/>
      <c r="AC1" s="270"/>
      <c r="AD1" s="273" t="s">
        <v>199</v>
      </c>
      <c r="AE1" s="273"/>
      <c r="AF1" s="273" t="s">
        <v>199</v>
      </c>
      <c r="AG1" s="273"/>
      <c r="AH1" s="273" t="s">
        <v>200</v>
      </c>
      <c r="AI1" s="273"/>
      <c r="AJ1" s="273" t="s">
        <v>200</v>
      </c>
      <c r="AK1" s="273"/>
      <c r="AL1" s="282" t="s">
        <v>200</v>
      </c>
      <c r="AM1" s="282"/>
      <c r="AN1" s="273" t="s">
        <v>200</v>
      </c>
      <c r="AO1" s="273"/>
      <c r="AP1" s="270" t="s">
        <v>200</v>
      </c>
      <c r="AQ1" s="270"/>
      <c r="AR1" s="282" t="s">
        <v>200</v>
      </c>
      <c r="AS1" s="282"/>
      <c r="AT1" s="273" t="s">
        <v>200</v>
      </c>
      <c r="AU1" s="273"/>
      <c r="AV1" s="270"/>
      <c r="AW1" s="270"/>
      <c r="AX1" s="273" t="s">
        <v>200</v>
      </c>
      <c r="AY1" s="273"/>
      <c r="AZ1" s="273" t="s">
        <v>200</v>
      </c>
      <c r="BA1" s="273"/>
      <c r="BB1" s="273" t="s">
        <v>200</v>
      </c>
      <c r="BC1" s="273"/>
      <c r="BD1" s="273" t="s">
        <v>201</v>
      </c>
      <c r="BE1" s="273"/>
      <c r="BF1" s="273" t="s">
        <v>201</v>
      </c>
      <c r="BG1" s="273"/>
      <c r="BH1" s="273" t="s">
        <v>201</v>
      </c>
      <c r="BI1" s="273"/>
      <c r="BJ1" s="273" t="s">
        <v>201</v>
      </c>
      <c r="BK1" s="273"/>
      <c r="BL1" s="273" t="s">
        <v>201</v>
      </c>
      <c r="BM1" s="273"/>
      <c r="BN1" s="273" t="s">
        <v>201</v>
      </c>
      <c r="BO1" s="273"/>
      <c r="BP1" s="273" t="s">
        <v>201</v>
      </c>
      <c r="BQ1" s="273"/>
      <c r="BR1" s="273" t="s">
        <v>201</v>
      </c>
      <c r="BS1" s="273"/>
      <c r="BT1" s="273" t="s">
        <v>201</v>
      </c>
      <c r="BU1" s="273"/>
      <c r="BV1" s="273" t="s">
        <v>201</v>
      </c>
      <c r="BW1" s="273"/>
      <c r="BX1" s="273" t="s">
        <v>201</v>
      </c>
      <c r="BY1" s="273"/>
      <c r="BZ1" s="273" t="s">
        <v>202</v>
      </c>
      <c r="CA1" s="273"/>
      <c r="CB1" s="281" t="s">
        <v>202</v>
      </c>
      <c r="CC1" s="281"/>
      <c r="CD1" s="273" t="s">
        <v>202</v>
      </c>
      <c r="CE1" s="273"/>
      <c r="CF1" s="273" t="s">
        <v>202</v>
      </c>
      <c r="CG1" s="273"/>
      <c r="CH1" s="273" t="s">
        <v>203</v>
      </c>
      <c r="CI1" s="273"/>
      <c r="CJ1" s="273" t="s">
        <v>203</v>
      </c>
      <c r="CK1" s="273"/>
      <c r="CL1" s="273" t="s">
        <v>203</v>
      </c>
      <c r="CM1" s="273"/>
      <c r="CN1" s="273" t="s">
        <v>204</v>
      </c>
      <c r="CO1" s="273"/>
      <c r="CP1" s="273" t="s">
        <v>204</v>
      </c>
      <c r="CQ1" s="273"/>
      <c r="CR1" s="281" t="s">
        <v>204</v>
      </c>
      <c r="CS1" s="281"/>
      <c r="CT1" s="273" t="s">
        <v>204</v>
      </c>
      <c r="CU1" s="273"/>
      <c r="CV1" s="273" t="s">
        <v>204</v>
      </c>
      <c r="CW1" s="273"/>
      <c r="CX1" s="273" t="s">
        <v>204</v>
      </c>
      <c r="CY1" s="273"/>
      <c r="CZ1" s="273" t="s">
        <v>204</v>
      </c>
      <c r="DA1" s="273"/>
      <c r="DB1" s="273" t="s">
        <v>204</v>
      </c>
      <c r="DC1" s="273"/>
      <c r="DD1" s="273" t="s">
        <v>204</v>
      </c>
      <c r="DE1" s="273"/>
      <c r="DF1" s="273" t="s">
        <v>204</v>
      </c>
      <c r="DG1" s="273"/>
      <c r="DH1" s="273" t="s">
        <v>204</v>
      </c>
      <c r="DI1" s="273"/>
      <c r="DJ1" s="270" t="s">
        <v>204</v>
      </c>
      <c r="DK1" s="270"/>
      <c r="DL1" s="273" t="s">
        <v>205</v>
      </c>
      <c r="DM1" s="273"/>
      <c r="DN1" s="273" t="s">
        <v>205</v>
      </c>
      <c r="DO1" s="273"/>
      <c r="DP1" s="273" t="s">
        <v>205</v>
      </c>
      <c r="DQ1" s="273"/>
      <c r="DR1" s="273" t="s">
        <v>205</v>
      </c>
      <c r="DS1" s="273"/>
      <c r="DT1" s="273" t="s">
        <v>205</v>
      </c>
      <c r="DU1" s="273"/>
      <c r="DV1" s="273" t="s">
        <v>205</v>
      </c>
      <c r="DW1" s="273"/>
      <c r="DX1" s="273" t="s">
        <v>206</v>
      </c>
      <c r="DY1" s="273"/>
      <c r="DZ1" s="273" t="s">
        <v>206</v>
      </c>
      <c r="EA1" s="273"/>
      <c r="EB1" s="273" t="s">
        <v>206</v>
      </c>
      <c r="EC1" s="273"/>
      <c r="ED1" s="273" t="s">
        <v>206</v>
      </c>
      <c r="EE1" s="273"/>
      <c r="EF1" s="273" t="s">
        <v>206</v>
      </c>
      <c r="EG1" s="273"/>
      <c r="EH1" s="273" t="s">
        <v>206</v>
      </c>
      <c r="EI1" s="273"/>
      <c r="EJ1" s="273" t="s">
        <v>206</v>
      </c>
      <c r="EK1" s="273"/>
      <c r="EL1" s="273" t="s">
        <v>207</v>
      </c>
      <c r="EM1" s="273"/>
      <c r="EN1" s="273" t="s">
        <v>207</v>
      </c>
      <c r="EO1" s="273"/>
      <c r="EP1" s="273" t="s">
        <v>207</v>
      </c>
      <c r="EQ1" s="273"/>
      <c r="ER1" s="273" t="s">
        <v>208</v>
      </c>
      <c r="ES1" s="273"/>
      <c r="ET1" s="273" t="s">
        <v>208</v>
      </c>
      <c r="EU1" s="273"/>
      <c r="EV1" s="273" t="s">
        <v>208</v>
      </c>
      <c r="EW1" s="273"/>
      <c r="EX1" s="273" t="s">
        <v>209</v>
      </c>
      <c r="EY1" s="273"/>
      <c r="EZ1" s="273" t="s">
        <v>210</v>
      </c>
      <c r="FA1" s="273"/>
      <c r="FB1" s="273" t="s">
        <v>210</v>
      </c>
      <c r="FC1" s="273"/>
      <c r="FD1" s="273" t="s">
        <v>210</v>
      </c>
      <c r="FE1" s="273"/>
      <c r="FF1" s="273" t="s">
        <v>211</v>
      </c>
      <c r="FG1" s="273"/>
      <c r="FH1" s="273" t="s">
        <v>211</v>
      </c>
      <c r="FI1" s="273"/>
      <c r="FJ1" s="273" t="s">
        <v>211</v>
      </c>
      <c r="FK1" s="273"/>
      <c r="FL1" s="270" t="s">
        <v>211</v>
      </c>
      <c r="FM1" s="270"/>
    </row>
    <row r="2" spans="1:169" s="23" customFormat="1" ht="49.5" customHeight="1">
      <c r="B2" s="273" t="s">
        <v>212</v>
      </c>
      <c r="C2" s="273"/>
      <c r="D2" s="273" t="s">
        <v>213</v>
      </c>
      <c r="E2" s="273"/>
      <c r="F2" s="273" t="s">
        <v>212</v>
      </c>
      <c r="G2" s="273"/>
      <c r="H2" s="273" t="s">
        <v>213</v>
      </c>
      <c r="I2" s="273"/>
      <c r="J2" s="273" t="s">
        <v>213</v>
      </c>
      <c r="K2" s="273"/>
      <c r="L2" s="273" t="s">
        <v>212</v>
      </c>
      <c r="M2" s="273"/>
      <c r="N2" s="273" t="s">
        <v>212</v>
      </c>
      <c r="O2" s="273"/>
      <c r="P2" s="273" t="s">
        <v>213</v>
      </c>
      <c r="Q2" s="273"/>
      <c r="R2" s="273" t="s">
        <v>213</v>
      </c>
      <c r="S2" s="273"/>
      <c r="T2" s="273" t="s">
        <v>212</v>
      </c>
      <c r="U2" s="273"/>
      <c r="V2" s="273" t="s">
        <v>213</v>
      </c>
      <c r="W2" s="273"/>
      <c r="X2" s="273" t="s">
        <v>213</v>
      </c>
      <c r="Y2" s="273"/>
      <c r="Z2" s="273" t="s">
        <v>213</v>
      </c>
      <c r="AA2" s="273"/>
      <c r="AB2" s="270" t="s">
        <v>213</v>
      </c>
      <c r="AC2" s="270"/>
      <c r="AD2" s="273" t="s">
        <v>212</v>
      </c>
      <c r="AE2" s="273"/>
      <c r="AF2" s="273" t="s">
        <v>213</v>
      </c>
      <c r="AG2" s="273"/>
      <c r="AH2" s="273" t="s">
        <v>213</v>
      </c>
      <c r="AI2" s="273"/>
      <c r="AJ2" s="273" t="s">
        <v>213</v>
      </c>
      <c r="AK2" s="273"/>
      <c r="AL2" s="273" t="s">
        <v>213</v>
      </c>
      <c r="AM2" s="273"/>
      <c r="AN2" s="273" t="s">
        <v>213</v>
      </c>
      <c r="AO2" s="273"/>
      <c r="AP2" s="270" t="s">
        <v>213</v>
      </c>
      <c r="AQ2" s="270"/>
      <c r="AR2" s="273" t="s">
        <v>213</v>
      </c>
      <c r="AS2" s="273"/>
      <c r="AT2" s="273" t="s">
        <v>213</v>
      </c>
      <c r="AU2" s="273"/>
      <c r="AV2" s="270" t="s">
        <v>213</v>
      </c>
      <c r="AW2" s="270"/>
      <c r="AX2" s="273" t="s">
        <v>213</v>
      </c>
      <c r="AY2" s="273"/>
      <c r="AZ2" s="273" t="s">
        <v>213</v>
      </c>
      <c r="BA2" s="273"/>
      <c r="BB2" s="273" t="s">
        <v>213</v>
      </c>
      <c r="BC2" s="273"/>
      <c r="BD2" s="273" t="s">
        <v>212</v>
      </c>
      <c r="BE2" s="273"/>
      <c r="BF2" s="273" t="s">
        <v>214</v>
      </c>
      <c r="BG2" s="273"/>
      <c r="BH2" s="273" t="s">
        <v>213</v>
      </c>
      <c r="BI2" s="273"/>
      <c r="BJ2" s="273" t="s">
        <v>213</v>
      </c>
      <c r="BK2" s="273"/>
      <c r="BL2" s="273" t="s">
        <v>213</v>
      </c>
      <c r="BM2" s="273"/>
      <c r="BN2" s="273" t="s">
        <v>213</v>
      </c>
      <c r="BO2" s="273"/>
      <c r="BP2" s="273" t="s">
        <v>213</v>
      </c>
      <c r="BQ2" s="273"/>
      <c r="BR2" s="273" t="s">
        <v>213</v>
      </c>
      <c r="BS2" s="273"/>
      <c r="BT2" s="273" t="s">
        <v>213</v>
      </c>
      <c r="BU2" s="273"/>
      <c r="BV2" s="273" t="s">
        <v>213</v>
      </c>
      <c r="BW2" s="273"/>
      <c r="BX2" s="273" t="s">
        <v>213</v>
      </c>
      <c r="BY2" s="273"/>
      <c r="BZ2" s="273" t="s">
        <v>212</v>
      </c>
      <c r="CA2" s="273"/>
      <c r="CB2" s="273" t="s">
        <v>212</v>
      </c>
      <c r="CC2" s="273"/>
      <c r="CD2" s="273" t="s">
        <v>212</v>
      </c>
      <c r="CE2" s="273"/>
      <c r="CF2" s="273" t="s">
        <v>212</v>
      </c>
      <c r="CG2" s="273"/>
      <c r="CH2" s="273" t="s">
        <v>213</v>
      </c>
      <c r="CI2" s="273"/>
      <c r="CJ2" s="273" t="s">
        <v>213</v>
      </c>
      <c r="CK2" s="273"/>
      <c r="CL2" s="273" t="s">
        <v>213</v>
      </c>
      <c r="CM2" s="273"/>
      <c r="CN2" s="273" t="s">
        <v>212</v>
      </c>
      <c r="CO2" s="273"/>
      <c r="CP2" s="273" t="s">
        <v>213</v>
      </c>
      <c r="CQ2" s="273"/>
      <c r="CR2" s="273" t="s">
        <v>213</v>
      </c>
      <c r="CS2" s="273"/>
      <c r="CT2" s="273" t="s">
        <v>213</v>
      </c>
      <c r="CU2" s="273"/>
      <c r="CV2" s="273" t="s">
        <v>213</v>
      </c>
      <c r="CW2" s="273"/>
      <c r="CX2" s="273" t="s">
        <v>213</v>
      </c>
      <c r="CY2" s="273"/>
      <c r="CZ2" s="273" t="s">
        <v>213</v>
      </c>
      <c r="DA2" s="273"/>
      <c r="DB2" s="273" t="s">
        <v>212</v>
      </c>
      <c r="DC2" s="273"/>
      <c r="DD2" s="273" t="s">
        <v>213</v>
      </c>
      <c r="DE2" s="273"/>
      <c r="DF2" s="273" t="s">
        <v>213</v>
      </c>
      <c r="DG2" s="273"/>
      <c r="DH2" s="273" t="s">
        <v>213</v>
      </c>
      <c r="DI2" s="273"/>
      <c r="DJ2" s="270" t="s">
        <v>213</v>
      </c>
      <c r="DK2" s="270"/>
      <c r="DL2" s="273" t="s">
        <v>213</v>
      </c>
      <c r="DM2" s="273"/>
      <c r="DN2" s="273" t="s">
        <v>213</v>
      </c>
      <c r="DO2" s="273"/>
      <c r="DP2" s="273" t="s">
        <v>213</v>
      </c>
      <c r="DQ2" s="273"/>
      <c r="DR2" s="273" t="s">
        <v>213</v>
      </c>
      <c r="DS2" s="273"/>
      <c r="DT2" s="273" t="s">
        <v>213</v>
      </c>
      <c r="DU2" s="273"/>
      <c r="DV2" s="273" t="s">
        <v>213</v>
      </c>
      <c r="DW2" s="273"/>
      <c r="DX2" s="273" t="s">
        <v>213</v>
      </c>
      <c r="DY2" s="273"/>
      <c r="DZ2" s="273" t="s">
        <v>213</v>
      </c>
      <c r="EA2" s="273"/>
      <c r="EB2" s="273" t="s">
        <v>213</v>
      </c>
      <c r="EC2" s="273"/>
      <c r="ED2" s="273" t="s">
        <v>213</v>
      </c>
      <c r="EE2" s="273"/>
      <c r="EF2" s="273" t="s">
        <v>213</v>
      </c>
      <c r="EG2" s="273"/>
      <c r="EH2" s="273" t="s">
        <v>213</v>
      </c>
      <c r="EI2" s="273"/>
      <c r="EJ2" s="273" t="s">
        <v>213</v>
      </c>
      <c r="EK2" s="273"/>
      <c r="EL2" s="273" t="s">
        <v>213</v>
      </c>
      <c r="EM2" s="273"/>
      <c r="EN2" s="273" t="s">
        <v>213</v>
      </c>
      <c r="EO2" s="273"/>
      <c r="EP2" s="273" t="s">
        <v>213</v>
      </c>
      <c r="EQ2" s="273"/>
      <c r="ER2" s="273" t="s">
        <v>213</v>
      </c>
      <c r="ES2" s="273"/>
      <c r="ET2" s="273" t="s">
        <v>213</v>
      </c>
      <c r="EU2" s="273"/>
      <c r="EV2" s="273" t="s">
        <v>213</v>
      </c>
      <c r="EW2" s="273"/>
      <c r="EX2" s="273" t="s">
        <v>213</v>
      </c>
      <c r="EY2" s="273"/>
      <c r="EZ2" s="273" t="s">
        <v>213</v>
      </c>
      <c r="FA2" s="273"/>
      <c r="FB2" s="273" t="s">
        <v>213</v>
      </c>
      <c r="FC2" s="273"/>
      <c r="FD2" s="273" t="s">
        <v>213</v>
      </c>
      <c r="FE2" s="273"/>
      <c r="FF2" s="273" t="s">
        <v>213</v>
      </c>
      <c r="FG2" s="273"/>
      <c r="FH2" s="273" t="s">
        <v>213</v>
      </c>
      <c r="FI2" s="273"/>
      <c r="FJ2" s="273" t="s">
        <v>213</v>
      </c>
      <c r="FK2" s="273"/>
      <c r="FL2" s="270" t="s">
        <v>213</v>
      </c>
      <c r="FM2" s="270"/>
    </row>
    <row r="3" spans="1:169" s="23" customFormat="1" ht="49.5" customHeight="1">
      <c r="B3" s="222" t="s">
        <v>67</v>
      </c>
      <c r="C3" s="223"/>
      <c r="D3" s="222" t="s">
        <v>215</v>
      </c>
      <c r="E3" s="223"/>
      <c r="F3" s="222"/>
      <c r="G3" s="223"/>
      <c r="H3" s="222" t="s">
        <v>215</v>
      </c>
      <c r="I3" s="223"/>
      <c r="J3" s="222" t="s">
        <v>215</v>
      </c>
      <c r="K3" s="223"/>
      <c r="L3" s="222"/>
      <c r="M3" s="223"/>
      <c r="N3" s="222"/>
      <c r="O3" s="223"/>
      <c r="P3" s="222" t="s">
        <v>215</v>
      </c>
      <c r="Q3" s="223"/>
      <c r="R3" s="222" t="s">
        <v>215</v>
      </c>
      <c r="S3" s="223"/>
      <c r="T3" s="222"/>
      <c r="U3" s="223"/>
      <c r="V3" s="222" t="s">
        <v>216</v>
      </c>
      <c r="W3" s="223"/>
      <c r="X3" s="222" t="s">
        <v>216</v>
      </c>
      <c r="Y3" s="223"/>
      <c r="Z3" s="222" t="s">
        <v>216</v>
      </c>
      <c r="AA3" s="223"/>
      <c r="AB3" s="279" t="s">
        <v>216</v>
      </c>
      <c r="AC3" s="280"/>
      <c r="AD3" s="222"/>
      <c r="AE3" s="223"/>
      <c r="AF3" s="222" t="s">
        <v>216</v>
      </c>
      <c r="AG3" s="223"/>
      <c r="AH3" s="222" t="s">
        <v>215</v>
      </c>
      <c r="AI3" s="223"/>
      <c r="AJ3" s="222" t="s">
        <v>215</v>
      </c>
      <c r="AK3" s="223"/>
      <c r="AL3" s="222" t="s">
        <v>215</v>
      </c>
      <c r="AM3" s="223"/>
      <c r="AN3" s="222" t="s">
        <v>215</v>
      </c>
      <c r="AO3" s="223"/>
      <c r="AP3" s="279" t="s">
        <v>215</v>
      </c>
      <c r="AQ3" s="280"/>
      <c r="AR3" s="222" t="s">
        <v>215</v>
      </c>
      <c r="AS3" s="223"/>
      <c r="AT3" s="222" t="s">
        <v>215</v>
      </c>
      <c r="AU3" s="223"/>
      <c r="AV3" s="279" t="s">
        <v>215</v>
      </c>
      <c r="AW3" s="280"/>
      <c r="AX3" s="222" t="s">
        <v>215</v>
      </c>
      <c r="AY3" s="223"/>
      <c r="AZ3" s="222" t="s">
        <v>215</v>
      </c>
      <c r="BA3" s="223"/>
      <c r="BB3" s="222" t="s">
        <v>215</v>
      </c>
      <c r="BC3" s="223"/>
      <c r="BD3" s="222"/>
      <c r="BE3" s="223"/>
      <c r="BF3" s="222"/>
      <c r="BG3" s="223"/>
      <c r="BH3" s="222" t="s">
        <v>215</v>
      </c>
      <c r="BI3" s="223"/>
      <c r="BJ3" s="222" t="s">
        <v>215</v>
      </c>
      <c r="BK3" s="223"/>
      <c r="BL3" s="222" t="s">
        <v>215</v>
      </c>
      <c r="BM3" s="223"/>
      <c r="BN3" s="222" t="s">
        <v>215</v>
      </c>
      <c r="BO3" s="223"/>
      <c r="BP3" s="222" t="s">
        <v>215</v>
      </c>
      <c r="BQ3" s="223"/>
      <c r="BR3" s="222" t="s">
        <v>215</v>
      </c>
      <c r="BS3" s="223"/>
      <c r="BT3" s="222" t="s">
        <v>215</v>
      </c>
      <c r="BU3" s="223"/>
      <c r="BV3" s="222" t="s">
        <v>215</v>
      </c>
      <c r="BW3" s="223"/>
      <c r="BX3" s="222" t="s">
        <v>215</v>
      </c>
      <c r="BY3" s="223"/>
      <c r="BZ3" s="222" t="s">
        <v>66</v>
      </c>
      <c r="CA3" s="223"/>
      <c r="CB3" s="222" t="s">
        <v>66</v>
      </c>
      <c r="CC3" s="223"/>
      <c r="CD3" s="222" t="s">
        <v>66</v>
      </c>
      <c r="CE3" s="223"/>
      <c r="CF3" s="111"/>
      <c r="CG3" s="111"/>
      <c r="CH3" s="222" t="s">
        <v>67</v>
      </c>
      <c r="CI3" s="223"/>
      <c r="CJ3" s="222" t="s">
        <v>67</v>
      </c>
      <c r="CK3" s="223"/>
      <c r="CL3" s="222" t="s">
        <v>215</v>
      </c>
      <c r="CM3" s="223"/>
      <c r="CN3" s="222"/>
      <c r="CO3" s="223"/>
      <c r="CP3" s="222" t="s">
        <v>215</v>
      </c>
      <c r="CQ3" s="223"/>
      <c r="CR3" s="222" t="s">
        <v>215</v>
      </c>
      <c r="CS3" s="223"/>
      <c r="CT3" s="222" t="s">
        <v>215</v>
      </c>
      <c r="CU3" s="223"/>
      <c r="CV3" s="222" t="s">
        <v>215</v>
      </c>
      <c r="CW3" s="223"/>
      <c r="CX3" s="222" t="s">
        <v>215</v>
      </c>
      <c r="CY3" s="223"/>
      <c r="CZ3" s="222" t="s">
        <v>215</v>
      </c>
      <c r="DA3" s="223"/>
      <c r="DB3" s="222" t="s">
        <v>215</v>
      </c>
      <c r="DC3" s="223"/>
      <c r="DD3" s="222" t="s">
        <v>215</v>
      </c>
      <c r="DE3" s="223"/>
      <c r="DF3" s="222" t="s">
        <v>215</v>
      </c>
      <c r="DG3" s="223"/>
      <c r="DH3" s="222" t="s">
        <v>215</v>
      </c>
      <c r="DI3" s="223"/>
      <c r="DJ3" s="279" t="s">
        <v>215</v>
      </c>
      <c r="DK3" s="280"/>
      <c r="DL3" s="222" t="s">
        <v>65</v>
      </c>
      <c r="DM3" s="223"/>
      <c r="DN3" s="222" t="s">
        <v>65</v>
      </c>
      <c r="DO3" s="223"/>
      <c r="DP3" s="222" t="s">
        <v>65</v>
      </c>
      <c r="DQ3" s="223"/>
      <c r="DR3" s="222" t="s">
        <v>65</v>
      </c>
      <c r="DS3" s="223"/>
      <c r="DT3" s="222" t="s">
        <v>65</v>
      </c>
      <c r="DU3" s="223"/>
      <c r="DV3" s="222" t="s">
        <v>217</v>
      </c>
      <c r="DW3" s="223"/>
      <c r="DX3" s="222" t="s">
        <v>65</v>
      </c>
      <c r="DY3" s="223"/>
      <c r="DZ3" s="222" t="s">
        <v>216</v>
      </c>
      <c r="EA3" s="223"/>
      <c r="EB3" s="222" t="s">
        <v>65</v>
      </c>
      <c r="EC3" s="223"/>
      <c r="ED3" s="222" t="s">
        <v>65</v>
      </c>
      <c r="EE3" s="223"/>
      <c r="EF3" s="222" t="s">
        <v>65</v>
      </c>
      <c r="EG3" s="223"/>
      <c r="EH3" s="222" t="s">
        <v>65</v>
      </c>
      <c r="EI3" s="223"/>
      <c r="EJ3" s="222" t="s">
        <v>65</v>
      </c>
      <c r="EK3" s="223"/>
      <c r="EL3" s="222" t="s">
        <v>67</v>
      </c>
      <c r="EM3" s="223"/>
      <c r="EN3" s="222" t="s">
        <v>67</v>
      </c>
      <c r="EO3" s="223"/>
      <c r="EP3" s="222" t="s">
        <v>67</v>
      </c>
      <c r="EQ3" s="223"/>
      <c r="ER3" s="222" t="s">
        <v>67</v>
      </c>
      <c r="ES3" s="223"/>
      <c r="ET3" s="222" t="s">
        <v>67</v>
      </c>
      <c r="EU3" s="223"/>
      <c r="EV3" s="222" t="s">
        <v>67</v>
      </c>
      <c r="EW3" s="223"/>
      <c r="EX3" s="222" t="s">
        <v>67</v>
      </c>
      <c r="EY3" s="223"/>
      <c r="EZ3" s="222" t="s">
        <v>67</v>
      </c>
      <c r="FA3" s="223"/>
      <c r="FB3" s="222" t="s">
        <v>67</v>
      </c>
      <c r="FC3" s="223"/>
      <c r="FD3" s="222" t="s">
        <v>67</v>
      </c>
      <c r="FE3" s="223"/>
      <c r="FF3" s="222" t="s">
        <v>67</v>
      </c>
      <c r="FG3" s="223"/>
      <c r="FH3" s="222" t="s">
        <v>67</v>
      </c>
      <c r="FI3" s="223"/>
      <c r="FJ3" s="222" t="s">
        <v>67</v>
      </c>
      <c r="FK3" s="223"/>
      <c r="FL3" s="279" t="s">
        <v>215</v>
      </c>
      <c r="FM3" s="280"/>
    </row>
    <row r="4" spans="1:169" s="23" customFormat="1" ht="30" customHeight="1">
      <c r="B4" s="222" t="s">
        <v>218</v>
      </c>
      <c r="C4" s="223"/>
      <c r="D4" s="222" t="s">
        <v>218</v>
      </c>
      <c r="E4" s="223"/>
      <c r="F4" s="109"/>
      <c r="G4" s="110"/>
      <c r="H4" s="222" t="s">
        <v>218</v>
      </c>
      <c r="I4" s="223"/>
      <c r="J4" s="222" t="s">
        <v>219</v>
      </c>
      <c r="K4" s="223"/>
      <c r="L4" s="109"/>
      <c r="M4" s="110"/>
      <c r="N4" s="222"/>
      <c r="O4" s="223"/>
      <c r="P4" s="222" t="s">
        <v>220</v>
      </c>
      <c r="Q4" s="223"/>
      <c r="R4" s="222" t="s">
        <v>220</v>
      </c>
      <c r="S4" s="223"/>
      <c r="T4" s="109"/>
      <c r="U4" s="110"/>
      <c r="V4" s="222" t="s">
        <v>220</v>
      </c>
      <c r="W4" s="223"/>
      <c r="X4" s="222" t="s">
        <v>220</v>
      </c>
      <c r="Y4" s="223"/>
      <c r="Z4" s="222" t="s">
        <v>220</v>
      </c>
      <c r="AA4" s="223"/>
      <c r="AB4" s="279" t="s">
        <v>220</v>
      </c>
      <c r="AC4" s="280"/>
      <c r="AD4" s="109"/>
      <c r="AE4" s="110"/>
      <c r="AF4" s="222" t="s">
        <v>220</v>
      </c>
      <c r="AG4" s="223"/>
      <c r="AH4" s="222" t="s">
        <v>220</v>
      </c>
      <c r="AI4" s="223"/>
      <c r="AJ4" s="222" t="s">
        <v>218</v>
      </c>
      <c r="AK4" s="223"/>
      <c r="AL4" s="222" t="s">
        <v>218</v>
      </c>
      <c r="AM4" s="223"/>
      <c r="AN4" s="222" t="s">
        <v>218</v>
      </c>
      <c r="AO4" s="223"/>
      <c r="AP4" s="279" t="s">
        <v>219</v>
      </c>
      <c r="AQ4" s="280"/>
      <c r="AR4" s="222" t="s">
        <v>218</v>
      </c>
      <c r="AS4" s="223"/>
      <c r="AT4" s="222" t="s">
        <v>218</v>
      </c>
      <c r="AU4" s="223"/>
      <c r="AV4" s="279" t="s">
        <v>218</v>
      </c>
      <c r="AW4" s="280"/>
      <c r="AX4" s="222" t="s">
        <v>220</v>
      </c>
      <c r="AY4" s="223"/>
      <c r="AZ4" s="222" t="s">
        <v>218</v>
      </c>
      <c r="BA4" s="223"/>
      <c r="BB4" s="222" t="s">
        <v>218</v>
      </c>
      <c r="BC4" s="223"/>
      <c r="BD4" s="109"/>
      <c r="BE4" s="110"/>
      <c r="BF4" s="109"/>
      <c r="BG4" s="110"/>
      <c r="BH4" s="222" t="s">
        <v>219</v>
      </c>
      <c r="BI4" s="223"/>
      <c r="BJ4" s="222" t="s">
        <v>220</v>
      </c>
      <c r="BK4" s="223"/>
      <c r="BL4" s="222" t="s">
        <v>218</v>
      </c>
      <c r="BM4" s="223"/>
      <c r="BN4" s="222" t="s">
        <v>218</v>
      </c>
      <c r="BO4" s="223"/>
      <c r="BP4" s="222" t="s">
        <v>218</v>
      </c>
      <c r="BQ4" s="223"/>
      <c r="BR4" s="222" t="s">
        <v>218</v>
      </c>
      <c r="BS4" s="223"/>
      <c r="BT4" s="222" t="s">
        <v>218</v>
      </c>
      <c r="BU4" s="223"/>
      <c r="BV4" s="222" t="s">
        <v>218</v>
      </c>
      <c r="BW4" s="223"/>
      <c r="BX4" s="222" t="s">
        <v>218</v>
      </c>
      <c r="BY4" s="223"/>
      <c r="BZ4" s="222" t="s">
        <v>220</v>
      </c>
      <c r="CA4" s="223"/>
      <c r="CB4" s="222" t="s">
        <v>220</v>
      </c>
      <c r="CC4" s="223"/>
      <c r="CD4" s="222" t="s">
        <v>220</v>
      </c>
      <c r="CE4" s="223"/>
      <c r="CF4" s="222" t="s">
        <v>218</v>
      </c>
      <c r="CG4" s="223"/>
      <c r="CH4" s="222" t="s">
        <v>218</v>
      </c>
      <c r="CI4" s="223"/>
      <c r="CJ4" s="222" t="s">
        <v>218</v>
      </c>
      <c r="CK4" s="223"/>
      <c r="CL4" s="222" t="s">
        <v>218</v>
      </c>
      <c r="CM4" s="223"/>
      <c r="CN4" s="109"/>
      <c r="CO4" s="110"/>
      <c r="CP4" s="222" t="s">
        <v>219</v>
      </c>
      <c r="CQ4" s="223"/>
      <c r="CR4" s="222" t="s">
        <v>221</v>
      </c>
      <c r="CS4" s="223"/>
      <c r="CT4" s="222" t="s">
        <v>219</v>
      </c>
      <c r="CU4" s="223"/>
      <c r="CV4" s="222" t="s">
        <v>220</v>
      </c>
      <c r="CW4" s="223"/>
      <c r="CX4" s="222" t="s">
        <v>218</v>
      </c>
      <c r="CY4" s="223"/>
      <c r="CZ4" s="222" t="s">
        <v>218</v>
      </c>
      <c r="DA4" s="223"/>
      <c r="DB4" s="109"/>
      <c r="DC4" s="110"/>
      <c r="DD4" s="222" t="s">
        <v>219</v>
      </c>
      <c r="DE4" s="223"/>
      <c r="DF4" s="222" t="s">
        <v>220</v>
      </c>
      <c r="DG4" s="223"/>
      <c r="DH4" s="222" t="s">
        <v>220</v>
      </c>
      <c r="DI4" s="223"/>
      <c r="DJ4" s="279" t="s">
        <v>219</v>
      </c>
      <c r="DK4" s="280"/>
      <c r="DL4" s="222" t="s">
        <v>218</v>
      </c>
      <c r="DM4" s="223"/>
      <c r="DN4" s="222" t="s">
        <v>218</v>
      </c>
      <c r="DO4" s="223"/>
      <c r="DP4" s="222" t="s">
        <v>218</v>
      </c>
      <c r="DQ4" s="223"/>
      <c r="DR4" s="222" t="s">
        <v>218</v>
      </c>
      <c r="DS4" s="223"/>
      <c r="DT4" s="222" t="s">
        <v>220</v>
      </c>
      <c r="DU4" s="223"/>
      <c r="DV4" s="222" t="s">
        <v>220</v>
      </c>
      <c r="DW4" s="223"/>
      <c r="DX4" s="222" t="s">
        <v>222</v>
      </c>
      <c r="DY4" s="223"/>
      <c r="DZ4" s="222" t="s">
        <v>223</v>
      </c>
      <c r="EA4" s="223"/>
      <c r="EB4" s="222" t="s">
        <v>222</v>
      </c>
      <c r="EC4" s="223"/>
      <c r="ED4" s="222" t="s">
        <v>218</v>
      </c>
      <c r="EE4" s="223"/>
      <c r="EF4" s="222" t="s">
        <v>218</v>
      </c>
      <c r="EG4" s="223"/>
      <c r="EH4" s="222" t="s">
        <v>220</v>
      </c>
      <c r="EI4" s="223"/>
      <c r="EJ4" s="222" t="s">
        <v>220</v>
      </c>
      <c r="EK4" s="223"/>
      <c r="EL4" s="222" t="s">
        <v>218</v>
      </c>
      <c r="EM4" s="223"/>
      <c r="EN4" s="222" t="s">
        <v>218</v>
      </c>
      <c r="EO4" s="223"/>
      <c r="EP4" s="222" t="s">
        <v>218</v>
      </c>
      <c r="EQ4" s="223"/>
      <c r="ER4" s="222" t="s">
        <v>218</v>
      </c>
      <c r="ES4" s="223"/>
      <c r="ET4" s="222" t="s">
        <v>218</v>
      </c>
      <c r="EU4" s="223"/>
      <c r="EV4" s="222" t="s">
        <v>218</v>
      </c>
      <c r="EW4" s="223"/>
      <c r="EX4" s="222" t="s">
        <v>218</v>
      </c>
      <c r="EY4" s="223"/>
      <c r="EZ4" s="222" t="s">
        <v>220</v>
      </c>
      <c r="FA4" s="223"/>
      <c r="FB4" s="222" t="s">
        <v>218</v>
      </c>
      <c r="FC4" s="223"/>
      <c r="FD4" s="222" t="s">
        <v>218</v>
      </c>
      <c r="FE4" s="223"/>
      <c r="FF4" s="222" t="s">
        <v>222</v>
      </c>
      <c r="FG4" s="223"/>
      <c r="FH4" s="222" t="s">
        <v>218</v>
      </c>
      <c r="FI4" s="223"/>
      <c r="FJ4" s="222" t="s">
        <v>222</v>
      </c>
      <c r="FK4" s="223"/>
      <c r="FL4" s="279" t="s">
        <v>218</v>
      </c>
      <c r="FM4" s="280"/>
    </row>
    <row r="5" spans="1:169" s="84" customFormat="1" ht="138.75" customHeight="1">
      <c r="B5" s="276" t="s">
        <v>78</v>
      </c>
      <c r="C5" s="276"/>
      <c r="D5" s="276" t="s">
        <v>224</v>
      </c>
      <c r="E5" s="276"/>
      <c r="F5" s="276" t="s">
        <v>79</v>
      </c>
      <c r="G5" s="276"/>
      <c r="H5" s="276" t="s">
        <v>225</v>
      </c>
      <c r="I5" s="276"/>
      <c r="J5" s="276" t="s">
        <v>226</v>
      </c>
      <c r="K5" s="276"/>
      <c r="L5" s="276" t="s">
        <v>78</v>
      </c>
      <c r="M5" s="276"/>
      <c r="N5" s="276" t="s">
        <v>80</v>
      </c>
      <c r="O5" s="276"/>
      <c r="P5" s="276" t="s">
        <v>227</v>
      </c>
      <c r="Q5" s="276"/>
      <c r="R5" s="276" t="s">
        <v>227</v>
      </c>
      <c r="S5" s="276"/>
      <c r="T5" s="276" t="s">
        <v>68</v>
      </c>
      <c r="U5" s="276"/>
      <c r="V5" s="276" t="s">
        <v>228</v>
      </c>
      <c r="W5" s="276"/>
      <c r="X5" s="276" t="s">
        <v>229</v>
      </c>
      <c r="Y5" s="276"/>
      <c r="Z5" s="276" t="s">
        <v>230</v>
      </c>
      <c r="AA5" s="276"/>
      <c r="AB5" s="277" t="s">
        <v>227</v>
      </c>
      <c r="AC5" s="277"/>
      <c r="AD5" s="276" t="s">
        <v>69</v>
      </c>
      <c r="AE5" s="276"/>
      <c r="AF5" s="276" t="s">
        <v>231</v>
      </c>
      <c r="AG5" s="276"/>
      <c r="AH5" s="276" t="s">
        <v>232</v>
      </c>
      <c r="AI5" s="276"/>
      <c r="AJ5" s="276" t="s">
        <v>233</v>
      </c>
      <c r="AK5" s="276"/>
      <c r="AL5" s="276" t="s">
        <v>225</v>
      </c>
      <c r="AM5" s="276"/>
      <c r="AN5" s="276" t="s">
        <v>234</v>
      </c>
      <c r="AO5" s="276"/>
      <c r="AP5" s="277" t="s">
        <v>235</v>
      </c>
      <c r="AQ5" s="277"/>
      <c r="AR5" s="276" t="s">
        <v>236</v>
      </c>
      <c r="AS5" s="276"/>
      <c r="AT5" s="276" t="s">
        <v>237</v>
      </c>
      <c r="AU5" s="276"/>
      <c r="AV5" s="277" t="s">
        <v>238</v>
      </c>
      <c r="AW5" s="277"/>
      <c r="AX5" s="276" t="s">
        <v>227</v>
      </c>
      <c r="AY5" s="276"/>
      <c r="AZ5" s="276" t="s">
        <v>225</v>
      </c>
      <c r="BA5" s="276"/>
      <c r="BB5" s="276" t="s">
        <v>239</v>
      </c>
      <c r="BC5" s="276"/>
      <c r="BD5" s="276" t="s">
        <v>71</v>
      </c>
      <c r="BE5" s="276"/>
      <c r="BF5" s="276" t="s">
        <v>72</v>
      </c>
      <c r="BG5" s="276"/>
      <c r="BH5" s="276" t="s">
        <v>240</v>
      </c>
      <c r="BI5" s="276"/>
      <c r="BJ5" s="276" t="s">
        <v>241</v>
      </c>
      <c r="BK5" s="276"/>
      <c r="BL5" s="276" t="s">
        <v>242</v>
      </c>
      <c r="BM5" s="276"/>
      <c r="BN5" s="276" t="s">
        <v>243</v>
      </c>
      <c r="BO5" s="276"/>
      <c r="BP5" s="276" t="s">
        <v>244</v>
      </c>
      <c r="BQ5" s="276"/>
      <c r="BR5" s="276" t="s">
        <v>245</v>
      </c>
      <c r="BS5" s="276"/>
      <c r="BT5" s="276" t="s">
        <v>246</v>
      </c>
      <c r="BU5" s="276"/>
      <c r="BV5" s="276" t="s">
        <v>247</v>
      </c>
      <c r="BW5" s="276"/>
      <c r="BX5" s="276" t="s">
        <v>245</v>
      </c>
      <c r="BY5" s="276"/>
      <c r="BZ5" s="276" t="s">
        <v>74</v>
      </c>
      <c r="CA5" s="276"/>
      <c r="CB5" s="276" t="s">
        <v>75</v>
      </c>
      <c r="CC5" s="276"/>
      <c r="CD5" s="276" t="s">
        <v>76</v>
      </c>
      <c r="CE5" s="276"/>
      <c r="CF5" s="276" t="s">
        <v>77</v>
      </c>
      <c r="CG5" s="276"/>
      <c r="CH5" s="276" t="s">
        <v>248</v>
      </c>
      <c r="CI5" s="276"/>
      <c r="CJ5" s="276" t="s">
        <v>248</v>
      </c>
      <c r="CK5" s="276"/>
      <c r="CL5" s="276" t="s">
        <v>249</v>
      </c>
      <c r="CM5" s="276"/>
      <c r="CN5" s="276" t="s">
        <v>70</v>
      </c>
      <c r="CO5" s="276"/>
      <c r="CP5" s="278" t="s">
        <v>250</v>
      </c>
      <c r="CQ5" s="278"/>
      <c r="CR5" s="278" t="s">
        <v>221</v>
      </c>
      <c r="CS5" s="278"/>
      <c r="CT5" s="278" t="s">
        <v>251</v>
      </c>
      <c r="CU5" s="278"/>
      <c r="CV5" s="278" t="s">
        <v>252</v>
      </c>
      <c r="CW5" s="278"/>
      <c r="CX5" s="278" t="s">
        <v>253</v>
      </c>
      <c r="CY5" s="278"/>
      <c r="CZ5" s="278" t="s">
        <v>254</v>
      </c>
      <c r="DA5" s="278"/>
      <c r="DB5" s="276" t="s">
        <v>73</v>
      </c>
      <c r="DC5" s="276"/>
      <c r="DD5" s="276" t="s">
        <v>255</v>
      </c>
      <c r="DE5" s="276"/>
      <c r="DF5" s="276" t="s">
        <v>256</v>
      </c>
      <c r="DG5" s="276"/>
      <c r="DH5" s="276" t="s">
        <v>257</v>
      </c>
      <c r="DI5" s="276"/>
      <c r="DJ5" s="277" t="s">
        <v>255</v>
      </c>
      <c r="DK5" s="277"/>
      <c r="DL5" s="276" t="s">
        <v>258</v>
      </c>
      <c r="DM5" s="276"/>
      <c r="DN5" s="276" t="s">
        <v>258</v>
      </c>
      <c r="DO5" s="276"/>
      <c r="DP5" s="276" t="s">
        <v>259</v>
      </c>
      <c r="DQ5" s="276"/>
      <c r="DR5" s="276" t="s">
        <v>259</v>
      </c>
      <c r="DS5" s="276"/>
      <c r="DT5" s="276" t="s">
        <v>231</v>
      </c>
      <c r="DU5" s="276"/>
      <c r="DV5" s="276" t="s">
        <v>260</v>
      </c>
      <c r="DW5" s="276"/>
      <c r="DX5" s="278" t="s">
        <v>261</v>
      </c>
      <c r="DY5" s="278"/>
      <c r="DZ5" s="276" t="s">
        <v>225</v>
      </c>
      <c r="EA5" s="276"/>
      <c r="EB5" s="278" t="s">
        <v>262</v>
      </c>
      <c r="EC5" s="278"/>
      <c r="ED5" s="278" t="s">
        <v>263</v>
      </c>
      <c r="EE5" s="278"/>
      <c r="EF5" s="278" t="s">
        <v>264</v>
      </c>
      <c r="EG5" s="278"/>
      <c r="EH5" s="278" t="s">
        <v>227</v>
      </c>
      <c r="EI5" s="278"/>
      <c r="EJ5" s="278" t="s">
        <v>265</v>
      </c>
      <c r="EK5" s="278"/>
      <c r="EL5" s="276" t="s">
        <v>266</v>
      </c>
      <c r="EM5" s="276"/>
      <c r="EN5" s="276" t="s">
        <v>267</v>
      </c>
      <c r="EO5" s="276"/>
      <c r="EP5" s="276" t="s">
        <v>268</v>
      </c>
      <c r="EQ5" s="276"/>
      <c r="ER5" s="276" t="s">
        <v>269</v>
      </c>
      <c r="ES5" s="276"/>
      <c r="ET5" s="276" t="s">
        <v>267</v>
      </c>
      <c r="EU5" s="276"/>
      <c r="EV5" s="276" t="s">
        <v>268</v>
      </c>
      <c r="EW5" s="276"/>
      <c r="EX5" s="276" t="s">
        <v>270</v>
      </c>
      <c r="EY5" s="276"/>
      <c r="EZ5" s="276" t="s">
        <v>265</v>
      </c>
      <c r="FA5" s="276"/>
      <c r="FB5" s="276" t="s">
        <v>271</v>
      </c>
      <c r="FC5" s="276"/>
      <c r="FD5" s="276" t="s">
        <v>272</v>
      </c>
      <c r="FE5" s="276"/>
      <c r="FF5" s="276" t="s">
        <v>273</v>
      </c>
      <c r="FG5" s="276"/>
      <c r="FH5" s="276" t="s">
        <v>274</v>
      </c>
      <c r="FI5" s="276"/>
      <c r="FJ5" s="276" t="s">
        <v>275</v>
      </c>
      <c r="FK5" s="276"/>
      <c r="FL5" s="277" t="s">
        <v>276</v>
      </c>
      <c r="FM5" s="277"/>
    </row>
    <row r="6" spans="1:169" s="23" customFormat="1" ht="30" customHeight="1">
      <c r="B6" s="273">
        <v>5065544</v>
      </c>
      <c r="C6" s="273"/>
      <c r="D6" s="222"/>
      <c r="E6" s="223"/>
      <c r="F6" s="273">
        <v>5065541</v>
      </c>
      <c r="G6" s="273"/>
      <c r="H6" s="222"/>
      <c r="I6" s="223"/>
      <c r="J6" s="222"/>
      <c r="K6" s="223"/>
      <c r="L6" s="273">
        <v>5065542</v>
      </c>
      <c r="M6" s="273"/>
      <c r="N6" s="273">
        <v>5065540</v>
      </c>
      <c r="O6" s="273"/>
      <c r="P6" s="222"/>
      <c r="Q6" s="223"/>
      <c r="R6" s="222"/>
      <c r="S6" s="223"/>
      <c r="T6" s="273">
        <v>5065546</v>
      </c>
      <c r="U6" s="273"/>
      <c r="V6" s="222"/>
      <c r="W6" s="223"/>
      <c r="X6" s="222"/>
      <c r="Y6" s="223"/>
      <c r="Z6" s="222"/>
      <c r="AA6" s="223"/>
      <c r="AB6" s="222"/>
      <c r="AC6" s="223"/>
      <c r="AD6" s="273">
        <v>5065547</v>
      </c>
      <c r="AE6" s="273"/>
      <c r="AF6" s="222"/>
      <c r="AG6" s="223"/>
      <c r="AH6" s="274"/>
      <c r="AI6" s="275"/>
      <c r="AJ6" s="274"/>
      <c r="AK6" s="275"/>
      <c r="AL6" s="274"/>
      <c r="AM6" s="275"/>
      <c r="AN6" s="274"/>
      <c r="AO6" s="275"/>
      <c r="AP6" s="274"/>
      <c r="AQ6" s="275"/>
      <c r="AR6" s="274"/>
      <c r="AS6" s="275"/>
      <c r="AT6" s="274"/>
      <c r="AU6" s="275"/>
      <c r="AV6" s="274"/>
      <c r="AW6" s="275"/>
      <c r="AX6" s="274"/>
      <c r="AY6" s="275"/>
      <c r="AZ6" s="274"/>
      <c r="BA6" s="275"/>
      <c r="BB6" s="274"/>
      <c r="BC6" s="275"/>
      <c r="BD6" s="273">
        <v>5065548</v>
      </c>
      <c r="BE6" s="273"/>
      <c r="BF6" s="273">
        <v>5465545</v>
      </c>
      <c r="BG6" s="273"/>
      <c r="BH6" s="222"/>
      <c r="BI6" s="223"/>
      <c r="BJ6" s="222"/>
      <c r="BK6" s="223"/>
      <c r="BL6" s="222"/>
      <c r="BM6" s="223"/>
      <c r="BN6" s="222"/>
      <c r="BO6" s="223"/>
      <c r="BP6" s="222"/>
      <c r="BQ6" s="223"/>
      <c r="BR6" s="222"/>
      <c r="BS6" s="223"/>
      <c r="BT6" s="222"/>
      <c r="BU6" s="223"/>
      <c r="BV6" s="222"/>
      <c r="BW6" s="223"/>
      <c r="BX6" s="222"/>
      <c r="BY6" s="223"/>
      <c r="BZ6" s="273">
        <v>5018351</v>
      </c>
      <c r="CA6" s="273"/>
      <c r="CB6" s="273">
        <v>5018354</v>
      </c>
      <c r="CC6" s="273"/>
      <c r="CD6" s="273">
        <v>5018350</v>
      </c>
      <c r="CE6" s="273"/>
      <c r="CF6" s="273">
        <v>5065543</v>
      </c>
      <c r="CG6" s="273"/>
      <c r="CH6" s="222"/>
      <c r="CI6" s="223"/>
      <c r="CJ6" s="222"/>
      <c r="CK6" s="223"/>
      <c r="CL6" s="222"/>
      <c r="CM6" s="223"/>
      <c r="CN6" s="273">
        <v>5008272</v>
      </c>
      <c r="CO6" s="273"/>
      <c r="CP6" s="222"/>
      <c r="CQ6" s="223"/>
      <c r="CR6" s="222"/>
      <c r="CS6" s="223"/>
      <c r="CT6" s="222"/>
      <c r="CU6" s="223"/>
      <c r="CV6" s="222"/>
      <c r="CW6" s="223"/>
      <c r="CX6" s="222"/>
      <c r="CY6" s="223"/>
      <c r="CZ6" s="222"/>
      <c r="DA6" s="223"/>
      <c r="DB6" s="273">
        <v>5008273</v>
      </c>
      <c r="DC6" s="273"/>
      <c r="DD6" s="222"/>
      <c r="DE6" s="223"/>
      <c r="DF6" s="222"/>
      <c r="DG6" s="223"/>
      <c r="DH6" s="222"/>
      <c r="DI6" s="223"/>
      <c r="DJ6" s="222"/>
      <c r="DK6" s="223"/>
      <c r="DL6" s="222"/>
      <c r="DM6" s="223"/>
      <c r="DN6" s="222"/>
      <c r="DO6" s="223"/>
      <c r="DP6" s="222"/>
      <c r="DQ6" s="223"/>
      <c r="DR6" s="222"/>
      <c r="DS6" s="223"/>
      <c r="DT6" s="222"/>
      <c r="DU6" s="223"/>
      <c r="DV6" s="222"/>
      <c r="DW6" s="223"/>
      <c r="DX6" s="222"/>
      <c r="DY6" s="223"/>
      <c r="DZ6" s="222"/>
      <c r="EA6" s="223"/>
      <c r="EB6" s="222"/>
      <c r="EC6" s="223"/>
      <c r="ED6" s="222"/>
      <c r="EE6" s="223"/>
      <c r="EF6" s="222"/>
      <c r="EG6" s="223"/>
      <c r="EH6" s="222"/>
      <c r="EI6" s="223"/>
      <c r="EJ6" s="222"/>
      <c r="EK6" s="223"/>
      <c r="EL6" s="222"/>
      <c r="EM6" s="223"/>
      <c r="EN6" s="222"/>
      <c r="EO6" s="223"/>
      <c r="EP6" s="222"/>
      <c r="EQ6" s="223"/>
      <c r="ER6" s="222"/>
      <c r="ES6" s="223"/>
      <c r="ET6" s="222"/>
      <c r="EU6" s="223"/>
      <c r="EV6" s="222"/>
      <c r="EW6" s="223"/>
      <c r="EX6" s="222"/>
      <c r="EY6" s="223"/>
      <c r="EZ6" s="222"/>
      <c r="FA6" s="223"/>
      <c r="FB6" s="222"/>
      <c r="FC6" s="223"/>
      <c r="FD6" s="222"/>
      <c r="FE6" s="223"/>
      <c r="FF6" s="222"/>
      <c r="FG6" s="223"/>
      <c r="FH6" s="222"/>
      <c r="FI6" s="223"/>
      <c r="FJ6" s="222"/>
      <c r="FK6" s="223"/>
      <c r="FL6" s="222"/>
      <c r="FM6" s="223"/>
    </row>
    <row r="7" spans="1:169" s="23" customFormat="1" ht="30" customHeight="1">
      <c r="B7" s="261" t="s">
        <v>92</v>
      </c>
      <c r="C7" s="261"/>
      <c r="D7" s="261" t="s">
        <v>92</v>
      </c>
      <c r="E7" s="261"/>
      <c r="F7" s="259" t="s">
        <v>93</v>
      </c>
      <c r="G7" s="259"/>
      <c r="H7" s="260" t="s">
        <v>94</v>
      </c>
      <c r="I7" s="260"/>
      <c r="J7" s="260" t="s">
        <v>94</v>
      </c>
      <c r="K7" s="260"/>
      <c r="L7" s="260" t="s">
        <v>94</v>
      </c>
      <c r="M7" s="260"/>
      <c r="N7" s="262" t="s">
        <v>95</v>
      </c>
      <c r="O7" s="262"/>
      <c r="P7" s="262" t="s">
        <v>95</v>
      </c>
      <c r="Q7" s="262"/>
      <c r="R7" s="262" t="s">
        <v>95</v>
      </c>
      <c r="S7" s="262"/>
      <c r="T7" s="263" t="s">
        <v>82</v>
      </c>
      <c r="U7" s="263"/>
      <c r="V7" s="263" t="s">
        <v>82</v>
      </c>
      <c r="W7" s="263"/>
      <c r="X7" s="263" t="s">
        <v>82</v>
      </c>
      <c r="Y7" s="263"/>
      <c r="Z7" s="263" t="s">
        <v>82</v>
      </c>
      <c r="AA7" s="263"/>
      <c r="AB7" s="263" t="s">
        <v>82</v>
      </c>
      <c r="AC7" s="263"/>
      <c r="AD7" s="265" t="s">
        <v>83</v>
      </c>
      <c r="AE7" s="265"/>
      <c r="AF7" s="265" t="s">
        <v>83</v>
      </c>
      <c r="AG7" s="265"/>
      <c r="AH7" s="272" t="s">
        <v>85</v>
      </c>
      <c r="AI7" s="272"/>
      <c r="AJ7" s="272" t="s">
        <v>85</v>
      </c>
      <c r="AK7" s="272"/>
      <c r="AL7" s="272" t="s">
        <v>85</v>
      </c>
      <c r="AM7" s="272"/>
      <c r="AN7" s="272" t="s">
        <v>85</v>
      </c>
      <c r="AO7" s="272"/>
      <c r="AP7" s="272" t="s">
        <v>85</v>
      </c>
      <c r="AQ7" s="272"/>
      <c r="AR7" s="272" t="s">
        <v>85</v>
      </c>
      <c r="AS7" s="272"/>
      <c r="AT7" s="272" t="s">
        <v>85</v>
      </c>
      <c r="AU7" s="272"/>
      <c r="AV7" s="272" t="s">
        <v>85</v>
      </c>
      <c r="AW7" s="272"/>
      <c r="AX7" s="272" t="s">
        <v>85</v>
      </c>
      <c r="AY7" s="272"/>
      <c r="AZ7" s="272" t="s">
        <v>85</v>
      </c>
      <c r="BA7" s="272"/>
      <c r="BB7" s="272" t="s">
        <v>85</v>
      </c>
      <c r="BC7" s="272"/>
      <c r="BD7" s="272" t="s">
        <v>85</v>
      </c>
      <c r="BE7" s="272"/>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70" t="s">
        <v>90</v>
      </c>
      <c r="CE7" s="270"/>
      <c r="CF7" s="271" t="s">
        <v>91</v>
      </c>
      <c r="CG7" s="271"/>
      <c r="CH7" s="271" t="s">
        <v>91</v>
      </c>
      <c r="CI7" s="271"/>
      <c r="CJ7" s="271" t="s">
        <v>91</v>
      </c>
      <c r="CK7" s="271"/>
      <c r="CL7" s="271" t="s">
        <v>91</v>
      </c>
      <c r="CM7" s="271"/>
      <c r="CN7" s="266" t="s">
        <v>84</v>
      </c>
      <c r="CO7" s="266"/>
      <c r="CP7" s="266" t="s">
        <v>84</v>
      </c>
      <c r="CQ7" s="266"/>
      <c r="CR7" s="266" t="s">
        <v>84</v>
      </c>
      <c r="CS7" s="266"/>
      <c r="CT7" s="266" t="s">
        <v>84</v>
      </c>
      <c r="CU7" s="266"/>
      <c r="CV7" s="266" t="s">
        <v>84</v>
      </c>
      <c r="CW7" s="266"/>
      <c r="CX7" s="266" t="s">
        <v>84</v>
      </c>
      <c r="CY7" s="266"/>
      <c r="CZ7" s="266" t="s">
        <v>84</v>
      </c>
      <c r="DA7" s="266"/>
      <c r="DB7" s="264" t="s">
        <v>87</v>
      </c>
      <c r="DC7" s="264"/>
      <c r="DD7" s="264" t="s">
        <v>87</v>
      </c>
      <c r="DE7" s="264"/>
      <c r="DF7" s="264" t="s">
        <v>87</v>
      </c>
      <c r="DG7" s="264"/>
      <c r="DH7" s="264" t="s">
        <v>87</v>
      </c>
      <c r="DI7" s="264"/>
      <c r="DJ7" s="264" t="s">
        <v>87</v>
      </c>
      <c r="DK7" s="264"/>
      <c r="DL7" s="265" t="s">
        <v>83</v>
      </c>
      <c r="DM7" s="265"/>
      <c r="DN7" s="265" t="s">
        <v>83</v>
      </c>
      <c r="DO7" s="265"/>
      <c r="DP7" s="265" t="s">
        <v>83</v>
      </c>
      <c r="DQ7" s="265"/>
      <c r="DR7" s="265" t="s">
        <v>83</v>
      </c>
      <c r="DS7" s="265"/>
      <c r="DT7" s="265" t="s">
        <v>83</v>
      </c>
      <c r="DU7" s="265"/>
      <c r="DV7" s="265" t="s">
        <v>83</v>
      </c>
      <c r="DW7" s="265"/>
      <c r="DX7" s="263" t="s">
        <v>82</v>
      </c>
      <c r="DY7" s="263"/>
      <c r="DZ7" s="263" t="s">
        <v>82</v>
      </c>
      <c r="EA7" s="263"/>
      <c r="EB7" s="263" t="s">
        <v>82</v>
      </c>
      <c r="EC7" s="263"/>
      <c r="ED7" s="263" t="s">
        <v>82</v>
      </c>
      <c r="EE7" s="263"/>
      <c r="EF7" s="263" t="s">
        <v>82</v>
      </c>
      <c r="EG7" s="263"/>
      <c r="EH7" s="263" t="s">
        <v>82</v>
      </c>
      <c r="EI7" s="263"/>
      <c r="EJ7" s="263" t="s">
        <v>82</v>
      </c>
      <c r="EK7" s="263"/>
      <c r="EL7" s="260" t="s">
        <v>94</v>
      </c>
      <c r="EM7" s="260"/>
      <c r="EN7" s="260" t="s">
        <v>94</v>
      </c>
      <c r="EO7" s="260"/>
      <c r="EP7" s="260" t="s">
        <v>94</v>
      </c>
      <c r="EQ7" s="260"/>
      <c r="ER7" s="261" t="s">
        <v>92</v>
      </c>
      <c r="ES7" s="261"/>
      <c r="ET7" s="261" t="s">
        <v>92</v>
      </c>
      <c r="EU7" s="261"/>
      <c r="EV7" s="261" t="s">
        <v>92</v>
      </c>
      <c r="EW7" s="261"/>
      <c r="EX7" s="259" t="s">
        <v>93</v>
      </c>
      <c r="EY7" s="259"/>
      <c r="EZ7" s="262" t="s">
        <v>95</v>
      </c>
      <c r="FA7" s="262"/>
      <c r="FB7" s="262" t="s">
        <v>95</v>
      </c>
      <c r="FC7" s="262"/>
      <c r="FD7" s="262" t="s">
        <v>95</v>
      </c>
      <c r="FE7" s="262"/>
      <c r="FF7" s="259" t="s">
        <v>93</v>
      </c>
      <c r="FG7" s="259"/>
      <c r="FH7" s="259" t="s">
        <v>93</v>
      </c>
      <c r="FI7" s="259"/>
      <c r="FJ7" s="259" t="s">
        <v>93</v>
      </c>
      <c r="FK7" s="259"/>
      <c r="FL7" s="259" t="s">
        <v>93</v>
      </c>
      <c r="FM7" s="259"/>
    </row>
    <row r="8" spans="1:169" s="23" customFormat="1" ht="30" customHeight="1">
      <c r="B8" s="258"/>
      <c r="C8" s="258"/>
      <c r="D8" s="256" t="s">
        <v>277</v>
      </c>
      <c r="E8" s="257"/>
      <c r="F8" s="258"/>
      <c r="G8" s="258"/>
      <c r="H8" s="256" t="s">
        <v>278</v>
      </c>
      <c r="I8" s="257"/>
      <c r="J8" s="256" t="s">
        <v>279</v>
      </c>
      <c r="K8" s="257"/>
      <c r="L8" s="258"/>
      <c r="M8" s="258"/>
      <c r="N8" s="258"/>
      <c r="O8" s="258"/>
      <c r="P8" s="256" t="s">
        <v>280</v>
      </c>
      <c r="Q8" s="257"/>
      <c r="R8" s="256" t="s">
        <v>281</v>
      </c>
      <c r="S8" s="257"/>
      <c r="T8" s="258"/>
      <c r="U8" s="258"/>
      <c r="V8" s="256" t="s">
        <v>282</v>
      </c>
      <c r="W8" s="257"/>
      <c r="X8" s="256" t="s">
        <v>283</v>
      </c>
      <c r="Y8" s="257"/>
      <c r="Z8" s="256" t="s">
        <v>284</v>
      </c>
      <c r="AA8" s="257"/>
      <c r="AB8" s="256" t="s">
        <v>285</v>
      </c>
      <c r="AC8" s="257"/>
      <c r="AD8" s="258"/>
      <c r="AE8" s="258"/>
      <c r="AF8" s="256" t="s">
        <v>286</v>
      </c>
      <c r="AG8" s="257"/>
      <c r="AH8" s="256" t="s">
        <v>287</v>
      </c>
      <c r="AI8" s="257"/>
      <c r="AJ8" s="256" t="s">
        <v>288</v>
      </c>
      <c r="AK8" s="257"/>
      <c r="AL8" s="256" t="s">
        <v>289</v>
      </c>
      <c r="AM8" s="257"/>
      <c r="AN8" s="256" t="s">
        <v>290</v>
      </c>
      <c r="AO8" s="257"/>
      <c r="AP8" s="256" t="s">
        <v>291</v>
      </c>
      <c r="AQ8" s="257"/>
      <c r="AR8" s="256" t="s">
        <v>292</v>
      </c>
      <c r="AS8" s="257"/>
      <c r="AT8" s="256" t="s">
        <v>293</v>
      </c>
      <c r="AU8" s="257"/>
      <c r="AV8" s="256" t="s">
        <v>294</v>
      </c>
      <c r="AW8" s="257"/>
      <c r="AX8" s="256" t="s">
        <v>295</v>
      </c>
      <c r="AY8" s="257"/>
      <c r="AZ8" s="256" t="s">
        <v>296</v>
      </c>
      <c r="BA8" s="257"/>
      <c r="BB8" s="256" t="s">
        <v>297</v>
      </c>
      <c r="BC8" s="257"/>
      <c r="BD8" s="256"/>
      <c r="BE8" s="257"/>
      <c r="BF8" s="258"/>
      <c r="BG8" s="258"/>
      <c r="BH8" s="256" t="s">
        <v>298</v>
      </c>
      <c r="BI8" s="257"/>
      <c r="BJ8" s="256" t="s">
        <v>299</v>
      </c>
      <c r="BK8" s="257"/>
      <c r="BL8" s="256" t="s">
        <v>300</v>
      </c>
      <c r="BM8" s="257"/>
      <c r="BN8" s="256" t="s">
        <v>301</v>
      </c>
      <c r="BO8" s="257"/>
      <c r="BP8" s="256" t="s">
        <v>302</v>
      </c>
      <c r="BQ8" s="257"/>
      <c r="BR8" s="256" t="s">
        <v>303</v>
      </c>
      <c r="BS8" s="257"/>
      <c r="BT8" s="256" t="s">
        <v>304</v>
      </c>
      <c r="BU8" s="257"/>
      <c r="BV8" s="256" t="s">
        <v>305</v>
      </c>
      <c r="BW8" s="257"/>
      <c r="BX8" s="256" t="s">
        <v>306</v>
      </c>
      <c r="BY8" s="257"/>
      <c r="BZ8" s="258"/>
      <c r="CA8" s="258"/>
      <c r="CB8" s="258"/>
      <c r="CC8" s="258"/>
      <c r="CD8" s="258"/>
      <c r="CE8" s="258"/>
      <c r="CF8" s="258"/>
      <c r="CG8" s="258"/>
      <c r="CH8" s="256" t="s">
        <v>307</v>
      </c>
      <c r="CI8" s="257"/>
      <c r="CJ8" s="256" t="s">
        <v>308</v>
      </c>
      <c r="CK8" s="257"/>
      <c r="CL8" s="256" t="s">
        <v>309</v>
      </c>
      <c r="CM8" s="257"/>
      <c r="CN8" s="258"/>
      <c r="CO8" s="258"/>
      <c r="CP8" s="256" t="s">
        <v>310</v>
      </c>
      <c r="CQ8" s="257"/>
      <c r="CR8" s="256" t="s">
        <v>311</v>
      </c>
      <c r="CS8" s="257"/>
      <c r="CT8" s="256" t="s">
        <v>312</v>
      </c>
      <c r="CU8" s="257"/>
      <c r="CV8" s="256" t="s">
        <v>313</v>
      </c>
      <c r="CW8" s="257"/>
      <c r="CX8" s="256" t="s">
        <v>314</v>
      </c>
      <c r="CY8" s="257"/>
      <c r="CZ8" s="256" t="s">
        <v>315</v>
      </c>
      <c r="DA8" s="257"/>
      <c r="DB8" s="258"/>
      <c r="DC8" s="258"/>
      <c r="DD8" s="256" t="s">
        <v>316</v>
      </c>
      <c r="DE8" s="257"/>
      <c r="DF8" s="256" t="s">
        <v>317</v>
      </c>
      <c r="DG8" s="257"/>
      <c r="DH8" s="256" t="s">
        <v>318</v>
      </c>
      <c r="DI8" s="257"/>
      <c r="DJ8" s="256" t="s">
        <v>319</v>
      </c>
      <c r="DK8" s="257"/>
      <c r="DL8" s="256" t="s">
        <v>320</v>
      </c>
      <c r="DM8" s="257"/>
      <c r="DN8" s="256" t="s">
        <v>321</v>
      </c>
      <c r="DO8" s="257"/>
      <c r="DP8" s="256" t="s">
        <v>322</v>
      </c>
      <c r="DQ8" s="257"/>
      <c r="DR8" s="256" t="s">
        <v>323</v>
      </c>
      <c r="DS8" s="257"/>
      <c r="DT8" s="256" t="s">
        <v>324</v>
      </c>
      <c r="DU8" s="257"/>
      <c r="DV8" s="256" t="s">
        <v>325</v>
      </c>
      <c r="DW8" s="257"/>
      <c r="DX8" s="256" t="s">
        <v>326</v>
      </c>
      <c r="DY8" s="257"/>
      <c r="DZ8" s="256" t="s">
        <v>327</v>
      </c>
      <c r="EA8" s="257"/>
      <c r="EB8" s="256" t="s">
        <v>328</v>
      </c>
      <c r="EC8" s="257"/>
      <c r="ED8" s="256" t="s">
        <v>329</v>
      </c>
      <c r="EE8" s="257"/>
      <c r="EF8" s="256" t="s">
        <v>330</v>
      </c>
      <c r="EG8" s="257"/>
      <c r="EH8" s="256" t="s">
        <v>331</v>
      </c>
      <c r="EI8" s="257"/>
      <c r="EJ8" s="256" t="s">
        <v>332</v>
      </c>
      <c r="EK8" s="257"/>
      <c r="EL8" s="256" t="s">
        <v>333</v>
      </c>
      <c r="EM8" s="257"/>
      <c r="EN8" s="256" t="s">
        <v>334</v>
      </c>
      <c r="EO8" s="257"/>
      <c r="EP8" s="256" t="s">
        <v>335</v>
      </c>
      <c r="EQ8" s="257"/>
      <c r="ER8" s="256" t="s">
        <v>336</v>
      </c>
      <c r="ES8" s="257"/>
      <c r="ET8" s="256" t="s">
        <v>337</v>
      </c>
      <c r="EU8" s="257"/>
      <c r="EV8" s="256" t="s">
        <v>338</v>
      </c>
      <c r="EW8" s="257"/>
      <c r="EX8" s="256" t="s">
        <v>339</v>
      </c>
      <c r="EY8" s="257"/>
      <c r="EZ8" s="256" t="s">
        <v>340</v>
      </c>
      <c r="FA8" s="257"/>
      <c r="FB8" s="256" t="s">
        <v>341</v>
      </c>
      <c r="FC8" s="257"/>
      <c r="FD8" s="256" t="s">
        <v>342</v>
      </c>
      <c r="FE8" s="257"/>
      <c r="FF8" s="256" t="s">
        <v>343</v>
      </c>
      <c r="FG8" s="257"/>
      <c r="FH8" s="256" t="s">
        <v>344</v>
      </c>
      <c r="FI8" s="257"/>
      <c r="FJ8" s="256" t="s">
        <v>345</v>
      </c>
      <c r="FK8" s="257"/>
      <c r="FL8" s="256" t="s">
        <v>346</v>
      </c>
      <c r="FM8" s="257"/>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4" t="s">
        <v>347</v>
      </c>
      <c r="D2" s="284"/>
      <c r="E2" s="284" t="s">
        <v>348</v>
      </c>
      <c r="F2" s="284"/>
      <c r="G2" s="284" t="s">
        <v>349</v>
      </c>
      <c r="H2" s="284"/>
      <c r="I2" s="284" t="s">
        <v>350</v>
      </c>
      <c r="J2" s="284"/>
      <c r="K2" s="284" t="s">
        <v>351</v>
      </c>
      <c r="L2" s="284"/>
      <c r="M2" s="284" t="s">
        <v>352</v>
      </c>
      <c r="N2" s="284"/>
      <c r="O2" s="284" t="s">
        <v>353</v>
      </c>
      <c r="P2" s="284"/>
      <c r="Q2" s="284" t="s">
        <v>354</v>
      </c>
      <c r="R2" s="284"/>
      <c r="S2" s="284" t="s">
        <v>355</v>
      </c>
      <c r="T2" s="284"/>
      <c r="V2" s="284" t="s">
        <v>356</v>
      </c>
      <c r="W2" s="284"/>
      <c r="X2" s="284" t="s">
        <v>357</v>
      </c>
      <c r="Y2" s="284"/>
      <c r="Z2" s="284" t="s">
        <v>358</v>
      </c>
      <c r="AA2" s="284"/>
      <c r="AB2" s="284" t="s">
        <v>359</v>
      </c>
      <c r="AC2" s="284"/>
      <c r="AD2" s="284" t="s">
        <v>360</v>
      </c>
      <c r="AE2" s="284"/>
      <c r="AF2" s="284" t="s">
        <v>361</v>
      </c>
      <c r="AG2" s="284"/>
      <c r="AH2" s="284" t="s">
        <v>362</v>
      </c>
      <c r="AI2" s="284"/>
      <c r="AJ2" s="284" t="s">
        <v>363</v>
      </c>
      <c r="AK2" s="284"/>
      <c r="AL2" s="284" t="s">
        <v>364</v>
      </c>
      <c r="AM2" s="284"/>
      <c r="AO2" s="284" t="s">
        <v>365</v>
      </c>
      <c r="AP2" s="284"/>
      <c r="AQ2" s="284" t="s">
        <v>366</v>
      </c>
      <c r="AR2" s="284"/>
      <c r="AS2" s="284" t="s">
        <v>367</v>
      </c>
      <c r="AT2" s="284"/>
      <c r="AU2" s="284" t="s">
        <v>368</v>
      </c>
      <c r="AV2" s="284"/>
      <c r="AW2" s="284" t="s">
        <v>369</v>
      </c>
      <c r="AX2" s="284"/>
      <c r="AY2" s="284" t="s">
        <v>370</v>
      </c>
      <c r="AZ2" s="284"/>
      <c r="BA2" s="284" t="s">
        <v>371</v>
      </c>
      <c r="BB2" s="284"/>
      <c r="BC2" s="284" t="s">
        <v>372</v>
      </c>
      <c r="BD2" s="284"/>
      <c r="BE2" s="284" t="s">
        <v>373</v>
      </c>
      <c r="BF2" s="284"/>
      <c r="BH2" s="284" t="s">
        <v>103</v>
      </c>
      <c r="BI2" s="284"/>
      <c r="BJ2" s="284" t="s">
        <v>374</v>
      </c>
      <c r="BK2" s="284"/>
      <c r="BL2" s="284" t="s">
        <v>375</v>
      </c>
      <c r="BM2" s="284"/>
      <c r="BN2" s="284" t="s">
        <v>376</v>
      </c>
      <c r="BO2" s="284"/>
      <c r="BP2" s="284" t="s">
        <v>377</v>
      </c>
      <c r="BQ2" s="284"/>
      <c r="BR2" s="284" t="s">
        <v>378</v>
      </c>
      <c r="BS2" s="284"/>
      <c r="BT2" s="284" t="s">
        <v>379</v>
      </c>
      <c r="BU2" s="284"/>
      <c r="BV2" s="284" t="s">
        <v>380</v>
      </c>
      <c r="BW2" s="284"/>
      <c r="BX2" s="284" t="s">
        <v>381</v>
      </c>
      <c r="BY2" s="284"/>
      <c r="BZ2" s="284" t="s">
        <v>382</v>
      </c>
      <c r="CA2" s="284"/>
      <c r="CB2" s="284" t="s">
        <v>383</v>
      </c>
      <c r="CC2" s="284"/>
      <c r="CD2" s="284" t="s">
        <v>384</v>
      </c>
      <c r="CE2" s="284"/>
      <c r="CF2" s="284" t="s">
        <v>385</v>
      </c>
      <c r="CG2" s="284"/>
      <c r="CH2" s="284" t="s">
        <v>386</v>
      </c>
      <c r="CI2" s="284"/>
      <c r="CJ2" s="284" t="s">
        <v>387</v>
      </c>
      <c r="CK2" s="284"/>
      <c r="CL2" s="284" t="s">
        <v>388</v>
      </c>
      <c r="CM2" s="284"/>
      <c r="CN2" s="284" t="s">
        <v>389</v>
      </c>
      <c r="CO2" s="284"/>
      <c r="CP2" s="284" t="s">
        <v>390</v>
      </c>
      <c r="CQ2" s="284"/>
      <c r="CR2" s="284" t="s">
        <v>391</v>
      </c>
      <c r="CS2" s="284"/>
    </row>
    <row r="3" spans="1:97" s="54" customFormat="1" ht="49.5" customHeight="1">
      <c r="A3" s="113"/>
      <c r="B3" s="68"/>
      <c r="C3" s="283"/>
      <c r="D3" s="283"/>
      <c r="E3" s="286" t="s">
        <v>110</v>
      </c>
      <c r="F3" s="286"/>
      <c r="G3" s="283"/>
      <c r="H3" s="283"/>
      <c r="I3" s="287" t="s">
        <v>112</v>
      </c>
      <c r="J3" s="287"/>
      <c r="K3" s="283"/>
      <c r="L3" s="283"/>
      <c r="M3" s="283"/>
      <c r="N3" s="283"/>
      <c r="O3" s="283"/>
      <c r="P3" s="283"/>
      <c r="Q3" s="285" t="s">
        <v>113</v>
      </c>
      <c r="R3" s="285"/>
      <c r="S3" s="283"/>
      <c r="T3" s="283"/>
      <c r="U3" s="53"/>
      <c r="V3" s="285" t="s">
        <v>108</v>
      </c>
      <c r="W3" s="285"/>
      <c r="X3" s="283"/>
      <c r="Y3" s="283"/>
      <c r="Z3" s="283"/>
      <c r="AA3" s="283"/>
      <c r="AB3" s="283"/>
      <c r="AC3" s="283"/>
      <c r="AD3" s="283"/>
      <c r="AE3" s="283"/>
      <c r="AF3" s="283"/>
      <c r="AG3" s="283"/>
      <c r="AH3" s="283"/>
      <c r="AI3" s="283"/>
      <c r="AJ3" s="283"/>
      <c r="AK3" s="283"/>
      <c r="AL3" s="283"/>
      <c r="AM3" s="283"/>
      <c r="AN3" s="53"/>
      <c r="AO3" s="286" t="s">
        <v>111</v>
      </c>
      <c r="AP3" s="286"/>
      <c r="AQ3" s="283"/>
      <c r="AR3" s="283"/>
      <c r="AS3" s="283"/>
      <c r="AT3" s="283"/>
      <c r="AU3" s="283"/>
      <c r="AV3" s="283"/>
      <c r="AW3" s="283"/>
      <c r="AX3" s="283"/>
      <c r="AY3" s="283"/>
      <c r="AZ3" s="283"/>
      <c r="BA3" s="283"/>
      <c r="BB3" s="283"/>
      <c r="BC3" s="283"/>
      <c r="BD3" s="283"/>
      <c r="BE3" s="283"/>
      <c r="BF3" s="283"/>
      <c r="BG3" s="53"/>
      <c r="BH3" s="286" t="s">
        <v>109</v>
      </c>
      <c r="BI3" s="286"/>
      <c r="BJ3" s="283"/>
      <c r="BK3" s="283"/>
      <c r="BL3" s="283"/>
      <c r="BM3" s="283"/>
      <c r="BN3" s="283"/>
      <c r="BO3" s="283"/>
      <c r="BP3" s="283"/>
      <c r="BQ3" s="283"/>
      <c r="BR3" s="283"/>
      <c r="BS3" s="283"/>
      <c r="BT3" s="283"/>
      <c r="BU3" s="283"/>
      <c r="BV3" s="283"/>
      <c r="BW3" s="283"/>
      <c r="BX3" s="283"/>
      <c r="BY3" s="283"/>
      <c r="BZ3" s="283"/>
      <c r="CA3" s="283"/>
      <c r="CB3" s="283"/>
      <c r="CC3" s="283"/>
      <c r="CD3" s="283"/>
      <c r="CE3" s="283"/>
      <c r="CF3" s="283"/>
      <c r="CG3" s="283"/>
      <c r="CH3" s="283"/>
      <c r="CI3" s="283"/>
      <c r="CJ3" s="283"/>
      <c r="CK3" s="283"/>
      <c r="CL3" s="283"/>
      <c r="CM3" s="283"/>
      <c r="CN3" s="283"/>
      <c r="CO3" s="283"/>
      <c r="CP3" s="283"/>
      <c r="CQ3" s="283"/>
      <c r="CR3" s="283"/>
      <c r="CS3" s="283"/>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2023-02-04T04:32:32Z</dcterms:modified>
  <cp:category/>
  <cp:contentStatus/>
</cp:coreProperties>
</file>