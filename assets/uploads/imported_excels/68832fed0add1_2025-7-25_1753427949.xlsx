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8BECD5B1-276C-44E7-A299-F97205803D8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" i="2" l="1"/>
  <c r="J27" i="2"/>
  <c r="W2" i="2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J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5" i="2" l="1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<sst xmlns="http://schemas.openxmlformats.org/spreadsheetml/2006/main" count="77" uniqueCount="40">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</sst>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8" workbookViewId="0">
      <selection activeCell="A8" sqref="A8:XFD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9261</v>
      </c>
      <c r="F16" s="110">
        <f>('July 2025'!C16*0.27)/('July 2025'!C16+'July 2025'!E16)</f>
        <v>0.23134110787172016</v>
      </c>
      <c r="G16" s="97">
        <f>'July 2025'!U16</f>
        <v>75</v>
      </c>
      <c r="H16" s="113">
        <v>0.62</v>
      </c>
      <c r="I16" s="98">
        <f>'July 2025'!W16</f>
        <v>129</v>
      </c>
      <c r="J16" s="99">
        <v>2.42</v>
      </c>
      <c r="K16" s="106">
        <f>'July 2025'!AB16*5.04</f>
        <v>1839.6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343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10003</v>
      </c>
      <c r="F17" s="110">
        <f>('July 2025'!C17*0.27)/('July 2025'!C17+'July 2025'!E17)</f>
        <v>0.23339898030590822</v>
      </c>
      <c r="G17" s="97">
        <f>'July 2025'!U17</f>
        <v>80</v>
      </c>
      <c r="H17" s="113">
        <v>0.62</v>
      </c>
      <c r="I17" s="98">
        <f>'July 2025'!W17</f>
        <v>116</v>
      </c>
      <c r="J17" s="99">
        <v>2.42</v>
      </c>
      <c r="K17" s="106">
        <f>'July 2025'!AB17*5.04</f>
        <v>1789.2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177</v>
      </c>
      <c r="P17" s="100">
        <f>'July 2025'!AD17</f>
        <v>345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10578</v>
      </c>
      <c r="F18" s="110">
        <f>('July 2025'!C18*0.27)/('July 2025'!C18+'July 2025'!E18)</f>
        <v>0.23260635280771413</v>
      </c>
      <c r="G18" s="97">
        <f>'July 2025'!U18</f>
        <v>110</v>
      </c>
      <c r="H18" s="113">
        <v>0.62</v>
      </c>
      <c r="I18" s="98">
        <f>'July 2025'!W18</f>
        <v>130</v>
      </c>
      <c r="J18" s="99">
        <v>2.42</v>
      </c>
      <c r="K18" s="106">
        <f>'July 2025'!AB18*5.04</f>
        <v>1764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175</v>
      </c>
      <c r="P18" s="100">
        <f>'July 2025'!AD18</f>
        <v>349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10810</v>
      </c>
      <c r="F19" s="110">
        <f>('July 2025'!C19*0.27)/('July 2025'!C19+'July 2025'!E19)</f>
        <v>0.23340888066604995</v>
      </c>
      <c r="G19" s="97">
        <f>'July 2025'!U19</f>
        <v>100</v>
      </c>
      <c r="H19" s="113">
        <v>0.62</v>
      </c>
      <c r="I19" s="98">
        <f>'July 2025'!W19</f>
        <v>124</v>
      </c>
      <c r="J19" s="99">
        <v>2.42</v>
      </c>
      <c r="K19" s="106">
        <f>'July 2025'!AB19*5.04</f>
        <v>1738.8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206</v>
      </c>
      <c r="P19" s="100">
        <f>'July 2025'!AD19</f>
        <v>419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10596</v>
      </c>
      <c r="F20" s="110">
        <f>('July 2025'!C20*0.27)/('July 2025'!C20+'July 2025'!E20)</f>
        <v>0.23549830124575313</v>
      </c>
      <c r="G20" s="97">
        <f>'July 2025'!U20</f>
        <v>145</v>
      </c>
      <c r="H20" s="113">
        <v>0.62</v>
      </c>
      <c r="I20" s="98">
        <f>'July 2025'!W20</f>
        <v>140</v>
      </c>
      <c r="J20" s="99">
        <v>2.42</v>
      </c>
      <c r="K20" s="106">
        <f>'July 2025'!AB20*5.04</f>
        <v>1663.2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202</v>
      </c>
      <c r="P20" s="100">
        <f>'July 2025'!AD20</f>
        <v>414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10606</v>
      </c>
      <c r="F21" s="110">
        <f>('July 2025'!C21*0.27)/('July 2025'!C21+'July 2025'!E21)</f>
        <v>0.23257778615877808</v>
      </c>
      <c r="G21" s="97">
        <f>'July 2025'!U21</f>
        <v>45</v>
      </c>
      <c r="H21" s="113">
        <v>0.62</v>
      </c>
      <c r="I21" s="98">
        <f>'July 2025'!W21</f>
        <v>109</v>
      </c>
      <c r="J21" s="99">
        <v>2.42</v>
      </c>
      <c r="K21" s="106">
        <f>'July 2025'!AB21*5.04</f>
        <v>1864.8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173</v>
      </c>
      <c r="P21" s="100">
        <f>'July 2025'!AD21</f>
        <v>357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11165</v>
      </c>
      <c r="F22" s="110">
        <f>('July 2025'!C22*0.27)/('July 2025'!C22+'July 2025'!E22)</f>
        <v>0.23418540080609049</v>
      </c>
      <c r="G22" s="97">
        <f>'July 2025'!U22</f>
        <v>58</v>
      </c>
      <c r="H22" s="113">
        <v>0.62</v>
      </c>
      <c r="I22" s="98">
        <f>'July 2025'!W22</f>
        <v>107</v>
      </c>
      <c r="J22" s="99">
        <v>2.42</v>
      </c>
      <c r="K22" s="106">
        <f>'July 2025'!AB22*5.04</f>
        <v>1713.6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175</v>
      </c>
      <c r="P22" s="100">
        <f>'July 2025'!AD22</f>
        <v>368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10581</v>
      </c>
      <c r="F23" s="110">
        <f>('July 2025'!C23*0.27)/('July 2025'!C23+'July 2025'!E23)</f>
        <v>0.23256592004536436</v>
      </c>
      <c r="G23" s="97">
        <f>'July 2025'!U23</f>
        <v>95</v>
      </c>
      <c r="H23" s="113">
        <v>0.62</v>
      </c>
      <c r="I23" s="98">
        <f>'July 2025'!W23</f>
        <v>121</v>
      </c>
      <c r="J23" s="99">
        <v>2.42</v>
      </c>
      <c r="K23" s="106">
        <f>'July 2025'!AB23*5.04</f>
        <v>1638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169</v>
      </c>
      <c r="P23" s="100">
        <f>'July 2025'!AD23</f>
        <v>358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10572</v>
      </c>
      <c r="F24" s="110">
        <f>('July 2025'!C24*0.27)/('July 2025'!C24+'July 2025'!E24)</f>
        <v>0.23250851305334849</v>
      </c>
      <c r="G24" s="97">
        <f>'July 2025'!U24</f>
        <v>175</v>
      </c>
      <c r="H24" s="113">
        <v>0.62</v>
      </c>
      <c r="I24" s="98">
        <f>'July 2025'!W24</f>
        <v>118</v>
      </c>
      <c r="J24" s="99">
        <v>2.42</v>
      </c>
      <c r="K24" s="106">
        <f>'July 2025'!AB24*5.04</f>
        <v>1562.4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140</v>
      </c>
      <c r="P24" s="100">
        <f>'July 2025'!AD24</f>
        <v>298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11382</v>
      </c>
      <c r="F25" s="110">
        <f>('July 2025'!C25*0.27)/('July 2025'!C25+'July 2025'!E25)</f>
        <v>0.2363863995782815</v>
      </c>
      <c r="G25" s="97">
        <f>'July 2025'!U25</f>
        <v>135</v>
      </c>
      <c r="H25" s="113">
        <v>0.62</v>
      </c>
      <c r="I25" s="98">
        <f>'July 2025'!W25</f>
        <v>107</v>
      </c>
      <c r="J25" s="99">
        <v>2.42</v>
      </c>
      <c r="K25" s="106">
        <f>'July 2025'!AB25*5.04</f>
        <v>1537.2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176</v>
      </c>
      <c r="P25" s="100">
        <f>'July 2025'!AD25</f>
        <v>358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0</v>
      </c>
      <c r="F26" s="110" t="e">
        <f>('July 2025'!C26*0.27)/('July 2025'!C26+'July 2025'!E26)</f>
        <v>#DIV/0!</v>
      </c>
      <c r="G26" s="97" t="str">
        <f>'July 2025'!U26</f>
        <v>0</v>
      </c>
      <c r="H26" s="113">
        <v>0.62</v>
      </c>
      <c r="I26" s="98" t="str">
        <f>'July 2025'!W26</f>
        <v>0</v>
      </c>
      <c r="J26" s="99">
        <v>2.42</v>
      </c>
      <c r="K26" s="106">
        <f>'July 2025'!AB26*5.04</f>
        <v>0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195</v>
      </c>
      <c r="P26" s="100">
        <f>'July 2025'!AD26</f>
        <v>400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0</v>
      </c>
      <c r="F27" s="110" t="e">
        <f>('July 2025'!C27*0.27)/('July 2025'!C27+'July 2025'!E27)</f>
        <v>#DIV/0!</v>
      </c>
      <c r="G27" s="97" t="str">
        <f>'July 2025'!U27</f>
        <v>0</v>
      </c>
      <c r="H27" s="113">
        <v>0.62</v>
      </c>
      <c r="I27" s="98">
        <f>'July 2025'!W27</f>
        <v>0</v>
      </c>
      <c r="J27" s="99">
        <v>2.42</v>
      </c>
      <c r="K27" s="106">
        <f>'July 2025'!AB27*5.04</f>
        <v>0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0</v>
      </c>
      <c r="P27" s="100">
        <f>'July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0</v>
      </c>
      <c r="F28" s="110" t="e">
        <f>('July 2025'!C28*0.27)/('July 2025'!C28+'July 2025'!E28)</f>
        <v>#DIV/0!</v>
      </c>
      <c r="G28" s="97" t="str">
        <f>'July 2025'!U28</f>
        <v>0</v>
      </c>
      <c r="H28" s="113">
        <v>0.62</v>
      </c>
      <c r="I28" s="98">
        <f>'July 2025'!W28</f>
        <v>0</v>
      </c>
      <c r="J28" s="99">
        <v>2.42</v>
      </c>
      <c r="K28" s="106">
        <f>'July 2025'!AB28*5.04</f>
        <v>0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0</v>
      </c>
      <c r="P28" s="100">
        <f>'July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0</v>
      </c>
      <c r="P29" s="100">
        <f>'July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0" zoomScale="85" zoomScaleNormal="85" workbookViewId="0">
      <selection activeCell="C29" sqref="C2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-941.33000000000175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>
        <f t="shared" si="2"/>
        <v>7935</v>
      </c>
      <c r="D16" s="11">
        <v>843759</v>
      </c>
      <c r="E16" s="14">
        <f t="shared" si="3"/>
        <v>1326</v>
      </c>
      <c r="F16" s="27">
        <v>1704</v>
      </c>
      <c r="G16" s="67">
        <f t="shared" si="4"/>
        <v>0</v>
      </c>
      <c r="H16" s="69">
        <f t="shared" si="5"/>
        <v>9261</v>
      </c>
      <c r="I16" s="73">
        <f t="shared" si="6"/>
        <v>-36593.54</v>
      </c>
      <c r="J16" s="32">
        <f t="shared" si="0"/>
        <v>741.06999999999971</v>
      </c>
      <c r="K16" s="20">
        <f t="shared" si="7"/>
        <v>45853</v>
      </c>
      <c r="L16" s="33">
        <v>7935</v>
      </c>
      <c r="M16" s="34">
        <v>0</v>
      </c>
      <c r="N16" s="32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>
        <f t="shared" si="10"/>
        <v>75</v>
      </c>
      <c r="V16" s="41">
        <v>21552</v>
      </c>
      <c r="W16" s="32">
        <f t="shared" si="1"/>
        <v>129</v>
      </c>
      <c r="X16" s="124">
        <v>61265</v>
      </c>
      <c r="Y16" s="14">
        <f t="shared" si="11"/>
        <v>0</v>
      </c>
      <c r="Z16" s="47">
        <v>6995</v>
      </c>
      <c r="AA16" s="52"/>
      <c r="AB16" s="32">
        <f t="shared" si="12"/>
        <v>365</v>
      </c>
      <c r="AC16" s="13">
        <v>169</v>
      </c>
      <c r="AD16" s="18">
        <v>343</v>
      </c>
    </row>
    <row r="17" spans="1:30" ht="20.7" customHeight="1" x14ac:dyDescent="0.2">
      <c r="A17" s="19">
        <v>45854</v>
      </c>
      <c r="B17" s="10">
        <v>333167</v>
      </c>
      <c r="C17" s="14">
        <f t="shared" si="2"/>
        <v>8647</v>
      </c>
      <c r="D17" s="11">
        <v>845085</v>
      </c>
      <c r="E17" s="14">
        <f t="shared" si="3"/>
        <v>1356</v>
      </c>
      <c r="F17" s="27">
        <v>1704</v>
      </c>
      <c r="G17" s="67">
        <f t="shared" si="4"/>
        <v>0</v>
      </c>
      <c r="H17" s="69">
        <f t="shared" si="5"/>
        <v>10003</v>
      </c>
      <c r="I17" s="73">
        <f t="shared" si="6"/>
        <v>-35852.47</v>
      </c>
      <c r="J17" s="32">
        <f t="shared" si="0"/>
        <v>574.05000000000291</v>
      </c>
      <c r="K17" s="20">
        <f t="shared" si="7"/>
        <v>45854</v>
      </c>
      <c r="L17" s="33">
        <v>7935</v>
      </c>
      <c r="M17" s="34">
        <v>0</v>
      </c>
      <c r="N17" s="32">
        <f t="shared" si="8"/>
        <v>0</v>
      </c>
      <c r="O17" s="85">
        <v>0.65</v>
      </c>
      <c r="P17" s="86">
        <v>0.67</v>
      </c>
      <c r="Q17" s="85">
        <v>0.82</v>
      </c>
      <c r="R17" s="86">
        <v>0.74</v>
      </c>
      <c r="S17" s="38">
        <f t="shared" si="9"/>
        <v>4080</v>
      </c>
      <c r="T17" s="123"/>
      <c r="U17" s="32">
        <f t="shared" si="10"/>
        <v>80</v>
      </c>
      <c r="V17" s="41">
        <v>21681</v>
      </c>
      <c r="W17" s="32">
        <f t="shared" si="1"/>
        <v>116</v>
      </c>
      <c r="X17" s="44">
        <v>61265</v>
      </c>
      <c r="Y17" s="14">
        <f t="shared" si="11"/>
        <v>0</v>
      </c>
      <c r="Z17" s="47">
        <v>6630</v>
      </c>
      <c r="AA17" s="52"/>
      <c r="AB17" s="32">
        <f t="shared" si="12"/>
        <v>355</v>
      </c>
      <c r="AC17" s="13">
        <v>177</v>
      </c>
      <c r="AD17" s="18">
        <v>345</v>
      </c>
    </row>
    <row r="18" spans="1:30" ht="20.7" customHeight="1" x14ac:dyDescent="0.2">
      <c r="A18" s="19">
        <v>45855</v>
      </c>
      <c r="B18" s="10">
        <v>341814</v>
      </c>
      <c r="C18" s="14">
        <f t="shared" si="2"/>
        <v>9113</v>
      </c>
      <c r="D18" s="11">
        <v>846441</v>
      </c>
      <c r="E18" s="14">
        <f t="shared" si="3"/>
        <v>1465</v>
      </c>
      <c r="F18" s="27">
        <v>1704</v>
      </c>
      <c r="G18" s="67">
        <f t="shared" si="4"/>
        <v>0</v>
      </c>
      <c r="H18" s="69">
        <f t="shared" si="5"/>
        <v>10578</v>
      </c>
      <c r="I18" s="73">
        <f t="shared" si="6"/>
        <v>-35278.42</v>
      </c>
      <c r="J18" s="32">
        <f t="shared" si="0"/>
        <v>231.09999999999854</v>
      </c>
      <c r="K18" s="20">
        <f t="shared" si="7"/>
        <v>45855</v>
      </c>
      <c r="L18" s="33">
        <v>7935</v>
      </c>
      <c r="M18" s="34">
        <v>0</v>
      </c>
      <c r="N18" s="32">
        <f t="shared" si="8"/>
        <v>0</v>
      </c>
      <c r="O18" s="85">
        <v>0.64</v>
      </c>
      <c r="P18" s="86">
        <v>0.67</v>
      </c>
      <c r="Q18" s="85">
        <v>0.78</v>
      </c>
      <c r="R18" s="86">
        <v>0.67</v>
      </c>
      <c r="S18" s="38">
        <f t="shared" si="9"/>
        <v>4000</v>
      </c>
      <c r="T18" s="123"/>
      <c r="U18" s="32">
        <f t="shared" si="10"/>
        <v>110</v>
      </c>
      <c r="V18" s="41">
        <v>21797</v>
      </c>
      <c r="W18" s="32">
        <f t="shared" si="1"/>
        <v>130</v>
      </c>
      <c r="X18" s="44">
        <v>61265</v>
      </c>
      <c r="Y18" s="14">
        <f t="shared" si="11"/>
        <v>0</v>
      </c>
      <c r="Z18" s="47">
        <v>6275</v>
      </c>
      <c r="AA18" s="52"/>
      <c r="AB18" s="32">
        <f t="shared" si="12"/>
        <v>350</v>
      </c>
      <c r="AC18" s="13">
        <v>175</v>
      </c>
      <c r="AD18" s="18">
        <v>349</v>
      </c>
    </row>
    <row r="19" spans="1:30" ht="20.7" customHeight="1" x14ac:dyDescent="0.2">
      <c r="A19" s="19">
        <v>45856</v>
      </c>
      <c r="B19" s="10">
        <v>350927</v>
      </c>
      <c r="C19" s="14">
        <f t="shared" si="2"/>
        <v>9345</v>
      </c>
      <c r="D19" s="11">
        <v>847906</v>
      </c>
      <c r="E19" s="14">
        <f t="shared" si="3"/>
        <v>1465</v>
      </c>
      <c r="F19" s="27">
        <v>1704</v>
      </c>
      <c r="G19" s="67">
        <f t="shared" si="4"/>
        <v>0</v>
      </c>
      <c r="H19" s="69">
        <f t="shared" si="5"/>
        <v>10810</v>
      </c>
      <c r="I19" s="73">
        <f t="shared" si="6"/>
        <v>-35047.32</v>
      </c>
      <c r="J19" s="32">
        <f t="shared" si="0"/>
        <v>-214.93000000000029</v>
      </c>
      <c r="K19" s="20">
        <f t="shared" si="7"/>
        <v>45856</v>
      </c>
      <c r="L19" s="33">
        <v>7935</v>
      </c>
      <c r="M19" s="34">
        <v>0</v>
      </c>
      <c r="N19" s="32">
        <f t="shared" si="8"/>
        <v>0</v>
      </c>
      <c r="O19" s="85">
        <v>0.62</v>
      </c>
      <c r="P19" s="86">
        <v>0.67</v>
      </c>
      <c r="Q19" s="85">
        <v>0.7</v>
      </c>
      <c r="R19" s="86">
        <v>0.63</v>
      </c>
      <c r="S19" s="38">
        <f t="shared" si="9"/>
        <v>3890</v>
      </c>
      <c r="T19" s="123"/>
      <c r="U19" s="32">
        <f t="shared" si="10"/>
        <v>100</v>
      </c>
      <c r="V19" s="41">
        <v>21927</v>
      </c>
      <c r="W19" s="32">
        <f t="shared" si="1"/>
        <v>124</v>
      </c>
      <c r="X19" s="44">
        <v>61265</v>
      </c>
      <c r="Y19" s="14">
        <f t="shared" si="11"/>
        <v>0</v>
      </c>
      <c r="Z19" s="47">
        <v>5925</v>
      </c>
      <c r="AA19" s="52"/>
      <c r="AB19" s="32">
        <f t="shared" si="12"/>
        <v>345</v>
      </c>
      <c r="AC19" s="13">
        <v>206</v>
      </c>
      <c r="AD19" s="18">
        <v>419</v>
      </c>
    </row>
    <row r="20" spans="1:30" ht="20.7" customHeight="1" x14ac:dyDescent="0.2">
      <c r="A20" s="19">
        <v>45857</v>
      </c>
      <c r="B20" s="10">
        <v>360272</v>
      </c>
      <c r="C20" s="14">
        <f t="shared" si="2"/>
        <v>9242</v>
      </c>
      <c r="D20" s="11">
        <v>849371</v>
      </c>
      <c r="E20" s="14">
        <f t="shared" si="3"/>
        <v>1354</v>
      </c>
      <c r="F20" s="27">
        <v>1704</v>
      </c>
      <c r="G20" s="67">
        <f t="shared" si="4"/>
        <v>0</v>
      </c>
      <c r="H20" s="69">
        <f t="shared" si="5"/>
        <v>10596</v>
      </c>
      <c r="I20" s="73">
        <f t="shared" si="6"/>
        <v>-35262.25</v>
      </c>
      <c r="J20" s="32">
        <f t="shared" si="0"/>
        <v>9.1300000000046566</v>
      </c>
      <c r="K20" s="20">
        <f t="shared" si="7"/>
        <v>45857</v>
      </c>
      <c r="L20" s="33">
        <v>7935</v>
      </c>
      <c r="M20" s="34">
        <v>0</v>
      </c>
      <c r="N20" s="32">
        <f t="shared" si="8"/>
        <v>0</v>
      </c>
      <c r="O20" s="85">
        <v>0.61</v>
      </c>
      <c r="P20" s="86">
        <v>0.66</v>
      </c>
      <c r="Q20" s="85">
        <v>0.64</v>
      </c>
      <c r="R20" s="86">
        <v>0.59</v>
      </c>
      <c r="S20" s="38">
        <f t="shared" si="9"/>
        <v>3790</v>
      </c>
      <c r="T20" s="123"/>
      <c r="U20" s="32">
        <f t="shared" si="10"/>
        <v>145</v>
      </c>
      <c r="V20" s="41">
        <v>22051</v>
      </c>
      <c r="W20" s="32">
        <f t="shared" si="1"/>
        <v>140</v>
      </c>
      <c r="X20" s="44">
        <v>61265</v>
      </c>
      <c r="Y20" s="14">
        <f t="shared" si="11"/>
        <v>0</v>
      </c>
      <c r="Z20" s="47">
        <v>5580</v>
      </c>
      <c r="AA20" s="52"/>
      <c r="AB20" s="32">
        <f t="shared" si="12"/>
        <v>330</v>
      </c>
      <c r="AC20" s="13">
        <v>202</v>
      </c>
      <c r="AD20" s="18">
        <v>414</v>
      </c>
    </row>
    <row r="21" spans="1:30" ht="20.7" customHeight="1" x14ac:dyDescent="0.2">
      <c r="A21" s="19">
        <v>45858</v>
      </c>
      <c r="B21" s="10">
        <v>369514</v>
      </c>
      <c r="C21" s="14">
        <f t="shared" si="2"/>
        <v>9136</v>
      </c>
      <c r="D21" s="11">
        <v>850725</v>
      </c>
      <c r="E21" s="14">
        <f t="shared" si="3"/>
        <v>1470</v>
      </c>
      <c r="F21" s="27">
        <v>1704</v>
      </c>
      <c r="G21" s="67">
        <f t="shared" si="4"/>
        <v>0</v>
      </c>
      <c r="H21" s="69">
        <f t="shared" si="5"/>
        <v>10606</v>
      </c>
      <c r="I21" s="73">
        <f t="shared" si="6"/>
        <v>-35253.119999999995</v>
      </c>
      <c r="J21" s="32">
        <f t="shared" si="0"/>
        <v>558.0199999999968</v>
      </c>
      <c r="K21" s="20">
        <f t="shared" si="7"/>
        <v>45858</v>
      </c>
      <c r="L21" s="33">
        <v>7935</v>
      </c>
      <c r="M21" s="34">
        <v>0</v>
      </c>
      <c r="N21" s="32">
        <f t="shared" si="8"/>
        <v>0</v>
      </c>
      <c r="O21" s="85">
        <v>0.6</v>
      </c>
      <c r="P21" s="86">
        <v>0.65</v>
      </c>
      <c r="Q21" s="85">
        <v>0.52</v>
      </c>
      <c r="R21" s="86">
        <v>0.52</v>
      </c>
      <c r="S21" s="38">
        <f t="shared" si="9"/>
        <v>3645</v>
      </c>
      <c r="T21" s="123"/>
      <c r="U21" s="32">
        <f t="shared" si="10"/>
        <v>45</v>
      </c>
      <c r="V21" s="41">
        <v>22191</v>
      </c>
      <c r="W21" s="32">
        <f t="shared" si="1"/>
        <v>109</v>
      </c>
      <c r="X21" s="44">
        <v>61265</v>
      </c>
      <c r="Y21" s="14">
        <f t="shared" si="11"/>
        <v>0</v>
      </c>
      <c r="Z21" s="47">
        <v>5250</v>
      </c>
      <c r="AA21" s="52"/>
      <c r="AB21" s="32">
        <f t="shared" si="12"/>
        <v>370</v>
      </c>
      <c r="AC21" s="13">
        <v>173</v>
      </c>
      <c r="AD21" s="18">
        <v>357</v>
      </c>
    </row>
    <row r="22" spans="1:30" ht="20.7" customHeight="1" x14ac:dyDescent="0.2">
      <c r="A22" s="19">
        <v>45859</v>
      </c>
      <c r="B22" s="10">
        <v>378650</v>
      </c>
      <c r="C22" s="14">
        <f t="shared" si="2"/>
        <v>9684</v>
      </c>
      <c r="D22" s="11">
        <v>852195</v>
      </c>
      <c r="E22" s="14">
        <f t="shared" si="3"/>
        <v>1481</v>
      </c>
      <c r="F22" s="27">
        <v>1704</v>
      </c>
      <c r="G22" s="67">
        <f t="shared" si="4"/>
        <v>0</v>
      </c>
      <c r="H22" s="69">
        <f t="shared" si="5"/>
        <v>11165</v>
      </c>
      <c r="I22" s="73">
        <f t="shared" si="6"/>
        <v>-34695.1</v>
      </c>
      <c r="J22" s="32">
        <f t="shared" si="0"/>
        <v>-585.56999999999971</v>
      </c>
      <c r="K22" s="20">
        <f t="shared" si="7"/>
        <v>45859</v>
      </c>
      <c r="L22" s="33">
        <v>7935</v>
      </c>
      <c r="M22" s="34">
        <v>0</v>
      </c>
      <c r="N22" s="32">
        <f t="shared" si="8"/>
        <v>0</v>
      </c>
      <c r="O22" s="85">
        <v>0.6</v>
      </c>
      <c r="P22" s="86">
        <v>0.64</v>
      </c>
      <c r="Q22" s="85">
        <v>0.5</v>
      </c>
      <c r="R22" s="86">
        <v>0.5</v>
      </c>
      <c r="S22" s="38">
        <f t="shared" si="9"/>
        <v>3600</v>
      </c>
      <c r="T22" s="123">
        <v>1303</v>
      </c>
      <c r="U22" s="32">
        <f t="shared" si="10"/>
        <v>58</v>
      </c>
      <c r="V22" s="41">
        <v>22300</v>
      </c>
      <c r="W22" s="32">
        <f t="shared" si="1"/>
        <v>107</v>
      </c>
      <c r="X22" s="44">
        <v>61265</v>
      </c>
      <c r="Y22" s="14">
        <f t="shared" si="11"/>
        <v>0</v>
      </c>
      <c r="Z22" s="47">
        <v>4880</v>
      </c>
      <c r="AA22" s="52"/>
      <c r="AB22" s="32">
        <f t="shared" si="12"/>
        <v>340</v>
      </c>
      <c r="AC22" s="13">
        <v>175</v>
      </c>
      <c r="AD22" s="18">
        <v>368</v>
      </c>
    </row>
    <row r="23" spans="1:30" ht="20.7" customHeight="1" x14ac:dyDescent="0.2">
      <c r="A23" s="19">
        <v>45860</v>
      </c>
      <c r="B23" s="10">
        <v>388334</v>
      </c>
      <c r="C23" s="14">
        <f t="shared" si="2"/>
        <v>9114</v>
      </c>
      <c r="D23" s="11">
        <v>853676</v>
      </c>
      <c r="E23" s="14">
        <f t="shared" si="3"/>
        <v>1467</v>
      </c>
      <c r="F23" s="27">
        <v>1704</v>
      </c>
      <c r="G23" s="67">
        <f t="shared" si="4"/>
        <v>0</v>
      </c>
      <c r="H23" s="69">
        <f t="shared" si="5"/>
        <v>10581</v>
      </c>
      <c r="I23" s="73">
        <f t="shared" si="6"/>
        <v>-35280.67</v>
      </c>
      <c r="J23" s="32">
        <f t="shared" si="0"/>
        <v>-9.9500000000043656</v>
      </c>
      <c r="K23" s="20">
        <f t="shared" si="7"/>
        <v>45860</v>
      </c>
      <c r="L23" s="33">
        <v>7935</v>
      </c>
      <c r="M23" s="34">
        <v>0</v>
      </c>
      <c r="N23" s="32">
        <f t="shared" si="8"/>
        <v>0</v>
      </c>
      <c r="O23" s="85">
        <v>0.81</v>
      </c>
      <c r="P23" s="86">
        <v>0.8</v>
      </c>
      <c r="Q23" s="85">
        <v>0.86</v>
      </c>
      <c r="R23" s="86">
        <v>0.78</v>
      </c>
      <c r="S23" s="38">
        <f t="shared" si="9"/>
        <v>4845</v>
      </c>
      <c r="T23" s="37"/>
      <c r="U23" s="32">
        <f t="shared" si="10"/>
        <v>95</v>
      </c>
      <c r="V23" s="41">
        <v>22407</v>
      </c>
      <c r="W23" s="32">
        <f t="shared" si="1"/>
        <v>121</v>
      </c>
      <c r="X23" s="44">
        <v>61265</v>
      </c>
      <c r="Y23" s="14">
        <f t="shared" si="11"/>
        <v>0</v>
      </c>
      <c r="Z23" s="47">
        <v>4540</v>
      </c>
      <c r="AA23" s="52"/>
      <c r="AB23" s="32">
        <f t="shared" si="12"/>
        <v>325</v>
      </c>
      <c r="AC23" s="13">
        <v>169</v>
      </c>
      <c r="AD23" s="18">
        <v>358</v>
      </c>
    </row>
    <row r="24" spans="1:30" ht="20.7" customHeight="1" x14ac:dyDescent="0.2">
      <c r="A24" s="19">
        <v>45861</v>
      </c>
      <c r="B24" s="10">
        <v>397448</v>
      </c>
      <c r="C24" s="14">
        <f t="shared" si="2"/>
        <v>9104</v>
      </c>
      <c r="D24" s="11">
        <v>855143</v>
      </c>
      <c r="E24" s="14">
        <f t="shared" si="3"/>
        <v>1468</v>
      </c>
      <c r="F24" s="27">
        <v>1704</v>
      </c>
      <c r="G24" s="67">
        <f t="shared" si="4"/>
        <v>0</v>
      </c>
      <c r="H24" s="69">
        <f t="shared" si="5"/>
        <v>10572</v>
      </c>
      <c r="I24" s="73">
        <f t="shared" si="6"/>
        <v>-35290.620000000003</v>
      </c>
      <c r="J24" s="32">
        <f t="shared" si="0"/>
        <v>809.07000000000698</v>
      </c>
      <c r="K24" s="20">
        <f t="shared" si="7"/>
        <v>45861</v>
      </c>
      <c r="L24" s="33">
        <v>7935</v>
      </c>
      <c r="M24" s="34">
        <v>0</v>
      </c>
      <c r="N24" s="32">
        <f t="shared" si="8"/>
        <v>0</v>
      </c>
      <c r="O24" s="85">
        <v>0.8</v>
      </c>
      <c r="P24" s="86">
        <v>0.79</v>
      </c>
      <c r="Q24" s="85">
        <v>0.82</v>
      </c>
      <c r="R24" s="86">
        <v>0.73</v>
      </c>
      <c r="S24" s="38">
        <f t="shared" si="9"/>
        <v>4750</v>
      </c>
      <c r="T24" s="37"/>
      <c r="U24" s="32">
        <f t="shared" si="10"/>
        <v>175</v>
      </c>
      <c r="V24" s="41">
        <v>22528</v>
      </c>
      <c r="W24" s="32">
        <f t="shared" si="1"/>
        <v>118</v>
      </c>
      <c r="X24" s="44">
        <v>61265</v>
      </c>
      <c r="Y24" s="14">
        <f t="shared" si="11"/>
        <v>0</v>
      </c>
      <c r="Z24" s="47">
        <v>4215</v>
      </c>
      <c r="AA24" s="52"/>
      <c r="AB24" s="32">
        <f t="shared" si="12"/>
        <v>310</v>
      </c>
      <c r="AC24" s="13">
        <v>140</v>
      </c>
      <c r="AD24" s="18">
        <v>298</v>
      </c>
    </row>
    <row r="25" spans="1:30" ht="20.7" customHeight="1" x14ac:dyDescent="0.2">
      <c r="A25" s="19">
        <v>45862</v>
      </c>
      <c r="B25" s="10">
        <v>406552</v>
      </c>
      <c r="C25" s="14">
        <f t="shared" si="2"/>
        <v>9965</v>
      </c>
      <c r="D25" s="11">
        <v>856611</v>
      </c>
      <c r="E25" s="14">
        <f t="shared" si="3"/>
        <v>1417</v>
      </c>
      <c r="F25" s="27">
        <v>1704</v>
      </c>
      <c r="G25" s="67">
        <f t="shared" si="4"/>
        <v>0</v>
      </c>
      <c r="H25" s="69">
        <f t="shared" si="5"/>
        <v>11382</v>
      </c>
      <c r="I25" s="73">
        <f t="shared" si="6"/>
        <v>-34481.549999999996</v>
      </c>
      <c r="J25" s="32">
        <f t="shared" si="0"/>
        <v>-11382.900000000001</v>
      </c>
      <c r="K25" s="20">
        <f t="shared" si="7"/>
        <v>45862</v>
      </c>
      <c r="L25" s="33">
        <v>7935</v>
      </c>
      <c r="M25" s="34">
        <v>0</v>
      </c>
      <c r="N25" s="32">
        <f t="shared" si="8"/>
        <v>0</v>
      </c>
      <c r="O25" s="85">
        <v>0.77</v>
      </c>
      <c r="P25" s="86">
        <v>0.77</v>
      </c>
      <c r="Q25" s="85">
        <v>0.78</v>
      </c>
      <c r="R25" s="86">
        <v>0.67</v>
      </c>
      <c r="S25" s="38">
        <f t="shared" si="9"/>
        <v>4575</v>
      </c>
      <c r="T25" s="37"/>
      <c r="U25" s="32">
        <f t="shared" si="10"/>
        <v>135</v>
      </c>
      <c r="V25" s="41">
        <v>22646</v>
      </c>
      <c r="W25" s="32">
        <f t="shared" si="1"/>
        <v>107</v>
      </c>
      <c r="X25" s="44">
        <v>61265</v>
      </c>
      <c r="Y25" s="14">
        <f>IF((X26-X25)&lt;0,"0",X26-X25)</f>
        <v>0</v>
      </c>
      <c r="Z25" s="47">
        <v>3905</v>
      </c>
      <c r="AA25" s="52"/>
      <c r="AB25" s="32">
        <f t="shared" si="12"/>
        <v>305</v>
      </c>
      <c r="AC25" s="13">
        <v>176</v>
      </c>
      <c r="AD25" s="18">
        <v>358</v>
      </c>
    </row>
    <row r="26" spans="1:30" ht="20.7" customHeight="1" x14ac:dyDescent="0.2">
      <c r="A26" s="19">
        <v>45863</v>
      </c>
      <c r="B26" s="10">
        <v>416517</v>
      </c>
      <c r="C26" s="14" t="str">
        <f t="shared" si="2"/>
        <v>0</v>
      </c>
      <c r="D26" s="11">
        <v>858028</v>
      </c>
      <c r="E26" s="14" t="str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-45864.45</v>
      </c>
      <c r="J26" s="32">
        <f t="shared" si="0"/>
        <v>0.44999999999708962</v>
      </c>
      <c r="K26" s="20">
        <f t="shared" si="7"/>
        <v>45863</v>
      </c>
      <c r="L26" s="33">
        <v>7935</v>
      </c>
      <c r="M26" s="34">
        <v>0</v>
      </c>
      <c r="N26" s="32" t="str">
        <f t="shared" si="8"/>
        <v>0</v>
      </c>
      <c r="O26" s="85">
        <v>0.75</v>
      </c>
      <c r="P26" s="86">
        <v>0.76</v>
      </c>
      <c r="Q26" s="85">
        <v>0.7</v>
      </c>
      <c r="R26" s="86">
        <v>0.63</v>
      </c>
      <c r="S26" s="38">
        <f t="shared" si="9"/>
        <v>4440</v>
      </c>
      <c r="T26" s="37"/>
      <c r="U26" s="32" t="str">
        <f t="shared" si="10"/>
        <v>0</v>
      </c>
      <c r="V26" s="41">
        <v>22753</v>
      </c>
      <c r="W26" s="32" t="str">
        <f t="shared" si="1"/>
        <v>0</v>
      </c>
      <c r="X26" s="44">
        <v>61265</v>
      </c>
      <c r="Y26" s="14" t="str">
        <f t="shared" si="11"/>
        <v>0</v>
      </c>
      <c r="Z26" s="47">
        <v>3600</v>
      </c>
      <c r="AA26" s="52"/>
      <c r="AB26" s="32" t="str">
        <f t="shared" si="12"/>
        <v>0</v>
      </c>
      <c r="AC26" s="13">
        <v>195</v>
      </c>
      <c r="AD26" s="18">
        <v>400</v>
      </c>
    </row>
    <row r="27" spans="1:30" ht="20.7" customHeight="1" x14ac:dyDescent="0.2">
      <c r="A27" s="19">
        <v>45864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-45864</v>
      </c>
      <c r="J27" s="32">
        <f t="shared" si="0"/>
        <v>-1</v>
      </c>
      <c r="K27" s="20">
        <f t="shared" si="7"/>
        <v>45864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45865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-45865</v>
      </c>
      <c r="J28" s="32">
        <f t="shared" si="0"/>
        <v>-1</v>
      </c>
      <c r="K28" s="20">
        <f t="shared" si="7"/>
        <v>45865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45866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-45866</v>
      </c>
      <c r="J29" s="32">
        <f t="shared" si="0"/>
        <v>-1</v>
      </c>
      <c r="K29" s="20">
        <f t="shared" si="7"/>
        <v>45866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207933</v>
      </c>
      <c r="D34" s="77"/>
      <c r="E34" s="76">
        <f>SUM(E2:E33)</f>
        <v>36269</v>
      </c>
      <c r="F34" s="78"/>
      <c r="G34" s="76">
        <f>SUM(G2:G33)</f>
        <v>0</v>
      </c>
      <c r="H34" s="77">
        <f>SUM(H2:H33)</f>
        <v>244202</v>
      </c>
      <c r="I34" s="76">
        <f>SUM(I2:I32)</f>
        <v>-1177307.6299999999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2593</v>
      </c>
      <c r="U34" s="76">
        <f>SUM(U2:U33)</f>
        <v>2973</v>
      </c>
      <c r="V34" s="75"/>
      <c r="W34" s="76">
        <f>SUM(W2:W33)</f>
        <v>2806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8430</v>
      </c>
      <c r="AC34" s="79">
        <f>SUM(AC2:AC33)</f>
        <v>4578</v>
      </c>
      <c r="AD34" s="80">
        <f>SUM(AD2:AD33)</f>
        <v>9377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2025-07-25T06:43:07Z</dcterms:modified>
  <cp:category/>
  <cp:contentStatus/>
</cp:coreProperties>
</file>