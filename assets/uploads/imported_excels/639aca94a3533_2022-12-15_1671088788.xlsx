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B32" i="3"/>
  <c r="L32" i="1" l="1"/>
  <c r="K32" i="1"/>
  <c r="J32" i="1"/>
  <c r="I32" i="1"/>
  <c r="H32" i="1"/>
  <c r="G32" i="1"/>
  <c r="E32" i="1"/>
  <c r="D32" i="1"/>
  <c r="B32" i="1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<sst xmlns="http://schemas.openxmlformats.org/spreadsheetml/2006/main" count="109" uniqueCount="34">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</sst>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2" fillId="7" borderId="0" xfId="0" applyFont="1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9"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f>Submetering!D2</f>
        <v>2022</v>
      </c>
      <c r="E2" s="20">
        <f>Submetering!E2</f>
        <v>7989.68</v>
      </c>
      <c r="F2" s="16">
        <v>0.12</v>
      </c>
      <c r="G2" s="20">
        <f>Submetering!F2+Submetering!G2</f>
        <v>426.66</v>
      </c>
      <c r="H2" s="16">
        <f>0.09793*10.7</f>
        <v>1.0478509999999999</v>
      </c>
      <c r="I2" s="20">
        <f>Submetering!J2+Submetering!I2+Submetering!H2</f>
        <v>77.64</v>
      </c>
      <c r="J2" s="16">
        <v>3.7390400000000001</v>
      </c>
      <c r="K2" s="20">
        <f>Submetering!K2</f>
        <v>62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f>Submetering!D3</f>
        <v>2022</v>
      </c>
      <c r="E3" s="20">
        <f>Submetering!E3</f>
        <v>8198.48</v>
      </c>
      <c r="F3" s="16">
        <v>0.12</v>
      </c>
      <c r="G3" s="20">
        <f>Submetering!F3+Submetering!G3</f>
        <v>343.47</v>
      </c>
      <c r="H3" s="16">
        <f>H2</f>
        <v>1.0478509999999999</v>
      </c>
      <c r="I3" s="20">
        <f>Submetering!J3+Submetering!I3+Submetering!H3</f>
        <v>86.52</v>
      </c>
      <c r="J3" s="16">
        <f>J2</f>
        <v>3.7390400000000001</v>
      </c>
      <c r="K3" s="20">
        <f>Submetering!K3</f>
        <v>64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f>Submetering!D4</f>
        <v>2022</v>
      </c>
      <c r="E4" s="20">
        <f>Submetering!E4</f>
        <v>8191.01</v>
      </c>
      <c r="F4" s="16">
        <v>0.12</v>
      </c>
      <c r="G4" s="20">
        <f>Submetering!F4+Submetering!G4</f>
        <v>537.16</v>
      </c>
      <c r="H4" s="16">
        <f t="shared" ref="H4:H32" si="2">H3</f>
        <v>1.0478509999999999</v>
      </c>
      <c r="I4" s="20">
        <f>Submetering!J4+Submetering!I4+Submetering!H4</f>
        <v>84.52</v>
      </c>
      <c r="J4" s="16">
        <f t="shared" ref="J4:J32" si="3">J3</f>
        <v>3.7390400000000001</v>
      </c>
      <c r="K4" s="20">
        <f>Submetering!K4</f>
        <v>71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f>Submetering!D5</f>
        <v>2022</v>
      </c>
      <c r="E5" s="20">
        <f>Submetering!E5</f>
        <v>7773.86</v>
      </c>
      <c r="F5" s="16">
        <v>0.12</v>
      </c>
      <c r="G5" s="20">
        <f>Submetering!F5+Submetering!G5</f>
        <v>504.12</v>
      </c>
      <c r="H5" s="16">
        <f t="shared" si="2"/>
        <v>1.0478509999999999</v>
      </c>
      <c r="I5" s="20">
        <f>Submetering!J5+Submetering!I5+Submetering!H5</f>
        <v>74.94</v>
      </c>
      <c r="J5" s="16">
        <f t="shared" si="3"/>
        <v>3.7390400000000001</v>
      </c>
      <c r="K5" s="20">
        <f>Submetering!K5</f>
        <v>47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f>Submetering!D6</f>
        <v>2022</v>
      </c>
      <c r="E6" s="20">
        <f>Submetering!E6</f>
        <v>7760.74</v>
      </c>
      <c r="F6" s="16">
        <v>0.12</v>
      </c>
      <c r="G6" s="20">
        <f>Submetering!F6+Submetering!G6</f>
        <v>534.73</v>
      </c>
      <c r="H6" s="16">
        <f t="shared" si="2"/>
        <v>1.0478509999999999</v>
      </c>
      <c r="I6" s="20">
        <f>Submetering!J6+Submetering!I6+Submetering!H6</f>
        <v>73.53</v>
      </c>
      <c r="J6" s="16">
        <f t="shared" si="3"/>
        <v>3.7390400000000001</v>
      </c>
      <c r="K6" s="20">
        <f>Submetering!K6</f>
        <v>87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f>Submetering!D7</f>
        <v>2022</v>
      </c>
      <c r="E7" s="20">
        <f>Submetering!E7</f>
        <v>8041.84</v>
      </c>
      <c r="F7" s="16">
        <v>0.12</v>
      </c>
      <c r="G7" s="20">
        <f>Submetering!F7+Submetering!G7</f>
        <v>463.25</v>
      </c>
      <c r="H7" s="16">
        <f t="shared" si="2"/>
        <v>1.0478509999999999</v>
      </c>
      <c r="I7" s="20">
        <f>Submetering!J7+Submetering!I7+Submetering!H7</f>
        <v>93.09</v>
      </c>
      <c r="J7" s="16">
        <f t="shared" si="3"/>
        <v>3.7390400000000001</v>
      </c>
      <c r="K7" s="20">
        <f>Submetering!K7</f>
        <v>89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f>Submetering!D8</f>
        <v>2022</v>
      </c>
      <c r="E8" s="20">
        <f>Submetering!E8</f>
        <v>8136.53</v>
      </c>
      <c r="F8" s="16">
        <v>0.12</v>
      </c>
      <c r="G8" s="20">
        <f>Submetering!F8+Submetering!G8</f>
        <v>629.91999999999996</v>
      </c>
      <c r="H8" s="16">
        <f t="shared" si="2"/>
        <v>1.0478509999999999</v>
      </c>
      <c r="I8" s="20">
        <f>Submetering!J8+Submetering!I8+Submetering!H8</f>
        <v>91.6</v>
      </c>
      <c r="J8" s="16">
        <f t="shared" si="3"/>
        <v>3.7390400000000001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f>Submetering!D9</f>
        <v>2022</v>
      </c>
      <c r="E9" s="20">
        <f>Submetering!E9</f>
        <v>8136.53</v>
      </c>
      <c r="F9" s="16">
        <v>0.12</v>
      </c>
      <c r="G9" s="20">
        <f>Submetering!F9+Submetering!G9</f>
        <v>745.45999999999992</v>
      </c>
      <c r="H9" s="16">
        <f t="shared" si="2"/>
        <v>1.0478509999999999</v>
      </c>
      <c r="I9" s="20">
        <f>Submetering!J9+Submetering!I9+Submetering!H9</f>
        <v>98.34</v>
      </c>
      <c r="J9" s="16">
        <f t="shared" si="3"/>
        <v>3.7390400000000001</v>
      </c>
      <c r="K9" s="20">
        <f>Submetering!K9</f>
        <v>84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f>Submetering!D10</f>
        <v>2022</v>
      </c>
      <c r="E10" s="20">
        <f>Submetering!E10</f>
        <v>7895.33</v>
      </c>
      <c r="F10" s="16">
        <v>0.12</v>
      </c>
      <c r="G10" s="20">
        <f>Submetering!F10+Submetering!G10</f>
        <v>910.5</v>
      </c>
      <c r="H10" s="16">
        <f t="shared" si="2"/>
        <v>1.0478509999999999</v>
      </c>
      <c r="I10" s="20">
        <f>Submetering!J10+Submetering!I10+Submetering!H10</f>
        <v>103.06</v>
      </c>
      <c r="J10" s="16">
        <f t="shared" si="3"/>
        <v>3.7390400000000001</v>
      </c>
      <c r="K10" s="20">
        <f>Submetering!K10</f>
        <v>72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f>Submetering!D11</f>
        <v>2022</v>
      </c>
      <c r="E11" s="20">
        <f>Submetering!E11</f>
        <v>7835.03</v>
      </c>
      <c r="F11" s="16">
        <v>0.12</v>
      </c>
      <c r="G11" s="20">
        <f>Submetering!F11+Submetering!G11</f>
        <v>829.4</v>
      </c>
      <c r="H11" s="16">
        <f t="shared" si="2"/>
        <v>1.0478509999999999</v>
      </c>
      <c r="I11" s="20">
        <f>Submetering!J11+Submetering!I11+Submetering!H11</f>
        <v>98.07</v>
      </c>
      <c r="J11" s="16">
        <f t="shared" si="3"/>
        <v>3.7390400000000001</v>
      </c>
      <c r="K11" s="20">
        <f>Submetering!K11</f>
        <v>73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f>Submetering!D12</f>
        <v>2022</v>
      </c>
      <c r="E12" s="20">
        <f>Submetering!E12</f>
        <v>7639.61</v>
      </c>
      <c r="F12" s="16">
        <v>0.12</v>
      </c>
      <c r="G12" s="20">
        <f>Submetering!F12+Submetering!G12</f>
        <v>835.49</v>
      </c>
      <c r="H12" s="16">
        <f t="shared" si="2"/>
        <v>1.0478509999999999</v>
      </c>
      <c r="I12" s="20">
        <f>Submetering!J12+Submetering!I12+Submetering!H12</f>
        <v>84.11</v>
      </c>
      <c r="J12" s="16">
        <f t="shared" si="3"/>
        <v>3.7390400000000001</v>
      </c>
      <c r="K12" s="20">
        <f>Submetering!K12</f>
        <v>76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f>Submetering!D13</f>
        <v>2022</v>
      </c>
      <c r="E13" s="20">
        <f>Submetering!E13</f>
        <v>7794.71</v>
      </c>
      <c r="F13" s="16">
        <v>0.12</v>
      </c>
      <c r="G13" s="20">
        <f>Submetering!F13+Submetering!G13</f>
        <v>895.09</v>
      </c>
      <c r="H13" s="16">
        <f t="shared" si="2"/>
        <v>1.0478509999999999</v>
      </c>
      <c r="I13" s="20">
        <f>Submetering!J13+Submetering!I13+Submetering!H13</f>
        <v>87.5</v>
      </c>
      <c r="J13" s="16">
        <f t="shared" si="3"/>
        <v>3.7390400000000001</v>
      </c>
      <c r="K13" s="20">
        <f>Submetering!K13</f>
        <v>84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f>Submetering!D14</f>
        <v>2022</v>
      </c>
      <c r="E14" s="20">
        <f>Submetering!E14</f>
        <v>7453.61</v>
      </c>
      <c r="F14" s="16">
        <v>0.12</v>
      </c>
      <c r="G14" s="20">
        <f>Submetering!F14+Submetering!G14</f>
        <v>939.36</v>
      </c>
      <c r="H14" s="16">
        <f t="shared" si="2"/>
        <v>1.0478509999999999</v>
      </c>
      <c r="I14" s="20">
        <f>Submetering!J14+Submetering!I14+Submetering!H14</f>
        <v>33.64</v>
      </c>
      <c r="J14" s="16">
        <f t="shared" si="3"/>
        <v>3.7390400000000001</v>
      </c>
      <c r="K14" s="20">
        <f>Submetering!K14</f>
        <v>87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108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12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12</v>
      </c>
      <c r="D2" s="40">
        <v>2022</v>
      </c>
      <c r="E2" s="37">
        <v>7989.68</v>
      </c>
      <c r="F2" s="37">
        <v>405.23</v>
      </c>
      <c r="G2" s="37">
        <v>21.43</v>
      </c>
      <c r="H2" s="37">
        <v>1.64</v>
      </c>
      <c r="I2" s="37">
        <v>50</v>
      </c>
      <c r="J2" s="37">
        <v>26</v>
      </c>
      <c r="K2" s="6">
        <v>62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12</v>
      </c>
      <c r="D3" s="40">
        <f>D2</f>
        <v>2022</v>
      </c>
      <c r="E3" s="37">
        <v>8198.48</v>
      </c>
      <c r="F3" s="37">
        <v>333</v>
      </c>
      <c r="G3" s="37">
        <v>10.47</v>
      </c>
      <c r="H3" s="37">
        <v>2.02</v>
      </c>
      <c r="I3" s="37">
        <v>56.5</v>
      </c>
      <c r="J3" s="37">
        <v>28</v>
      </c>
      <c r="K3" s="6">
        <v>64</v>
      </c>
      <c r="P3" s="34"/>
      <c r="Q3" s="33"/>
    </row>
    <row r="4" spans="1:17" x14ac:dyDescent="0.25">
      <c r="A4" s="43" t="s">
        <v>32</v>
      </c>
      <c r="B4" s="6">
        <f t="shared" ref="B4:B32" si="0">B3+1</f>
        <v>3</v>
      </c>
      <c r="C4" s="6">
        <f t="shared" ref="C4:C32" si="1">C3</f>
        <v>12</v>
      </c>
      <c r="D4" s="40">
        <f t="shared" ref="D4:D32" si="2">D3</f>
        <v>2022</v>
      </c>
      <c r="E4" s="37">
        <v>8191.01</v>
      </c>
      <c r="F4" s="37">
        <v>515.23</v>
      </c>
      <c r="G4" s="37">
        <v>21.93</v>
      </c>
      <c r="H4" s="37">
        <v>2.02</v>
      </c>
      <c r="I4" s="37">
        <v>57</v>
      </c>
      <c r="J4" s="37">
        <v>25.5</v>
      </c>
      <c r="K4" s="6">
        <v>71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12</v>
      </c>
      <c r="D5" s="40">
        <f t="shared" si="2"/>
        <v>2022</v>
      </c>
      <c r="E5" s="37">
        <v>7773.86</v>
      </c>
      <c r="F5" s="37">
        <v>479.2</v>
      </c>
      <c r="G5" s="37">
        <v>24.92</v>
      </c>
      <c r="H5" s="37">
        <v>1.44</v>
      </c>
      <c r="I5" s="37">
        <v>47.5</v>
      </c>
      <c r="J5" s="37">
        <v>26</v>
      </c>
      <c r="K5" s="6">
        <v>47</v>
      </c>
      <c r="M5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12</v>
      </c>
      <c r="D6" s="40">
        <f t="shared" si="2"/>
        <v>2022</v>
      </c>
      <c r="E6" s="37">
        <v>7760.74</v>
      </c>
      <c r="F6" s="37">
        <v>514.79</v>
      </c>
      <c r="G6" s="37">
        <v>19.940000000000001</v>
      </c>
      <c r="H6" s="37">
        <v>1.53</v>
      </c>
      <c r="I6" s="37">
        <v>48.5</v>
      </c>
      <c r="J6" s="37">
        <v>23.5</v>
      </c>
      <c r="K6" s="6">
        <v>87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12</v>
      </c>
      <c r="D7" s="40">
        <f t="shared" si="2"/>
        <v>2022</v>
      </c>
      <c r="E7" s="37">
        <v>8041.84</v>
      </c>
      <c r="F7" s="37">
        <v>435.34</v>
      </c>
      <c r="G7" s="37">
        <v>27.91</v>
      </c>
      <c r="H7" s="37">
        <v>1.59</v>
      </c>
      <c r="I7" s="37">
        <v>64</v>
      </c>
      <c r="J7" s="37">
        <v>27.5</v>
      </c>
      <c r="K7" s="6">
        <v>89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12</v>
      </c>
      <c r="D8" s="40">
        <f t="shared" si="2"/>
        <v>2022</v>
      </c>
      <c r="E8" s="37">
        <v>8136.53</v>
      </c>
      <c r="F8" s="37">
        <v>606</v>
      </c>
      <c r="G8" s="37">
        <v>23.92</v>
      </c>
      <c r="H8" s="37">
        <v>1.6</v>
      </c>
      <c r="I8" s="37">
        <v>64</v>
      </c>
      <c r="J8" s="37">
        <v>26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12</v>
      </c>
      <c r="D9" s="40">
        <f t="shared" si="2"/>
        <v>2022</v>
      </c>
      <c r="E9" s="37">
        <v>8136.53</v>
      </c>
      <c r="F9" s="37">
        <v>721.04</v>
      </c>
      <c r="G9" s="37">
        <v>24.42</v>
      </c>
      <c r="H9" s="37">
        <v>1.84</v>
      </c>
      <c r="I9" s="37">
        <v>67</v>
      </c>
      <c r="J9" s="37">
        <v>29.5</v>
      </c>
      <c r="K9" s="6">
        <v>84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12</v>
      </c>
      <c r="D10" s="40">
        <f t="shared" si="2"/>
        <v>2022</v>
      </c>
      <c r="E10" s="37">
        <v>7895.33</v>
      </c>
      <c r="F10" s="37">
        <v>883.58</v>
      </c>
      <c r="G10" s="37">
        <v>26.92</v>
      </c>
      <c r="H10" s="37">
        <v>1.56</v>
      </c>
      <c r="I10" s="37">
        <v>73</v>
      </c>
      <c r="J10" s="37">
        <v>28.5</v>
      </c>
      <c r="K10" s="6">
        <v>72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12</v>
      </c>
      <c r="D11" s="40">
        <f t="shared" si="2"/>
        <v>2022</v>
      </c>
      <c r="E11" s="37">
        <v>7835.03</v>
      </c>
      <c r="F11" s="37">
        <v>808.47</v>
      </c>
      <c r="G11" s="37">
        <v>20.93</v>
      </c>
      <c r="H11" s="37">
        <v>1.57</v>
      </c>
      <c r="I11" s="37">
        <v>68.5</v>
      </c>
      <c r="J11" s="37">
        <v>28</v>
      </c>
      <c r="K11" s="6">
        <v>73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12</v>
      </c>
      <c r="D12" s="40">
        <f t="shared" si="2"/>
        <v>2022</v>
      </c>
      <c r="E12" s="37">
        <v>7639.61</v>
      </c>
      <c r="F12" s="37">
        <v>822.03</v>
      </c>
      <c r="G12" s="37">
        <v>13.46</v>
      </c>
      <c r="H12" s="37">
        <v>1.61</v>
      </c>
      <c r="I12" s="37">
        <v>57</v>
      </c>
      <c r="J12" s="37">
        <v>25.5</v>
      </c>
      <c r="K12" s="6">
        <v>76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12</v>
      </c>
      <c r="D13" s="40">
        <f t="shared" si="2"/>
        <v>2022</v>
      </c>
      <c r="E13" s="37">
        <v>7794.71</v>
      </c>
      <c r="F13" s="37">
        <v>876.15</v>
      </c>
      <c r="G13" s="37">
        <v>18.940000000000001</v>
      </c>
      <c r="H13" s="37">
        <v>6</v>
      </c>
      <c r="I13" s="37">
        <v>56.5</v>
      </c>
      <c r="J13" s="37">
        <v>25</v>
      </c>
      <c r="K13" s="6">
        <v>84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12</v>
      </c>
      <c r="D14" s="40">
        <f t="shared" si="2"/>
        <v>2022</v>
      </c>
      <c r="E14" s="37">
        <v>7453.61</v>
      </c>
      <c r="F14" s="37">
        <v>920.92</v>
      </c>
      <c r="G14" s="37">
        <v>18.440000000000001</v>
      </c>
      <c r="H14" s="37">
        <v>5.64</v>
      </c>
      <c r="I14" s="37"/>
      <c r="J14" s="37">
        <v>28</v>
      </c>
      <c r="K14" s="6">
        <v>87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12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>
        <v>108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12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12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12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12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12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12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12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12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12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12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12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12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12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12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12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12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12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2022-12-15T07:19:03Z</dcterms:modified>
</cp:coreProperties>
</file>