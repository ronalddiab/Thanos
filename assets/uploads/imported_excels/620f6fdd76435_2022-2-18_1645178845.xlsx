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9553E00B-7C74-412D-8152-7CA0BA646438}" xr6:coauthVersionLast="47" xr6:coauthVersionMax="47" xr10:uidLastSave="{00000000-0000-0000-0000-000000000000}"/>
  <bookViews>
    <workbookView xWindow="-120" yWindow="-120" windowWidth="20730" windowHeight="11160" tabRatio="762" xr2:uid="{00000000-000D-0000-FFFF-FFFF00000000}"/>
  </bookViews>
  <sheets>
    <sheet name="TOTAL" sheetId="11" r:id="rId1"/>
    <sheet name="FS Jimbaran February 2021" sheetId="14" r:id="rId2"/>
    <sheet name="RNs &amp; Covers February 2021" sheetId="10" r:id="rId3"/>
    <sheet name="Electricity Residences Feb 2021" sheetId="16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47" i="14" l="1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7" i="14"/>
  <c r="W51" i="14"/>
  <c r="C28" i="16"/>
  <c r="R47" i="14"/>
  <c r="C27" i="16"/>
  <c r="Q47" i="14"/>
  <c r="U33" i="14"/>
  <c r="U34" i="14"/>
  <c r="U35" i="14"/>
  <c r="U36" i="14"/>
  <c r="U37" i="14"/>
  <c r="U38" i="14"/>
  <c r="U39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G33" i="14"/>
  <c r="AH33" i="14"/>
  <c r="AI33" i="14"/>
  <c r="AG31" i="14"/>
  <c r="AH31" i="14"/>
  <c r="AI31" i="14"/>
  <c r="AG32" i="14"/>
  <c r="AH32" i="14"/>
  <c r="AI32" i="14"/>
  <c r="AG34" i="14"/>
  <c r="AH34" i="14"/>
  <c r="AI34" i="14"/>
  <c r="AG35" i="14"/>
  <c r="AH35" i="14"/>
  <c r="AI35" i="14"/>
  <c r="AG36" i="14"/>
  <c r="AH36" i="14"/>
  <c r="AI36" i="14"/>
  <c r="AG37" i="14"/>
  <c r="AH37" i="14"/>
  <c r="AI37" i="14"/>
  <c r="AG38" i="14"/>
  <c r="AH38" i="14"/>
  <c r="AI38" i="14"/>
  <c r="AG39" i="14"/>
  <c r="AH39" i="14"/>
  <c r="AI39" i="14"/>
  <c r="H29" i="1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K21" i="11"/>
  <c r="K22" i="1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I36" i="14"/>
  <c r="I35" i="14"/>
  <c r="I34" i="14"/>
  <c r="I33" i="14"/>
  <c r="I32" i="14"/>
  <c r="O32" i="14"/>
  <c r="U32" i="14"/>
  <c r="I31" i="14"/>
  <c r="O37" i="14"/>
  <c r="O35" i="14"/>
  <c r="O39" i="14"/>
  <c r="O33" i="14"/>
  <c r="O34" i="14"/>
  <c r="O36" i="14"/>
  <c r="O38" i="14"/>
  <c r="O31" i="14"/>
  <c r="U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/>
  <c r="P34" i="14"/>
  <c r="E24" i="11"/>
  <c r="P35" i="14"/>
  <c r="E25" i="11"/>
  <c r="P36" i="14"/>
  <c r="E26" i="11"/>
  <c r="P37" i="14"/>
  <c r="E27" i="11"/>
  <c r="P38" i="14"/>
  <c r="E28" i="11"/>
  <c r="P39" i="14"/>
  <c r="E29" i="11"/>
  <c r="L28" i="11"/>
  <c r="AB38" i="14"/>
  <c r="L26" i="11"/>
  <c r="AB36" i="14"/>
  <c r="L24" i="11"/>
  <c r="AB34" i="14"/>
  <c r="L22" i="11"/>
  <c r="AB32" i="14"/>
  <c r="E21" i="11"/>
  <c r="E22" i="11"/>
  <c r="F28" i="11"/>
  <c r="F26" i="11"/>
  <c r="F24" i="11"/>
  <c r="F22" i="11"/>
  <c r="F29" i="11"/>
  <c r="F27" i="11"/>
  <c r="F25" i="11"/>
  <c r="F23" i="11"/>
  <c r="F21" i="11"/>
  <c r="C38" i="10"/>
  <c r="B38" i="10"/>
  <c r="AJ47" i="14"/>
  <c r="K9" i="1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AH30" i="14"/>
  <c r="N30" i="14"/>
  <c r="I30" i="14"/>
  <c r="AL29" i="14"/>
  <c r="AG29" i="14"/>
  <c r="AH29" i="14"/>
  <c r="N29" i="14"/>
  <c r="I29" i="14"/>
  <c r="AL28" i="14"/>
  <c r="AG28" i="14"/>
  <c r="AH28" i="14"/>
  <c r="N28" i="14"/>
  <c r="I28" i="14"/>
  <c r="AG27" i="14"/>
  <c r="AH27" i="14"/>
  <c r="N27" i="14"/>
  <c r="I27" i="14"/>
  <c r="AL26" i="14"/>
  <c r="AG26" i="14"/>
  <c r="AH26" i="14"/>
  <c r="AI26" i="14"/>
  <c r="I26" i="14"/>
  <c r="AL25" i="14"/>
  <c r="I15" i="11"/>
  <c r="AG25" i="14"/>
  <c r="AH25" i="14"/>
  <c r="N25" i="14"/>
  <c r="P25" i="14"/>
  <c r="AL24" i="14"/>
  <c r="AG24" i="14"/>
  <c r="AH24" i="14"/>
  <c r="K14" i="11"/>
  <c r="N24" i="14"/>
  <c r="I24" i="14"/>
  <c r="AL23" i="14"/>
  <c r="AG23" i="14"/>
  <c r="P23" i="14"/>
  <c r="N23" i="14"/>
  <c r="AG22" i="14"/>
  <c r="AH22" i="14"/>
  <c r="N22" i="14"/>
  <c r="I22" i="14"/>
  <c r="AG21" i="14"/>
  <c r="P21" i="14"/>
  <c r="N21" i="14"/>
  <c r="AL20" i="14"/>
  <c r="AG20" i="14"/>
  <c r="AH20" i="14"/>
  <c r="AA20" i="14"/>
  <c r="AB20" i="14"/>
  <c r="N20" i="14"/>
  <c r="I20" i="14"/>
  <c r="I9" i="11"/>
  <c r="AG19" i="14"/>
  <c r="AH19" i="14"/>
  <c r="AA19" i="14"/>
  <c r="AB19" i="14"/>
  <c r="N19" i="14"/>
  <c r="AL18" i="14"/>
  <c r="AG18" i="14"/>
  <c r="AH18" i="14"/>
  <c r="P18" i="14"/>
  <c r="I18" i="14"/>
  <c r="AL17" i="14"/>
  <c r="I7" i="11"/>
  <c r="AG17" i="14"/>
  <c r="P17" i="14"/>
  <c r="N17" i="14"/>
  <c r="AL16" i="14"/>
  <c r="AG16" i="14"/>
  <c r="AH16" i="14"/>
  <c r="K6" i="11"/>
  <c r="N16" i="14"/>
  <c r="I16" i="14"/>
  <c r="AL15" i="14"/>
  <c r="AG15" i="14"/>
  <c r="P15" i="14"/>
  <c r="N15" i="14"/>
  <c r="AG14" i="14"/>
  <c r="AH14" i="14"/>
  <c r="N14" i="14"/>
  <c r="AL13" i="14"/>
  <c r="AG13" i="14"/>
  <c r="N13" i="14"/>
  <c r="AG12" i="14"/>
  <c r="K2" i="11"/>
  <c r="I12" i="14"/>
  <c r="AH21" i="14"/>
  <c r="H11" i="11"/>
  <c r="AH15" i="14"/>
  <c r="H5" i="11"/>
  <c r="G2" i="11"/>
  <c r="AH12" i="14"/>
  <c r="AH17" i="14"/>
  <c r="H7" i="11"/>
  <c r="AH23" i="14"/>
  <c r="H13" i="11"/>
  <c r="AH13" i="14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U29" i="14"/>
  <c r="O27" i="14"/>
  <c r="U27" i="14"/>
  <c r="G20" i="11"/>
  <c r="O20" i="14"/>
  <c r="U20" i="14"/>
  <c r="O30" i="14"/>
  <c r="U30" i="14"/>
  <c r="G15" i="11"/>
  <c r="G14" i="11"/>
  <c r="O28" i="14"/>
  <c r="U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AA13" i="14"/>
  <c r="AA15" i="14"/>
  <c r="AA17" i="14"/>
  <c r="AA23" i="14"/>
  <c r="O24" i="14"/>
  <c r="U24" i="14"/>
  <c r="P27" i="14"/>
  <c r="P29" i="14"/>
  <c r="P30" i="14"/>
  <c r="J16" i="11"/>
  <c r="J8" i="11"/>
  <c r="K3" i="11"/>
  <c r="G6" i="11"/>
  <c r="I12" i="11"/>
  <c r="I4" i="11"/>
  <c r="J15" i="11"/>
  <c r="I19" i="14"/>
  <c r="O19" i="14"/>
  <c r="U19" i="14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/>
  <c r="I21" i="14"/>
  <c r="O21" i="14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/>
  <c r="I15" i="14"/>
  <c r="O15" i="14"/>
  <c r="O16" i="14"/>
  <c r="P19" i="14"/>
  <c r="AA21" i="14"/>
  <c r="I23" i="14"/>
  <c r="O23" i="14"/>
  <c r="P28" i="14"/>
  <c r="G17" i="11"/>
  <c r="J18" i="11"/>
  <c r="J10" i="11"/>
  <c r="K13" i="11"/>
  <c r="K5" i="11"/>
  <c r="AA25" i="14"/>
  <c r="F47" i="14"/>
  <c r="I14" i="14"/>
  <c r="O14" i="14"/>
  <c r="AA14" i="14"/>
  <c r="P24" i="14"/>
  <c r="I25" i="14"/>
  <c r="O25" i="14"/>
  <c r="N26" i="14"/>
  <c r="O26" i="14"/>
  <c r="U26" i="14"/>
  <c r="I14" i="11"/>
  <c r="I6" i="11"/>
  <c r="K12" i="11"/>
  <c r="K4" i="11"/>
  <c r="AA12" i="14"/>
  <c r="L2" i="11"/>
  <c r="H2" i="11"/>
  <c r="AA18" i="14"/>
  <c r="AA26" i="14"/>
  <c r="AA22" i="14"/>
  <c r="N12" i="14"/>
  <c r="AA30" i="14"/>
  <c r="H47" i="14"/>
  <c r="P12" i="14"/>
  <c r="AA28" i="14"/>
  <c r="J2" i="11"/>
  <c r="AC47" i="14"/>
  <c r="F5" i="11"/>
  <c r="E2" i="11"/>
  <c r="F15" i="11"/>
  <c r="U25" i="14"/>
  <c r="E4" i="11"/>
  <c r="E6" i="11"/>
  <c r="F11" i="11"/>
  <c r="U21" i="14"/>
  <c r="E19" i="11"/>
  <c r="E16" i="11"/>
  <c r="E18" i="11"/>
  <c r="F13" i="11"/>
  <c r="U23" i="14"/>
  <c r="F12" i="11"/>
  <c r="U22" i="14"/>
  <c r="E12" i="11"/>
  <c r="E9" i="11"/>
  <c r="E3" i="11"/>
  <c r="E10" i="11"/>
  <c r="E20" i="11"/>
  <c r="E14" i="11"/>
  <c r="F8" i="11"/>
  <c r="U18" i="14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/>
  <c r="AL12" i="14"/>
  <c r="AA16" i="14"/>
  <c r="AA47" i="14"/>
  <c r="AB47" i="14"/>
  <c r="AH47" i="14"/>
  <c r="AI47" i="14"/>
  <c r="AI12" i="14"/>
  <c r="N47" i="14"/>
  <c r="O12" i="14"/>
  <c r="P47" i="14"/>
  <c r="S47" i="14"/>
  <c r="Z47" i="14"/>
  <c r="AB12" i="14"/>
  <c r="F7" i="11"/>
  <c r="F2" i="11"/>
  <c r="AB16" i="14"/>
  <c r="L6" i="11"/>
  <c r="O47" i="14"/>
  <c r="T47" i="14"/>
  <c r="U47" i="14"/>
  <c r="U48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</calcChain>
</file>

<file path=xl/sharedStrings.xml><?xml version="1.0" encoding="utf-8"?>
<sst xmlns="http://schemas.openxmlformats.org/spreadsheetml/2006/main" count="139" uniqueCount="85">
  <si>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</si>
  <si>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</si>
  <si>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</si>
  <si>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</si>
  <si>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</si>
  <si>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</si>
  <si>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</si>
  <si>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</si>
  <si>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</si>
  <si>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</si>
  <si>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</si>
  <si>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</si>
  <si>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</si>
  <si>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</si>
  <si>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</si>
  <si>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</si>
  <si>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</si>
  <si>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</si>
  <si>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</si>
  <si>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</si>
  <si>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</si>
  <si>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</si>
  <si>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</si>
  <si>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</si>
  <si>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</si>
  <si>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</si>
  <si>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</si>
  <si>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</si>
  <si>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</si>
  <si>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</si>
  <si>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</si>
  <si>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</si>
  <si>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</si>
  <si>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</si>
  <si>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</si>
  <si>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</si>
  <si>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</si>
  <si>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</si>
  <si>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</si>
  <si>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</si>
  <si>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</si>
  <si>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</si>
  <si>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</si>
  <si>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</si>
  <si>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</si>
  <si>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</si>
  <si>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</si>
  <si>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</si>
  <si>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</si>
  <si>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</si>
  <si>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</si>
  <si>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</si>
  <si>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</si>
  <si>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FEBRUARY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</si>
  <si>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</si>
  <si>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</si>
  <si>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</si>
  <si>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</si>
  <si>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</si>
  <si>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</si>
  <si>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</si>
  <si>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</si>
  <si>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</si>
  <si>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</si>
  <si>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</si>
  <si>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</si>
  <si>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</si>
  <si>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</si>
  <si>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</si>
  <si>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</si>
  <si>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</si>
  <si>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</si>
  <si>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</si>
  <si>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</si>
  <si>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 Estate 9</t>
  </si>
  <si>
    <t>Total KWH</t>
  </si>
  <si>
    <t>Total Charges</t>
  </si>
  <si>
    <t>Residences 2021</t>
  </si>
  <si>
    <t>February</t>
  </si>
  <si>
    <t>Refer to:</t>
  </si>
  <si>
    <t>Electricity Residences Feb 2021'!A1</t>
  </si>
  <si>
    <t xml:space="preserve">Include </t>
  </si>
  <si>
    <t>Resort</t>
  </si>
  <si>
    <t xml:space="preserve">Sundara </t>
  </si>
  <si>
    <t>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</si>
</sst>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</cellStyleXfs>
  <cellXfs count="301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 applyBorder="1" applyAlignment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NumberFormat="1" applyFont="1" applyFill="1" applyBorder="1"/>
    <xf numFmtId="165" fontId="4" fillId="3" borderId="0" xfId="0" applyNumberFormat="1" applyFont="1" applyFill="1" applyBorder="1"/>
    <xf numFmtId="165" fontId="4" fillId="0" borderId="0" xfId="0" applyNumberFormat="1" applyFont="1" applyBorder="1"/>
    <xf numFmtId="44" fontId="4" fillId="0" borderId="0" xfId="1" applyNumberFormat="1" applyFont="1" applyBorder="1"/>
    <xf numFmtId="169" fontId="4" fillId="0" borderId="0" xfId="5" applyNumberFormat="1" applyFont="1" applyBorder="1"/>
    <xf numFmtId="167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5" fontId="19" fillId="3" borderId="0" xfId="2" applyNumberFormat="1" applyFont="1" applyFill="1" applyBorder="1"/>
    <xf numFmtId="165" fontId="19" fillId="0" borderId="0" xfId="2" applyNumberFormat="1" applyFont="1" applyBorder="1"/>
    <xf numFmtId="3" fontId="19" fillId="0" borderId="0" xfId="0" applyNumberFormat="1" applyFont="1"/>
    <xf numFmtId="170" fontId="19" fillId="0" borderId="0" xfId="2" applyNumberFormat="1" applyFont="1"/>
    <xf numFmtId="10" fontId="19" fillId="0" borderId="0" xfId="5" applyNumberFormat="1" applyFont="1"/>
    <xf numFmtId="44" fontId="19" fillId="0" borderId="0" xfId="1" applyFont="1" applyBorder="1"/>
    <xf numFmtId="165" fontId="20" fillId="0" borderId="0" xfId="2" applyNumberFormat="1" applyFont="1" applyBorder="1"/>
    <xf numFmtId="168" fontId="19" fillId="0" borderId="0" xfId="2" applyNumberFormat="1" applyFont="1" applyBorder="1"/>
    <xf numFmtId="165" fontId="19" fillId="0" borderId="0" xfId="2" applyNumberFormat="1" applyFont="1" applyBorder="1" applyAlignment="1">
      <alignment horizontal="right"/>
    </xf>
    <xf numFmtId="169" fontId="19" fillId="0" borderId="0" xfId="5" applyNumberFormat="1" applyFont="1" applyBorder="1"/>
    <xf numFmtId="165" fontId="21" fillId="0" borderId="0" xfId="2" applyNumberFormat="1" applyFont="1" applyBorder="1"/>
    <xf numFmtId="0" fontId="19" fillId="0" borderId="0" xfId="0" applyFont="1"/>
    <xf numFmtId="167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0" fontId="1" fillId="5" borderId="55" xfId="0" applyFont="1" applyFill="1" applyBorder="1" applyAlignment="1">
      <alignment horizontal="center"/>
    </xf>
    <xf numFmtId="0" fontId="1" fillId="0" borderId="22" xfId="0" applyFont="1" applyBorder="1" applyAlignment="1">
      <alignment horizontal="right"/>
    </xf>
    <xf numFmtId="165" fontId="0" fillId="0" borderId="21" xfId="2" applyNumberFormat="1" applyFont="1" applyBorder="1"/>
    <xf numFmtId="165" fontId="22" fillId="0" borderId="21" xfId="2" applyNumberFormat="1" applyFont="1" applyBorder="1"/>
    <xf numFmtId="0" fontId="23" fillId="0" borderId="22" xfId="0" applyFont="1" applyBorder="1" applyAlignment="1">
      <alignment horizontal="right"/>
    </xf>
    <xf numFmtId="0" fontId="1" fillId="0" borderId="22" xfId="0" applyFont="1" applyBorder="1"/>
    <xf numFmtId="0" fontId="0" fillId="0" borderId="70" xfId="0" applyBorder="1"/>
    <xf numFmtId="165" fontId="1" fillId="0" borderId="55" xfId="0" applyNumberFormat="1" applyFont="1" applyBorder="1"/>
    <xf numFmtId="165" fontId="24" fillId="0" borderId="32" xfId="0" applyNumberFormat="1" applyFont="1" applyBorder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1" xfId="2" applyFont="1" applyFill="1" applyBorder="1"/>
    <xf numFmtId="164" fontId="0" fillId="3" borderId="5" xfId="2" applyFont="1" applyFill="1" applyBorder="1"/>
    <xf numFmtId="164" fontId="0" fillId="3" borderId="7" xfId="2" applyFont="1" applyFill="1" applyBorder="1"/>
    <xf numFmtId="164" fontId="0" fillId="3" borderId="72" xfId="2" applyFont="1" applyFill="1" applyBorder="1"/>
    <xf numFmtId="164" fontId="0" fillId="3" borderId="11" xfId="2" applyFont="1" applyFill="1" applyBorder="1"/>
    <xf numFmtId="164" fontId="0" fillId="3" borderId="73" xfId="2" applyFont="1" applyFill="1" applyBorder="1"/>
    <xf numFmtId="164" fontId="0" fillId="3" borderId="47" xfId="2" applyFont="1" applyFill="1" applyBorder="1"/>
    <xf numFmtId="165" fontId="0" fillId="0" borderId="0" xfId="0" applyNumberFormat="1" applyFont="1" applyBorder="1"/>
    <xf numFmtId="9" fontId="17" fillId="0" borderId="0" xfId="5" applyFont="1"/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</cellXfs>
  <cellStyles count="10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urrency" xfId="1" builtinId="4"/>
    <cellStyle name="Hyperlink" xfId="4" builtinId="8"/>
    <cellStyle name="Hyperlink 2" xfId="7" xr:uid="{00000000-0005-0000-0000-000006000000}"/>
    <cellStyle name="Normal" xfId="0" builtinId="0"/>
    <cellStyle name="Normal 2" xfId="9" xr:uid="{00000000-0005-0000-0000-000008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0"/>
  <sheetViews>
    <sheetView tabSelected="1" workbookViewId="0">
      <selection activeCell="B19" sqref="B19"/>
    </sheetView>
  </sheetViews>
  <sheetFormatPr defaultColWidth="11.5703125" defaultRowHeight="15" x14ac:dyDescent="0.25"/>
  <cols>
    <col min="1" max="1" width="18.42578125" style="171" customWidth="1"/>
    <col min="2" max="2" width="11.5703125" style="172"/>
    <col min="3" max="3" width="11.5703125" style="173"/>
    <col min="4" max="4" width="13.42578125" style="172" customWidth="1"/>
    <col min="5" max="5" width="12.5703125" style="170" customWidth="1"/>
    <col min="6" max="6" width="12.5703125" style="174" customWidth="1"/>
    <col min="7" max="7" width="11.5703125" style="170"/>
    <col min="8" max="8" width="11.5703125" style="174"/>
    <col min="9" max="9" width="11.5703125" style="175"/>
    <col min="10" max="10" width="11.5703125" style="176"/>
    <col min="11" max="11" width="11.5703125" style="170"/>
    <col min="12" max="12" width="11.5703125" style="176"/>
    <col min="13" max="26" width="11.5703125" style="170"/>
  </cols>
  <sheetData>
    <row r="1" spans="1:15" s="164" customFormat="1" ht="43.15" x14ac:dyDescent="0.3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ht="14.45" x14ac:dyDescent="0.3">
      <c r="A2" s="165" t="s">
        <v>49</v>
      </c>
      <c r="B2" s="166">
        <v>1</v>
      </c>
      <c r="C2" s="167">
        <v>2</v>
      </c>
      <c r="D2" s="166">
        <v>2021</v>
      </c>
      <c r="E2" s="168">
        <f>'FS Jimbaran February 2021'!P12</f>
        <v>14019.999999999862</v>
      </c>
      <c r="F2" s="177">
        <f>'FS Jimbaran February 2021'!O12/'FS Jimbaran February 2021'!P12</f>
        <v>1177.5533109843091</v>
      </c>
      <c r="G2" s="168">
        <f>'FS Jimbaran February 2021'!AG12</f>
        <v>112</v>
      </c>
      <c r="H2" s="177">
        <f>'FS Jimbaran February 2021'!AH12/'FS Jimbaran February 2021'!AG12</f>
        <v>11094.539999999999</v>
      </c>
      <c r="I2" s="168">
        <f>'FS Jimbaran February 2021'!AJ12</f>
        <v>382.4</v>
      </c>
      <c r="J2" s="169">
        <f>'FS Jimbaran February 2021'!AK12/'FS Jimbaran February 2021'!AJ12</f>
        <v>8600</v>
      </c>
      <c r="K2" s="168">
        <f>'FS Jimbaran February 2021'!V12</f>
        <v>965</v>
      </c>
      <c r="L2" s="177">
        <f>'FS Jimbaran February 2021'!AA12/'FS Jimbaran February 2021'!V12</f>
        <v>1823.9697050526436</v>
      </c>
      <c r="M2" s="168">
        <v>0</v>
      </c>
      <c r="N2" s="168">
        <v>38</v>
      </c>
    </row>
    <row r="3" spans="1:15" ht="14.45" x14ac:dyDescent="0.3">
      <c r="A3" s="165" t="s">
        <v>49</v>
      </c>
      <c r="B3" s="166">
        <f>B2+1</f>
        <v>2</v>
      </c>
      <c r="C3" s="167">
        <v>2</v>
      </c>
      <c r="D3" s="166">
        <v>2021</v>
      </c>
      <c r="E3" s="179">
        <f>'FS Jimbaran February 2021'!P13</f>
        <v>13680.000000000018</v>
      </c>
      <c r="F3" s="177">
        <f>'FS Jimbaran February 2021'!O13/'FS Jimbaran February 2021'!P13</f>
        <v>1183.7647960526319</v>
      </c>
      <c r="G3" s="179">
        <f>'FS Jimbaran February 2021'!AG13</f>
        <v>112</v>
      </c>
      <c r="H3" s="177">
        <f>'FS Jimbaran February 2021'!AH13/'FS Jimbaran February 2021'!AG13</f>
        <v>11094.539999999999</v>
      </c>
      <c r="I3" s="179">
        <f>'FS Jimbaran February 2021'!AJ13</f>
        <v>348.1</v>
      </c>
      <c r="J3" s="169">
        <f>'FS Jimbaran February 2021'!AK13/'FS Jimbaran February 2021'!AJ13</f>
        <v>8600</v>
      </c>
      <c r="K3" s="179">
        <f>'FS Jimbaran February 2021'!V13</f>
        <v>903</v>
      </c>
      <c r="L3" s="177">
        <f>'FS Jimbaran February 2021'!AA13/'FS Jimbaran February 2021'!V13</f>
        <v>3563.0907555637905</v>
      </c>
      <c r="M3" s="179">
        <v>1</v>
      </c>
      <c r="N3" s="179">
        <v>44</v>
      </c>
    </row>
    <row r="4" spans="1:15" ht="14.45" x14ac:dyDescent="0.3">
      <c r="A4" s="165" t="s">
        <v>49</v>
      </c>
      <c r="B4" s="166">
        <f t="shared" ref="B4:B29" si="0">B3+1</f>
        <v>3</v>
      </c>
      <c r="C4" s="167">
        <v>2</v>
      </c>
      <c r="D4" s="166">
        <v>2021</v>
      </c>
      <c r="E4" s="179">
        <f>'FS Jimbaran February 2021'!P14</f>
        <v>17780.000000000004</v>
      </c>
      <c r="F4" s="177">
        <f>'FS Jimbaran February 2021'!O14/'FS Jimbaran February 2021'!P14</f>
        <v>1157.9123267716536</v>
      </c>
      <c r="G4" s="179">
        <f>'FS Jimbaran February 2021'!AG14</f>
        <v>112</v>
      </c>
      <c r="H4" s="177">
        <f>'FS Jimbaran February 2021'!AH14/'FS Jimbaran February 2021'!AG14</f>
        <v>11094.539999999999</v>
      </c>
      <c r="I4" s="179">
        <f>'FS Jimbaran February 2021'!AJ14</f>
        <v>325.39999999999998</v>
      </c>
      <c r="J4" s="169">
        <f>'FS Jimbaran February 2021'!AK14/'FS Jimbaran February 2021'!AJ14</f>
        <v>8600</v>
      </c>
      <c r="K4" s="179">
        <f>'FS Jimbaran February 2021'!V14</f>
        <v>952</v>
      </c>
      <c r="L4" s="177">
        <f>'FS Jimbaran February 2021'!AA14/'FS Jimbaran February 2021'!V14</f>
        <v>2999.4881139426493</v>
      </c>
      <c r="M4" s="179">
        <v>1</v>
      </c>
      <c r="N4" s="179">
        <v>27</v>
      </c>
    </row>
    <row r="5" spans="1:15" ht="14.45" x14ac:dyDescent="0.3">
      <c r="A5" s="165" t="s">
        <v>49</v>
      </c>
      <c r="B5" s="166">
        <f t="shared" si="0"/>
        <v>4</v>
      </c>
      <c r="C5" s="167">
        <v>2</v>
      </c>
      <c r="D5" s="166">
        <v>2021</v>
      </c>
      <c r="E5" s="179">
        <f>'FS Jimbaran February 2021'!P15</f>
        <v>11539.999999999993</v>
      </c>
      <c r="F5" s="177">
        <f>'FS Jimbaran February 2021'!O15/'FS Jimbaran February 2021'!P15</f>
        <v>1196.8913604852683</v>
      </c>
      <c r="G5" s="179">
        <f>'FS Jimbaran February 2021'!AG15</f>
        <v>112</v>
      </c>
      <c r="H5" s="177">
        <f>'FS Jimbaran February 2021'!AH15/'FS Jimbaran February 2021'!AG15</f>
        <v>11094.539999999999</v>
      </c>
      <c r="I5" s="179">
        <f>'FS Jimbaran February 2021'!AJ15</f>
        <v>316</v>
      </c>
      <c r="J5" s="169">
        <f>'FS Jimbaran February 2021'!AK15/'FS Jimbaran February 2021'!AJ15</f>
        <v>8600</v>
      </c>
      <c r="K5" s="179">
        <f>'FS Jimbaran February 2021'!V15</f>
        <v>942</v>
      </c>
      <c r="L5" s="177">
        <f>'FS Jimbaran February 2021'!AA15/'FS Jimbaran February 2021'!V15</f>
        <v>2712.2429701041424</v>
      </c>
      <c r="M5" s="179">
        <v>1</v>
      </c>
      <c r="N5" s="179">
        <v>11</v>
      </c>
    </row>
    <row r="6" spans="1:15" ht="14.45" x14ac:dyDescent="0.3">
      <c r="A6" s="165" t="s">
        <v>49</v>
      </c>
      <c r="B6" s="166">
        <f t="shared" si="0"/>
        <v>5</v>
      </c>
      <c r="C6" s="167">
        <v>2</v>
      </c>
      <c r="D6" s="166">
        <v>2021</v>
      </c>
      <c r="E6" s="179">
        <f>'FS Jimbaran February 2021'!P16</f>
        <v>10920.000000000091</v>
      </c>
      <c r="F6" s="177">
        <f>'FS Jimbaran February 2021'!O16/'FS Jimbaran February 2021'!P16</f>
        <v>1202.1023653846144</v>
      </c>
      <c r="G6" s="179">
        <f>'FS Jimbaran February 2021'!AG16</f>
        <v>112</v>
      </c>
      <c r="H6" s="177">
        <f>'FS Jimbaran February 2021'!AH16/'FS Jimbaran February 2021'!AG16</f>
        <v>11094.539999999999</v>
      </c>
      <c r="I6" s="179">
        <f>'FS Jimbaran February 2021'!AJ16</f>
        <v>347</v>
      </c>
      <c r="J6" s="169">
        <f>'FS Jimbaran February 2021'!AK16/'FS Jimbaran February 2021'!AJ16</f>
        <v>8600</v>
      </c>
      <c r="K6" s="179">
        <f>'FS Jimbaran February 2021'!V16</f>
        <v>926</v>
      </c>
      <c r="L6" s="177">
        <f>'FS Jimbaran February 2021'!AA16/'FS Jimbaran February 2021'!V16</f>
        <v>3958.3481358494637</v>
      </c>
      <c r="M6" s="179">
        <v>1</v>
      </c>
      <c r="N6" s="179">
        <v>46</v>
      </c>
    </row>
    <row r="7" spans="1:15" ht="14.45" x14ac:dyDescent="0.3">
      <c r="A7" s="165" t="s">
        <v>49</v>
      </c>
      <c r="B7" s="166">
        <f t="shared" si="0"/>
        <v>6</v>
      </c>
      <c r="C7" s="167">
        <v>2</v>
      </c>
      <c r="D7" s="166">
        <v>2021</v>
      </c>
      <c r="E7" s="179">
        <f>'FS Jimbaran February 2021'!P17</f>
        <v>12919.999999999998</v>
      </c>
      <c r="F7" s="177">
        <f>'FS Jimbaran February 2021'!O17/'FS Jimbaran February 2021'!P17</f>
        <v>1180.1638839009283</v>
      </c>
      <c r="G7" s="179">
        <f>'FS Jimbaran February 2021'!AG17</f>
        <v>112</v>
      </c>
      <c r="H7" s="177">
        <f>'FS Jimbaran February 2021'!AH17/'FS Jimbaran February 2021'!AG17</f>
        <v>11094.539999999999</v>
      </c>
      <c r="I7" s="179">
        <f>'FS Jimbaran February 2021'!AJ17</f>
        <v>397.1</v>
      </c>
      <c r="J7" s="169">
        <f>'FS Jimbaran February 2021'!AK17/'FS Jimbaran February 2021'!AJ17</f>
        <v>8600</v>
      </c>
      <c r="K7" s="179">
        <f>'FS Jimbaran February 2021'!V17</f>
        <v>927</v>
      </c>
      <c r="L7" s="177">
        <f>'FS Jimbaran February 2021'!AA17/'FS Jimbaran February 2021'!V17</f>
        <v>4103.80797053269</v>
      </c>
      <c r="M7" s="179">
        <v>0</v>
      </c>
      <c r="N7" s="179">
        <v>27</v>
      </c>
    </row>
    <row r="8" spans="1:15" ht="14.45" x14ac:dyDescent="0.3">
      <c r="A8" s="165" t="s">
        <v>49</v>
      </c>
      <c r="B8" s="166">
        <f t="shared" si="0"/>
        <v>7</v>
      </c>
      <c r="C8" s="167">
        <v>2</v>
      </c>
      <c r="D8" s="166">
        <v>2021</v>
      </c>
      <c r="E8" s="179">
        <f>'FS Jimbaran February 2021'!P18</f>
        <v>13399.999999999953</v>
      </c>
      <c r="F8" s="177">
        <f>'FS Jimbaran February 2021'!O18/'FS Jimbaran February 2021'!P18</f>
        <v>1180.9051455223885</v>
      </c>
      <c r="G8" s="179">
        <f>'FS Jimbaran February 2021'!AG18</f>
        <v>112</v>
      </c>
      <c r="H8" s="177">
        <f>'FS Jimbaran February 2021'!AH18/'FS Jimbaran February 2021'!AG18</f>
        <v>11094.539999999999</v>
      </c>
      <c r="I8" s="179">
        <f>'FS Jimbaran February 2021'!AJ18</f>
        <v>387.4</v>
      </c>
      <c r="J8" s="169">
        <f>'FS Jimbaran February 2021'!AK18/'FS Jimbaran February 2021'!AJ18</f>
        <v>8600</v>
      </c>
      <c r="K8" s="179">
        <f>'FS Jimbaran February 2021'!V18</f>
        <v>934</v>
      </c>
      <c r="L8" s="177">
        <f>'FS Jimbaran February 2021'!AA18/'FS Jimbaran February 2021'!V18</f>
        <v>3838.1664769722729</v>
      </c>
      <c r="M8" s="179">
        <v>0</v>
      </c>
      <c r="N8" s="179">
        <v>61</v>
      </c>
    </row>
    <row r="9" spans="1:15" ht="14.45" x14ac:dyDescent="0.3">
      <c r="A9" s="165" t="s">
        <v>49</v>
      </c>
      <c r="B9" s="166">
        <f t="shared" si="0"/>
        <v>8</v>
      </c>
      <c r="C9" s="167">
        <v>2</v>
      </c>
      <c r="D9" s="166">
        <v>2021</v>
      </c>
      <c r="E9" s="179">
        <f>'FS Jimbaran February 2021'!P19</f>
        <v>13200.000000000042</v>
      </c>
      <c r="F9" s="177">
        <f>'FS Jimbaran February 2021'!O19/'FS Jimbaran February 2021'!P19</f>
        <v>1182.3193295454546</v>
      </c>
      <c r="G9" s="179">
        <f>'FS Jimbaran February 2021'!AG19</f>
        <v>112</v>
      </c>
      <c r="H9" s="177">
        <f>'FS Jimbaran February 2021'!AH19/'FS Jimbaran February 2021'!AG19</f>
        <v>11094.539999999999</v>
      </c>
      <c r="I9" s="179">
        <f>'FS Jimbaran February 2021'!AJ19</f>
        <v>340.7</v>
      </c>
      <c r="J9" s="169">
        <f>'FS Jimbaran February 2021'!AK19/'FS Jimbaran February 2021'!AJ19</f>
        <v>8600</v>
      </c>
      <c r="K9" s="179">
        <f>'FS Jimbaran February 2021'!V19</f>
        <v>974</v>
      </c>
      <c r="L9" s="177">
        <f>'FS Jimbaran February 2021'!AA19/'FS Jimbaran February 2021'!V19</f>
        <v>2912.4451034410699</v>
      </c>
      <c r="M9" s="179">
        <v>1</v>
      </c>
      <c r="N9" s="179">
        <v>27</v>
      </c>
      <c r="O9" s="170" t="s">
        <v>46</v>
      </c>
    </row>
    <row r="10" spans="1:15" ht="14.45" x14ac:dyDescent="0.3">
      <c r="A10" s="165" t="s">
        <v>49</v>
      </c>
      <c r="B10" s="166">
        <f t="shared" si="0"/>
        <v>9</v>
      </c>
      <c r="C10" s="167">
        <v>2</v>
      </c>
      <c r="D10" s="166">
        <v>2021</v>
      </c>
      <c r="E10" s="179">
        <f>'FS Jimbaran February 2021'!P20</f>
        <v>13640.000000000096</v>
      </c>
      <c r="F10" s="177">
        <f>'FS Jimbaran February 2021'!O20/'FS Jimbaran February 2021'!P20</f>
        <v>1182.4522192082102</v>
      </c>
      <c r="G10" s="179">
        <f>'FS Jimbaran February 2021'!AG20</f>
        <v>112</v>
      </c>
      <c r="H10" s="177">
        <f>'FS Jimbaran February 2021'!AH20/'FS Jimbaran February 2021'!AG20</f>
        <v>11094.539999999999</v>
      </c>
      <c r="I10" s="179">
        <f>'FS Jimbaran February 2021'!AJ20</f>
        <v>303.8</v>
      </c>
      <c r="J10" s="169">
        <f>'FS Jimbaran February 2021'!AK20/'FS Jimbaran February 2021'!AJ20</f>
        <v>8600</v>
      </c>
      <c r="K10" s="179">
        <f>'FS Jimbaran February 2021'!V20</f>
        <v>949</v>
      </c>
      <c r="L10" s="177">
        <f>'FS Jimbaran February 2021'!AA20/'FS Jimbaran February 2021'!V20</f>
        <v>3770.6131850697607</v>
      </c>
      <c r="M10" s="179">
        <v>1</v>
      </c>
      <c r="N10" s="179">
        <v>47</v>
      </c>
    </row>
    <row r="11" spans="1:15" ht="14.45" x14ac:dyDescent="0.3">
      <c r="A11" s="165" t="s">
        <v>49</v>
      </c>
      <c r="B11" s="166">
        <f t="shared" si="0"/>
        <v>10</v>
      </c>
      <c r="C11" s="167">
        <v>2</v>
      </c>
      <c r="D11" s="166">
        <v>2021</v>
      </c>
      <c r="E11" s="179">
        <f>'FS Jimbaran February 2021'!P21</f>
        <v>13219.999999999956</v>
      </c>
      <c r="F11" s="177">
        <f>'FS Jimbaran February 2021'!O21/'FS Jimbaran February 2021'!P21</f>
        <v>1179.7079773071112</v>
      </c>
      <c r="G11" s="179">
        <f>'FS Jimbaran February 2021'!AG21</f>
        <v>112</v>
      </c>
      <c r="H11" s="177">
        <f>'FS Jimbaran February 2021'!AH21/'FS Jimbaran February 2021'!AG21</f>
        <v>11094.539999999999</v>
      </c>
      <c r="I11" s="179">
        <f>'FS Jimbaran February 2021'!AJ21</f>
        <v>399</v>
      </c>
      <c r="J11" s="169">
        <f>'FS Jimbaran February 2021'!AK21/'FS Jimbaran February 2021'!AJ21</f>
        <v>8600</v>
      </c>
      <c r="K11" s="179">
        <f>'FS Jimbaran February 2021'!V21</f>
        <v>946</v>
      </c>
      <c r="L11" s="177">
        <f>'FS Jimbaran February 2021'!AA21/'FS Jimbaran February 2021'!V21</f>
        <v>4272.9413191072972</v>
      </c>
      <c r="M11" s="179">
        <v>3</v>
      </c>
      <c r="N11" s="179">
        <v>26</v>
      </c>
    </row>
    <row r="12" spans="1:15" ht="14.45" x14ac:dyDescent="0.3">
      <c r="A12" s="165" t="s">
        <v>49</v>
      </c>
      <c r="B12" s="166">
        <f t="shared" si="0"/>
        <v>11</v>
      </c>
      <c r="C12" s="167">
        <v>2</v>
      </c>
      <c r="D12" s="166">
        <v>2021</v>
      </c>
      <c r="E12" s="179">
        <f>'FS Jimbaran February 2021'!P22</f>
        <v>13179.999999999993</v>
      </c>
      <c r="F12" s="177">
        <f>'FS Jimbaran February 2021'!O22/'FS Jimbaran February 2021'!P22</f>
        <v>1183.2882746585735</v>
      </c>
      <c r="G12" s="179">
        <f>'FS Jimbaran February 2021'!AG22</f>
        <v>112</v>
      </c>
      <c r="H12" s="177">
        <f>'FS Jimbaran February 2021'!AH22/'FS Jimbaran February 2021'!AG22</f>
        <v>11094.539999999999</v>
      </c>
      <c r="I12" s="179">
        <f>'FS Jimbaran February 2021'!AJ22</f>
        <v>324</v>
      </c>
      <c r="J12" s="169">
        <f>'FS Jimbaran February 2021'!AK22/'FS Jimbaran February 2021'!AJ22</f>
        <v>8600</v>
      </c>
      <c r="K12" s="179">
        <f>'FS Jimbaran February 2021'!V22</f>
        <v>963</v>
      </c>
      <c r="L12" s="177">
        <f>'FS Jimbaran February 2021'!AA22/'FS Jimbaran February 2021'!V22</f>
        <v>3923.3522929398787</v>
      </c>
      <c r="M12" s="179">
        <v>3</v>
      </c>
      <c r="N12" s="179">
        <v>27</v>
      </c>
    </row>
    <row r="13" spans="1:15" ht="14.45" x14ac:dyDescent="0.3">
      <c r="A13" s="165" t="s">
        <v>49</v>
      </c>
      <c r="B13" s="166">
        <f t="shared" si="0"/>
        <v>12</v>
      </c>
      <c r="C13" s="167">
        <v>2</v>
      </c>
      <c r="D13" s="166">
        <v>2021</v>
      </c>
      <c r="E13" s="179">
        <f>'FS Jimbaran February 2021'!P23</f>
        <v>13159.999999999884</v>
      </c>
      <c r="F13" s="177">
        <f>'FS Jimbaran February 2021'!O23/'FS Jimbaran February 2021'!P23</f>
        <v>1173.5167021276604</v>
      </c>
      <c r="G13" s="179">
        <f>'FS Jimbaran February 2021'!AG23</f>
        <v>112</v>
      </c>
      <c r="H13" s="177">
        <f>'FS Jimbaran February 2021'!AH23/'FS Jimbaran February 2021'!AG23</f>
        <v>11094.539999999999</v>
      </c>
      <c r="I13" s="179">
        <f>'FS Jimbaran February 2021'!AJ23</f>
        <v>392.7</v>
      </c>
      <c r="J13" s="169">
        <f>'FS Jimbaran February 2021'!AK23/'FS Jimbaran February 2021'!AJ23</f>
        <v>8600</v>
      </c>
      <c r="K13" s="179">
        <f>'FS Jimbaran February 2021'!V23</f>
        <v>968</v>
      </c>
      <c r="L13" s="177">
        <f>'FS Jimbaran February 2021'!AA23/'FS Jimbaran February 2021'!V23</f>
        <v>3710.6373064371933</v>
      </c>
      <c r="M13" s="179">
        <v>3</v>
      </c>
      <c r="N13" s="179">
        <v>53</v>
      </c>
    </row>
    <row r="14" spans="1:15" ht="14.45" x14ac:dyDescent="0.3">
      <c r="A14" s="165" t="s">
        <v>49</v>
      </c>
      <c r="B14" s="166">
        <f t="shared" si="0"/>
        <v>13</v>
      </c>
      <c r="C14" s="167">
        <v>2</v>
      </c>
      <c r="D14" s="166">
        <v>2021</v>
      </c>
      <c r="E14" s="179">
        <f>'FS Jimbaran February 2021'!P24</f>
        <v>14520.000000000098</v>
      </c>
      <c r="F14" s="177">
        <f>'FS Jimbaran February 2021'!O24/'FS Jimbaran February 2021'!P24</f>
        <v>1190.1839814049586</v>
      </c>
      <c r="G14" s="179">
        <f>'FS Jimbaran February 2021'!AG24</f>
        <v>162</v>
      </c>
      <c r="H14" s="177">
        <f>'FS Jimbaran February 2021'!AH24/'FS Jimbaran February 2021'!AG24</f>
        <v>11094.539999999999</v>
      </c>
      <c r="I14" s="179">
        <f>'FS Jimbaran February 2021'!AJ24</f>
        <v>325</v>
      </c>
      <c r="J14" s="169">
        <f>'FS Jimbaran February 2021'!AK24/'FS Jimbaran February 2021'!AJ24</f>
        <v>8600</v>
      </c>
      <c r="K14" s="179">
        <f>'FS Jimbaran February 2021'!V24</f>
        <v>987</v>
      </c>
      <c r="L14" s="177">
        <f>'FS Jimbaran February 2021'!AA24/'FS Jimbaran February 2021'!V24</f>
        <v>3915.2893267930126</v>
      </c>
      <c r="M14" s="179">
        <v>3</v>
      </c>
      <c r="N14" s="179">
        <v>69</v>
      </c>
    </row>
    <row r="15" spans="1:15" ht="14.45" x14ac:dyDescent="0.3">
      <c r="A15" s="165" t="s">
        <v>49</v>
      </c>
      <c r="B15" s="166">
        <f t="shared" si="0"/>
        <v>14</v>
      </c>
      <c r="C15" s="167">
        <v>2</v>
      </c>
      <c r="D15" s="166">
        <v>2021</v>
      </c>
      <c r="E15" s="179">
        <f>'FS Jimbaran February 2021'!P25</f>
        <v>13800.000000000029</v>
      </c>
      <c r="F15" s="177">
        <f>'FS Jimbaran February 2021'!O25/'FS Jimbaran February 2021'!P25</f>
        <v>1187.6568717391301</v>
      </c>
      <c r="G15" s="179">
        <f>'FS Jimbaran February 2021'!AG25</f>
        <v>286</v>
      </c>
      <c r="H15" s="177">
        <f>'FS Jimbaran February 2021'!AH25/'FS Jimbaran February 2021'!AG25</f>
        <v>11094.539999999999</v>
      </c>
      <c r="I15" s="179">
        <f>'FS Jimbaran February 2021'!AJ25</f>
        <v>316.5</v>
      </c>
      <c r="J15" s="169">
        <f>'FS Jimbaran February 2021'!AK25/'FS Jimbaran February 2021'!AJ25</f>
        <v>8600</v>
      </c>
      <c r="K15" s="179">
        <f>'FS Jimbaran February 2021'!V25</f>
        <v>981</v>
      </c>
      <c r="L15" s="177">
        <f>'FS Jimbaran February 2021'!AA25/'FS Jimbaran February 2021'!V25</f>
        <v>3987.6476005376185</v>
      </c>
      <c r="M15" s="179">
        <v>3</v>
      </c>
      <c r="N15" s="179">
        <v>125</v>
      </c>
    </row>
    <row r="16" spans="1:15" ht="14.45" x14ac:dyDescent="0.3">
      <c r="A16" s="165" t="s">
        <v>49</v>
      </c>
      <c r="B16" s="166">
        <f t="shared" si="0"/>
        <v>15</v>
      </c>
      <c r="C16" s="167">
        <v>2</v>
      </c>
      <c r="D16" s="166">
        <v>2021</v>
      </c>
      <c r="E16" s="179">
        <f>'FS Jimbaran February 2021'!P26</f>
        <v>13259.999999999873</v>
      </c>
      <c r="F16" s="177">
        <f>'FS Jimbaran February 2021'!O26/'FS Jimbaran February 2021'!P26</f>
        <v>1181.8905950226256</v>
      </c>
      <c r="G16" s="179">
        <f>'FS Jimbaran February 2021'!AG26</f>
        <v>112</v>
      </c>
      <c r="H16" s="177">
        <f>'FS Jimbaran February 2021'!AH26/'FS Jimbaran February 2021'!AG26</f>
        <v>11094.539999999999</v>
      </c>
      <c r="I16" s="179">
        <f>'FS Jimbaran February 2021'!AJ26</f>
        <v>301.7</v>
      </c>
      <c r="J16" s="169">
        <f>'FS Jimbaran February 2021'!AK26/'FS Jimbaran February 2021'!AJ26</f>
        <v>8600</v>
      </c>
      <c r="K16" s="179">
        <f>'FS Jimbaran February 2021'!V26</f>
        <v>966</v>
      </c>
      <c r="L16" s="177">
        <f>'FS Jimbaran February 2021'!AA26/'FS Jimbaran February 2021'!V26</f>
        <v>2519.6772908394428</v>
      </c>
      <c r="M16" s="179">
        <v>3</v>
      </c>
      <c r="N16" s="179">
        <v>40</v>
      </c>
    </row>
    <row r="17" spans="1:14" ht="14.45" x14ac:dyDescent="0.3">
      <c r="A17" s="165" t="s">
        <v>49</v>
      </c>
      <c r="B17" s="166">
        <f t="shared" si="0"/>
        <v>16</v>
      </c>
      <c r="C17" s="167">
        <v>2</v>
      </c>
      <c r="D17" s="166">
        <v>2021</v>
      </c>
      <c r="E17" s="179">
        <f>'FS Jimbaran February 2021'!P27</f>
        <v>13879.999999999975</v>
      </c>
      <c r="F17" s="177">
        <f>'FS Jimbaran February 2021'!O27/'FS Jimbaran February 2021'!P27</f>
        <v>1185.5128940922184</v>
      </c>
      <c r="G17" s="179">
        <f>'FS Jimbaran February 2021'!AG27</f>
        <v>112</v>
      </c>
      <c r="H17" s="177">
        <f>'FS Jimbaran February 2021'!AH27/'FS Jimbaran February 2021'!AG27</f>
        <v>11094.539999999999</v>
      </c>
      <c r="I17" s="179">
        <f>'FS Jimbaran February 2021'!AJ27</f>
        <v>392.6</v>
      </c>
      <c r="J17" s="169">
        <f>'FS Jimbaran February 2021'!AK27/'FS Jimbaran February 2021'!AJ27</f>
        <v>8600</v>
      </c>
      <c r="K17" s="179">
        <f>'FS Jimbaran February 2021'!V27</f>
        <v>1016</v>
      </c>
      <c r="L17" s="177">
        <f>'FS Jimbaran February 2021'!AA27/'FS Jimbaran February 2021'!V27</f>
        <v>3535.1336209738224</v>
      </c>
      <c r="M17" s="179">
        <v>3</v>
      </c>
      <c r="N17" s="179">
        <v>45</v>
      </c>
    </row>
    <row r="18" spans="1:14" ht="14.45" x14ac:dyDescent="0.3">
      <c r="A18" s="165" t="s">
        <v>49</v>
      </c>
      <c r="B18" s="166">
        <f t="shared" si="0"/>
        <v>17</v>
      </c>
      <c r="C18" s="167">
        <v>2</v>
      </c>
      <c r="D18" s="166">
        <v>2021</v>
      </c>
      <c r="E18" s="179">
        <f>'FS Jimbaran February 2021'!P28</f>
        <v>14440.00000000004</v>
      </c>
      <c r="F18" s="177">
        <f>'FS Jimbaran February 2021'!O28/'FS Jimbaran February 2021'!P28</f>
        <v>1180.2081876731309</v>
      </c>
      <c r="G18" s="179">
        <f>'FS Jimbaran February 2021'!AG28</f>
        <v>112</v>
      </c>
      <c r="H18" s="177">
        <f>'FS Jimbaran February 2021'!AH28/'FS Jimbaran February 2021'!AG28</f>
        <v>11094.539999999999</v>
      </c>
      <c r="I18" s="179">
        <f>'FS Jimbaran February 2021'!AJ28</f>
        <v>366.7</v>
      </c>
      <c r="J18" s="169">
        <f>'FS Jimbaran February 2021'!AK28/'FS Jimbaran February 2021'!AJ28</f>
        <v>8600</v>
      </c>
      <c r="K18" s="179">
        <f>'FS Jimbaran February 2021'!V28</f>
        <v>1046</v>
      </c>
      <c r="L18" s="177">
        <f>'FS Jimbaran February 2021'!AA28/'FS Jimbaran February 2021'!V28</f>
        <v>3767.778890312145</v>
      </c>
      <c r="M18" s="179">
        <v>3</v>
      </c>
      <c r="N18" s="179">
        <v>31</v>
      </c>
    </row>
    <row r="19" spans="1:14" ht="14.45" x14ac:dyDescent="0.3">
      <c r="A19" s="165" t="s">
        <v>49</v>
      </c>
      <c r="B19" s="166">
        <f t="shared" si="0"/>
        <v>18</v>
      </c>
      <c r="C19" s="167">
        <v>2</v>
      </c>
      <c r="D19" s="166">
        <v>2021</v>
      </c>
      <c r="E19" s="179">
        <f>'FS Jimbaran February 2021'!P29</f>
        <v>13300.000000000015</v>
      </c>
      <c r="F19" s="177">
        <f>'FS Jimbaran February 2021'!O29/'FS Jimbaran February 2021'!P29</f>
        <v>1184.8778052631574</v>
      </c>
      <c r="G19" s="179">
        <f>'FS Jimbaran February 2021'!AG29</f>
        <v>112</v>
      </c>
      <c r="H19" s="177">
        <f>'FS Jimbaran February 2021'!AH29/'FS Jimbaran February 2021'!AG29</f>
        <v>11094.539999999999</v>
      </c>
      <c r="I19" s="179">
        <f>'FS Jimbaran February 2021'!AJ29</f>
        <v>398.7</v>
      </c>
      <c r="J19" s="169">
        <f>'FS Jimbaran February 2021'!AK29/'FS Jimbaran February 2021'!AJ29</f>
        <v>8600</v>
      </c>
      <c r="K19" s="179">
        <f>'FS Jimbaran February 2021'!V29</f>
        <v>984</v>
      </c>
      <c r="L19" s="177">
        <f>'FS Jimbaran February 2021'!AA29/'FS Jimbaran February 2021'!V29</f>
        <v>3925.0463064478695</v>
      </c>
      <c r="M19" s="179">
        <v>2</v>
      </c>
      <c r="N19" s="179">
        <v>28</v>
      </c>
    </row>
    <row r="20" spans="1:14" ht="14.45" x14ac:dyDescent="0.3">
      <c r="A20" s="165" t="s">
        <v>49</v>
      </c>
      <c r="B20" s="166">
        <f t="shared" si="0"/>
        <v>19</v>
      </c>
      <c r="C20" s="167">
        <v>2</v>
      </c>
      <c r="D20" s="166">
        <v>2021</v>
      </c>
      <c r="E20" s="179">
        <f>'FS Jimbaran February 2021'!P30</f>
        <v>13599.999999999942</v>
      </c>
      <c r="F20" s="177">
        <f>'FS Jimbaran February 2021'!O30/'FS Jimbaran February 2021'!P30</f>
        <v>1176.3338227941188</v>
      </c>
      <c r="G20" s="179">
        <f>'FS Jimbaran February 2021'!AG30</f>
        <v>112</v>
      </c>
      <c r="H20" s="177">
        <f>'FS Jimbaran February 2021'!AH30/'FS Jimbaran February 2021'!AG30</f>
        <v>11094.539999999999</v>
      </c>
      <c r="I20" s="179">
        <f>'FS Jimbaran February 2021'!AJ30</f>
        <v>327.3</v>
      </c>
      <c r="J20" s="169">
        <f>'FS Jimbaran February 2021'!AK30/'FS Jimbaran February 2021'!AJ30</f>
        <v>8600</v>
      </c>
      <c r="K20" s="179">
        <f>'FS Jimbaran February 2021'!V30</f>
        <v>981</v>
      </c>
      <c r="L20" s="177">
        <f>'FS Jimbaran February 2021'!AA30/'FS Jimbaran February 2021'!V30</f>
        <v>2474.4879572782893</v>
      </c>
      <c r="M20" s="179">
        <v>2</v>
      </c>
      <c r="N20" s="179">
        <v>31</v>
      </c>
    </row>
    <row r="21" spans="1:14" x14ac:dyDescent="0.25">
      <c r="A21" s="165" t="s">
        <v>49</v>
      </c>
      <c r="B21" s="166">
        <f t="shared" si="0"/>
        <v>20</v>
      </c>
      <c r="C21" s="167">
        <v>2</v>
      </c>
      <c r="D21" s="166">
        <v>2021</v>
      </c>
      <c r="E21" s="179">
        <f>'FS Jimbaran February 2021'!P31</f>
        <v>13340.000000000198</v>
      </c>
      <c r="F21" s="177">
        <f>'FS Jimbaran February 2021'!O31/'FS Jimbaran February 2021'!P31</f>
        <v>1181.3249482758602</v>
      </c>
      <c r="G21" s="179">
        <f>'FS Jimbaran February 2021'!AG31</f>
        <v>112</v>
      </c>
      <c r="H21" s="177">
        <f>'FS Jimbaran February 2021'!AH31/'FS Jimbaran February 2021'!AG31</f>
        <v>11094.539999999999</v>
      </c>
      <c r="I21" s="179">
        <f>'FS Jimbaran February 2021'!AJ31</f>
        <v>345.4</v>
      </c>
      <c r="J21" s="169">
        <f>'FS Jimbaran February 2021'!AK31/'FS Jimbaran February 2021'!AJ31</f>
        <v>8600</v>
      </c>
      <c r="K21" s="179">
        <f>'FS Jimbaran February 2021'!V31</f>
        <v>1011</v>
      </c>
      <c r="L21" s="177">
        <f>'FS Jimbaran February 2021'!AA31/'FS Jimbaran February 2021'!V31</f>
        <v>3634.4447509534157</v>
      </c>
      <c r="M21" s="179">
        <v>2</v>
      </c>
      <c r="N21" s="179">
        <v>55</v>
      </c>
    </row>
    <row r="22" spans="1:14" x14ac:dyDescent="0.25">
      <c r="A22" s="165" t="s">
        <v>49</v>
      </c>
      <c r="B22" s="166">
        <f t="shared" si="0"/>
        <v>21</v>
      </c>
      <c r="C22" s="167">
        <v>2</v>
      </c>
      <c r="D22" s="166">
        <v>2021</v>
      </c>
      <c r="E22" s="179">
        <f>'FS Jimbaran February 2021'!P32</f>
        <v>13519.999999999922</v>
      </c>
      <c r="F22" s="177">
        <f>'FS Jimbaran February 2021'!O32/'FS Jimbaran February 2021'!P32</f>
        <v>1180.0767181952683</v>
      </c>
      <c r="G22" s="179">
        <f>'FS Jimbaran February 2021'!AG32</f>
        <v>162</v>
      </c>
      <c r="H22" s="177">
        <f>'FS Jimbaran February 2021'!AH32/'FS Jimbaran February 2021'!AG32</f>
        <v>11094.539999999999</v>
      </c>
      <c r="I22" s="179">
        <f>'FS Jimbaran February 2021'!AJ32</f>
        <v>392.7</v>
      </c>
      <c r="J22" s="169">
        <f>'FS Jimbaran February 2021'!AK32/'FS Jimbaran February 2021'!AJ32</f>
        <v>8600</v>
      </c>
      <c r="K22" s="179">
        <f>'FS Jimbaran February 2021'!V32</f>
        <v>1000</v>
      </c>
      <c r="L22" s="177">
        <f>'FS Jimbaran February 2021'!AA32/'FS Jimbaran February 2021'!V32</f>
        <v>3424.9105671613029</v>
      </c>
      <c r="M22" s="179">
        <v>2</v>
      </c>
      <c r="N22" s="179">
        <v>68</v>
      </c>
    </row>
    <row r="23" spans="1:14" x14ac:dyDescent="0.25">
      <c r="A23" s="165" t="s">
        <v>49</v>
      </c>
      <c r="B23" s="166">
        <f t="shared" si="0"/>
        <v>22</v>
      </c>
      <c r="C23" s="167">
        <v>2</v>
      </c>
      <c r="D23" s="166">
        <v>2021</v>
      </c>
      <c r="E23" s="179">
        <f>'FS Jimbaran February 2021'!P33</f>
        <v>12760.000000000051</v>
      </c>
      <c r="F23" s="177">
        <f>'FS Jimbaran February 2021'!O33/'FS Jimbaran February 2021'!P33</f>
        <v>1182.1772750783678</v>
      </c>
      <c r="G23" s="179">
        <f>'FS Jimbaran February 2021'!AG33</f>
        <v>112</v>
      </c>
      <c r="H23" s="177">
        <f>'FS Jimbaran February 2021'!AH33/'FS Jimbaran February 2021'!AG33</f>
        <v>11094.539999999999</v>
      </c>
      <c r="I23" s="179">
        <f>'FS Jimbaran February 2021'!AJ33</f>
        <v>338</v>
      </c>
      <c r="J23" s="169">
        <f>'FS Jimbaran February 2021'!AK33/'FS Jimbaran February 2021'!AJ33</f>
        <v>8600</v>
      </c>
      <c r="K23" s="179">
        <f>'FS Jimbaran February 2021'!V33</f>
        <v>956</v>
      </c>
      <c r="L23" s="177">
        <f>'FS Jimbaran February 2021'!AA33/'FS Jimbaran February 2021'!V33</f>
        <v>4001.009402388916</v>
      </c>
      <c r="M23" s="179">
        <v>1</v>
      </c>
      <c r="N23" s="179">
        <v>13</v>
      </c>
    </row>
    <row r="24" spans="1:14" x14ac:dyDescent="0.25">
      <c r="A24" s="165" t="s">
        <v>49</v>
      </c>
      <c r="B24" s="166">
        <f t="shared" si="0"/>
        <v>23</v>
      </c>
      <c r="C24" s="167">
        <v>2</v>
      </c>
      <c r="D24" s="166">
        <v>2021</v>
      </c>
      <c r="E24" s="179">
        <f>'FS Jimbaran February 2021'!P34</f>
        <v>13339.99999999996</v>
      </c>
      <c r="F24" s="177">
        <f>'FS Jimbaran February 2021'!O34/'FS Jimbaran February 2021'!P34</f>
        <v>1180.509679160421</v>
      </c>
      <c r="G24" s="179">
        <f>'FS Jimbaran February 2021'!AG34</f>
        <v>112</v>
      </c>
      <c r="H24" s="177">
        <f>'FS Jimbaran February 2021'!AH34/'FS Jimbaran February 2021'!AG34</f>
        <v>11094.539999999999</v>
      </c>
      <c r="I24" s="179">
        <f>'FS Jimbaran February 2021'!AJ34</f>
        <v>318.2</v>
      </c>
      <c r="J24" s="169">
        <f>'FS Jimbaran February 2021'!AK34/'FS Jimbaran February 2021'!AJ34</f>
        <v>8600</v>
      </c>
      <c r="K24" s="179">
        <f>'FS Jimbaran February 2021'!V34</f>
        <v>931</v>
      </c>
      <c r="L24" s="177">
        <f>'FS Jimbaran February 2021'!AA34/'FS Jimbaran February 2021'!V34</f>
        <v>4070.7082833758363</v>
      </c>
      <c r="M24" s="179">
        <v>4</v>
      </c>
      <c r="N24" s="179">
        <v>33</v>
      </c>
    </row>
    <row r="25" spans="1:14" x14ac:dyDescent="0.25">
      <c r="A25" s="165" t="s">
        <v>49</v>
      </c>
      <c r="B25" s="166">
        <f t="shared" si="0"/>
        <v>24</v>
      </c>
      <c r="C25" s="167">
        <v>2</v>
      </c>
      <c r="D25" s="166">
        <v>2021</v>
      </c>
      <c r="E25" s="179">
        <f>'FS Jimbaran February 2021'!P35</f>
        <v>12899.999999999898</v>
      </c>
      <c r="F25" s="177">
        <f>'FS Jimbaran February 2021'!O35/'FS Jimbaran February 2021'!P35</f>
        <v>1180.3074418604658</v>
      </c>
      <c r="G25" s="179">
        <f>'FS Jimbaran February 2021'!AG35</f>
        <v>112</v>
      </c>
      <c r="H25" s="177">
        <f>'FS Jimbaran February 2021'!AH35/'FS Jimbaran February 2021'!AG35</f>
        <v>11094.539999999999</v>
      </c>
      <c r="I25" s="179">
        <f>'FS Jimbaran February 2021'!AJ35</f>
        <v>387.7</v>
      </c>
      <c r="J25" s="169">
        <f>'FS Jimbaran February 2021'!AK35/'FS Jimbaran February 2021'!AJ35</f>
        <v>8600</v>
      </c>
      <c r="K25" s="179">
        <f>'FS Jimbaran February 2021'!V35</f>
        <v>978</v>
      </c>
      <c r="L25" s="177">
        <f>'FS Jimbaran February 2021'!AA35/'FS Jimbaran February 2021'!V35</f>
        <v>3874.1444356861998</v>
      </c>
      <c r="M25" s="179">
        <v>2</v>
      </c>
      <c r="N25" s="179">
        <v>59</v>
      </c>
    </row>
    <row r="26" spans="1:14" x14ac:dyDescent="0.25">
      <c r="A26" s="165" t="s">
        <v>49</v>
      </c>
      <c r="B26" s="166">
        <f>B25+1</f>
        <v>25</v>
      </c>
      <c r="C26" s="167">
        <v>2</v>
      </c>
      <c r="D26" s="166">
        <v>2021</v>
      </c>
      <c r="E26" s="179">
        <f>'FS Jimbaran February 2021'!P36</f>
        <v>13280.000000000025</v>
      </c>
      <c r="F26" s="177">
        <f>'FS Jimbaran February 2021'!O36/'FS Jimbaran February 2021'!P36</f>
        <v>1178.4727341867467</v>
      </c>
      <c r="G26" s="179">
        <f>'FS Jimbaran February 2021'!AG36</f>
        <v>112</v>
      </c>
      <c r="H26" s="177">
        <f>'FS Jimbaran February 2021'!AH36/'FS Jimbaran February 2021'!AG36</f>
        <v>11094.539999999999</v>
      </c>
      <c r="I26" s="179">
        <f>'FS Jimbaran February 2021'!AJ36</f>
        <v>368.5</v>
      </c>
      <c r="J26" s="169">
        <f>'FS Jimbaran February 2021'!AK36/'FS Jimbaran February 2021'!AJ36</f>
        <v>8600</v>
      </c>
      <c r="K26" s="179">
        <f>'FS Jimbaran February 2021'!V36</f>
        <v>997</v>
      </c>
      <c r="L26" s="177">
        <f>'FS Jimbaran February 2021'!AA36/'FS Jimbaran February 2021'!V36</f>
        <v>2827.1267573017071</v>
      </c>
      <c r="M26" s="179">
        <v>1</v>
      </c>
      <c r="N26" s="179">
        <v>25</v>
      </c>
    </row>
    <row r="27" spans="1:14" x14ac:dyDescent="0.25">
      <c r="A27" s="165" t="s">
        <v>49</v>
      </c>
      <c r="B27" s="166">
        <f t="shared" si="0"/>
        <v>26</v>
      </c>
      <c r="C27" s="167">
        <v>2</v>
      </c>
      <c r="D27" s="166">
        <v>2021</v>
      </c>
      <c r="E27" s="179">
        <f>'FS Jimbaran February 2021'!P37</f>
        <v>13379.999999999985</v>
      </c>
      <c r="F27" s="177">
        <f>'FS Jimbaran February 2021'!O37/'FS Jimbaran February 2021'!P37</f>
        <v>1181.0446614349776</v>
      </c>
      <c r="G27" s="179">
        <f>'FS Jimbaran February 2021'!AG37</f>
        <v>112</v>
      </c>
      <c r="H27" s="177">
        <f>'FS Jimbaran February 2021'!AH37/'FS Jimbaran February 2021'!AG37</f>
        <v>11094.539999999999</v>
      </c>
      <c r="I27" s="179">
        <f>'FS Jimbaran February 2021'!AJ37</f>
        <v>374.1</v>
      </c>
      <c r="J27" s="169">
        <f>'FS Jimbaran February 2021'!AK37/'FS Jimbaran February 2021'!AJ37</f>
        <v>8600</v>
      </c>
      <c r="K27" s="179">
        <f>'FS Jimbaran February 2021'!V37</f>
        <v>1015</v>
      </c>
      <c r="L27" s="177">
        <f>'FS Jimbaran February 2021'!AA37/'FS Jimbaran February 2021'!V37</f>
        <v>3605.9340555202002</v>
      </c>
      <c r="M27" s="179">
        <v>1</v>
      </c>
      <c r="N27" s="179">
        <v>20</v>
      </c>
    </row>
    <row r="28" spans="1:14" x14ac:dyDescent="0.25">
      <c r="A28" s="165" t="s">
        <v>49</v>
      </c>
      <c r="B28" s="166">
        <f t="shared" si="0"/>
        <v>27</v>
      </c>
      <c r="C28" s="167">
        <v>2</v>
      </c>
      <c r="D28" s="166">
        <v>2021</v>
      </c>
      <c r="E28" s="179">
        <f>'FS Jimbaran February 2021'!P38</f>
        <v>12740.00000000004</v>
      </c>
      <c r="F28" s="177">
        <f>'FS Jimbaran February 2021'!O38/'FS Jimbaran February 2021'!P38</f>
        <v>1178.9111373626386</v>
      </c>
      <c r="G28" s="179">
        <f>'FS Jimbaran February 2021'!AG38</f>
        <v>112</v>
      </c>
      <c r="H28" s="177">
        <f>'FS Jimbaran February 2021'!AH38/'FS Jimbaran February 2021'!AG38</f>
        <v>11094.539999999999</v>
      </c>
      <c r="I28" s="179">
        <f>'FS Jimbaran February 2021'!AJ38</f>
        <v>379.4</v>
      </c>
      <c r="J28" s="169">
        <f>'FS Jimbaran February 2021'!AK38/'FS Jimbaran February 2021'!AJ38</f>
        <v>8600</v>
      </c>
      <c r="K28" s="179">
        <f>'FS Jimbaran February 2021'!V38</f>
        <v>970</v>
      </c>
      <c r="L28" s="177">
        <f>'FS Jimbaran February 2021'!AA38/'FS Jimbaran February 2021'!V38</f>
        <v>3668.8719164014469</v>
      </c>
      <c r="M28" s="179">
        <v>2</v>
      </c>
      <c r="N28" s="179">
        <v>14</v>
      </c>
    </row>
    <row r="29" spans="1:14" x14ac:dyDescent="0.25">
      <c r="A29" s="165" t="s">
        <v>49</v>
      </c>
      <c r="B29" s="166">
        <f t="shared" si="0"/>
        <v>28</v>
      </c>
      <c r="C29" s="167">
        <v>2</v>
      </c>
      <c r="D29" s="166">
        <v>2021</v>
      </c>
      <c r="E29" s="179">
        <f>'FS Jimbaran February 2021'!P39</f>
        <v>13019.999999999918</v>
      </c>
      <c r="F29" s="177">
        <f>'FS Jimbaran February 2021'!O39/'FS Jimbaran February 2021'!P39</f>
        <v>1177.7820967741932</v>
      </c>
      <c r="G29" s="179">
        <f>'FS Jimbaran February 2021'!AG39</f>
        <v>112</v>
      </c>
      <c r="H29" s="177">
        <f>'FS Jimbaran February 2021'!AH39/'FS Jimbaran February 2021'!AG39</f>
        <v>11094.539999999999</v>
      </c>
      <c r="I29" s="179">
        <f>'FS Jimbaran February 2021'!AJ39</f>
        <v>317.3</v>
      </c>
      <c r="J29" s="169">
        <f>'FS Jimbaran February 2021'!AK39/'FS Jimbaran February 2021'!AJ39</f>
        <v>8600</v>
      </c>
      <c r="K29" s="179">
        <f>'FS Jimbaran February 2021'!V39</f>
        <v>1070</v>
      </c>
      <c r="L29" s="177">
        <f>'FS Jimbaran February 2021'!AA39/'FS Jimbaran February 2021'!V39</f>
        <v>3570.2543031582272</v>
      </c>
      <c r="M29" s="179">
        <v>0</v>
      </c>
      <c r="N29" s="179">
        <v>0</v>
      </c>
    </row>
    <row r="30" spans="1:14" x14ac:dyDescent="0.25">
      <c r="E30" s="175"/>
      <c r="G30" s="175"/>
      <c r="K30" s="175"/>
      <c r="M30" s="175"/>
      <c r="N30" s="17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113"/>
  <sheetViews>
    <sheetView zoomScale="62" zoomScaleNormal="62" workbookViewId="0">
      <pane xSplit="4" ySplit="10" topLeftCell="R35" activePane="bottomRight" state="frozen"/>
      <selection pane="topRight" activeCell="E1" sqref="E1"/>
      <selection pane="bottomLeft" activeCell="A11" sqref="A11"/>
      <selection pane="bottomRight" activeCell="W51" sqref="W5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ht="15.6" x14ac:dyDescent="0.3">
      <c r="N5" s="180"/>
      <c r="X5" s="181"/>
    </row>
    <row r="6" spans="1:39" s="28" customFormat="1" ht="18.600000000000001" thickBot="1" x14ac:dyDescent="0.4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149999999999999" thickBot="1" x14ac:dyDescent="0.35">
      <c r="A7" s="33"/>
      <c r="B7" s="257" t="s">
        <v>53</v>
      </c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9"/>
      <c r="AM7" s="33"/>
    </row>
    <row r="8" spans="1:39" s="8" customFormat="1" ht="15.75" customHeight="1" thickBot="1" x14ac:dyDescent="0.3">
      <c r="A8" s="29"/>
      <c r="B8" s="260" t="s">
        <v>1</v>
      </c>
      <c r="C8" s="263" t="s">
        <v>2</v>
      </c>
      <c r="D8" s="266" t="s">
        <v>3</v>
      </c>
      <c r="E8" s="269" t="s">
        <v>34</v>
      </c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70"/>
      <c r="V8" s="271" t="s">
        <v>19</v>
      </c>
      <c r="W8" s="272"/>
      <c r="X8" s="272"/>
      <c r="Y8" s="272"/>
      <c r="Z8" s="272"/>
      <c r="AA8" s="272"/>
      <c r="AB8" s="273"/>
      <c r="AC8" s="274" t="s">
        <v>24</v>
      </c>
      <c r="AD8" s="274"/>
      <c r="AE8" s="274"/>
      <c r="AF8" s="274"/>
      <c r="AG8" s="274"/>
      <c r="AH8" s="274"/>
      <c r="AI8" s="274"/>
      <c r="AJ8" s="274"/>
      <c r="AK8" s="274"/>
      <c r="AL8" s="275"/>
      <c r="AM8" s="31"/>
    </row>
    <row r="9" spans="1:39" ht="15" customHeight="1" thickBot="1" x14ac:dyDescent="0.3">
      <c r="A9" s="32"/>
      <c r="B9" s="261"/>
      <c r="C9" s="264"/>
      <c r="D9" s="267"/>
      <c r="E9" s="276" t="s">
        <v>33</v>
      </c>
      <c r="F9" s="277"/>
      <c r="G9" s="277"/>
      <c r="H9" s="277"/>
      <c r="I9" s="278"/>
      <c r="J9" s="279" t="s">
        <v>5</v>
      </c>
      <c r="K9" s="279"/>
      <c r="L9" s="279"/>
      <c r="M9" s="279"/>
      <c r="N9" s="280"/>
      <c r="O9" s="266" t="s">
        <v>12</v>
      </c>
      <c r="P9" s="281" t="s">
        <v>32</v>
      </c>
      <c r="Q9" s="283" t="s">
        <v>52</v>
      </c>
      <c r="R9" s="285" t="s">
        <v>21</v>
      </c>
      <c r="S9" s="287" t="s">
        <v>13</v>
      </c>
      <c r="T9" s="289" t="s">
        <v>18</v>
      </c>
      <c r="U9" s="290"/>
      <c r="V9" s="56"/>
      <c r="W9" s="56" t="s">
        <v>4</v>
      </c>
      <c r="X9" s="56"/>
      <c r="Y9" s="57"/>
      <c r="Z9" s="186"/>
      <c r="AA9" s="255" t="s">
        <v>27</v>
      </c>
      <c r="AB9" s="256"/>
      <c r="AC9" s="274" t="s">
        <v>22</v>
      </c>
      <c r="AD9" s="274"/>
      <c r="AE9" s="274"/>
      <c r="AF9" s="274"/>
      <c r="AG9" s="274"/>
      <c r="AH9" s="274"/>
      <c r="AI9" s="275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62"/>
      <c r="C10" s="265"/>
      <c r="D10" s="268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68"/>
      <c r="P10" s="282"/>
      <c r="Q10" s="284"/>
      <c r="R10" s="286"/>
      <c r="S10" s="288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4">
        <v>0</v>
      </c>
      <c r="D12" s="156">
        <v>38</v>
      </c>
      <c r="E12" s="109">
        <v>10399.999999999864</v>
      </c>
      <c r="F12" s="3">
        <v>11310717.599999852</v>
      </c>
      <c r="G12" s="38">
        <v>2000</v>
      </c>
      <c r="H12" s="3">
        <v>3262707</v>
      </c>
      <c r="I12" s="106">
        <f>F12+H12</f>
        <v>14573424.599999852</v>
      </c>
      <c r="J12" s="109">
        <v>1299.9999999999973</v>
      </c>
      <c r="K12" s="3">
        <v>1413839.6999999972</v>
      </c>
      <c r="L12" s="193">
        <v>320.00000000000028</v>
      </c>
      <c r="M12" s="194">
        <v>522033.1200000004</v>
      </c>
      <c r="N12" s="97">
        <f>K12+M12</f>
        <v>1935872.8199999975</v>
      </c>
      <c r="O12" s="111">
        <f>N12+I12</f>
        <v>16509297.419999849</v>
      </c>
      <c r="P12" s="114">
        <f>L12+J12+G12+E12</f>
        <v>14019.999999999862</v>
      </c>
      <c r="Q12" s="138"/>
      <c r="R12" s="237"/>
      <c r="S12" s="252"/>
      <c r="T12" s="249"/>
      <c r="U12" s="246">
        <v>0</v>
      </c>
      <c r="V12" s="195">
        <f>Y12+W12</f>
        <v>965</v>
      </c>
      <c r="W12" s="3">
        <v>62</v>
      </c>
      <c r="X12" s="3">
        <v>1114485.7653758011</v>
      </c>
      <c r="Y12" s="34">
        <v>903</v>
      </c>
      <c r="Z12" s="34">
        <v>645645</v>
      </c>
      <c r="AA12" s="34">
        <f t="shared" ref="AA12:AA39" si="0">Z12+X12</f>
        <v>1760130.7653758011</v>
      </c>
      <c r="AB12" s="131">
        <f t="shared" ref="AB12:AB39" si="1">AA12/$AL$48</f>
        <v>135.64415516352005</v>
      </c>
      <c r="AC12" s="137">
        <v>0</v>
      </c>
      <c r="AD12" s="3">
        <v>0</v>
      </c>
      <c r="AE12" s="3">
        <v>100</v>
      </c>
      <c r="AF12" s="3">
        <v>12</v>
      </c>
      <c r="AG12" s="3">
        <f>SUM(AC12:AF12)</f>
        <v>112</v>
      </c>
      <c r="AH12" s="3">
        <f>(AG12*10877)*1.02</f>
        <v>1242588.48</v>
      </c>
      <c r="AI12" s="46">
        <f t="shared" ref="AI12:AI39" si="2">AH12/$AL$48</f>
        <v>95.759853700151581</v>
      </c>
      <c r="AJ12" s="146">
        <v>382.4</v>
      </c>
      <c r="AK12" s="3">
        <v>3288640</v>
      </c>
      <c r="AL12" s="42">
        <f t="shared" ref="AL12:AL39" si="3">AK12/$AL$48</f>
        <v>253.43843946828358</v>
      </c>
      <c r="AM12" s="7"/>
    </row>
    <row r="13" spans="1:39" x14ac:dyDescent="0.25">
      <c r="A13" s="36"/>
      <c r="B13" s="61">
        <v>2</v>
      </c>
      <c r="C13" s="154">
        <v>1</v>
      </c>
      <c r="D13" s="156">
        <v>44</v>
      </c>
      <c r="E13" s="109">
        <v>10000</v>
      </c>
      <c r="F13" s="3">
        <v>10875690</v>
      </c>
      <c r="G13" s="38">
        <v>2080.0000000000127</v>
      </c>
      <c r="H13" s="3">
        <v>3393215.2800000212</v>
      </c>
      <c r="I13" s="106">
        <f t="shared" ref="I13:I39" si="4">F13+H13</f>
        <v>14268905.280000022</v>
      </c>
      <c r="J13" s="109">
        <v>1260.000000000005</v>
      </c>
      <c r="K13" s="3">
        <v>1370336.9400000055</v>
      </c>
      <c r="L13" s="193">
        <v>339.99999999999989</v>
      </c>
      <c r="M13" s="194">
        <v>554660.18999999983</v>
      </c>
      <c r="N13" s="97">
        <f t="shared" ref="N13:N39" si="5">K13+M13</f>
        <v>1924997.1300000055</v>
      </c>
      <c r="O13" s="111">
        <f t="shared" ref="O13:O39" si="6">N13+I13</f>
        <v>16193902.410000026</v>
      </c>
      <c r="P13" s="114">
        <f t="shared" ref="P13:P39" si="7">L13+J13+G13+E13</f>
        <v>13680.000000000018</v>
      </c>
      <c r="Q13" s="204"/>
      <c r="R13" s="238"/>
      <c r="S13" s="205"/>
      <c r="T13" s="250" t="s">
        <v>81</v>
      </c>
      <c r="U13" s="246">
        <v>0</v>
      </c>
      <c r="V13" s="195">
        <f t="shared" ref="V13:V39" si="8">Y13+W13</f>
        <v>903</v>
      </c>
      <c r="W13" s="3">
        <v>149</v>
      </c>
      <c r="X13" s="3">
        <v>2678360.9522741027</v>
      </c>
      <c r="Y13" s="34">
        <v>754</v>
      </c>
      <c r="Z13" s="34">
        <v>539110</v>
      </c>
      <c r="AA13" s="34">
        <f t="shared" si="0"/>
        <v>3217470.9522741027</v>
      </c>
      <c r="AB13" s="131">
        <f t="shared" si="1"/>
        <v>247.95380983594461</v>
      </c>
      <c r="AC13" s="137">
        <v>0</v>
      </c>
      <c r="AD13" s="3">
        <v>0</v>
      </c>
      <c r="AE13" s="3">
        <v>100</v>
      </c>
      <c r="AF13" s="3">
        <v>12</v>
      </c>
      <c r="AG13" s="3">
        <f t="shared" ref="AG13:AG39" si="9">SUM(AC13:AF13)</f>
        <v>112</v>
      </c>
      <c r="AH13" s="3">
        <f t="shared" ref="AH13:AH33" si="10">(AG13*10877)*1.02</f>
        <v>1242588.48</v>
      </c>
      <c r="AI13" s="46">
        <f t="shared" si="2"/>
        <v>95.759853700151581</v>
      </c>
      <c r="AJ13" s="146">
        <v>348.1</v>
      </c>
      <c r="AK13" s="3">
        <v>2993660</v>
      </c>
      <c r="AL13" s="42">
        <f t="shared" si="3"/>
        <v>230.70585977748306</v>
      </c>
      <c r="AM13" s="7"/>
    </row>
    <row r="14" spans="1:39" x14ac:dyDescent="0.25">
      <c r="A14" s="36"/>
      <c r="B14" s="61">
        <v>3</v>
      </c>
      <c r="C14" s="154">
        <v>1</v>
      </c>
      <c r="D14" s="156">
        <v>27</v>
      </c>
      <c r="E14" s="109">
        <v>14240.000000000009</v>
      </c>
      <c r="F14" s="3">
        <v>15486982.56000001</v>
      </c>
      <c r="G14" s="38">
        <v>2000</v>
      </c>
      <c r="H14" s="3">
        <v>3262707</v>
      </c>
      <c r="I14" s="106">
        <f t="shared" si="4"/>
        <v>18749689.56000001</v>
      </c>
      <c r="J14" s="109">
        <v>1239.999999999995</v>
      </c>
      <c r="K14" s="3">
        <v>1348585.5599999947</v>
      </c>
      <c r="L14" s="193">
        <v>300.00000000000068</v>
      </c>
      <c r="M14" s="194">
        <v>489406.05000000109</v>
      </c>
      <c r="N14" s="97">
        <f t="shared" si="5"/>
        <v>1837991.6099999957</v>
      </c>
      <c r="O14" s="111">
        <f t="shared" si="6"/>
        <v>20587681.170000006</v>
      </c>
      <c r="P14" s="114">
        <f t="shared" si="7"/>
        <v>17780.000000000004</v>
      </c>
      <c r="Q14" s="204"/>
      <c r="R14" s="238"/>
      <c r="S14" s="205"/>
      <c r="T14" s="250" t="s">
        <v>82</v>
      </c>
      <c r="U14" s="246">
        <v>0</v>
      </c>
      <c r="V14" s="195">
        <f t="shared" si="8"/>
        <v>952</v>
      </c>
      <c r="W14" s="3">
        <v>126</v>
      </c>
      <c r="X14" s="3">
        <v>2264922.6844734023</v>
      </c>
      <c r="Y14" s="34">
        <v>826</v>
      </c>
      <c r="Z14" s="34">
        <v>590590</v>
      </c>
      <c r="AA14" s="34">
        <f t="shared" si="0"/>
        <v>2855512.6844734023</v>
      </c>
      <c r="AB14" s="131">
        <f t="shared" si="1"/>
        <v>220.05956220043188</v>
      </c>
      <c r="AC14" s="137">
        <v>0</v>
      </c>
      <c r="AD14" s="3">
        <v>0</v>
      </c>
      <c r="AE14" s="3">
        <v>100</v>
      </c>
      <c r="AF14" s="3">
        <v>12</v>
      </c>
      <c r="AG14" s="3">
        <f t="shared" si="9"/>
        <v>112</v>
      </c>
      <c r="AH14" s="3">
        <f t="shared" si="10"/>
        <v>1242588.48</v>
      </c>
      <c r="AI14" s="46">
        <f t="shared" si="2"/>
        <v>95.759853700151581</v>
      </c>
      <c r="AJ14" s="146">
        <v>325.39999999999998</v>
      </c>
      <c r="AK14" s="3">
        <v>2798440</v>
      </c>
      <c r="AL14" s="42">
        <f t="shared" si="3"/>
        <v>215.66126622118065</v>
      </c>
      <c r="AM14" s="7"/>
    </row>
    <row r="15" spans="1:39" x14ac:dyDescent="0.25">
      <c r="A15" s="36"/>
      <c r="B15" s="61">
        <v>4</v>
      </c>
      <c r="C15" s="154">
        <v>1</v>
      </c>
      <c r="D15" s="156">
        <v>11</v>
      </c>
      <c r="E15" s="109">
        <v>8000</v>
      </c>
      <c r="F15" s="3">
        <v>8700552</v>
      </c>
      <c r="G15" s="38">
        <v>2039.999999999992</v>
      </c>
      <c r="H15" s="3">
        <v>3327961.1399999871</v>
      </c>
      <c r="I15" s="106">
        <f t="shared" si="4"/>
        <v>12028513.139999988</v>
      </c>
      <c r="J15" s="109">
        <v>1219.9999999999989</v>
      </c>
      <c r="K15" s="3">
        <v>1326834.1799999988</v>
      </c>
      <c r="L15" s="193">
        <v>280.00000000000114</v>
      </c>
      <c r="M15" s="194">
        <v>456778.9800000019</v>
      </c>
      <c r="N15" s="97">
        <f t="shared" si="5"/>
        <v>1783613.1600000006</v>
      </c>
      <c r="O15" s="111">
        <f t="shared" si="6"/>
        <v>13812126.299999988</v>
      </c>
      <c r="P15" s="114">
        <f t="shared" si="7"/>
        <v>11539.999999999993</v>
      </c>
      <c r="Q15" s="204"/>
      <c r="R15" s="238"/>
      <c r="S15" s="205"/>
      <c r="T15" s="250" t="s">
        <v>83</v>
      </c>
      <c r="U15" s="246">
        <v>0</v>
      </c>
      <c r="V15" s="195">
        <f t="shared" si="8"/>
        <v>942</v>
      </c>
      <c r="W15" s="3">
        <v>109</v>
      </c>
      <c r="X15" s="3">
        <v>1959337.8778381019</v>
      </c>
      <c r="Y15" s="34">
        <v>833</v>
      </c>
      <c r="Z15" s="34">
        <v>595595</v>
      </c>
      <c r="AA15" s="34">
        <f t="shared" si="0"/>
        <v>2554932.8778381022</v>
      </c>
      <c r="AB15" s="131">
        <f t="shared" si="1"/>
        <v>196.89543443657544</v>
      </c>
      <c r="AC15" s="137">
        <v>0</v>
      </c>
      <c r="AD15" s="3">
        <v>0</v>
      </c>
      <c r="AE15" s="3">
        <v>100</v>
      </c>
      <c r="AF15" s="3">
        <v>12</v>
      </c>
      <c r="AG15" s="3">
        <f t="shared" si="9"/>
        <v>112</v>
      </c>
      <c r="AH15" s="3">
        <f t="shared" si="10"/>
        <v>1242588.48</v>
      </c>
      <c r="AI15" s="46">
        <f t="shared" si="2"/>
        <v>95.759853700151581</v>
      </c>
      <c r="AJ15" s="146">
        <v>316</v>
      </c>
      <c r="AK15" s="3">
        <v>2717600</v>
      </c>
      <c r="AL15" s="42">
        <f t="shared" si="3"/>
        <v>209.4313464225356</v>
      </c>
      <c r="AM15" s="7"/>
    </row>
    <row r="16" spans="1:39" x14ac:dyDescent="0.25">
      <c r="A16" s="36"/>
      <c r="B16" s="61">
        <v>5</v>
      </c>
      <c r="C16" s="154">
        <v>1</v>
      </c>
      <c r="D16" s="156">
        <v>46</v>
      </c>
      <c r="E16" s="109">
        <v>7160.0000000000819</v>
      </c>
      <c r="F16" s="3">
        <v>7786994.0400000894</v>
      </c>
      <c r="G16" s="38">
        <v>2000</v>
      </c>
      <c r="H16" s="3">
        <v>3262707</v>
      </c>
      <c r="I16" s="106">
        <f t="shared" si="4"/>
        <v>11049701.040000089</v>
      </c>
      <c r="J16" s="109">
        <v>1460.000000000008</v>
      </c>
      <c r="K16" s="3">
        <v>1587850.7400000086</v>
      </c>
      <c r="L16" s="193">
        <v>300.00000000000068</v>
      </c>
      <c r="M16" s="194">
        <v>489406.05000000109</v>
      </c>
      <c r="N16" s="97">
        <f t="shared" si="5"/>
        <v>2077256.7900000098</v>
      </c>
      <c r="O16" s="111">
        <f t="shared" si="6"/>
        <v>13126957.830000099</v>
      </c>
      <c r="P16" s="114">
        <f t="shared" si="7"/>
        <v>10920.000000000091</v>
      </c>
      <c r="Q16" s="204"/>
      <c r="R16" s="238"/>
      <c r="S16" s="205"/>
      <c r="T16" s="250" t="s">
        <v>84</v>
      </c>
      <c r="U16" s="246">
        <v>0</v>
      </c>
      <c r="V16" s="195">
        <f t="shared" si="8"/>
        <v>926</v>
      </c>
      <c r="W16" s="3">
        <v>174</v>
      </c>
      <c r="X16" s="3">
        <v>3127750.3737966032</v>
      </c>
      <c r="Y16" s="34">
        <v>752</v>
      </c>
      <c r="Z16" s="34">
        <v>537680</v>
      </c>
      <c r="AA16" s="34">
        <f t="shared" si="0"/>
        <v>3665430.3737966032</v>
      </c>
      <c r="AB16" s="131">
        <f t="shared" si="1"/>
        <v>282.47572063669435</v>
      </c>
      <c r="AC16" s="137">
        <v>0</v>
      </c>
      <c r="AD16" s="3">
        <v>0</v>
      </c>
      <c r="AE16" s="3">
        <v>100</v>
      </c>
      <c r="AF16" s="3">
        <v>12</v>
      </c>
      <c r="AG16" s="3">
        <f t="shared" si="9"/>
        <v>112</v>
      </c>
      <c r="AH16" s="3">
        <f t="shared" si="10"/>
        <v>1242588.48</v>
      </c>
      <c r="AI16" s="46">
        <f t="shared" si="2"/>
        <v>95.759853700151581</v>
      </c>
      <c r="AJ16" s="146">
        <v>347</v>
      </c>
      <c r="AK16" s="3">
        <v>2984200</v>
      </c>
      <c r="AL16" s="42">
        <f t="shared" si="3"/>
        <v>229.9768266095565</v>
      </c>
      <c r="AM16" s="7"/>
    </row>
    <row r="17" spans="1:39" x14ac:dyDescent="0.25">
      <c r="A17" s="36"/>
      <c r="B17" s="61">
        <v>6</v>
      </c>
      <c r="C17" s="154">
        <v>0</v>
      </c>
      <c r="D17" s="156">
        <v>27</v>
      </c>
      <c r="E17" s="109">
        <v>9480.0000000000182</v>
      </c>
      <c r="F17" s="3">
        <v>10310154.12000002</v>
      </c>
      <c r="G17" s="38">
        <v>1919.9999999999875</v>
      </c>
      <c r="H17" s="3">
        <v>3132198.7199999802</v>
      </c>
      <c r="I17" s="106">
        <f t="shared" si="4"/>
        <v>13442352.84</v>
      </c>
      <c r="J17" s="109">
        <v>1239.999999999995</v>
      </c>
      <c r="K17" s="3">
        <v>1348585.5599999947</v>
      </c>
      <c r="L17" s="193">
        <v>279.99999999999761</v>
      </c>
      <c r="M17" s="194">
        <v>456778.97999999608</v>
      </c>
      <c r="N17" s="97">
        <f t="shared" si="5"/>
        <v>1805364.5399999907</v>
      </c>
      <c r="O17" s="111">
        <f t="shared" si="6"/>
        <v>15247717.379999992</v>
      </c>
      <c r="P17" s="114">
        <f t="shared" si="7"/>
        <v>12919.999999999998</v>
      </c>
      <c r="Q17" s="204"/>
      <c r="R17" s="238"/>
      <c r="S17" s="205"/>
      <c r="T17" s="250"/>
      <c r="U17" s="246">
        <v>0</v>
      </c>
      <c r="V17" s="195">
        <f t="shared" si="8"/>
        <v>927</v>
      </c>
      <c r="W17" s="3">
        <v>182</v>
      </c>
      <c r="X17" s="3">
        <v>3271554.9886838035</v>
      </c>
      <c r="Y17" s="34">
        <v>745</v>
      </c>
      <c r="Z17" s="34">
        <v>532675</v>
      </c>
      <c r="AA17" s="34">
        <f t="shared" si="0"/>
        <v>3804229.9886838035</v>
      </c>
      <c r="AB17" s="131">
        <f t="shared" si="1"/>
        <v>293.17228754453794</v>
      </c>
      <c r="AC17" s="137">
        <v>0</v>
      </c>
      <c r="AD17" s="3">
        <v>0</v>
      </c>
      <c r="AE17" s="3">
        <v>100</v>
      </c>
      <c r="AF17" s="3">
        <v>12</v>
      </c>
      <c r="AG17" s="3">
        <f t="shared" si="9"/>
        <v>112</v>
      </c>
      <c r="AH17" s="3">
        <f t="shared" si="10"/>
        <v>1242588.48</v>
      </c>
      <c r="AI17" s="46">
        <f t="shared" si="2"/>
        <v>95.759853700151581</v>
      </c>
      <c r="AJ17" s="146">
        <v>397.1</v>
      </c>
      <c r="AK17" s="3">
        <v>3415060</v>
      </c>
      <c r="AL17" s="42">
        <f t="shared" si="3"/>
        <v>263.18097362148382</v>
      </c>
      <c r="AM17" s="7"/>
    </row>
    <row r="18" spans="1:39" x14ac:dyDescent="0.25">
      <c r="A18" s="36"/>
      <c r="B18" s="61">
        <v>7</v>
      </c>
      <c r="C18" s="154">
        <v>0</v>
      </c>
      <c r="D18" s="156">
        <v>61</v>
      </c>
      <c r="E18" s="109">
        <v>9799.9999999999545</v>
      </c>
      <c r="F18" s="3">
        <v>10658176.199999951</v>
      </c>
      <c r="G18" s="38">
        <v>2000</v>
      </c>
      <c r="H18" s="3">
        <v>3262707</v>
      </c>
      <c r="I18" s="106">
        <f t="shared" si="4"/>
        <v>13920883.199999951</v>
      </c>
      <c r="J18" s="109">
        <v>1299.9999999999973</v>
      </c>
      <c r="K18" s="3">
        <v>1413839.6999999972</v>
      </c>
      <c r="L18" s="193">
        <v>300.00000000000068</v>
      </c>
      <c r="M18" s="194">
        <v>489406.05000000109</v>
      </c>
      <c r="N18" s="97">
        <f t="shared" si="5"/>
        <v>1903245.7499999981</v>
      </c>
      <c r="O18" s="111">
        <f t="shared" si="6"/>
        <v>15824128.949999949</v>
      </c>
      <c r="P18" s="114">
        <f t="shared" si="7"/>
        <v>13399.999999999953</v>
      </c>
      <c r="Q18" s="204"/>
      <c r="R18" s="238"/>
      <c r="S18" s="205"/>
      <c r="T18" s="250"/>
      <c r="U18" s="246">
        <f t="shared" ref="U18:U32" si="11">T18/$AL$48</f>
        <v>0</v>
      </c>
      <c r="V18" s="195">
        <f t="shared" si="8"/>
        <v>934</v>
      </c>
      <c r="W18" s="3">
        <v>169</v>
      </c>
      <c r="X18" s="3">
        <v>3037872.489492103</v>
      </c>
      <c r="Y18" s="34">
        <v>765</v>
      </c>
      <c r="Z18" s="34">
        <v>546975</v>
      </c>
      <c r="AA18" s="34">
        <f t="shared" si="0"/>
        <v>3584847.489492103</v>
      </c>
      <c r="AB18" s="131">
        <f t="shared" si="1"/>
        <v>276.26561541204654</v>
      </c>
      <c r="AC18" s="137">
        <v>0</v>
      </c>
      <c r="AD18" s="3">
        <v>0</v>
      </c>
      <c r="AE18" s="3">
        <v>100</v>
      </c>
      <c r="AF18" s="3">
        <v>12</v>
      </c>
      <c r="AG18" s="3">
        <f t="shared" si="9"/>
        <v>112</v>
      </c>
      <c r="AH18" s="3">
        <f t="shared" si="10"/>
        <v>1242588.48</v>
      </c>
      <c r="AI18" s="46">
        <f t="shared" si="2"/>
        <v>95.759853700151581</v>
      </c>
      <c r="AJ18" s="146">
        <v>387.4</v>
      </c>
      <c r="AK18" s="3">
        <v>3331640</v>
      </c>
      <c r="AL18" s="42">
        <f t="shared" si="3"/>
        <v>256.75222659522245</v>
      </c>
      <c r="AM18" s="7"/>
    </row>
    <row r="19" spans="1:39" x14ac:dyDescent="0.25">
      <c r="A19" s="36"/>
      <c r="B19" s="61">
        <v>8</v>
      </c>
      <c r="C19" s="154">
        <v>1</v>
      </c>
      <c r="D19" s="156">
        <v>27</v>
      </c>
      <c r="E19" s="109">
        <v>9720.0000000000273</v>
      </c>
      <c r="F19" s="3">
        <v>10571170.68000003</v>
      </c>
      <c r="G19" s="38">
        <v>1960.000000000008</v>
      </c>
      <c r="H19" s="3">
        <v>3197452.8600000129</v>
      </c>
      <c r="I19" s="106">
        <f t="shared" si="4"/>
        <v>13768623.540000042</v>
      </c>
      <c r="J19" s="109">
        <v>1180.0000000000068</v>
      </c>
      <c r="K19" s="3">
        <v>1283331.4200000076</v>
      </c>
      <c r="L19" s="193">
        <v>339.99999999999989</v>
      </c>
      <c r="M19" s="194">
        <v>554660.18999999983</v>
      </c>
      <c r="N19" s="97">
        <f t="shared" si="5"/>
        <v>1837991.6100000073</v>
      </c>
      <c r="O19" s="111">
        <f t="shared" si="6"/>
        <v>15606615.150000049</v>
      </c>
      <c r="P19" s="114">
        <f t="shared" si="7"/>
        <v>13200.000000000042</v>
      </c>
      <c r="Q19" s="204"/>
      <c r="R19" s="238"/>
      <c r="S19" s="205"/>
      <c r="T19" s="250"/>
      <c r="U19" s="246">
        <f t="shared" si="11"/>
        <v>0</v>
      </c>
      <c r="V19" s="195">
        <f t="shared" si="8"/>
        <v>974</v>
      </c>
      <c r="W19" s="3">
        <v>124</v>
      </c>
      <c r="X19" s="3">
        <v>2228971.5307516023</v>
      </c>
      <c r="Y19" s="34">
        <v>850</v>
      </c>
      <c r="Z19" s="34">
        <v>607750</v>
      </c>
      <c r="AA19" s="34">
        <f t="shared" si="0"/>
        <v>2836721.5307516023</v>
      </c>
      <c r="AB19" s="131">
        <f t="shared" si="1"/>
        <v>218.61142537941723</v>
      </c>
      <c r="AC19" s="137">
        <v>0</v>
      </c>
      <c r="AD19" s="3">
        <v>0</v>
      </c>
      <c r="AE19" s="3">
        <v>100</v>
      </c>
      <c r="AF19" s="3">
        <v>12</v>
      </c>
      <c r="AG19" s="3">
        <f t="shared" si="9"/>
        <v>112</v>
      </c>
      <c r="AH19" s="3">
        <f t="shared" si="10"/>
        <v>1242588.48</v>
      </c>
      <c r="AI19" s="46">
        <f t="shared" si="2"/>
        <v>95.759853700151581</v>
      </c>
      <c r="AJ19" s="146">
        <v>340.7</v>
      </c>
      <c r="AK19" s="3">
        <v>2930020</v>
      </c>
      <c r="AL19" s="42">
        <f t="shared" si="3"/>
        <v>225.80145482961353</v>
      </c>
      <c r="AM19" s="7"/>
    </row>
    <row r="20" spans="1:39" x14ac:dyDescent="0.25">
      <c r="A20" s="36"/>
      <c r="B20" s="61">
        <v>9</v>
      </c>
      <c r="C20" s="154">
        <v>1</v>
      </c>
      <c r="D20" s="156">
        <v>47</v>
      </c>
      <c r="E20" s="109">
        <v>9880.0000000001091</v>
      </c>
      <c r="F20" s="3">
        <v>10745181.720000118</v>
      </c>
      <c r="G20" s="38">
        <v>2039.999999999992</v>
      </c>
      <c r="H20" s="3">
        <v>3327961.1399999871</v>
      </c>
      <c r="I20" s="106">
        <f t="shared" si="4"/>
        <v>14073142.860000106</v>
      </c>
      <c r="J20" s="109">
        <v>1379.9999999999955</v>
      </c>
      <c r="K20" s="3">
        <v>1500845.2199999951</v>
      </c>
      <c r="L20" s="193">
        <v>339.99999999999989</v>
      </c>
      <c r="M20" s="194">
        <v>554660.18999999983</v>
      </c>
      <c r="N20" s="97">
        <f t="shared" si="5"/>
        <v>2055505.409999995</v>
      </c>
      <c r="O20" s="111">
        <f t="shared" si="6"/>
        <v>16128648.2700001</v>
      </c>
      <c r="P20" s="114">
        <f t="shared" si="7"/>
        <v>13640.000000000096</v>
      </c>
      <c r="Q20" s="204"/>
      <c r="R20" s="238"/>
      <c r="S20" s="205"/>
      <c r="T20" s="250"/>
      <c r="U20" s="246">
        <f t="shared" si="11"/>
        <v>0</v>
      </c>
      <c r="V20" s="195">
        <f t="shared" si="8"/>
        <v>949</v>
      </c>
      <c r="W20" s="3">
        <v>168</v>
      </c>
      <c r="X20" s="3">
        <v>3019896.912631203</v>
      </c>
      <c r="Y20" s="34">
        <v>781</v>
      </c>
      <c r="Z20" s="34">
        <v>558415</v>
      </c>
      <c r="AA20" s="34">
        <f t="shared" si="0"/>
        <v>3578311.912631203</v>
      </c>
      <c r="AB20" s="131">
        <f t="shared" si="1"/>
        <v>275.76195237788909</v>
      </c>
      <c r="AC20" s="137">
        <v>0</v>
      </c>
      <c r="AD20" s="3">
        <v>0</v>
      </c>
      <c r="AE20" s="3">
        <v>100</v>
      </c>
      <c r="AF20" s="3">
        <v>12</v>
      </c>
      <c r="AG20" s="3">
        <f t="shared" si="9"/>
        <v>112</v>
      </c>
      <c r="AH20" s="3">
        <f t="shared" si="10"/>
        <v>1242588.48</v>
      </c>
      <c r="AI20" s="46">
        <f t="shared" si="2"/>
        <v>95.759853700151581</v>
      </c>
      <c r="AJ20" s="146">
        <v>303.8</v>
      </c>
      <c r="AK20" s="3">
        <v>2612680</v>
      </c>
      <c r="AL20" s="42">
        <f t="shared" si="3"/>
        <v>201.34570583280478</v>
      </c>
      <c r="AM20" s="7"/>
    </row>
    <row r="21" spans="1:39" x14ac:dyDescent="0.25">
      <c r="A21" s="36"/>
      <c r="B21" s="61">
        <v>10</v>
      </c>
      <c r="C21" s="154">
        <v>3</v>
      </c>
      <c r="D21" s="156">
        <v>26</v>
      </c>
      <c r="E21" s="109">
        <v>9799.9999999999545</v>
      </c>
      <c r="F21" s="3">
        <v>10658176.199999951</v>
      </c>
      <c r="G21" s="38">
        <v>1960.000000000008</v>
      </c>
      <c r="H21" s="3">
        <v>3197452.8600000129</v>
      </c>
      <c r="I21" s="106">
        <f t="shared" si="4"/>
        <v>13855629.059999963</v>
      </c>
      <c r="J21" s="109">
        <v>1179.9999999999927</v>
      </c>
      <c r="K21" s="3">
        <v>1283331.4199999922</v>
      </c>
      <c r="L21" s="193">
        <v>280.00000000000114</v>
      </c>
      <c r="M21" s="194">
        <v>456778.9800000019</v>
      </c>
      <c r="N21" s="97">
        <f t="shared" si="5"/>
        <v>1740110.3999999941</v>
      </c>
      <c r="O21" s="111">
        <f t="shared" si="6"/>
        <v>15595739.459999958</v>
      </c>
      <c r="P21" s="114">
        <f t="shared" si="7"/>
        <v>13219.999999999956</v>
      </c>
      <c r="Q21" s="204"/>
      <c r="R21" s="238"/>
      <c r="S21" s="205"/>
      <c r="T21" s="250"/>
      <c r="U21" s="246">
        <f t="shared" si="11"/>
        <v>0</v>
      </c>
      <c r="V21" s="195">
        <f t="shared" si="8"/>
        <v>946</v>
      </c>
      <c r="W21" s="3">
        <v>195</v>
      </c>
      <c r="X21" s="3">
        <v>3505237.4878755035</v>
      </c>
      <c r="Y21" s="34">
        <v>751</v>
      </c>
      <c r="Z21" s="34">
        <v>536965</v>
      </c>
      <c r="AA21" s="34">
        <f t="shared" si="0"/>
        <v>4042202.4878755035</v>
      </c>
      <c r="AB21" s="131">
        <f t="shared" si="1"/>
        <v>311.51159462330361</v>
      </c>
      <c r="AC21" s="137">
        <v>0</v>
      </c>
      <c r="AD21" s="3">
        <v>0</v>
      </c>
      <c r="AE21" s="3">
        <v>100</v>
      </c>
      <c r="AF21" s="3">
        <v>12</v>
      </c>
      <c r="AG21" s="3">
        <f t="shared" si="9"/>
        <v>112</v>
      </c>
      <c r="AH21" s="3">
        <f t="shared" si="10"/>
        <v>1242588.48</v>
      </c>
      <c r="AI21" s="46">
        <f t="shared" si="2"/>
        <v>95.759853700151581</v>
      </c>
      <c r="AJ21" s="146">
        <v>399</v>
      </c>
      <c r="AK21" s="3">
        <v>3431400</v>
      </c>
      <c r="AL21" s="42">
        <f t="shared" si="3"/>
        <v>264.4402127297206</v>
      </c>
      <c r="AM21" s="7"/>
    </row>
    <row r="22" spans="1:39" x14ac:dyDescent="0.25">
      <c r="A22" s="36"/>
      <c r="B22" s="61">
        <v>11</v>
      </c>
      <c r="C22" s="154">
        <v>3</v>
      </c>
      <c r="D22" s="156">
        <v>27</v>
      </c>
      <c r="E22" s="109">
        <v>9759.9999999999909</v>
      </c>
      <c r="F22" s="3">
        <v>10614673.43999999</v>
      </c>
      <c r="G22" s="38">
        <v>2039.999999999992</v>
      </c>
      <c r="H22" s="3">
        <v>3327961.1399999871</v>
      </c>
      <c r="I22" s="106">
        <f t="shared" si="4"/>
        <v>13942634.579999978</v>
      </c>
      <c r="J22" s="109">
        <v>1100.0000000000086</v>
      </c>
      <c r="K22" s="3">
        <v>1196325.9000000095</v>
      </c>
      <c r="L22" s="193">
        <v>280.00000000000114</v>
      </c>
      <c r="M22" s="194">
        <v>456778.9800000019</v>
      </c>
      <c r="N22" s="97">
        <f t="shared" si="5"/>
        <v>1653104.8800000113</v>
      </c>
      <c r="O22" s="111">
        <f t="shared" si="6"/>
        <v>15595739.45999999</v>
      </c>
      <c r="P22" s="114">
        <f t="shared" si="7"/>
        <v>13179.999999999993</v>
      </c>
      <c r="Q22" s="204"/>
      <c r="R22" s="238"/>
      <c r="S22" s="205"/>
      <c r="T22" s="250"/>
      <c r="U22" s="246">
        <f t="shared" si="11"/>
        <v>0</v>
      </c>
      <c r="V22" s="195">
        <f t="shared" si="8"/>
        <v>963</v>
      </c>
      <c r="W22" s="3">
        <v>179</v>
      </c>
      <c r="X22" s="3">
        <v>3217628.2581011034</v>
      </c>
      <c r="Y22" s="34">
        <v>784</v>
      </c>
      <c r="Z22" s="34">
        <v>560560</v>
      </c>
      <c r="AA22" s="34">
        <f t="shared" si="0"/>
        <v>3778188.2581011034</v>
      </c>
      <c r="AB22" s="131">
        <f t="shared" si="1"/>
        <v>291.16538634527836</v>
      </c>
      <c r="AC22" s="137">
        <v>0</v>
      </c>
      <c r="AD22" s="3">
        <v>0</v>
      </c>
      <c r="AE22" s="3">
        <v>100</v>
      </c>
      <c r="AF22" s="3">
        <v>12</v>
      </c>
      <c r="AG22" s="3">
        <f t="shared" si="9"/>
        <v>112</v>
      </c>
      <c r="AH22" s="3">
        <f t="shared" si="10"/>
        <v>1242588.48</v>
      </c>
      <c r="AI22" s="46">
        <f t="shared" si="2"/>
        <v>95.759853700151581</v>
      </c>
      <c r="AJ22" s="146">
        <v>324</v>
      </c>
      <c r="AK22" s="3">
        <v>2786400</v>
      </c>
      <c r="AL22" s="42">
        <f t="shared" si="3"/>
        <v>214.73340582563776</v>
      </c>
      <c r="AM22" s="7"/>
    </row>
    <row r="23" spans="1:39" x14ac:dyDescent="0.25">
      <c r="A23" s="36"/>
      <c r="B23" s="61">
        <v>12</v>
      </c>
      <c r="C23" s="154">
        <v>3</v>
      </c>
      <c r="D23" s="156">
        <v>53</v>
      </c>
      <c r="E23" s="109">
        <v>9879.9999999998818</v>
      </c>
      <c r="F23" s="3">
        <v>10745181.719999872</v>
      </c>
      <c r="G23" s="38">
        <v>1719.9999999999989</v>
      </c>
      <c r="H23" s="3">
        <v>2805928.0199999986</v>
      </c>
      <c r="I23" s="106">
        <f t="shared" si="4"/>
        <v>13551109.739999872</v>
      </c>
      <c r="J23" s="109">
        <v>1200.0000000000027</v>
      </c>
      <c r="K23" s="3">
        <v>1305082.8000000031</v>
      </c>
      <c r="L23" s="193">
        <v>359.99999999999943</v>
      </c>
      <c r="M23" s="194">
        <v>587287.25999999908</v>
      </c>
      <c r="N23" s="97">
        <f t="shared" si="5"/>
        <v>1892370.0600000022</v>
      </c>
      <c r="O23" s="111">
        <f t="shared" si="6"/>
        <v>15443479.799999874</v>
      </c>
      <c r="P23" s="114">
        <f t="shared" si="7"/>
        <v>13159.999999999884</v>
      </c>
      <c r="Q23" s="204"/>
      <c r="R23" s="238"/>
      <c r="S23" s="205"/>
      <c r="T23" s="250"/>
      <c r="U23" s="246">
        <f t="shared" si="11"/>
        <v>0</v>
      </c>
      <c r="V23" s="195">
        <f t="shared" si="8"/>
        <v>968</v>
      </c>
      <c r="W23" s="3">
        <v>168</v>
      </c>
      <c r="X23" s="3">
        <v>3019896.912631203</v>
      </c>
      <c r="Y23" s="34">
        <v>800</v>
      </c>
      <c r="Z23" s="34">
        <v>572000</v>
      </c>
      <c r="AA23" s="34">
        <f t="shared" si="0"/>
        <v>3591896.912631203</v>
      </c>
      <c r="AB23" s="131">
        <f t="shared" si="1"/>
        <v>276.80887791555108</v>
      </c>
      <c r="AC23" s="137">
        <v>0</v>
      </c>
      <c r="AD23" s="3">
        <v>0</v>
      </c>
      <c r="AE23" s="3">
        <v>100</v>
      </c>
      <c r="AF23" s="3">
        <v>12</v>
      </c>
      <c r="AG23" s="3">
        <f t="shared" si="9"/>
        <v>112</v>
      </c>
      <c r="AH23" s="3">
        <f t="shared" si="10"/>
        <v>1242588.48</v>
      </c>
      <c r="AI23" s="46">
        <f t="shared" si="2"/>
        <v>95.759853700151581</v>
      </c>
      <c r="AJ23" s="146">
        <v>392.7</v>
      </c>
      <c r="AK23" s="3">
        <v>3377220</v>
      </c>
      <c r="AL23" s="42">
        <f t="shared" si="3"/>
        <v>260.26484094977764</v>
      </c>
      <c r="AM23" s="7"/>
    </row>
    <row r="24" spans="1:39" x14ac:dyDescent="0.25">
      <c r="A24" s="36"/>
      <c r="B24" s="61">
        <v>13</v>
      </c>
      <c r="C24" s="154">
        <v>3</v>
      </c>
      <c r="D24" s="156">
        <v>69</v>
      </c>
      <c r="E24" s="109">
        <v>10400.000000000091</v>
      </c>
      <c r="F24" s="3">
        <v>11310717.600000098</v>
      </c>
      <c r="G24" s="38">
        <v>2360.0000000000136</v>
      </c>
      <c r="H24" s="3">
        <v>3849994.2600000221</v>
      </c>
      <c r="I24" s="106">
        <f t="shared" si="4"/>
        <v>15160711.86000012</v>
      </c>
      <c r="J24" s="109">
        <v>1379.9999999999955</v>
      </c>
      <c r="K24" s="3">
        <v>1500845.2199999951</v>
      </c>
      <c r="L24" s="193">
        <v>379.99999999999898</v>
      </c>
      <c r="M24" s="194">
        <v>619914.32999999833</v>
      </c>
      <c r="N24" s="97">
        <f t="shared" si="5"/>
        <v>2120759.5499999933</v>
      </c>
      <c r="O24" s="111">
        <f t="shared" si="6"/>
        <v>17281471.410000116</v>
      </c>
      <c r="P24" s="114">
        <f t="shared" si="7"/>
        <v>14520.000000000098</v>
      </c>
      <c r="Q24" s="204"/>
      <c r="R24" s="238"/>
      <c r="S24" s="205"/>
      <c r="T24" s="250"/>
      <c r="U24" s="246">
        <f t="shared" si="11"/>
        <v>0</v>
      </c>
      <c r="V24" s="195">
        <f>Y24+W24</f>
        <v>987</v>
      </c>
      <c r="W24" s="3">
        <v>183</v>
      </c>
      <c r="X24" s="3">
        <v>3289530.5655447035</v>
      </c>
      <c r="Y24" s="34">
        <v>804</v>
      </c>
      <c r="Z24" s="34">
        <v>574860</v>
      </c>
      <c r="AA24" s="34">
        <f t="shared" si="0"/>
        <v>3864390.5655447035</v>
      </c>
      <c r="AB24" s="131">
        <f t="shared" si="1"/>
        <v>297.80855138525578</v>
      </c>
      <c r="AC24" s="137">
        <v>0</v>
      </c>
      <c r="AD24" s="3">
        <v>0</v>
      </c>
      <c r="AE24" s="3">
        <v>150</v>
      </c>
      <c r="AF24" s="3">
        <v>12</v>
      </c>
      <c r="AG24" s="3">
        <f t="shared" si="9"/>
        <v>162</v>
      </c>
      <c r="AH24" s="3">
        <f t="shared" si="10"/>
        <v>1797315.48</v>
      </c>
      <c r="AI24" s="46">
        <f t="shared" si="2"/>
        <v>138.50978838771925</v>
      </c>
      <c r="AJ24" s="146">
        <v>325</v>
      </c>
      <c r="AK24" s="3">
        <v>2795000</v>
      </c>
      <c r="AL24" s="42">
        <f t="shared" si="3"/>
        <v>215.39616325102554</v>
      </c>
      <c r="AM24" s="7"/>
    </row>
    <row r="25" spans="1:39" x14ac:dyDescent="0.25">
      <c r="A25" s="36"/>
      <c r="B25" s="61">
        <v>14</v>
      </c>
      <c r="C25" s="154">
        <v>3</v>
      </c>
      <c r="D25" s="156">
        <v>125</v>
      </c>
      <c r="E25" s="109">
        <v>9720.0000000000273</v>
      </c>
      <c r="F25" s="3">
        <v>10571170.68000003</v>
      </c>
      <c r="G25" s="38">
        <v>2159.9999999999964</v>
      </c>
      <c r="H25" s="3">
        <v>3523723.5599999945</v>
      </c>
      <c r="I25" s="106">
        <f t="shared" si="4"/>
        <v>14094894.240000024</v>
      </c>
      <c r="J25" s="109">
        <v>1540.0000000000064</v>
      </c>
      <c r="K25" s="3">
        <v>1674856.2600000068</v>
      </c>
      <c r="L25" s="193">
        <v>379.99999999999898</v>
      </c>
      <c r="M25" s="194">
        <v>619914.32999999833</v>
      </c>
      <c r="N25" s="97">
        <f t="shared" si="5"/>
        <v>2294770.590000005</v>
      </c>
      <c r="O25" s="111">
        <f t="shared" si="6"/>
        <v>16389664.83000003</v>
      </c>
      <c r="P25" s="114">
        <f t="shared" si="7"/>
        <v>13800.000000000029</v>
      </c>
      <c r="Q25" s="204"/>
      <c r="R25" s="238"/>
      <c r="S25" s="205"/>
      <c r="T25" s="250"/>
      <c r="U25" s="246">
        <f t="shared" si="11"/>
        <v>0</v>
      </c>
      <c r="V25" s="195">
        <f t="shared" si="8"/>
        <v>981</v>
      </c>
      <c r="W25" s="3">
        <v>186</v>
      </c>
      <c r="X25" s="3">
        <v>3343457.2961274036</v>
      </c>
      <c r="Y25" s="34">
        <v>795</v>
      </c>
      <c r="Z25" s="34">
        <v>568425</v>
      </c>
      <c r="AA25" s="34">
        <f t="shared" si="0"/>
        <v>3911882.2961274036</v>
      </c>
      <c r="AB25" s="131">
        <f t="shared" si="1"/>
        <v>301.46849290713948</v>
      </c>
      <c r="AC25" s="137">
        <v>0</v>
      </c>
      <c r="AD25" s="3">
        <v>0</v>
      </c>
      <c r="AE25" s="3">
        <v>250</v>
      </c>
      <c r="AF25" s="3">
        <v>36</v>
      </c>
      <c r="AG25" s="3">
        <f t="shared" si="9"/>
        <v>286</v>
      </c>
      <c r="AH25" s="3">
        <f t="shared" si="10"/>
        <v>3173038.44</v>
      </c>
      <c r="AI25" s="46">
        <f t="shared" si="2"/>
        <v>244.52962641288707</v>
      </c>
      <c r="AJ25" s="146">
        <v>316.5</v>
      </c>
      <c r="AK25" s="3">
        <v>2721900</v>
      </c>
      <c r="AL25" s="42">
        <f t="shared" si="3"/>
        <v>209.76272513522949</v>
      </c>
      <c r="AM25" s="7"/>
    </row>
    <row r="26" spans="1:39" x14ac:dyDescent="0.25">
      <c r="A26" s="36"/>
      <c r="B26" s="61">
        <v>15</v>
      </c>
      <c r="C26" s="154">
        <v>3</v>
      </c>
      <c r="D26" s="156">
        <v>40</v>
      </c>
      <c r="E26" s="109">
        <v>9639.9999999998727</v>
      </c>
      <c r="F26" s="3">
        <v>10484165.15999986</v>
      </c>
      <c r="G26" s="38">
        <v>1960.000000000008</v>
      </c>
      <c r="H26" s="3">
        <v>3197452.8600000129</v>
      </c>
      <c r="I26" s="106">
        <f t="shared" si="4"/>
        <v>13681618.019999873</v>
      </c>
      <c r="J26" s="109">
        <v>1319.9999999999932</v>
      </c>
      <c r="K26" s="3">
        <v>1435591.0799999926</v>
      </c>
      <c r="L26" s="193">
        <v>339.99999999999989</v>
      </c>
      <c r="M26" s="194">
        <v>554660.18999999983</v>
      </c>
      <c r="N26" s="97">
        <f t="shared" si="5"/>
        <v>1990251.2699999926</v>
      </c>
      <c r="O26" s="111">
        <f t="shared" si="6"/>
        <v>15671869.289999865</v>
      </c>
      <c r="P26" s="114">
        <f t="shared" si="7"/>
        <v>13259.999999999873</v>
      </c>
      <c r="Q26" s="204"/>
      <c r="R26" s="238"/>
      <c r="S26" s="205"/>
      <c r="T26" s="250"/>
      <c r="U26" s="246">
        <f t="shared" si="11"/>
        <v>0</v>
      </c>
      <c r="V26" s="195">
        <f t="shared" si="8"/>
        <v>966</v>
      </c>
      <c r="W26" s="3">
        <v>101</v>
      </c>
      <c r="X26" s="3">
        <v>1815533.2629509019</v>
      </c>
      <c r="Y26" s="34">
        <v>865</v>
      </c>
      <c r="Z26" s="34">
        <v>618475</v>
      </c>
      <c r="AA26" s="34">
        <f t="shared" si="0"/>
        <v>2434008.2629509019</v>
      </c>
      <c r="AB26" s="131">
        <f t="shared" si="1"/>
        <v>187.57640113091861</v>
      </c>
      <c r="AC26" s="137">
        <v>0</v>
      </c>
      <c r="AD26" s="3">
        <v>0</v>
      </c>
      <c r="AE26" s="3">
        <v>100</v>
      </c>
      <c r="AF26" s="3">
        <v>12</v>
      </c>
      <c r="AG26" s="3">
        <f t="shared" si="9"/>
        <v>112</v>
      </c>
      <c r="AH26" s="3">
        <f t="shared" si="10"/>
        <v>1242588.48</v>
      </c>
      <c r="AI26" s="46">
        <f t="shared" si="2"/>
        <v>95.759853700151581</v>
      </c>
      <c r="AJ26" s="146">
        <v>301.7</v>
      </c>
      <c r="AK26" s="3">
        <v>2594620</v>
      </c>
      <c r="AL26" s="42">
        <f t="shared" si="3"/>
        <v>199.95391523949047</v>
      </c>
      <c r="AM26" s="7"/>
    </row>
    <row r="27" spans="1:39" x14ac:dyDescent="0.25">
      <c r="A27" s="36"/>
      <c r="B27" s="61">
        <v>16</v>
      </c>
      <c r="C27" s="154">
        <v>3</v>
      </c>
      <c r="D27" s="156">
        <v>45</v>
      </c>
      <c r="E27" s="109">
        <v>10000</v>
      </c>
      <c r="F27" s="3">
        <v>10875690</v>
      </c>
      <c r="G27" s="38">
        <v>2119.9999999999764</v>
      </c>
      <c r="H27" s="3">
        <v>3458469.4199999617</v>
      </c>
      <c r="I27" s="106">
        <f t="shared" si="4"/>
        <v>14334159.419999961</v>
      </c>
      <c r="J27" s="109">
        <v>1379.9999999999955</v>
      </c>
      <c r="K27" s="3">
        <v>1500845.2199999951</v>
      </c>
      <c r="L27" s="193">
        <v>380.00000000000256</v>
      </c>
      <c r="M27" s="194">
        <v>619914.33000000415</v>
      </c>
      <c r="N27" s="97">
        <f t="shared" si="5"/>
        <v>2120759.5499999993</v>
      </c>
      <c r="O27" s="111">
        <f t="shared" si="6"/>
        <v>16454918.96999996</v>
      </c>
      <c r="P27" s="114">
        <f t="shared" si="7"/>
        <v>13879.999999999975</v>
      </c>
      <c r="Q27" s="204"/>
      <c r="R27" s="238"/>
      <c r="S27" s="205"/>
      <c r="T27" s="250"/>
      <c r="U27" s="246">
        <f t="shared" si="11"/>
        <v>0</v>
      </c>
      <c r="V27" s="195">
        <f t="shared" si="8"/>
        <v>1016</v>
      </c>
      <c r="W27" s="3">
        <v>166</v>
      </c>
      <c r="X27" s="3">
        <v>2983945.7589094033</v>
      </c>
      <c r="Y27" s="34">
        <v>850</v>
      </c>
      <c r="Z27" s="34">
        <v>607750</v>
      </c>
      <c r="AA27" s="34">
        <f t="shared" si="0"/>
        <v>3591695.7589094033</v>
      </c>
      <c r="AB27" s="131">
        <f t="shared" si="1"/>
        <v>276.7933760408107</v>
      </c>
      <c r="AC27" s="137">
        <v>0</v>
      </c>
      <c r="AD27" s="3">
        <v>0</v>
      </c>
      <c r="AE27" s="3">
        <v>100</v>
      </c>
      <c r="AF27" s="3">
        <v>12</v>
      </c>
      <c r="AG27" s="3">
        <f t="shared" si="9"/>
        <v>112</v>
      </c>
      <c r="AH27" s="3">
        <f t="shared" si="10"/>
        <v>1242588.48</v>
      </c>
      <c r="AI27" s="46">
        <f t="shared" si="2"/>
        <v>95.759853700151581</v>
      </c>
      <c r="AJ27" s="146">
        <v>392.6</v>
      </c>
      <c r="AK27" s="3">
        <v>3376360</v>
      </c>
      <c r="AL27" s="42">
        <f t="shared" si="3"/>
        <v>260.19856520723886</v>
      </c>
      <c r="AM27" s="7"/>
    </row>
    <row r="28" spans="1:39" x14ac:dyDescent="0.25">
      <c r="A28" s="36"/>
      <c r="B28" s="61">
        <v>17</v>
      </c>
      <c r="C28" s="154">
        <v>3</v>
      </c>
      <c r="D28" s="156">
        <v>31</v>
      </c>
      <c r="E28" s="109">
        <v>10480.000000000018</v>
      </c>
      <c r="F28" s="3">
        <v>11397723.12000002</v>
      </c>
      <c r="G28" s="38">
        <v>2160.000000000025</v>
      </c>
      <c r="H28" s="3">
        <v>3523723.560000041</v>
      </c>
      <c r="I28" s="106">
        <f t="shared" si="4"/>
        <v>14921446.680000061</v>
      </c>
      <c r="J28" s="109">
        <v>1500</v>
      </c>
      <c r="K28" s="3">
        <v>1631353.5</v>
      </c>
      <c r="L28" s="193">
        <v>299.99999999999716</v>
      </c>
      <c r="M28" s="194">
        <v>489406.04999999539</v>
      </c>
      <c r="N28" s="97">
        <f t="shared" si="5"/>
        <v>2120759.5499999952</v>
      </c>
      <c r="O28" s="111">
        <f t="shared" si="6"/>
        <v>17042206.230000056</v>
      </c>
      <c r="P28" s="114">
        <f t="shared" si="7"/>
        <v>14440.00000000004</v>
      </c>
      <c r="Q28" s="204"/>
      <c r="R28" s="238"/>
      <c r="S28" s="205"/>
      <c r="T28" s="250"/>
      <c r="U28" s="246">
        <f t="shared" si="11"/>
        <v>0</v>
      </c>
      <c r="V28" s="195">
        <f t="shared" si="8"/>
        <v>1046</v>
      </c>
      <c r="W28" s="3">
        <v>185</v>
      </c>
      <c r="X28" s="3">
        <v>3325481.7192665036</v>
      </c>
      <c r="Y28" s="34">
        <v>861</v>
      </c>
      <c r="Z28" s="34">
        <v>615615</v>
      </c>
      <c r="AA28" s="34">
        <f t="shared" si="0"/>
        <v>3941096.7192665036</v>
      </c>
      <c r="AB28" s="131">
        <f t="shared" si="1"/>
        <v>303.7198970773556</v>
      </c>
      <c r="AC28" s="137">
        <v>0</v>
      </c>
      <c r="AD28" s="3">
        <v>0</v>
      </c>
      <c r="AE28" s="3">
        <v>100</v>
      </c>
      <c r="AF28" s="3">
        <v>12</v>
      </c>
      <c r="AG28" s="3">
        <f t="shared" si="9"/>
        <v>112</v>
      </c>
      <c r="AH28" s="3">
        <f t="shared" si="10"/>
        <v>1242588.48</v>
      </c>
      <c r="AI28" s="46">
        <f t="shared" si="2"/>
        <v>95.759853700151581</v>
      </c>
      <c r="AJ28" s="146">
        <v>366.7</v>
      </c>
      <c r="AK28" s="3">
        <v>3153620</v>
      </c>
      <c r="AL28" s="42">
        <f t="shared" si="3"/>
        <v>243.03314788969558</v>
      </c>
      <c r="AM28" s="7"/>
    </row>
    <row r="29" spans="1:39" x14ac:dyDescent="0.25">
      <c r="A29" s="36"/>
      <c r="B29" s="61">
        <v>18</v>
      </c>
      <c r="C29" s="154">
        <v>2</v>
      </c>
      <c r="D29" s="156">
        <v>28</v>
      </c>
      <c r="E29" s="109">
        <v>9720.0000000000273</v>
      </c>
      <c r="F29" s="3">
        <v>10571170.68000003</v>
      </c>
      <c r="G29" s="38">
        <v>2079.9999999999841</v>
      </c>
      <c r="H29" s="3">
        <v>3393215.2799999742</v>
      </c>
      <c r="I29" s="106">
        <f t="shared" si="4"/>
        <v>13964385.960000005</v>
      </c>
      <c r="J29" s="109">
        <v>1200.0000000000027</v>
      </c>
      <c r="K29" s="3">
        <v>1305082.8000000031</v>
      </c>
      <c r="L29" s="193">
        <v>300.00000000000068</v>
      </c>
      <c r="M29" s="194">
        <v>489406.05000000109</v>
      </c>
      <c r="N29" s="97">
        <f t="shared" si="5"/>
        <v>1794488.8500000043</v>
      </c>
      <c r="O29" s="111">
        <f t="shared" si="6"/>
        <v>15758874.81000001</v>
      </c>
      <c r="P29" s="114">
        <f t="shared" si="7"/>
        <v>13300.000000000015</v>
      </c>
      <c r="Q29" s="204"/>
      <c r="R29" s="238"/>
      <c r="S29" s="205"/>
      <c r="T29" s="250"/>
      <c r="U29" s="246">
        <f t="shared" si="11"/>
        <v>0</v>
      </c>
      <c r="V29" s="195">
        <f t="shared" si="8"/>
        <v>984</v>
      </c>
      <c r="W29" s="3">
        <v>183</v>
      </c>
      <c r="X29" s="3">
        <v>3289530.5655447035</v>
      </c>
      <c r="Y29" s="34">
        <v>801</v>
      </c>
      <c r="Z29" s="34">
        <v>572715</v>
      </c>
      <c r="AA29" s="34">
        <f t="shared" si="0"/>
        <v>3862245.5655447035</v>
      </c>
      <c r="AB29" s="131">
        <f t="shared" si="1"/>
        <v>297.64324735299334</v>
      </c>
      <c r="AC29" s="137">
        <v>0</v>
      </c>
      <c r="AD29" s="3">
        <v>0</v>
      </c>
      <c r="AE29" s="3">
        <v>100</v>
      </c>
      <c r="AF29" s="3">
        <v>12</v>
      </c>
      <c r="AG29" s="3">
        <f t="shared" si="9"/>
        <v>112</v>
      </c>
      <c r="AH29" s="3">
        <f t="shared" si="10"/>
        <v>1242588.48</v>
      </c>
      <c r="AI29" s="46">
        <f t="shared" si="2"/>
        <v>95.759853700151581</v>
      </c>
      <c r="AJ29" s="146">
        <v>398.7</v>
      </c>
      <c r="AK29" s="3">
        <v>3428820</v>
      </c>
      <c r="AL29" s="42">
        <f t="shared" si="3"/>
        <v>264.24138550210427</v>
      </c>
      <c r="AM29" s="7"/>
    </row>
    <row r="30" spans="1:39" x14ac:dyDescent="0.25">
      <c r="A30" s="36"/>
      <c r="B30" s="61">
        <v>19</v>
      </c>
      <c r="C30" s="154">
        <v>2</v>
      </c>
      <c r="D30" s="156">
        <v>31</v>
      </c>
      <c r="E30" s="109">
        <v>10079.999999999927</v>
      </c>
      <c r="F30" s="3">
        <v>10962695.519999921</v>
      </c>
      <c r="G30" s="38">
        <v>1920.0000000000159</v>
      </c>
      <c r="H30" s="3">
        <v>3132198.7200000263</v>
      </c>
      <c r="I30" s="106">
        <f t="shared" si="4"/>
        <v>14094894.239999948</v>
      </c>
      <c r="J30" s="109">
        <v>1299.9999999999973</v>
      </c>
      <c r="K30" s="3">
        <v>1413839.6999999972</v>
      </c>
      <c r="L30" s="193">
        <v>300.00000000000068</v>
      </c>
      <c r="M30" s="194">
        <v>489406.05000000109</v>
      </c>
      <c r="N30" s="97">
        <f t="shared" si="5"/>
        <v>1903245.7499999981</v>
      </c>
      <c r="O30" s="111">
        <f t="shared" si="6"/>
        <v>15998139.989999946</v>
      </c>
      <c r="P30" s="114">
        <f t="shared" si="7"/>
        <v>13599.999999999942</v>
      </c>
      <c r="Q30" s="204"/>
      <c r="R30" s="238"/>
      <c r="S30" s="205"/>
      <c r="T30" s="250"/>
      <c r="U30" s="246">
        <f t="shared" si="11"/>
        <v>0</v>
      </c>
      <c r="V30" s="195">
        <f t="shared" si="8"/>
        <v>981</v>
      </c>
      <c r="W30" s="3">
        <v>100</v>
      </c>
      <c r="X30" s="3">
        <v>1797557.6860900018</v>
      </c>
      <c r="Y30" s="34">
        <v>881</v>
      </c>
      <c r="Z30" s="34">
        <v>629915</v>
      </c>
      <c r="AA30" s="34">
        <f t="shared" si="0"/>
        <v>2427472.6860900018</v>
      </c>
      <c r="AB30" s="131">
        <f t="shared" si="1"/>
        <v>187.07273809676119</v>
      </c>
      <c r="AC30" s="137">
        <v>0</v>
      </c>
      <c r="AD30" s="3">
        <v>0</v>
      </c>
      <c r="AE30" s="3">
        <v>100</v>
      </c>
      <c r="AF30" s="3">
        <v>12</v>
      </c>
      <c r="AG30" s="3">
        <f t="shared" si="9"/>
        <v>112</v>
      </c>
      <c r="AH30" s="3">
        <f t="shared" si="10"/>
        <v>1242588.48</v>
      </c>
      <c r="AI30" s="46">
        <f t="shared" si="2"/>
        <v>95.759853700151581</v>
      </c>
      <c r="AJ30" s="146">
        <v>327.3</v>
      </c>
      <c r="AK30" s="3">
        <v>2814780</v>
      </c>
      <c r="AL30" s="42">
        <f t="shared" si="3"/>
        <v>216.92050532941741</v>
      </c>
      <c r="AM30" s="7"/>
    </row>
    <row r="31" spans="1:39" x14ac:dyDescent="0.25">
      <c r="A31" s="36"/>
      <c r="B31" s="61">
        <v>20</v>
      </c>
      <c r="C31" s="154">
        <v>2</v>
      </c>
      <c r="D31" s="156">
        <v>55</v>
      </c>
      <c r="E31" s="109">
        <v>9760.0000000002183</v>
      </c>
      <c r="F31" s="3">
        <v>10614673.440000238</v>
      </c>
      <c r="G31" s="38">
        <v>1959.9999999999795</v>
      </c>
      <c r="H31" s="3">
        <v>3197452.8599999673</v>
      </c>
      <c r="I31" s="106">
        <f t="shared" si="4"/>
        <v>13812126.300000206</v>
      </c>
      <c r="J31" s="109">
        <v>1280.0000000000011</v>
      </c>
      <c r="K31" s="3">
        <v>1392088.3200000012</v>
      </c>
      <c r="L31" s="193">
        <v>339.99999999999989</v>
      </c>
      <c r="M31" s="194">
        <v>554660.18999999983</v>
      </c>
      <c r="N31" s="97">
        <f t="shared" si="5"/>
        <v>1946748.5100000012</v>
      </c>
      <c r="O31" s="111">
        <f t="shared" si="6"/>
        <v>15758874.810000207</v>
      </c>
      <c r="P31" s="114">
        <f t="shared" si="7"/>
        <v>13340.000000000198</v>
      </c>
      <c r="Q31" s="204"/>
      <c r="R31" s="239"/>
      <c r="S31" s="205"/>
      <c r="T31" s="250"/>
      <c r="U31" s="246">
        <f t="shared" si="11"/>
        <v>0</v>
      </c>
      <c r="V31" s="195">
        <f t="shared" si="8"/>
        <v>1011</v>
      </c>
      <c r="W31" s="3">
        <v>171</v>
      </c>
      <c r="X31" s="3">
        <v>3073823.6432139031</v>
      </c>
      <c r="Y31" s="34">
        <v>840</v>
      </c>
      <c r="Z31" s="34">
        <v>600600</v>
      </c>
      <c r="AA31" s="34">
        <f t="shared" si="0"/>
        <v>3674423.6432139031</v>
      </c>
      <c r="AB31" s="131">
        <f t="shared" si="1"/>
        <v>283.16878529772089</v>
      </c>
      <c r="AC31" s="137">
        <v>0</v>
      </c>
      <c r="AD31" s="3">
        <v>0</v>
      </c>
      <c r="AE31" s="3">
        <v>100</v>
      </c>
      <c r="AF31" s="3">
        <v>12</v>
      </c>
      <c r="AG31" s="3">
        <f t="shared" si="9"/>
        <v>112</v>
      </c>
      <c r="AH31" s="3">
        <f t="shared" si="10"/>
        <v>1242588.48</v>
      </c>
      <c r="AI31" s="46">
        <f t="shared" si="2"/>
        <v>95.759853700151581</v>
      </c>
      <c r="AJ31" s="146">
        <v>345.4</v>
      </c>
      <c r="AK31" s="3">
        <v>2970440</v>
      </c>
      <c r="AL31" s="42">
        <f t="shared" si="3"/>
        <v>228.91641472893608</v>
      </c>
      <c r="AM31" s="7"/>
    </row>
    <row r="32" spans="1:39" x14ac:dyDescent="0.25">
      <c r="A32" s="36"/>
      <c r="B32" s="61">
        <v>21</v>
      </c>
      <c r="C32" s="154">
        <v>2</v>
      </c>
      <c r="D32" s="156">
        <v>68</v>
      </c>
      <c r="E32" s="109">
        <v>9879.9999999998818</v>
      </c>
      <c r="F32" s="3">
        <v>10745181.719999872</v>
      </c>
      <c r="G32" s="38">
        <v>1960.0000000000364</v>
      </c>
      <c r="H32" s="3">
        <v>3197452.8600000595</v>
      </c>
      <c r="I32" s="106">
        <f t="shared" si="4"/>
        <v>13942634.579999931</v>
      </c>
      <c r="J32" s="109">
        <v>1340.0000000000034</v>
      </c>
      <c r="K32" s="3">
        <v>1457342.4600000037</v>
      </c>
      <c r="L32" s="193">
        <v>339.99999999999989</v>
      </c>
      <c r="M32" s="194">
        <v>554660.18999999983</v>
      </c>
      <c r="N32" s="97">
        <f t="shared" si="5"/>
        <v>2012002.6500000036</v>
      </c>
      <c r="O32" s="111">
        <f t="shared" si="6"/>
        <v>15954637.229999935</v>
      </c>
      <c r="P32" s="114">
        <f t="shared" si="7"/>
        <v>13519.999999999922</v>
      </c>
      <c r="Q32" s="204"/>
      <c r="R32" s="239"/>
      <c r="S32" s="205"/>
      <c r="T32" s="250"/>
      <c r="U32" s="246">
        <f t="shared" si="11"/>
        <v>0</v>
      </c>
      <c r="V32" s="195">
        <f t="shared" si="8"/>
        <v>1000</v>
      </c>
      <c r="W32" s="3">
        <v>157</v>
      </c>
      <c r="X32" s="3">
        <v>2822165.567161303</v>
      </c>
      <c r="Y32" s="34">
        <v>843</v>
      </c>
      <c r="Z32" s="34">
        <v>602745</v>
      </c>
      <c r="AA32" s="34">
        <f t="shared" si="0"/>
        <v>3424910.567161303</v>
      </c>
      <c r="AB32" s="131">
        <f t="shared" si="1"/>
        <v>263.94010577618553</v>
      </c>
      <c r="AC32" s="137">
        <v>0</v>
      </c>
      <c r="AD32" s="3">
        <v>0</v>
      </c>
      <c r="AE32" s="3">
        <v>150</v>
      </c>
      <c r="AF32" s="3">
        <v>12</v>
      </c>
      <c r="AG32" s="3">
        <f t="shared" si="9"/>
        <v>162</v>
      </c>
      <c r="AH32" s="3">
        <f t="shared" si="10"/>
        <v>1797315.48</v>
      </c>
      <c r="AI32" s="46">
        <f t="shared" si="2"/>
        <v>138.50978838771925</v>
      </c>
      <c r="AJ32" s="146">
        <v>392.7</v>
      </c>
      <c r="AK32" s="3">
        <v>3377220</v>
      </c>
      <c r="AL32" s="42">
        <f t="shared" si="3"/>
        <v>260.26484094977764</v>
      </c>
      <c r="AM32" s="7"/>
    </row>
    <row r="33" spans="1:39" x14ac:dyDescent="0.25">
      <c r="A33" s="36"/>
      <c r="B33" s="61">
        <v>22</v>
      </c>
      <c r="C33" s="154">
        <v>1</v>
      </c>
      <c r="D33" s="156">
        <v>13</v>
      </c>
      <c r="E33" s="109">
        <v>9400.0000000000909</v>
      </c>
      <c r="F33" s="3">
        <v>10223148.600000098</v>
      </c>
      <c r="G33" s="38">
        <v>1919.9999999999591</v>
      </c>
      <c r="H33" s="3">
        <v>3132198.7199999336</v>
      </c>
      <c r="I33" s="106">
        <f t="shared" si="4"/>
        <v>13355347.320000032</v>
      </c>
      <c r="J33" s="109">
        <v>1140.0000000000005</v>
      </c>
      <c r="K33" s="3">
        <v>1239828.6600000004</v>
      </c>
      <c r="L33" s="193">
        <v>300.00000000000068</v>
      </c>
      <c r="M33" s="194">
        <v>489406.05000000109</v>
      </c>
      <c r="N33" s="97">
        <f t="shared" si="5"/>
        <v>1729234.7100000014</v>
      </c>
      <c r="O33" s="111">
        <f t="shared" si="6"/>
        <v>15084582.030000033</v>
      </c>
      <c r="P33" s="114">
        <f t="shared" si="7"/>
        <v>12760.000000000051</v>
      </c>
      <c r="Q33" s="204" t="s">
        <v>79</v>
      </c>
      <c r="R33" s="240" t="s">
        <v>79</v>
      </c>
      <c r="S33" s="205"/>
      <c r="T33" s="250"/>
      <c r="U33" s="246">
        <f t="shared" ref="U33:U39" si="12">T33/$AL$48</f>
        <v>0</v>
      </c>
      <c r="V33" s="195">
        <f t="shared" si="8"/>
        <v>956</v>
      </c>
      <c r="W33" s="3">
        <v>182</v>
      </c>
      <c r="X33" s="3">
        <v>3271554.9886838035</v>
      </c>
      <c r="Y33" s="34">
        <v>774</v>
      </c>
      <c r="Z33" s="34">
        <v>553410</v>
      </c>
      <c r="AA33" s="34">
        <f t="shared" si="0"/>
        <v>3824964.9886838035</v>
      </c>
      <c r="AB33" s="131">
        <f t="shared" si="1"/>
        <v>294.77022652307465</v>
      </c>
      <c r="AC33" s="137">
        <v>0</v>
      </c>
      <c r="AD33" s="3">
        <v>0</v>
      </c>
      <c r="AE33" s="3">
        <v>100</v>
      </c>
      <c r="AF33" s="3">
        <v>12</v>
      </c>
      <c r="AG33" s="3">
        <f t="shared" si="9"/>
        <v>112</v>
      </c>
      <c r="AH33" s="3">
        <f t="shared" si="10"/>
        <v>1242588.48</v>
      </c>
      <c r="AI33" s="46">
        <f t="shared" si="2"/>
        <v>95.759853700151581</v>
      </c>
      <c r="AJ33" s="146">
        <v>338</v>
      </c>
      <c r="AK33" s="3">
        <v>2906800</v>
      </c>
      <c r="AL33" s="42">
        <f t="shared" si="3"/>
        <v>224.01200978106655</v>
      </c>
      <c r="AM33" s="7"/>
    </row>
    <row r="34" spans="1:39" x14ac:dyDescent="0.25">
      <c r="A34" s="36"/>
      <c r="B34" s="61">
        <v>23</v>
      </c>
      <c r="C34" s="154">
        <v>4</v>
      </c>
      <c r="D34" s="156">
        <v>33</v>
      </c>
      <c r="E34" s="109">
        <v>9559.9999999999454</v>
      </c>
      <c r="F34" s="3">
        <v>10397159.639999941</v>
      </c>
      <c r="G34" s="38">
        <v>1920.0000000000159</v>
      </c>
      <c r="H34" s="3">
        <v>3132198.7200000263</v>
      </c>
      <c r="I34" s="106">
        <f t="shared" si="4"/>
        <v>13529358.359999968</v>
      </c>
      <c r="J34" s="109">
        <v>1500</v>
      </c>
      <c r="K34" s="3">
        <v>1631353.5</v>
      </c>
      <c r="L34" s="193">
        <v>359.99999999999943</v>
      </c>
      <c r="M34" s="194">
        <v>587287.25999999908</v>
      </c>
      <c r="N34" s="97">
        <f t="shared" si="5"/>
        <v>2218640.7599999988</v>
      </c>
      <c r="O34" s="111">
        <f t="shared" si="6"/>
        <v>15747999.119999968</v>
      </c>
      <c r="P34" s="114">
        <f t="shared" si="7"/>
        <v>13339.99999999996</v>
      </c>
      <c r="Q34" s="207" t="s">
        <v>80</v>
      </c>
      <c r="R34" s="241" t="s">
        <v>80</v>
      </c>
      <c r="S34" s="205"/>
      <c r="T34" s="250"/>
      <c r="U34" s="246">
        <f t="shared" si="12"/>
        <v>0</v>
      </c>
      <c r="V34" s="195">
        <f t="shared" si="8"/>
        <v>931</v>
      </c>
      <c r="W34" s="3">
        <v>181</v>
      </c>
      <c r="X34" s="3">
        <v>3253579.4118229034</v>
      </c>
      <c r="Y34" s="34">
        <v>750</v>
      </c>
      <c r="Z34" s="34">
        <v>536250</v>
      </c>
      <c r="AA34" s="34">
        <f t="shared" si="0"/>
        <v>3789829.4118229034</v>
      </c>
      <c r="AB34" s="131">
        <f t="shared" si="1"/>
        <v>292.06250972541829</v>
      </c>
      <c r="AC34" s="137">
        <v>0</v>
      </c>
      <c r="AD34" s="3">
        <v>0</v>
      </c>
      <c r="AE34" s="3">
        <v>100</v>
      </c>
      <c r="AF34" s="3">
        <v>12</v>
      </c>
      <c r="AG34" s="3">
        <f t="shared" si="9"/>
        <v>112</v>
      </c>
      <c r="AH34" s="3">
        <f t="shared" ref="AH34:AH39" si="13">(AG34*10877)*1.02</f>
        <v>1242588.48</v>
      </c>
      <c r="AI34" s="46">
        <f t="shared" si="2"/>
        <v>95.759853700151581</v>
      </c>
      <c r="AJ34" s="146">
        <v>318.2</v>
      </c>
      <c r="AK34" s="3">
        <v>2736520</v>
      </c>
      <c r="AL34" s="42">
        <f t="shared" si="3"/>
        <v>210.88941275838869</v>
      </c>
      <c r="AM34" s="7"/>
    </row>
    <row r="35" spans="1:39" x14ac:dyDescent="0.25">
      <c r="A35" s="36"/>
      <c r="B35" s="61">
        <v>24</v>
      </c>
      <c r="C35" s="154">
        <v>2</v>
      </c>
      <c r="D35" s="156">
        <v>59</v>
      </c>
      <c r="E35" s="109">
        <v>9359.9999999999</v>
      </c>
      <c r="F35" s="3">
        <v>10179645.839999892</v>
      </c>
      <c r="G35" s="38">
        <v>1879.9999999999955</v>
      </c>
      <c r="H35" s="3">
        <v>3066944.5799999931</v>
      </c>
      <c r="I35" s="106">
        <f t="shared" si="4"/>
        <v>13246590.419999884</v>
      </c>
      <c r="J35" s="109">
        <v>1340.0000000000034</v>
      </c>
      <c r="K35" s="3">
        <v>1457342.4600000037</v>
      </c>
      <c r="L35" s="193">
        <v>320.00000000000028</v>
      </c>
      <c r="M35" s="194">
        <v>522033.1200000004</v>
      </c>
      <c r="N35" s="97">
        <f t="shared" si="5"/>
        <v>1979375.580000004</v>
      </c>
      <c r="O35" s="111">
        <f t="shared" si="6"/>
        <v>15225965.999999888</v>
      </c>
      <c r="P35" s="114">
        <f t="shared" si="7"/>
        <v>12899.999999999898</v>
      </c>
      <c r="Q35" s="204"/>
      <c r="R35" s="239"/>
      <c r="S35" s="205"/>
      <c r="T35" s="250"/>
      <c r="U35" s="246">
        <f t="shared" si="12"/>
        <v>0</v>
      </c>
      <c r="V35" s="195">
        <f t="shared" si="8"/>
        <v>978</v>
      </c>
      <c r="W35" s="3">
        <v>179</v>
      </c>
      <c r="X35" s="3">
        <v>3217628.2581011034</v>
      </c>
      <c r="Y35" s="34">
        <v>799</v>
      </c>
      <c r="Z35" s="34">
        <v>571285</v>
      </c>
      <c r="AA35" s="34">
        <f t="shared" si="0"/>
        <v>3788913.2581011034</v>
      </c>
      <c r="AB35" s="131">
        <f t="shared" si="1"/>
        <v>291.99190650659045</v>
      </c>
      <c r="AC35" s="137">
        <v>0</v>
      </c>
      <c r="AD35" s="3">
        <v>0</v>
      </c>
      <c r="AE35" s="3">
        <v>100</v>
      </c>
      <c r="AF35" s="3">
        <v>12</v>
      </c>
      <c r="AG35" s="3">
        <f t="shared" si="9"/>
        <v>112</v>
      </c>
      <c r="AH35" s="3">
        <f t="shared" si="13"/>
        <v>1242588.48</v>
      </c>
      <c r="AI35" s="46">
        <f t="shared" si="2"/>
        <v>95.759853700151581</v>
      </c>
      <c r="AJ35" s="146">
        <v>387.7</v>
      </c>
      <c r="AK35" s="3">
        <v>3334220</v>
      </c>
      <c r="AL35" s="42">
        <f t="shared" si="3"/>
        <v>256.95105382283879</v>
      </c>
      <c r="AM35" s="7"/>
    </row>
    <row r="36" spans="1:39" x14ac:dyDescent="0.25">
      <c r="A36" s="36"/>
      <c r="B36" s="61">
        <v>25</v>
      </c>
      <c r="C36" s="154">
        <v>1</v>
      </c>
      <c r="D36" s="156">
        <v>25</v>
      </c>
      <c r="E36" s="109">
        <v>9720.0000000000273</v>
      </c>
      <c r="F36" s="3">
        <v>10571170.68000003</v>
      </c>
      <c r="G36" s="38">
        <v>1879.9999999999955</v>
      </c>
      <c r="H36" s="3">
        <v>3066944.5799999931</v>
      </c>
      <c r="I36" s="106">
        <f t="shared" si="4"/>
        <v>13638115.260000022</v>
      </c>
      <c r="J36" s="109">
        <v>1340.0000000000034</v>
      </c>
      <c r="K36" s="3">
        <v>1457342.4600000037</v>
      </c>
      <c r="L36" s="193">
        <v>339.99999999999989</v>
      </c>
      <c r="M36" s="194">
        <v>554660.18999999983</v>
      </c>
      <c r="N36" s="97">
        <f t="shared" si="5"/>
        <v>2012002.6500000036</v>
      </c>
      <c r="O36" s="111">
        <f t="shared" si="6"/>
        <v>15650117.910000026</v>
      </c>
      <c r="P36" s="114">
        <f t="shared" si="7"/>
        <v>13280.000000000025</v>
      </c>
      <c r="Q36" s="204"/>
      <c r="R36" s="239"/>
      <c r="S36" s="205"/>
      <c r="T36" s="250"/>
      <c r="U36" s="246">
        <f t="shared" si="12"/>
        <v>0</v>
      </c>
      <c r="V36" s="195">
        <f t="shared" si="8"/>
        <v>997</v>
      </c>
      <c r="W36" s="3">
        <v>122</v>
      </c>
      <c r="X36" s="3">
        <v>2193020.3770298022</v>
      </c>
      <c r="Y36" s="34">
        <v>875</v>
      </c>
      <c r="Z36" s="34">
        <v>625625</v>
      </c>
      <c r="AA36" s="34">
        <f t="shared" si="0"/>
        <v>2818645.3770298022</v>
      </c>
      <c r="AB36" s="131">
        <f t="shared" si="1"/>
        <v>217.21838990249006</v>
      </c>
      <c r="AC36" s="137">
        <v>0</v>
      </c>
      <c r="AD36" s="3">
        <v>0</v>
      </c>
      <c r="AE36" s="3">
        <v>100</v>
      </c>
      <c r="AF36" s="3">
        <v>12</v>
      </c>
      <c r="AG36" s="3">
        <f t="shared" si="9"/>
        <v>112</v>
      </c>
      <c r="AH36" s="3">
        <f t="shared" si="13"/>
        <v>1242588.48</v>
      </c>
      <c r="AI36" s="46">
        <f t="shared" si="2"/>
        <v>95.759853700151581</v>
      </c>
      <c r="AJ36" s="146">
        <v>368.5</v>
      </c>
      <c r="AK36" s="3">
        <v>3169100</v>
      </c>
      <c r="AL36" s="42">
        <f t="shared" si="3"/>
        <v>244.22611125539356</v>
      </c>
      <c r="AM36" s="7"/>
    </row>
    <row r="37" spans="1:39" x14ac:dyDescent="0.25">
      <c r="A37" s="36"/>
      <c r="B37" s="61">
        <v>26</v>
      </c>
      <c r="C37" s="154">
        <v>1</v>
      </c>
      <c r="D37" s="156">
        <v>20</v>
      </c>
      <c r="E37" s="109">
        <v>9759.9999999999909</v>
      </c>
      <c r="F37" s="3">
        <v>10614673.43999999</v>
      </c>
      <c r="G37" s="38">
        <v>2000</v>
      </c>
      <c r="H37" s="3">
        <v>3262707</v>
      </c>
      <c r="I37" s="106">
        <f t="shared" si="4"/>
        <v>13877380.43999999</v>
      </c>
      <c r="J37" s="109">
        <v>1319.9999999999932</v>
      </c>
      <c r="K37" s="3">
        <v>1435591.0799999926</v>
      </c>
      <c r="L37" s="193">
        <v>300.00000000000068</v>
      </c>
      <c r="M37" s="194">
        <v>489406.05000000109</v>
      </c>
      <c r="N37" s="97">
        <f t="shared" si="5"/>
        <v>1924997.1299999938</v>
      </c>
      <c r="O37" s="111">
        <f t="shared" si="6"/>
        <v>15802377.569999984</v>
      </c>
      <c r="P37" s="114">
        <f t="shared" si="7"/>
        <v>13379.999999999985</v>
      </c>
      <c r="Q37" s="204"/>
      <c r="R37" s="239"/>
      <c r="S37" s="205"/>
      <c r="T37" s="250"/>
      <c r="U37" s="246">
        <f t="shared" si="12"/>
        <v>0</v>
      </c>
      <c r="V37" s="195">
        <f t="shared" si="8"/>
        <v>1015</v>
      </c>
      <c r="W37" s="3">
        <v>170</v>
      </c>
      <c r="X37" s="3">
        <v>3055848.066353003</v>
      </c>
      <c r="Y37" s="34">
        <v>845</v>
      </c>
      <c r="Z37" s="34">
        <v>604175</v>
      </c>
      <c r="AA37" s="34">
        <f t="shared" si="0"/>
        <v>3660023.066353003</v>
      </c>
      <c r="AB37" s="131">
        <f t="shared" si="1"/>
        <v>282.05900747860125</v>
      </c>
      <c r="AC37" s="137">
        <v>0</v>
      </c>
      <c r="AD37" s="3">
        <v>0</v>
      </c>
      <c r="AE37" s="3">
        <v>100</v>
      </c>
      <c r="AF37" s="3">
        <v>12</v>
      </c>
      <c r="AG37" s="3">
        <f t="shared" si="9"/>
        <v>112</v>
      </c>
      <c r="AH37" s="3">
        <f t="shared" si="13"/>
        <v>1242588.48</v>
      </c>
      <c r="AI37" s="46">
        <f t="shared" si="2"/>
        <v>95.759853700151581</v>
      </c>
      <c r="AJ37" s="146">
        <v>374.1</v>
      </c>
      <c r="AK37" s="3">
        <v>3217260</v>
      </c>
      <c r="AL37" s="42">
        <f t="shared" si="3"/>
        <v>247.93755283756508</v>
      </c>
      <c r="AM37" s="7"/>
    </row>
    <row r="38" spans="1:39" x14ac:dyDescent="0.25">
      <c r="A38" s="36"/>
      <c r="B38" s="61">
        <v>27</v>
      </c>
      <c r="C38" s="154">
        <v>2</v>
      </c>
      <c r="D38" s="156">
        <v>14</v>
      </c>
      <c r="E38" s="109">
        <v>9240.0000000000091</v>
      </c>
      <c r="F38" s="3">
        <v>10049137.56000001</v>
      </c>
      <c r="G38" s="38">
        <v>1840.0000000000318</v>
      </c>
      <c r="H38" s="3">
        <v>3001690.4400000521</v>
      </c>
      <c r="I38" s="106">
        <f t="shared" si="4"/>
        <v>13050828.000000061</v>
      </c>
      <c r="J38" s="109">
        <v>1359.9999999999995</v>
      </c>
      <c r="K38" s="3">
        <v>1479093.8399999996</v>
      </c>
      <c r="L38" s="193">
        <v>300.00000000000068</v>
      </c>
      <c r="M38" s="194">
        <v>489406.05000000109</v>
      </c>
      <c r="N38" s="97">
        <f t="shared" si="5"/>
        <v>1968499.8900000006</v>
      </c>
      <c r="O38" s="111">
        <f t="shared" si="6"/>
        <v>15019327.890000062</v>
      </c>
      <c r="P38" s="114">
        <f t="shared" si="7"/>
        <v>12740.00000000004</v>
      </c>
      <c r="Q38" s="204"/>
      <c r="R38" s="239"/>
      <c r="S38" s="205"/>
      <c r="T38" s="250"/>
      <c r="U38" s="246">
        <f t="shared" si="12"/>
        <v>0</v>
      </c>
      <c r="V38" s="195">
        <f t="shared" si="8"/>
        <v>970</v>
      </c>
      <c r="W38" s="3">
        <v>166</v>
      </c>
      <c r="X38" s="3">
        <v>2983945.7589094033</v>
      </c>
      <c r="Y38" s="34">
        <v>804</v>
      </c>
      <c r="Z38" s="34">
        <v>574860</v>
      </c>
      <c r="AA38" s="34">
        <f t="shared" si="0"/>
        <v>3558805.7589094033</v>
      </c>
      <c r="AB38" s="131">
        <f t="shared" si="1"/>
        <v>274.25871421278703</v>
      </c>
      <c r="AC38" s="137">
        <v>0</v>
      </c>
      <c r="AD38" s="3">
        <v>0</v>
      </c>
      <c r="AE38" s="3">
        <v>100</v>
      </c>
      <c r="AF38" s="3">
        <v>12</v>
      </c>
      <c r="AG38" s="3">
        <f t="shared" si="9"/>
        <v>112</v>
      </c>
      <c r="AH38" s="3">
        <f t="shared" si="13"/>
        <v>1242588.48</v>
      </c>
      <c r="AI38" s="46">
        <f t="shared" si="2"/>
        <v>95.759853700151581</v>
      </c>
      <c r="AJ38" s="146">
        <v>379.4</v>
      </c>
      <c r="AK38" s="3">
        <v>3262840</v>
      </c>
      <c r="AL38" s="42">
        <f t="shared" si="3"/>
        <v>251.45016719212026</v>
      </c>
      <c r="AM38" s="7"/>
    </row>
    <row r="39" spans="1:39" x14ac:dyDescent="0.25">
      <c r="A39" s="36"/>
      <c r="B39" s="61">
        <v>28</v>
      </c>
      <c r="C39" s="154">
        <v>0</v>
      </c>
      <c r="D39" s="156">
        <v>0</v>
      </c>
      <c r="E39" s="109">
        <v>9559.9999999999454</v>
      </c>
      <c r="F39" s="3">
        <v>10397159.639999941</v>
      </c>
      <c r="G39" s="38">
        <v>1839.999999999975</v>
      </c>
      <c r="H39" s="3">
        <v>3001690.4399999594</v>
      </c>
      <c r="I39" s="106">
        <f t="shared" si="4"/>
        <v>13398850.079999901</v>
      </c>
      <c r="J39" s="109">
        <v>1299.9999999999973</v>
      </c>
      <c r="K39" s="3">
        <v>1413839.6999999972</v>
      </c>
      <c r="L39" s="193">
        <v>320.00000000000028</v>
      </c>
      <c r="M39" s="194">
        <v>522033.1200000004</v>
      </c>
      <c r="N39" s="97">
        <f t="shared" si="5"/>
        <v>1935872.8199999975</v>
      </c>
      <c r="O39" s="111">
        <f t="shared" si="6"/>
        <v>15334722.899999898</v>
      </c>
      <c r="P39" s="114">
        <f t="shared" si="7"/>
        <v>13019.999999999918</v>
      </c>
      <c r="Q39" s="204"/>
      <c r="R39" s="242"/>
      <c r="S39" s="205"/>
      <c r="T39" s="250"/>
      <c r="U39" s="246">
        <f t="shared" si="12"/>
        <v>0</v>
      </c>
      <c r="V39" s="195">
        <f t="shared" si="8"/>
        <v>1070</v>
      </c>
      <c r="W39" s="3">
        <v>177</v>
      </c>
      <c r="X39" s="3">
        <v>3181677.1043793033</v>
      </c>
      <c r="Y39" s="34">
        <v>893</v>
      </c>
      <c r="Z39" s="34">
        <v>638495</v>
      </c>
      <c r="AA39" s="34">
        <f t="shared" si="0"/>
        <v>3820172.1043793033</v>
      </c>
      <c r="AB39" s="131">
        <f t="shared" si="1"/>
        <v>294.40086377169882</v>
      </c>
      <c r="AC39" s="137">
        <v>0</v>
      </c>
      <c r="AD39" s="3">
        <v>0</v>
      </c>
      <c r="AE39" s="3">
        <v>100</v>
      </c>
      <c r="AF39" s="3">
        <v>12</v>
      </c>
      <c r="AG39" s="3">
        <f t="shared" si="9"/>
        <v>112</v>
      </c>
      <c r="AH39" s="3">
        <f t="shared" si="13"/>
        <v>1242588.48</v>
      </c>
      <c r="AI39" s="46">
        <f t="shared" si="2"/>
        <v>95.759853700151581</v>
      </c>
      <c r="AJ39" s="146">
        <v>317.3</v>
      </c>
      <c r="AK39" s="3">
        <v>2728780</v>
      </c>
      <c r="AL39" s="42">
        <f t="shared" si="3"/>
        <v>210.29293107553971</v>
      </c>
      <c r="AM39" s="7"/>
    </row>
    <row r="40" spans="1:39" x14ac:dyDescent="0.25">
      <c r="A40" s="36"/>
      <c r="B40" s="61"/>
      <c r="C40" s="154"/>
      <c r="D40" s="156"/>
      <c r="E40" s="109"/>
      <c r="F40" s="3"/>
      <c r="G40" s="38"/>
      <c r="H40" s="3"/>
      <c r="I40" s="106"/>
      <c r="J40" s="109"/>
      <c r="K40" s="3"/>
      <c r="L40" s="193"/>
      <c r="M40" s="194"/>
      <c r="N40" s="97"/>
      <c r="O40" s="111"/>
      <c r="P40" s="114"/>
      <c r="Q40" s="207"/>
      <c r="R40" s="243"/>
      <c r="S40" s="205"/>
      <c r="T40" s="250"/>
      <c r="U40" s="247"/>
      <c r="V40" s="195"/>
      <c r="W40" s="3"/>
      <c r="X40" s="3"/>
      <c r="Y40" s="34"/>
      <c r="Z40" s="34"/>
      <c r="AA40" s="34"/>
      <c r="AB40" s="131"/>
      <c r="AC40" s="137"/>
      <c r="AD40" s="3"/>
      <c r="AE40" s="3"/>
      <c r="AF40" s="3"/>
      <c r="AG40" s="3"/>
      <c r="AH40" s="3"/>
      <c r="AI40" s="46"/>
      <c r="AJ40" s="146"/>
      <c r="AK40" s="3"/>
      <c r="AL40" s="42"/>
      <c r="AM40" s="7"/>
    </row>
    <row r="41" spans="1:39" x14ac:dyDescent="0.25">
      <c r="A41" s="36"/>
      <c r="B41" s="61"/>
      <c r="C41" s="154"/>
      <c r="D41" s="156"/>
      <c r="E41" s="109"/>
      <c r="F41" s="3"/>
      <c r="G41" s="38"/>
      <c r="H41" s="3"/>
      <c r="I41" s="106"/>
      <c r="J41" s="109"/>
      <c r="K41" s="3"/>
      <c r="L41" s="193"/>
      <c r="M41" s="194"/>
      <c r="N41" s="97"/>
      <c r="O41" s="111"/>
      <c r="P41" s="114"/>
      <c r="Q41" s="204"/>
      <c r="R41" s="244"/>
      <c r="S41" s="205"/>
      <c r="T41" s="250"/>
      <c r="U41" s="247"/>
      <c r="V41" s="195"/>
      <c r="W41" s="3"/>
      <c r="X41" s="3"/>
      <c r="Y41" s="34"/>
      <c r="Z41" s="34"/>
      <c r="AA41" s="34"/>
      <c r="AB41" s="131"/>
      <c r="AC41" s="137"/>
      <c r="AD41" s="3"/>
      <c r="AE41" s="3"/>
      <c r="AF41" s="3"/>
      <c r="AG41" s="3"/>
      <c r="AH41" s="3"/>
      <c r="AI41" s="46"/>
      <c r="AJ41" s="146"/>
      <c r="AK41" s="3"/>
      <c r="AL41" s="42"/>
      <c r="AM41" s="7"/>
    </row>
    <row r="42" spans="1:39" x14ac:dyDescent="0.25">
      <c r="A42" s="36"/>
      <c r="B42" s="61"/>
      <c r="C42" s="182"/>
      <c r="D42" s="183"/>
      <c r="E42" s="109"/>
      <c r="F42" s="3"/>
      <c r="G42" s="38"/>
      <c r="H42" s="3"/>
      <c r="I42" s="106"/>
      <c r="J42" s="109"/>
      <c r="K42" s="3"/>
      <c r="L42" s="193"/>
      <c r="M42" s="194"/>
      <c r="N42" s="97"/>
      <c r="O42" s="111"/>
      <c r="P42" s="114"/>
      <c r="Q42" s="204"/>
      <c r="R42" s="244"/>
      <c r="S42" s="205"/>
      <c r="T42" s="250"/>
      <c r="U42" s="247"/>
      <c r="V42" s="195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.5" thickBot="1" x14ac:dyDescent="0.3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45"/>
      <c r="S43" s="206"/>
      <c r="T43" s="251"/>
      <c r="U43" s="248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49</v>
      </c>
      <c r="D47" s="73">
        <f>SUM(D12:D43)</f>
        <v>1090</v>
      </c>
      <c r="E47" s="73">
        <f>SUM(E12:E43)</f>
        <v>274399.99999999994</v>
      </c>
      <c r="F47" s="73">
        <f>SUM(F12:F43)</f>
        <v>298428933.59999985</v>
      </c>
      <c r="G47" s="73">
        <f>SUM(G12:G43)</f>
        <v>55719.999999999985</v>
      </c>
      <c r="H47" s="73">
        <f t="shared" ref="H47:O47" si="14">SUM(H12:H43)</f>
        <v>90899017.020000026</v>
      </c>
      <c r="I47" s="73">
        <f t="shared" si="14"/>
        <v>389327950.61999995</v>
      </c>
      <c r="J47" s="73">
        <f t="shared" si="14"/>
        <v>36600</v>
      </c>
      <c r="K47" s="73">
        <f t="shared" si="14"/>
        <v>39805025.399999984</v>
      </c>
      <c r="L47" s="73">
        <f t="shared" si="14"/>
        <v>9020.0000000000018</v>
      </c>
      <c r="M47" s="73">
        <f t="shared" si="14"/>
        <v>14714808.570000004</v>
      </c>
      <c r="N47" s="73">
        <f t="shared" si="14"/>
        <v>54519833.970000006</v>
      </c>
      <c r="O47" s="73">
        <f t="shared" si="14"/>
        <v>443847784.58999985</v>
      </c>
      <c r="P47" s="85">
        <f>SUM(P12:P43)</f>
        <v>375739.99999999988</v>
      </c>
      <c r="Q47" s="197">
        <f>'Electricity Residences Feb 2021'!C27</f>
        <v>27502</v>
      </c>
      <c r="R47" s="126">
        <f>'Electricity Residences Feb 2021'!C28</f>
        <v>49311074</v>
      </c>
      <c r="S47" s="118">
        <f>Q47+P47</f>
        <v>403241.99999999988</v>
      </c>
      <c r="T47" s="118">
        <f>R47+O47</f>
        <v>493158858.58999985</v>
      </c>
      <c r="U47" s="140">
        <f>T47/AL48</f>
        <v>38005.19714259071</v>
      </c>
      <c r="V47" s="185">
        <f>SUM(V12:V42)</f>
        <v>27238</v>
      </c>
      <c r="W47" s="55">
        <f>SUM(W12:W42)</f>
        <v>4414</v>
      </c>
      <c r="X47" s="55">
        <f t="shared" ref="X47:Z47" si="15">SUM(X12:X42)</f>
        <v>79344196.264012679</v>
      </c>
      <c r="Y47" s="55">
        <f t="shared" si="15"/>
        <v>22824</v>
      </c>
      <c r="Z47" s="55">
        <f t="shared" si="15"/>
        <v>16319160</v>
      </c>
      <c r="AA47" s="139">
        <f>SUM(AA12:AA42)</f>
        <v>95663356.264012679</v>
      </c>
      <c r="AB47" s="127">
        <f>AA47/$AL$48</f>
        <v>7372.2790350569912</v>
      </c>
      <c r="AC47" s="47">
        <f>SUM(AC12:AC41)</f>
        <v>0</v>
      </c>
      <c r="AD47" s="141">
        <f>SUM(AD12:AD41)</f>
        <v>0</v>
      </c>
      <c r="AE47" s="47">
        <f>SUM(AE12:AE42)</f>
        <v>3050</v>
      </c>
      <c r="AF47" s="47">
        <f>SUM(AF12:AF42)</f>
        <v>360</v>
      </c>
      <c r="AG47" s="47">
        <f>SUM(AG12:AG42)</f>
        <v>3410</v>
      </c>
      <c r="AH47" s="151">
        <f>SUM(AH12:AH43)</f>
        <v>37832381.399999999</v>
      </c>
      <c r="AI47" s="152">
        <f>AH47/$AL$48</f>
        <v>2915.545545692115</v>
      </c>
      <c r="AJ47" s="148">
        <f>SUM(AJ12:AJ43)</f>
        <v>9913.4</v>
      </c>
      <c r="AK47" s="149">
        <f>SUM(AK12:AK43)</f>
        <v>85255240</v>
      </c>
      <c r="AL47" s="150">
        <f>AK47/AL48</f>
        <v>6570.1794608391283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>
        <f>U47/S47</f>
        <v>9.424910386961359E-2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x14ac:dyDescent="0.25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7"/>
      <c r="S49" s="14"/>
      <c r="T49" s="17"/>
      <c r="U49" s="200"/>
      <c r="V49" s="253"/>
      <c r="W49" s="253"/>
      <c r="X49" s="199"/>
      <c r="Y49" s="201"/>
      <c r="Z49" s="17"/>
      <c r="AA49" s="199"/>
      <c r="AB49" s="199"/>
      <c r="AC49" s="199"/>
      <c r="AD49" s="17"/>
      <c r="AE49" s="199"/>
      <c r="AF49" s="199"/>
      <c r="AG49" s="17"/>
      <c r="AH49" s="17"/>
      <c r="AI49" s="199"/>
      <c r="AJ49" s="117"/>
      <c r="AK49" s="199"/>
      <c r="AL49" s="202"/>
      <c r="AM49" s="198"/>
    </row>
    <row r="50" spans="1:39" s="209" customFormat="1" x14ac:dyDescent="0.25">
      <c r="A50" s="208"/>
      <c r="B50" s="208"/>
      <c r="E50" s="210"/>
      <c r="F50" s="211"/>
      <c r="G50" s="210"/>
      <c r="I50" s="210"/>
      <c r="J50" s="210"/>
      <c r="K50" s="210"/>
      <c r="L50" s="210"/>
      <c r="M50" s="210"/>
      <c r="N50" s="212"/>
      <c r="O50" s="213"/>
      <c r="P50" s="214"/>
      <c r="R50" s="215"/>
      <c r="S50" s="216"/>
      <c r="Y50" s="217"/>
      <c r="Z50" s="218"/>
      <c r="AB50" s="219"/>
      <c r="AJ50" s="215"/>
      <c r="AL50" s="220"/>
      <c r="AM50" s="208"/>
    </row>
    <row r="51" spans="1:39" s="223" customFormat="1" x14ac:dyDescent="0.25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W51" s="254">
        <f>W47/V47</f>
        <v>0.16205301417137821</v>
      </c>
      <c r="AD51" s="222"/>
      <c r="AH51" s="222"/>
      <c r="AJ51" s="226"/>
      <c r="AL51" s="227"/>
      <c r="AM51" s="221"/>
    </row>
    <row r="52" spans="1:39" s="223" customFormat="1" x14ac:dyDescent="0.25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AD52" s="222"/>
      <c r="AH52" s="222"/>
      <c r="AJ52" s="226"/>
      <c r="AL52" s="227"/>
      <c r="AM52" s="221"/>
    </row>
    <row r="53" spans="1:39" s="223" customFormat="1" x14ac:dyDescent="0.25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x14ac:dyDescent="0.25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AD54" s="222"/>
      <c r="AH54" s="222"/>
      <c r="AJ54" s="226"/>
      <c r="AL54" s="227"/>
      <c r="AM54" s="221"/>
    </row>
    <row r="55" spans="1:39" s="223" customFormat="1" x14ac:dyDescent="0.25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AD55" s="222"/>
      <c r="AH55" s="222"/>
      <c r="AJ55" s="226"/>
      <c r="AL55" s="227"/>
      <c r="AM55" s="221"/>
    </row>
    <row r="56" spans="1:39" s="223" customFormat="1" x14ac:dyDescent="0.25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25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25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25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25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25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25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25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25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25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25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25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25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25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25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25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25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25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25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25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25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25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25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25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25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25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25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25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25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25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25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25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25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25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25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25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25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25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25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25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25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25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25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25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25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25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25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25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25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25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25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25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25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25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25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25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25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  <row r="113" spans="1:39" s="223" customFormat="1" x14ac:dyDescent="0.25">
      <c r="A113" s="221"/>
      <c r="B113" s="221"/>
      <c r="C113" s="222"/>
      <c r="E113" s="222"/>
      <c r="F113" s="222"/>
      <c r="H113" s="222"/>
      <c r="L113" s="222"/>
      <c r="M113" s="224"/>
      <c r="N113" s="225"/>
      <c r="P113" s="225"/>
      <c r="R113" s="226"/>
      <c r="AD113" s="222"/>
      <c r="AH113" s="222"/>
      <c r="AJ113" s="226"/>
      <c r="AL113" s="227"/>
      <c r="AM113" s="221"/>
    </row>
  </sheetData>
  <mergeCells count="17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</mergeCells>
  <hyperlinks>
    <hyperlink ref="Q34" location="'Electricity Residences Feb 2021'!A1" display="'Electricity Residences Feb 2021'!A1" xr:uid="{00000000-0004-0000-0100-000000000000}"/>
    <hyperlink ref="R34" location="'Electricity Residences Feb 2021'!A1" display="'Electricity Residences Feb 2021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B38" sqref="B38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91">
        <v>44228</v>
      </c>
      <c r="B2" s="292"/>
      <c r="C2" s="292"/>
    </row>
    <row r="3" spans="1:3" x14ac:dyDescent="0.25">
      <c r="A3" s="294" t="s">
        <v>1</v>
      </c>
      <c r="B3" s="293" t="s">
        <v>2</v>
      </c>
      <c r="C3" s="293" t="s">
        <v>3</v>
      </c>
    </row>
    <row r="4" spans="1:3" x14ac:dyDescent="0.25">
      <c r="A4" s="294"/>
      <c r="B4" s="293"/>
      <c r="C4" s="293"/>
    </row>
    <row r="5" spans="1:3" x14ac:dyDescent="0.25">
      <c r="A5" s="294"/>
      <c r="B5" s="293"/>
      <c r="C5" s="293"/>
    </row>
    <row r="6" spans="1:3" x14ac:dyDescent="0.25">
      <c r="A6" s="2">
        <v>1</v>
      </c>
      <c r="B6" s="2">
        <v>0</v>
      </c>
      <c r="C6" s="2">
        <v>38</v>
      </c>
    </row>
    <row r="7" spans="1:3" x14ac:dyDescent="0.25">
      <c r="A7" s="2">
        <v>2</v>
      </c>
      <c r="B7" s="2">
        <v>1</v>
      </c>
      <c r="C7" s="2">
        <v>44</v>
      </c>
    </row>
    <row r="8" spans="1:3" x14ac:dyDescent="0.25">
      <c r="A8" s="2">
        <f>A7+1</f>
        <v>3</v>
      </c>
      <c r="B8" s="2">
        <v>1</v>
      </c>
      <c r="C8" s="2">
        <v>27</v>
      </c>
    </row>
    <row r="9" spans="1:3" x14ac:dyDescent="0.25">
      <c r="A9" s="2">
        <f>A8+1</f>
        <v>4</v>
      </c>
      <c r="B9" s="2">
        <v>1</v>
      </c>
      <c r="C9" s="2">
        <v>11</v>
      </c>
    </row>
    <row r="10" spans="1:3" x14ac:dyDescent="0.25">
      <c r="A10" s="2">
        <f t="shared" ref="A10:A33" si="0">A9+1</f>
        <v>5</v>
      </c>
      <c r="B10" s="2">
        <v>1</v>
      </c>
      <c r="C10" s="2">
        <v>46</v>
      </c>
    </row>
    <row r="11" spans="1:3" x14ac:dyDescent="0.25">
      <c r="A11" s="2">
        <f t="shared" si="0"/>
        <v>6</v>
      </c>
      <c r="B11" s="2">
        <v>0</v>
      </c>
      <c r="C11" s="2">
        <v>27</v>
      </c>
    </row>
    <row r="12" spans="1:3" x14ac:dyDescent="0.25">
      <c r="A12" s="2">
        <f t="shared" si="0"/>
        <v>7</v>
      </c>
      <c r="B12" s="2">
        <v>0</v>
      </c>
      <c r="C12" s="2">
        <v>61</v>
      </c>
    </row>
    <row r="13" spans="1:3" x14ac:dyDescent="0.25">
      <c r="A13" s="2">
        <f t="shared" si="0"/>
        <v>8</v>
      </c>
      <c r="B13" s="2">
        <v>1</v>
      </c>
      <c r="C13" s="2">
        <v>27</v>
      </c>
    </row>
    <row r="14" spans="1:3" x14ac:dyDescent="0.25">
      <c r="A14" s="2">
        <f t="shared" si="0"/>
        <v>9</v>
      </c>
      <c r="B14" s="2">
        <v>1</v>
      </c>
      <c r="C14" s="2">
        <v>47</v>
      </c>
    </row>
    <row r="15" spans="1:3" x14ac:dyDescent="0.25">
      <c r="A15" s="2">
        <f t="shared" si="0"/>
        <v>10</v>
      </c>
      <c r="B15" s="2">
        <v>3</v>
      </c>
      <c r="C15" s="2">
        <v>26</v>
      </c>
    </row>
    <row r="16" spans="1:3" x14ac:dyDescent="0.25">
      <c r="A16" s="2">
        <f t="shared" si="0"/>
        <v>11</v>
      </c>
      <c r="B16" s="2">
        <v>3</v>
      </c>
      <c r="C16" s="2">
        <v>27</v>
      </c>
    </row>
    <row r="17" spans="1:3" x14ac:dyDescent="0.25">
      <c r="A17" s="2">
        <f t="shared" si="0"/>
        <v>12</v>
      </c>
      <c r="B17" s="2">
        <v>3</v>
      </c>
      <c r="C17" s="2">
        <v>53</v>
      </c>
    </row>
    <row r="18" spans="1:3" x14ac:dyDescent="0.25">
      <c r="A18" s="2">
        <f t="shared" si="0"/>
        <v>13</v>
      </c>
      <c r="B18" s="2">
        <v>3</v>
      </c>
      <c r="C18" s="2">
        <v>69</v>
      </c>
    </row>
    <row r="19" spans="1:3" x14ac:dyDescent="0.25">
      <c r="A19" s="2">
        <f t="shared" si="0"/>
        <v>14</v>
      </c>
      <c r="B19" s="2">
        <v>3</v>
      </c>
      <c r="C19" s="2">
        <v>125</v>
      </c>
    </row>
    <row r="20" spans="1:3" x14ac:dyDescent="0.25">
      <c r="A20" s="2">
        <f t="shared" si="0"/>
        <v>15</v>
      </c>
      <c r="B20" s="2">
        <v>3</v>
      </c>
      <c r="C20" s="2">
        <v>40</v>
      </c>
    </row>
    <row r="21" spans="1:3" x14ac:dyDescent="0.25">
      <c r="A21" s="2">
        <f t="shared" si="0"/>
        <v>16</v>
      </c>
      <c r="B21" s="2">
        <v>3</v>
      </c>
      <c r="C21" s="2">
        <v>45</v>
      </c>
    </row>
    <row r="22" spans="1:3" x14ac:dyDescent="0.25">
      <c r="A22" s="2">
        <f t="shared" si="0"/>
        <v>17</v>
      </c>
      <c r="B22" s="2">
        <v>3</v>
      </c>
      <c r="C22" s="2">
        <v>31</v>
      </c>
    </row>
    <row r="23" spans="1:3" x14ac:dyDescent="0.25">
      <c r="A23" s="2">
        <f t="shared" si="0"/>
        <v>18</v>
      </c>
      <c r="B23" s="2">
        <v>2</v>
      </c>
      <c r="C23" s="2">
        <v>28</v>
      </c>
    </row>
    <row r="24" spans="1:3" x14ac:dyDescent="0.25">
      <c r="A24" s="2">
        <f t="shared" si="0"/>
        <v>19</v>
      </c>
      <c r="B24" s="2">
        <v>2</v>
      </c>
      <c r="C24" s="2">
        <v>31</v>
      </c>
    </row>
    <row r="25" spans="1:3" x14ac:dyDescent="0.25">
      <c r="A25" s="2">
        <f t="shared" si="0"/>
        <v>20</v>
      </c>
      <c r="B25" s="2">
        <v>2</v>
      </c>
      <c r="C25" s="2">
        <v>55</v>
      </c>
    </row>
    <row r="26" spans="1:3" x14ac:dyDescent="0.25">
      <c r="A26" s="2">
        <f t="shared" si="0"/>
        <v>21</v>
      </c>
      <c r="B26" s="2">
        <v>2</v>
      </c>
      <c r="C26" s="2">
        <v>68</v>
      </c>
    </row>
    <row r="27" spans="1:3" x14ac:dyDescent="0.25">
      <c r="A27" s="2">
        <f t="shared" si="0"/>
        <v>22</v>
      </c>
      <c r="B27" s="2">
        <v>1</v>
      </c>
      <c r="C27" s="2">
        <v>13</v>
      </c>
    </row>
    <row r="28" spans="1:3" x14ac:dyDescent="0.25">
      <c r="A28" s="2">
        <f t="shared" si="0"/>
        <v>23</v>
      </c>
      <c r="B28" s="2">
        <v>4</v>
      </c>
      <c r="C28" s="2">
        <v>33</v>
      </c>
    </row>
    <row r="29" spans="1:3" x14ac:dyDescent="0.25">
      <c r="A29" s="2">
        <f t="shared" si="0"/>
        <v>24</v>
      </c>
      <c r="B29" s="2">
        <v>2</v>
      </c>
      <c r="C29" s="2">
        <v>59</v>
      </c>
    </row>
    <row r="30" spans="1:3" x14ac:dyDescent="0.25">
      <c r="A30" s="2">
        <f t="shared" si="0"/>
        <v>25</v>
      </c>
      <c r="B30" s="2">
        <v>1</v>
      </c>
      <c r="C30" s="2">
        <v>25</v>
      </c>
    </row>
    <row r="31" spans="1:3" x14ac:dyDescent="0.25">
      <c r="A31" s="2">
        <f t="shared" si="0"/>
        <v>26</v>
      </c>
      <c r="B31" s="2">
        <v>1</v>
      </c>
      <c r="C31" s="2">
        <v>20</v>
      </c>
    </row>
    <row r="32" spans="1:3" x14ac:dyDescent="0.25">
      <c r="A32" s="2">
        <f t="shared" si="0"/>
        <v>27</v>
      </c>
      <c r="B32" s="2">
        <v>2</v>
      </c>
      <c r="C32" s="2">
        <v>14</v>
      </c>
    </row>
    <row r="33" spans="1:3" x14ac:dyDescent="0.25">
      <c r="A33" s="2">
        <f t="shared" si="0"/>
        <v>28</v>
      </c>
      <c r="B33" s="2">
        <v>0</v>
      </c>
      <c r="C33" s="2">
        <v>0</v>
      </c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8" spans="1:3" x14ac:dyDescent="0.25">
      <c r="B38" s="6">
        <f>SUM(B6:B36)</f>
        <v>49</v>
      </c>
      <c r="C38" s="6">
        <f>SUM(C6:C36)</f>
        <v>1090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C28"/>
  <sheetViews>
    <sheetView workbookViewId="0">
      <selection activeCell="C6" sqref="C6"/>
    </sheetView>
  </sheetViews>
  <sheetFormatPr defaultRowHeight="15" x14ac:dyDescent="0.25"/>
  <cols>
    <col min="1" max="1" width="14.7109375" bestFit="1" customWidth="1"/>
    <col min="2" max="2" width="30.140625" bestFit="1" customWidth="1"/>
    <col min="3" max="3" width="15.28515625" bestFit="1" customWidth="1"/>
  </cols>
  <sheetData>
    <row r="4" spans="1:3" ht="15.75" thickBot="1" x14ac:dyDescent="0.3"/>
    <row r="5" spans="1:3" x14ac:dyDescent="0.25">
      <c r="A5" s="295" t="s">
        <v>77</v>
      </c>
      <c r="B5" s="296"/>
      <c r="C5" s="228" t="s">
        <v>78</v>
      </c>
    </row>
    <row r="6" spans="1:3" x14ac:dyDescent="0.25">
      <c r="A6" s="229" t="s">
        <v>54</v>
      </c>
      <c r="B6" s="2" t="s">
        <v>55</v>
      </c>
      <c r="C6" s="230">
        <v>1606</v>
      </c>
    </row>
    <row r="7" spans="1:3" x14ac:dyDescent="0.25">
      <c r="A7" s="229"/>
      <c r="B7" s="2" t="s">
        <v>56</v>
      </c>
      <c r="C7" s="231">
        <v>2436197</v>
      </c>
    </row>
    <row r="8" spans="1:3" x14ac:dyDescent="0.25">
      <c r="A8" s="232" t="s">
        <v>57</v>
      </c>
      <c r="B8" s="2" t="s">
        <v>58</v>
      </c>
      <c r="C8" s="230">
        <v>1930</v>
      </c>
    </row>
    <row r="9" spans="1:3" x14ac:dyDescent="0.25">
      <c r="A9" s="232"/>
      <c r="B9" s="2" t="s">
        <v>56</v>
      </c>
      <c r="C9" s="231">
        <v>4386109</v>
      </c>
    </row>
    <row r="10" spans="1:3" x14ac:dyDescent="0.25">
      <c r="A10" s="232" t="s">
        <v>59</v>
      </c>
      <c r="B10" s="2" t="s">
        <v>60</v>
      </c>
      <c r="C10" s="230">
        <v>1134</v>
      </c>
    </row>
    <row r="11" spans="1:3" x14ac:dyDescent="0.25">
      <c r="A11" s="232"/>
      <c r="B11" s="2" t="s">
        <v>56</v>
      </c>
      <c r="C11" s="231">
        <v>3522178</v>
      </c>
    </row>
    <row r="12" spans="1:3" x14ac:dyDescent="0.25">
      <c r="A12" s="232" t="s">
        <v>61</v>
      </c>
      <c r="B12" s="2" t="s">
        <v>62</v>
      </c>
      <c r="C12" s="230">
        <v>5956</v>
      </c>
    </row>
    <row r="13" spans="1:3" x14ac:dyDescent="0.25">
      <c r="A13" s="232"/>
      <c r="B13" s="2" t="s">
        <v>56</v>
      </c>
      <c r="C13" s="231">
        <v>9895328</v>
      </c>
    </row>
    <row r="14" spans="1:3" x14ac:dyDescent="0.25">
      <c r="A14" s="232" t="s">
        <v>63</v>
      </c>
      <c r="B14" s="2" t="s">
        <v>64</v>
      </c>
      <c r="C14" s="230">
        <v>3299</v>
      </c>
    </row>
    <row r="15" spans="1:3" x14ac:dyDescent="0.25">
      <c r="A15" s="232"/>
      <c r="B15" s="2" t="s">
        <v>56</v>
      </c>
      <c r="C15" s="231">
        <v>5480975</v>
      </c>
    </row>
    <row r="16" spans="1:3" x14ac:dyDescent="0.25">
      <c r="A16" s="232" t="s">
        <v>65</v>
      </c>
      <c r="B16" s="2" t="s">
        <v>66</v>
      </c>
      <c r="C16" s="230">
        <v>2219</v>
      </c>
    </row>
    <row r="17" spans="1:3" x14ac:dyDescent="0.25">
      <c r="A17" s="232"/>
      <c r="B17" s="2" t="s">
        <v>56</v>
      </c>
      <c r="C17" s="231">
        <v>3522178</v>
      </c>
    </row>
    <row r="18" spans="1:3" x14ac:dyDescent="0.25">
      <c r="A18" s="232" t="s">
        <v>67</v>
      </c>
      <c r="B18" s="2" t="s">
        <v>68</v>
      </c>
      <c r="C18" s="230">
        <v>1670</v>
      </c>
    </row>
    <row r="19" spans="1:3" x14ac:dyDescent="0.25">
      <c r="A19" s="232"/>
      <c r="B19" s="2" t="s">
        <v>56</v>
      </c>
      <c r="C19" s="231">
        <v>3522178</v>
      </c>
    </row>
    <row r="20" spans="1:3" x14ac:dyDescent="0.25">
      <c r="A20" s="232" t="s">
        <v>69</v>
      </c>
      <c r="B20" s="2" t="s">
        <v>70</v>
      </c>
      <c r="C20" s="230">
        <v>1849</v>
      </c>
    </row>
    <row r="21" spans="1:3" x14ac:dyDescent="0.25">
      <c r="A21" s="232"/>
      <c r="B21" s="2" t="s">
        <v>56</v>
      </c>
      <c r="C21" s="231">
        <v>3522178</v>
      </c>
    </row>
    <row r="22" spans="1:3" x14ac:dyDescent="0.25">
      <c r="A22" s="232" t="s">
        <v>71</v>
      </c>
      <c r="B22" s="2" t="s">
        <v>72</v>
      </c>
      <c r="C22" s="230">
        <v>5396</v>
      </c>
    </row>
    <row r="23" spans="1:3" x14ac:dyDescent="0.25">
      <c r="A23" s="232"/>
      <c r="B23" s="2" t="s">
        <v>56</v>
      </c>
      <c r="C23" s="231">
        <v>8964941</v>
      </c>
    </row>
    <row r="24" spans="1:3" x14ac:dyDescent="0.25">
      <c r="A24" s="232" t="s">
        <v>73</v>
      </c>
      <c r="B24" s="2" t="s">
        <v>74</v>
      </c>
      <c r="C24" s="230">
        <v>2443</v>
      </c>
    </row>
    <row r="25" spans="1:3" x14ac:dyDescent="0.25">
      <c r="A25" s="233"/>
      <c r="B25" s="2" t="s">
        <v>56</v>
      </c>
      <c r="C25" s="231">
        <v>4058812</v>
      </c>
    </row>
    <row r="26" spans="1:3" ht="15.75" thickBot="1" x14ac:dyDescent="0.3">
      <c r="A26" s="234"/>
      <c r="B26" s="98"/>
      <c r="C26" s="108"/>
    </row>
    <row r="27" spans="1:3" x14ac:dyDescent="0.25">
      <c r="A27" s="297" t="s">
        <v>75</v>
      </c>
      <c r="B27" s="298"/>
      <c r="C27" s="235">
        <f>C6+C8+C10+C12+C14+C16+C18+C20+C22+C24</f>
        <v>27502</v>
      </c>
    </row>
    <row r="28" spans="1:3" ht="15.75" thickBot="1" x14ac:dyDescent="0.3">
      <c r="A28" s="299" t="s">
        <v>76</v>
      </c>
      <c r="B28" s="300"/>
      <c r="C28" s="236">
        <f>C7+C9+C11+C13+C15+C17+C19+C21+C23+C25</f>
        <v>49311074</v>
      </c>
    </row>
  </sheetData>
  <mergeCells count="3">
    <mergeCell ref="A5:B5"/>
    <mergeCell ref="A27:B27"/>
    <mergeCell ref="A28:B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February 2021</vt:lpstr>
      <vt:lpstr>RNs &amp; Covers February 2021</vt:lpstr>
      <vt:lpstr>Electricity Residences 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J. El Khoury</cp:lastModifiedBy>
  <cp:lastPrinted>2020-11-17T04:34:44Z</cp:lastPrinted>
  <dcterms:created xsi:type="dcterms:W3CDTF">2020-09-16T08:52:25Z</dcterms:created>
  <dcterms:modified xsi:type="dcterms:W3CDTF">2022-02-18T10:07:18Z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