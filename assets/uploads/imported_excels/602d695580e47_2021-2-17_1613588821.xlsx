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50" windowHeight="12230" tabRatio="580" firstSheet="7" activeTab="1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I18" i="76"/>
  <c r="T14" i="3"/>
  <c r="T13"/>
  <c r="D18" i="77"/>
  <c r="C19" l="1"/>
  <c r="C18"/>
  <c r="C17"/>
  <c r="C16"/>
  <c r="C15"/>
  <c r="C14"/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I9" i="77" l="1"/>
  <c r="H7"/>
  <c r="I7" s="1"/>
  <c r="H8" l="1"/>
  <c r="I8" s="1"/>
  <c r="H10" l="1"/>
  <c r="I10" s="1"/>
  <c r="G37" i="74" l="1"/>
  <c r="F37"/>
  <c r="G36"/>
  <c r="F36"/>
  <c r="G35"/>
  <c r="F35"/>
  <c r="G34"/>
  <c r="F34"/>
  <c r="G33"/>
  <c r="H33" s="1"/>
  <c r="F33"/>
  <c r="G32"/>
  <c r="F32"/>
  <c r="G31"/>
  <c r="F31"/>
  <c r="G30"/>
  <c r="F30"/>
  <c r="G29"/>
  <c r="F29"/>
  <c r="G28"/>
  <c r="F28"/>
  <c r="G27"/>
  <c r="F27"/>
  <c r="G26"/>
  <c r="F26"/>
  <c r="G25"/>
  <c r="H25" s="1"/>
  <c r="F25"/>
  <c r="G24"/>
  <c r="F24"/>
  <c r="H24" s="1"/>
  <c r="G23"/>
  <c r="F23"/>
  <c r="G22"/>
  <c r="F22"/>
  <c r="G21"/>
  <c r="H21" s="1"/>
  <c r="F21"/>
  <c r="G20"/>
  <c r="F20"/>
  <c r="G19"/>
  <c r="F19"/>
  <c r="H19" s="1"/>
  <c r="G18"/>
  <c r="F18"/>
  <c r="G17"/>
  <c r="H17" s="1"/>
  <c r="F17"/>
  <c r="G16"/>
  <c r="F16"/>
  <c r="G15"/>
  <c r="H15" s="1"/>
  <c r="F15"/>
  <c r="G14"/>
  <c r="F14"/>
  <c r="G13"/>
  <c r="H13" s="1"/>
  <c r="F13"/>
  <c r="G12"/>
  <c r="H12" s="1"/>
  <c r="F12"/>
  <c r="G11"/>
  <c r="H11" s="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H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H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F20"/>
  <c r="F21" s="1"/>
  <c r="F22" s="1"/>
  <c r="S3"/>
  <c r="Q3"/>
  <c r="N3"/>
  <c r="M3"/>
  <c r="L3"/>
  <c r="K3"/>
  <c r="J20"/>
  <c r="J21" s="1"/>
  <c r="J22" s="1"/>
  <c r="J23" s="1"/>
  <c r="J24" s="1"/>
  <c r="J25" s="1"/>
  <c r="J26" s="1"/>
  <c r="J27" s="1"/>
  <c r="J28" s="1"/>
  <c r="J29" s="1"/>
  <c r="J30" s="1"/>
  <c r="J31" s="1"/>
  <c r="W26" s="1"/>
  <c r="I3"/>
  <c r="H20"/>
  <c r="H21" s="1"/>
  <c r="H22" s="1"/>
  <c r="G3"/>
  <c r="E3"/>
  <c r="D3"/>
  <c r="C3"/>
  <c r="B20"/>
  <c r="B21" s="1"/>
  <c r="B22" s="1"/>
  <c r="D19" i="3"/>
  <c r="D20" s="1"/>
  <c r="D21" s="1"/>
  <c r="D22" s="1"/>
  <c r="D23" s="1"/>
  <c r="D24" s="1"/>
  <c r="D25" s="1"/>
  <c r="D26" s="1"/>
  <c r="D27" s="1"/>
  <c r="D28" s="1"/>
  <c r="D29" s="1"/>
  <c r="D30" s="1"/>
  <c r="B19"/>
  <c r="B20" s="1"/>
  <c r="B21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S2"/>
  <c r="R2"/>
  <c r="R3" s="1"/>
  <c r="R4" s="1"/>
  <c r="R5" s="1"/>
  <c r="R6" s="1"/>
  <c r="R8" s="1"/>
  <c r="R9" s="1"/>
  <c r="R10" s="1"/>
  <c r="R11" s="1"/>
  <c r="R12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22" i="5"/>
  <c r="AV23" s="1"/>
  <c r="AV24" s="1"/>
  <c r="AV25" s="1"/>
  <c r="AV26" s="1"/>
  <c r="AV27" s="1"/>
  <c r="AV28" s="1"/>
  <c r="AV29" s="1"/>
  <c r="AV30" s="1"/>
  <c r="AV31" s="1"/>
  <c r="AV32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X22"/>
  <c r="AX23" s="1"/>
  <c r="AX24" s="1"/>
  <c r="AT9"/>
  <c r="AT11" s="1"/>
  <c r="AT13" s="1"/>
  <c r="AT14" s="1"/>
  <c r="AT15" s="1"/>
  <c r="AT16" s="1"/>
  <c r="AT17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9" s="1"/>
  <c r="X20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20" s="1"/>
  <c r="G22" s="1"/>
  <c r="G23" s="1"/>
  <c r="G24" s="1"/>
  <c r="X6" i="1"/>
  <c r="X7" s="1"/>
  <c r="X8" s="1"/>
  <c r="X9" s="1"/>
  <c r="X10" s="1"/>
  <c r="X11" s="1"/>
  <c r="X13" s="1"/>
  <c r="X14" s="1"/>
  <c r="X15" s="1"/>
  <c r="X16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H7"/>
  <c r="H10" s="1"/>
  <c r="H13" s="1"/>
  <c r="H16" s="1"/>
  <c r="H19" s="1"/>
  <c r="H20" s="1"/>
  <c r="H21" s="1"/>
  <c r="H22" s="1"/>
  <c r="H23" s="1"/>
  <c r="B21"/>
  <c r="B22" s="1"/>
  <c r="B23" s="1"/>
  <c r="B24" s="1"/>
  <c r="B25" s="1"/>
  <c r="B26" s="1"/>
  <c r="B27" s="1"/>
  <c r="B28" s="1"/>
  <c r="B29" s="1"/>
  <c r="B30" s="1"/>
  <c r="B31" s="1"/>
  <c r="B32" s="1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D4"/>
  <c r="AC4"/>
  <c r="AC5" s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B4"/>
  <c r="AA4"/>
  <c r="Z4"/>
  <c r="Z6" s="1"/>
  <c r="Z7" s="1"/>
  <c r="Z8" s="1"/>
  <c r="Z9" s="1"/>
  <c r="Z10" s="1"/>
  <c r="Z11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Y4"/>
  <c r="X4"/>
  <c r="W4"/>
  <c r="V4"/>
  <c r="U4"/>
  <c r="T4"/>
  <c r="S4"/>
  <c r="R4"/>
  <c r="Q4"/>
  <c r="Q6" s="1"/>
  <c r="Q9" s="1"/>
  <c r="Q12" s="1"/>
  <c r="Q15" s="1"/>
  <c r="Q18" s="1"/>
  <c r="Q21" s="1"/>
  <c r="Q22" s="1"/>
  <c r="Q23" s="1"/>
  <c r="Q24" s="1"/>
  <c r="Q25" s="1"/>
  <c r="Q26" s="1"/>
  <c r="Q27" s="1"/>
  <c r="Q28" s="1"/>
  <c r="Q29" s="1"/>
  <c r="Q30" s="1"/>
  <c r="Q31" s="1"/>
  <c r="Q32" s="1"/>
  <c r="P4"/>
  <c r="P6" s="1"/>
  <c r="P9" s="1"/>
  <c r="P12" s="1"/>
  <c r="P15" s="1"/>
  <c r="P18" s="1"/>
  <c r="P21" s="1"/>
  <c r="P22" s="1"/>
  <c r="P23" s="1"/>
  <c r="P24" s="1"/>
  <c r="P25" s="1"/>
  <c r="P26" s="1"/>
  <c r="P27" s="1"/>
  <c r="P28" s="1"/>
  <c r="P29" s="1"/>
  <c r="P30" s="1"/>
  <c r="P31" s="1"/>
  <c r="P32" s="1"/>
  <c r="O4"/>
  <c r="N4"/>
  <c r="M4"/>
  <c r="M5" s="1"/>
  <c r="M8" s="1"/>
  <c r="M11" s="1"/>
  <c r="M14" s="1"/>
  <c r="M17" s="1"/>
  <c r="M20" s="1"/>
  <c r="M21" s="1"/>
  <c r="M22" s="1"/>
  <c r="M23" s="1"/>
  <c r="L4"/>
  <c r="K4"/>
  <c r="K5" s="1"/>
  <c r="K8" s="1"/>
  <c r="K11" s="1"/>
  <c r="K14" s="1"/>
  <c r="K17" s="1"/>
  <c r="K20" s="1"/>
  <c r="K21" s="1"/>
  <c r="K22" s="1"/>
  <c r="K23" s="1"/>
  <c r="J4"/>
  <c r="I4"/>
  <c r="H4"/>
  <c r="G4"/>
  <c r="F4"/>
  <c r="F7" s="1"/>
  <c r="F10" s="1"/>
  <c r="F13" s="1"/>
  <c r="F19" s="1"/>
  <c r="F20" s="1"/>
  <c r="F21" s="1"/>
  <c r="F22" s="1"/>
  <c r="F23" s="1"/>
  <c r="E4"/>
  <c r="D4"/>
  <c r="C4"/>
  <c r="C21" s="1"/>
  <c r="C22" s="1"/>
  <c r="B4"/>
  <c r="L19" i="2"/>
  <c r="L20" s="1"/>
  <c r="L21" s="1"/>
  <c r="AG2"/>
  <c r="AF2"/>
  <c r="AE2"/>
  <c r="AD2"/>
  <c r="AC2"/>
  <c r="AC10" s="1"/>
  <c r="AC11" s="1"/>
  <c r="AC12" s="1"/>
  <c r="AC13" s="1"/>
  <c r="AC14" s="1"/>
  <c r="AC15" s="1"/>
  <c r="AC16" s="1"/>
  <c r="AC17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B2"/>
  <c r="AA2"/>
  <c r="AA9" s="1"/>
  <c r="AA10" s="1"/>
  <c r="AA11" s="1"/>
  <c r="AA13" s="1"/>
  <c r="AA14" s="1"/>
  <c r="AA15" s="1"/>
  <c r="AA16" s="1"/>
  <c r="AA17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X2"/>
  <c r="W2"/>
  <c r="W3" s="1"/>
  <c r="W4" s="1"/>
  <c r="W5" s="1"/>
  <c r="W6" s="1"/>
  <c r="W7" s="1"/>
  <c r="W8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8" s="1"/>
  <c r="S19" s="1"/>
  <c r="S20" s="1"/>
  <c r="S21" s="1"/>
  <c r="R2"/>
  <c r="Q2"/>
  <c r="P2"/>
  <c r="P19" s="1"/>
  <c r="P20" s="1"/>
  <c r="P21" s="1"/>
  <c r="O2"/>
  <c r="N2"/>
  <c r="M2"/>
  <c r="L2"/>
  <c r="K2"/>
  <c r="J2"/>
  <c r="J19" s="1"/>
  <c r="J20" s="1"/>
  <c r="J21" s="1"/>
  <c r="I2"/>
  <c r="H2"/>
  <c r="H19" s="1"/>
  <c r="H20" s="1"/>
  <c r="H21" s="1"/>
  <c r="G2"/>
  <c r="F2"/>
  <c r="F19" s="1"/>
  <c r="F20" s="1"/>
  <c r="F21" s="1"/>
  <c r="E2"/>
  <c r="D2"/>
  <c r="D19" s="1"/>
  <c r="D20" s="1"/>
  <c r="D21" s="1"/>
  <c r="C2"/>
  <c r="D24" i="73"/>
  <c r="AP24" i="5"/>
  <c r="AN24"/>
  <c r="AM24"/>
  <c r="K24"/>
  <c r="AJ23" i="1"/>
  <c r="A23"/>
  <c r="H29" i="74" l="1"/>
  <c r="H27"/>
  <c r="H31"/>
  <c r="H20"/>
  <c r="H23"/>
  <c r="H37"/>
  <c r="H16"/>
  <c r="H10"/>
  <c r="H8" i="79"/>
  <c r="H9" s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2" i="76"/>
  <c r="H23"/>
  <c r="H24" s="1"/>
  <c r="H25" s="1"/>
  <c r="H26" s="1"/>
  <c r="H27" s="1"/>
  <c r="H28" s="1"/>
  <c r="H29" s="1"/>
  <c r="H30" s="1"/>
  <c r="H31" s="1"/>
  <c r="W27" s="1"/>
  <c r="G22"/>
  <c r="F23"/>
  <c r="F24" s="1"/>
  <c r="F25" s="1"/>
  <c r="F26" s="1"/>
  <c r="F27" s="1"/>
  <c r="F28" s="1"/>
  <c r="F29" s="1"/>
  <c r="F30" s="1"/>
  <c r="F31" s="1"/>
  <c r="W28" s="1"/>
  <c r="C22"/>
  <c r="B23"/>
  <c r="B24" s="1"/>
  <c r="B25" s="1"/>
  <c r="B26" s="1"/>
  <c r="B27" s="1"/>
  <c r="B28" s="1"/>
  <c r="B29" s="1"/>
  <c r="B30" s="1"/>
  <c r="B31" s="1"/>
  <c r="C21" i="3"/>
  <c r="B22"/>
  <c r="B23" s="1"/>
  <c r="B24" s="1"/>
  <c r="B25" s="1"/>
  <c r="B26" s="1"/>
  <c r="B27" s="1"/>
  <c r="B28" s="1"/>
  <c r="B29" s="1"/>
  <c r="B30" s="1"/>
  <c r="BA24" i="5"/>
  <c r="AX25"/>
  <c r="AX26" s="1"/>
  <c r="AX27" s="1"/>
  <c r="AX28" s="1"/>
  <c r="AX29" s="1"/>
  <c r="AX30" s="1"/>
  <c r="AX31" s="1"/>
  <c r="AX32" s="1"/>
  <c r="AX33" s="1"/>
  <c r="AA24"/>
  <c r="Z25"/>
  <c r="Z26" s="1"/>
  <c r="Z27" s="1"/>
  <c r="Z28" s="1"/>
  <c r="Z29" s="1"/>
  <c r="Z30" s="1"/>
  <c r="Z31" s="1"/>
  <c r="Z32" s="1"/>
  <c r="Z33" s="1"/>
  <c r="AJ24"/>
  <c r="X25"/>
  <c r="X26" s="1"/>
  <c r="X27" s="1"/>
  <c r="X28" s="1"/>
  <c r="X29" s="1"/>
  <c r="X30" s="1"/>
  <c r="X31" s="1"/>
  <c r="X32" s="1"/>
  <c r="X33" s="1"/>
  <c r="Y24"/>
  <c r="G25"/>
  <c r="G26" s="1"/>
  <c r="G27" s="1"/>
  <c r="G28" s="1"/>
  <c r="G29" s="1"/>
  <c r="G30" s="1"/>
  <c r="G31" s="1"/>
  <c r="G32" s="1"/>
  <c r="G33" s="1"/>
  <c r="H24"/>
  <c r="N23" i="1"/>
  <c r="M24"/>
  <c r="M25" s="1"/>
  <c r="M26" s="1"/>
  <c r="M27" s="1"/>
  <c r="M28" s="1"/>
  <c r="M29" s="1"/>
  <c r="M30" s="1"/>
  <c r="M31" s="1"/>
  <c r="M32" s="1"/>
  <c r="L23"/>
  <c r="K24"/>
  <c r="K25" s="1"/>
  <c r="K26" s="1"/>
  <c r="K27" s="1"/>
  <c r="K28" s="1"/>
  <c r="K29" s="1"/>
  <c r="K30" s="1"/>
  <c r="K31" s="1"/>
  <c r="K32" s="1"/>
  <c r="I23"/>
  <c r="H24"/>
  <c r="H25" s="1"/>
  <c r="H26" s="1"/>
  <c r="H27" s="1"/>
  <c r="H28" s="1"/>
  <c r="H29" s="1"/>
  <c r="H30" s="1"/>
  <c r="H31" s="1"/>
  <c r="H32" s="1"/>
  <c r="G23"/>
  <c r="J23" s="1"/>
  <c r="F24"/>
  <c r="F25" s="1"/>
  <c r="F26" s="1"/>
  <c r="F27" s="1"/>
  <c r="F28" s="1"/>
  <c r="F29" s="1"/>
  <c r="F30" s="1"/>
  <c r="F31" s="1"/>
  <c r="F32" s="1"/>
  <c r="C23"/>
  <c r="C24" s="1"/>
  <c r="C25" s="1"/>
  <c r="C26" s="1"/>
  <c r="C27" s="1"/>
  <c r="C28" s="1"/>
  <c r="C29" s="1"/>
  <c r="C30" s="1"/>
  <c r="C31" s="1"/>
  <c r="C32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22"/>
  <c r="P23" s="1"/>
  <c r="P24" s="1"/>
  <c r="P25" s="1"/>
  <c r="P26" s="1"/>
  <c r="P27" s="1"/>
  <c r="P28" s="1"/>
  <c r="P29" s="1"/>
  <c r="P30" s="1"/>
  <c r="M21"/>
  <c r="L22"/>
  <c r="L23" s="1"/>
  <c r="L24" s="1"/>
  <c r="L25" s="1"/>
  <c r="L26" s="1"/>
  <c r="L27" s="1"/>
  <c r="L28" s="1"/>
  <c r="L29" s="1"/>
  <c r="L30" s="1"/>
  <c r="J22"/>
  <c r="J23" s="1"/>
  <c r="J24" s="1"/>
  <c r="J25" s="1"/>
  <c r="J26" s="1"/>
  <c r="J27" s="1"/>
  <c r="J28" s="1"/>
  <c r="J29" s="1"/>
  <c r="J30" s="1"/>
  <c r="K21"/>
  <c r="H22"/>
  <c r="H23" s="1"/>
  <c r="H24" s="1"/>
  <c r="H25" s="1"/>
  <c r="H26" s="1"/>
  <c r="H27" s="1"/>
  <c r="H28" s="1"/>
  <c r="H29" s="1"/>
  <c r="H30" s="1"/>
  <c r="I21"/>
  <c r="F22"/>
  <c r="F23" s="1"/>
  <c r="F24" s="1"/>
  <c r="F25" s="1"/>
  <c r="F26" s="1"/>
  <c r="F27" s="1"/>
  <c r="F28" s="1"/>
  <c r="F29" s="1"/>
  <c r="F30" s="1"/>
  <c r="G21"/>
  <c r="D22"/>
  <c r="D23" s="1"/>
  <c r="D24" s="1"/>
  <c r="D25" s="1"/>
  <c r="D26" s="1"/>
  <c r="D27" s="1"/>
  <c r="D28" s="1"/>
  <c r="D29" s="1"/>
  <c r="D30" s="1"/>
  <c r="E21"/>
  <c r="D23" i="1" l="1"/>
  <c r="E23" s="1"/>
  <c r="N21" i="2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E22" i="3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N32" s="1"/>
  <c r="O7" i="79"/>
  <c r="AS29" i="1"/>
  <c r="E26" i="2"/>
  <c r="M31" i="76" l="1"/>
  <c r="M32" s="1"/>
  <c r="D31"/>
  <c r="E31" s="1"/>
  <c r="L31"/>
  <c r="L32" s="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G33"/>
  <c r="AH33" s="1"/>
  <c r="AH32"/>
  <c r="Q31"/>
  <c r="M27" i="81" s="1"/>
  <c r="AE33" i="5"/>
  <c r="AF33" s="1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AJ36"/>
  <c r="AM36" s="1"/>
  <c r="I35"/>
  <c r="G36"/>
  <c r="K36" l="1"/>
  <c r="F6" i="77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3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O11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P31" l="1"/>
  <c r="R31" s="1"/>
  <c r="T31" s="1"/>
  <c r="F29" i="81" s="1"/>
  <c r="O32" i="76"/>
  <c r="O3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BB33" s="1"/>
  <c r="BE33" s="1"/>
  <c r="AY32"/>
  <c r="BB32" s="1"/>
  <c r="BE32" s="1"/>
  <c r="J28" i="81"/>
  <c r="AX32" i="1"/>
  <c r="J29" i="81" s="1"/>
  <c r="I29" i="63" l="1"/>
  <c r="BF33" i="5"/>
  <c r="BG33" s="1"/>
  <c r="G33" i="65" s="1"/>
  <c r="I28" i="63"/>
  <c r="BF32" i="5"/>
  <c r="BG32" s="1"/>
  <c r="G32" i="65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<sst xmlns="http://schemas.openxmlformats.org/spreadsheetml/2006/main" count="646" uniqueCount="418">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</sst>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  <xf numFmtId="173" fontId="18" fillId="0" borderId="1" xfId="4" applyNumberFormat="1" applyFont="1" applyBorder="1" applyAlignment="1">
      <alignment horizontal="left" wrapText="1"/>
    </xf>
    <xf numFmtId="173" fontId="0" fillId="2" borderId="7" xfId="0" applyNumberFormat="1" applyFill="1" applyBorder="1" applyAlignment="1">
      <alignment horizontal="left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22834304"/>
        <c:axId val="140002432"/>
      </c:lineChart>
      <c:catAx>
        <c:axId val="12283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02432"/>
        <c:crosses val="autoZero"/>
        <c:auto val="1"/>
        <c:lblAlgn val="ctr"/>
        <c:lblOffset val="100"/>
      </c:catAx>
      <c:valAx>
        <c:axId val="140002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3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8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0027008"/>
        <c:axId val="140028544"/>
      </c:lineChart>
      <c:catAx>
        <c:axId val="14002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28544"/>
        <c:crosses val="autoZero"/>
        <c:auto val="1"/>
        <c:lblAlgn val="ctr"/>
        <c:lblOffset val="100"/>
      </c:catAx>
      <c:valAx>
        <c:axId val="14002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2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59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0048640"/>
        <c:axId val="226893824"/>
      </c:lineChart>
      <c:catAx>
        <c:axId val="14004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893824"/>
        <c:crosses val="autoZero"/>
        <c:auto val="1"/>
        <c:lblAlgn val="ctr"/>
        <c:lblOffset val="100"/>
      </c:catAx>
      <c:valAx>
        <c:axId val="2268938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4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146"/>
          <c:y val="0.62975887529635965"/>
          <c:w val="7.9124755870162669E-2"/>
          <c:h val="4.49826989619498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6909568"/>
        <c:axId val="226927744"/>
      </c:lineChart>
      <c:catAx>
        <c:axId val="22690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927744"/>
        <c:crosses val="autoZero"/>
        <c:auto val="1"/>
        <c:lblAlgn val="ctr"/>
        <c:lblOffset val="100"/>
      </c:catAx>
      <c:valAx>
        <c:axId val="226927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90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48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6493184"/>
        <c:axId val="226494720"/>
      </c:lineChart>
      <c:catAx>
        <c:axId val="22649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494720"/>
        <c:crosses val="autoZero"/>
        <c:auto val="1"/>
        <c:lblAlgn val="ctr"/>
        <c:lblOffset val="100"/>
      </c:catAx>
      <c:valAx>
        <c:axId val="2264947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49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50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8514048"/>
        <c:axId val="228261888"/>
      </c:lineChart>
      <c:catAx>
        <c:axId val="22851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261888"/>
        <c:crosses val="autoZero"/>
        <c:auto val="1"/>
        <c:lblAlgn val="ctr"/>
        <c:lblOffset val="100"/>
      </c:catAx>
      <c:valAx>
        <c:axId val="228261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51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8289920"/>
        <c:axId val="228299904"/>
      </c:lineChart>
      <c:catAx>
        <c:axId val="22828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299904"/>
        <c:crosses val="autoZero"/>
        <c:auto val="1"/>
        <c:lblAlgn val="ctr"/>
        <c:lblOffset val="100"/>
      </c:catAx>
      <c:valAx>
        <c:axId val="228299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28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8315904"/>
        <c:axId val="228317440"/>
      </c:lineChart>
      <c:catAx>
        <c:axId val="22831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317440"/>
        <c:crosses val="autoZero"/>
        <c:auto val="1"/>
        <c:lblAlgn val="ctr"/>
        <c:lblOffset val="100"/>
      </c:catAx>
      <c:valAx>
        <c:axId val="228317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31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8546432"/>
        <c:axId val="228547968"/>
      </c:lineChart>
      <c:catAx>
        <c:axId val="22854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547968"/>
        <c:crosses val="autoZero"/>
        <c:auto val="1"/>
        <c:lblAlgn val="ctr"/>
        <c:lblOffset val="100"/>
      </c:catAx>
      <c:valAx>
        <c:axId val="228547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54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916"/>
          <c:w val="0.127240331517738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8559872"/>
        <c:axId val="228582144"/>
      </c:lineChart>
      <c:catAx>
        <c:axId val="22855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582144"/>
        <c:crosses val="autoZero"/>
        <c:auto val="1"/>
        <c:lblAlgn val="ctr"/>
        <c:lblOffset val="100"/>
      </c:catAx>
      <c:valAx>
        <c:axId val="228582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55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391</c:v>
                </c:pt>
                <c:pt idx="6">
                  <c:v>311</c:v>
                </c:pt>
                <c:pt idx="7">
                  <c:v>279</c:v>
                </c:pt>
                <c:pt idx="8">
                  <c:v>333.39999999999418</c:v>
                </c:pt>
                <c:pt idx="9">
                  <c:v>236</c:v>
                </c:pt>
                <c:pt idx="10">
                  <c:v>236</c:v>
                </c:pt>
                <c:pt idx="11">
                  <c:v>253</c:v>
                </c:pt>
                <c:pt idx="12">
                  <c:v>234</c:v>
                </c:pt>
                <c:pt idx="13">
                  <c:v>281</c:v>
                </c:pt>
                <c:pt idx="14">
                  <c:v>267</c:v>
                </c:pt>
                <c:pt idx="15">
                  <c:v>217</c:v>
                </c:pt>
                <c:pt idx="16">
                  <c:v>228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228622720"/>
        <c:axId val="228624256"/>
      </c:lineChart>
      <c:catAx>
        <c:axId val="22862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624256"/>
        <c:crosses val="autoZero"/>
        <c:auto val="1"/>
        <c:lblAlgn val="ctr"/>
        <c:lblOffset val="100"/>
      </c:catAx>
      <c:valAx>
        <c:axId val="22862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62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916"/>
          <c:w val="0.1354168853893554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8652544"/>
        <c:axId val="228654080"/>
      </c:lineChart>
      <c:catAx>
        <c:axId val="22865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654080"/>
        <c:crosses val="autoZero"/>
        <c:auto val="1"/>
        <c:lblAlgn val="ctr"/>
        <c:lblOffset val="100"/>
      </c:catAx>
      <c:valAx>
        <c:axId val="228654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65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91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228678656"/>
        <c:axId val="228684544"/>
      </c:lineChart>
      <c:catAx>
        <c:axId val="22867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684544"/>
        <c:crosses val="autoZero"/>
        <c:auto val="1"/>
        <c:lblAlgn val="ctr"/>
        <c:lblOffset val="100"/>
      </c:catAx>
      <c:valAx>
        <c:axId val="228684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67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8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228708736"/>
        <c:axId val="228710272"/>
      </c:lineChart>
      <c:catAx>
        <c:axId val="22870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710272"/>
        <c:crosses val="autoZero"/>
        <c:auto val="1"/>
        <c:lblAlgn val="ctr"/>
        <c:lblOffset val="100"/>
      </c:catAx>
      <c:valAx>
        <c:axId val="228710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70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916"/>
          <c:w val="0.1354168853893554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8795904"/>
        <c:axId val="228797440"/>
      </c:lineChart>
      <c:catAx>
        <c:axId val="22879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797440"/>
        <c:crosses val="autoZero"/>
        <c:auto val="1"/>
        <c:lblAlgn val="ctr"/>
        <c:lblOffset val="100"/>
      </c:catAx>
      <c:valAx>
        <c:axId val="2287974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79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101"/>
          <c:y val="0.54325368498487869"/>
          <c:w val="0.11458355205599259"/>
          <c:h val="4.49826989619494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53.612903225817718</c:v>
                </c:pt>
                <c:pt idx="5">
                  <c:v>-850.03225806448609</c:v>
                </c:pt>
                <c:pt idx="6">
                  <c:v>-1226.7096774193633</c:v>
                </c:pt>
                <c:pt idx="7">
                  <c:v>-920.03225806454429</c:v>
                </c:pt>
                <c:pt idx="8">
                  <c:v>-1226.7096774193342</c:v>
                </c:pt>
                <c:pt idx="9">
                  <c:v>-1840.0645161290304</c:v>
                </c:pt>
                <c:pt idx="10">
                  <c:v>-1533.3870967742114</c:v>
                </c:pt>
                <c:pt idx="11">
                  <c:v>-990.03225806451519</c:v>
                </c:pt>
                <c:pt idx="12">
                  <c:v>-1533.3870967741823</c:v>
                </c:pt>
                <c:pt idx="13">
                  <c:v>-1700.0645161290449</c:v>
                </c:pt>
                <c:pt idx="14">
                  <c:v>-1296.7096774193487</c:v>
                </c:pt>
                <c:pt idx="15">
                  <c:v>470.35483870966709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8842112"/>
        <c:axId val="228843904"/>
      </c:lineChart>
      <c:catAx>
        <c:axId val="22884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843904"/>
        <c:crosses val="autoZero"/>
        <c:auto val="1"/>
        <c:lblAlgn val="ctr"/>
        <c:lblOffset val="100"/>
      </c:catAx>
      <c:valAx>
        <c:axId val="228843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84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22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8745600"/>
        <c:axId val="228747136"/>
      </c:lineChart>
      <c:catAx>
        <c:axId val="22874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747136"/>
        <c:crosses val="autoZero"/>
        <c:auto val="1"/>
        <c:lblAlgn val="ctr"/>
        <c:lblOffset val="100"/>
      </c:catAx>
      <c:valAx>
        <c:axId val="22874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74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573"/>
          <c:h val="4.49826989619498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28767232"/>
        <c:axId val="228768768"/>
      </c:lineChart>
      <c:catAx>
        <c:axId val="22876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768768"/>
        <c:crosses val="autoZero"/>
        <c:auto val="1"/>
        <c:lblAlgn val="ctr"/>
        <c:lblOffset val="100"/>
      </c:catAx>
      <c:valAx>
        <c:axId val="2287687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76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8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39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31758464"/>
        <c:axId val="231776640"/>
      </c:lineChart>
      <c:catAx>
        <c:axId val="23175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776640"/>
        <c:crosses val="autoZero"/>
        <c:auto val="1"/>
        <c:lblAlgn val="ctr"/>
        <c:lblOffset val="100"/>
      </c:catAx>
      <c:valAx>
        <c:axId val="2317766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175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8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32140800"/>
        <c:axId val="232142336"/>
      </c:lineChart>
      <c:catAx>
        <c:axId val="23214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142336"/>
        <c:crosses val="autoZero"/>
        <c:auto val="1"/>
        <c:lblAlgn val="ctr"/>
        <c:lblOffset val="100"/>
      </c:catAx>
      <c:valAx>
        <c:axId val="23214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14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476"/>
          <c:y val="0.62975887529635965"/>
          <c:w val="0.13250539334757044"/>
          <c:h val="4.49826989619498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32162432"/>
        <c:axId val="232163968"/>
      </c:lineChart>
      <c:catAx>
        <c:axId val="23216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163968"/>
        <c:crosses val="autoZero"/>
        <c:auto val="1"/>
        <c:lblAlgn val="ctr"/>
        <c:lblOffset val="100"/>
      </c:catAx>
      <c:valAx>
        <c:axId val="232163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16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91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32179968"/>
        <c:axId val="232067072"/>
      </c:lineChart>
      <c:catAx>
        <c:axId val="23217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067072"/>
        <c:crosses val="autoZero"/>
        <c:auto val="1"/>
        <c:lblAlgn val="ctr"/>
        <c:lblOffset val="100"/>
      </c:catAx>
      <c:valAx>
        <c:axId val="23206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17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486"/>
          <c:w val="0.1234311819809306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232092032"/>
        <c:axId val="232093568"/>
      </c:lineChart>
      <c:catAx>
        <c:axId val="2320920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093568"/>
        <c:crosses val="autoZero"/>
        <c:auto val="1"/>
        <c:lblAlgn val="ctr"/>
        <c:lblOffset val="100"/>
      </c:catAx>
      <c:valAx>
        <c:axId val="2320935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09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66"/>
          <c:w val="0.1569039853282196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42943104"/>
        <c:axId val="242944640"/>
      </c:lineChart>
      <c:catAx>
        <c:axId val="24294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2944640"/>
        <c:crosses val="autoZero"/>
        <c:auto val="1"/>
        <c:lblAlgn val="ctr"/>
        <c:lblOffset val="100"/>
      </c:catAx>
      <c:valAx>
        <c:axId val="2429446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29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003"/>
          <c:h val="4.4982698961950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43022464"/>
        <c:axId val="243040640"/>
      </c:lineChart>
      <c:catAx>
        <c:axId val="24302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3040640"/>
        <c:crosses val="autoZero"/>
        <c:auto val="1"/>
        <c:lblAlgn val="ctr"/>
        <c:lblOffset val="100"/>
      </c:catAx>
      <c:valAx>
        <c:axId val="243040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302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0892"/>
          <c:y val="0.62975887529635965"/>
          <c:w val="0.12164948453608219"/>
          <c:h val="4.4982698961950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246661120"/>
        <c:axId val="246662656"/>
      </c:lineChart>
      <c:catAx>
        <c:axId val="24666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662656"/>
        <c:crosses val="autoZero"/>
        <c:auto val="1"/>
        <c:lblAlgn val="ctr"/>
        <c:lblOffset val="100"/>
      </c:catAx>
      <c:valAx>
        <c:axId val="246662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66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246707712"/>
        <c:axId val="246709248"/>
      </c:lineChart>
      <c:catAx>
        <c:axId val="24670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709248"/>
        <c:crosses val="autoZero"/>
        <c:auto val="1"/>
        <c:lblAlgn val="ctr"/>
        <c:lblOffset val="100"/>
      </c:catAx>
      <c:valAx>
        <c:axId val="246709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670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779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258158592"/>
        <c:axId val="258160128"/>
      </c:lineChart>
      <c:catAx>
        <c:axId val="2581585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160128"/>
        <c:crosses val="autoZero"/>
        <c:auto val="1"/>
        <c:lblAlgn val="ctr"/>
        <c:lblOffset val="100"/>
      </c:catAx>
      <c:valAx>
        <c:axId val="2581601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15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6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0.10970589326461376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9.8460001285993762E-2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6753</v>
      </c>
      <c r="F4" s="330">
        <f>SUM('EDl log'!T6)</f>
        <v>0.10686797525841625</v>
      </c>
      <c r="G4" s="203">
        <f>-tanks!AW8</f>
        <v>289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6587</v>
      </c>
      <c r="F5" s="330">
        <f>SUM('EDl log'!T7)</f>
        <v>0.11412325686551478</v>
      </c>
      <c r="G5" s="203">
        <f>-tanks!AW9</f>
        <v>314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5932</v>
      </c>
      <c r="F6" s="330">
        <f>SUM('EDl log'!T8)</f>
        <v>1.3763832956632641E-2</v>
      </c>
      <c r="G6" s="203">
        <f>-tanks!AW10</f>
        <v>391</v>
      </c>
      <c r="H6" s="330">
        <f>SUM(tanks!AV10)</f>
        <v>0.67400000000000004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5977</v>
      </c>
      <c r="F7" s="330">
        <f>SUM('EDl log'!T9)</f>
        <v>9.6759308275712982E-2</v>
      </c>
      <c r="G7" s="203">
        <f>-tanks!AW11</f>
        <v>311</v>
      </c>
      <c r="H7" s="330">
        <f>SUM(tanks!AV11)</f>
        <v>0.67400000000000004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6551.2000000001863</v>
      </c>
      <c r="F8" s="330">
        <f>SUM('EDl log'!T10)</f>
        <v>0.11754506724700514</v>
      </c>
      <c r="G8" s="203">
        <f>-tanks!AW12</f>
        <v>279</v>
      </c>
      <c r="H8" s="330">
        <f>SUM(tanks!AV12)</f>
        <v>0.67400000000000004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6289.7999999998137</v>
      </c>
      <c r="F9" s="330">
        <f>SUM('EDl log'!T11)</f>
        <v>9.4905564099511341E-2</v>
      </c>
      <c r="G9" s="203">
        <f>-tanks!AW13</f>
        <v>333.39999999999418</v>
      </c>
      <c r="H9" s="330">
        <f>SUM(tanks!AV13)</f>
        <v>0.67400000000000004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7008</v>
      </c>
      <c r="F10" s="330">
        <f>SUM('EDl log'!T12)</f>
        <v>0.10532261624308026</v>
      </c>
      <c r="G10" s="203">
        <f>-tanks!AW14</f>
        <v>236</v>
      </c>
      <c r="H10" s="330">
        <f>SUM(tanks!AV14)</f>
        <v>0.67400000000000004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7276</v>
      </c>
      <c r="F11" s="330">
        <f>SUM('EDl log'!T13)</f>
        <v>0.14149807208193224</v>
      </c>
      <c r="G11" s="203">
        <f>-tanks!AW15</f>
        <v>236</v>
      </c>
      <c r="H11" s="330">
        <f>SUM(tanks!AV15)</f>
        <v>0.67400000000000004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7236</v>
      </c>
      <c r="F12" s="330">
        <f>SUM('EDl log'!T14)</f>
        <v>0.11990293841978418</v>
      </c>
      <c r="G12" s="203">
        <f>-tanks!AW16</f>
        <v>253</v>
      </c>
      <c r="H12" s="330">
        <f>SUM(tanks!AV16)</f>
        <v>0.67400000000000004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5643</v>
      </c>
      <c r="F13" s="330">
        <f>SUM('EDl log'!T15)</f>
        <v>0.11072926862381996</v>
      </c>
      <c r="G13" s="203">
        <f>-tanks!AW17</f>
        <v>234</v>
      </c>
      <c r="H13" s="330">
        <f>SUM(tanks!AV17)</f>
        <v>0.67400000000000004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6507</v>
      </c>
      <c r="F14" s="330">
        <f>SUM('EDl log'!T16)</f>
        <v>0.13264523304040809</v>
      </c>
      <c r="G14" s="203">
        <f>-tanks!AW18</f>
        <v>281</v>
      </c>
      <c r="H14" s="330">
        <f>SUM(tanks!AV18)</f>
        <v>0.67400000000000004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7439</v>
      </c>
      <c r="F15" s="330">
        <f>SUM('EDl log'!T17)</f>
        <v>0.13023947574006386</v>
      </c>
      <c r="G15" s="203">
        <f>-tanks!AW19</f>
        <v>267</v>
      </c>
      <c r="H15" s="330">
        <f>SUM(tanks!AV19)</f>
        <v>0.67400000000000004</v>
      </c>
      <c r="I15" s="10">
        <f>('B5'!AU18)*0.51</f>
        <v>0</v>
      </c>
      <c r="J15" s="309">
        <f>'B5'!AX18/0.51</f>
        <v>1.5686274509803921</v>
      </c>
      <c r="K15" s="203">
        <f>WATER!I19</f>
        <v>279</v>
      </c>
      <c r="L15" s="331">
        <f>SUM(WATER!J19)</f>
        <v>0.96006144393241155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7469</v>
      </c>
      <c r="F16" s="330">
        <f>SUM('EDl log'!T18)</f>
        <v>0.10411850384858914</v>
      </c>
      <c r="G16" s="203">
        <f>-tanks!AW20</f>
        <v>217</v>
      </c>
      <c r="H16" s="330">
        <f>SUM(tanks!AV20)</f>
        <v>0.67400000000000004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5934</v>
      </c>
      <c r="F17" s="330">
        <f>SUM('EDl log'!T19)</f>
        <v>-7.4139300530389578E-3</v>
      </c>
      <c r="G17" s="203">
        <f>-tanks!AW21</f>
        <v>228</v>
      </c>
      <c r="H17" s="330">
        <f>SUM(tanks!AV21)</f>
        <v>0.68899999999999995</v>
      </c>
      <c r="I17" s="10">
        <f>('B5'!AU20)*0.51</f>
        <v>0</v>
      </c>
      <c r="J17" s="309">
        <f>'B5'!AX20/0.51</f>
        <v>1.5686274509803921</v>
      </c>
      <c r="K17" s="203">
        <f>WATER!I21</f>
        <v>167</v>
      </c>
      <c r="L17" s="331">
        <f>SUM(WATER!J21)</f>
        <v>1.60393498716852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0.68899999999999995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0.68899999999999995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0.68899999999999995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0.68899999999999995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0.68899999999999995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0.68899999999999995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0.68899999999999995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0.68899999999999995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0.68899999999999995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0.68899999999999995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0.68899999999999995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0.68899999999999995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selection activeCell="A30" sqref="A30:XFD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1612</v>
      </c>
      <c r="F6" s="203">
        <f>ELEC!K7</f>
        <v>916</v>
      </c>
      <c r="G6" s="203">
        <f>ELEC!I7</f>
        <v>740</v>
      </c>
      <c r="H6" s="203">
        <f>ELEC!E7</f>
        <v>2056</v>
      </c>
      <c r="I6" s="203">
        <f>ELEC!G7</f>
        <v>608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1658</v>
      </c>
      <c r="F7" s="203">
        <f>ELEC!K8</f>
        <v>902</v>
      </c>
      <c r="G7" s="203">
        <f>ELEC!I8</f>
        <v>800</v>
      </c>
      <c r="H7" s="203">
        <f>ELEC!E8</f>
        <v>1952</v>
      </c>
      <c r="I7" s="203">
        <f>ELEC!G8</f>
        <v>665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1976</v>
      </c>
      <c r="F8" s="203">
        <f>ELEC!K9</f>
        <v>1446</v>
      </c>
      <c r="G8" s="203">
        <f>ELEC!I9</f>
        <v>816</v>
      </c>
      <c r="H8" s="203">
        <f>ELEC!E9</f>
        <v>1710</v>
      </c>
      <c r="I8" s="203">
        <f>ELEC!G9</f>
        <v>603.20000000018626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1758</v>
      </c>
      <c r="F9" s="203">
        <f>ELEC!K10</f>
        <v>1470</v>
      </c>
      <c r="G9" s="203">
        <f>ELEC!I10</f>
        <v>796</v>
      </c>
      <c r="H9" s="203">
        <f>ELEC!E10</f>
        <v>1662</v>
      </c>
      <c r="I9" s="203">
        <f>ELEC!G10</f>
        <v>603.79999999981374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1638</v>
      </c>
      <c r="F10" s="203">
        <f>ELEC!K11</f>
        <v>1918</v>
      </c>
      <c r="G10" s="203">
        <f>ELEC!I11</f>
        <v>876</v>
      </c>
      <c r="H10" s="203">
        <f>ELEC!E11</f>
        <v>1908</v>
      </c>
      <c r="I10" s="203">
        <f>ELEC!G11</f>
        <v>668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1680</v>
      </c>
      <c r="F11" s="203">
        <f>ELEC!K12</f>
        <v>2182</v>
      </c>
      <c r="G11" s="203">
        <f>ELEC!I12</f>
        <v>832</v>
      </c>
      <c r="H11" s="203">
        <f>ELEC!E12</f>
        <v>1948</v>
      </c>
      <c r="I11" s="203">
        <f>ELEC!G12</f>
        <v>634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1740</v>
      </c>
      <c r="F12" s="203">
        <f>ELEC!K13</f>
        <v>2034</v>
      </c>
      <c r="G12" s="203">
        <f>ELEC!I13</f>
        <v>888</v>
      </c>
      <c r="H12" s="203">
        <f>ELEC!E13</f>
        <v>1926</v>
      </c>
      <c r="I12" s="203">
        <f>ELEC!G13</f>
        <v>648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1352</v>
      </c>
      <c r="F13" s="203">
        <f>ELEC!K14</f>
        <v>1496</v>
      </c>
      <c r="G13" s="203">
        <f>ELEC!I14</f>
        <v>764</v>
      </c>
      <c r="H13" s="203">
        <f>ELEC!E14</f>
        <v>1422</v>
      </c>
      <c r="I13" s="203">
        <f>ELEC!G14</f>
        <v>609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1720</v>
      </c>
      <c r="F14" s="203">
        <f>ELEC!K15</f>
        <v>1536</v>
      </c>
      <c r="G14" s="203">
        <f>ELEC!I15</f>
        <v>888</v>
      </c>
      <c r="H14" s="203">
        <f>ELEC!E15</f>
        <v>1764</v>
      </c>
      <c r="I14" s="203">
        <f>ELEC!G15</f>
        <v>599</v>
      </c>
      <c r="J14" s="203">
        <f>WATER!Y18</f>
        <v>64</v>
      </c>
      <c r="K14" s="203">
        <f>WATER!AJ18</f>
        <v>61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2612</v>
      </c>
      <c r="F15" s="203">
        <f>ELEC!K16</f>
        <v>1084</v>
      </c>
      <c r="G15" s="203">
        <f>ELEC!I16</f>
        <v>838</v>
      </c>
      <c r="H15" s="203">
        <f>ELEC!E16</f>
        <v>2326</v>
      </c>
      <c r="I15" s="203">
        <f>ELEC!G16</f>
        <v>579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2664</v>
      </c>
      <c r="F16" s="203">
        <f>ELEC!K17</f>
        <v>1092</v>
      </c>
      <c r="G16" s="203">
        <f>ELEC!I17</f>
        <v>910</v>
      </c>
      <c r="H16" s="203">
        <f>ELEC!E17</f>
        <v>2194</v>
      </c>
      <c r="I16" s="203">
        <f>ELEC!G17</f>
        <v>609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1572</v>
      </c>
      <c r="F17" s="203">
        <f>ELEC!K18</f>
        <v>822</v>
      </c>
      <c r="G17" s="203">
        <f>ELEC!I18</f>
        <v>794</v>
      </c>
      <c r="H17" s="203">
        <f>ELEC!E18</f>
        <v>2176</v>
      </c>
      <c r="I17" s="203">
        <f>ELEC!G18</f>
        <v>570</v>
      </c>
      <c r="J17" s="203">
        <f>WATER!Y21</f>
        <v>140</v>
      </c>
      <c r="K17" s="203">
        <f>WATER!AJ21</f>
        <v>35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S1" zoomScale="85" zoomScaleNormal="85" zoomScaleSheetLayoutView="100" workbookViewId="0">
      <pane ySplit="1" topLeftCell="A5" activePane="bottomLeft" state="frozen"/>
      <selection activeCell="C1" sqref="C1"/>
      <selection pane="bottomLeft" activeCell="AH18" sqref="AH18"/>
    </sheetView>
  </sheetViews>
  <sheetFormatPr defaultColWidth="9.1796875" defaultRowHeight="14.5"/>
  <cols>
    <col min="1" max="1" width="7.7265625" style="466" bestFit="1" customWidth="1"/>
    <col min="2" max="2" width="10.26953125" style="474" bestFit="1" customWidth="1"/>
    <col min="3" max="3" width="11.54296875" style="466" customWidth="1"/>
    <col min="4" max="4" width="18" style="475" bestFit="1" customWidth="1"/>
    <col min="5" max="5" width="14.453125" style="475" bestFit="1" customWidth="1"/>
    <col min="6" max="6" width="15.269531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265625" style="475" customWidth="1"/>
    <col min="12" max="12" width="18" style="475" bestFit="1" customWidth="1"/>
    <col min="13" max="13" width="12.54296875" style="475" bestFit="1" customWidth="1"/>
    <col min="14" max="14" width="15.453125" style="466" bestFit="1" customWidth="1"/>
    <col min="15" max="15" width="13.1796875" style="476" bestFit="1" customWidth="1"/>
    <col min="16" max="16" width="14.26953125" style="466" bestFit="1" customWidth="1"/>
    <col min="17" max="17" width="13.7265625" style="466" bestFit="1" customWidth="1"/>
    <col min="18" max="18" width="12.453125" style="466" bestFit="1" customWidth="1"/>
    <col min="19" max="21" width="11.54296875" style="466" bestFit="1" customWidth="1"/>
    <col min="22" max="22" width="13.1796875" style="466" bestFit="1" customWidth="1"/>
    <col min="23" max="25" width="11.54296875" style="466" bestFit="1" customWidth="1"/>
    <col min="26" max="26" width="13.1796875" style="466" bestFit="1" customWidth="1"/>
    <col min="27" max="29" width="11.54296875" style="466" bestFit="1" customWidth="1"/>
    <col min="30" max="30" width="13.1796875" style="466" bestFit="1" customWidth="1"/>
    <col min="31" max="32" width="11.54296875" style="466" bestFit="1" customWidth="1"/>
    <col min="33" max="33" width="14.453125" style="466" bestFit="1" customWidth="1"/>
    <col min="34" max="34" width="9.1796875" style="466"/>
    <col min="35" max="35" width="9.7265625" style="466" bestFit="1" customWidth="1"/>
    <col min="36" max="16384" width="9.179687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709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710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710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710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710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v>32594150</v>
      </c>
      <c r="E7" s="311">
        <f t="shared" si="10"/>
        <v>2056</v>
      </c>
      <c r="F7" s="445">
        <v>3957163</v>
      </c>
      <c r="G7" s="312">
        <f t="shared" si="0"/>
        <v>608</v>
      </c>
      <c r="H7" s="445">
        <v>17783774</v>
      </c>
      <c r="I7" s="312">
        <f t="shared" si="11"/>
        <v>740</v>
      </c>
      <c r="J7" s="445">
        <v>28882234</v>
      </c>
      <c r="K7" s="312">
        <f t="shared" si="12"/>
        <v>916</v>
      </c>
      <c r="L7" s="445">
        <v>24006940</v>
      </c>
      <c r="M7" s="312">
        <f t="shared" si="13"/>
        <v>1612</v>
      </c>
      <c r="N7" s="310">
        <f t="shared" si="14"/>
        <v>5932</v>
      </c>
      <c r="O7" s="467">
        <f t="shared" si="1"/>
        <v>0</v>
      </c>
      <c r="P7" s="710">
        <v>16587.36</v>
      </c>
      <c r="Q7" s="449">
        <f t="shared" si="2"/>
        <v>1965.0000000001455</v>
      </c>
      <c r="R7" s="449">
        <f t="shared" si="18"/>
        <v>3966.9999999998545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v>35687</v>
      </c>
      <c r="AB7" s="449">
        <f t="shared" si="16"/>
        <v>3</v>
      </c>
      <c r="AC7" s="445">
        <v>914939</v>
      </c>
      <c r="AD7" s="449">
        <f t="shared" si="17"/>
        <v>440</v>
      </c>
      <c r="AE7" s="472">
        <f t="shared" si="8"/>
        <v>3</v>
      </c>
      <c r="AF7" s="473">
        <f t="shared" si="9"/>
        <v>440</v>
      </c>
      <c r="AG7" s="465">
        <f t="shared" si="5"/>
        <v>146.66666666666666</v>
      </c>
      <c r="AI7" s="466">
        <f>R7-'EDl log'!B5</f>
        <v>-854387.00000000012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v>32596102</v>
      </c>
      <c r="E8" s="311">
        <f t="shared" si="10"/>
        <v>1952</v>
      </c>
      <c r="F8" s="445">
        <v>3957828</v>
      </c>
      <c r="G8" s="312">
        <f t="shared" si="0"/>
        <v>665</v>
      </c>
      <c r="H8" s="445">
        <v>17784574</v>
      </c>
      <c r="I8" s="312">
        <f t="shared" si="11"/>
        <v>800</v>
      </c>
      <c r="J8" s="445">
        <v>28883136</v>
      </c>
      <c r="K8" s="312">
        <f t="shared" si="12"/>
        <v>902</v>
      </c>
      <c r="L8" s="445">
        <v>24008598</v>
      </c>
      <c r="M8" s="312">
        <f t="shared" si="13"/>
        <v>1658</v>
      </c>
      <c r="N8" s="310">
        <f t="shared" si="14"/>
        <v>5977</v>
      </c>
      <c r="O8" s="467">
        <f t="shared" si="1"/>
        <v>0</v>
      </c>
      <c r="P8" s="710">
        <v>16589.054</v>
      </c>
      <c r="Q8" s="449">
        <f t="shared" si="2"/>
        <v>1693.9999999995052</v>
      </c>
      <c r="R8" s="449">
        <f t="shared" si="18"/>
        <v>4283.0000000004948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v>35689</v>
      </c>
      <c r="AB8" s="449">
        <f t="shared" si="16"/>
        <v>2</v>
      </c>
      <c r="AC8" s="445">
        <v>915313</v>
      </c>
      <c r="AD8" s="449">
        <f t="shared" si="17"/>
        <v>374</v>
      </c>
      <c r="AE8" s="472">
        <f t="shared" si="8"/>
        <v>2</v>
      </c>
      <c r="AF8" s="473">
        <f t="shared" si="9"/>
        <v>374</v>
      </c>
      <c r="AG8" s="465">
        <f t="shared" si="5"/>
        <v>187</v>
      </c>
      <c r="AI8" s="466">
        <f>R8-'EDl log'!B6</f>
        <v>-856157.99999999953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v>32597812</v>
      </c>
      <c r="E9" s="311">
        <f t="shared" si="10"/>
        <v>1710</v>
      </c>
      <c r="F9" s="445">
        <v>3958431.2</v>
      </c>
      <c r="G9" s="312">
        <f t="shared" si="0"/>
        <v>603.20000000018626</v>
      </c>
      <c r="H9" s="445">
        <v>17785390</v>
      </c>
      <c r="I9" s="312">
        <f t="shared" si="11"/>
        <v>816</v>
      </c>
      <c r="J9" s="445">
        <v>28884582</v>
      </c>
      <c r="K9" s="312">
        <f t="shared" si="12"/>
        <v>1446</v>
      </c>
      <c r="L9" s="445">
        <v>24010574</v>
      </c>
      <c r="M9" s="312">
        <f t="shared" si="13"/>
        <v>1976</v>
      </c>
      <c r="N9" s="310">
        <f t="shared" si="14"/>
        <v>6551.2000000001863</v>
      </c>
      <c r="O9" s="467">
        <f t="shared" si="1"/>
        <v>0</v>
      </c>
      <c r="P9" s="710">
        <v>16591.098000000002</v>
      </c>
      <c r="Q9" s="449">
        <f t="shared" si="2"/>
        <v>2044.000000001688</v>
      </c>
      <c r="R9" s="449">
        <f t="shared" si="18"/>
        <v>4507.1999999984982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v>32169</v>
      </c>
      <c r="X9" s="449">
        <f t="shared" ref="X9:X30" si="20">W9-W8</f>
        <v>2</v>
      </c>
      <c r="Y9" s="445">
        <v>696833</v>
      </c>
      <c r="Z9" s="449">
        <f t="shared" si="19"/>
        <v>481</v>
      </c>
      <c r="AA9" s="445">
        <f t="shared" si="7"/>
        <v>35689</v>
      </c>
      <c r="AB9" s="449">
        <f t="shared" si="16"/>
        <v>0</v>
      </c>
      <c r="AC9" s="445">
        <v>915313</v>
      </c>
      <c r="AD9" s="449">
        <f t="shared" si="17"/>
        <v>0</v>
      </c>
      <c r="AE9" s="472">
        <f t="shared" si="8"/>
        <v>2</v>
      </c>
      <c r="AF9" s="473">
        <f t="shared" si="9"/>
        <v>481</v>
      </c>
      <c r="AG9" s="465">
        <f t="shared" si="5"/>
        <v>240.5</v>
      </c>
      <c r="AI9" s="466">
        <f>R9-'EDl log'!B7</f>
        <v>-858088.80000000144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v>32599474</v>
      </c>
      <c r="E10" s="311">
        <f t="shared" si="10"/>
        <v>1662</v>
      </c>
      <c r="F10" s="445">
        <v>3959035</v>
      </c>
      <c r="G10" s="312">
        <f t="shared" si="0"/>
        <v>603.79999999981374</v>
      </c>
      <c r="H10" s="445">
        <v>17786186</v>
      </c>
      <c r="I10" s="312">
        <f t="shared" si="11"/>
        <v>796</v>
      </c>
      <c r="J10" s="445">
        <v>28886052</v>
      </c>
      <c r="K10" s="312">
        <f t="shared" si="12"/>
        <v>1470</v>
      </c>
      <c r="L10" s="445">
        <v>24012332</v>
      </c>
      <c r="M10" s="312">
        <f t="shared" si="13"/>
        <v>1758</v>
      </c>
      <c r="N10" s="310">
        <f t="shared" si="14"/>
        <v>6289.7999999998137</v>
      </c>
      <c r="O10" s="467">
        <f t="shared" ref="O10:O30" si="21">IF(B10&gt;0,N10/B10,0)</f>
        <v>0</v>
      </c>
      <c r="P10" s="710">
        <v>16593.143</v>
      </c>
      <c r="Q10" s="449">
        <f t="shared" si="2"/>
        <v>2044.9999999982538</v>
      </c>
      <c r="R10" s="449">
        <f t="shared" si="18"/>
        <v>4244.80000000156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v>32172</v>
      </c>
      <c r="X10" s="449">
        <f t="shared" si="20"/>
        <v>3</v>
      </c>
      <c r="Y10" s="445">
        <v>697351</v>
      </c>
      <c r="Z10" s="449">
        <f t="shared" si="19"/>
        <v>518</v>
      </c>
      <c r="AA10" s="445">
        <f t="shared" si="7"/>
        <v>35689</v>
      </c>
      <c r="AB10" s="449">
        <f t="shared" si="16"/>
        <v>0</v>
      </c>
      <c r="AC10" s="445">
        <f t="shared" si="7"/>
        <v>915313</v>
      </c>
      <c r="AD10" s="449">
        <f t="shared" si="17"/>
        <v>0</v>
      </c>
      <c r="AE10" s="472">
        <f t="shared" si="8"/>
        <v>3</v>
      </c>
      <c r="AF10" s="473">
        <f t="shared" si="9"/>
        <v>518</v>
      </c>
      <c r="AG10" s="465">
        <f t="shared" ref="AG10:AG30" si="22">IF(AE10&gt;0,AF10/AE10,0)</f>
        <v>172.66666666666666</v>
      </c>
      <c r="AI10" s="466">
        <f>R10-'EDl log'!B8</f>
        <v>-860497.19999999844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v>32601382</v>
      </c>
      <c r="E11" s="311">
        <f t="shared" si="10"/>
        <v>1908</v>
      </c>
      <c r="F11" s="445">
        <v>3959703</v>
      </c>
      <c r="G11" s="312">
        <f t="shared" si="0"/>
        <v>668</v>
      </c>
      <c r="H11" s="445">
        <v>17787062</v>
      </c>
      <c r="I11" s="312">
        <f t="shared" si="11"/>
        <v>876</v>
      </c>
      <c r="J11" s="445">
        <v>28887970</v>
      </c>
      <c r="K11" s="312">
        <f t="shared" si="12"/>
        <v>1918</v>
      </c>
      <c r="L11" s="445">
        <v>24013970</v>
      </c>
      <c r="M11" s="312">
        <f t="shared" si="13"/>
        <v>1638</v>
      </c>
      <c r="N11" s="310">
        <f>M11+K11+I11+G11+E11</f>
        <v>7008</v>
      </c>
      <c r="O11" s="467">
        <f t="shared" si="21"/>
        <v>0</v>
      </c>
      <c r="P11" s="710">
        <v>16596.579000000002</v>
      </c>
      <c r="Q11" s="449">
        <f t="shared" si="2"/>
        <v>3436.0000000015134</v>
      </c>
      <c r="R11" s="449">
        <f t="shared" si="18"/>
        <v>3571.9999999984866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v>32176</v>
      </c>
      <c r="X11" s="449">
        <f t="shared" si="20"/>
        <v>4</v>
      </c>
      <c r="Y11" s="445">
        <v>698227</v>
      </c>
      <c r="Z11" s="449">
        <f t="shared" si="19"/>
        <v>876</v>
      </c>
      <c r="AA11" s="445">
        <f t="shared" si="7"/>
        <v>35689</v>
      </c>
      <c r="AB11" s="449">
        <f t="shared" si="16"/>
        <v>0</v>
      </c>
      <c r="AC11" s="445">
        <f t="shared" si="7"/>
        <v>915313</v>
      </c>
      <c r="AD11" s="449">
        <f t="shared" si="17"/>
        <v>0</v>
      </c>
      <c r="AE11" s="472">
        <f t="shared" si="8"/>
        <v>4</v>
      </c>
      <c r="AF11" s="473">
        <f t="shared" si="9"/>
        <v>876</v>
      </c>
      <c r="AG11" s="465">
        <f t="shared" si="22"/>
        <v>219</v>
      </c>
      <c r="AI11" s="466">
        <f>R11-'EDl log'!B9</f>
        <v>-863499.00000000151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v>32603330</v>
      </c>
      <c r="E12" s="311">
        <f t="shared" si="10"/>
        <v>1948</v>
      </c>
      <c r="F12" s="445">
        <v>3960337</v>
      </c>
      <c r="G12" s="312">
        <f t="shared" si="0"/>
        <v>634</v>
      </c>
      <c r="H12" s="445">
        <v>17787894</v>
      </c>
      <c r="I12" s="312">
        <f t="shared" si="11"/>
        <v>832</v>
      </c>
      <c r="J12" s="445">
        <v>28890152</v>
      </c>
      <c r="K12" s="312">
        <f t="shared" si="12"/>
        <v>2182</v>
      </c>
      <c r="L12" s="445">
        <v>24015650</v>
      </c>
      <c r="M12" s="312">
        <f t="shared" si="13"/>
        <v>1680</v>
      </c>
      <c r="N12" s="310">
        <f>M12+K12+I12+G12+E12</f>
        <v>7276</v>
      </c>
      <c r="O12" s="467">
        <f t="shared" si="21"/>
        <v>0</v>
      </c>
      <c r="P12" s="710">
        <v>16601.021000000001</v>
      </c>
      <c r="Q12" s="449">
        <f t="shared" si="2"/>
        <v>4441.9999999990978</v>
      </c>
      <c r="R12" s="449">
        <f t="shared" si="18"/>
        <v>2834.0000000009022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v>32182</v>
      </c>
      <c r="X12" s="449">
        <f t="shared" si="20"/>
        <v>6</v>
      </c>
      <c r="Y12" s="445">
        <v>699173</v>
      </c>
      <c r="Z12" s="449">
        <f t="shared" si="19"/>
        <v>946</v>
      </c>
      <c r="AA12" s="445">
        <v>35689</v>
      </c>
      <c r="AB12" s="449">
        <f t="shared" si="16"/>
        <v>0</v>
      </c>
      <c r="AC12" s="445">
        <f t="shared" si="7"/>
        <v>915313</v>
      </c>
      <c r="AD12" s="449">
        <f t="shared" si="17"/>
        <v>0</v>
      </c>
      <c r="AE12" s="472">
        <f t="shared" si="8"/>
        <v>6</v>
      </c>
      <c r="AF12" s="473">
        <f t="shared" si="9"/>
        <v>946</v>
      </c>
      <c r="AG12" s="465">
        <f t="shared" si="22"/>
        <v>157.66666666666666</v>
      </c>
      <c r="AI12" s="466">
        <f>R12-'EDl log'!B10</f>
        <v>-866645.99999999907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v>32605256</v>
      </c>
      <c r="E13" s="311">
        <f t="shared" si="10"/>
        <v>1926</v>
      </c>
      <c r="F13" s="445">
        <v>3960985</v>
      </c>
      <c r="G13" s="312">
        <f t="shared" si="0"/>
        <v>648</v>
      </c>
      <c r="H13" s="445">
        <v>17788782</v>
      </c>
      <c r="I13" s="312">
        <f t="shared" si="11"/>
        <v>888</v>
      </c>
      <c r="J13" s="445">
        <v>28892186</v>
      </c>
      <c r="K13" s="312">
        <f t="shared" si="12"/>
        <v>2034</v>
      </c>
      <c r="L13" s="445">
        <v>24017390</v>
      </c>
      <c r="M13" s="312">
        <f t="shared" si="13"/>
        <v>1740</v>
      </c>
      <c r="N13" s="310">
        <f t="shared" si="14"/>
        <v>7236</v>
      </c>
      <c r="O13" s="467">
        <f t="shared" si="21"/>
        <v>0</v>
      </c>
      <c r="P13" s="710">
        <v>16605.02</v>
      </c>
      <c r="Q13" s="449">
        <f>(P13-P12)*1000</f>
        <v>3998.9999999997963</v>
      </c>
      <c r="R13" s="449">
        <f t="shared" ref="R13" si="23">N13-Q13</f>
        <v>3237.0000000002037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v>32187</v>
      </c>
      <c r="X13" s="449">
        <f t="shared" si="20"/>
        <v>5</v>
      </c>
      <c r="Y13" s="445">
        <v>699988</v>
      </c>
      <c r="Z13" s="449">
        <f t="shared" si="19"/>
        <v>815</v>
      </c>
      <c r="AA13" s="445">
        <f t="shared" si="7"/>
        <v>35689</v>
      </c>
      <c r="AB13" s="449">
        <f t="shared" si="16"/>
        <v>0</v>
      </c>
      <c r="AC13" s="445">
        <f t="shared" si="7"/>
        <v>915313</v>
      </c>
      <c r="AD13" s="449">
        <f t="shared" si="17"/>
        <v>0</v>
      </c>
      <c r="AE13" s="472">
        <f t="shared" si="8"/>
        <v>5</v>
      </c>
      <c r="AF13" s="473">
        <f t="shared" si="9"/>
        <v>815</v>
      </c>
      <c r="AG13" s="465">
        <f t="shared" si="22"/>
        <v>163</v>
      </c>
      <c r="AI13" s="466">
        <f>R13-'EDl log'!B11</f>
        <v>-868525.99999999977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v>32606678</v>
      </c>
      <c r="E14" s="311">
        <f t="shared" si="10"/>
        <v>1422</v>
      </c>
      <c r="F14" s="445">
        <v>3961594</v>
      </c>
      <c r="G14" s="312">
        <f t="shared" si="0"/>
        <v>609</v>
      </c>
      <c r="H14" s="445">
        <v>17789546</v>
      </c>
      <c r="I14" s="312">
        <f t="shared" si="11"/>
        <v>764</v>
      </c>
      <c r="J14" s="445">
        <v>28893682</v>
      </c>
      <c r="K14" s="312">
        <f t="shared" si="12"/>
        <v>1496</v>
      </c>
      <c r="L14" s="445">
        <v>24018742</v>
      </c>
      <c r="M14" s="312">
        <f t="shared" si="13"/>
        <v>1352</v>
      </c>
      <c r="N14" s="310">
        <f t="shared" si="14"/>
        <v>5643</v>
      </c>
      <c r="O14" s="467">
        <f t="shared" si="21"/>
        <v>0</v>
      </c>
      <c r="P14" s="710">
        <v>16607.648000000001</v>
      </c>
      <c r="Q14" s="449">
        <f t="shared" ref="Q14:Q30" si="24">(P14-P13)*1000</f>
        <v>2628.0000000006112</v>
      </c>
      <c r="R14" s="449">
        <f t="shared" ref="R14:R30" si="25">N14-Q14</f>
        <v>3014.9999999993888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v>32191</v>
      </c>
      <c r="X14" s="449">
        <f t="shared" si="20"/>
        <v>4</v>
      </c>
      <c r="Y14" s="445">
        <v>700543</v>
      </c>
      <c r="Z14" s="449">
        <f t="shared" si="19"/>
        <v>555</v>
      </c>
      <c r="AA14" s="445">
        <f t="shared" si="7"/>
        <v>35689</v>
      </c>
      <c r="AB14" s="449">
        <f t="shared" si="16"/>
        <v>0</v>
      </c>
      <c r="AC14" s="445">
        <f t="shared" si="7"/>
        <v>915313</v>
      </c>
      <c r="AD14" s="449">
        <f t="shared" si="17"/>
        <v>0</v>
      </c>
      <c r="AE14" s="472">
        <f t="shared" si="8"/>
        <v>4</v>
      </c>
      <c r="AF14" s="473">
        <f t="shared" si="9"/>
        <v>555</v>
      </c>
      <c r="AG14" s="465">
        <f t="shared" si="22"/>
        <v>138.75</v>
      </c>
      <c r="AI14" s="466">
        <f>R14-'EDl log'!B12</f>
        <v>-870707.00000000058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v>32608442</v>
      </c>
      <c r="E15" s="311">
        <f t="shared" si="10"/>
        <v>1764</v>
      </c>
      <c r="F15" s="445">
        <v>3962193</v>
      </c>
      <c r="G15" s="312">
        <f t="shared" si="0"/>
        <v>599</v>
      </c>
      <c r="H15" s="445">
        <v>17790434</v>
      </c>
      <c r="I15" s="312">
        <f t="shared" si="11"/>
        <v>888</v>
      </c>
      <c r="J15" s="445">
        <v>28895218</v>
      </c>
      <c r="K15" s="312">
        <f t="shared" si="12"/>
        <v>1536</v>
      </c>
      <c r="L15" s="445">
        <v>24020462</v>
      </c>
      <c r="M15" s="312">
        <f t="shared" si="13"/>
        <v>1720</v>
      </c>
      <c r="N15" s="310">
        <f t="shared" si="14"/>
        <v>6507</v>
      </c>
      <c r="O15" s="467">
        <f t="shared" si="21"/>
        <v>0</v>
      </c>
      <c r="P15" s="710">
        <v>16610.886999999999</v>
      </c>
      <c r="Q15" s="449">
        <f t="shared" si="24"/>
        <v>3238.999999997759</v>
      </c>
      <c r="R15" s="449">
        <f t="shared" si="25"/>
        <v>3268.000000002241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v>32194</v>
      </c>
      <c r="X15" s="449">
        <f t="shared" si="20"/>
        <v>3</v>
      </c>
      <c r="Y15" s="445">
        <v>700970</v>
      </c>
      <c r="Z15" s="449">
        <f t="shared" si="19"/>
        <v>427</v>
      </c>
      <c r="AA15" s="445">
        <f t="shared" si="7"/>
        <v>35689</v>
      </c>
      <c r="AB15" s="449">
        <f t="shared" si="16"/>
        <v>0</v>
      </c>
      <c r="AC15" s="445">
        <f t="shared" si="7"/>
        <v>915313</v>
      </c>
      <c r="AD15" s="449">
        <f t="shared" si="17"/>
        <v>0</v>
      </c>
      <c r="AE15" s="472">
        <f t="shared" si="8"/>
        <v>3</v>
      </c>
      <c r="AF15" s="473">
        <f t="shared" si="9"/>
        <v>427</v>
      </c>
      <c r="AG15" s="465">
        <f t="shared" si="22"/>
        <v>142.33333333333334</v>
      </c>
      <c r="AI15" s="466">
        <f>R15-'EDl log'!B13</f>
        <v>-872027.99999999779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v>32610768</v>
      </c>
      <c r="E16" s="311">
        <f t="shared" si="10"/>
        <v>2326</v>
      </c>
      <c r="F16" s="445">
        <v>3962772</v>
      </c>
      <c r="G16" s="312">
        <f t="shared" si="0"/>
        <v>579</v>
      </c>
      <c r="H16" s="445">
        <v>17791272</v>
      </c>
      <c r="I16" s="312">
        <f t="shared" si="11"/>
        <v>838</v>
      </c>
      <c r="J16" s="445">
        <v>28896302</v>
      </c>
      <c r="K16" s="312">
        <f t="shared" si="12"/>
        <v>1084</v>
      </c>
      <c r="L16" s="445">
        <v>24023074</v>
      </c>
      <c r="M16" s="312">
        <f t="shared" si="13"/>
        <v>2612</v>
      </c>
      <c r="N16" s="310">
        <f t="shared" si="14"/>
        <v>7439</v>
      </c>
      <c r="O16" s="467">
        <f t="shared" si="21"/>
        <v>0</v>
      </c>
      <c r="P16" s="710">
        <v>16614.541000000001</v>
      </c>
      <c r="Q16" s="449">
        <f t="shared" si="24"/>
        <v>3654.0000000022701</v>
      </c>
      <c r="R16" s="449">
        <f t="shared" si="25"/>
        <v>3784.9999999977299</v>
      </c>
      <c r="S16" s="445">
        <v>10123</v>
      </c>
      <c r="T16" s="469">
        <f t="shared" si="3"/>
        <v>5</v>
      </c>
      <c r="U16" s="445">
        <v>421599</v>
      </c>
      <c r="V16" s="449">
        <f t="shared" si="15"/>
        <v>877</v>
      </c>
      <c r="W16" s="445">
        <f t="shared" si="7"/>
        <v>32194</v>
      </c>
      <c r="X16" s="449">
        <f>W16-W15</f>
        <v>0</v>
      </c>
      <c r="Y16" s="445">
        <f t="shared" si="7"/>
        <v>700970</v>
      </c>
      <c r="Z16" s="449">
        <f>Y16-Y15</f>
        <v>0</v>
      </c>
      <c r="AA16" s="445">
        <f t="shared" si="7"/>
        <v>35689</v>
      </c>
      <c r="AB16" s="449">
        <f>AA16-AA15</f>
        <v>0</v>
      </c>
      <c r="AC16" s="445">
        <f t="shared" si="7"/>
        <v>915313</v>
      </c>
      <c r="AD16" s="449">
        <f t="shared" si="17"/>
        <v>0</v>
      </c>
      <c r="AE16" s="472">
        <f t="shared" si="8"/>
        <v>5</v>
      </c>
      <c r="AF16" s="473">
        <f t="shared" si="9"/>
        <v>877</v>
      </c>
      <c r="AG16" s="465">
        <f t="shared" si="22"/>
        <v>175.4</v>
      </c>
      <c r="AI16" s="466">
        <f>R16-'EDl log'!B14</f>
        <v>-873291.00000000233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v>32612962</v>
      </c>
      <c r="E17" s="311">
        <f t="shared" si="10"/>
        <v>2194</v>
      </c>
      <c r="F17" s="445">
        <v>3963381</v>
      </c>
      <c r="G17" s="312">
        <f t="shared" si="0"/>
        <v>609</v>
      </c>
      <c r="H17" s="445">
        <v>17792182</v>
      </c>
      <c r="I17" s="312">
        <f t="shared" si="11"/>
        <v>910</v>
      </c>
      <c r="J17" s="445">
        <v>28897394</v>
      </c>
      <c r="K17" s="312">
        <f t="shared" si="12"/>
        <v>1092</v>
      </c>
      <c r="L17" s="445">
        <v>24025738</v>
      </c>
      <c r="M17" s="312">
        <f t="shared" si="13"/>
        <v>2664</v>
      </c>
      <c r="N17" s="310">
        <f t="shared" si="14"/>
        <v>7469</v>
      </c>
      <c r="O17" s="467">
        <f t="shared" si="21"/>
        <v>0</v>
      </c>
      <c r="P17" s="710">
        <v>16618.522000000001</v>
      </c>
      <c r="Q17" s="449">
        <f t="shared" si="24"/>
        <v>3980.9999999997672</v>
      </c>
      <c r="R17" s="449">
        <f t="shared" si="25"/>
        <v>3488.0000000002328</v>
      </c>
      <c r="S17" s="445">
        <v>10128</v>
      </c>
      <c r="T17" s="469">
        <f t="shared" si="3"/>
        <v>5</v>
      </c>
      <c r="U17" s="445">
        <v>422437</v>
      </c>
      <c r="V17" s="449">
        <f t="shared" si="15"/>
        <v>838</v>
      </c>
      <c r="W17" s="445">
        <f t="shared" si="7"/>
        <v>32194</v>
      </c>
      <c r="X17" s="449">
        <f t="shared" si="20"/>
        <v>0</v>
      </c>
      <c r="Y17" s="445">
        <f t="shared" si="7"/>
        <v>700970</v>
      </c>
      <c r="Z17" s="449">
        <f t="shared" si="19"/>
        <v>0</v>
      </c>
      <c r="AA17" s="445">
        <f t="shared" si="7"/>
        <v>35689</v>
      </c>
      <c r="AB17" s="449">
        <f t="shared" si="16"/>
        <v>0</v>
      </c>
      <c r="AC17" s="445">
        <f t="shared" si="7"/>
        <v>915313</v>
      </c>
      <c r="AD17" s="449">
        <f t="shared" ref="AD17:AD30" si="26">AC17-AC16</f>
        <v>0</v>
      </c>
      <c r="AE17" s="472">
        <f t="shared" si="8"/>
        <v>5</v>
      </c>
      <c r="AF17" s="473">
        <f t="shared" si="9"/>
        <v>838</v>
      </c>
      <c r="AG17" s="465">
        <f t="shared" si="22"/>
        <v>167.6</v>
      </c>
      <c r="AI17" s="466">
        <f>R17-'EDl log'!B15</f>
        <v>-875254.99999999977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v>32615138</v>
      </c>
      <c r="E18" s="311">
        <f t="shared" si="10"/>
        <v>2176</v>
      </c>
      <c r="F18" s="445">
        <v>3963951</v>
      </c>
      <c r="G18" s="312">
        <f t="shared" si="0"/>
        <v>570</v>
      </c>
      <c r="H18" s="445">
        <v>17792976</v>
      </c>
      <c r="I18" s="312">
        <f t="shared" si="11"/>
        <v>794</v>
      </c>
      <c r="J18" s="445">
        <v>28898216</v>
      </c>
      <c r="K18" s="312">
        <f t="shared" si="12"/>
        <v>822</v>
      </c>
      <c r="L18" s="445">
        <v>24027310</v>
      </c>
      <c r="M18" s="312">
        <f t="shared" si="13"/>
        <v>1572</v>
      </c>
      <c r="N18" s="310">
        <f t="shared" si="14"/>
        <v>5934</v>
      </c>
      <c r="O18" s="467">
        <f t="shared" si="21"/>
        <v>0</v>
      </c>
      <c r="P18" s="710">
        <v>16620.830000000002</v>
      </c>
      <c r="Q18" s="449">
        <f t="shared" si="24"/>
        <v>2308.0000000009022</v>
      </c>
      <c r="R18" s="449">
        <f t="shared" si="25"/>
        <v>3625.9999999990978</v>
      </c>
      <c r="S18" s="445">
        <f t="shared" si="7"/>
        <v>10128</v>
      </c>
      <c r="T18" s="469">
        <f t="shared" si="3"/>
        <v>0</v>
      </c>
      <c r="U18" s="445">
        <f t="shared" si="7"/>
        <v>422437</v>
      </c>
      <c r="V18" s="449">
        <f t="shared" si="15"/>
        <v>0</v>
      </c>
      <c r="W18" s="445">
        <f t="shared" si="7"/>
        <v>32194</v>
      </c>
      <c r="X18" s="449">
        <f t="shared" si="20"/>
        <v>0</v>
      </c>
      <c r="Y18" s="445">
        <f t="shared" si="7"/>
        <v>700970</v>
      </c>
      <c r="Z18" s="449">
        <f t="shared" si="19"/>
        <v>0</v>
      </c>
      <c r="AA18" s="445">
        <v>35691</v>
      </c>
      <c r="AB18" s="449">
        <f t="shared" si="16"/>
        <v>2</v>
      </c>
      <c r="AC18" s="445">
        <v>915780</v>
      </c>
      <c r="AD18" s="449">
        <f t="shared" si="26"/>
        <v>467</v>
      </c>
      <c r="AE18" s="472">
        <f t="shared" si="8"/>
        <v>2</v>
      </c>
      <c r="AF18" s="473">
        <f t="shared" si="9"/>
        <v>467</v>
      </c>
      <c r="AG18" s="465">
        <f t="shared" si="22"/>
        <v>233.5</v>
      </c>
      <c r="AI18" s="466">
        <f>R18-'EDl log'!B16</f>
        <v>-876925.00000000093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f t="shared" ref="D18:L30" si="27">D18</f>
        <v>32615138</v>
      </c>
      <c r="E19" s="311">
        <f t="shared" si="10"/>
        <v>0</v>
      </c>
      <c r="F19" s="445">
        <f t="shared" si="27"/>
        <v>3963951</v>
      </c>
      <c r="G19" s="312">
        <f t="shared" si="0"/>
        <v>0</v>
      </c>
      <c r="H19" s="445">
        <f t="shared" si="27"/>
        <v>17792976</v>
      </c>
      <c r="I19" s="312">
        <f t="shared" si="11"/>
        <v>0</v>
      </c>
      <c r="J19" s="445">
        <f t="shared" si="27"/>
        <v>28898216</v>
      </c>
      <c r="K19" s="312">
        <f t="shared" si="12"/>
        <v>0</v>
      </c>
      <c r="L19" s="445">
        <f t="shared" si="27"/>
        <v>24027310</v>
      </c>
      <c r="M19" s="312">
        <f t="shared" si="13"/>
        <v>0</v>
      </c>
      <c r="N19" s="310">
        <f t="shared" si="14"/>
        <v>0</v>
      </c>
      <c r="O19" s="467">
        <f t="shared" si="21"/>
        <v>0</v>
      </c>
      <c r="P19" s="710">
        <f t="shared" ref="P18:P30" si="28">P18</f>
        <v>16620.830000000002</v>
      </c>
      <c r="Q19" s="449">
        <f t="shared" si="24"/>
        <v>0</v>
      </c>
      <c r="R19" s="449">
        <f t="shared" si="25"/>
        <v>0</v>
      </c>
      <c r="S19" s="445">
        <f t="shared" si="7"/>
        <v>10128</v>
      </c>
      <c r="T19" s="469">
        <f t="shared" si="3"/>
        <v>0</v>
      </c>
      <c r="U19" s="445">
        <f t="shared" si="7"/>
        <v>422437</v>
      </c>
      <c r="V19" s="449">
        <f t="shared" si="15"/>
        <v>0</v>
      </c>
      <c r="W19" s="445">
        <f t="shared" si="7"/>
        <v>32194</v>
      </c>
      <c r="X19" s="449">
        <f t="shared" si="20"/>
        <v>0</v>
      </c>
      <c r="Y19" s="445">
        <f t="shared" si="7"/>
        <v>700970</v>
      </c>
      <c r="Z19" s="449">
        <f t="shared" si="19"/>
        <v>0</v>
      </c>
      <c r="AA19" s="445">
        <f t="shared" si="7"/>
        <v>35691</v>
      </c>
      <c r="AB19" s="449">
        <f t="shared" si="16"/>
        <v>0</v>
      </c>
      <c r="AC19" s="445">
        <f t="shared" si="7"/>
        <v>915780</v>
      </c>
      <c r="AD19" s="449">
        <f t="shared" si="26"/>
        <v>0</v>
      </c>
      <c r="AE19" s="472">
        <f t="shared" si="8"/>
        <v>0</v>
      </c>
      <c r="AF19" s="473">
        <f t="shared" si="9"/>
        <v>0</v>
      </c>
      <c r="AG19" s="465">
        <f t="shared" si="22"/>
        <v>0</v>
      </c>
      <c r="AI19" s="466">
        <f>R19-'EDl log'!B17</f>
        <v>-882600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f t="shared" si="27"/>
        <v>32615138</v>
      </c>
      <c r="E20" s="311">
        <f t="shared" si="10"/>
        <v>0</v>
      </c>
      <c r="F20" s="445">
        <f t="shared" si="27"/>
        <v>3963951</v>
      </c>
      <c r="G20" s="312">
        <f t="shared" si="0"/>
        <v>0</v>
      </c>
      <c r="H20" s="445">
        <f t="shared" si="27"/>
        <v>17792976</v>
      </c>
      <c r="I20" s="312">
        <f t="shared" si="11"/>
        <v>0</v>
      </c>
      <c r="J20" s="445">
        <f t="shared" si="27"/>
        <v>28898216</v>
      </c>
      <c r="K20" s="312">
        <f t="shared" si="12"/>
        <v>0</v>
      </c>
      <c r="L20" s="445">
        <f t="shared" si="27"/>
        <v>24027310</v>
      </c>
      <c r="M20" s="312">
        <f t="shared" si="13"/>
        <v>0</v>
      </c>
      <c r="N20" s="310">
        <f t="shared" si="14"/>
        <v>0</v>
      </c>
      <c r="O20" s="467">
        <f t="shared" si="21"/>
        <v>0</v>
      </c>
      <c r="P20" s="710">
        <f t="shared" si="28"/>
        <v>16620.830000000002</v>
      </c>
      <c r="Q20" s="449">
        <f t="shared" si="24"/>
        <v>0</v>
      </c>
      <c r="R20" s="449">
        <f t="shared" si="25"/>
        <v>0</v>
      </c>
      <c r="S20" s="445">
        <f t="shared" si="7"/>
        <v>10128</v>
      </c>
      <c r="T20" s="469">
        <f t="shared" si="3"/>
        <v>0</v>
      </c>
      <c r="U20" s="445">
        <f t="shared" si="7"/>
        <v>422437</v>
      </c>
      <c r="V20" s="449">
        <f t="shared" si="15"/>
        <v>0</v>
      </c>
      <c r="W20" s="445">
        <f t="shared" si="7"/>
        <v>32194</v>
      </c>
      <c r="X20" s="449">
        <f t="shared" si="20"/>
        <v>0</v>
      </c>
      <c r="Y20" s="445">
        <f t="shared" si="7"/>
        <v>700970</v>
      </c>
      <c r="Z20" s="449">
        <f t="shared" si="19"/>
        <v>0</v>
      </c>
      <c r="AA20" s="445">
        <f t="shared" si="7"/>
        <v>35691</v>
      </c>
      <c r="AB20" s="449">
        <f t="shared" si="16"/>
        <v>0</v>
      </c>
      <c r="AC20" s="445">
        <f t="shared" si="7"/>
        <v>915780</v>
      </c>
      <c r="AD20" s="449">
        <f t="shared" si="26"/>
        <v>0</v>
      </c>
      <c r="AE20" s="472">
        <f t="shared" si="8"/>
        <v>0</v>
      </c>
      <c r="AF20" s="473">
        <f t="shared" si="9"/>
        <v>0</v>
      </c>
      <c r="AG20" s="465">
        <f t="shared" si="22"/>
        <v>0</v>
      </c>
      <c r="AI20" s="466">
        <f>R20-'EDl log'!B18</f>
        <v>-884518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f t="shared" si="27"/>
        <v>32615138</v>
      </c>
      <c r="E21" s="311">
        <f t="shared" si="10"/>
        <v>0</v>
      </c>
      <c r="F21" s="445">
        <f t="shared" si="27"/>
        <v>3963951</v>
      </c>
      <c r="G21" s="312">
        <f t="shared" si="0"/>
        <v>0</v>
      </c>
      <c r="H21" s="445">
        <f t="shared" si="27"/>
        <v>17792976</v>
      </c>
      <c r="I21" s="312">
        <f t="shared" si="11"/>
        <v>0</v>
      </c>
      <c r="J21" s="445">
        <f t="shared" si="27"/>
        <v>28898216</v>
      </c>
      <c r="K21" s="312">
        <f t="shared" si="12"/>
        <v>0</v>
      </c>
      <c r="L21" s="445">
        <f t="shared" si="27"/>
        <v>24027310</v>
      </c>
      <c r="M21" s="312">
        <f t="shared" si="13"/>
        <v>0</v>
      </c>
      <c r="N21" s="310">
        <f t="shared" si="14"/>
        <v>0</v>
      </c>
      <c r="O21" s="467">
        <f t="shared" si="21"/>
        <v>0</v>
      </c>
      <c r="P21" s="710">
        <f t="shared" si="28"/>
        <v>16620.830000000002</v>
      </c>
      <c r="Q21" s="449">
        <f t="shared" si="24"/>
        <v>0</v>
      </c>
      <c r="R21" s="449">
        <f t="shared" si="25"/>
        <v>0</v>
      </c>
      <c r="S21" s="445">
        <f t="shared" si="7"/>
        <v>10128</v>
      </c>
      <c r="T21" s="469">
        <f t="shared" si="3"/>
        <v>0</v>
      </c>
      <c r="U21" s="445">
        <f t="shared" si="7"/>
        <v>422437</v>
      </c>
      <c r="V21" s="449">
        <f t="shared" si="15"/>
        <v>0</v>
      </c>
      <c r="W21" s="445">
        <f t="shared" si="7"/>
        <v>32194</v>
      </c>
      <c r="X21" s="449">
        <f t="shared" si="20"/>
        <v>0</v>
      </c>
      <c r="Y21" s="445">
        <f t="shared" si="7"/>
        <v>700970</v>
      </c>
      <c r="Z21" s="449">
        <f t="shared" si="19"/>
        <v>0</v>
      </c>
      <c r="AA21" s="445">
        <f t="shared" si="7"/>
        <v>35691</v>
      </c>
      <c r="AB21" s="449">
        <f t="shared" si="16"/>
        <v>0</v>
      </c>
      <c r="AC21" s="445">
        <f t="shared" si="7"/>
        <v>915780</v>
      </c>
      <c r="AD21" s="449">
        <f t="shared" si="26"/>
        <v>0</v>
      </c>
      <c r="AE21" s="472">
        <f t="shared" si="8"/>
        <v>0</v>
      </c>
      <c r="AF21" s="473">
        <f t="shared" si="9"/>
        <v>0</v>
      </c>
      <c r="AG21" s="465">
        <f t="shared" si="22"/>
        <v>0</v>
      </c>
      <c r="AI21" s="466">
        <f>R21-'EDl log'!B19</f>
        <v>-886485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f t="shared" si="27"/>
        <v>32615138</v>
      </c>
      <c r="E22" s="311">
        <f t="shared" si="10"/>
        <v>0</v>
      </c>
      <c r="F22" s="445">
        <f t="shared" si="27"/>
        <v>3963951</v>
      </c>
      <c r="G22" s="312">
        <f t="shared" si="0"/>
        <v>0</v>
      </c>
      <c r="H22" s="445">
        <f t="shared" si="27"/>
        <v>17792976</v>
      </c>
      <c r="I22" s="312">
        <f t="shared" si="11"/>
        <v>0</v>
      </c>
      <c r="J22" s="445">
        <f t="shared" si="27"/>
        <v>28898216</v>
      </c>
      <c r="K22" s="312">
        <f t="shared" si="12"/>
        <v>0</v>
      </c>
      <c r="L22" s="445">
        <f t="shared" si="27"/>
        <v>24027310</v>
      </c>
      <c r="M22" s="312">
        <f t="shared" si="13"/>
        <v>0</v>
      </c>
      <c r="N22" s="310">
        <f t="shared" si="14"/>
        <v>0</v>
      </c>
      <c r="O22" s="467">
        <f t="shared" si="21"/>
        <v>0</v>
      </c>
      <c r="P22" s="710">
        <f t="shared" si="28"/>
        <v>16620.830000000002</v>
      </c>
      <c r="Q22" s="449">
        <f t="shared" si="24"/>
        <v>0</v>
      </c>
      <c r="R22" s="449">
        <f t="shared" si="25"/>
        <v>0</v>
      </c>
      <c r="S22" s="445">
        <f t="shared" si="7"/>
        <v>10128</v>
      </c>
      <c r="T22" s="469">
        <f t="shared" si="3"/>
        <v>0</v>
      </c>
      <c r="U22" s="445">
        <f t="shared" si="7"/>
        <v>422437</v>
      </c>
      <c r="V22" s="449">
        <f t="shared" si="15"/>
        <v>0</v>
      </c>
      <c r="W22" s="445">
        <f t="shared" si="7"/>
        <v>32194</v>
      </c>
      <c r="X22" s="449">
        <f t="shared" si="20"/>
        <v>0</v>
      </c>
      <c r="Y22" s="445">
        <f t="shared" si="7"/>
        <v>700970</v>
      </c>
      <c r="Z22" s="449">
        <f t="shared" si="19"/>
        <v>0</v>
      </c>
      <c r="AA22" s="445">
        <f t="shared" si="7"/>
        <v>35691</v>
      </c>
      <c r="AB22" s="449">
        <f t="shared" si="16"/>
        <v>0</v>
      </c>
      <c r="AC22" s="445">
        <f t="shared" si="7"/>
        <v>915780</v>
      </c>
      <c r="AD22" s="449">
        <f t="shared" si="26"/>
        <v>0</v>
      </c>
      <c r="AE22" s="472">
        <f t="shared" si="8"/>
        <v>0</v>
      </c>
      <c r="AF22" s="473">
        <f t="shared" si="9"/>
        <v>0</v>
      </c>
      <c r="AG22" s="465">
        <f t="shared" si="22"/>
        <v>0</v>
      </c>
      <c r="AI22" s="466">
        <f>R22-'EDl log'!B20</f>
        <v>-886485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f t="shared" si="27"/>
        <v>32615138</v>
      </c>
      <c r="E23" s="311">
        <f t="shared" si="10"/>
        <v>0</v>
      </c>
      <c r="F23" s="445">
        <f t="shared" si="27"/>
        <v>3963951</v>
      </c>
      <c r="G23" s="312">
        <f t="shared" si="0"/>
        <v>0</v>
      </c>
      <c r="H23" s="445">
        <f t="shared" si="27"/>
        <v>17792976</v>
      </c>
      <c r="I23" s="438">
        <f t="shared" si="11"/>
        <v>0</v>
      </c>
      <c r="J23" s="445">
        <f t="shared" si="27"/>
        <v>28898216</v>
      </c>
      <c r="K23" s="312">
        <f t="shared" si="12"/>
        <v>0</v>
      </c>
      <c r="L23" s="445">
        <f t="shared" si="27"/>
        <v>24027310</v>
      </c>
      <c r="M23" s="312">
        <f t="shared" si="13"/>
        <v>0</v>
      </c>
      <c r="N23" s="310">
        <f t="shared" si="14"/>
        <v>0</v>
      </c>
      <c r="O23" s="467">
        <f t="shared" si="21"/>
        <v>0</v>
      </c>
      <c r="P23" s="710">
        <f t="shared" si="28"/>
        <v>16620.830000000002</v>
      </c>
      <c r="Q23" s="449">
        <f t="shared" si="24"/>
        <v>0</v>
      </c>
      <c r="R23" s="449">
        <f t="shared" si="25"/>
        <v>0</v>
      </c>
      <c r="S23" s="445">
        <f t="shared" si="7"/>
        <v>10128</v>
      </c>
      <c r="T23" s="469">
        <f t="shared" si="3"/>
        <v>0</v>
      </c>
      <c r="U23" s="445">
        <f t="shared" si="7"/>
        <v>422437</v>
      </c>
      <c r="V23" s="449">
        <f t="shared" si="15"/>
        <v>0</v>
      </c>
      <c r="W23" s="445">
        <f t="shared" si="7"/>
        <v>32194</v>
      </c>
      <c r="X23" s="449">
        <f t="shared" si="20"/>
        <v>0</v>
      </c>
      <c r="Y23" s="445">
        <f t="shared" si="7"/>
        <v>700970</v>
      </c>
      <c r="Z23" s="449">
        <f t="shared" si="19"/>
        <v>0</v>
      </c>
      <c r="AA23" s="445">
        <f t="shared" si="7"/>
        <v>35691</v>
      </c>
      <c r="AB23" s="449">
        <f t="shared" si="16"/>
        <v>0</v>
      </c>
      <c r="AC23" s="445">
        <f t="shared" si="7"/>
        <v>915780</v>
      </c>
      <c r="AD23" s="449">
        <f t="shared" si="26"/>
        <v>0</v>
      </c>
      <c r="AE23" s="472">
        <f t="shared" si="8"/>
        <v>0</v>
      </c>
      <c r="AF23" s="473">
        <f t="shared" si="9"/>
        <v>0</v>
      </c>
      <c r="AG23" s="465">
        <f t="shared" si="22"/>
        <v>0</v>
      </c>
      <c r="AI23" s="466">
        <f>R23-'EDl log'!B21</f>
        <v>-886485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f t="shared" si="27"/>
        <v>32615138</v>
      </c>
      <c r="E24" s="311">
        <f t="shared" si="10"/>
        <v>0</v>
      </c>
      <c r="F24" s="445">
        <f t="shared" si="27"/>
        <v>3963951</v>
      </c>
      <c r="G24" s="312">
        <f t="shared" si="0"/>
        <v>0</v>
      </c>
      <c r="H24" s="445">
        <f t="shared" si="27"/>
        <v>17792976</v>
      </c>
      <c r="I24" s="312">
        <f t="shared" si="11"/>
        <v>0</v>
      </c>
      <c r="J24" s="445">
        <f t="shared" si="27"/>
        <v>28898216</v>
      </c>
      <c r="K24" s="312">
        <f t="shared" si="12"/>
        <v>0</v>
      </c>
      <c r="L24" s="445">
        <f t="shared" si="27"/>
        <v>24027310</v>
      </c>
      <c r="M24" s="312">
        <f t="shared" si="13"/>
        <v>0</v>
      </c>
      <c r="N24" s="310">
        <f t="shared" si="14"/>
        <v>0</v>
      </c>
      <c r="O24" s="467">
        <f t="shared" si="21"/>
        <v>0</v>
      </c>
      <c r="P24" s="710">
        <f t="shared" si="28"/>
        <v>16620.830000000002</v>
      </c>
      <c r="Q24" s="449">
        <f t="shared" si="24"/>
        <v>0</v>
      </c>
      <c r="R24" s="449">
        <f t="shared" si="25"/>
        <v>0</v>
      </c>
      <c r="S24" s="445">
        <f t="shared" si="7"/>
        <v>10128</v>
      </c>
      <c r="T24" s="469">
        <f t="shared" si="3"/>
        <v>0</v>
      </c>
      <c r="U24" s="445">
        <f t="shared" si="7"/>
        <v>422437</v>
      </c>
      <c r="V24" s="449">
        <f t="shared" si="15"/>
        <v>0</v>
      </c>
      <c r="W24" s="445">
        <f t="shared" si="7"/>
        <v>32194</v>
      </c>
      <c r="X24" s="449">
        <f t="shared" si="20"/>
        <v>0</v>
      </c>
      <c r="Y24" s="445">
        <f t="shared" si="7"/>
        <v>700970</v>
      </c>
      <c r="Z24" s="449">
        <f t="shared" si="19"/>
        <v>0</v>
      </c>
      <c r="AA24" s="445">
        <f t="shared" si="7"/>
        <v>35691</v>
      </c>
      <c r="AB24" s="449">
        <f t="shared" si="16"/>
        <v>0</v>
      </c>
      <c r="AC24" s="445">
        <f t="shared" si="7"/>
        <v>915780</v>
      </c>
      <c r="AD24" s="449">
        <f t="shared" si="26"/>
        <v>0</v>
      </c>
      <c r="AE24" s="472">
        <f t="shared" si="8"/>
        <v>0</v>
      </c>
      <c r="AF24" s="473">
        <f t="shared" si="9"/>
        <v>0</v>
      </c>
      <c r="AG24" s="465">
        <f t="shared" si="22"/>
        <v>0</v>
      </c>
      <c r="AI24" s="466">
        <f>R24-'EDl log'!B22</f>
        <v>-886485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f t="shared" si="27"/>
        <v>32615138</v>
      </c>
      <c r="E25" s="311">
        <f t="shared" si="10"/>
        <v>0</v>
      </c>
      <c r="F25" s="445">
        <f t="shared" si="27"/>
        <v>3963951</v>
      </c>
      <c r="G25" s="312">
        <f t="shared" si="0"/>
        <v>0</v>
      </c>
      <c r="H25" s="445">
        <f t="shared" si="27"/>
        <v>17792976</v>
      </c>
      <c r="I25" s="312">
        <f t="shared" si="11"/>
        <v>0</v>
      </c>
      <c r="J25" s="445">
        <f t="shared" si="27"/>
        <v>28898216</v>
      </c>
      <c r="K25" s="312">
        <f t="shared" si="12"/>
        <v>0</v>
      </c>
      <c r="L25" s="445">
        <f t="shared" si="27"/>
        <v>24027310</v>
      </c>
      <c r="M25" s="312">
        <f t="shared" si="13"/>
        <v>0</v>
      </c>
      <c r="N25" s="310">
        <f t="shared" si="14"/>
        <v>0</v>
      </c>
      <c r="O25" s="467">
        <f t="shared" si="21"/>
        <v>0</v>
      </c>
      <c r="P25" s="710">
        <f t="shared" si="28"/>
        <v>16620.830000000002</v>
      </c>
      <c r="Q25" s="449">
        <f t="shared" si="24"/>
        <v>0</v>
      </c>
      <c r="R25" s="449">
        <f t="shared" si="25"/>
        <v>0</v>
      </c>
      <c r="S25" s="445">
        <f t="shared" si="7"/>
        <v>10128</v>
      </c>
      <c r="T25" s="469">
        <f t="shared" si="3"/>
        <v>0</v>
      </c>
      <c r="U25" s="445">
        <f t="shared" si="7"/>
        <v>422437</v>
      </c>
      <c r="V25" s="449">
        <f t="shared" si="15"/>
        <v>0</v>
      </c>
      <c r="W25" s="445">
        <f t="shared" si="7"/>
        <v>32194</v>
      </c>
      <c r="X25" s="449">
        <f t="shared" si="20"/>
        <v>0</v>
      </c>
      <c r="Y25" s="445">
        <f t="shared" si="7"/>
        <v>700970</v>
      </c>
      <c r="Z25" s="449">
        <f t="shared" si="19"/>
        <v>0</v>
      </c>
      <c r="AA25" s="445">
        <f t="shared" si="7"/>
        <v>35691</v>
      </c>
      <c r="AB25" s="449">
        <f t="shared" si="16"/>
        <v>0</v>
      </c>
      <c r="AC25" s="445">
        <f t="shared" si="7"/>
        <v>915780</v>
      </c>
      <c r="AD25" s="449">
        <f t="shared" si="26"/>
        <v>0</v>
      </c>
      <c r="AE25" s="472">
        <f t="shared" si="8"/>
        <v>0</v>
      </c>
      <c r="AF25" s="473">
        <f t="shared" si="9"/>
        <v>0</v>
      </c>
      <c r="AG25" s="465">
        <f t="shared" si="22"/>
        <v>0</v>
      </c>
      <c r="AI25" s="466">
        <f>R25-'EDl log'!B23</f>
        <v>-886485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f t="shared" si="27"/>
        <v>32615138</v>
      </c>
      <c r="E26" s="311">
        <f t="shared" si="10"/>
        <v>0</v>
      </c>
      <c r="F26" s="445">
        <f t="shared" si="27"/>
        <v>3963951</v>
      </c>
      <c r="G26" s="312">
        <f t="shared" si="0"/>
        <v>0</v>
      </c>
      <c r="H26" s="445">
        <f t="shared" si="27"/>
        <v>17792976</v>
      </c>
      <c r="I26" s="312">
        <f t="shared" si="11"/>
        <v>0</v>
      </c>
      <c r="J26" s="445">
        <f t="shared" si="27"/>
        <v>28898216</v>
      </c>
      <c r="K26" s="312">
        <f t="shared" si="12"/>
        <v>0</v>
      </c>
      <c r="L26" s="445">
        <f t="shared" si="27"/>
        <v>24027310</v>
      </c>
      <c r="M26" s="312">
        <f t="shared" si="13"/>
        <v>0</v>
      </c>
      <c r="N26" s="310">
        <f t="shared" si="14"/>
        <v>0</v>
      </c>
      <c r="O26" s="467">
        <f t="shared" si="21"/>
        <v>0</v>
      </c>
      <c r="P26" s="710">
        <f t="shared" si="28"/>
        <v>16620.830000000002</v>
      </c>
      <c r="Q26" s="449">
        <f t="shared" si="24"/>
        <v>0</v>
      </c>
      <c r="R26" s="449">
        <f t="shared" si="25"/>
        <v>0</v>
      </c>
      <c r="S26" s="445">
        <f t="shared" si="7"/>
        <v>10128</v>
      </c>
      <c r="T26" s="469">
        <f t="shared" si="3"/>
        <v>0</v>
      </c>
      <c r="U26" s="445">
        <f t="shared" si="7"/>
        <v>422437</v>
      </c>
      <c r="V26" s="449">
        <f t="shared" si="15"/>
        <v>0</v>
      </c>
      <c r="W26" s="445">
        <f t="shared" si="7"/>
        <v>32194</v>
      </c>
      <c r="X26" s="449">
        <f t="shared" si="20"/>
        <v>0</v>
      </c>
      <c r="Y26" s="445">
        <f t="shared" si="7"/>
        <v>700970</v>
      </c>
      <c r="Z26" s="449">
        <f t="shared" si="19"/>
        <v>0</v>
      </c>
      <c r="AA26" s="445">
        <f t="shared" si="7"/>
        <v>35691</v>
      </c>
      <c r="AB26" s="449">
        <f t="shared" si="16"/>
        <v>0</v>
      </c>
      <c r="AC26" s="445">
        <f t="shared" si="7"/>
        <v>915780</v>
      </c>
      <c r="AD26" s="449">
        <f t="shared" si="26"/>
        <v>0</v>
      </c>
      <c r="AE26" s="472">
        <f t="shared" si="8"/>
        <v>0</v>
      </c>
      <c r="AF26" s="473">
        <f t="shared" si="9"/>
        <v>0</v>
      </c>
      <c r="AG26" s="465">
        <f t="shared" si="22"/>
        <v>0</v>
      </c>
      <c r="AI26" s="466">
        <f>R26-'EDl log'!B24</f>
        <v>-886485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f t="shared" si="27"/>
        <v>32615138</v>
      </c>
      <c r="E27" s="311">
        <f t="shared" si="10"/>
        <v>0</v>
      </c>
      <c r="F27" s="445">
        <f t="shared" si="27"/>
        <v>3963951</v>
      </c>
      <c r="G27" s="312">
        <f>F27-F26</f>
        <v>0</v>
      </c>
      <c r="H27" s="445">
        <f t="shared" si="27"/>
        <v>17792976</v>
      </c>
      <c r="I27" s="312">
        <f t="shared" si="11"/>
        <v>0</v>
      </c>
      <c r="J27" s="445">
        <f t="shared" si="27"/>
        <v>28898216</v>
      </c>
      <c r="K27" s="312">
        <f t="shared" si="12"/>
        <v>0</v>
      </c>
      <c r="L27" s="445">
        <f t="shared" si="27"/>
        <v>24027310</v>
      </c>
      <c r="M27" s="312">
        <f t="shared" si="13"/>
        <v>0</v>
      </c>
      <c r="N27" s="310">
        <f t="shared" si="14"/>
        <v>0</v>
      </c>
      <c r="O27" s="467">
        <f t="shared" si="21"/>
        <v>0</v>
      </c>
      <c r="P27" s="710">
        <f t="shared" si="28"/>
        <v>16620.830000000002</v>
      </c>
      <c r="Q27" s="449">
        <f t="shared" si="24"/>
        <v>0</v>
      </c>
      <c r="R27" s="449">
        <f t="shared" si="25"/>
        <v>0</v>
      </c>
      <c r="S27" s="445">
        <f t="shared" si="7"/>
        <v>10128</v>
      </c>
      <c r="T27" s="469">
        <f t="shared" si="3"/>
        <v>0</v>
      </c>
      <c r="U27" s="445">
        <f t="shared" si="7"/>
        <v>422437</v>
      </c>
      <c r="V27" s="449">
        <f t="shared" si="15"/>
        <v>0</v>
      </c>
      <c r="W27" s="445">
        <f t="shared" si="7"/>
        <v>32194</v>
      </c>
      <c r="X27" s="449">
        <f t="shared" si="20"/>
        <v>0</v>
      </c>
      <c r="Y27" s="445">
        <f t="shared" si="7"/>
        <v>700970</v>
      </c>
      <c r="Z27" s="449">
        <f t="shared" si="19"/>
        <v>0</v>
      </c>
      <c r="AA27" s="445">
        <f t="shared" si="7"/>
        <v>35691</v>
      </c>
      <c r="AB27" s="449">
        <f t="shared" si="16"/>
        <v>0</v>
      </c>
      <c r="AC27" s="445">
        <f t="shared" si="7"/>
        <v>915780</v>
      </c>
      <c r="AD27" s="449">
        <f t="shared" si="26"/>
        <v>0</v>
      </c>
      <c r="AE27" s="472">
        <f t="shared" si="8"/>
        <v>0</v>
      </c>
      <c r="AF27" s="473">
        <f t="shared" si="9"/>
        <v>0</v>
      </c>
      <c r="AG27" s="465">
        <f t="shared" si="22"/>
        <v>0</v>
      </c>
      <c r="AI27" s="466">
        <f>R27-'EDl log'!B25</f>
        <v>-886485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f t="shared" si="27"/>
        <v>32615138</v>
      </c>
      <c r="E28" s="311">
        <f t="shared" si="10"/>
        <v>0</v>
      </c>
      <c r="F28" s="445">
        <f t="shared" si="27"/>
        <v>3963951</v>
      </c>
      <c r="G28" s="312">
        <f t="shared" si="0"/>
        <v>0</v>
      </c>
      <c r="H28" s="445">
        <f t="shared" si="27"/>
        <v>17792976</v>
      </c>
      <c r="I28" s="312">
        <f t="shared" si="11"/>
        <v>0</v>
      </c>
      <c r="J28" s="445">
        <f t="shared" si="27"/>
        <v>28898216</v>
      </c>
      <c r="K28" s="312">
        <f t="shared" si="12"/>
        <v>0</v>
      </c>
      <c r="L28" s="445">
        <f t="shared" si="27"/>
        <v>24027310</v>
      </c>
      <c r="M28" s="312">
        <f t="shared" si="13"/>
        <v>0</v>
      </c>
      <c r="N28" s="310">
        <f t="shared" si="14"/>
        <v>0</v>
      </c>
      <c r="O28" s="467">
        <f t="shared" si="21"/>
        <v>0</v>
      </c>
      <c r="P28" s="710">
        <f t="shared" si="28"/>
        <v>16620.830000000002</v>
      </c>
      <c r="Q28" s="449">
        <f t="shared" si="24"/>
        <v>0</v>
      </c>
      <c r="R28" s="449">
        <f t="shared" si="25"/>
        <v>0</v>
      </c>
      <c r="S28" s="445">
        <f t="shared" si="7"/>
        <v>10128</v>
      </c>
      <c r="T28" s="469">
        <f t="shared" si="3"/>
        <v>0</v>
      </c>
      <c r="U28" s="445">
        <f t="shared" si="7"/>
        <v>422437</v>
      </c>
      <c r="V28" s="449">
        <f t="shared" si="15"/>
        <v>0</v>
      </c>
      <c r="W28" s="445">
        <f t="shared" si="7"/>
        <v>32194</v>
      </c>
      <c r="X28" s="449">
        <f t="shared" si="20"/>
        <v>0</v>
      </c>
      <c r="Y28" s="445">
        <f t="shared" si="7"/>
        <v>700970</v>
      </c>
      <c r="Z28" s="449">
        <f t="shared" si="19"/>
        <v>0</v>
      </c>
      <c r="AA28" s="445">
        <f t="shared" si="7"/>
        <v>35691</v>
      </c>
      <c r="AB28" s="449">
        <f t="shared" si="16"/>
        <v>0</v>
      </c>
      <c r="AC28" s="445">
        <f t="shared" si="7"/>
        <v>915780</v>
      </c>
      <c r="AD28" s="449">
        <f t="shared" si="26"/>
        <v>0</v>
      </c>
      <c r="AE28" s="472">
        <f t="shared" si="8"/>
        <v>0</v>
      </c>
      <c r="AF28" s="473">
        <f t="shared" si="9"/>
        <v>0</v>
      </c>
      <c r="AG28" s="465">
        <f t="shared" si="22"/>
        <v>0</v>
      </c>
      <c r="AI28" s="466">
        <f>R28-'EDl log'!B26</f>
        <v>-886485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f t="shared" si="27"/>
        <v>32615138</v>
      </c>
      <c r="E29" s="311">
        <f t="shared" si="10"/>
        <v>0</v>
      </c>
      <c r="F29" s="445">
        <f t="shared" si="27"/>
        <v>3963951</v>
      </c>
      <c r="G29" s="312">
        <f t="shared" si="0"/>
        <v>0</v>
      </c>
      <c r="H29" s="445">
        <f t="shared" si="27"/>
        <v>17792976</v>
      </c>
      <c r="I29" s="312">
        <f t="shared" si="11"/>
        <v>0</v>
      </c>
      <c r="J29" s="445">
        <f t="shared" si="27"/>
        <v>28898216</v>
      </c>
      <c r="K29" s="312">
        <f t="shared" si="12"/>
        <v>0</v>
      </c>
      <c r="L29" s="445">
        <f t="shared" si="27"/>
        <v>24027310</v>
      </c>
      <c r="M29" s="312">
        <f t="shared" si="13"/>
        <v>0</v>
      </c>
      <c r="N29" s="310">
        <f t="shared" si="14"/>
        <v>0</v>
      </c>
      <c r="O29" s="467">
        <f t="shared" si="21"/>
        <v>0</v>
      </c>
      <c r="P29" s="710">
        <f t="shared" si="28"/>
        <v>16620.830000000002</v>
      </c>
      <c r="Q29" s="449">
        <f t="shared" si="24"/>
        <v>0</v>
      </c>
      <c r="R29" s="449">
        <f t="shared" si="25"/>
        <v>0</v>
      </c>
      <c r="S29" s="445">
        <f t="shared" si="7"/>
        <v>10128</v>
      </c>
      <c r="T29" s="469">
        <f t="shared" si="3"/>
        <v>0</v>
      </c>
      <c r="U29" s="445">
        <f t="shared" si="7"/>
        <v>422437</v>
      </c>
      <c r="V29" s="449">
        <f t="shared" si="15"/>
        <v>0</v>
      </c>
      <c r="W29" s="445">
        <f t="shared" si="7"/>
        <v>32194</v>
      </c>
      <c r="X29" s="449">
        <f t="shared" si="20"/>
        <v>0</v>
      </c>
      <c r="Y29" s="445">
        <f t="shared" si="7"/>
        <v>700970</v>
      </c>
      <c r="Z29" s="449">
        <f t="shared" si="19"/>
        <v>0</v>
      </c>
      <c r="AA29" s="445">
        <f t="shared" si="7"/>
        <v>35691</v>
      </c>
      <c r="AB29" s="449">
        <f t="shared" si="16"/>
        <v>0</v>
      </c>
      <c r="AC29" s="445">
        <f t="shared" si="7"/>
        <v>915780</v>
      </c>
      <c r="AD29" s="449">
        <f t="shared" si="26"/>
        <v>0</v>
      </c>
      <c r="AE29" s="472">
        <f t="shared" si="8"/>
        <v>0</v>
      </c>
      <c r="AF29" s="473">
        <f t="shared" si="9"/>
        <v>0</v>
      </c>
      <c r="AG29" s="465">
        <f t="shared" si="22"/>
        <v>0</v>
      </c>
      <c r="AI29" s="466">
        <f>R29-'EDl log'!B27</f>
        <v>-886485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si="27"/>
        <v>32615138</v>
      </c>
      <c r="E30" s="311">
        <f t="shared" si="10"/>
        <v>0</v>
      </c>
      <c r="F30" s="445">
        <f t="shared" si="27"/>
        <v>3963951</v>
      </c>
      <c r="G30" s="312">
        <f t="shared" si="0"/>
        <v>0</v>
      </c>
      <c r="H30" s="445">
        <f t="shared" si="27"/>
        <v>17792976</v>
      </c>
      <c r="I30" s="312">
        <f t="shared" si="11"/>
        <v>0</v>
      </c>
      <c r="J30" s="445">
        <f t="shared" si="27"/>
        <v>28898216</v>
      </c>
      <c r="K30" s="312">
        <f t="shared" si="12"/>
        <v>0</v>
      </c>
      <c r="L30" s="445">
        <f t="shared" si="27"/>
        <v>24027310</v>
      </c>
      <c r="M30" s="312">
        <f t="shared" si="13"/>
        <v>0</v>
      </c>
      <c r="N30" s="310">
        <f t="shared" si="14"/>
        <v>0</v>
      </c>
      <c r="O30" s="467">
        <f t="shared" si="21"/>
        <v>0</v>
      </c>
      <c r="P30" s="710">
        <f t="shared" si="28"/>
        <v>16620.830000000002</v>
      </c>
      <c r="Q30" s="449">
        <f t="shared" si="24"/>
        <v>0</v>
      </c>
      <c r="R30" s="449">
        <f t="shared" si="25"/>
        <v>0</v>
      </c>
      <c r="S30" s="445">
        <f t="shared" si="7"/>
        <v>10128</v>
      </c>
      <c r="T30" s="469">
        <f t="shared" si="3"/>
        <v>0</v>
      </c>
      <c r="U30" s="445">
        <f t="shared" si="7"/>
        <v>422437</v>
      </c>
      <c r="V30" s="449">
        <f t="shared" si="15"/>
        <v>0</v>
      </c>
      <c r="W30" s="445">
        <f t="shared" si="7"/>
        <v>32194</v>
      </c>
      <c r="X30" s="470">
        <f t="shared" si="20"/>
        <v>0</v>
      </c>
      <c r="Y30" s="445">
        <f t="shared" si="7"/>
        <v>700970</v>
      </c>
      <c r="Z30" s="449">
        <f t="shared" si="19"/>
        <v>0</v>
      </c>
      <c r="AA30" s="445">
        <f t="shared" si="7"/>
        <v>35691</v>
      </c>
      <c r="AB30" s="449">
        <f t="shared" si="16"/>
        <v>0</v>
      </c>
      <c r="AC30" s="445">
        <f t="shared" si="7"/>
        <v>915780</v>
      </c>
      <c r="AD30" s="449">
        <f t="shared" si="26"/>
        <v>0</v>
      </c>
      <c r="AE30" s="472">
        <f t="shared" si="8"/>
        <v>0</v>
      </c>
      <c r="AF30" s="473">
        <f t="shared" si="9"/>
        <v>0</v>
      </c>
      <c r="AG30" s="465">
        <f t="shared" si="22"/>
        <v>0</v>
      </c>
      <c r="AI30" s="466">
        <f>R30-'EDl log'!B28</f>
        <v>-886485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topLeftCell="X1" zoomScale="90" zoomScaleNormal="90" workbookViewId="0">
      <pane ySplit="1" topLeftCell="A8" activePane="bottomLeft" state="frozen"/>
      <selection activeCell="K1" sqref="K1"/>
      <selection pane="bottomLeft" activeCell="AP20" sqref="AP20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1" customWidth="1"/>
    <col min="38" max="38" width="11.1796875" style="321" bestFit="1" customWidth="1"/>
    <col min="39" max="39" width="11.453125" style="321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3"/>
    <col min="51" max="16384" width="9.1796875" style="42"/>
  </cols>
  <sheetData>
    <row r="1" spans="1:52" ht="29.5" thickBot="1">
      <c r="F1" s="612" t="s">
        <v>2</v>
      </c>
      <c r="G1" s="613"/>
      <c r="H1" s="613"/>
      <c r="I1" s="614"/>
      <c r="J1" s="282">
        <f>J33</f>
        <v>66.150000000000006</v>
      </c>
      <c r="K1" s="615" t="s">
        <v>4</v>
      </c>
      <c r="L1" s="616"/>
      <c r="M1" s="616"/>
      <c r="N1" s="616"/>
      <c r="O1" s="617"/>
      <c r="P1" s="606" t="s">
        <v>6</v>
      </c>
      <c r="Q1" s="607"/>
      <c r="R1" s="607"/>
      <c r="S1" s="607"/>
      <c r="T1" s="608"/>
      <c r="U1" s="397"/>
      <c r="V1" s="27" t="s">
        <v>104</v>
      </c>
      <c r="W1" s="398"/>
      <c r="X1" s="606" t="s">
        <v>8</v>
      </c>
      <c r="Y1" s="607"/>
      <c r="Z1" s="607"/>
      <c r="AA1" s="607"/>
      <c r="AB1" s="607"/>
      <c r="AC1" s="609" t="s">
        <v>10</v>
      </c>
      <c r="AD1" s="610"/>
      <c r="AE1" s="610"/>
      <c r="AF1" s="611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4"/>
      <c r="R2" s="605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v>229</v>
      </c>
      <c r="C6" s="589">
        <v>235</v>
      </c>
      <c r="D6" s="45">
        <f>C5-C6</f>
        <v>3</v>
      </c>
      <c r="E6" s="45">
        <f t="shared" ref="E6:E31" si="8">D6*8.38</f>
        <v>25.14</v>
      </c>
      <c r="F6" s="589">
        <v>1719</v>
      </c>
      <c r="G6" s="52">
        <f t="shared" si="0"/>
        <v>2</v>
      </c>
      <c r="H6" s="589">
        <v>4287</v>
      </c>
      <c r="I6" s="396">
        <f t="shared" si="1"/>
        <v>140</v>
      </c>
      <c r="J6" s="66">
        <f t="shared" ref="J6:J32" si="9">IF(G6&gt;0,I6/G6,0)</f>
        <v>70</v>
      </c>
      <c r="K6" s="589">
        <v>2218</v>
      </c>
      <c r="L6" s="52">
        <f t="shared" ref="L6:L32" si="10">K6-K5</f>
        <v>2</v>
      </c>
      <c r="M6" s="589">
        <v>163018</v>
      </c>
      <c r="N6" s="396">
        <f t="shared" si="2"/>
        <v>94</v>
      </c>
      <c r="O6" s="64">
        <f t="shared" ref="O6:P32" si="11">O5</f>
        <v>1869</v>
      </c>
      <c r="P6" s="589">
        <f t="shared" si="11"/>
        <v>1966</v>
      </c>
      <c r="Q6" s="589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9">
        <f t="shared" ref="X6:Z32" si="16">X5</f>
        <v>2453</v>
      </c>
      <c r="Y6" s="52">
        <f t="shared" ref="Y6:Y32" si="17">X6-X5</f>
        <v>0</v>
      </c>
      <c r="Z6" s="589">
        <f t="shared" si="16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18">AC5</f>
        <v>1934</v>
      </c>
      <c r="AD6" s="45">
        <f t="shared" si="6"/>
        <v>0</v>
      </c>
      <c r="AE6" s="589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9">
        <f t="shared" ref="AN6:AP6" si="23">AN5</f>
        <v>67</v>
      </c>
      <c r="AO6" s="320">
        <f t="shared" ref="AO6:AO26" si="24">(AN6/100)*3000</f>
        <v>2010.0000000000002</v>
      </c>
      <c r="AP6" s="589">
        <f t="shared" si="23"/>
        <v>55</v>
      </c>
      <c r="AQ6" s="320">
        <f t="shared" ref="AQ6:AQ24" si="25">(AP6/100)*3000</f>
        <v>1650.0000000000002</v>
      </c>
      <c r="AR6" s="589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9">
        <v>225</v>
      </c>
      <c r="C7" s="589">
        <v>231</v>
      </c>
      <c r="D7" s="45">
        <f t="shared" ref="D7:D32" si="28">C6-C7</f>
        <v>4</v>
      </c>
      <c r="E7" s="45">
        <f t="shared" si="8"/>
        <v>33.520000000000003</v>
      </c>
      <c r="F7" s="589">
        <f t="shared" ref="F7:H32" si="29">F6</f>
        <v>1719</v>
      </c>
      <c r="G7" s="52">
        <f t="shared" si="0"/>
        <v>0</v>
      </c>
      <c r="H7" s="589">
        <f t="shared" si="29"/>
        <v>4287</v>
      </c>
      <c r="I7" s="396">
        <f t="shared" si="1"/>
        <v>0</v>
      </c>
      <c r="J7" s="66">
        <f t="shared" si="9"/>
        <v>0</v>
      </c>
      <c r="K7" s="589">
        <v>2220</v>
      </c>
      <c r="L7" s="52">
        <f t="shared" si="10"/>
        <v>2</v>
      </c>
      <c r="M7" s="589">
        <v>163181</v>
      </c>
      <c r="N7" s="396">
        <f t="shared" si="2"/>
        <v>163</v>
      </c>
      <c r="O7" s="64">
        <f t="shared" si="11"/>
        <v>1869</v>
      </c>
      <c r="P7" s="589">
        <v>1968</v>
      </c>
      <c r="Q7" s="589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9">
        <f t="shared" si="16"/>
        <v>2453</v>
      </c>
      <c r="Y7" s="52">
        <f t="shared" si="17"/>
        <v>0</v>
      </c>
      <c r="Z7" s="589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9">
        <f t="shared" ref="AC7" si="32">AC6</f>
        <v>1934</v>
      </c>
      <c r="AD7" s="45">
        <f t="shared" si="6"/>
        <v>0</v>
      </c>
      <c r="AE7" s="589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9">
        <f t="shared" ref="AN7:AP7" si="35">AN6</f>
        <v>67</v>
      </c>
      <c r="AO7" s="320">
        <f t="shared" si="24"/>
        <v>2010.0000000000002</v>
      </c>
      <c r="AP7" s="589">
        <f t="shared" si="35"/>
        <v>55</v>
      </c>
      <c r="AQ7" s="320">
        <f t="shared" si="25"/>
        <v>1650.0000000000002</v>
      </c>
      <c r="AR7" s="589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9">
        <v>221</v>
      </c>
      <c r="C8" s="589">
        <v>227</v>
      </c>
      <c r="D8" s="45">
        <f t="shared" si="28"/>
        <v>4</v>
      </c>
      <c r="E8" s="45">
        <f t="shared" si="8"/>
        <v>33.520000000000003</v>
      </c>
      <c r="F8" s="589">
        <v>1721</v>
      </c>
      <c r="G8" s="52">
        <f t="shared" si="0"/>
        <v>2</v>
      </c>
      <c r="H8" s="589">
        <v>4416</v>
      </c>
      <c r="I8" s="396">
        <f t="shared" si="1"/>
        <v>129</v>
      </c>
      <c r="J8" s="66">
        <f t="shared" si="9"/>
        <v>64.5</v>
      </c>
      <c r="K8" s="589">
        <f t="shared" ref="K8:M32" si="40">K7</f>
        <v>2220</v>
      </c>
      <c r="L8" s="52">
        <f t="shared" si="10"/>
        <v>0</v>
      </c>
      <c r="M8" s="589">
        <f t="shared" si="40"/>
        <v>163181</v>
      </c>
      <c r="N8" s="396">
        <f t="shared" si="2"/>
        <v>0</v>
      </c>
      <c r="O8" s="64">
        <f t="shared" si="11"/>
        <v>1869</v>
      </c>
      <c r="P8" s="589">
        <v>1970</v>
      </c>
      <c r="Q8" s="589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9">
        <f t="shared" si="16"/>
        <v>2453</v>
      </c>
      <c r="Y8" s="52">
        <f t="shared" si="17"/>
        <v>0</v>
      </c>
      <c r="Z8" s="589">
        <f t="shared" si="16"/>
        <v>137950.70000000001</v>
      </c>
      <c r="AA8" s="65">
        <f t="shared" si="5"/>
        <v>0</v>
      </c>
      <c r="AB8" s="284">
        <f t="shared" si="31"/>
        <v>0</v>
      </c>
      <c r="AC8" s="589">
        <f t="shared" ref="AC8:AE8" si="41">AC7</f>
        <v>1934</v>
      </c>
      <c r="AD8" s="45">
        <f t="shared" si="6"/>
        <v>0</v>
      </c>
      <c r="AE8" s="589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9">
        <f t="shared" ref="AN8:AP8" si="42">AN7</f>
        <v>67</v>
      </c>
      <c r="AO8" s="320">
        <f t="shared" si="24"/>
        <v>2010.0000000000002</v>
      </c>
      <c r="AP8" s="589">
        <f t="shared" si="42"/>
        <v>55</v>
      </c>
      <c r="AQ8" s="320">
        <f t="shared" si="25"/>
        <v>1650.0000000000002</v>
      </c>
      <c r="AR8" s="589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9">
        <v>247</v>
      </c>
      <c r="C9" s="589">
        <v>252</v>
      </c>
      <c r="D9" s="45">
        <f t="shared" si="28"/>
        <v>-25</v>
      </c>
      <c r="E9" s="45">
        <f t="shared" si="8"/>
        <v>-209.50000000000003</v>
      </c>
      <c r="F9" s="589">
        <v>1724</v>
      </c>
      <c r="G9" s="52">
        <f t="shared" si="0"/>
        <v>3</v>
      </c>
      <c r="H9" s="589">
        <v>4626</v>
      </c>
      <c r="I9" s="396">
        <f t="shared" si="1"/>
        <v>210</v>
      </c>
      <c r="J9" s="66">
        <f t="shared" si="9"/>
        <v>70</v>
      </c>
      <c r="K9" s="589">
        <v>2222</v>
      </c>
      <c r="L9" s="52">
        <f t="shared" si="10"/>
        <v>2</v>
      </c>
      <c r="M9" s="589">
        <v>163362</v>
      </c>
      <c r="N9" s="396">
        <f t="shared" si="2"/>
        <v>181</v>
      </c>
      <c r="O9" s="64">
        <f t="shared" si="11"/>
        <v>1869</v>
      </c>
      <c r="P9" s="589">
        <f t="shared" si="11"/>
        <v>1970</v>
      </c>
      <c r="Q9" s="589">
        <f t="shared" ref="Q9" si="44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5</v>
      </c>
      <c r="V9" s="62">
        <f t="shared" si="14"/>
        <v>391</v>
      </c>
      <c r="W9" s="400">
        <f t="shared" si="15"/>
        <v>78.2</v>
      </c>
      <c r="X9" s="589">
        <f t="shared" si="16"/>
        <v>2453</v>
      </c>
      <c r="Y9" s="52">
        <f t="shared" si="17"/>
        <v>0</v>
      </c>
      <c r="Z9" s="589">
        <f t="shared" si="16"/>
        <v>137950.70000000001</v>
      </c>
      <c r="AA9" s="65">
        <f t="shared" si="5"/>
        <v>0</v>
      </c>
      <c r="AB9" s="284">
        <f t="shared" si="31"/>
        <v>0</v>
      </c>
      <c r="AC9" s="589">
        <v>1934</v>
      </c>
      <c r="AD9" s="45">
        <f t="shared" si="6"/>
        <v>0</v>
      </c>
      <c r="AE9" s="589">
        <f t="shared" ref="AE9" si="45">AE8</f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391</v>
      </c>
      <c r="AJ9" s="318">
        <f>-tanks!AW10</f>
        <v>391</v>
      </c>
      <c r="AK9" s="318">
        <f t="shared" si="21"/>
        <v>0</v>
      </c>
      <c r="AL9" s="318">
        <f t="shared" si="7"/>
        <v>5</v>
      </c>
      <c r="AM9" s="318">
        <f t="shared" si="22"/>
        <v>0</v>
      </c>
      <c r="AN9" s="589">
        <f t="shared" ref="AN9:AP9" si="46">AN8</f>
        <v>67</v>
      </c>
      <c r="AO9" s="320">
        <f t="shared" si="24"/>
        <v>2010.0000000000002</v>
      </c>
      <c r="AP9" s="589">
        <f t="shared" si="46"/>
        <v>55</v>
      </c>
      <c r="AQ9" s="320">
        <f t="shared" si="25"/>
        <v>1650.0000000000002</v>
      </c>
      <c r="AR9" s="589">
        <f t="shared" ref="AR9" si="47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9">
        <v>244</v>
      </c>
      <c r="C10" s="589">
        <v>250</v>
      </c>
      <c r="D10" s="45">
        <f t="shared" si="28"/>
        <v>2</v>
      </c>
      <c r="E10" s="45">
        <f t="shared" si="8"/>
        <v>16.760000000000002</v>
      </c>
      <c r="F10" s="589">
        <f t="shared" si="29"/>
        <v>1724</v>
      </c>
      <c r="G10" s="52">
        <f t="shared" si="0"/>
        <v>0</v>
      </c>
      <c r="H10" s="589">
        <f t="shared" si="29"/>
        <v>4626</v>
      </c>
      <c r="I10" s="396">
        <f t="shared" si="1"/>
        <v>0</v>
      </c>
      <c r="J10" s="66">
        <f t="shared" si="9"/>
        <v>0</v>
      </c>
      <c r="K10" s="589">
        <v>2224</v>
      </c>
      <c r="L10" s="52">
        <f t="shared" si="10"/>
        <v>2</v>
      </c>
      <c r="M10" s="589">
        <v>163480</v>
      </c>
      <c r="N10" s="396">
        <f t="shared" si="2"/>
        <v>118</v>
      </c>
      <c r="O10" s="64">
        <f t="shared" si="11"/>
        <v>1869</v>
      </c>
      <c r="P10" s="589">
        <v>1973</v>
      </c>
      <c r="Q10" s="589">
        <v>166840</v>
      </c>
      <c r="R10" s="395">
        <f t="shared" si="3"/>
        <v>193</v>
      </c>
      <c r="S10" s="52">
        <f t="shared" si="4"/>
        <v>3</v>
      </c>
      <c r="T10" s="67">
        <f t="shared" si="30"/>
        <v>0</v>
      </c>
      <c r="U10" s="402">
        <f t="shared" si="13"/>
        <v>5</v>
      </c>
      <c r="V10" s="62">
        <f t="shared" si="14"/>
        <v>311</v>
      </c>
      <c r="W10" s="400">
        <f t="shared" si="15"/>
        <v>62.2</v>
      </c>
      <c r="X10" s="589">
        <f t="shared" si="16"/>
        <v>2453</v>
      </c>
      <c r="Y10" s="52">
        <f t="shared" si="17"/>
        <v>0</v>
      </c>
      <c r="Z10" s="589">
        <f t="shared" si="16"/>
        <v>137950.70000000001</v>
      </c>
      <c r="AA10" s="65">
        <f t="shared" si="5"/>
        <v>0</v>
      </c>
      <c r="AB10" s="284">
        <f t="shared" si="31"/>
        <v>0</v>
      </c>
      <c r="AC10" s="589">
        <f t="shared" ref="AC10:AE10" si="48">AC9</f>
        <v>1934</v>
      </c>
      <c r="AD10" s="45">
        <f t="shared" si="6"/>
        <v>0</v>
      </c>
      <c r="AE10" s="589">
        <f t="shared" si="48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311</v>
      </c>
      <c r="AJ10" s="318">
        <f>-tanks!AW11</f>
        <v>311</v>
      </c>
      <c r="AK10" s="318">
        <f t="shared" si="21"/>
        <v>0</v>
      </c>
      <c r="AL10" s="318">
        <f t="shared" si="7"/>
        <v>5</v>
      </c>
      <c r="AM10" s="318">
        <f t="shared" si="22"/>
        <v>0</v>
      </c>
      <c r="AN10" s="589">
        <f t="shared" ref="AN10:AP10" si="49">AN9</f>
        <v>67</v>
      </c>
      <c r="AO10" s="320">
        <f t="shared" si="24"/>
        <v>2010.0000000000002</v>
      </c>
      <c r="AP10" s="589">
        <f t="shared" si="49"/>
        <v>55</v>
      </c>
      <c r="AQ10" s="320">
        <f t="shared" si="25"/>
        <v>1650.0000000000002</v>
      </c>
      <c r="AR10" s="589">
        <f t="shared" ref="AR10" si="50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9">
        <v>240</v>
      </c>
      <c r="C11" s="589">
        <v>246</v>
      </c>
      <c r="D11" s="45">
        <f t="shared" si="28"/>
        <v>4</v>
      </c>
      <c r="E11" s="45">
        <f t="shared" si="8"/>
        <v>33.520000000000003</v>
      </c>
      <c r="F11" s="589">
        <v>1725</v>
      </c>
      <c r="G11" s="52">
        <f t="shared" si="0"/>
        <v>1</v>
      </c>
      <c r="H11" s="589">
        <v>4721</v>
      </c>
      <c r="I11" s="396">
        <f t="shared" si="1"/>
        <v>95</v>
      </c>
      <c r="J11" s="66">
        <f t="shared" si="9"/>
        <v>95</v>
      </c>
      <c r="K11" s="589">
        <f t="shared" si="40"/>
        <v>2224</v>
      </c>
      <c r="L11" s="52">
        <f t="shared" si="10"/>
        <v>0</v>
      </c>
      <c r="M11" s="589">
        <f t="shared" si="40"/>
        <v>163480</v>
      </c>
      <c r="N11" s="396">
        <f t="shared" si="2"/>
        <v>0</v>
      </c>
      <c r="O11" s="64">
        <f t="shared" si="11"/>
        <v>1869</v>
      </c>
      <c r="P11" s="589">
        <v>1975</v>
      </c>
      <c r="Q11" s="589">
        <v>167024</v>
      </c>
      <c r="R11" s="395">
        <f t="shared" ref="R11:R32" si="51">Q11-Q10</f>
        <v>184</v>
      </c>
      <c r="S11" s="52">
        <f t="shared" si="4"/>
        <v>2</v>
      </c>
      <c r="T11" s="67">
        <f t="shared" si="30"/>
        <v>0</v>
      </c>
      <c r="U11" s="402">
        <f t="shared" si="13"/>
        <v>3</v>
      </c>
      <c r="V11" s="62">
        <f t="shared" si="14"/>
        <v>279</v>
      </c>
      <c r="W11" s="400">
        <f t="shared" si="15"/>
        <v>93</v>
      </c>
      <c r="X11" s="589">
        <f t="shared" si="16"/>
        <v>2453</v>
      </c>
      <c r="Y11" s="52">
        <f t="shared" si="17"/>
        <v>0</v>
      </c>
      <c r="Z11" s="589">
        <f t="shared" si="16"/>
        <v>137950.70000000001</v>
      </c>
      <c r="AA11" s="65">
        <f t="shared" si="5"/>
        <v>0</v>
      </c>
      <c r="AB11" s="284">
        <f t="shared" si="31"/>
        <v>0</v>
      </c>
      <c r="AC11" s="589">
        <f t="shared" ref="AC11:AE11" si="52">AC10</f>
        <v>1934</v>
      </c>
      <c r="AD11" s="45">
        <f t="shared" si="6"/>
        <v>0</v>
      </c>
      <c r="AE11" s="589">
        <f t="shared" si="52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279</v>
      </c>
      <c r="AJ11" s="318">
        <f>-tanks!AW12</f>
        <v>279</v>
      </c>
      <c r="AK11" s="318">
        <f t="shared" si="21"/>
        <v>0</v>
      </c>
      <c r="AL11" s="318">
        <f t="shared" si="7"/>
        <v>3</v>
      </c>
      <c r="AM11" s="318">
        <f t="shared" si="22"/>
        <v>0</v>
      </c>
      <c r="AN11" s="589">
        <f t="shared" ref="AN11:AP11" si="53">AN10</f>
        <v>67</v>
      </c>
      <c r="AO11" s="320">
        <f t="shared" si="24"/>
        <v>2010.0000000000002</v>
      </c>
      <c r="AP11" s="589">
        <f t="shared" si="53"/>
        <v>55</v>
      </c>
      <c r="AQ11" s="320">
        <f t="shared" si="25"/>
        <v>1650.0000000000002</v>
      </c>
      <c r="AR11" s="589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9">
        <v>237</v>
      </c>
      <c r="C12" s="589">
        <v>243</v>
      </c>
      <c r="D12" s="45">
        <f t="shared" si="28"/>
        <v>3</v>
      </c>
      <c r="E12" s="45">
        <f t="shared" si="8"/>
        <v>25.14</v>
      </c>
      <c r="F12" s="589">
        <v>1727</v>
      </c>
      <c r="G12" s="52">
        <f t="shared" si="0"/>
        <v>2</v>
      </c>
      <c r="H12" s="589">
        <v>4872</v>
      </c>
      <c r="I12" s="396">
        <f t="shared" si="1"/>
        <v>151</v>
      </c>
      <c r="J12" s="66">
        <f t="shared" si="9"/>
        <v>75.5</v>
      </c>
      <c r="K12" s="589">
        <v>2225</v>
      </c>
      <c r="L12" s="52">
        <f t="shared" si="10"/>
        <v>1</v>
      </c>
      <c r="M12" s="589">
        <v>163585</v>
      </c>
      <c r="N12" s="396">
        <f t="shared" si="2"/>
        <v>105</v>
      </c>
      <c r="O12" s="64">
        <f t="shared" si="11"/>
        <v>1869</v>
      </c>
      <c r="P12" s="589">
        <f t="shared" si="11"/>
        <v>1975</v>
      </c>
      <c r="Q12" s="589">
        <f t="shared" ref="Q12" si="55">Q11</f>
        <v>167024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3</v>
      </c>
      <c r="V12" s="62">
        <f t="shared" si="14"/>
        <v>256</v>
      </c>
      <c r="W12" s="400">
        <f t="shared" si="15"/>
        <v>85.333333333333329</v>
      </c>
      <c r="X12" s="589">
        <v>2454</v>
      </c>
      <c r="Y12" s="52">
        <f t="shared" si="17"/>
        <v>1</v>
      </c>
      <c r="Z12" s="589">
        <v>138028.1</v>
      </c>
      <c r="AA12" s="65">
        <f t="shared" si="5"/>
        <v>77.399999999994179</v>
      </c>
      <c r="AB12" s="284">
        <f t="shared" si="31"/>
        <v>0</v>
      </c>
      <c r="AC12" s="589">
        <f t="shared" ref="AC12:AE12" si="56">AC11</f>
        <v>1934</v>
      </c>
      <c r="AD12" s="45">
        <f t="shared" si="6"/>
        <v>0</v>
      </c>
      <c r="AE12" s="589">
        <f t="shared" si="56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77.399999999994179</v>
      </c>
      <c r="AI12" s="318">
        <f t="shared" si="20"/>
        <v>333.39999999999418</v>
      </c>
      <c r="AJ12" s="318">
        <f>-tanks!AW13</f>
        <v>333.39999999999418</v>
      </c>
      <c r="AK12" s="318">
        <f t="shared" si="21"/>
        <v>0</v>
      </c>
      <c r="AL12" s="318">
        <f t="shared" si="7"/>
        <v>3</v>
      </c>
      <c r="AM12" s="318">
        <f t="shared" si="22"/>
        <v>1</v>
      </c>
      <c r="AN12" s="589">
        <f t="shared" ref="AN12:AP12" si="57">AN11</f>
        <v>67</v>
      </c>
      <c r="AO12" s="320">
        <f t="shared" si="24"/>
        <v>2010.0000000000002</v>
      </c>
      <c r="AP12" s="589">
        <f t="shared" si="57"/>
        <v>55</v>
      </c>
      <c r="AQ12" s="320">
        <f t="shared" si="25"/>
        <v>1650.0000000000002</v>
      </c>
      <c r="AR12" s="589">
        <f t="shared" ref="AR12" si="58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9">
        <v>233</v>
      </c>
      <c r="C13" s="589">
        <v>239</v>
      </c>
      <c r="D13" s="45">
        <f t="shared" si="28"/>
        <v>4</v>
      </c>
      <c r="E13" s="45">
        <f t="shared" si="8"/>
        <v>33.520000000000003</v>
      </c>
      <c r="F13" s="589">
        <f t="shared" si="29"/>
        <v>1727</v>
      </c>
      <c r="G13" s="52">
        <f t="shared" si="0"/>
        <v>0</v>
      </c>
      <c r="H13" s="589">
        <f t="shared" si="29"/>
        <v>4872</v>
      </c>
      <c r="I13" s="396">
        <f t="shared" si="1"/>
        <v>0</v>
      </c>
      <c r="J13" s="66">
        <f t="shared" si="9"/>
        <v>0</v>
      </c>
      <c r="K13" s="589">
        <v>2227</v>
      </c>
      <c r="L13" s="52">
        <f t="shared" si="10"/>
        <v>2</v>
      </c>
      <c r="M13" s="589">
        <v>163735</v>
      </c>
      <c r="N13" s="396">
        <f t="shared" si="2"/>
        <v>150</v>
      </c>
      <c r="O13" s="64">
        <f t="shared" si="11"/>
        <v>1869</v>
      </c>
      <c r="P13" s="589">
        <v>1976</v>
      </c>
      <c r="Q13" s="589">
        <v>167110</v>
      </c>
      <c r="R13" s="395">
        <f t="shared" si="51"/>
        <v>86</v>
      </c>
      <c r="S13" s="52">
        <f t="shared" si="4"/>
        <v>1</v>
      </c>
      <c r="T13" s="67">
        <f t="shared" si="30"/>
        <v>0</v>
      </c>
      <c r="U13" s="402">
        <f t="shared" si="13"/>
        <v>3</v>
      </c>
      <c r="V13" s="62">
        <f>R13+N13+I13:I13</f>
        <v>236</v>
      </c>
      <c r="W13" s="400">
        <f t="shared" si="15"/>
        <v>78.666666666666671</v>
      </c>
      <c r="X13" s="589">
        <f t="shared" si="16"/>
        <v>2454</v>
      </c>
      <c r="Y13" s="52">
        <f t="shared" si="17"/>
        <v>0</v>
      </c>
      <c r="Z13" s="589">
        <f t="shared" si="16"/>
        <v>138028.1</v>
      </c>
      <c r="AA13" s="284">
        <f t="shared" si="5"/>
        <v>0</v>
      </c>
      <c r="AB13" s="284">
        <f t="shared" si="31"/>
        <v>0</v>
      </c>
      <c r="AC13" s="589">
        <f t="shared" ref="AC13:AE13" si="59">AC12</f>
        <v>1934</v>
      </c>
      <c r="AD13" s="45">
        <f t="shared" si="6"/>
        <v>0</v>
      </c>
      <c r="AE13" s="589">
        <f t="shared" si="59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236</v>
      </c>
      <c r="AJ13" s="318">
        <f>-tanks!AW14</f>
        <v>236</v>
      </c>
      <c r="AK13" s="318">
        <f t="shared" si="21"/>
        <v>0</v>
      </c>
      <c r="AL13" s="318">
        <f t="shared" si="7"/>
        <v>3</v>
      </c>
      <c r="AM13" s="318">
        <f t="shared" si="22"/>
        <v>0</v>
      </c>
      <c r="AN13" s="589">
        <f t="shared" ref="AN13:AP13" si="60">AN12</f>
        <v>67</v>
      </c>
      <c r="AO13" s="320">
        <f t="shared" si="24"/>
        <v>2010.0000000000002</v>
      </c>
      <c r="AP13" s="589">
        <f t="shared" si="60"/>
        <v>55</v>
      </c>
      <c r="AQ13" s="320">
        <f t="shared" si="25"/>
        <v>1650.0000000000002</v>
      </c>
      <c r="AR13" s="589">
        <f t="shared" ref="AR13" si="61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9">
        <v>227</v>
      </c>
      <c r="C14" s="589">
        <v>233</v>
      </c>
      <c r="D14" s="45">
        <f t="shared" si="28"/>
        <v>6</v>
      </c>
      <c r="E14" s="45">
        <f t="shared" si="8"/>
        <v>50.28</v>
      </c>
      <c r="F14" s="589">
        <v>1728</v>
      </c>
      <c r="G14" s="52">
        <f t="shared" si="0"/>
        <v>1</v>
      </c>
      <c r="H14" s="589">
        <v>4957</v>
      </c>
      <c r="I14" s="396">
        <f t="shared" si="1"/>
        <v>85</v>
      </c>
      <c r="J14" s="66">
        <f t="shared" si="9"/>
        <v>85</v>
      </c>
      <c r="K14" s="589">
        <f t="shared" si="40"/>
        <v>2227</v>
      </c>
      <c r="L14" s="52">
        <f t="shared" si="10"/>
        <v>0</v>
      </c>
      <c r="M14" s="589">
        <f t="shared" si="40"/>
        <v>163735</v>
      </c>
      <c r="N14" s="396">
        <f t="shared" si="2"/>
        <v>0</v>
      </c>
      <c r="O14" s="64">
        <f t="shared" si="11"/>
        <v>1869</v>
      </c>
      <c r="P14" s="589">
        <v>1978</v>
      </c>
      <c r="Q14" s="589">
        <v>167261</v>
      </c>
      <c r="R14" s="395">
        <f t="shared" si="51"/>
        <v>151</v>
      </c>
      <c r="S14" s="52">
        <f t="shared" si="4"/>
        <v>2</v>
      </c>
      <c r="T14" s="67">
        <f t="shared" si="30"/>
        <v>0</v>
      </c>
      <c r="U14" s="402">
        <f t="shared" si="13"/>
        <v>3</v>
      </c>
      <c r="V14" s="62">
        <f t="shared" si="14"/>
        <v>236</v>
      </c>
      <c r="W14" s="400">
        <f t="shared" si="15"/>
        <v>78.666666666666671</v>
      </c>
      <c r="X14" s="589">
        <f t="shared" si="16"/>
        <v>2454</v>
      </c>
      <c r="Y14" s="52">
        <f t="shared" si="17"/>
        <v>0</v>
      </c>
      <c r="Z14" s="589">
        <f t="shared" si="16"/>
        <v>138028.1</v>
      </c>
      <c r="AA14" s="65">
        <f t="shared" si="5"/>
        <v>0</v>
      </c>
      <c r="AB14" s="284">
        <f t="shared" si="31"/>
        <v>0</v>
      </c>
      <c r="AC14" s="589">
        <f t="shared" ref="AC14:AE14" si="62">AC13</f>
        <v>1934</v>
      </c>
      <c r="AD14" s="45">
        <f t="shared" si="6"/>
        <v>0</v>
      </c>
      <c r="AE14" s="589">
        <f t="shared" si="62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236</v>
      </c>
      <c r="AJ14" s="318">
        <f>-tanks!AW15</f>
        <v>236</v>
      </c>
      <c r="AK14" s="318">
        <f t="shared" si="21"/>
        <v>0</v>
      </c>
      <c r="AL14" s="318">
        <f t="shared" si="7"/>
        <v>3</v>
      </c>
      <c r="AM14" s="318">
        <f t="shared" si="22"/>
        <v>0</v>
      </c>
      <c r="AN14" s="589">
        <f t="shared" ref="AN14:AP14" si="63">AN13</f>
        <v>67</v>
      </c>
      <c r="AO14" s="320">
        <f t="shared" si="24"/>
        <v>2010.0000000000002</v>
      </c>
      <c r="AP14" s="589">
        <f t="shared" si="63"/>
        <v>55</v>
      </c>
      <c r="AQ14" s="320">
        <f t="shared" si="25"/>
        <v>1650.0000000000002</v>
      </c>
      <c r="AR14" s="589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9">
        <v>222</v>
      </c>
      <c r="C15" s="589">
        <v>228</v>
      </c>
      <c r="D15" s="45">
        <f t="shared" si="28"/>
        <v>5</v>
      </c>
      <c r="E15" s="45">
        <f t="shared" si="8"/>
        <v>41.900000000000006</v>
      </c>
      <c r="F15" s="589">
        <v>1731</v>
      </c>
      <c r="G15" s="52">
        <f t="shared" si="0"/>
        <v>3</v>
      </c>
      <c r="H15" s="589">
        <v>5125</v>
      </c>
      <c r="I15" s="396">
        <f t="shared" si="1"/>
        <v>168</v>
      </c>
      <c r="J15" s="66">
        <f t="shared" si="9"/>
        <v>56</v>
      </c>
      <c r="K15" s="589">
        <v>2228</v>
      </c>
      <c r="L15" s="52">
        <f t="shared" si="10"/>
        <v>1</v>
      </c>
      <c r="M15" s="589">
        <v>163820</v>
      </c>
      <c r="N15" s="396">
        <f t="shared" si="2"/>
        <v>85</v>
      </c>
      <c r="O15" s="64">
        <f t="shared" si="11"/>
        <v>1869</v>
      </c>
      <c r="P15" s="589">
        <f t="shared" si="11"/>
        <v>1978</v>
      </c>
      <c r="Q15" s="589">
        <f t="shared" ref="Q15" si="65">Q14</f>
        <v>167261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4</v>
      </c>
      <c r="V15" s="62">
        <f t="shared" si="14"/>
        <v>253</v>
      </c>
      <c r="W15" s="400">
        <f t="shared" si="15"/>
        <v>63.25</v>
      </c>
      <c r="X15" s="589">
        <f t="shared" si="16"/>
        <v>2454</v>
      </c>
      <c r="Y15" s="52">
        <f t="shared" si="17"/>
        <v>0</v>
      </c>
      <c r="Z15" s="589">
        <f t="shared" si="16"/>
        <v>138028.1</v>
      </c>
      <c r="AA15" s="65">
        <f t="shared" si="5"/>
        <v>0</v>
      </c>
      <c r="AB15" s="284">
        <f t="shared" si="31"/>
        <v>0</v>
      </c>
      <c r="AC15" s="589">
        <f t="shared" ref="AC15:AE15" si="66">AC14</f>
        <v>1934</v>
      </c>
      <c r="AD15" s="45">
        <f t="shared" si="6"/>
        <v>0</v>
      </c>
      <c r="AE15" s="589">
        <f t="shared" si="66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253</v>
      </c>
      <c r="AJ15" s="318">
        <f>-tanks!AW16</f>
        <v>253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89">
        <f t="shared" ref="AN15:AP15" si="67">AN14</f>
        <v>67</v>
      </c>
      <c r="AO15" s="320">
        <f t="shared" si="24"/>
        <v>2010.0000000000002</v>
      </c>
      <c r="AP15" s="589">
        <f t="shared" si="67"/>
        <v>55</v>
      </c>
      <c r="AQ15" s="320">
        <f t="shared" si="25"/>
        <v>1650.0000000000002</v>
      </c>
      <c r="AR15" s="589">
        <f t="shared" ref="AR15" si="68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9">
        <v>219</v>
      </c>
      <c r="C16" s="589">
        <v>224</v>
      </c>
      <c r="D16" s="45">
        <f t="shared" si="28"/>
        <v>4</v>
      </c>
      <c r="E16" s="45">
        <f t="shared" si="8"/>
        <v>33.520000000000003</v>
      </c>
      <c r="F16" s="589">
        <v>1731</v>
      </c>
      <c r="G16" s="52">
        <f t="shared" si="0"/>
        <v>0</v>
      </c>
      <c r="H16" s="589">
        <f t="shared" si="29"/>
        <v>5125</v>
      </c>
      <c r="I16" s="396">
        <f t="shared" si="1"/>
        <v>0</v>
      </c>
      <c r="J16" s="66">
        <f t="shared" si="9"/>
        <v>0</v>
      </c>
      <c r="K16" s="589">
        <v>2230</v>
      </c>
      <c r="L16" s="52">
        <f t="shared" si="10"/>
        <v>2</v>
      </c>
      <c r="M16" s="589">
        <v>163965</v>
      </c>
      <c r="N16" s="396">
        <f t="shared" si="2"/>
        <v>145</v>
      </c>
      <c r="O16" s="64">
        <f t="shared" si="11"/>
        <v>1869</v>
      </c>
      <c r="P16" s="589">
        <v>1979</v>
      </c>
      <c r="Q16" s="589">
        <v>167350</v>
      </c>
      <c r="R16" s="395">
        <f t="shared" si="51"/>
        <v>89</v>
      </c>
      <c r="S16" s="52">
        <f t="shared" si="4"/>
        <v>1</v>
      </c>
      <c r="T16" s="67">
        <f t="shared" si="30"/>
        <v>0</v>
      </c>
      <c r="U16" s="402">
        <f t="shared" si="13"/>
        <v>3</v>
      </c>
      <c r="V16" s="62">
        <f t="shared" si="14"/>
        <v>234</v>
      </c>
      <c r="W16" s="400">
        <f t="shared" si="15"/>
        <v>78</v>
      </c>
      <c r="X16" s="589">
        <f t="shared" si="16"/>
        <v>2454</v>
      </c>
      <c r="Y16" s="52">
        <f t="shared" si="17"/>
        <v>0</v>
      </c>
      <c r="Z16" s="589">
        <f t="shared" si="16"/>
        <v>138028.1</v>
      </c>
      <c r="AA16" s="65">
        <f t="shared" si="5"/>
        <v>0</v>
      </c>
      <c r="AB16" s="284">
        <f t="shared" si="31"/>
        <v>0</v>
      </c>
      <c r="AC16" s="589">
        <f t="shared" ref="AC16:AE16" si="69">AC15</f>
        <v>1934</v>
      </c>
      <c r="AD16" s="45">
        <f t="shared" si="6"/>
        <v>0</v>
      </c>
      <c r="AE16" s="589">
        <f t="shared" si="69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234</v>
      </c>
      <c r="AJ16" s="318">
        <f>-tanks!AW17</f>
        <v>234</v>
      </c>
      <c r="AK16" s="318">
        <f t="shared" si="21"/>
        <v>0</v>
      </c>
      <c r="AL16" s="318">
        <f t="shared" si="7"/>
        <v>3</v>
      </c>
      <c r="AM16" s="318">
        <f t="shared" si="22"/>
        <v>0</v>
      </c>
      <c r="AN16" s="589">
        <f t="shared" ref="AN16:AP16" si="70">AN15</f>
        <v>67</v>
      </c>
      <c r="AO16" s="320">
        <f t="shared" si="24"/>
        <v>2010.0000000000002</v>
      </c>
      <c r="AP16" s="589">
        <f t="shared" si="70"/>
        <v>55</v>
      </c>
      <c r="AQ16" s="320">
        <f t="shared" si="25"/>
        <v>1650.0000000000002</v>
      </c>
      <c r="AR16" s="589">
        <f t="shared" ref="AR16" si="71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9">
        <v>214</v>
      </c>
      <c r="C17" s="589">
        <v>219</v>
      </c>
      <c r="D17" s="45">
        <f t="shared" si="28"/>
        <v>5</v>
      </c>
      <c r="E17" s="45">
        <f t="shared" si="8"/>
        <v>41.900000000000006</v>
      </c>
      <c r="F17" s="589">
        <v>1732</v>
      </c>
      <c r="G17" s="52">
        <f t="shared" si="0"/>
        <v>1</v>
      </c>
      <c r="H17" s="589">
        <v>5194</v>
      </c>
      <c r="I17" s="396">
        <f t="shared" si="1"/>
        <v>69</v>
      </c>
      <c r="J17" s="66">
        <f t="shared" si="9"/>
        <v>69</v>
      </c>
      <c r="K17" s="589">
        <f t="shared" si="40"/>
        <v>2230</v>
      </c>
      <c r="L17" s="52">
        <f t="shared" si="10"/>
        <v>0</v>
      </c>
      <c r="M17" s="589">
        <f t="shared" si="40"/>
        <v>163965</v>
      </c>
      <c r="N17" s="396">
        <f t="shared" si="2"/>
        <v>0</v>
      </c>
      <c r="O17" s="64">
        <f t="shared" si="11"/>
        <v>1869</v>
      </c>
      <c r="P17" s="589">
        <v>1982</v>
      </c>
      <c r="Q17" s="589">
        <v>167562</v>
      </c>
      <c r="R17" s="395">
        <f t="shared" si="51"/>
        <v>212</v>
      </c>
      <c r="S17" s="52">
        <f t="shared" si="4"/>
        <v>3</v>
      </c>
      <c r="T17" s="67">
        <f t="shared" si="30"/>
        <v>0</v>
      </c>
      <c r="U17" s="402">
        <f t="shared" si="13"/>
        <v>4</v>
      </c>
      <c r="V17" s="62">
        <f t="shared" si="14"/>
        <v>281</v>
      </c>
      <c r="W17" s="400"/>
      <c r="X17" s="589">
        <v>2454</v>
      </c>
      <c r="Y17" s="52">
        <f t="shared" si="17"/>
        <v>0</v>
      </c>
      <c r="Z17" s="589">
        <f t="shared" si="16"/>
        <v>138028.1</v>
      </c>
      <c r="AA17" s="65">
        <f t="shared" si="5"/>
        <v>0</v>
      </c>
      <c r="AB17" s="284">
        <f t="shared" si="31"/>
        <v>0</v>
      </c>
      <c r="AC17" s="589">
        <f t="shared" ref="AC17:AE17" si="72">AC16</f>
        <v>1934</v>
      </c>
      <c r="AD17" s="45">
        <f t="shared" si="6"/>
        <v>0</v>
      </c>
      <c r="AE17" s="589">
        <f t="shared" si="72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281</v>
      </c>
      <c r="AJ17" s="318">
        <f>-tanks!AW18</f>
        <v>281</v>
      </c>
      <c r="AK17" s="318">
        <f t="shared" si="21"/>
        <v>0</v>
      </c>
      <c r="AL17" s="318">
        <f t="shared" si="7"/>
        <v>4</v>
      </c>
      <c r="AM17" s="318">
        <f t="shared" si="22"/>
        <v>0</v>
      </c>
      <c r="AN17" s="589">
        <f t="shared" ref="AN17:AP17" si="73">AN16</f>
        <v>67</v>
      </c>
      <c r="AO17" s="320">
        <f t="shared" si="24"/>
        <v>2010.0000000000002</v>
      </c>
      <c r="AP17" s="589">
        <f t="shared" si="73"/>
        <v>55</v>
      </c>
      <c r="AQ17" s="320">
        <f t="shared" si="25"/>
        <v>1650.0000000000002</v>
      </c>
      <c r="AR17" s="589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9">
        <v>208</v>
      </c>
      <c r="C18" s="589">
        <v>215</v>
      </c>
      <c r="D18" s="45">
        <f t="shared" si="28"/>
        <v>4</v>
      </c>
      <c r="E18" s="45">
        <f t="shared" si="8"/>
        <v>33.520000000000003</v>
      </c>
      <c r="F18" s="589">
        <v>1734</v>
      </c>
      <c r="G18" s="52">
        <f t="shared" si="0"/>
        <v>2</v>
      </c>
      <c r="H18" s="589">
        <v>5345</v>
      </c>
      <c r="I18" s="396">
        <f t="shared" si="1"/>
        <v>151</v>
      </c>
      <c r="J18" s="66">
        <f t="shared" si="9"/>
        <v>75.5</v>
      </c>
      <c r="K18" s="589">
        <v>2231</v>
      </c>
      <c r="L18" s="52">
        <f t="shared" si="10"/>
        <v>1</v>
      </c>
      <c r="M18" s="589">
        <v>164081</v>
      </c>
      <c r="N18" s="396">
        <f t="shared" si="2"/>
        <v>116</v>
      </c>
      <c r="O18" s="64">
        <v>1869</v>
      </c>
      <c r="P18" s="589">
        <f t="shared" si="11"/>
        <v>1982</v>
      </c>
      <c r="Q18" s="589">
        <f t="shared" ref="Q18" si="75">Q17</f>
        <v>167562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3</v>
      </c>
      <c r="V18" s="62">
        <f t="shared" si="14"/>
        <v>267</v>
      </c>
      <c r="W18" s="400"/>
      <c r="X18" s="589">
        <f t="shared" si="16"/>
        <v>2454</v>
      </c>
      <c r="Y18" s="52">
        <f t="shared" si="17"/>
        <v>0</v>
      </c>
      <c r="Z18" s="589">
        <f t="shared" si="16"/>
        <v>138028.1</v>
      </c>
      <c r="AA18" s="65">
        <f t="shared" si="5"/>
        <v>0</v>
      </c>
      <c r="AB18" s="284">
        <f t="shared" ref="AB18:AB23" si="76">SUM(Y18*$AB$2)</f>
        <v>0</v>
      </c>
      <c r="AC18" s="589">
        <f t="shared" ref="AC18:AE18" si="77">AC17</f>
        <v>1934</v>
      </c>
      <c r="AD18" s="45">
        <f t="shared" si="6"/>
        <v>0</v>
      </c>
      <c r="AE18" s="589">
        <f t="shared" si="77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267</v>
      </c>
      <c r="AJ18" s="318">
        <f>-tanks!AW19</f>
        <v>267</v>
      </c>
      <c r="AK18" s="318">
        <f t="shared" si="21"/>
        <v>0</v>
      </c>
      <c r="AL18" s="318">
        <f t="shared" si="7"/>
        <v>3</v>
      </c>
      <c r="AM18" s="318">
        <f t="shared" si="22"/>
        <v>0</v>
      </c>
      <c r="AN18" s="589">
        <f t="shared" ref="AN18:AP18" si="78">AN17</f>
        <v>67</v>
      </c>
      <c r="AO18" s="320">
        <f t="shared" si="24"/>
        <v>2010.0000000000002</v>
      </c>
      <c r="AP18" s="589">
        <f t="shared" si="78"/>
        <v>55</v>
      </c>
      <c r="AQ18" s="320">
        <f t="shared" si="25"/>
        <v>1650.0000000000002</v>
      </c>
      <c r="AR18" s="589">
        <f t="shared" ref="AR18" si="79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9">
        <v>204</v>
      </c>
      <c r="C19" s="589">
        <v>210</v>
      </c>
      <c r="D19" s="45">
        <f t="shared" si="28"/>
        <v>5</v>
      </c>
      <c r="E19" s="45">
        <f t="shared" si="8"/>
        <v>41.900000000000006</v>
      </c>
      <c r="F19" s="589">
        <f t="shared" si="29"/>
        <v>1734</v>
      </c>
      <c r="G19" s="52">
        <f t="shared" si="0"/>
        <v>0</v>
      </c>
      <c r="H19" s="589">
        <f t="shared" si="29"/>
        <v>5345</v>
      </c>
      <c r="I19" s="396">
        <f t="shared" si="1"/>
        <v>0</v>
      </c>
      <c r="J19" s="66">
        <f t="shared" si="9"/>
        <v>0</v>
      </c>
      <c r="K19" s="589">
        <v>2233</v>
      </c>
      <c r="L19" s="52">
        <f t="shared" si="10"/>
        <v>2</v>
      </c>
      <c r="M19" s="589">
        <v>164223</v>
      </c>
      <c r="N19" s="396">
        <f t="shared" si="2"/>
        <v>142</v>
      </c>
      <c r="O19" s="64">
        <f t="shared" si="11"/>
        <v>1869</v>
      </c>
      <c r="P19" s="589">
        <v>1983</v>
      </c>
      <c r="Q19" s="589">
        <v>167637</v>
      </c>
      <c r="R19" s="395">
        <f t="shared" si="51"/>
        <v>75</v>
      </c>
      <c r="S19" s="52">
        <f t="shared" si="4"/>
        <v>1</v>
      </c>
      <c r="T19" s="67">
        <f t="shared" si="30"/>
        <v>0</v>
      </c>
      <c r="U19" s="402">
        <f t="shared" si="13"/>
        <v>3</v>
      </c>
      <c r="V19" s="62">
        <f t="shared" si="14"/>
        <v>217</v>
      </c>
      <c r="W19" s="400"/>
      <c r="X19" s="589">
        <f t="shared" si="16"/>
        <v>2454</v>
      </c>
      <c r="Y19" s="52">
        <f t="shared" si="17"/>
        <v>0</v>
      </c>
      <c r="Z19" s="589">
        <f t="shared" si="16"/>
        <v>138028.1</v>
      </c>
      <c r="AA19" s="65">
        <f t="shared" si="5"/>
        <v>0</v>
      </c>
      <c r="AB19" s="284">
        <f t="shared" si="76"/>
        <v>0</v>
      </c>
      <c r="AC19" s="589">
        <f t="shared" ref="AC19:AE19" si="80">AC18</f>
        <v>1934</v>
      </c>
      <c r="AD19" s="45">
        <f t="shared" si="6"/>
        <v>0</v>
      </c>
      <c r="AE19" s="589">
        <f t="shared" si="80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217</v>
      </c>
      <c r="AJ19" s="318">
        <f>-tanks!AW20</f>
        <v>217</v>
      </c>
      <c r="AK19" s="318">
        <f t="shared" si="21"/>
        <v>0</v>
      </c>
      <c r="AL19" s="318">
        <f t="shared" si="7"/>
        <v>3</v>
      </c>
      <c r="AM19" s="318">
        <f t="shared" si="22"/>
        <v>0</v>
      </c>
      <c r="AN19" s="589">
        <f t="shared" ref="AN19:AP19" si="81">AN18</f>
        <v>67</v>
      </c>
      <c r="AO19" s="320">
        <f t="shared" si="24"/>
        <v>2010.0000000000002</v>
      </c>
      <c r="AP19" s="589">
        <f t="shared" si="81"/>
        <v>55</v>
      </c>
      <c r="AQ19" s="320">
        <f t="shared" si="25"/>
        <v>1650.0000000000002</v>
      </c>
      <c r="AR19" s="589">
        <f t="shared" ref="AR19" si="82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9">
        <v>237</v>
      </c>
      <c r="C20" s="589">
        <v>243</v>
      </c>
      <c r="D20" s="45">
        <f>C19-C20</f>
        <v>-33</v>
      </c>
      <c r="E20" s="45">
        <f t="shared" si="8"/>
        <v>-276.54000000000002</v>
      </c>
      <c r="F20" s="589">
        <f t="shared" si="29"/>
        <v>1734</v>
      </c>
      <c r="G20" s="52">
        <f t="shared" si="0"/>
        <v>0</v>
      </c>
      <c r="H20" s="589">
        <f t="shared" si="29"/>
        <v>5345</v>
      </c>
      <c r="I20" s="396">
        <f t="shared" si="1"/>
        <v>0</v>
      </c>
      <c r="J20" s="66">
        <f t="shared" si="9"/>
        <v>0</v>
      </c>
      <c r="K20" s="589">
        <f t="shared" si="40"/>
        <v>2233</v>
      </c>
      <c r="L20" s="52">
        <f t="shared" si="10"/>
        <v>0</v>
      </c>
      <c r="M20" s="589">
        <f t="shared" si="40"/>
        <v>164223</v>
      </c>
      <c r="N20" s="396">
        <f t="shared" si="2"/>
        <v>0</v>
      </c>
      <c r="O20" s="64">
        <f t="shared" si="11"/>
        <v>1869</v>
      </c>
      <c r="P20" s="589">
        <v>1986</v>
      </c>
      <c r="Q20" s="589">
        <v>167865</v>
      </c>
      <c r="R20" s="395">
        <f t="shared" si="51"/>
        <v>228</v>
      </c>
      <c r="S20" s="52">
        <f t="shared" si="4"/>
        <v>3</v>
      </c>
      <c r="T20" s="67">
        <f t="shared" si="30"/>
        <v>0</v>
      </c>
      <c r="U20" s="402">
        <f t="shared" si="13"/>
        <v>3</v>
      </c>
      <c r="V20" s="62">
        <f t="shared" si="14"/>
        <v>228</v>
      </c>
      <c r="W20" s="400"/>
      <c r="X20" s="589">
        <f t="shared" si="16"/>
        <v>2454</v>
      </c>
      <c r="Y20" s="52">
        <f t="shared" si="17"/>
        <v>0</v>
      </c>
      <c r="Z20" s="589">
        <f t="shared" si="16"/>
        <v>138028.1</v>
      </c>
      <c r="AA20" s="65">
        <f t="shared" si="5"/>
        <v>0</v>
      </c>
      <c r="AB20" s="284">
        <f t="shared" si="76"/>
        <v>0</v>
      </c>
      <c r="AC20" s="589">
        <f t="shared" ref="AC20:AE20" si="83">AC19</f>
        <v>1934</v>
      </c>
      <c r="AD20" s="45">
        <f t="shared" si="6"/>
        <v>0</v>
      </c>
      <c r="AE20" s="589">
        <f t="shared" si="83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228</v>
      </c>
      <c r="AJ20" s="318">
        <f>-tanks!AW21</f>
        <v>228</v>
      </c>
      <c r="AK20" s="318">
        <f t="shared" si="21"/>
        <v>0</v>
      </c>
      <c r="AL20" s="318">
        <f t="shared" si="7"/>
        <v>3</v>
      </c>
      <c r="AM20" s="318">
        <f t="shared" si="22"/>
        <v>0</v>
      </c>
      <c r="AN20" s="589">
        <f t="shared" ref="AN20:AP20" si="84">AN19</f>
        <v>67</v>
      </c>
      <c r="AO20" s="320">
        <f t="shared" si="24"/>
        <v>2010.0000000000002</v>
      </c>
      <c r="AP20" s="589">
        <f t="shared" si="84"/>
        <v>55</v>
      </c>
      <c r="AQ20" s="320">
        <f t="shared" si="25"/>
        <v>1650.0000000000002</v>
      </c>
      <c r="AR20" s="589">
        <f t="shared" ref="AR20" si="85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9">
        <f t="shared" ref="B20:C32" si="86">B20</f>
        <v>237</v>
      </c>
      <c r="C21" s="589">
        <f t="shared" si="86"/>
        <v>243</v>
      </c>
      <c r="D21" s="45">
        <f t="shared" ref="D21:D31" si="87">C20-C21</f>
        <v>0</v>
      </c>
      <c r="E21" s="45">
        <f t="shared" si="8"/>
        <v>0</v>
      </c>
      <c r="F21" s="589">
        <f t="shared" si="29"/>
        <v>1734</v>
      </c>
      <c r="G21" s="52">
        <f t="shared" si="0"/>
        <v>0</v>
      </c>
      <c r="H21" s="589">
        <f t="shared" si="29"/>
        <v>5345</v>
      </c>
      <c r="I21" s="396">
        <f t="shared" si="1"/>
        <v>0</v>
      </c>
      <c r="J21" s="66">
        <f t="shared" si="9"/>
        <v>0</v>
      </c>
      <c r="K21" s="589">
        <f t="shared" si="40"/>
        <v>2233</v>
      </c>
      <c r="L21" s="52">
        <f t="shared" si="10"/>
        <v>0</v>
      </c>
      <c r="M21" s="589">
        <f t="shared" si="40"/>
        <v>164223</v>
      </c>
      <c r="N21" s="396">
        <f t="shared" si="2"/>
        <v>0</v>
      </c>
      <c r="O21" s="64">
        <f t="shared" si="11"/>
        <v>1869</v>
      </c>
      <c r="P21" s="589">
        <f t="shared" si="11"/>
        <v>1986</v>
      </c>
      <c r="Q21" s="589">
        <f t="shared" ref="Q21" si="88">Q20</f>
        <v>167865</v>
      </c>
      <c r="R21" s="395">
        <f t="shared" si="51"/>
        <v>0</v>
      </c>
      <c r="S21" s="52">
        <f t="shared" si="4"/>
        <v>0</v>
      </c>
      <c r="T21" s="67">
        <f t="shared" si="30"/>
        <v>0</v>
      </c>
      <c r="U21" s="402">
        <f t="shared" si="13"/>
        <v>0</v>
      </c>
      <c r="V21" s="62">
        <f t="shared" si="14"/>
        <v>0</v>
      </c>
      <c r="W21" s="400"/>
      <c r="X21" s="589">
        <f t="shared" si="16"/>
        <v>2454</v>
      </c>
      <c r="Y21" s="52">
        <f t="shared" si="17"/>
        <v>0</v>
      </c>
      <c r="Z21" s="589">
        <f t="shared" si="16"/>
        <v>138028.1</v>
      </c>
      <c r="AA21" s="65">
        <f t="shared" si="5"/>
        <v>0</v>
      </c>
      <c r="AB21" s="284">
        <f t="shared" si="76"/>
        <v>0</v>
      </c>
      <c r="AC21" s="589">
        <f t="shared" ref="AC21:AE21" si="89">AC20</f>
        <v>1934</v>
      </c>
      <c r="AD21" s="45">
        <f t="shared" si="6"/>
        <v>0</v>
      </c>
      <c r="AE21" s="589">
        <f t="shared" si="89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89">
        <f t="shared" ref="AN21:AP21" si="90">AN20</f>
        <v>67</v>
      </c>
      <c r="AO21" s="320">
        <f t="shared" si="24"/>
        <v>2010.0000000000002</v>
      </c>
      <c r="AP21" s="589">
        <f t="shared" si="90"/>
        <v>55</v>
      </c>
      <c r="AQ21" s="320">
        <f t="shared" si="25"/>
        <v>1650.0000000000002</v>
      </c>
      <c r="AR21" s="589">
        <f t="shared" ref="AR21" si="91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9">
        <f t="shared" si="86"/>
        <v>237</v>
      </c>
      <c r="C22" s="589">
        <f t="shared" si="86"/>
        <v>243</v>
      </c>
      <c r="D22" s="45">
        <f t="shared" si="87"/>
        <v>0</v>
      </c>
      <c r="E22" s="45">
        <f t="shared" si="8"/>
        <v>0</v>
      </c>
      <c r="F22" s="589">
        <f t="shared" si="29"/>
        <v>1734</v>
      </c>
      <c r="G22" s="52">
        <f t="shared" si="0"/>
        <v>0</v>
      </c>
      <c r="H22" s="589">
        <f t="shared" si="29"/>
        <v>5345</v>
      </c>
      <c r="I22" s="396">
        <f t="shared" si="1"/>
        <v>0</v>
      </c>
      <c r="J22" s="66">
        <f t="shared" si="9"/>
        <v>0</v>
      </c>
      <c r="K22" s="589">
        <f t="shared" si="40"/>
        <v>2233</v>
      </c>
      <c r="L22" s="52">
        <f t="shared" si="10"/>
        <v>0</v>
      </c>
      <c r="M22" s="589">
        <f t="shared" si="40"/>
        <v>164223</v>
      </c>
      <c r="N22" s="396">
        <f t="shared" si="2"/>
        <v>0</v>
      </c>
      <c r="O22" s="64">
        <f t="shared" si="11"/>
        <v>1869</v>
      </c>
      <c r="P22" s="589">
        <f t="shared" si="11"/>
        <v>1986</v>
      </c>
      <c r="Q22" s="589">
        <f t="shared" ref="Q22" si="92">Q21</f>
        <v>167865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89">
        <f t="shared" si="16"/>
        <v>2454</v>
      </c>
      <c r="Y22" s="52">
        <f t="shared" si="17"/>
        <v>0</v>
      </c>
      <c r="Z22" s="589">
        <f t="shared" si="16"/>
        <v>138028.1</v>
      </c>
      <c r="AA22" s="65">
        <f t="shared" si="5"/>
        <v>0</v>
      </c>
      <c r="AB22" s="284">
        <f t="shared" si="76"/>
        <v>0</v>
      </c>
      <c r="AC22" s="589">
        <f t="shared" ref="AC22:AE22" si="93">AC21</f>
        <v>1934</v>
      </c>
      <c r="AD22" s="45">
        <f t="shared" si="6"/>
        <v>0</v>
      </c>
      <c r="AE22" s="589">
        <f t="shared" si="93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89">
        <f t="shared" ref="AN22:AP22" si="94">AN21</f>
        <v>67</v>
      </c>
      <c r="AO22" s="320">
        <f t="shared" si="24"/>
        <v>2010.0000000000002</v>
      </c>
      <c r="AP22" s="589">
        <f t="shared" si="94"/>
        <v>55</v>
      </c>
      <c r="AQ22" s="320">
        <f t="shared" si="25"/>
        <v>1650.0000000000002</v>
      </c>
      <c r="AR22" s="589">
        <f t="shared" ref="AR22" si="95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9">
        <f t="shared" si="86"/>
        <v>237</v>
      </c>
      <c r="C23" s="589">
        <f t="shared" si="86"/>
        <v>243</v>
      </c>
      <c r="D23" s="45">
        <f t="shared" si="87"/>
        <v>0</v>
      </c>
      <c r="E23" s="45">
        <f t="shared" si="8"/>
        <v>0</v>
      </c>
      <c r="F23" s="589">
        <f t="shared" si="29"/>
        <v>1734</v>
      </c>
      <c r="G23" s="52">
        <f t="shared" si="0"/>
        <v>0</v>
      </c>
      <c r="H23" s="589">
        <f t="shared" si="29"/>
        <v>5345</v>
      </c>
      <c r="I23" s="396">
        <f t="shared" si="1"/>
        <v>0</v>
      </c>
      <c r="J23" s="66">
        <f t="shared" si="9"/>
        <v>0</v>
      </c>
      <c r="K23" s="589">
        <f t="shared" si="40"/>
        <v>2233</v>
      </c>
      <c r="L23" s="52">
        <f t="shared" si="10"/>
        <v>0</v>
      </c>
      <c r="M23" s="589">
        <f t="shared" si="40"/>
        <v>164223</v>
      </c>
      <c r="N23" s="396">
        <f t="shared" si="2"/>
        <v>0</v>
      </c>
      <c r="O23" s="64">
        <f t="shared" si="11"/>
        <v>1869</v>
      </c>
      <c r="P23" s="589">
        <f t="shared" si="11"/>
        <v>1986</v>
      </c>
      <c r="Q23" s="589">
        <f t="shared" ref="Q23" si="96">Q22</f>
        <v>167865</v>
      </c>
      <c r="R23" s="395">
        <f t="shared" si="51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89">
        <f t="shared" si="16"/>
        <v>2454</v>
      </c>
      <c r="Y23" s="52">
        <f t="shared" si="17"/>
        <v>0</v>
      </c>
      <c r="Z23" s="589">
        <f t="shared" si="16"/>
        <v>138028.1</v>
      </c>
      <c r="AA23" s="65">
        <f t="shared" si="5"/>
        <v>0</v>
      </c>
      <c r="AB23" s="284">
        <f t="shared" si="76"/>
        <v>0</v>
      </c>
      <c r="AC23" s="589">
        <f t="shared" ref="AC23:AE23" si="97">AC22</f>
        <v>1934</v>
      </c>
      <c r="AD23" s="45">
        <f t="shared" si="6"/>
        <v>0</v>
      </c>
      <c r="AE23" s="589">
        <f t="shared" si="97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0</v>
      </c>
      <c r="AJ23" s="318">
        <f>-[3]tanks!AW24</f>
        <v>231</v>
      </c>
      <c r="AK23" s="318">
        <f t="shared" si="21"/>
        <v>231</v>
      </c>
      <c r="AL23" s="318">
        <f t="shared" si="7"/>
        <v>0</v>
      </c>
      <c r="AM23" s="318">
        <f t="shared" si="22"/>
        <v>0</v>
      </c>
      <c r="AN23" s="589">
        <f t="shared" ref="AN23:AP23" si="98">AN22</f>
        <v>67</v>
      </c>
      <c r="AO23" s="320">
        <f t="shared" si="24"/>
        <v>2010.0000000000002</v>
      </c>
      <c r="AP23" s="589">
        <f t="shared" si="98"/>
        <v>55</v>
      </c>
      <c r="AQ23" s="320">
        <f t="shared" si="25"/>
        <v>1650.0000000000002</v>
      </c>
      <c r="AR23" s="589">
        <f t="shared" ref="AR23" si="99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9">
        <f t="shared" si="86"/>
        <v>237</v>
      </c>
      <c r="C24" s="589">
        <f t="shared" si="86"/>
        <v>243</v>
      </c>
      <c r="D24" s="45">
        <f t="shared" si="87"/>
        <v>0</v>
      </c>
      <c r="E24" s="45">
        <f t="shared" si="8"/>
        <v>0</v>
      </c>
      <c r="F24" s="589">
        <f t="shared" si="29"/>
        <v>1734</v>
      </c>
      <c r="G24" s="52">
        <f t="shared" si="0"/>
        <v>0</v>
      </c>
      <c r="H24" s="589">
        <f t="shared" si="29"/>
        <v>5345</v>
      </c>
      <c r="I24" s="396">
        <f t="shared" si="1"/>
        <v>0</v>
      </c>
      <c r="J24" s="66">
        <f t="shared" si="9"/>
        <v>0</v>
      </c>
      <c r="K24" s="589">
        <f t="shared" si="40"/>
        <v>2233</v>
      </c>
      <c r="L24" s="52">
        <f t="shared" si="10"/>
        <v>0</v>
      </c>
      <c r="M24" s="589">
        <f t="shared" si="40"/>
        <v>164223</v>
      </c>
      <c r="N24" s="396">
        <f t="shared" si="2"/>
        <v>0</v>
      </c>
      <c r="O24" s="64">
        <f t="shared" si="11"/>
        <v>1869</v>
      </c>
      <c r="P24" s="589">
        <f t="shared" si="11"/>
        <v>1986</v>
      </c>
      <c r="Q24" s="589">
        <f t="shared" ref="Q24" si="100">Q23</f>
        <v>167865</v>
      </c>
      <c r="R24" s="395">
        <f t="shared" si="51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89">
        <f t="shared" si="16"/>
        <v>2454</v>
      </c>
      <c r="Y24" s="52">
        <f t="shared" si="17"/>
        <v>0</v>
      </c>
      <c r="Z24" s="589">
        <f t="shared" si="16"/>
        <v>138028.1</v>
      </c>
      <c r="AA24" s="65">
        <f t="shared" si="5"/>
        <v>0</v>
      </c>
      <c r="AB24" s="284">
        <f t="shared" ref="AB24:AB32" si="101">SUM(Y24*$AB$2)</f>
        <v>0</v>
      </c>
      <c r="AC24" s="589">
        <f t="shared" ref="AC24:AE24" si="102">AC23</f>
        <v>1934</v>
      </c>
      <c r="AD24" s="45">
        <f t="shared" si="6"/>
        <v>0</v>
      </c>
      <c r="AE24" s="589">
        <f t="shared" si="102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89">
        <f t="shared" ref="AN24:AP24" si="103">AN23</f>
        <v>67</v>
      </c>
      <c r="AO24" s="320">
        <f t="shared" si="24"/>
        <v>2010.0000000000002</v>
      </c>
      <c r="AP24" s="589">
        <f t="shared" si="103"/>
        <v>55</v>
      </c>
      <c r="AQ24" s="320">
        <f t="shared" si="25"/>
        <v>1650.0000000000002</v>
      </c>
      <c r="AR24" s="589">
        <f t="shared" ref="AR24" si="104">AR23</f>
        <v>61</v>
      </c>
      <c r="AS24" s="320">
        <f t="shared" si="37"/>
        <v>1830</v>
      </c>
      <c r="AT24" s="320">
        <f t="shared" ref="AT24:AT32" si="105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9">
        <f t="shared" si="86"/>
        <v>237</v>
      </c>
      <c r="C25" s="589">
        <f t="shared" si="86"/>
        <v>243</v>
      </c>
      <c r="D25" s="45">
        <f t="shared" si="87"/>
        <v>0</v>
      </c>
      <c r="E25" s="45">
        <f t="shared" si="8"/>
        <v>0</v>
      </c>
      <c r="F25" s="589">
        <f t="shared" si="29"/>
        <v>1734</v>
      </c>
      <c r="G25" s="52">
        <f t="shared" si="0"/>
        <v>0</v>
      </c>
      <c r="H25" s="589">
        <f t="shared" si="29"/>
        <v>5345</v>
      </c>
      <c r="I25" s="396">
        <f t="shared" si="1"/>
        <v>0</v>
      </c>
      <c r="J25" s="66">
        <f t="shared" si="9"/>
        <v>0</v>
      </c>
      <c r="K25" s="589">
        <f t="shared" si="40"/>
        <v>2233</v>
      </c>
      <c r="L25" s="52">
        <f t="shared" si="10"/>
        <v>0</v>
      </c>
      <c r="M25" s="589">
        <f t="shared" si="40"/>
        <v>164223</v>
      </c>
      <c r="N25" s="396">
        <f t="shared" si="2"/>
        <v>0</v>
      </c>
      <c r="O25" s="64">
        <f t="shared" si="11"/>
        <v>1869</v>
      </c>
      <c r="P25" s="589">
        <f t="shared" si="11"/>
        <v>1986</v>
      </c>
      <c r="Q25" s="589">
        <f t="shared" ref="Q25" si="106">Q24</f>
        <v>167865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89">
        <f t="shared" si="16"/>
        <v>2454</v>
      </c>
      <c r="Y25" s="52">
        <f t="shared" si="17"/>
        <v>0</v>
      </c>
      <c r="Z25" s="589">
        <f t="shared" si="16"/>
        <v>138028.1</v>
      </c>
      <c r="AA25" s="65">
        <f t="shared" si="5"/>
        <v>0</v>
      </c>
      <c r="AB25" s="284">
        <f t="shared" si="101"/>
        <v>0</v>
      </c>
      <c r="AC25" s="589">
        <f t="shared" ref="AC25:AE25" si="107">AC24</f>
        <v>1934</v>
      </c>
      <c r="AD25" s="45">
        <f t="shared" si="6"/>
        <v>0</v>
      </c>
      <c r="AE25" s="589">
        <f t="shared" si="107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89">
        <f t="shared" ref="AN25:AP25" si="108">AN24</f>
        <v>67</v>
      </c>
      <c r="AO25" s="320">
        <f t="shared" si="24"/>
        <v>2010.0000000000002</v>
      </c>
      <c r="AP25" s="589">
        <f t="shared" si="108"/>
        <v>55</v>
      </c>
      <c r="AQ25" s="320">
        <f t="shared" ref="AQ25:AQ32" si="109">(AP25/100)*3000</f>
        <v>1650.0000000000002</v>
      </c>
      <c r="AR25" s="589">
        <f t="shared" ref="AR25" si="110">AR24</f>
        <v>61</v>
      </c>
      <c r="AS25" s="320">
        <f t="shared" si="37"/>
        <v>1830</v>
      </c>
      <c r="AT25" s="320">
        <f t="shared" si="105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9">
        <f t="shared" si="86"/>
        <v>237</v>
      </c>
      <c r="C26" s="589">
        <f t="shared" si="86"/>
        <v>243</v>
      </c>
      <c r="D26" s="45">
        <f t="shared" si="87"/>
        <v>0</v>
      </c>
      <c r="E26" s="45">
        <f t="shared" si="8"/>
        <v>0</v>
      </c>
      <c r="F26" s="589">
        <f t="shared" si="29"/>
        <v>1734</v>
      </c>
      <c r="G26" s="52">
        <f t="shared" si="0"/>
        <v>0</v>
      </c>
      <c r="H26" s="589">
        <f t="shared" si="29"/>
        <v>5345</v>
      </c>
      <c r="I26" s="396">
        <f t="shared" si="1"/>
        <v>0</v>
      </c>
      <c r="J26" s="66">
        <f t="shared" si="9"/>
        <v>0</v>
      </c>
      <c r="K26" s="589">
        <f t="shared" si="40"/>
        <v>2233</v>
      </c>
      <c r="L26" s="52">
        <f t="shared" si="10"/>
        <v>0</v>
      </c>
      <c r="M26" s="589">
        <f t="shared" si="40"/>
        <v>164223</v>
      </c>
      <c r="N26" s="396">
        <f t="shared" si="2"/>
        <v>0</v>
      </c>
      <c r="O26" s="64">
        <f t="shared" si="11"/>
        <v>1869</v>
      </c>
      <c r="P26" s="589">
        <f t="shared" si="11"/>
        <v>1986</v>
      </c>
      <c r="Q26" s="589">
        <f t="shared" ref="Q26" si="111">Q25</f>
        <v>167865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89">
        <f t="shared" si="16"/>
        <v>2454</v>
      </c>
      <c r="Y26" s="52">
        <f t="shared" si="17"/>
        <v>0</v>
      </c>
      <c r="Z26" s="589">
        <f t="shared" si="16"/>
        <v>138028.1</v>
      </c>
      <c r="AA26" s="65">
        <f t="shared" si="5"/>
        <v>0</v>
      </c>
      <c r="AB26" s="284">
        <f t="shared" si="101"/>
        <v>0</v>
      </c>
      <c r="AC26" s="589">
        <f t="shared" ref="AC26:AE26" si="112">AC25</f>
        <v>1934</v>
      </c>
      <c r="AD26" s="45">
        <f t="shared" si="6"/>
        <v>0</v>
      </c>
      <c r="AE26" s="589">
        <f t="shared" si="112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89">
        <f t="shared" ref="AN26:AP26" si="113">AN25</f>
        <v>67</v>
      </c>
      <c r="AO26" s="320">
        <f t="shared" si="24"/>
        <v>2010.0000000000002</v>
      </c>
      <c r="AP26" s="589">
        <f t="shared" si="113"/>
        <v>55</v>
      </c>
      <c r="AQ26" s="320">
        <f t="shared" si="109"/>
        <v>1650.0000000000002</v>
      </c>
      <c r="AR26" s="589">
        <f t="shared" ref="AR26" si="114">AR25</f>
        <v>61</v>
      </c>
      <c r="AS26" s="320">
        <f t="shared" si="37"/>
        <v>1830</v>
      </c>
      <c r="AT26" s="320">
        <f t="shared" si="105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9">
        <f t="shared" si="86"/>
        <v>237</v>
      </c>
      <c r="C27" s="589">
        <f t="shared" si="86"/>
        <v>243</v>
      </c>
      <c r="D27" s="45">
        <f t="shared" si="87"/>
        <v>0</v>
      </c>
      <c r="E27" s="45">
        <f t="shared" si="8"/>
        <v>0</v>
      </c>
      <c r="F27" s="589">
        <f t="shared" si="29"/>
        <v>1734</v>
      </c>
      <c r="G27" s="52">
        <f t="shared" si="0"/>
        <v>0</v>
      </c>
      <c r="H27" s="589">
        <f t="shared" si="29"/>
        <v>5345</v>
      </c>
      <c r="I27" s="396">
        <f t="shared" si="1"/>
        <v>0</v>
      </c>
      <c r="J27" s="66">
        <f t="shared" si="9"/>
        <v>0</v>
      </c>
      <c r="K27" s="589">
        <f t="shared" si="40"/>
        <v>2233</v>
      </c>
      <c r="L27" s="52">
        <f t="shared" si="10"/>
        <v>0</v>
      </c>
      <c r="M27" s="589">
        <f t="shared" si="40"/>
        <v>164223</v>
      </c>
      <c r="N27" s="396">
        <f t="shared" si="2"/>
        <v>0</v>
      </c>
      <c r="O27" s="64">
        <f t="shared" si="11"/>
        <v>1869</v>
      </c>
      <c r="P27" s="589">
        <f t="shared" si="11"/>
        <v>1986</v>
      </c>
      <c r="Q27" s="589">
        <f t="shared" ref="Q27" si="115">Q26</f>
        <v>167865</v>
      </c>
      <c r="R27" s="395">
        <f t="shared" si="51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89">
        <f t="shared" si="16"/>
        <v>2454</v>
      </c>
      <c r="Y27" s="52">
        <f t="shared" si="17"/>
        <v>0</v>
      </c>
      <c r="Z27" s="589">
        <f t="shared" si="16"/>
        <v>138028.1</v>
      </c>
      <c r="AA27" s="65">
        <f t="shared" si="5"/>
        <v>0</v>
      </c>
      <c r="AB27" s="284">
        <f t="shared" si="101"/>
        <v>0</v>
      </c>
      <c r="AC27" s="589">
        <f t="shared" ref="AC27:AE27" si="116">AC26</f>
        <v>1934</v>
      </c>
      <c r="AD27" s="45">
        <f t="shared" si="6"/>
        <v>0</v>
      </c>
      <c r="AE27" s="589">
        <f t="shared" si="116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89">
        <f t="shared" ref="AN27:AP27" si="117">AN26</f>
        <v>67</v>
      </c>
      <c r="AO27" s="320">
        <f>(AN27/100)*3000</f>
        <v>2010.0000000000002</v>
      </c>
      <c r="AP27" s="589">
        <f t="shared" si="117"/>
        <v>55</v>
      </c>
      <c r="AQ27" s="320">
        <f t="shared" si="109"/>
        <v>1650.0000000000002</v>
      </c>
      <c r="AR27" s="589">
        <f t="shared" ref="AR27" si="118">AR26</f>
        <v>61</v>
      </c>
      <c r="AS27" s="320">
        <f t="shared" si="37"/>
        <v>1830</v>
      </c>
      <c r="AT27" s="320">
        <f t="shared" si="105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9">
        <f t="shared" si="86"/>
        <v>237</v>
      </c>
      <c r="C28" s="589">
        <f t="shared" si="86"/>
        <v>243</v>
      </c>
      <c r="D28" s="45">
        <f t="shared" si="87"/>
        <v>0</v>
      </c>
      <c r="E28" s="45">
        <f t="shared" si="8"/>
        <v>0</v>
      </c>
      <c r="F28" s="589">
        <f t="shared" si="29"/>
        <v>1734</v>
      </c>
      <c r="G28" s="52">
        <f t="shared" si="0"/>
        <v>0</v>
      </c>
      <c r="H28" s="589">
        <f t="shared" si="29"/>
        <v>5345</v>
      </c>
      <c r="I28" s="396">
        <f t="shared" si="1"/>
        <v>0</v>
      </c>
      <c r="J28" s="66">
        <f t="shared" si="9"/>
        <v>0</v>
      </c>
      <c r="K28" s="589">
        <f t="shared" si="40"/>
        <v>2233</v>
      </c>
      <c r="L28" s="52">
        <f t="shared" si="10"/>
        <v>0</v>
      </c>
      <c r="M28" s="589">
        <f t="shared" si="40"/>
        <v>164223</v>
      </c>
      <c r="N28" s="396">
        <f t="shared" si="2"/>
        <v>0</v>
      </c>
      <c r="O28" s="64">
        <f t="shared" si="11"/>
        <v>1869</v>
      </c>
      <c r="P28" s="589">
        <f t="shared" si="11"/>
        <v>1986</v>
      </c>
      <c r="Q28" s="589">
        <f t="shared" ref="Q28" si="119">Q27</f>
        <v>167865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89">
        <f t="shared" si="16"/>
        <v>2454</v>
      </c>
      <c r="Y28" s="52">
        <f t="shared" si="17"/>
        <v>0</v>
      </c>
      <c r="Z28" s="589">
        <f t="shared" si="16"/>
        <v>138028.1</v>
      </c>
      <c r="AA28" s="65">
        <f t="shared" si="5"/>
        <v>0</v>
      </c>
      <c r="AB28" s="284">
        <f t="shared" si="101"/>
        <v>0</v>
      </c>
      <c r="AC28" s="589">
        <f t="shared" ref="AC28:AE28" si="120">AC27</f>
        <v>1934</v>
      </c>
      <c r="AD28" s="45">
        <f t="shared" si="6"/>
        <v>0</v>
      </c>
      <c r="AE28" s="589">
        <f t="shared" si="120"/>
        <v>365352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89">
        <f t="shared" ref="AN28:AP28" si="121">AN27</f>
        <v>67</v>
      </c>
      <c r="AO28" s="320">
        <f t="shared" ref="AO28:AO32" si="122">(AN28/100)*3000</f>
        <v>2010.0000000000002</v>
      </c>
      <c r="AP28" s="589">
        <f t="shared" si="121"/>
        <v>55</v>
      </c>
      <c r="AQ28" s="320">
        <f t="shared" si="109"/>
        <v>1650.0000000000002</v>
      </c>
      <c r="AR28" s="589">
        <f t="shared" ref="AR28" si="123">AR27</f>
        <v>61</v>
      </c>
      <c r="AS28" s="320">
        <f t="shared" si="37"/>
        <v>1830</v>
      </c>
      <c r="AT28" s="320">
        <f t="shared" si="105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9">
        <f t="shared" si="86"/>
        <v>237</v>
      </c>
      <c r="C29" s="589">
        <f t="shared" si="86"/>
        <v>243</v>
      </c>
      <c r="D29" s="45">
        <f t="shared" si="87"/>
        <v>0</v>
      </c>
      <c r="E29" s="45">
        <f t="shared" si="8"/>
        <v>0</v>
      </c>
      <c r="F29" s="589">
        <f t="shared" si="29"/>
        <v>1734</v>
      </c>
      <c r="G29" s="52">
        <f t="shared" si="0"/>
        <v>0</v>
      </c>
      <c r="H29" s="589">
        <f t="shared" si="29"/>
        <v>5345</v>
      </c>
      <c r="I29" s="396">
        <f t="shared" si="1"/>
        <v>0</v>
      </c>
      <c r="J29" s="66">
        <f t="shared" si="9"/>
        <v>0</v>
      </c>
      <c r="K29" s="589">
        <f t="shared" si="40"/>
        <v>2233</v>
      </c>
      <c r="L29" s="52">
        <f t="shared" si="10"/>
        <v>0</v>
      </c>
      <c r="M29" s="589">
        <f t="shared" si="40"/>
        <v>164223</v>
      </c>
      <c r="N29" s="396">
        <f t="shared" si="2"/>
        <v>0</v>
      </c>
      <c r="O29" s="64">
        <f t="shared" si="11"/>
        <v>1869</v>
      </c>
      <c r="P29" s="589">
        <f t="shared" si="11"/>
        <v>1986</v>
      </c>
      <c r="Q29" s="589">
        <f t="shared" ref="Q29" si="124">Q28</f>
        <v>167865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89">
        <f t="shared" si="16"/>
        <v>2454</v>
      </c>
      <c r="Y29" s="52">
        <f t="shared" si="17"/>
        <v>0</v>
      </c>
      <c r="Z29" s="589">
        <f t="shared" si="16"/>
        <v>138028.1</v>
      </c>
      <c r="AA29" s="65">
        <f t="shared" si="5"/>
        <v>0</v>
      </c>
      <c r="AB29" s="284">
        <f t="shared" si="101"/>
        <v>0</v>
      </c>
      <c r="AC29" s="589">
        <f t="shared" ref="AC29:AE29" si="125">AC28</f>
        <v>1934</v>
      </c>
      <c r="AD29" s="45">
        <f t="shared" si="6"/>
        <v>0</v>
      </c>
      <c r="AE29" s="589">
        <f t="shared" si="125"/>
        <v>365352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89">
        <f t="shared" ref="AN29:AP29" si="126">AN28</f>
        <v>67</v>
      </c>
      <c r="AO29" s="320">
        <f t="shared" si="122"/>
        <v>2010.0000000000002</v>
      </c>
      <c r="AP29" s="589">
        <f t="shared" si="126"/>
        <v>55</v>
      </c>
      <c r="AQ29" s="320">
        <f t="shared" si="109"/>
        <v>1650.0000000000002</v>
      </c>
      <c r="AR29" s="589">
        <f t="shared" ref="AR29" si="127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9">
        <f t="shared" si="86"/>
        <v>237</v>
      </c>
      <c r="C30" s="589">
        <f t="shared" si="86"/>
        <v>243</v>
      </c>
      <c r="D30" s="45">
        <f t="shared" si="87"/>
        <v>0</v>
      </c>
      <c r="E30" s="45">
        <f t="shared" si="8"/>
        <v>0</v>
      </c>
      <c r="F30" s="589">
        <f t="shared" si="29"/>
        <v>1734</v>
      </c>
      <c r="G30" s="52">
        <f t="shared" si="0"/>
        <v>0</v>
      </c>
      <c r="H30" s="589">
        <f t="shared" si="29"/>
        <v>5345</v>
      </c>
      <c r="I30" s="396">
        <f t="shared" si="1"/>
        <v>0</v>
      </c>
      <c r="J30" s="66">
        <f t="shared" si="9"/>
        <v>0</v>
      </c>
      <c r="K30" s="589">
        <f t="shared" si="40"/>
        <v>2233</v>
      </c>
      <c r="L30" s="52">
        <f t="shared" si="10"/>
        <v>0</v>
      </c>
      <c r="M30" s="589">
        <f t="shared" si="40"/>
        <v>164223</v>
      </c>
      <c r="N30" s="396">
        <f t="shared" si="2"/>
        <v>0</v>
      </c>
      <c r="O30" s="64">
        <f t="shared" si="11"/>
        <v>1869</v>
      </c>
      <c r="P30" s="589">
        <f t="shared" si="11"/>
        <v>1986</v>
      </c>
      <c r="Q30" s="589">
        <f t="shared" ref="Q30" si="128">Q29</f>
        <v>167865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89">
        <f t="shared" si="16"/>
        <v>2454</v>
      </c>
      <c r="Y30" s="52">
        <f t="shared" si="17"/>
        <v>0</v>
      </c>
      <c r="Z30" s="589">
        <f t="shared" si="16"/>
        <v>138028.1</v>
      </c>
      <c r="AA30" s="65">
        <f t="shared" si="5"/>
        <v>0</v>
      </c>
      <c r="AB30" s="284">
        <f t="shared" si="101"/>
        <v>0</v>
      </c>
      <c r="AC30" s="589">
        <f t="shared" ref="AC30:AE30" si="129">AC29</f>
        <v>1934</v>
      </c>
      <c r="AD30" s="45">
        <f t="shared" si="6"/>
        <v>0</v>
      </c>
      <c r="AE30" s="589">
        <f t="shared" si="129"/>
        <v>365352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89">
        <f t="shared" ref="AN30:AP30" si="130">AN29</f>
        <v>67</v>
      </c>
      <c r="AO30" s="320">
        <f t="shared" si="122"/>
        <v>2010.0000000000002</v>
      </c>
      <c r="AP30" s="589">
        <f t="shared" si="130"/>
        <v>55</v>
      </c>
      <c r="AQ30" s="320">
        <f t="shared" si="109"/>
        <v>1650.0000000000002</v>
      </c>
      <c r="AR30" s="589">
        <f t="shared" ref="AR30" si="131">AR29</f>
        <v>61</v>
      </c>
      <c r="AS30" s="320">
        <f t="shared" si="37"/>
        <v>1830</v>
      </c>
      <c r="AT30" s="320">
        <f t="shared" si="105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9">
        <f t="shared" si="86"/>
        <v>237</v>
      </c>
      <c r="C31" s="589">
        <f t="shared" si="86"/>
        <v>243</v>
      </c>
      <c r="D31" s="45">
        <f t="shared" si="87"/>
        <v>0</v>
      </c>
      <c r="E31" s="45">
        <f t="shared" si="8"/>
        <v>0</v>
      </c>
      <c r="F31" s="589">
        <f t="shared" si="29"/>
        <v>1734</v>
      </c>
      <c r="G31" s="52">
        <f t="shared" si="0"/>
        <v>0</v>
      </c>
      <c r="H31" s="589">
        <f t="shared" si="29"/>
        <v>5345</v>
      </c>
      <c r="I31" s="396">
        <f t="shared" si="1"/>
        <v>0</v>
      </c>
      <c r="J31" s="66">
        <f t="shared" si="9"/>
        <v>0</v>
      </c>
      <c r="K31" s="589">
        <f t="shared" si="40"/>
        <v>2233</v>
      </c>
      <c r="L31" s="52">
        <f t="shared" si="10"/>
        <v>0</v>
      </c>
      <c r="M31" s="589">
        <f t="shared" si="40"/>
        <v>164223</v>
      </c>
      <c r="N31" s="396">
        <f t="shared" si="2"/>
        <v>0</v>
      </c>
      <c r="O31" s="64">
        <f t="shared" si="11"/>
        <v>1869</v>
      </c>
      <c r="P31" s="589">
        <f t="shared" si="11"/>
        <v>1986</v>
      </c>
      <c r="Q31" s="589">
        <f t="shared" ref="Q31" si="132">Q30</f>
        <v>167865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89">
        <f t="shared" si="16"/>
        <v>2454</v>
      </c>
      <c r="Y31" s="52">
        <f t="shared" si="17"/>
        <v>0</v>
      </c>
      <c r="Z31" s="589">
        <f t="shared" si="16"/>
        <v>138028.1</v>
      </c>
      <c r="AA31" s="65">
        <f t="shared" si="5"/>
        <v>0</v>
      </c>
      <c r="AB31" s="284">
        <f t="shared" si="101"/>
        <v>0</v>
      </c>
      <c r="AC31" s="589">
        <f t="shared" ref="AC31:AE31" si="133">AC30</f>
        <v>1934</v>
      </c>
      <c r="AD31" s="269">
        <f t="shared" si="6"/>
        <v>0</v>
      </c>
      <c r="AE31" s="589">
        <f t="shared" si="133"/>
        <v>365352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89">
        <f t="shared" ref="AN31:AP31" si="134">AN30</f>
        <v>67</v>
      </c>
      <c r="AO31" s="320">
        <f t="shared" si="122"/>
        <v>2010.0000000000002</v>
      </c>
      <c r="AP31" s="589">
        <f t="shared" si="134"/>
        <v>55</v>
      </c>
      <c r="AQ31" s="320">
        <f t="shared" si="109"/>
        <v>1650.0000000000002</v>
      </c>
      <c r="AR31" s="589">
        <f t="shared" ref="AR31" si="135">AR30</f>
        <v>61</v>
      </c>
      <c r="AS31" s="320">
        <f t="shared" si="37"/>
        <v>1830</v>
      </c>
      <c r="AT31" s="320">
        <f t="shared" si="105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9">
        <f t="shared" si="86"/>
        <v>237</v>
      </c>
      <c r="C32" s="589">
        <f t="shared" si="86"/>
        <v>243</v>
      </c>
      <c r="D32" s="45">
        <f t="shared" si="28"/>
        <v>0</v>
      </c>
      <c r="E32" s="45">
        <f t="shared" ref="E32" si="136">D32*8.38</f>
        <v>0</v>
      </c>
      <c r="F32" s="589">
        <f t="shared" si="29"/>
        <v>1734</v>
      </c>
      <c r="G32" s="52">
        <f t="shared" si="0"/>
        <v>0</v>
      </c>
      <c r="H32" s="589">
        <f t="shared" si="29"/>
        <v>5345</v>
      </c>
      <c r="I32" s="396">
        <f t="shared" si="1"/>
        <v>0</v>
      </c>
      <c r="J32" s="66">
        <f t="shared" si="9"/>
        <v>0</v>
      </c>
      <c r="K32" s="589">
        <f t="shared" si="40"/>
        <v>2233</v>
      </c>
      <c r="L32" s="52">
        <f t="shared" si="10"/>
        <v>0</v>
      </c>
      <c r="M32" s="589">
        <f t="shared" si="40"/>
        <v>164223</v>
      </c>
      <c r="N32" s="396">
        <f t="shared" si="2"/>
        <v>0</v>
      </c>
      <c r="O32" s="64">
        <f t="shared" si="11"/>
        <v>1869</v>
      </c>
      <c r="P32" s="589">
        <f t="shared" si="11"/>
        <v>1986</v>
      </c>
      <c r="Q32" s="589">
        <f t="shared" ref="Q32" si="137">Q31</f>
        <v>167865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89">
        <f t="shared" si="16"/>
        <v>2454</v>
      </c>
      <c r="Y32" s="52">
        <f t="shared" si="17"/>
        <v>0</v>
      </c>
      <c r="Z32" s="589">
        <f t="shared" si="16"/>
        <v>138028.1</v>
      </c>
      <c r="AA32" s="65">
        <f t="shared" si="5"/>
        <v>0</v>
      </c>
      <c r="AB32" s="284">
        <f t="shared" si="101"/>
        <v>0</v>
      </c>
      <c r="AC32" s="589">
        <f t="shared" ref="AC32:AE32" si="138">AC31</f>
        <v>1934</v>
      </c>
      <c r="AD32" s="269">
        <f t="shared" si="6"/>
        <v>0</v>
      </c>
      <c r="AE32" s="589">
        <f t="shared" si="138"/>
        <v>365352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89">
        <f t="shared" ref="AN32:AP32" si="139">AN31</f>
        <v>67</v>
      </c>
      <c r="AO32" s="320">
        <f t="shared" si="122"/>
        <v>2010.0000000000002</v>
      </c>
      <c r="AP32" s="589">
        <f t="shared" si="139"/>
        <v>55</v>
      </c>
      <c r="AQ32" s="320">
        <f t="shared" si="109"/>
        <v>1650.0000000000002</v>
      </c>
      <c r="AR32" s="589">
        <f t="shared" ref="AR32" si="140">AR31</f>
        <v>61</v>
      </c>
      <c r="AS32" s="320">
        <f t="shared" si="37"/>
        <v>1830</v>
      </c>
      <c r="AT32" s="320">
        <f t="shared" si="105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66.150000000000006</v>
      </c>
      <c r="V33" s="62">
        <f>SUM(V5:V32)</f>
        <v>4339</v>
      </c>
      <c r="AE33" s="71" t="s">
        <v>383</v>
      </c>
      <c r="AG33" s="344"/>
      <c r="AH33" s="62">
        <f>SUM(AH5:AH32)</f>
        <v>232</v>
      </c>
      <c r="AL33" s="62">
        <f>SUM(AL5:AL32)</f>
        <v>58</v>
      </c>
      <c r="AM33" s="62">
        <f>SUM(AM5:AM32)</f>
        <v>2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4571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AN1" zoomScaleNormal="100" workbookViewId="0">
      <pane ySplit="3" topLeftCell="A18" activePane="bottomLeft" state="frozen"/>
      <selection pane="bottomLeft" activeCell="BC21" sqref="BC21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2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2" customWidth="1"/>
    <col min="11" max="11" width="13.54296875" style="1" customWidth="1"/>
    <col min="12" max="12" width="13.26953125" style="1" customWidth="1"/>
    <col min="13" max="13" width="10.7265625" style="492" customWidth="1"/>
    <col min="14" max="14" width="10.7265625" style="494" customWidth="1"/>
    <col min="15" max="15" width="11.1796875" style="492" customWidth="1"/>
    <col min="16" max="16" width="11.1796875" style="494" customWidth="1"/>
    <col min="17" max="17" width="17.26953125" style="492" customWidth="1"/>
    <col min="18" max="18" width="10.81640625" style="492" customWidth="1"/>
    <col min="19" max="19" width="10.7265625" style="492" customWidth="1"/>
    <col min="20" max="20" width="13.26953125" style="406" customWidth="1"/>
    <col min="21" max="21" width="8.7265625" style="409" customWidth="1"/>
    <col min="22" max="22" width="13.26953125" style="322" customWidth="1"/>
    <col min="23" max="23" width="9.7265625" style="322" bestFit="1" customWidth="1"/>
    <col min="24" max="27" width="9.7265625" style="322" customWidth="1"/>
    <col min="28" max="28" width="14.453125" style="322" customWidth="1"/>
    <col min="29" max="32" width="9.7265625" style="322" customWidth="1"/>
    <col min="33" max="33" width="11.26953125" style="322" customWidth="1"/>
    <col min="34" max="36" width="9.7265625" style="322" customWidth="1"/>
    <col min="37" max="37" width="7.453125" style="322" customWidth="1"/>
    <col min="38" max="39" width="8.7265625" style="322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9" customFormat="1" ht="15" thickBot="1">
      <c r="B1" s="360"/>
      <c r="C1" s="360"/>
      <c r="D1" s="416">
        <f>SUM(G21:G33)</f>
        <v>8005660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1" t="s">
        <v>95</v>
      </c>
      <c r="AS2" s="622"/>
      <c r="AT2" s="622"/>
      <c r="AU2" s="622"/>
      <c r="AV2" s="623"/>
      <c r="AW2" s="621" t="s">
        <v>96</v>
      </c>
      <c r="AX2" s="622"/>
      <c r="AY2" s="623"/>
      <c r="AZ2" s="621" t="s">
        <v>98</v>
      </c>
      <c r="BA2" s="622"/>
      <c r="BB2" s="623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18" t="s">
        <v>126</v>
      </c>
      <c r="AO3" s="619"/>
      <c r="AP3" s="620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6715</v>
      </c>
      <c r="L10" s="83">
        <f>K10-K9</f>
        <v>-1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1</v>
      </c>
      <c r="AL10" s="327">
        <f t="shared" si="24"/>
        <v>0</v>
      </c>
      <c r="AM10" s="327">
        <f>'General information '!D10</f>
        <v>17.5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v>146</v>
      </c>
      <c r="AU10" s="425">
        <f t="shared" si="35"/>
        <v>1.1000000000000001</v>
      </c>
      <c r="AV10" s="201">
        <v>133</v>
      </c>
      <c r="AW10" s="5">
        <v>2.9</v>
      </c>
      <c r="AX10" s="201">
        <v>151</v>
      </c>
      <c r="AY10" s="426">
        <f t="shared" si="7"/>
        <v>131.4</v>
      </c>
      <c r="AZ10" s="426">
        <f t="shared" si="26"/>
        <v>146.30000000000001</v>
      </c>
      <c r="BA10" s="426">
        <f t="shared" si="27"/>
        <v>437.9</v>
      </c>
      <c r="BB10" s="21">
        <f t="shared" si="28"/>
        <v>0</v>
      </c>
      <c r="BC10" s="21">
        <f t="shared" si="29"/>
        <v>-3.3000000000000114</v>
      </c>
      <c r="BD10" s="21">
        <f t="shared" si="29"/>
        <v>-17.400000000000034</v>
      </c>
      <c r="BE10" s="24">
        <f t="shared" si="30"/>
        <v>-20.700000000000045</v>
      </c>
      <c r="BF10" s="96">
        <f t="shared" si="8"/>
        <v>20.700000000000045</v>
      </c>
      <c r="BG10" s="82">
        <f t="shared" si="9"/>
        <v>-20.700000000000045</v>
      </c>
    </row>
    <row r="11" spans="1:65" ht="1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6715.5</v>
      </c>
      <c r="L11" s="83">
        <f t="shared" si="33"/>
        <v>0.5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-0.5</v>
      </c>
      <c r="AL11" s="327">
        <f t="shared" si="24"/>
        <v>0</v>
      </c>
      <c r="AM11" s="327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v>130</v>
      </c>
      <c r="AW11" s="5">
        <v>2.9</v>
      </c>
      <c r="AX11" s="201">
        <v>147</v>
      </c>
      <c r="AY11" s="426">
        <f t="shared" si="7"/>
        <v>131.4</v>
      </c>
      <c r="AZ11" s="426">
        <f t="shared" si="26"/>
        <v>143</v>
      </c>
      <c r="BA11" s="426">
        <f t="shared" si="27"/>
        <v>426.3</v>
      </c>
      <c r="BB11" s="21">
        <f t="shared" si="28"/>
        <v>0</v>
      </c>
      <c r="BC11" s="21">
        <f t="shared" si="29"/>
        <v>-3.3000000000000114</v>
      </c>
      <c r="BD11" s="21">
        <f t="shared" si="29"/>
        <v>-11.599999999999966</v>
      </c>
      <c r="BE11" s="24">
        <f t="shared" si="30"/>
        <v>-14.899999999999977</v>
      </c>
      <c r="BF11" s="96">
        <f t="shared" si="8"/>
        <v>14.899999999999977</v>
      </c>
      <c r="BG11" s="82">
        <f t="shared" si="9"/>
        <v>-14.899999999999977</v>
      </c>
    </row>
    <row r="12" spans="1:65" ht="1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0.5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-0.5</v>
      </c>
      <c r="AL12" s="327">
        <f t="shared" si="24"/>
        <v>0</v>
      </c>
      <c r="AM12" s="327">
        <f>'General information '!D12</f>
        <v>19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v>146</v>
      </c>
      <c r="AU12" s="425">
        <f t="shared" si="35"/>
        <v>1.1000000000000001</v>
      </c>
      <c r="AV12" s="201">
        <v>128</v>
      </c>
      <c r="AW12" s="5">
        <v>2.9</v>
      </c>
      <c r="AX12" s="201">
        <v>143</v>
      </c>
      <c r="AY12" s="426">
        <f t="shared" si="7"/>
        <v>131.4</v>
      </c>
      <c r="AZ12" s="426">
        <f t="shared" si="26"/>
        <v>140.80000000000001</v>
      </c>
      <c r="BA12" s="426">
        <f t="shared" si="27"/>
        <v>414.7</v>
      </c>
      <c r="BB12" s="21">
        <f t="shared" si="28"/>
        <v>0</v>
      </c>
      <c r="BC12" s="21">
        <f t="shared" si="29"/>
        <v>-2.1999999999999886</v>
      </c>
      <c r="BD12" s="21">
        <f t="shared" si="29"/>
        <v>-11.600000000000023</v>
      </c>
      <c r="BE12" s="24">
        <f t="shared" si="30"/>
        <v>-13.800000000000011</v>
      </c>
      <c r="BF12" s="96">
        <f t="shared" si="8"/>
        <v>13.800000000000011</v>
      </c>
      <c r="BG12" s="82">
        <f t="shared" si="9"/>
        <v>-13.800000000000011</v>
      </c>
    </row>
    <row r="13" spans="1:65" ht="1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6717</v>
      </c>
      <c r="L13" s="83">
        <f t="shared" si="33"/>
        <v>1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-1</v>
      </c>
      <c r="AL13" s="327">
        <f t="shared" si="24"/>
        <v>0</v>
      </c>
      <c r="AM13" s="327">
        <f>'General information '!D13</f>
        <v>21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v>126</v>
      </c>
      <c r="AW13" s="5">
        <v>2.9</v>
      </c>
      <c r="AX13" s="201">
        <v>140</v>
      </c>
      <c r="AY13" s="426">
        <f t="shared" si="7"/>
        <v>131.4</v>
      </c>
      <c r="AZ13" s="426">
        <f t="shared" si="26"/>
        <v>138.60000000000002</v>
      </c>
      <c r="BA13" s="426">
        <f t="shared" si="27"/>
        <v>406</v>
      </c>
      <c r="BB13" s="21">
        <f t="shared" si="28"/>
        <v>0</v>
      </c>
      <c r="BC13" s="21">
        <f t="shared" si="29"/>
        <v>-2.1999999999999886</v>
      </c>
      <c r="BD13" s="21">
        <f t="shared" si="29"/>
        <v>-8.6999999999999886</v>
      </c>
      <c r="BE13" s="24">
        <f t="shared" si="30"/>
        <v>-10.899999999999977</v>
      </c>
      <c r="BF13" s="96">
        <f t="shared" si="8"/>
        <v>10.899999999999977</v>
      </c>
      <c r="BG13" s="82">
        <f t="shared" si="9"/>
        <v>-10.899999999999977</v>
      </c>
    </row>
    <row r="14" spans="1:65" ht="1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6718</v>
      </c>
      <c r="L14" s="83">
        <f t="shared" si="33"/>
        <v>1</v>
      </c>
      <c r="M14" s="410">
        <f t="shared" si="15"/>
        <v>457.44</v>
      </c>
      <c r="N14" s="514">
        <f t="shared" ref="N14:N33" si="36">SUM(M14-M13)</f>
        <v>0</v>
      </c>
      <c r="O14" s="410">
        <f t="shared" si="16"/>
        <v>529.52</v>
      </c>
      <c r="P14" s="514">
        <f t="shared" ref="P14:P33" si="37">SUM(O14-O13)</f>
        <v>0</v>
      </c>
      <c r="Q14" s="514">
        <f t="shared" ref="Q14:Q33" si="38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-1</v>
      </c>
      <c r="AL14" s="327">
        <f t="shared" si="24"/>
        <v>0</v>
      </c>
      <c r="AM14" s="327">
        <f>'General information '!D14</f>
        <v>19.5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v>122</v>
      </c>
      <c r="AW14" s="5">
        <v>2.9</v>
      </c>
      <c r="AX14" s="201">
        <v>137</v>
      </c>
      <c r="AY14" s="426">
        <f t="shared" si="7"/>
        <v>131.4</v>
      </c>
      <c r="AZ14" s="426">
        <f t="shared" si="26"/>
        <v>134.20000000000002</v>
      </c>
      <c r="BA14" s="426">
        <f t="shared" si="27"/>
        <v>397.3</v>
      </c>
      <c r="BB14" s="21">
        <f t="shared" si="28"/>
        <v>0</v>
      </c>
      <c r="BC14" s="21">
        <f t="shared" si="29"/>
        <v>-4.4000000000000057</v>
      </c>
      <c r="BD14" s="21">
        <f t="shared" si="29"/>
        <v>-8.6999999999999886</v>
      </c>
      <c r="BE14" s="24">
        <f t="shared" si="30"/>
        <v>-13.099999999999994</v>
      </c>
      <c r="BF14" s="96">
        <f t="shared" si="8"/>
        <v>13.099999999999994</v>
      </c>
      <c r="BG14" s="82">
        <f t="shared" si="9"/>
        <v>-13.099999999999994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6718</v>
      </c>
      <c r="L15" s="83">
        <f t="shared" si="33"/>
        <v>0</v>
      </c>
      <c r="M15" s="410">
        <f t="shared" si="15"/>
        <v>457.44</v>
      </c>
      <c r="N15" s="514">
        <f t="shared" si="36"/>
        <v>0</v>
      </c>
      <c r="O15" s="410">
        <f t="shared" si="16"/>
        <v>529.52</v>
      </c>
      <c r="P15" s="514">
        <f t="shared" si="37"/>
        <v>0</v>
      </c>
      <c r="Q15" s="514">
        <f t="shared" si="38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16.5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v>119</v>
      </c>
      <c r="AW15" s="5">
        <v>2.9</v>
      </c>
      <c r="AX15" s="201">
        <v>135</v>
      </c>
      <c r="AY15" s="426">
        <f t="shared" si="7"/>
        <v>131.4</v>
      </c>
      <c r="AZ15" s="426">
        <f t="shared" si="26"/>
        <v>130.9</v>
      </c>
      <c r="BA15" s="426">
        <f t="shared" si="27"/>
        <v>391.5</v>
      </c>
      <c r="BB15" s="21">
        <f t="shared" si="28"/>
        <v>0</v>
      </c>
      <c r="BC15" s="21">
        <f t="shared" si="29"/>
        <v>-3.3000000000000114</v>
      </c>
      <c r="BD15" s="21">
        <f t="shared" si="29"/>
        <v>-5.8000000000000114</v>
      </c>
      <c r="BE15" s="24">
        <f t="shared" si="30"/>
        <v>-9.1000000000000227</v>
      </c>
      <c r="BF15" s="96">
        <f t="shared" si="8"/>
        <v>9.1000000000000227</v>
      </c>
      <c r="BG15" s="82">
        <f t="shared" si="9"/>
        <v>-9.1000000000000227</v>
      </c>
    </row>
    <row r="16" spans="1:65" ht="1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6718</v>
      </c>
      <c r="L16" s="274">
        <f t="shared" si="33"/>
        <v>0</v>
      </c>
      <c r="M16" s="410">
        <f t="shared" si="15"/>
        <v>457.44</v>
      </c>
      <c r="N16" s="514">
        <f t="shared" si="36"/>
        <v>0</v>
      </c>
      <c r="O16" s="410">
        <f t="shared" si="16"/>
        <v>529.52</v>
      </c>
      <c r="P16" s="514">
        <f t="shared" si="37"/>
        <v>0</v>
      </c>
      <c r="Q16" s="514">
        <f t="shared" si="38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15.5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v>114</v>
      </c>
      <c r="AW16" s="5">
        <v>2.9</v>
      </c>
      <c r="AX16" s="201">
        <v>133</v>
      </c>
      <c r="AY16" s="426">
        <f t="shared" si="7"/>
        <v>131.4</v>
      </c>
      <c r="AZ16" s="426">
        <f t="shared" si="26"/>
        <v>125.4</v>
      </c>
      <c r="BA16" s="426">
        <f t="shared" si="27"/>
        <v>385.7</v>
      </c>
      <c r="BB16" s="21">
        <f t="shared" si="28"/>
        <v>0</v>
      </c>
      <c r="BC16" s="21">
        <f t="shared" si="29"/>
        <v>-5.5</v>
      </c>
      <c r="BD16" s="21">
        <f t="shared" si="29"/>
        <v>-5.8000000000000114</v>
      </c>
      <c r="BE16" s="24">
        <f t="shared" si="30"/>
        <v>-11.300000000000011</v>
      </c>
      <c r="BF16" s="96">
        <f t="shared" si="8"/>
        <v>11.300000000000011</v>
      </c>
      <c r="BG16" s="82">
        <f t="shared" si="9"/>
        <v>-11.300000000000011</v>
      </c>
    </row>
    <row r="17" spans="1:61" ht="1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6718</v>
      </c>
      <c r="L17" s="83">
        <f t="shared" si="33"/>
        <v>0</v>
      </c>
      <c r="M17" s="410">
        <f t="shared" si="15"/>
        <v>457.44</v>
      </c>
      <c r="N17" s="514">
        <f t="shared" si="36"/>
        <v>0</v>
      </c>
      <c r="O17" s="410">
        <f t="shared" si="16"/>
        <v>529.52</v>
      </c>
      <c r="P17" s="514">
        <f t="shared" si="37"/>
        <v>0</v>
      </c>
      <c r="Q17" s="514">
        <f t="shared" si="38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v>110</v>
      </c>
      <c r="AW17" s="5">
        <v>2.9</v>
      </c>
      <c r="AX17" s="201">
        <v>130</v>
      </c>
      <c r="AY17" s="426">
        <f t="shared" si="7"/>
        <v>131.4</v>
      </c>
      <c r="AZ17" s="426">
        <f t="shared" si="26"/>
        <v>121.00000000000001</v>
      </c>
      <c r="BA17" s="426">
        <f t="shared" si="27"/>
        <v>377</v>
      </c>
      <c r="BB17" s="21">
        <f t="shared" si="28"/>
        <v>0</v>
      </c>
      <c r="BC17" s="21">
        <f t="shared" si="29"/>
        <v>-4.3999999999999915</v>
      </c>
      <c r="BD17" s="21">
        <f t="shared" si="29"/>
        <v>-8.6999999999999886</v>
      </c>
      <c r="BE17" s="24">
        <f t="shared" si="30"/>
        <v>-13.09999999999998</v>
      </c>
      <c r="BF17" s="96">
        <f t="shared" si="8"/>
        <v>13.09999999999998</v>
      </c>
      <c r="BG17" s="82">
        <f t="shared" si="9"/>
        <v>-13.09999999999998</v>
      </c>
    </row>
    <row r="18" spans="1:61" ht="1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6718</v>
      </c>
      <c r="L18" s="83">
        <f t="shared" si="33"/>
        <v>0</v>
      </c>
      <c r="M18" s="410">
        <f t="shared" si="15"/>
        <v>457.44</v>
      </c>
      <c r="N18" s="514">
        <f t="shared" si="36"/>
        <v>0</v>
      </c>
      <c r="O18" s="410">
        <f t="shared" si="16"/>
        <v>529.52</v>
      </c>
      <c r="P18" s="514">
        <f t="shared" si="37"/>
        <v>0</v>
      </c>
      <c r="Q18" s="514">
        <f t="shared" si="38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v>150141</v>
      </c>
      <c r="Y18" s="324">
        <f t="shared" si="34"/>
        <v>64</v>
      </c>
      <c r="Z18" s="5">
        <v>98323</v>
      </c>
      <c r="AA18" s="83">
        <f t="shared" si="19"/>
        <v>61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61</v>
      </c>
      <c r="AK18" s="327">
        <f>SUM(Y18-L18)</f>
        <v>64</v>
      </c>
      <c r="AL18" s="327">
        <f t="shared" si="24"/>
        <v>61</v>
      </c>
      <c r="AM18" s="327">
        <f>'General information '!D18</f>
        <v>16.5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v>0</v>
      </c>
      <c r="AU18" s="425">
        <f t="shared" si="35"/>
        <v>1.1000000000000001</v>
      </c>
      <c r="AV18" s="201">
        <v>152</v>
      </c>
      <c r="AW18" s="5">
        <v>2.9</v>
      </c>
      <c r="AX18" s="201">
        <v>144</v>
      </c>
      <c r="AY18" s="426">
        <f t="shared" si="7"/>
        <v>0</v>
      </c>
      <c r="AZ18" s="426">
        <f t="shared" si="26"/>
        <v>167.20000000000002</v>
      </c>
      <c r="BA18" s="426">
        <f t="shared" si="27"/>
        <v>417.59999999999997</v>
      </c>
      <c r="BB18" s="21">
        <f t="shared" si="28"/>
        <v>-131.4</v>
      </c>
      <c r="BC18" s="21">
        <f t="shared" si="29"/>
        <v>46.2</v>
      </c>
      <c r="BD18" s="21">
        <f t="shared" si="29"/>
        <v>40.599999999999966</v>
      </c>
      <c r="BE18" s="24">
        <f t="shared" si="30"/>
        <v>-44.600000000000037</v>
      </c>
      <c r="BF18" s="96">
        <f t="shared" si="8"/>
        <v>44.600000000000037</v>
      </c>
      <c r="BG18" s="82">
        <f t="shared" si="9"/>
        <v>-44.600000000000037</v>
      </c>
    </row>
    <row r="19" spans="1:61" ht="1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v>615653</v>
      </c>
      <c r="H19" s="5">
        <f t="shared" si="14"/>
        <v>279</v>
      </c>
      <c r="I19" s="5">
        <f t="shared" si="0"/>
        <v>279</v>
      </c>
      <c r="J19" s="334">
        <f t="shared" si="1"/>
        <v>0.96006144393241155</v>
      </c>
      <c r="K19" s="5">
        <f>'Swimming Pool quality check '!H19</f>
        <v>6718</v>
      </c>
      <c r="L19" s="83">
        <f t="shared" si="33"/>
        <v>0</v>
      </c>
      <c r="M19" s="410">
        <f t="shared" si="15"/>
        <v>457.44</v>
      </c>
      <c r="N19" s="514">
        <f t="shared" si="36"/>
        <v>0</v>
      </c>
      <c r="O19" s="410">
        <f t="shared" si="16"/>
        <v>529.52</v>
      </c>
      <c r="P19" s="514">
        <f t="shared" si="37"/>
        <v>0</v>
      </c>
      <c r="Q19" s="514">
        <f t="shared" si="38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150141</v>
      </c>
      <c r="Y19" s="324">
        <f t="shared" si="34"/>
        <v>0</v>
      </c>
      <c r="Z19" s="5">
        <f t="shared" si="17"/>
        <v>98323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15.5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v>158</v>
      </c>
      <c r="AU19" s="425">
        <f t="shared" si="35"/>
        <v>1.1000000000000001</v>
      </c>
      <c r="AV19" s="201">
        <v>148</v>
      </c>
      <c r="AW19" s="5">
        <v>2.9</v>
      </c>
      <c r="AX19" s="201">
        <v>142</v>
      </c>
      <c r="AY19" s="426">
        <f t="shared" ref="AY19:AY21" si="39">AS19*AT19</f>
        <v>142.20000000000002</v>
      </c>
      <c r="AZ19" s="426">
        <f t="shared" ref="AZ19:AZ21" si="40">AU19*AV19</f>
        <v>162.80000000000001</v>
      </c>
      <c r="BA19" s="426">
        <f t="shared" ref="BA19:BA21" si="41">AW19*AX19</f>
        <v>411.8</v>
      </c>
      <c r="BB19" s="21">
        <f t="shared" ref="BB19:BB20" si="42">AY19-AY18</f>
        <v>142.20000000000002</v>
      </c>
      <c r="BC19" s="21">
        <f t="shared" ref="BC19:BC20" si="43">AZ19-AZ18</f>
        <v>-4.4000000000000057</v>
      </c>
      <c r="BD19" s="21">
        <f t="shared" ref="BD19:BD20" si="44">BA19-BA18</f>
        <v>-5.7999999999999545</v>
      </c>
      <c r="BE19" s="24">
        <f t="shared" ref="BE19:BE20" si="45">SUM(BB19:BD19)</f>
        <v>132.00000000000006</v>
      </c>
      <c r="BF19" s="96">
        <f t="shared" si="8"/>
        <v>146.99999999999994</v>
      </c>
      <c r="BG19" s="82">
        <f t="shared" si="9"/>
        <v>132.00000000000006</v>
      </c>
    </row>
    <row r="20" spans="1:61" ht="1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615653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6720</v>
      </c>
      <c r="L20" s="83">
        <f t="shared" si="33"/>
        <v>2</v>
      </c>
      <c r="M20" s="410">
        <f t="shared" si="15"/>
        <v>457.44</v>
      </c>
      <c r="N20" s="514">
        <f t="shared" si="36"/>
        <v>0</v>
      </c>
      <c r="O20" s="410">
        <f t="shared" si="16"/>
        <v>529.52</v>
      </c>
      <c r="P20" s="514">
        <f t="shared" si="37"/>
        <v>0</v>
      </c>
      <c r="Q20" s="514">
        <f t="shared" si="38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150141</v>
      </c>
      <c r="Y20" s="324">
        <f t="shared" si="34"/>
        <v>0</v>
      </c>
      <c r="Z20" s="5">
        <f t="shared" si="17"/>
        <v>98323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-2</v>
      </c>
      <c r="AL20" s="327">
        <f t="shared" si="24"/>
        <v>0</v>
      </c>
      <c r="AM20" s="327">
        <f>'General information '!D20</f>
        <v>15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158</v>
      </c>
      <c r="AU20" s="425">
        <f t="shared" si="35"/>
        <v>1.1000000000000001</v>
      </c>
      <c r="AV20" s="201">
        <v>146</v>
      </c>
      <c r="AW20" s="5">
        <v>2.9</v>
      </c>
      <c r="AX20" s="201">
        <v>138</v>
      </c>
      <c r="AY20" s="426">
        <f t="shared" si="39"/>
        <v>142.20000000000002</v>
      </c>
      <c r="AZ20" s="426">
        <f t="shared" si="40"/>
        <v>160.60000000000002</v>
      </c>
      <c r="BA20" s="426">
        <f t="shared" si="41"/>
        <v>400.2</v>
      </c>
      <c r="BB20" s="21">
        <f t="shared" si="42"/>
        <v>0</v>
      </c>
      <c r="BC20" s="21">
        <f t="shared" si="43"/>
        <v>-2.1999999999999886</v>
      </c>
      <c r="BD20" s="21">
        <f t="shared" si="44"/>
        <v>-11.600000000000023</v>
      </c>
      <c r="BE20" s="24">
        <f t="shared" si="45"/>
        <v>-13.800000000000011</v>
      </c>
      <c r="BF20" s="96">
        <f t="shared" si="8"/>
        <v>13.800000000000011</v>
      </c>
      <c r="BG20" s="82">
        <f t="shared" si="9"/>
        <v>-13.800000000000011</v>
      </c>
    </row>
    <row r="21" spans="1:61" ht="1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v>615820</v>
      </c>
      <c r="H21" s="5">
        <f t="shared" si="14"/>
        <v>167</v>
      </c>
      <c r="I21" s="5">
        <f t="shared" si="0"/>
        <v>167</v>
      </c>
      <c r="J21" s="334">
        <f t="shared" si="1"/>
        <v>1.60393498716852</v>
      </c>
      <c r="K21" s="5">
        <f>'Swimming Pool quality check '!H21</f>
        <v>6720</v>
      </c>
      <c r="L21" s="83">
        <f t="shared" si="33"/>
        <v>0</v>
      </c>
      <c r="M21" s="410">
        <f t="shared" si="15"/>
        <v>457.44</v>
      </c>
      <c r="N21" s="514">
        <f t="shared" si="36"/>
        <v>0</v>
      </c>
      <c r="O21" s="410">
        <f t="shared" si="16"/>
        <v>529.52</v>
      </c>
      <c r="P21" s="514">
        <f t="shared" si="37"/>
        <v>0</v>
      </c>
      <c r="Q21" s="514">
        <f t="shared" si="38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v>150281</v>
      </c>
      <c r="Y21" s="324">
        <f>SUM(X21-X20)</f>
        <v>140</v>
      </c>
      <c r="Z21" s="5">
        <v>98358</v>
      </c>
      <c r="AA21" s="83">
        <f t="shared" si="19"/>
        <v>35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35</v>
      </c>
      <c r="AK21" s="327">
        <f>SUM(Y21-L21)</f>
        <v>140</v>
      </c>
      <c r="AL21" s="327">
        <f t="shared" si="24"/>
        <v>35</v>
      </c>
      <c r="AM21" s="327">
        <f>'General information '!D21</f>
        <v>9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158</v>
      </c>
      <c r="AU21" s="425">
        <f t="shared" si="35"/>
        <v>1.1000000000000001</v>
      </c>
      <c r="AV21" s="201">
        <v>169</v>
      </c>
      <c r="AW21" s="5">
        <v>2.9</v>
      </c>
      <c r="AX21" s="201">
        <v>171</v>
      </c>
      <c r="AY21" s="426">
        <f t="shared" si="39"/>
        <v>142.20000000000002</v>
      </c>
      <c r="AZ21" s="426">
        <f t="shared" si="40"/>
        <v>185.9</v>
      </c>
      <c r="BA21" s="426">
        <f t="shared" si="41"/>
        <v>495.9</v>
      </c>
      <c r="BB21" s="21">
        <f t="shared" si="28"/>
        <v>0</v>
      </c>
      <c r="BC21" s="21">
        <f t="shared" si="29"/>
        <v>25.299999999999983</v>
      </c>
      <c r="BD21" s="21">
        <f t="shared" si="29"/>
        <v>95.699999999999989</v>
      </c>
      <c r="BE21" s="24">
        <f t="shared" si="30"/>
        <v>120.99999999999997</v>
      </c>
      <c r="BF21" s="96">
        <f t="shared" si="8"/>
        <v>46.000000000000028</v>
      </c>
      <c r="BG21" s="82">
        <f t="shared" si="9"/>
        <v>120.99999999999997</v>
      </c>
    </row>
    <row r="22" spans="1:61" ht="1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615820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6720</v>
      </c>
      <c r="L22" s="83">
        <f t="shared" si="33"/>
        <v>0</v>
      </c>
      <c r="M22" s="410">
        <f t="shared" si="15"/>
        <v>457.44</v>
      </c>
      <c r="N22" s="514">
        <f t="shared" si="36"/>
        <v>0</v>
      </c>
      <c r="O22" s="410">
        <f t="shared" si="16"/>
        <v>529.52</v>
      </c>
      <c r="P22" s="514">
        <f t="shared" si="37"/>
        <v>0</v>
      </c>
      <c r="Q22" s="514">
        <f t="shared" si="38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150281</v>
      </c>
      <c r="Y22" s="324">
        <f t="shared" si="34"/>
        <v>0</v>
      </c>
      <c r="Z22" s="5">
        <f t="shared" si="17"/>
        <v>98358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46">AS21</f>
        <v>0.9</v>
      </c>
      <c r="AT22" s="201">
        <f t="shared" si="46"/>
        <v>158</v>
      </c>
      <c r="AU22" s="425">
        <f t="shared" si="35"/>
        <v>1.1000000000000001</v>
      </c>
      <c r="AV22" s="201">
        <f t="shared" si="35"/>
        <v>169</v>
      </c>
      <c r="AW22" s="5">
        <v>2.9</v>
      </c>
      <c r="AX22" s="201">
        <f t="shared" ref="AX22" si="47">AX21</f>
        <v>171</v>
      </c>
      <c r="AY22" s="426">
        <f t="shared" si="7"/>
        <v>142.20000000000002</v>
      </c>
      <c r="AZ22" s="426">
        <f t="shared" si="26"/>
        <v>185.9</v>
      </c>
      <c r="BA22" s="426">
        <f t="shared" si="27"/>
        <v>495.9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6">
        <f t="shared" si="8"/>
        <v>0</v>
      </c>
      <c r="BG22" s="82">
        <f t="shared" si="9"/>
        <v>0</v>
      </c>
    </row>
    <row r="23" spans="1:61" ht="1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615820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6720</v>
      </c>
      <c r="L23" s="274">
        <f t="shared" si="33"/>
        <v>0</v>
      </c>
      <c r="M23" s="410">
        <f t="shared" si="15"/>
        <v>457.44</v>
      </c>
      <c r="N23" s="514">
        <f t="shared" si="36"/>
        <v>0</v>
      </c>
      <c r="O23" s="410">
        <f t="shared" si="16"/>
        <v>529.52</v>
      </c>
      <c r="P23" s="514">
        <f t="shared" si="37"/>
        <v>0</v>
      </c>
      <c r="Q23" s="514">
        <f t="shared" si="38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150281</v>
      </c>
      <c r="Y23" s="324">
        <f t="shared" si="34"/>
        <v>0</v>
      </c>
      <c r="Z23" s="5">
        <f t="shared" si="17"/>
        <v>98358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46"/>
        <v>0.9</v>
      </c>
      <c r="AT23" s="201">
        <f t="shared" si="46"/>
        <v>158</v>
      </c>
      <c r="AU23" s="425">
        <f t="shared" si="35"/>
        <v>1.1000000000000001</v>
      </c>
      <c r="AV23" s="201">
        <f t="shared" si="35"/>
        <v>169</v>
      </c>
      <c r="AW23" s="5">
        <v>2.9</v>
      </c>
      <c r="AX23" s="201">
        <f t="shared" ref="AX23" si="48">AX22</f>
        <v>171</v>
      </c>
      <c r="AY23" s="426">
        <f t="shared" si="7"/>
        <v>142.20000000000002</v>
      </c>
      <c r="AZ23" s="426">
        <f t="shared" si="26"/>
        <v>185.9</v>
      </c>
      <c r="BA23" s="426">
        <f t="shared" si="27"/>
        <v>495.9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6">
        <f t="shared" si="8"/>
        <v>0</v>
      </c>
      <c r="BG23" s="82">
        <f t="shared" si="9"/>
        <v>0</v>
      </c>
    </row>
    <row r="24" spans="1:61" ht="1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615820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-7</v>
      </c>
      <c r="M24" s="410">
        <f t="shared" si="15"/>
        <v>457.44</v>
      </c>
      <c r="N24" s="514">
        <f t="shared" si="36"/>
        <v>0</v>
      </c>
      <c r="O24" s="410">
        <f t="shared" si="16"/>
        <v>529.52</v>
      </c>
      <c r="P24" s="514">
        <f t="shared" si="37"/>
        <v>0</v>
      </c>
      <c r="Q24" s="514">
        <f t="shared" si="38"/>
        <v>0</v>
      </c>
      <c r="R24" s="516"/>
      <c r="S24" s="516"/>
      <c r="T24" s="5">
        <f t="shared" si="17"/>
        <v>5165</v>
      </c>
      <c r="U24" s="5">
        <f t="shared" si="4"/>
        <v>0</v>
      </c>
      <c r="V24" s="5">
        <f t="shared" si="17"/>
        <v>461</v>
      </c>
      <c r="W24" s="324">
        <f t="shared" si="18"/>
        <v>0</v>
      </c>
      <c r="X24" s="5">
        <f t="shared" si="17"/>
        <v>150281</v>
      </c>
      <c r="Y24" s="324">
        <f t="shared" si="34"/>
        <v>0</v>
      </c>
      <c r="Z24" s="5">
        <f t="shared" si="17"/>
        <v>98358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7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46"/>
        <v>0.9</v>
      </c>
      <c r="AT24" s="201">
        <f t="shared" si="46"/>
        <v>158</v>
      </c>
      <c r="AU24" s="425">
        <f t="shared" si="35"/>
        <v>1.1000000000000001</v>
      </c>
      <c r="AV24" s="201">
        <f t="shared" si="35"/>
        <v>169</v>
      </c>
      <c r="AW24" s="5">
        <v>2.9</v>
      </c>
      <c r="AX24" s="201">
        <f t="shared" ref="AX24" si="49">AX23</f>
        <v>171</v>
      </c>
      <c r="AY24" s="426">
        <f t="shared" si="7"/>
        <v>142.20000000000002</v>
      </c>
      <c r="AZ24" s="426">
        <f t="shared" si="26"/>
        <v>185.9</v>
      </c>
      <c r="BA24" s="426">
        <f t="shared" si="27"/>
        <v>495.9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615820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6720</v>
      </c>
      <c r="L25" s="274">
        <f t="shared" si="33"/>
        <v>7</v>
      </c>
      <c r="M25" s="410">
        <f t="shared" si="15"/>
        <v>457.44</v>
      </c>
      <c r="N25" s="514">
        <f t="shared" si="36"/>
        <v>0</v>
      </c>
      <c r="O25" s="410">
        <f t="shared" si="16"/>
        <v>529.52</v>
      </c>
      <c r="P25" s="514">
        <f t="shared" si="37"/>
        <v>0</v>
      </c>
      <c r="Q25" s="514">
        <f t="shared" si="38"/>
        <v>0</v>
      </c>
      <c r="R25" s="516"/>
      <c r="S25" s="516"/>
      <c r="T25" s="5">
        <f t="shared" si="17"/>
        <v>5165</v>
      </c>
      <c r="U25" s="5">
        <f t="shared" si="4"/>
        <v>0</v>
      </c>
      <c r="V25" s="5">
        <f t="shared" si="17"/>
        <v>461</v>
      </c>
      <c r="W25" s="324">
        <f t="shared" si="18"/>
        <v>0</v>
      </c>
      <c r="X25" s="5">
        <f t="shared" si="17"/>
        <v>150281</v>
      </c>
      <c r="Y25" s="324">
        <f t="shared" si="34"/>
        <v>0</v>
      </c>
      <c r="Z25" s="5">
        <f t="shared" si="17"/>
        <v>98358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-7</v>
      </c>
      <c r="AL25" s="327">
        <f t="shared" si="24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46"/>
        <v>0.9</v>
      </c>
      <c r="AT25" s="201">
        <f t="shared" si="46"/>
        <v>158</v>
      </c>
      <c r="AU25" s="425">
        <f t="shared" si="35"/>
        <v>1.1000000000000001</v>
      </c>
      <c r="AV25" s="201">
        <f t="shared" si="35"/>
        <v>169</v>
      </c>
      <c r="AW25" s="5">
        <v>2.9</v>
      </c>
      <c r="AX25" s="201">
        <f t="shared" ref="AX25" si="50">AX24</f>
        <v>171</v>
      </c>
      <c r="AY25" s="426">
        <f t="shared" si="7"/>
        <v>142.20000000000002</v>
      </c>
      <c r="AZ25" s="426">
        <f t="shared" si="26"/>
        <v>185.9</v>
      </c>
      <c r="BA25" s="426">
        <f t="shared" si="27"/>
        <v>495.9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615820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6720</v>
      </c>
      <c r="L26" s="274">
        <f t="shared" si="33"/>
        <v>0</v>
      </c>
      <c r="M26" s="410">
        <f t="shared" si="15"/>
        <v>457.44</v>
      </c>
      <c r="N26" s="514">
        <f t="shared" si="36"/>
        <v>0</v>
      </c>
      <c r="O26" s="410">
        <f t="shared" si="16"/>
        <v>529.52</v>
      </c>
      <c r="P26" s="514">
        <f t="shared" si="37"/>
        <v>0</v>
      </c>
      <c r="Q26" s="514">
        <f t="shared" si="38"/>
        <v>0</v>
      </c>
      <c r="R26" s="516"/>
      <c r="S26" s="516"/>
      <c r="T26" s="5">
        <f t="shared" si="17"/>
        <v>5165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150281</v>
      </c>
      <c r="Y26" s="324">
        <f t="shared" si="34"/>
        <v>0</v>
      </c>
      <c r="Z26" s="5">
        <f t="shared" si="17"/>
        <v>98358</v>
      </c>
      <c r="AA26" s="83">
        <f t="shared" si="19"/>
        <v>0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46"/>
        <v>0.9</v>
      </c>
      <c r="AT26" s="201">
        <f t="shared" si="46"/>
        <v>158</v>
      </c>
      <c r="AU26" s="425">
        <f t="shared" si="35"/>
        <v>1.1000000000000001</v>
      </c>
      <c r="AV26" s="201">
        <f t="shared" si="35"/>
        <v>169</v>
      </c>
      <c r="AW26" s="5">
        <v>2.9</v>
      </c>
      <c r="AX26" s="201">
        <f t="shared" ref="AX26" si="51">AX25</f>
        <v>171</v>
      </c>
      <c r="AY26" s="426">
        <f t="shared" si="7"/>
        <v>142.20000000000002</v>
      </c>
      <c r="AZ26" s="426">
        <f t="shared" si="26"/>
        <v>185.9</v>
      </c>
      <c r="BA26" s="426">
        <f t="shared" si="27"/>
        <v>495.9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96">
        <f t="shared" si="8"/>
        <v>0</v>
      </c>
      <c r="BG26" s="82">
        <f t="shared" si="9"/>
        <v>0</v>
      </c>
    </row>
    <row r="27" spans="1:61" ht="1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f t="shared" si="13"/>
        <v>615820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6720</v>
      </c>
      <c r="L27" s="274">
        <f t="shared" si="33"/>
        <v>0</v>
      </c>
      <c r="M27" s="410">
        <f t="shared" si="15"/>
        <v>457.44</v>
      </c>
      <c r="N27" s="514">
        <f t="shared" si="36"/>
        <v>0</v>
      </c>
      <c r="O27" s="410">
        <f t="shared" si="16"/>
        <v>529.52</v>
      </c>
      <c r="P27" s="514">
        <f t="shared" si="37"/>
        <v>0</v>
      </c>
      <c r="Q27" s="514">
        <f t="shared" si="38"/>
        <v>0</v>
      </c>
      <c r="R27" s="516"/>
      <c r="S27" s="516"/>
      <c r="T27" s="5">
        <f t="shared" si="17"/>
        <v>5165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150281</v>
      </c>
      <c r="Y27" s="324">
        <f>SUM(X27-X26)</f>
        <v>0</v>
      </c>
      <c r="Z27" s="5">
        <f t="shared" si="17"/>
        <v>98358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46"/>
        <v>0.9</v>
      </c>
      <c r="AT27" s="201">
        <f t="shared" si="46"/>
        <v>158</v>
      </c>
      <c r="AU27" s="425">
        <f t="shared" si="35"/>
        <v>1.1000000000000001</v>
      </c>
      <c r="AV27" s="201">
        <f t="shared" si="35"/>
        <v>169</v>
      </c>
      <c r="AW27" s="5">
        <v>2.9</v>
      </c>
      <c r="AX27" s="201">
        <f t="shared" ref="AX27" si="52">AX26</f>
        <v>171</v>
      </c>
      <c r="AY27" s="426">
        <f t="shared" si="7"/>
        <v>142.20000000000002</v>
      </c>
      <c r="AZ27" s="426">
        <f t="shared" si="26"/>
        <v>185.9</v>
      </c>
      <c r="BA27" s="426">
        <f t="shared" si="27"/>
        <v>495.9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615820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6720</v>
      </c>
      <c r="L28" s="274">
        <f t="shared" si="33"/>
        <v>0</v>
      </c>
      <c r="M28" s="410">
        <f t="shared" si="15"/>
        <v>457.44</v>
      </c>
      <c r="N28" s="514">
        <f t="shared" si="36"/>
        <v>0</v>
      </c>
      <c r="O28" s="410">
        <f t="shared" si="16"/>
        <v>529.52</v>
      </c>
      <c r="P28" s="514">
        <f t="shared" si="37"/>
        <v>0</v>
      </c>
      <c r="Q28" s="514">
        <f t="shared" si="38"/>
        <v>0</v>
      </c>
      <c r="R28" s="516"/>
      <c r="S28" s="516"/>
      <c r="T28" s="5">
        <f t="shared" si="17"/>
        <v>5165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150281</v>
      </c>
      <c r="Y28" s="324">
        <f t="shared" si="34"/>
        <v>0</v>
      </c>
      <c r="Z28" s="5">
        <f t="shared" si="17"/>
        <v>98358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46"/>
        <v>0.9</v>
      </c>
      <c r="AT28" s="201">
        <f t="shared" si="46"/>
        <v>158</v>
      </c>
      <c r="AU28" s="425">
        <f t="shared" si="35"/>
        <v>1.1000000000000001</v>
      </c>
      <c r="AV28" s="201">
        <f t="shared" si="35"/>
        <v>169</v>
      </c>
      <c r="AW28" s="5">
        <v>2.9</v>
      </c>
      <c r="AX28" s="201">
        <f t="shared" ref="AX28" si="53">AX27</f>
        <v>171</v>
      </c>
      <c r="AY28" s="426">
        <f t="shared" si="7"/>
        <v>142.20000000000002</v>
      </c>
      <c r="AZ28" s="426">
        <f t="shared" si="26"/>
        <v>185.9</v>
      </c>
      <c r="BA28" s="426">
        <f t="shared" si="27"/>
        <v>495.9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615820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6720</v>
      </c>
      <c r="L29" s="274">
        <f t="shared" si="33"/>
        <v>0</v>
      </c>
      <c r="M29" s="410">
        <f t="shared" si="15"/>
        <v>457.44</v>
      </c>
      <c r="N29" s="514">
        <f t="shared" si="36"/>
        <v>0</v>
      </c>
      <c r="O29" s="410">
        <f t="shared" si="16"/>
        <v>529.52</v>
      </c>
      <c r="P29" s="514">
        <f t="shared" si="37"/>
        <v>0</v>
      </c>
      <c r="Q29" s="514">
        <f t="shared" si="38"/>
        <v>0</v>
      </c>
      <c r="R29" s="516"/>
      <c r="S29" s="516"/>
      <c r="T29" s="5">
        <f t="shared" si="17"/>
        <v>5165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150281</v>
      </c>
      <c r="Y29" s="324">
        <f t="shared" si="34"/>
        <v>0</v>
      </c>
      <c r="Z29" s="5">
        <f t="shared" si="17"/>
        <v>98358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46"/>
        <v>0.9</v>
      </c>
      <c r="AT29" s="201">
        <f t="shared" si="46"/>
        <v>158</v>
      </c>
      <c r="AU29" s="425">
        <f t="shared" si="35"/>
        <v>1.1000000000000001</v>
      </c>
      <c r="AV29" s="201">
        <f t="shared" si="35"/>
        <v>169</v>
      </c>
      <c r="AW29" s="5">
        <v>2.9</v>
      </c>
      <c r="AX29" s="201">
        <f t="shared" ref="AX29" si="54">AX28</f>
        <v>171</v>
      </c>
      <c r="AY29" s="426">
        <f t="shared" si="7"/>
        <v>142.20000000000002</v>
      </c>
      <c r="AZ29" s="426">
        <f t="shared" si="26"/>
        <v>185.9</v>
      </c>
      <c r="BA29" s="426">
        <f t="shared" si="27"/>
        <v>495.9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f t="shared" si="13"/>
        <v>615820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6720</v>
      </c>
      <c r="L30" s="274">
        <f t="shared" si="33"/>
        <v>0</v>
      </c>
      <c r="M30" s="410">
        <f t="shared" si="15"/>
        <v>457.44</v>
      </c>
      <c r="N30" s="514">
        <f t="shared" si="36"/>
        <v>0</v>
      </c>
      <c r="O30" s="410">
        <f t="shared" si="16"/>
        <v>529.52</v>
      </c>
      <c r="P30" s="514">
        <f t="shared" si="37"/>
        <v>0</v>
      </c>
      <c r="Q30" s="514">
        <f t="shared" si="38"/>
        <v>0</v>
      </c>
      <c r="R30" s="516"/>
      <c r="S30" s="516"/>
      <c r="T30" s="5">
        <f t="shared" si="17"/>
        <v>5165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150281</v>
      </c>
      <c r="Y30" s="324">
        <f t="shared" si="34"/>
        <v>0</v>
      </c>
      <c r="Z30" s="5">
        <f t="shared" si="17"/>
        <v>98358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46"/>
        <v>0.9</v>
      </c>
      <c r="AT30" s="201">
        <f t="shared" si="46"/>
        <v>158</v>
      </c>
      <c r="AU30" s="425">
        <f t="shared" si="35"/>
        <v>1.1000000000000001</v>
      </c>
      <c r="AV30" s="201">
        <f t="shared" si="35"/>
        <v>169</v>
      </c>
      <c r="AW30" s="5">
        <v>2.9</v>
      </c>
      <c r="AX30" s="201">
        <f t="shared" ref="AX30" si="55">AX29</f>
        <v>171</v>
      </c>
      <c r="AY30" s="426">
        <f t="shared" si="7"/>
        <v>142.20000000000002</v>
      </c>
      <c r="AZ30" s="426">
        <f t="shared" si="26"/>
        <v>185.9</v>
      </c>
      <c r="BA30" s="426">
        <f t="shared" si="27"/>
        <v>495.9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f t="shared" si="13"/>
        <v>615820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6720</v>
      </c>
      <c r="L31" s="274">
        <f t="shared" si="33"/>
        <v>0</v>
      </c>
      <c r="M31" s="410">
        <f t="shared" si="15"/>
        <v>457.44</v>
      </c>
      <c r="N31" s="514">
        <f t="shared" si="36"/>
        <v>0</v>
      </c>
      <c r="O31" s="410">
        <f t="shared" si="16"/>
        <v>529.52</v>
      </c>
      <c r="P31" s="514">
        <f t="shared" si="37"/>
        <v>0</v>
      </c>
      <c r="Q31" s="514">
        <f t="shared" si="38"/>
        <v>0</v>
      </c>
      <c r="R31" s="516"/>
      <c r="S31" s="516"/>
      <c r="T31" s="5">
        <f t="shared" si="17"/>
        <v>5165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f t="shared" si="17"/>
        <v>150281</v>
      </c>
      <c r="Y31" s="324">
        <f t="shared" si="34"/>
        <v>0</v>
      </c>
      <c r="Z31" s="5">
        <f t="shared" si="17"/>
        <v>98358</v>
      </c>
      <c r="AA31" s="83">
        <f t="shared" si="19"/>
        <v>0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0</v>
      </c>
      <c r="AK31" s="327">
        <f t="shared" si="32"/>
        <v>0</v>
      </c>
      <c r="AL31" s="327">
        <f t="shared" si="24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46"/>
        <v>0.9</v>
      </c>
      <c r="AT31" s="201">
        <f t="shared" si="46"/>
        <v>158</v>
      </c>
      <c r="AU31" s="425">
        <f t="shared" si="35"/>
        <v>1.1000000000000001</v>
      </c>
      <c r="AV31" s="201">
        <f t="shared" si="35"/>
        <v>169</v>
      </c>
      <c r="AW31" s="5">
        <v>2.9</v>
      </c>
      <c r="AX31" s="201">
        <f t="shared" ref="AX31" si="56">AX30</f>
        <v>171</v>
      </c>
      <c r="AY31" s="426">
        <f t="shared" si="7"/>
        <v>142.20000000000002</v>
      </c>
      <c r="AZ31" s="426">
        <f t="shared" si="26"/>
        <v>185.9</v>
      </c>
      <c r="BA31" s="426">
        <f t="shared" si="27"/>
        <v>495.9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615820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6720</v>
      </c>
      <c r="L32" s="274">
        <f t="shared" si="33"/>
        <v>0</v>
      </c>
      <c r="M32" s="410">
        <f t="shared" si="15"/>
        <v>457.44</v>
      </c>
      <c r="N32" s="514">
        <f t="shared" si="36"/>
        <v>0</v>
      </c>
      <c r="O32" s="410">
        <f t="shared" si="16"/>
        <v>529.52</v>
      </c>
      <c r="P32" s="514">
        <f t="shared" si="37"/>
        <v>0</v>
      </c>
      <c r="Q32" s="514">
        <f t="shared" si="38"/>
        <v>0</v>
      </c>
      <c r="R32" s="516"/>
      <c r="S32" s="516"/>
      <c r="T32" s="5">
        <f t="shared" si="17"/>
        <v>5165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f t="shared" si="17"/>
        <v>150281</v>
      </c>
      <c r="Y32" s="324">
        <f t="shared" si="34"/>
        <v>0</v>
      </c>
      <c r="Z32" s="5">
        <f t="shared" si="17"/>
        <v>98358</v>
      </c>
      <c r="AA32" s="83">
        <f t="shared" si="19"/>
        <v>0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0</v>
      </c>
      <c r="AK32" s="327">
        <f t="shared" si="32"/>
        <v>0</v>
      </c>
      <c r="AL32" s="327">
        <f t="shared" si="24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46"/>
        <v>0.9</v>
      </c>
      <c r="AT32" s="201">
        <f t="shared" si="46"/>
        <v>158</v>
      </c>
      <c r="AU32" s="425">
        <f t="shared" si="35"/>
        <v>1.1000000000000001</v>
      </c>
      <c r="AV32" s="201">
        <f t="shared" si="35"/>
        <v>169</v>
      </c>
      <c r="AW32" s="5">
        <v>2.9</v>
      </c>
      <c r="AX32" s="201">
        <f t="shared" ref="AX32" si="57">AX31</f>
        <v>171</v>
      </c>
      <c r="AY32" s="426">
        <f t="shared" si="7"/>
        <v>142.20000000000002</v>
      </c>
      <c r="AZ32" s="426">
        <f t="shared" si="26"/>
        <v>185.9</v>
      </c>
      <c r="BA32" s="426">
        <f t="shared" si="27"/>
        <v>495.9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615820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6720</v>
      </c>
      <c r="L33" s="274">
        <f t="shared" si="33"/>
        <v>0</v>
      </c>
      <c r="M33" s="410">
        <f t="shared" si="15"/>
        <v>457.44</v>
      </c>
      <c r="N33" s="514">
        <f t="shared" si="36"/>
        <v>0</v>
      </c>
      <c r="O33" s="410">
        <f t="shared" si="16"/>
        <v>529.52</v>
      </c>
      <c r="P33" s="514">
        <f t="shared" si="37"/>
        <v>0</v>
      </c>
      <c r="Q33" s="514">
        <f t="shared" si="38"/>
        <v>0</v>
      </c>
      <c r="R33" s="516"/>
      <c r="S33" s="516"/>
      <c r="T33" s="5">
        <f t="shared" si="17"/>
        <v>5165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f t="shared" si="17"/>
        <v>150281</v>
      </c>
      <c r="Y33" s="324">
        <f t="shared" si="34"/>
        <v>0</v>
      </c>
      <c r="Z33" s="5">
        <f t="shared" si="17"/>
        <v>98358</v>
      </c>
      <c r="AA33" s="83">
        <f t="shared" si="19"/>
        <v>0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2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46"/>
        <v>0.9</v>
      </c>
      <c r="AT33" s="201">
        <f t="shared" si="46"/>
        <v>158</v>
      </c>
      <c r="AU33" s="425">
        <f t="shared" si="35"/>
        <v>1.1000000000000001</v>
      </c>
      <c r="AV33" s="201">
        <f t="shared" si="35"/>
        <v>169</v>
      </c>
      <c r="AW33" s="5">
        <v>2.9</v>
      </c>
      <c r="AX33" s="201">
        <f t="shared" ref="AX33" si="58">AX32</f>
        <v>171</v>
      </c>
      <c r="AY33" s="426">
        <f t="shared" si="7"/>
        <v>142.20000000000002</v>
      </c>
      <c r="AZ33" s="426">
        <f t="shared" si="26"/>
        <v>185.9</v>
      </c>
      <c r="BA33" s="426">
        <f t="shared" si="27"/>
        <v>495.9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446</v>
      </c>
      <c r="I34" s="412">
        <f>SUM(I6:I33)</f>
        <v>446</v>
      </c>
      <c r="L34" s="268">
        <f>SUM(L7:L33)</f>
        <v>4</v>
      </c>
      <c r="Q34" s="495">
        <f>SUM(Q5:Q33)</f>
        <v>0</v>
      </c>
      <c r="U34" s="409">
        <f>SUM(U6:U33)</f>
        <v>1</v>
      </c>
      <c r="X34" s="323"/>
      <c r="Y34" s="322" t="e">
        <f>SUM(#REF!,Y33,Y31,Y29,Y27,Y25,Y23,Y21,Y19,Y17,Y15,Y13,Y11,Y9,Y7,#REF!)</f>
        <v>#REF!</v>
      </c>
      <c r="AJ34" s="322">
        <f>SUM(AJ6:AJ33)</f>
        <v>96</v>
      </c>
      <c r="AK34" s="327" t="e">
        <f>SUM(Y34-L34)</f>
        <v>#REF!</v>
      </c>
      <c r="AL34" s="322">
        <f>SUM(AL6:AL33)</f>
        <v>95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>
        <f>SUM('General information '!G34/WATER!I34)</f>
        <v>0</v>
      </c>
      <c r="L35" s="157"/>
      <c r="O35" s="492">
        <f>SUM(Q34+I34)</f>
        <v>446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446</v>
      </c>
      <c r="H36" s="1">
        <f>SUM(H35+C35)</f>
        <v>7500</v>
      </c>
      <c r="K36" s="1">
        <f>SUM(H36/G36)</f>
        <v>16.816143497757846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zoomScaleNormal="100" workbookViewId="0">
      <pane ySplit="4" topLeftCell="A5" activePane="bottomLeft" state="frozen"/>
      <selection pane="bottomLeft" activeCell="K21" sqref="K21"/>
    </sheetView>
  </sheetViews>
  <sheetFormatPr defaultRowHeight="14.5"/>
  <cols>
    <col min="1" max="1" width="11.81640625" style="484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24" t="s">
        <v>193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ht="15.75" customHeight="1" thickBot="1">
      <c r="A2" s="627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9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>
        <v>20</v>
      </c>
      <c r="C10" s="37">
        <v>15</v>
      </c>
      <c r="D10" s="26">
        <f t="shared" si="0"/>
        <v>17.5</v>
      </c>
      <c r="E10" s="354">
        <v>0.6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>
        <v>19</v>
      </c>
      <c r="C11" s="37">
        <v>15</v>
      </c>
      <c r="D11" s="26">
        <f t="shared" si="0"/>
        <v>17</v>
      </c>
      <c r="E11" s="394">
        <v>0.7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>
        <v>21</v>
      </c>
      <c r="C12" s="37">
        <v>17</v>
      </c>
      <c r="D12" s="26">
        <f t="shared" si="0"/>
        <v>19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>
        <v>23</v>
      </c>
      <c r="C13" s="37">
        <v>19</v>
      </c>
      <c r="D13" s="26">
        <f>(C13+B13)/2</f>
        <v>21</v>
      </c>
      <c r="E13" s="354">
        <v>0.55000000000000004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>
        <v>21</v>
      </c>
      <c r="C14" s="37">
        <v>18</v>
      </c>
      <c r="D14" s="26">
        <f t="shared" ref="D14:D33" si="3">(C14+B14)/2</f>
        <v>19.5</v>
      </c>
      <c r="E14" s="340">
        <v>0.63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>
        <v>19</v>
      </c>
      <c r="C15" s="37">
        <v>14</v>
      </c>
      <c r="D15" s="26">
        <f t="shared" si="3"/>
        <v>16.5</v>
      </c>
      <c r="E15" s="340">
        <v>0.61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>
        <v>18</v>
      </c>
      <c r="C16" s="37">
        <v>13</v>
      </c>
      <c r="D16" s="26">
        <f t="shared" si="3"/>
        <v>15.5</v>
      </c>
      <c r="E16" s="340">
        <v>0.72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>
        <v>18</v>
      </c>
      <c r="C17" s="37">
        <v>13</v>
      </c>
      <c r="D17" s="26">
        <f t="shared" si="3"/>
        <v>15.5</v>
      </c>
      <c r="E17" s="340">
        <v>0.51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>
        <v>19</v>
      </c>
      <c r="C18" s="37">
        <v>14</v>
      </c>
      <c r="D18" s="26">
        <f t="shared" si="3"/>
        <v>16.5</v>
      </c>
      <c r="E18" s="427">
        <v>0.61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>
        <v>18</v>
      </c>
      <c r="C19" s="37">
        <v>13</v>
      </c>
      <c r="D19" s="26">
        <f t="shared" si="3"/>
        <v>15.5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>
        <v>18</v>
      </c>
      <c r="C20" s="37">
        <v>12</v>
      </c>
      <c r="D20" s="26">
        <f t="shared" si="3"/>
        <v>15</v>
      </c>
      <c r="E20" s="340">
        <v>0.73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>
        <v>11</v>
      </c>
      <c r="C21" s="37">
        <v>7</v>
      </c>
      <c r="D21" s="26">
        <f>(C21+B21)/2</f>
        <v>9</v>
      </c>
      <c r="E21" s="340">
        <v>0.82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/>
      <c r="C31" s="37"/>
      <c r="D31" s="3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16.9375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4" zoomScale="90" zoomScaleNormal="90" workbookViewId="0">
      <pane xSplit="1" topLeftCell="AO1" activePane="topRight" state="frozen"/>
      <selection pane="topRight" activeCell="BI21" sqref="BI21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4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233</v>
      </c>
      <c r="AT3" s="630" t="s">
        <v>301</v>
      </c>
      <c r="AU3" s="631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0.1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0.1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505.75949367092358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247</v>
      </c>
      <c r="C10" s="203">
        <f t="shared" si="18"/>
        <v>5314.4838709677415</v>
      </c>
      <c r="D10">
        <f t="shared" si="19"/>
        <v>247</v>
      </c>
      <c r="E10" s="203">
        <f t="shared" si="18"/>
        <v>5314.4838709677415</v>
      </c>
      <c r="F10">
        <f t="shared" si="20"/>
        <v>247</v>
      </c>
      <c r="G10" s="203">
        <f t="shared" si="1"/>
        <v>5314.4838709677415</v>
      </c>
      <c r="H10" s="203">
        <f t="shared" si="21"/>
        <v>247</v>
      </c>
      <c r="I10" s="203">
        <f t="shared" si="2"/>
        <v>5314.4838709677415</v>
      </c>
      <c r="J10" s="203">
        <f t="shared" si="22"/>
        <v>247</v>
      </c>
      <c r="K10" s="203">
        <f t="shared" si="3"/>
        <v>5314.4838709677415</v>
      </c>
      <c r="L10" s="203">
        <f t="shared" si="23"/>
        <v>247</v>
      </c>
      <c r="M10" s="203">
        <f t="shared" si="4"/>
        <v>5314.4838709677415</v>
      </c>
      <c r="N10" s="203">
        <f t="shared" si="24"/>
        <v>247</v>
      </c>
      <c r="O10" s="203">
        <f t="shared" si="5"/>
        <v>5314.4838709677415</v>
      </c>
      <c r="P10" s="203">
        <f t="shared" si="25"/>
        <v>247</v>
      </c>
      <c r="Q10" s="203">
        <f t="shared" si="6"/>
        <v>5314.4838709677415</v>
      </c>
      <c r="R10" s="203">
        <f t="shared" si="26"/>
        <v>247</v>
      </c>
      <c r="S10" s="203">
        <f t="shared" si="7"/>
        <v>5314.4838709677415</v>
      </c>
      <c r="T10" s="203">
        <f t="shared" si="27"/>
        <v>247</v>
      </c>
      <c r="U10" s="203">
        <f t="shared" si="8"/>
        <v>5314.4838709677415</v>
      </c>
      <c r="V10" s="203">
        <f t="shared" si="28"/>
        <v>247</v>
      </c>
      <c r="W10" s="203">
        <f t="shared" si="9"/>
        <v>5314.4838709677415</v>
      </c>
      <c r="X10" s="35">
        <f t="shared" si="10"/>
        <v>0.79677419354838708</v>
      </c>
      <c r="Y10" s="36">
        <f t="shared" si="29"/>
        <v>58459.322580645159</v>
      </c>
      <c r="Z10" s="203">
        <f>'B5'!C9</f>
        <v>252</v>
      </c>
      <c r="AA10" s="203">
        <f t="shared" si="30"/>
        <v>2520</v>
      </c>
      <c r="AB10" s="203">
        <f t="shared" si="31"/>
        <v>252</v>
      </c>
      <c r="AC10" s="203">
        <f t="shared" si="30"/>
        <v>2520</v>
      </c>
      <c r="AD10" s="203">
        <f t="shared" si="32"/>
        <v>252</v>
      </c>
      <c r="AE10" s="203">
        <f t="shared" si="11"/>
        <v>2520</v>
      </c>
      <c r="AF10" s="203">
        <f t="shared" si="33"/>
        <v>252</v>
      </c>
      <c r="AG10" s="203">
        <f t="shared" si="12"/>
        <v>2520</v>
      </c>
      <c r="AH10" s="203">
        <f t="shared" si="34"/>
        <v>252</v>
      </c>
      <c r="AI10" s="203">
        <f t="shared" si="13"/>
        <v>2520</v>
      </c>
      <c r="AJ10" s="203">
        <f t="shared" si="35"/>
        <v>252</v>
      </c>
      <c r="AK10" s="203">
        <f t="shared" si="14"/>
        <v>2520</v>
      </c>
      <c r="AL10" s="203">
        <f t="shared" si="36"/>
        <v>252</v>
      </c>
      <c r="AM10" s="203">
        <f t="shared" si="15"/>
        <v>2520</v>
      </c>
      <c r="AN10" s="35">
        <f t="shared" si="16"/>
        <v>0.9</v>
      </c>
      <c r="AO10" s="36">
        <f t="shared" si="17"/>
        <v>17640</v>
      </c>
      <c r="AQ10" s="223">
        <f t="shared" si="37"/>
        <v>0.81853632979074054</v>
      </c>
      <c r="AR10" s="38">
        <f t="shared" si="41"/>
        <v>76099.322580645152</v>
      </c>
      <c r="AS10" s="197">
        <f t="shared" si="38"/>
        <v>53.612903225817718</v>
      </c>
      <c r="AT10" s="355">
        <v>7850</v>
      </c>
      <c r="AU10" s="436">
        <v>0.67400000000000004</v>
      </c>
      <c r="AV10" s="518">
        <f>IF(AT10&gt;0,AU10,AV9)</f>
        <v>0.67400000000000004</v>
      </c>
      <c r="AW10" s="290">
        <f>-SUM('B5'!AI9)</f>
        <v>-391</v>
      </c>
      <c r="AX10" s="290">
        <f>-SUM(AW10-AS10)</f>
        <v>444.61290322581772</v>
      </c>
      <c r="AY10" s="37">
        <f t="shared" si="40"/>
        <v>53.612903225817718</v>
      </c>
      <c r="AZ10" s="100">
        <f>ELEC!A7</f>
        <v>0</v>
      </c>
      <c r="BA10" s="118">
        <f>'General information '!D10</f>
        <v>17.5</v>
      </c>
      <c r="BB10" s="394">
        <f>SUM('General information '!E10)</f>
        <v>0.6</v>
      </c>
      <c r="BC10" s="3">
        <f t="shared" si="43"/>
        <v>1</v>
      </c>
      <c r="BD10" s="102">
        <v>19222</v>
      </c>
      <c r="BE10" s="14">
        <f>(305/1185)*ELEC!Q8</f>
        <v>436.00843881843809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244</v>
      </c>
      <c r="C11" s="203">
        <f t="shared" si="18"/>
        <v>5249.9354838709678</v>
      </c>
      <c r="D11">
        <f>SUM(B11)</f>
        <v>244</v>
      </c>
      <c r="E11" s="203">
        <f t="shared" si="18"/>
        <v>5249.9354838709678</v>
      </c>
      <c r="F11">
        <f>SUM(D11)</f>
        <v>244</v>
      </c>
      <c r="G11" s="203">
        <f t="shared" si="1"/>
        <v>5249.9354838709678</v>
      </c>
      <c r="H11" s="203">
        <f>SUM(F11)</f>
        <v>244</v>
      </c>
      <c r="I11" s="203">
        <f t="shared" si="2"/>
        <v>5249.9354838709678</v>
      </c>
      <c r="J11" s="203">
        <f>SUM(H11)</f>
        <v>244</v>
      </c>
      <c r="K11" s="203">
        <f t="shared" si="3"/>
        <v>5249.9354838709678</v>
      </c>
      <c r="L11" s="203">
        <f>SUM(J11)</f>
        <v>244</v>
      </c>
      <c r="M11" s="203">
        <f t="shared" si="4"/>
        <v>5249.9354838709678</v>
      </c>
      <c r="N11" s="203">
        <f>SUM(L11)</f>
        <v>244</v>
      </c>
      <c r="O11" s="203">
        <f t="shared" si="5"/>
        <v>5249.9354838709678</v>
      </c>
      <c r="P11" s="203">
        <f>SUM(N11)</f>
        <v>244</v>
      </c>
      <c r="Q11" s="203">
        <f t="shared" si="6"/>
        <v>5249.9354838709678</v>
      </c>
      <c r="R11" s="203">
        <f>SUM(P11)</f>
        <v>244</v>
      </c>
      <c r="S11" s="203">
        <f t="shared" si="7"/>
        <v>5249.9354838709678</v>
      </c>
      <c r="T11" s="203">
        <f>SUM(R11)</f>
        <v>244</v>
      </c>
      <c r="U11" s="203">
        <f t="shared" si="8"/>
        <v>5249.9354838709678</v>
      </c>
      <c r="V11" s="203">
        <f>SUM(T11)</f>
        <v>244</v>
      </c>
      <c r="W11" s="203">
        <f t="shared" si="9"/>
        <v>5249.9354838709678</v>
      </c>
      <c r="X11" s="35">
        <f>SUM(Y11/73370)</f>
        <v>0.78709677419354862</v>
      </c>
      <c r="Y11" s="36">
        <f>SUM(C11+E11+G11+I11+K11+M11+O11+Q11+S11+U11+W11)</f>
        <v>57749.290322580659</v>
      </c>
      <c r="Z11" s="203">
        <f>'B5'!C10</f>
        <v>250</v>
      </c>
      <c r="AA11" s="203">
        <f t="shared" si="30"/>
        <v>2500</v>
      </c>
      <c r="AB11" s="203">
        <f>SUM(Z11)</f>
        <v>250</v>
      </c>
      <c r="AC11" s="203">
        <f t="shared" si="30"/>
        <v>2500</v>
      </c>
      <c r="AD11" s="203">
        <f>SUM(AB11)</f>
        <v>250</v>
      </c>
      <c r="AE11" s="203">
        <f t="shared" si="11"/>
        <v>2500</v>
      </c>
      <c r="AF11" s="203">
        <f>SUM(AD11)</f>
        <v>250</v>
      </c>
      <c r="AG11" s="203">
        <f t="shared" si="12"/>
        <v>2500</v>
      </c>
      <c r="AH11" s="203">
        <f>SUM(AF11)</f>
        <v>250</v>
      </c>
      <c r="AI11" s="203">
        <f t="shared" si="13"/>
        <v>2500</v>
      </c>
      <c r="AJ11" s="203">
        <f>SUM(AH11)</f>
        <v>250</v>
      </c>
      <c r="AK11" s="203">
        <f t="shared" si="14"/>
        <v>2500</v>
      </c>
      <c r="AL11" s="203">
        <f>SUM(AJ11)</f>
        <v>250</v>
      </c>
      <c r="AM11" s="203">
        <f t="shared" si="15"/>
        <v>2500</v>
      </c>
      <c r="AN11" s="35">
        <f>SUM(AO11/19600)</f>
        <v>0.8928571428571429</v>
      </c>
      <c r="AO11" s="36">
        <f t="shared" si="17"/>
        <v>17500</v>
      </c>
      <c r="AP11" s="566"/>
      <c r="AQ11" s="223">
        <f t="shared" si="37"/>
        <v>0.80939324860256712</v>
      </c>
      <c r="AR11" s="38">
        <f t="shared" si="41"/>
        <v>75249.290322580666</v>
      </c>
      <c r="AS11" s="197">
        <f>SUM(AR11-AR10-AT11)</f>
        <v>-850.03225806448609</v>
      </c>
      <c r="AT11" s="355"/>
      <c r="AU11" s="436"/>
      <c r="AV11" s="518">
        <f>IF(AT11&gt;0,AU11,AV10)</f>
        <v>0.67400000000000004</v>
      </c>
      <c r="AW11" s="290">
        <f>-SUM('B5'!AI10)</f>
        <v>-311</v>
      </c>
      <c r="AX11" s="290">
        <f>-SUM(AW11-AS11)</f>
        <v>-539.03225806448609</v>
      </c>
      <c r="AY11" s="37">
        <f t="shared" si="40"/>
        <v>-850.03225806448609</v>
      </c>
      <c r="AZ11" s="100">
        <f>ELEC!A8</f>
        <v>0</v>
      </c>
      <c r="BA11" s="118">
        <f>'General information '!D11</f>
        <v>17</v>
      </c>
      <c r="BB11" s="394">
        <f>SUM('General information '!E11)</f>
        <v>0.7</v>
      </c>
      <c r="BC11" s="3">
        <f t="shared" si="43"/>
        <v>0</v>
      </c>
      <c r="BD11" s="102">
        <v>19222</v>
      </c>
      <c r="BE11" s="14">
        <f>(305/1185)*ELEC!Q9</f>
        <v>526.09282700465394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240</v>
      </c>
      <c r="C12" s="203">
        <f t="shared" si="18"/>
        <v>5163.8709677419356</v>
      </c>
      <c r="D12">
        <f t="shared" si="19"/>
        <v>240</v>
      </c>
      <c r="E12" s="203">
        <f t="shared" si="18"/>
        <v>5163.8709677419356</v>
      </c>
      <c r="F12">
        <f t="shared" si="20"/>
        <v>240</v>
      </c>
      <c r="G12" s="203">
        <f t="shared" si="1"/>
        <v>5163.8709677419356</v>
      </c>
      <c r="H12" s="203">
        <f t="shared" si="21"/>
        <v>240</v>
      </c>
      <c r="I12" s="203">
        <f t="shared" si="2"/>
        <v>5163.8709677419356</v>
      </c>
      <c r="J12" s="203">
        <f t="shared" si="22"/>
        <v>240</v>
      </c>
      <c r="K12" s="203">
        <f t="shared" si="3"/>
        <v>5163.8709677419356</v>
      </c>
      <c r="L12" s="203">
        <f t="shared" si="23"/>
        <v>240</v>
      </c>
      <c r="M12" s="203">
        <f t="shared" si="4"/>
        <v>5163.8709677419356</v>
      </c>
      <c r="N12" s="203">
        <f t="shared" si="24"/>
        <v>240</v>
      </c>
      <c r="O12" s="203">
        <f t="shared" si="5"/>
        <v>5163.8709677419356</v>
      </c>
      <c r="P12" s="203">
        <f t="shared" si="25"/>
        <v>240</v>
      </c>
      <c r="Q12" s="203">
        <f t="shared" si="6"/>
        <v>5163.8709677419356</v>
      </c>
      <c r="R12" s="203">
        <f t="shared" si="26"/>
        <v>240</v>
      </c>
      <c r="S12" s="203">
        <f t="shared" si="7"/>
        <v>5163.8709677419356</v>
      </c>
      <c r="T12" s="203">
        <f t="shared" si="27"/>
        <v>240</v>
      </c>
      <c r="U12" s="203">
        <f t="shared" si="8"/>
        <v>5163.8709677419356</v>
      </c>
      <c r="V12" s="203">
        <f t="shared" si="28"/>
        <v>240</v>
      </c>
      <c r="W12" s="203">
        <f t="shared" si="9"/>
        <v>5163.8709677419356</v>
      </c>
      <c r="X12" s="35">
        <f t="shared" si="10"/>
        <v>0.77419354838709697</v>
      </c>
      <c r="Y12" s="36">
        <f t="shared" si="29"/>
        <v>56802.580645161303</v>
      </c>
      <c r="Z12" s="203">
        <f>'B5'!C11</f>
        <v>246</v>
      </c>
      <c r="AA12" s="203">
        <f t="shared" si="30"/>
        <v>2460</v>
      </c>
      <c r="AB12" s="203">
        <f t="shared" si="31"/>
        <v>246</v>
      </c>
      <c r="AC12" s="203">
        <f t="shared" si="30"/>
        <v>2460</v>
      </c>
      <c r="AD12" s="203">
        <f t="shared" si="32"/>
        <v>246</v>
      </c>
      <c r="AE12" s="203">
        <f t="shared" si="11"/>
        <v>2460</v>
      </c>
      <c r="AF12" s="203">
        <f t="shared" si="33"/>
        <v>246</v>
      </c>
      <c r="AG12" s="203">
        <f t="shared" si="12"/>
        <v>2460</v>
      </c>
      <c r="AH12" s="203">
        <f t="shared" si="34"/>
        <v>246</v>
      </c>
      <c r="AI12" s="203">
        <f t="shared" si="13"/>
        <v>2460</v>
      </c>
      <c r="AJ12" s="203">
        <f t="shared" si="35"/>
        <v>246</v>
      </c>
      <c r="AK12" s="203">
        <f t="shared" si="14"/>
        <v>2460</v>
      </c>
      <c r="AL12" s="203">
        <f t="shared" si="36"/>
        <v>246</v>
      </c>
      <c r="AM12" s="203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66"/>
      <c r="AQ12" s="223">
        <f t="shared" si="37"/>
        <v>0.79619856561429814</v>
      </c>
      <c r="AR12" s="38">
        <f t="shared" si="41"/>
        <v>74022.580645161303</v>
      </c>
      <c r="AS12" s="197">
        <f>SUM(AR12-AR11-AT12)</f>
        <v>-1226.7096774193633</v>
      </c>
      <c r="AT12" s="271"/>
      <c r="AU12" s="478"/>
      <c r="AV12" s="518">
        <f t="shared" si="42"/>
        <v>0.67400000000000004</v>
      </c>
      <c r="AW12" s="290">
        <f>-SUM('B5'!AI11)</f>
        <v>-279</v>
      </c>
      <c r="AX12" s="290">
        <f t="shared" si="39"/>
        <v>-947.70967741936329</v>
      </c>
      <c r="AY12" s="37">
        <f t="shared" si="40"/>
        <v>-1226.7096774193633</v>
      </c>
      <c r="AZ12" s="100">
        <f>ELEC!A9</f>
        <v>0</v>
      </c>
      <c r="BA12" s="118">
        <f>'General information '!D12</f>
        <v>19</v>
      </c>
      <c r="BB12" s="394">
        <f>SUM('General information '!E12)</f>
        <v>0.63</v>
      </c>
      <c r="BC12" s="3">
        <f t="shared" si="43"/>
        <v>0</v>
      </c>
      <c r="BD12" s="102">
        <v>19222</v>
      </c>
      <c r="BE12" s="14">
        <f>(305/1185)*ELEC!Q10</f>
        <v>526.3502109700147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237</v>
      </c>
      <c r="C13" s="203">
        <f t="shared" si="18"/>
        <v>5099.322580645161</v>
      </c>
      <c r="D13">
        <f t="shared" si="19"/>
        <v>237</v>
      </c>
      <c r="E13" s="203">
        <f t="shared" si="18"/>
        <v>5099.322580645161</v>
      </c>
      <c r="F13">
        <f t="shared" si="20"/>
        <v>237</v>
      </c>
      <c r="G13" s="203">
        <f t="shared" si="1"/>
        <v>5099.322580645161</v>
      </c>
      <c r="H13" s="203">
        <f t="shared" si="21"/>
        <v>237</v>
      </c>
      <c r="I13" s="203">
        <f t="shared" si="2"/>
        <v>5099.322580645161</v>
      </c>
      <c r="J13" s="203">
        <f t="shared" si="22"/>
        <v>237</v>
      </c>
      <c r="K13" s="203">
        <f t="shared" si="3"/>
        <v>5099.322580645161</v>
      </c>
      <c r="L13" s="203">
        <f t="shared" si="23"/>
        <v>237</v>
      </c>
      <c r="M13" s="203">
        <f t="shared" si="4"/>
        <v>5099.322580645161</v>
      </c>
      <c r="N13" s="203">
        <f t="shared" si="24"/>
        <v>237</v>
      </c>
      <c r="O13" s="203">
        <f t="shared" si="5"/>
        <v>5099.322580645161</v>
      </c>
      <c r="P13" s="203">
        <f t="shared" si="25"/>
        <v>237</v>
      </c>
      <c r="Q13" s="203">
        <f t="shared" si="6"/>
        <v>5099.322580645161</v>
      </c>
      <c r="R13" s="203">
        <f t="shared" si="26"/>
        <v>237</v>
      </c>
      <c r="S13" s="203">
        <f t="shared" si="7"/>
        <v>5099.322580645161</v>
      </c>
      <c r="T13" s="203">
        <f t="shared" si="27"/>
        <v>237</v>
      </c>
      <c r="U13" s="203">
        <f t="shared" si="8"/>
        <v>5099.322580645161</v>
      </c>
      <c r="V13" s="203">
        <f t="shared" si="28"/>
        <v>237</v>
      </c>
      <c r="W13" s="203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3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17"/>
        <v>17010</v>
      </c>
      <c r="AP13" s="566"/>
      <c r="AQ13" s="223">
        <f t="shared" si="37"/>
        <v>0.78630255337309629</v>
      </c>
      <c r="AR13" s="38">
        <f t="shared" si="41"/>
        <v>73102.548387096758</v>
      </c>
      <c r="AS13" s="197">
        <f t="shared" si="38"/>
        <v>-920.03225806454429</v>
      </c>
      <c r="AT13" s="271"/>
      <c r="AU13" s="436"/>
      <c r="AV13" s="518">
        <f t="shared" si="42"/>
        <v>0.67400000000000004</v>
      </c>
      <c r="AW13" s="290">
        <f>-SUM('B5'!AI12)</f>
        <v>-333.39999999999418</v>
      </c>
      <c r="AX13" s="290">
        <f t="shared" si="39"/>
        <v>-586.63225806455011</v>
      </c>
      <c r="AY13" s="37">
        <f t="shared" si="40"/>
        <v>-920.03225806454429</v>
      </c>
      <c r="AZ13" s="100">
        <f>ELEC!A10</f>
        <v>0</v>
      </c>
      <c r="BA13" s="118">
        <f>'General information '!D13</f>
        <v>21</v>
      </c>
      <c r="BB13" s="394">
        <f>SUM('General information '!E13)</f>
        <v>0.55000000000000004</v>
      </c>
      <c r="BC13" s="3">
        <f t="shared" si="43"/>
        <v>0</v>
      </c>
      <c r="BD13" s="102">
        <v>19222</v>
      </c>
      <c r="BE13" s="14">
        <f>(305/1185)*ELEC!Q11</f>
        <v>884.37130801726721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233</v>
      </c>
      <c r="C14" s="203">
        <f t="shared" si="18"/>
        <v>5013.2580645161288</v>
      </c>
      <c r="D14">
        <f t="shared" si="19"/>
        <v>233</v>
      </c>
      <c r="E14" s="203">
        <f t="shared" si="18"/>
        <v>5013.2580645161288</v>
      </c>
      <c r="F14">
        <f t="shared" si="20"/>
        <v>233</v>
      </c>
      <c r="G14" s="203">
        <f t="shared" si="1"/>
        <v>5013.2580645161288</v>
      </c>
      <c r="H14" s="203">
        <f t="shared" si="21"/>
        <v>233</v>
      </c>
      <c r="I14" s="203">
        <f t="shared" si="2"/>
        <v>5013.2580645161288</v>
      </c>
      <c r="J14" s="203">
        <f t="shared" si="22"/>
        <v>233</v>
      </c>
      <c r="K14" s="203">
        <f t="shared" si="3"/>
        <v>5013.2580645161288</v>
      </c>
      <c r="L14" s="203">
        <f t="shared" si="23"/>
        <v>233</v>
      </c>
      <c r="M14" s="203">
        <f t="shared" si="4"/>
        <v>5013.2580645161288</v>
      </c>
      <c r="N14" s="203">
        <f t="shared" si="24"/>
        <v>233</v>
      </c>
      <c r="O14" s="203">
        <f t="shared" si="5"/>
        <v>5013.2580645161288</v>
      </c>
      <c r="P14" s="203">
        <f t="shared" si="25"/>
        <v>233</v>
      </c>
      <c r="Q14" s="203">
        <f t="shared" si="6"/>
        <v>5013.2580645161288</v>
      </c>
      <c r="R14" s="203">
        <f t="shared" si="26"/>
        <v>233</v>
      </c>
      <c r="S14" s="203">
        <f t="shared" si="7"/>
        <v>5013.2580645161288</v>
      </c>
      <c r="T14" s="203">
        <f t="shared" si="27"/>
        <v>233</v>
      </c>
      <c r="U14" s="203">
        <f t="shared" si="8"/>
        <v>5013.2580645161288</v>
      </c>
      <c r="V14" s="203">
        <f t="shared" si="28"/>
        <v>233</v>
      </c>
      <c r="W14" s="203">
        <f t="shared" si="9"/>
        <v>5013.2580645161288</v>
      </c>
      <c r="X14" s="35">
        <f t="shared" si="10"/>
        <v>0.75161290322580643</v>
      </c>
      <c r="Y14" s="36">
        <f t="shared" si="29"/>
        <v>55145.838709677417</v>
      </c>
      <c r="Z14" s="203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1"/>
        <v>2390</v>
      </c>
      <c r="AF14" s="203">
        <f t="shared" si="33"/>
        <v>239</v>
      </c>
      <c r="AG14" s="203">
        <f t="shared" si="12"/>
        <v>2390</v>
      </c>
      <c r="AH14" s="203">
        <f t="shared" si="34"/>
        <v>239</v>
      </c>
      <c r="AI14" s="203">
        <f t="shared" si="13"/>
        <v>2390</v>
      </c>
      <c r="AJ14" s="203">
        <f t="shared" si="35"/>
        <v>239</v>
      </c>
      <c r="AK14" s="203">
        <f t="shared" si="14"/>
        <v>2390</v>
      </c>
      <c r="AL14" s="203">
        <f t="shared" si="36"/>
        <v>239</v>
      </c>
      <c r="AM14" s="203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3">
        <f t="shared" si="37"/>
        <v>0.77310787038482764</v>
      </c>
      <c r="AR14" s="38">
        <f t="shared" si="41"/>
        <v>71875.838709677424</v>
      </c>
      <c r="AS14" s="197">
        <f>SUM(AR14-AR13-AT14)</f>
        <v>-1226.7096774193342</v>
      </c>
      <c r="AT14" s="271"/>
      <c r="AU14" s="478"/>
      <c r="AV14" s="518">
        <f t="shared" si="42"/>
        <v>0.67400000000000004</v>
      </c>
      <c r="AW14" s="290">
        <f>-SUM('B5'!AI13)</f>
        <v>-236</v>
      </c>
      <c r="AX14" s="290">
        <f t="shared" si="39"/>
        <v>-990.70967741933418</v>
      </c>
      <c r="AY14" s="37">
        <f t="shared" si="40"/>
        <v>-1226.7096774193342</v>
      </c>
      <c r="AZ14" s="100">
        <f>ELEC!A11</f>
        <v>0</v>
      </c>
      <c r="BA14" s="118">
        <f>'General information '!D14</f>
        <v>19.5</v>
      </c>
      <c r="BB14" s="394">
        <f>SUM('General information '!E14)</f>
        <v>0.63</v>
      </c>
      <c r="BC14" s="3">
        <f t="shared" si="43"/>
        <v>0</v>
      </c>
      <c r="BD14" s="102">
        <v>19222</v>
      </c>
      <c r="BE14" s="14">
        <f>(305/1185)*ELEC!Q12</f>
        <v>1143.2995780588396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227</v>
      </c>
      <c r="C15" s="203">
        <f t="shared" si="18"/>
        <v>4884.1612903225805</v>
      </c>
      <c r="D15">
        <f t="shared" si="19"/>
        <v>227</v>
      </c>
      <c r="E15" s="203">
        <f t="shared" si="18"/>
        <v>4884.1612903225805</v>
      </c>
      <c r="F15">
        <f t="shared" si="20"/>
        <v>227</v>
      </c>
      <c r="G15" s="203">
        <f t="shared" si="1"/>
        <v>4884.1612903225805</v>
      </c>
      <c r="H15" s="203">
        <f t="shared" si="21"/>
        <v>227</v>
      </c>
      <c r="I15" s="203">
        <f t="shared" si="2"/>
        <v>4884.1612903225805</v>
      </c>
      <c r="J15" s="203">
        <f t="shared" si="22"/>
        <v>227</v>
      </c>
      <c r="K15" s="203">
        <f t="shared" si="3"/>
        <v>4884.1612903225805</v>
      </c>
      <c r="L15" s="203">
        <f t="shared" si="23"/>
        <v>227</v>
      </c>
      <c r="M15" s="203">
        <f t="shared" si="4"/>
        <v>4884.1612903225805</v>
      </c>
      <c r="N15" s="203">
        <f t="shared" si="24"/>
        <v>227</v>
      </c>
      <c r="O15" s="203">
        <f t="shared" si="5"/>
        <v>4884.1612903225805</v>
      </c>
      <c r="P15" s="203">
        <f t="shared" si="25"/>
        <v>227</v>
      </c>
      <c r="Q15" s="203">
        <f t="shared" si="6"/>
        <v>4884.1612903225805</v>
      </c>
      <c r="R15" s="203">
        <f t="shared" si="26"/>
        <v>227</v>
      </c>
      <c r="S15" s="203">
        <f t="shared" si="7"/>
        <v>4884.1612903225805</v>
      </c>
      <c r="T15" s="203">
        <f t="shared" si="27"/>
        <v>227</v>
      </c>
      <c r="U15" s="203">
        <f t="shared" si="8"/>
        <v>4884.1612903225805</v>
      </c>
      <c r="V15" s="203">
        <f t="shared" si="28"/>
        <v>227</v>
      </c>
      <c r="W15" s="203">
        <f t="shared" si="9"/>
        <v>4884.1612903225805</v>
      </c>
      <c r="X15" s="35">
        <f t="shared" si="10"/>
        <v>0.73225806451612907</v>
      </c>
      <c r="Y15" s="36">
        <f t="shared" si="29"/>
        <v>53725.774193548394</v>
      </c>
      <c r="Z15" s="203">
        <f>'B5'!C14</f>
        <v>233</v>
      </c>
      <c r="AA15" s="203">
        <f t="shared" si="30"/>
        <v>2330</v>
      </c>
      <c r="AB15" s="203">
        <f t="shared" si="31"/>
        <v>233</v>
      </c>
      <c r="AC15" s="203">
        <f t="shared" si="30"/>
        <v>2330</v>
      </c>
      <c r="AD15" s="203">
        <f t="shared" si="32"/>
        <v>233</v>
      </c>
      <c r="AE15" s="203">
        <f t="shared" si="11"/>
        <v>2330</v>
      </c>
      <c r="AF15" s="203">
        <f t="shared" si="33"/>
        <v>233</v>
      </c>
      <c r="AG15" s="203">
        <f t="shared" si="12"/>
        <v>2330</v>
      </c>
      <c r="AH15" s="203">
        <f t="shared" si="34"/>
        <v>233</v>
      </c>
      <c r="AI15" s="203">
        <f t="shared" si="13"/>
        <v>2330</v>
      </c>
      <c r="AJ15" s="203">
        <f t="shared" si="35"/>
        <v>233</v>
      </c>
      <c r="AK15" s="203">
        <f t="shared" si="14"/>
        <v>2330</v>
      </c>
      <c r="AL15" s="203">
        <f t="shared" si="36"/>
        <v>233</v>
      </c>
      <c r="AM15" s="203">
        <f t="shared" si="15"/>
        <v>2330</v>
      </c>
      <c r="AN15" s="35">
        <f t="shared" si="16"/>
        <v>0.83214285714285718</v>
      </c>
      <c r="AO15" s="36">
        <f t="shared" si="17"/>
        <v>16310</v>
      </c>
      <c r="AQ15" s="223">
        <f t="shared" si="37"/>
        <v>0.7533158459024244</v>
      </c>
      <c r="AR15" s="38">
        <f t="shared" si="41"/>
        <v>70035.774193548394</v>
      </c>
      <c r="AS15" s="197">
        <f>SUM(AR15-AR14-AT15)</f>
        <v>-1840.0645161290304</v>
      </c>
      <c r="AT15" s="271"/>
      <c r="AU15" s="436"/>
      <c r="AV15" s="518">
        <f>IF(AT15&gt;0,AU15,AV14)</f>
        <v>0.67400000000000004</v>
      </c>
      <c r="AW15" s="290">
        <f>-SUM('B5'!AI14)</f>
        <v>-236</v>
      </c>
      <c r="AX15" s="290">
        <f>-SUM(AW15-AS15)</f>
        <v>-1604.0645161290304</v>
      </c>
      <c r="AY15" s="37">
        <f t="shared" si="40"/>
        <v>-1840.0645161290304</v>
      </c>
      <c r="AZ15" s="100">
        <f>ELEC!A12</f>
        <v>0</v>
      </c>
      <c r="BA15" s="118">
        <f>'General information '!D15</f>
        <v>16.5</v>
      </c>
      <c r="BB15" s="394">
        <f>SUM('General information '!E15)</f>
        <v>0.61</v>
      </c>
      <c r="BC15" s="3">
        <f t="shared" si="43"/>
        <v>0</v>
      </c>
      <c r="BD15" s="102">
        <v>19222</v>
      </c>
      <c r="BE15" s="14">
        <f>(305/1185)*ELEC!Q13</f>
        <v>1029.2784810126059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222</v>
      </c>
      <c r="C16" s="203">
        <f t="shared" si="18"/>
        <v>4776.5806451612898</v>
      </c>
      <c r="D16">
        <f t="shared" si="19"/>
        <v>222</v>
      </c>
      <c r="E16" s="203">
        <f t="shared" si="18"/>
        <v>4776.5806451612898</v>
      </c>
      <c r="F16">
        <f t="shared" si="20"/>
        <v>222</v>
      </c>
      <c r="G16" s="203">
        <f t="shared" si="1"/>
        <v>4776.5806451612898</v>
      </c>
      <c r="H16" s="203">
        <f t="shared" si="21"/>
        <v>222</v>
      </c>
      <c r="I16" s="203">
        <f t="shared" si="2"/>
        <v>4776.5806451612898</v>
      </c>
      <c r="J16" s="203">
        <f t="shared" si="22"/>
        <v>222</v>
      </c>
      <c r="K16" s="203">
        <f t="shared" si="3"/>
        <v>4776.5806451612898</v>
      </c>
      <c r="L16" s="203">
        <f t="shared" si="23"/>
        <v>222</v>
      </c>
      <c r="M16" s="203">
        <f t="shared" si="4"/>
        <v>4776.5806451612898</v>
      </c>
      <c r="N16" s="203">
        <f t="shared" si="24"/>
        <v>222</v>
      </c>
      <c r="O16" s="203">
        <f t="shared" si="5"/>
        <v>4776.5806451612898</v>
      </c>
      <c r="P16" s="203">
        <f t="shared" si="25"/>
        <v>222</v>
      </c>
      <c r="Q16" s="203">
        <f t="shared" si="6"/>
        <v>4776.5806451612898</v>
      </c>
      <c r="R16" s="203">
        <f t="shared" si="26"/>
        <v>222</v>
      </c>
      <c r="S16" s="203">
        <f t="shared" si="7"/>
        <v>4776.5806451612898</v>
      </c>
      <c r="T16" s="203">
        <f t="shared" si="27"/>
        <v>222</v>
      </c>
      <c r="U16" s="203">
        <f t="shared" si="8"/>
        <v>4776.5806451612898</v>
      </c>
      <c r="V16" s="203">
        <f t="shared" si="28"/>
        <v>222</v>
      </c>
      <c r="W16" s="203">
        <f t="shared" si="9"/>
        <v>4776.5806451612898</v>
      </c>
      <c r="X16" s="35">
        <f t="shared" si="10"/>
        <v>0.71612903225806424</v>
      </c>
      <c r="Y16" s="36">
        <f t="shared" si="29"/>
        <v>52542.387096774175</v>
      </c>
      <c r="Z16" s="203">
        <f>'B5'!C15</f>
        <v>228</v>
      </c>
      <c r="AA16" s="203">
        <f t="shared" si="30"/>
        <v>2280</v>
      </c>
      <c r="AB16" s="203">
        <f t="shared" si="31"/>
        <v>228</v>
      </c>
      <c r="AC16" s="203">
        <f t="shared" si="30"/>
        <v>2280</v>
      </c>
      <c r="AD16" s="203">
        <f t="shared" si="32"/>
        <v>228</v>
      </c>
      <c r="AE16" s="203">
        <f t="shared" si="11"/>
        <v>2280</v>
      </c>
      <c r="AF16" s="203">
        <f t="shared" si="33"/>
        <v>228</v>
      </c>
      <c r="AG16" s="203">
        <f t="shared" si="12"/>
        <v>2280</v>
      </c>
      <c r="AH16" s="203">
        <f t="shared" si="34"/>
        <v>228</v>
      </c>
      <c r="AI16" s="203">
        <f t="shared" si="13"/>
        <v>2280</v>
      </c>
      <c r="AJ16" s="203">
        <f t="shared" si="35"/>
        <v>228</v>
      </c>
      <c r="AK16" s="203">
        <f t="shared" si="14"/>
        <v>2280</v>
      </c>
      <c r="AL16" s="203">
        <f t="shared" si="36"/>
        <v>228</v>
      </c>
      <c r="AM16" s="203">
        <f t="shared" si="15"/>
        <v>2280</v>
      </c>
      <c r="AN16" s="35">
        <f t="shared" si="16"/>
        <v>0.81428571428571428</v>
      </c>
      <c r="AO16" s="36">
        <f t="shared" si="17"/>
        <v>15960</v>
      </c>
      <c r="AQ16" s="223">
        <f t="shared" si="37"/>
        <v>0.73682249216708817</v>
      </c>
      <c r="AR16" s="38">
        <f t="shared" si="41"/>
        <v>68502.387096774182</v>
      </c>
      <c r="AS16" s="197">
        <f>SUM(AR16-AR15-AT16)</f>
        <v>-1533.3870967742114</v>
      </c>
      <c r="AT16" s="355"/>
      <c r="AU16" s="436"/>
      <c r="AV16" s="518">
        <f>IF(AT16&gt;0,AU16,AV15)</f>
        <v>0.67400000000000004</v>
      </c>
      <c r="AW16" s="290">
        <f>-SUM('B5'!AI15)</f>
        <v>-253</v>
      </c>
      <c r="AX16" s="290">
        <f>-SUM(AW16-AS16)</f>
        <v>-1280.3870967742114</v>
      </c>
      <c r="AY16" s="37">
        <f t="shared" si="40"/>
        <v>-1533.3870967742114</v>
      </c>
      <c r="AZ16" s="100">
        <f>ELEC!A13</f>
        <v>0</v>
      </c>
      <c r="BA16" s="118">
        <f>'General information '!D16</f>
        <v>15.5</v>
      </c>
      <c r="BB16" s="394">
        <f>SUM('General information '!E16)</f>
        <v>0.72</v>
      </c>
      <c r="BC16" s="3">
        <f t="shared" si="43"/>
        <v>0</v>
      </c>
      <c r="BD16" s="102">
        <v>19222</v>
      </c>
      <c r="BE16" s="14">
        <f>(305/1185)*ELEC!Q14</f>
        <v>676.40506329129664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219</v>
      </c>
      <c r="C17" s="203">
        <f t="shared" si="18"/>
        <v>4712.0322580645161</v>
      </c>
      <c r="D17">
        <f t="shared" si="19"/>
        <v>219</v>
      </c>
      <c r="E17" s="203">
        <f t="shared" si="18"/>
        <v>4712.0322580645161</v>
      </c>
      <c r="F17">
        <f t="shared" si="20"/>
        <v>219</v>
      </c>
      <c r="G17" s="203">
        <f t="shared" si="1"/>
        <v>4712.0322580645161</v>
      </c>
      <c r="H17" s="203">
        <f t="shared" si="21"/>
        <v>219</v>
      </c>
      <c r="I17" s="203">
        <f t="shared" si="2"/>
        <v>4712.0322580645161</v>
      </c>
      <c r="J17" s="203">
        <f t="shared" si="22"/>
        <v>219</v>
      </c>
      <c r="K17" s="203">
        <f t="shared" si="3"/>
        <v>4712.0322580645161</v>
      </c>
      <c r="L17" s="203">
        <f t="shared" si="23"/>
        <v>219</v>
      </c>
      <c r="M17" s="203">
        <f t="shared" si="4"/>
        <v>4712.0322580645161</v>
      </c>
      <c r="N17" s="203">
        <f t="shared" si="24"/>
        <v>219</v>
      </c>
      <c r="O17" s="203">
        <f t="shared" si="5"/>
        <v>4712.0322580645161</v>
      </c>
      <c r="P17" s="203">
        <f t="shared" si="25"/>
        <v>219</v>
      </c>
      <c r="Q17" s="203">
        <f t="shared" si="6"/>
        <v>4712.0322580645161</v>
      </c>
      <c r="R17" s="203">
        <f t="shared" si="26"/>
        <v>219</v>
      </c>
      <c r="S17" s="203">
        <f t="shared" si="7"/>
        <v>4712.0322580645161</v>
      </c>
      <c r="T17" s="203">
        <f t="shared" si="27"/>
        <v>219</v>
      </c>
      <c r="U17" s="203">
        <f t="shared" si="8"/>
        <v>4712.0322580645161</v>
      </c>
      <c r="V17" s="203">
        <f t="shared" si="28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29"/>
        <v>51832.354838709674</v>
      </c>
      <c r="Z17" s="203">
        <f>'B5'!C16</f>
        <v>224</v>
      </c>
      <c r="AA17" s="203">
        <f t="shared" si="30"/>
        <v>2240</v>
      </c>
      <c r="AB17" s="203">
        <f t="shared" si="31"/>
        <v>224</v>
      </c>
      <c r="AC17" s="203">
        <f t="shared" si="30"/>
        <v>2240</v>
      </c>
      <c r="AD17" s="203">
        <f t="shared" si="32"/>
        <v>224</v>
      </c>
      <c r="AE17" s="203">
        <f t="shared" si="11"/>
        <v>2240</v>
      </c>
      <c r="AF17" s="203">
        <f t="shared" si="33"/>
        <v>224</v>
      </c>
      <c r="AG17" s="203">
        <f t="shared" si="12"/>
        <v>2240</v>
      </c>
      <c r="AH17" s="203">
        <f t="shared" si="34"/>
        <v>224</v>
      </c>
      <c r="AI17" s="203">
        <f t="shared" si="13"/>
        <v>2240</v>
      </c>
      <c r="AJ17" s="203">
        <f t="shared" si="35"/>
        <v>224</v>
      </c>
      <c r="AK17" s="203">
        <f t="shared" si="14"/>
        <v>2240</v>
      </c>
      <c r="AL17" s="203">
        <f t="shared" si="36"/>
        <v>224</v>
      </c>
      <c r="AM17" s="203">
        <f t="shared" si="15"/>
        <v>2240</v>
      </c>
      <c r="AN17" s="35">
        <f t="shared" si="16"/>
        <v>0.8</v>
      </c>
      <c r="AO17" s="36">
        <f>SUM(AA17+AC17+AE17+AG17+AI17+AK17+AM17)</f>
        <v>15680</v>
      </c>
      <c r="AQ17" s="223">
        <f t="shared" si="37"/>
        <v>0.72617354887285868</v>
      </c>
      <c r="AR17" s="38">
        <f t="shared" si="41"/>
        <v>67512.354838709667</v>
      </c>
      <c r="AS17" s="197">
        <f t="shared" si="38"/>
        <v>-990.03225806451519</v>
      </c>
      <c r="AT17" s="355"/>
      <c r="AU17" s="478"/>
      <c r="AV17" s="518">
        <f t="shared" si="42"/>
        <v>0.67400000000000004</v>
      </c>
      <c r="AW17" s="290">
        <f>-SUM('B5'!AI16)</f>
        <v>-234</v>
      </c>
      <c r="AX17" s="290">
        <f t="shared" si="39"/>
        <v>-756.03225806451519</v>
      </c>
      <c r="AY17" s="37">
        <f t="shared" si="40"/>
        <v>-990.03225806451519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0.51</v>
      </c>
      <c r="BC17" s="3">
        <f t="shared" si="43"/>
        <v>0</v>
      </c>
      <c r="BD17" s="102">
        <v>19222</v>
      </c>
      <c r="BE17" s="14">
        <f>(305/1185)*ELEC!Q15</f>
        <v>833.6666666660899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214</v>
      </c>
      <c r="C18" s="203">
        <f t="shared" si="18"/>
        <v>4604.4516129032254</v>
      </c>
      <c r="D18">
        <f t="shared" si="19"/>
        <v>214</v>
      </c>
      <c r="E18" s="203">
        <f t="shared" si="18"/>
        <v>4604.4516129032254</v>
      </c>
      <c r="F18">
        <f t="shared" si="20"/>
        <v>214</v>
      </c>
      <c r="G18" s="203">
        <f t="shared" si="1"/>
        <v>4604.4516129032254</v>
      </c>
      <c r="H18" s="203">
        <f t="shared" si="21"/>
        <v>214</v>
      </c>
      <c r="I18" s="203">
        <f t="shared" si="2"/>
        <v>4604.4516129032254</v>
      </c>
      <c r="J18" s="203">
        <f t="shared" si="22"/>
        <v>214</v>
      </c>
      <c r="K18" s="203">
        <f t="shared" si="3"/>
        <v>4604.4516129032254</v>
      </c>
      <c r="L18" s="203">
        <f t="shared" si="23"/>
        <v>214</v>
      </c>
      <c r="M18" s="203">
        <f t="shared" si="4"/>
        <v>4604.4516129032254</v>
      </c>
      <c r="N18" s="203">
        <f t="shared" si="24"/>
        <v>214</v>
      </c>
      <c r="O18" s="203">
        <f t="shared" si="5"/>
        <v>4604.4516129032254</v>
      </c>
      <c r="P18" s="203">
        <f t="shared" si="25"/>
        <v>214</v>
      </c>
      <c r="Q18" s="203">
        <f t="shared" si="6"/>
        <v>4604.4516129032254</v>
      </c>
      <c r="R18" s="203">
        <f t="shared" si="26"/>
        <v>214</v>
      </c>
      <c r="S18" s="203">
        <f t="shared" si="7"/>
        <v>4604.4516129032254</v>
      </c>
      <c r="T18" s="203">
        <f t="shared" si="27"/>
        <v>214</v>
      </c>
      <c r="U18" s="203">
        <f t="shared" si="8"/>
        <v>4604.4516129032254</v>
      </c>
      <c r="V18" s="203">
        <f t="shared" si="28"/>
        <v>214</v>
      </c>
      <c r="W18" s="203">
        <f t="shared" si="9"/>
        <v>4604.4516129032254</v>
      </c>
      <c r="X18" s="35">
        <f t="shared" si="10"/>
        <v>0.69032258064516139</v>
      </c>
      <c r="Y18" s="36">
        <f t="shared" si="29"/>
        <v>50648.967741935492</v>
      </c>
      <c r="Z18" s="203">
        <f>'B5'!C17</f>
        <v>219</v>
      </c>
      <c r="AA18" s="203">
        <f t="shared" si="30"/>
        <v>2190</v>
      </c>
      <c r="AB18" s="203">
        <f t="shared" si="31"/>
        <v>219</v>
      </c>
      <c r="AC18" s="203">
        <f t="shared" si="30"/>
        <v>2190</v>
      </c>
      <c r="AD18" s="203">
        <f t="shared" si="32"/>
        <v>219</v>
      </c>
      <c r="AE18" s="203">
        <f t="shared" si="11"/>
        <v>2190</v>
      </c>
      <c r="AF18" s="203">
        <f t="shared" si="33"/>
        <v>219</v>
      </c>
      <c r="AG18" s="203">
        <f t="shared" si="12"/>
        <v>2190</v>
      </c>
      <c r="AH18" s="203">
        <f t="shared" si="34"/>
        <v>219</v>
      </c>
      <c r="AI18" s="203">
        <f t="shared" si="13"/>
        <v>2190</v>
      </c>
      <c r="AJ18" s="203">
        <f t="shared" si="35"/>
        <v>219</v>
      </c>
      <c r="AK18" s="203">
        <f t="shared" si="14"/>
        <v>2190</v>
      </c>
      <c r="AL18" s="203">
        <f t="shared" si="36"/>
        <v>219</v>
      </c>
      <c r="AM18" s="203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3">
        <f t="shared" si="37"/>
        <v>0.70968019513752267</v>
      </c>
      <c r="AR18" s="38">
        <f t="shared" si="41"/>
        <v>65978.967741935485</v>
      </c>
      <c r="AS18" s="197">
        <f t="shared" si="38"/>
        <v>-1533.3870967741823</v>
      </c>
      <c r="AT18" s="271"/>
      <c r="AU18" s="436"/>
      <c r="AV18" s="518">
        <f>IF(AT18&gt;0,AU18,AV17)</f>
        <v>0.67400000000000004</v>
      </c>
      <c r="AW18" s="290">
        <f>-SUM('B5'!AI17)</f>
        <v>-281</v>
      </c>
      <c r="AX18" s="290">
        <f t="shared" si="39"/>
        <v>-1252.3870967741823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16.5</v>
      </c>
      <c r="BB18" s="394">
        <f>SUM('General information '!E18)</f>
        <v>0.61</v>
      </c>
      <c r="BC18" s="3">
        <f t="shared" si="43"/>
        <v>0</v>
      </c>
      <c r="BD18" s="102">
        <v>19222</v>
      </c>
      <c r="BE18" s="14">
        <f>(305/1185)*ELEC!Q16</f>
        <v>940.48101265881223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208</v>
      </c>
      <c r="C19" s="203">
        <f t="shared" si="18"/>
        <v>4475.3548387096771</v>
      </c>
      <c r="D19">
        <f t="shared" si="19"/>
        <v>208</v>
      </c>
      <c r="E19" s="203">
        <f t="shared" si="18"/>
        <v>4475.3548387096771</v>
      </c>
      <c r="F19">
        <f t="shared" si="20"/>
        <v>208</v>
      </c>
      <c r="G19" s="203">
        <f t="shared" si="1"/>
        <v>4475.3548387096771</v>
      </c>
      <c r="H19" s="203">
        <f t="shared" si="21"/>
        <v>208</v>
      </c>
      <c r="I19" s="203">
        <f t="shared" si="2"/>
        <v>4475.3548387096771</v>
      </c>
      <c r="J19" s="203">
        <f t="shared" si="22"/>
        <v>208</v>
      </c>
      <c r="K19" s="203">
        <f t="shared" si="3"/>
        <v>4475.3548387096771</v>
      </c>
      <c r="L19" s="203">
        <f t="shared" si="23"/>
        <v>208</v>
      </c>
      <c r="M19" s="203">
        <f t="shared" si="4"/>
        <v>4475.3548387096771</v>
      </c>
      <c r="N19" s="203">
        <f t="shared" si="24"/>
        <v>208</v>
      </c>
      <c r="O19" s="203">
        <f t="shared" si="5"/>
        <v>4475.3548387096771</v>
      </c>
      <c r="P19" s="203">
        <f t="shared" si="25"/>
        <v>208</v>
      </c>
      <c r="Q19" s="203">
        <f t="shared" si="6"/>
        <v>4475.3548387096771</v>
      </c>
      <c r="R19" s="203">
        <f t="shared" si="26"/>
        <v>208</v>
      </c>
      <c r="S19" s="203">
        <f t="shared" si="7"/>
        <v>4475.3548387096771</v>
      </c>
      <c r="T19" s="203">
        <f t="shared" si="27"/>
        <v>208</v>
      </c>
      <c r="U19" s="203">
        <f t="shared" si="8"/>
        <v>4475.3548387096771</v>
      </c>
      <c r="V19" s="203">
        <f t="shared" si="28"/>
        <v>208</v>
      </c>
      <c r="W19" s="203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3">
        <f>'B5'!C18</f>
        <v>215</v>
      </c>
      <c r="AA19" s="203">
        <f t="shared" si="30"/>
        <v>2150</v>
      </c>
      <c r="AB19" s="203">
        <f t="shared" si="31"/>
        <v>215</v>
      </c>
      <c r="AC19" s="203">
        <f t="shared" si="30"/>
        <v>2150</v>
      </c>
      <c r="AD19" s="203">
        <f t="shared" si="32"/>
        <v>215</v>
      </c>
      <c r="AE19" s="203">
        <f t="shared" si="11"/>
        <v>2150</v>
      </c>
      <c r="AF19" s="203">
        <f t="shared" si="33"/>
        <v>215</v>
      </c>
      <c r="AG19" s="203">
        <f t="shared" si="12"/>
        <v>2150</v>
      </c>
      <c r="AH19" s="203">
        <f t="shared" si="34"/>
        <v>215</v>
      </c>
      <c r="AI19" s="203">
        <f t="shared" si="13"/>
        <v>2150</v>
      </c>
      <c r="AJ19" s="203">
        <f t="shared" si="35"/>
        <v>215</v>
      </c>
      <c r="AK19" s="203">
        <f t="shared" si="14"/>
        <v>2150</v>
      </c>
      <c r="AL19" s="203">
        <f t="shared" si="36"/>
        <v>215</v>
      </c>
      <c r="AM19" s="203">
        <f t="shared" si="15"/>
        <v>2150</v>
      </c>
      <c r="AN19" s="35">
        <f t="shared" si="16"/>
        <v>0.7678571428571429</v>
      </c>
      <c r="AO19" s="36">
        <f t="shared" si="17"/>
        <v>15050</v>
      </c>
      <c r="AQ19" s="223">
        <f t="shared" si="37"/>
        <v>0.69139403276117495</v>
      </c>
      <c r="AR19" s="38">
        <f t="shared" si="41"/>
        <v>64278.90322580644</v>
      </c>
      <c r="AS19" s="197">
        <f t="shared" si="38"/>
        <v>-1700.0645161290449</v>
      </c>
      <c r="AT19" s="271"/>
      <c r="AU19" s="436"/>
      <c r="AV19" s="518">
        <f t="shared" si="42"/>
        <v>0.67400000000000004</v>
      </c>
      <c r="AW19" s="290">
        <f>-SUM('B5'!AI18)</f>
        <v>-267</v>
      </c>
      <c r="AX19" s="290">
        <f t="shared" si="39"/>
        <v>-1433.0645161290449</v>
      </c>
      <c r="AY19" s="37">
        <f t="shared" si="40"/>
        <v>-1700.0645161290449</v>
      </c>
      <c r="AZ19" s="100">
        <f>ELEC!A16</f>
        <v>0</v>
      </c>
      <c r="BA19" s="118">
        <f>'General information '!D19</f>
        <v>15.5</v>
      </c>
      <c r="BB19" s="394">
        <f>SUM('General information '!E19)</f>
        <v>0.63</v>
      </c>
      <c r="BC19" s="3">
        <f t="shared" si="43"/>
        <v>0</v>
      </c>
      <c r="BD19" s="102">
        <v>19222</v>
      </c>
      <c r="BE19" s="14">
        <f>(305/1185)*ELEC!Q17</f>
        <v>1024.6455696201933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204</v>
      </c>
      <c r="C20" s="203">
        <f t="shared" si="18"/>
        <v>4389.2903225806449</v>
      </c>
      <c r="D20">
        <f t="shared" si="19"/>
        <v>204</v>
      </c>
      <c r="E20" s="203">
        <f t="shared" si="18"/>
        <v>4389.2903225806449</v>
      </c>
      <c r="F20">
        <f t="shared" si="20"/>
        <v>204</v>
      </c>
      <c r="G20" s="203">
        <f t="shared" si="1"/>
        <v>4389.2903225806449</v>
      </c>
      <c r="H20" s="203">
        <f t="shared" si="21"/>
        <v>204</v>
      </c>
      <c r="I20" s="203">
        <f t="shared" si="2"/>
        <v>4389.2903225806449</v>
      </c>
      <c r="J20" s="203">
        <f t="shared" si="22"/>
        <v>204</v>
      </c>
      <c r="K20" s="203">
        <f t="shared" si="3"/>
        <v>4389.2903225806449</v>
      </c>
      <c r="L20" s="203">
        <f t="shared" si="23"/>
        <v>204</v>
      </c>
      <c r="M20" s="203">
        <f t="shared" si="4"/>
        <v>4389.2903225806449</v>
      </c>
      <c r="N20" s="203">
        <f t="shared" si="24"/>
        <v>204</v>
      </c>
      <c r="O20" s="203">
        <f t="shared" si="5"/>
        <v>4389.2903225806449</v>
      </c>
      <c r="P20" s="203">
        <f t="shared" si="25"/>
        <v>204</v>
      </c>
      <c r="Q20" s="203">
        <f t="shared" si="6"/>
        <v>4389.2903225806449</v>
      </c>
      <c r="R20" s="203">
        <f t="shared" si="26"/>
        <v>204</v>
      </c>
      <c r="S20" s="203">
        <f t="shared" si="7"/>
        <v>4389.2903225806449</v>
      </c>
      <c r="T20" s="203">
        <f t="shared" si="27"/>
        <v>204</v>
      </c>
      <c r="U20" s="203">
        <f t="shared" si="8"/>
        <v>4389.2903225806449</v>
      </c>
      <c r="V20" s="203">
        <f t="shared" si="28"/>
        <v>204</v>
      </c>
      <c r="W20" s="203">
        <f t="shared" si="9"/>
        <v>4389.2903225806449</v>
      </c>
      <c r="X20" s="35">
        <f t="shared" si="10"/>
        <v>0.65806451612903216</v>
      </c>
      <c r="Y20" s="36">
        <f t="shared" si="29"/>
        <v>48282.193548387091</v>
      </c>
      <c r="Z20" s="203">
        <f>'B5'!C19</f>
        <v>210</v>
      </c>
      <c r="AA20" s="203">
        <f t="shared" si="30"/>
        <v>2100</v>
      </c>
      <c r="AB20" s="203">
        <f t="shared" si="31"/>
        <v>210</v>
      </c>
      <c r="AC20" s="203">
        <f t="shared" si="30"/>
        <v>2100</v>
      </c>
      <c r="AD20" s="203">
        <f t="shared" si="32"/>
        <v>210</v>
      </c>
      <c r="AE20" s="203">
        <f t="shared" si="11"/>
        <v>2100</v>
      </c>
      <c r="AF20" s="203">
        <f t="shared" si="33"/>
        <v>210</v>
      </c>
      <c r="AG20" s="203">
        <f t="shared" si="12"/>
        <v>2100</v>
      </c>
      <c r="AH20" s="203">
        <f t="shared" si="34"/>
        <v>210</v>
      </c>
      <c r="AI20" s="203">
        <f t="shared" si="13"/>
        <v>2100</v>
      </c>
      <c r="AJ20" s="203">
        <f t="shared" si="35"/>
        <v>210</v>
      </c>
      <c r="AK20" s="203">
        <f t="shared" si="14"/>
        <v>2100</v>
      </c>
      <c r="AL20" s="203">
        <f t="shared" si="36"/>
        <v>210</v>
      </c>
      <c r="AM20" s="203">
        <f t="shared" si="15"/>
        <v>2100</v>
      </c>
      <c r="AN20" s="35">
        <f t="shared" si="16"/>
        <v>0.75</v>
      </c>
      <c r="AO20" s="36">
        <f t="shared" si="17"/>
        <v>14700</v>
      </c>
      <c r="AQ20" s="223">
        <f t="shared" si="37"/>
        <v>0.67744641871987832</v>
      </c>
      <c r="AR20" s="38">
        <f t="shared" si="41"/>
        <v>62982.193548387091</v>
      </c>
      <c r="AS20" s="197">
        <f t="shared" si="38"/>
        <v>-1296.7096774193487</v>
      </c>
      <c r="AT20" s="271"/>
      <c r="AU20" s="436"/>
      <c r="AV20" s="518">
        <f t="shared" si="42"/>
        <v>0.67400000000000004</v>
      </c>
      <c r="AW20" s="290">
        <f>-SUM('B5'!AI19)</f>
        <v>-217</v>
      </c>
      <c r="AX20" s="290">
        <f t="shared" si="39"/>
        <v>-1079.7096774193487</v>
      </c>
      <c r="AY20" s="37">
        <f t="shared" si="40"/>
        <v>-1296.7096774193487</v>
      </c>
      <c r="AZ20" s="100">
        <f>ELEC!A17</f>
        <v>0</v>
      </c>
      <c r="BA20" s="118">
        <f>'General information '!D20</f>
        <v>15</v>
      </c>
      <c r="BB20" s="394">
        <f>SUM('General information '!E20)</f>
        <v>0.73</v>
      </c>
      <c r="BC20" s="3">
        <f t="shared" si="43"/>
        <v>0</v>
      </c>
      <c r="BD20" s="102">
        <v>19222</v>
      </c>
      <c r="BE20" s="14">
        <f>(305/1185)*ELEC!Q18</f>
        <v>594.04219409305927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237</v>
      </c>
      <c r="C21" s="203">
        <f t="shared" si="18"/>
        <v>5099.322580645161</v>
      </c>
      <c r="D21">
        <f t="shared" si="19"/>
        <v>237</v>
      </c>
      <c r="E21" s="203">
        <f t="shared" si="18"/>
        <v>5099.322580645161</v>
      </c>
      <c r="F21">
        <f t="shared" si="20"/>
        <v>237</v>
      </c>
      <c r="G21" s="203">
        <f t="shared" si="1"/>
        <v>5099.322580645161</v>
      </c>
      <c r="H21" s="203">
        <f t="shared" si="21"/>
        <v>237</v>
      </c>
      <c r="I21" s="203">
        <f t="shared" si="2"/>
        <v>5099.322580645161</v>
      </c>
      <c r="J21" s="203">
        <f t="shared" si="22"/>
        <v>237</v>
      </c>
      <c r="K21" s="203">
        <f t="shared" si="3"/>
        <v>5099.322580645161</v>
      </c>
      <c r="L21" s="203">
        <f t="shared" si="23"/>
        <v>237</v>
      </c>
      <c r="M21" s="203">
        <f t="shared" si="4"/>
        <v>5099.322580645161</v>
      </c>
      <c r="N21" s="203">
        <f t="shared" si="24"/>
        <v>237</v>
      </c>
      <c r="O21" s="203">
        <f t="shared" si="5"/>
        <v>5099.322580645161</v>
      </c>
      <c r="P21" s="203">
        <f t="shared" si="25"/>
        <v>237</v>
      </c>
      <c r="Q21" s="203">
        <f t="shared" si="6"/>
        <v>5099.322580645161</v>
      </c>
      <c r="R21" s="203">
        <f t="shared" si="26"/>
        <v>237</v>
      </c>
      <c r="S21" s="203">
        <f t="shared" si="7"/>
        <v>5099.322580645161</v>
      </c>
      <c r="T21" s="203">
        <f t="shared" si="27"/>
        <v>237</v>
      </c>
      <c r="U21" s="203">
        <f t="shared" si="8"/>
        <v>5099.322580645161</v>
      </c>
      <c r="V21" s="203">
        <f t="shared" si="28"/>
        <v>237</v>
      </c>
      <c r="W21" s="203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3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3">
        <f t="shared" si="37"/>
        <v>0.78630255337309629</v>
      </c>
      <c r="AR21" s="38">
        <f t="shared" si="41"/>
        <v>73102.548387096758</v>
      </c>
      <c r="AS21" s="197">
        <f t="shared" si="38"/>
        <v>470.35483870966709</v>
      </c>
      <c r="AT21" s="271">
        <v>9650</v>
      </c>
      <c r="AU21" s="436">
        <v>0.68899999999999995</v>
      </c>
      <c r="AV21" s="518">
        <f t="shared" si="42"/>
        <v>0.68899999999999995</v>
      </c>
      <c r="AW21" s="290">
        <f>-SUM('B5'!AI20)</f>
        <v>-228</v>
      </c>
      <c r="AX21" s="290">
        <f t="shared" si="39"/>
        <v>698.35483870966709</v>
      </c>
      <c r="AY21" s="37">
        <f t="shared" si="40"/>
        <v>470.35483870966709</v>
      </c>
      <c r="AZ21" s="100">
        <f>ELEC!A18</f>
        <v>0</v>
      </c>
      <c r="BA21" s="118">
        <f>'General information '!D21</f>
        <v>9</v>
      </c>
      <c r="BB21" s="394">
        <f>SUM('General information '!E21)</f>
        <v>0.82</v>
      </c>
      <c r="BC21" s="3">
        <f t="shared" si="43"/>
        <v>1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237</v>
      </c>
      <c r="C22" s="203">
        <f t="shared" si="18"/>
        <v>5099.322580645161</v>
      </c>
      <c r="D22">
        <f t="shared" si="19"/>
        <v>237</v>
      </c>
      <c r="E22" s="203">
        <f t="shared" si="18"/>
        <v>5099.322580645161</v>
      </c>
      <c r="F22">
        <f t="shared" si="20"/>
        <v>237</v>
      </c>
      <c r="G22" s="203">
        <f t="shared" si="1"/>
        <v>5099.322580645161</v>
      </c>
      <c r="H22" s="203">
        <f t="shared" si="21"/>
        <v>237</v>
      </c>
      <c r="I22" s="203">
        <f t="shared" si="2"/>
        <v>5099.322580645161</v>
      </c>
      <c r="J22" s="203">
        <f t="shared" si="22"/>
        <v>237</v>
      </c>
      <c r="K22" s="203">
        <f t="shared" si="3"/>
        <v>5099.322580645161</v>
      </c>
      <c r="L22" s="203">
        <f t="shared" si="23"/>
        <v>237</v>
      </c>
      <c r="M22" s="203">
        <f t="shared" si="4"/>
        <v>5099.322580645161</v>
      </c>
      <c r="N22" s="203">
        <f t="shared" si="24"/>
        <v>237</v>
      </c>
      <c r="O22" s="203">
        <f t="shared" si="5"/>
        <v>5099.322580645161</v>
      </c>
      <c r="P22" s="203">
        <f t="shared" si="25"/>
        <v>237</v>
      </c>
      <c r="Q22" s="203">
        <f t="shared" si="6"/>
        <v>5099.322580645161</v>
      </c>
      <c r="R22" s="203">
        <f t="shared" si="26"/>
        <v>237</v>
      </c>
      <c r="S22" s="203">
        <f t="shared" si="7"/>
        <v>5099.322580645161</v>
      </c>
      <c r="T22" s="203">
        <f t="shared" si="27"/>
        <v>237</v>
      </c>
      <c r="U22" s="203">
        <f t="shared" si="8"/>
        <v>5099.322580645161</v>
      </c>
      <c r="V22" s="203">
        <f t="shared" si="28"/>
        <v>237</v>
      </c>
      <c r="W22" s="203">
        <f t="shared" si="9"/>
        <v>5099.322580645161</v>
      </c>
      <c r="X22" s="35">
        <f t="shared" si="10"/>
        <v>0.76451612903225785</v>
      </c>
      <c r="Y22" s="36">
        <f t="shared" si="29"/>
        <v>56092.548387096758</v>
      </c>
      <c r="Z22" s="203">
        <f>'B5'!C21</f>
        <v>243</v>
      </c>
      <c r="AA22" s="203">
        <f t="shared" si="30"/>
        <v>2430</v>
      </c>
      <c r="AB22" s="203">
        <f t="shared" si="31"/>
        <v>243</v>
      </c>
      <c r="AC22" s="203">
        <f t="shared" si="30"/>
        <v>2430</v>
      </c>
      <c r="AD22" s="203">
        <f t="shared" si="32"/>
        <v>243</v>
      </c>
      <c r="AE22" s="203">
        <f t="shared" si="11"/>
        <v>2430</v>
      </c>
      <c r="AF22" s="203">
        <f t="shared" si="33"/>
        <v>243</v>
      </c>
      <c r="AG22" s="203">
        <f t="shared" si="12"/>
        <v>2430</v>
      </c>
      <c r="AH22" s="203">
        <f t="shared" si="34"/>
        <v>243</v>
      </c>
      <c r="AI22" s="203">
        <f t="shared" si="13"/>
        <v>2430</v>
      </c>
      <c r="AJ22" s="203">
        <f t="shared" si="35"/>
        <v>243</v>
      </c>
      <c r="AK22" s="203">
        <f t="shared" si="14"/>
        <v>2430</v>
      </c>
      <c r="AL22" s="203">
        <f t="shared" si="36"/>
        <v>243</v>
      </c>
      <c r="AM22" s="203">
        <f t="shared" si="15"/>
        <v>2430</v>
      </c>
      <c r="AN22" s="35">
        <f t="shared" si="16"/>
        <v>0.86785714285714288</v>
      </c>
      <c r="AO22" s="36">
        <f t="shared" si="17"/>
        <v>17010</v>
      </c>
      <c r="AQ22" s="223">
        <f t="shared" si="37"/>
        <v>0.78630255337309629</v>
      </c>
      <c r="AR22" s="38">
        <f t="shared" si="41"/>
        <v>73102.548387096758</v>
      </c>
      <c r="AS22" s="197">
        <f t="shared" si="38"/>
        <v>0</v>
      </c>
      <c r="AT22" s="271"/>
      <c r="AU22" s="436"/>
      <c r="AV22" s="518">
        <f t="shared" si="42"/>
        <v>0.68899999999999995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237</v>
      </c>
      <c r="C23" s="203">
        <f t="shared" si="18"/>
        <v>5099.322580645161</v>
      </c>
      <c r="D23">
        <f t="shared" si="19"/>
        <v>237</v>
      </c>
      <c r="E23" s="203">
        <f t="shared" si="18"/>
        <v>5099.322580645161</v>
      </c>
      <c r="F23">
        <f t="shared" si="20"/>
        <v>237</v>
      </c>
      <c r="G23" s="203">
        <f t="shared" si="1"/>
        <v>5099.322580645161</v>
      </c>
      <c r="H23" s="203">
        <f t="shared" si="21"/>
        <v>237</v>
      </c>
      <c r="I23" s="203">
        <f t="shared" si="2"/>
        <v>5099.322580645161</v>
      </c>
      <c r="J23" s="203">
        <f t="shared" si="22"/>
        <v>237</v>
      </c>
      <c r="K23" s="203">
        <f t="shared" si="3"/>
        <v>5099.322580645161</v>
      </c>
      <c r="L23" s="203">
        <f t="shared" si="23"/>
        <v>237</v>
      </c>
      <c r="M23" s="203">
        <f t="shared" si="4"/>
        <v>5099.322580645161</v>
      </c>
      <c r="N23" s="203">
        <f t="shared" si="24"/>
        <v>237</v>
      </c>
      <c r="O23" s="203">
        <f t="shared" si="5"/>
        <v>5099.322580645161</v>
      </c>
      <c r="P23" s="203">
        <f t="shared" si="25"/>
        <v>237</v>
      </c>
      <c r="Q23" s="203">
        <f t="shared" si="6"/>
        <v>5099.322580645161</v>
      </c>
      <c r="R23" s="203">
        <f t="shared" si="26"/>
        <v>237</v>
      </c>
      <c r="S23" s="203">
        <f t="shared" si="7"/>
        <v>5099.322580645161</v>
      </c>
      <c r="T23" s="203">
        <f t="shared" si="27"/>
        <v>237</v>
      </c>
      <c r="U23" s="203">
        <f t="shared" si="8"/>
        <v>5099.322580645161</v>
      </c>
      <c r="V23" s="203">
        <f t="shared" si="28"/>
        <v>237</v>
      </c>
      <c r="W23" s="203">
        <f t="shared" si="9"/>
        <v>5099.322580645161</v>
      </c>
      <c r="X23" s="35">
        <f t="shared" si="10"/>
        <v>0.76451612903225785</v>
      </c>
      <c r="Y23" s="36">
        <f t="shared" si="29"/>
        <v>56092.548387096758</v>
      </c>
      <c r="Z23" s="203">
        <f>'B5'!C22</f>
        <v>243</v>
      </c>
      <c r="AA23" s="203">
        <f t="shared" si="30"/>
        <v>2430</v>
      </c>
      <c r="AB23" s="203">
        <f t="shared" si="31"/>
        <v>243</v>
      </c>
      <c r="AC23" s="203">
        <f t="shared" si="30"/>
        <v>2430</v>
      </c>
      <c r="AD23" s="203">
        <f t="shared" si="32"/>
        <v>243</v>
      </c>
      <c r="AE23" s="203">
        <f t="shared" si="11"/>
        <v>2430</v>
      </c>
      <c r="AF23" s="203">
        <f t="shared" si="33"/>
        <v>243</v>
      </c>
      <c r="AG23" s="203">
        <f t="shared" si="12"/>
        <v>2430</v>
      </c>
      <c r="AH23" s="203">
        <f t="shared" si="34"/>
        <v>243</v>
      </c>
      <c r="AI23" s="203">
        <f t="shared" si="13"/>
        <v>2430</v>
      </c>
      <c r="AJ23" s="203">
        <f t="shared" si="35"/>
        <v>243</v>
      </c>
      <c r="AK23" s="203">
        <f t="shared" si="14"/>
        <v>2430</v>
      </c>
      <c r="AL23" s="203">
        <f t="shared" si="36"/>
        <v>243</v>
      </c>
      <c r="AM23" s="203">
        <f t="shared" si="15"/>
        <v>2430</v>
      </c>
      <c r="AN23" s="35">
        <f t="shared" si="16"/>
        <v>0.86785714285714288</v>
      </c>
      <c r="AO23" s="36">
        <f t="shared" si="17"/>
        <v>17010</v>
      </c>
      <c r="AQ23" s="223">
        <f t="shared" si="37"/>
        <v>0.78630255337309629</v>
      </c>
      <c r="AR23" s="38">
        <f t="shared" si="41"/>
        <v>73102.548387096758</v>
      </c>
      <c r="AS23" s="197">
        <f t="shared" si="38"/>
        <v>0</v>
      </c>
      <c r="AT23" s="271"/>
      <c r="AU23" s="436"/>
      <c r="AV23" s="518">
        <f t="shared" si="42"/>
        <v>0.68899999999999995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237</v>
      </c>
      <c r="C24" s="203">
        <f t="shared" si="18"/>
        <v>5099.322580645161</v>
      </c>
      <c r="D24">
        <f t="shared" si="19"/>
        <v>237</v>
      </c>
      <c r="E24" s="203">
        <f t="shared" si="18"/>
        <v>5099.322580645161</v>
      </c>
      <c r="F24">
        <f t="shared" si="20"/>
        <v>237</v>
      </c>
      <c r="G24" s="203">
        <f t="shared" si="1"/>
        <v>5099.322580645161</v>
      </c>
      <c r="H24" s="203">
        <f t="shared" si="21"/>
        <v>237</v>
      </c>
      <c r="I24" s="203">
        <f t="shared" si="2"/>
        <v>5099.322580645161</v>
      </c>
      <c r="J24" s="203">
        <f t="shared" si="22"/>
        <v>237</v>
      </c>
      <c r="K24" s="203">
        <f t="shared" si="3"/>
        <v>5099.322580645161</v>
      </c>
      <c r="L24" s="203">
        <f t="shared" si="23"/>
        <v>237</v>
      </c>
      <c r="M24" s="203">
        <f t="shared" si="4"/>
        <v>5099.322580645161</v>
      </c>
      <c r="N24" s="203">
        <f t="shared" si="24"/>
        <v>237</v>
      </c>
      <c r="O24" s="203">
        <f t="shared" si="5"/>
        <v>5099.322580645161</v>
      </c>
      <c r="P24" s="203">
        <f t="shared" si="25"/>
        <v>237</v>
      </c>
      <c r="Q24" s="203">
        <f t="shared" si="6"/>
        <v>5099.322580645161</v>
      </c>
      <c r="R24" s="203">
        <f t="shared" si="26"/>
        <v>237</v>
      </c>
      <c r="S24" s="203">
        <f t="shared" si="7"/>
        <v>5099.322580645161</v>
      </c>
      <c r="T24" s="203">
        <f t="shared" si="27"/>
        <v>237</v>
      </c>
      <c r="U24" s="203">
        <f t="shared" si="8"/>
        <v>5099.322580645161</v>
      </c>
      <c r="V24" s="203">
        <f t="shared" si="28"/>
        <v>237</v>
      </c>
      <c r="W24" s="203">
        <f t="shared" si="9"/>
        <v>5099.322580645161</v>
      </c>
      <c r="X24" s="35">
        <f t="shared" si="10"/>
        <v>0.76451612903225785</v>
      </c>
      <c r="Y24" s="36">
        <f t="shared" si="29"/>
        <v>56092.548387096758</v>
      </c>
      <c r="Z24" s="203">
        <f>'B5'!C23</f>
        <v>243</v>
      </c>
      <c r="AA24" s="203">
        <f t="shared" si="30"/>
        <v>2430</v>
      </c>
      <c r="AB24" s="203">
        <f t="shared" si="31"/>
        <v>243</v>
      </c>
      <c r="AC24" s="203">
        <f t="shared" si="30"/>
        <v>2430</v>
      </c>
      <c r="AD24" s="203">
        <f t="shared" si="32"/>
        <v>243</v>
      </c>
      <c r="AE24" s="203">
        <f t="shared" si="11"/>
        <v>2430</v>
      </c>
      <c r="AF24" s="203">
        <f t="shared" si="33"/>
        <v>243</v>
      </c>
      <c r="AG24" s="203">
        <f t="shared" si="12"/>
        <v>2430</v>
      </c>
      <c r="AH24" s="203">
        <f t="shared" si="34"/>
        <v>243</v>
      </c>
      <c r="AI24" s="203">
        <f t="shared" si="13"/>
        <v>2430</v>
      </c>
      <c r="AJ24" s="203">
        <f t="shared" si="35"/>
        <v>243</v>
      </c>
      <c r="AK24" s="203">
        <f t="shared" si="14"/>
        <v>2430</v>
      </c>
      <c r="AL24" s="203">
        <f t="shared" si="36"/>
        <v>243</v>
      </c>
      <c r="AM24" s="203">
        <f t="shared" si="15"/>
        <v>2430</v>
      </c>
      <c r="AN24" s="35">
        <f t="shared" si="16"/>
        <v>0.86785714285714288</v>
      </c>
      <c r="AO24" s="36">
        <f t="shared" si="17"/>
        <v>17010</v>
      </c>
      <c r="AQ24" s="223">
        <f t="shared" si="37"/>
        <v>0.78630255337309629</v>
      </c>
      <c r="AR24" s="38">
        <f t="shared" si="41"/>
        <v>73102.548387096758</v>
      </c>
      <c r="AS24" s="197">
        <f t="shared" si="38"/>
        <v>0</v>
      </c>
      <c r="AT24" s="271"/>
      <c r="AU24" s="436"/>
      <c r="AV24" s="518">
        <f t="shared" si="42"/>
        <v>0.68899999999999995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237</v>
      </c>
      <c r="C25" s="203">
        <f t="shared" si="18"/>
        <v>5099.322580645161</v>
      </c>
      <c r="D25">
        <f t="shared" si="19"/>
        <v>237</v>
      </c>
      <c r="E25" s="203">
        <f t="shared" si="18"/>
        <v>5099.322580645161</v>
      </c>
      <c r="F25">
        <f t="shared" si="20"/>
        <v>237</v>
      </c>
      <c r="G25" s="203">
        <f t="shared" si="1"/>
        <v>5099.322580645161</v>
      </c>
      <c r="H25" s="203">
        <f t="shared" si="21"/>
        <v>237</v>
      </c>
      <c r="I25" s="203">
        <f t="shared" si="2"/>
        <v>5099.322580645161</v>
      </c>
      <c r="J25" s="203">
        <f t="shared" si="22"/>
        <v>237</v>
      </c>
      <c r="K25" s="203">
        <f t="shared" si="3"/>
        <v>5099.322580645161</v>
      </c>
      <c r="L25" s="203">
        <f t="shared" si="23"/>
        <v>237</v>
      </c>
      <c r="M25" s="203">
        <f t="shared" si="4"/>
        <v>5099.322580645161</v>
      </c>
      <c r="N25" s="203">
        <f t="shared" si="24"/>
        <v>237</v>
      </c>
      <c r="O25" s="203">
        <f t="shared" si="5"/>
        <v>5099.322580645161</v>
      </c>
      <c r="P25" s="203">
        <f t="shared" si="25"/>
        <v>237</v>
      </c>
      <c r="Q25" s="203">
        <f t="shared" si="6"/>
        <v>5099.322580645161</v>
      </c>
      <c r="R25" s="203">
        <f t="shared" si="26"/>
        <v>237</v>
      </c>
      <c r="S25" s="203">
        <f t="shared" si="7"/>
        <v>5099.322580645161</v>
      </c>
      <c r="T25" s="203">
        <f t="shared" si="27"/>
        <v>237</v>
      </c>
      <c r="U25" s="203">
        <f t="shared" si="8"/>
        <v>5099.322580645161</v>
      </c>
      <c r="V25" s="203">
        <f t="shared" si="28"/>
        <v>237</v>
      </c>
      <c r="W25" s="203">
        <f t="shared" si="9"/>
        <v>5099.322580645161</v>
      </c>
      <c r="X25" s="35">
        <f t="shared" si="10"/>
        <v>0.76451612903225785</v>
      </c>
      <c r="Y25" s="36">
        <f t="shared" si="29"/>
        <v>56092.548387096758</v>
      </c>
      <c r="Z25" s="203">
        <f>'B5'!C24</f>
        <v>243</v>
      </c>
      <c r="AA25" s="203">
        <f t="shared" si="30"/>
        <v>2430</v>
      </c>
      <c r="AB25" s="203">
        <f t="shared" si="31"/>
        <v>243</v>
      </c>
      <c r="AC25" s="203">
        <f t="shared" si="30"/>
        <v>2430</v>
      </c>
      <c r="AD25" s="203">
        <f t="shared" si="32"/>
        <v>243</v>
      </c>
      <c r="AE25" s="203">
        <f t="shared" si="11"/>
        <v>2430</v>
      </c>
      <c r="AF25" s="203">
        <f t="shared" si="33"/>
        <v>243</v>
      </c>
      <c r="AG25" s="203">
        <f t="shared" si="12"/>
        <v>2430</v>
      </c>
      <c r="AH25" s="203">
        <f t="shared" si="34"/>
        <v>243</v>
      </c>
      <c r="AI25" s="203">
        <f t="shared" si="13"/>
        <v>2430</v>
      </c>
      <c r="AJ25" s="203">
        <f t="shared" si="35"/>
        <v>243</v>
      </c>
      <c r="AK25" s="203">
        <f t="shared" si="14"/>
        <v>2430</v>
      </c>
      <c r="AL25" s="203">
        <f t="shared" si="36"/>
        <v>243</v>
      </c>
      <c r="AM25" s="203">
        <f t="shared" si="15"/>
        <v>2430</v>
      </c>
      <c r="AN25" s="35">
        <f t="shared" si="16"/>
        <v>0.86785714285714288</v>
      </c>
      <c r="AO25" s="36">
        <f t="shared" si="17"/>
        <v>17010</v>
      </c>
      <c r="AQ25" s="223">
        <f t="shared" si="37"/>
        <v>0.78630255337309629</v>
      </c>
      <c r="AR25" s="38">
        <f t="shared" si="41"/>
        <v>73102.548387096758</v>
      </c>
      <c r="AS25" s="197">
        <f t="shared" si="38"/>
        <v>0</v>
      </c>
      <c r="AT25" s="271"/>
      <c r="AU25" s="436"/>
      <c r="AV25" s="518">
        <f t="shared" si="42"/>
        <v>0.68899999999999995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237</v>
      </c>
      <c r="C26" s="203">
        <f t="shared" si="18"/>
        <v>5099.322580645161</v>
      </c>
      <c r="D26">
        <f t="shared" si="19"/>
        <v>237</v>
      </c>
      <c r="E26" s="203">
        <f t="shared" si="18"/>
        <v>5099.322580645161</v>
      </c>
      <c r="F26">
        <f t="shared" si="20"/>
        <v>237</v>
      </c>
      <c r="G26" s="203">
        <f t="shared" si="1"/>
        <v>5099.322580645161</v>
      </c>
      <c r="H26" s="203">
        <f t="shared" si="21"/>
        <v>237</v>
      </c>
      <c r="I26" s="203">
        <f t="shared" si="2"/>
        <v>5099.322580645161</v>
      </c>
      <c r="J26" s="203">
        <f t="shared" si="22"/>
        <v>237</v>
      </c>
      <c r="K26" s="203">
        <f t="shared" si="3"/>
        <v>5099.322580645161</v>
      </c>
      <c r="L26" s="203">
        <f t="shared" si="23"/>
        <v>237</v>
      </c>
      <c r="M26" s="203">
        <f t="shared" si="4"/>
        <v>5099.322580645161</v>
      </c>
      <c r="N26" s="203">
        <f t="shared" si="24"/>
        <v>237</v>
      </c>
      <c r="O26" s="203">
        <f t="shared" si="5"/>
        <v>5099.322580645161</v>
      </c>
      <c r="P26" s="203">
        <f t="shared" si="25"/>
        <v>237</v>
      </c>
      <c r="Q26" s="203">
        <f t="shared" si="6"/>
        <v>5099.322580645161</v>
      </c>
      <c r="R26" s="203">
        <f t="shared" si="26"/>
        <v>237</v>
      </c>
      <c r="S26" s="203">
        <f t="shared" si="7"/>
        <v>5099.322580645161</v>
      </c>
      <c r="T26" s="203">
        <f t="shared" si="27"/>
        <v>237</v>
      </c>
      <c r="U26" s="203">
        <f t="shared" si="8"/>
        <v>5099.322580645161</v>
      </c>
      <c r="V26" s="203">
        <f t="shared" si="28"/>
        <v>237</v>
      </c>
      <c r="W26" s="203">
        <f t="shared" si="9"/>
        <v>5099.322580645161</v>
      </c>
      <c r="X26" s="35">
        <f t="shared" si="10"/>
        <v>0.76451612903225785</v>
      </c>
      <c r="Y26" s="36">
        <f t="shared" si="29"/>
        <v>56092.548387096758</v>
      </c>
      <c r="Z26" s="203">
        <f>'B5'!C25</f>
        <v>243</v>
      </c>
      <c r="AA26" s="203">
        <f t="shared" si="30"/>
        <v>2430</v>
      </c>
      <c r="AB26" s="203">
        <f t="shared" si="31"/>
        <v>243</v>
      </c>
      <c r="AC26" s="203">
        <f t="shared" si="30"/>
        <v>2430</v>
      </c>
      <c r="AD26" s="203">
        <f t="shared" si="32"/>
        <v>243</v>
      </c>
      <c r="AE26" s="203">
        <f t="shared" si="11"/>
        <v>2430</v>
      </c>
      <c r="AF26" s="203">
        <f t="shared" si="33"/>
        <v>243</v>
      </c>
      <c r="AG26" s="203">
        <f t="shared" si="12"/>
        <v>2430</v>
      </c>
      <c r="AH26" s="203">
        <f t="shared" si="34"/>
        <v>243</v>
      </c>
      <c r="AI26" s="203">
        <f t="shared" si="13"/>
        <v>2430</v>
      </c>
      <c r="AJ26" s="203">
        <f t="shared" si="35"/>
        <v>243</v>
      </c>
      <c r="AK26" s="203">
        <f t="shared" si="14"/>
        <v>2430</v>
      </c>
      <c r="AL26" s="203">
        <f t="shared" si="36"/>
        <v>243</v>
      </c>
      <c r="AM26" s="203">
        <f t="shared" si="15"/>
        <v>2430</v>
      </c>
      <c r="AN26" s="35">
        <f t="shared" si="16"/>
        <v>0.86785714285714288</v>
      </c>
      <c r="AO26" s="36">
        <f t="shared" si="17"/>
        <v>17010</v>
      </c>
      <c r="AQ26" s="223">
        <f t="shared" si="37"/>
        <v>0.78630255337309629</v>
      </c>
      <c r="AR26" s="38">
        <f t="shared" si="41"/>
        <v>73102.548387096758</v>
      </c>
      <c r="AS26" s="197">
        <f t="shared" si="38"/>
        <v>0</v>
      </c>
      <c r="AT26" s="271"/>
      <c r="AU26" s="491"/>
      <c r="AV26" s="518">
        <f t="shared" si="42"/>
        <v>0.68899999999999995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237</v>
      </c>
      <c r="C27" s="203">
        <f t="shared" si="18"/>
        <v>5099.322580645161</v>
      </c>
      <c r="D27">
        <f t="shared" si="19"/>
        <v>237</v>
      </c>
      <c r="E27" s="203">
        <f t="shared" si="18"/>
        <v>5099.322580645161</v>
      </c>
      <c r="F27">
        <f t="shared" si="20"/>
        <v>237</v>
      </c>
      <c r="G27" s="203">
        <f t="shared" si="1"/>
        <v>5099.322580645161</v>
      </c>
      <c r="H27" s="203">
        <f t="shared" si="21"/>
        <v>237</v>
      </c>
      <c r="I27" s="203">
        <f t="shared" si="2"/>
        <v>5099.322580645161</v>
      </c>
      <c r="J27" s="203">
        <f t="shared" si="22"/>
        <v>237</v>
      </c>
      <c r="K27" s="203">
        <f t="shared" si="3"/>
        <v>5099.322580645161</v>
      </c>
      <c r="L27" s="203">
        <f t="shared" si="23"/>
        <v>237</v>
      </c>
      <c r="M27" s="203">
        <f t="shared" si="4"/>
        <v>5099.322580645161</v>
      </c>
      <c r="N27" s="203">
        <f t="shared" si="24"/>
        <v>237</v>
      </c>
      <c r="O27" s="203">
        <f t="shared" si="5"/>
        <v>5099.322580645161</v>
      </c>
      <c r="P27" s="203">
        <f t="shared" si="25"/>
        <v>237</v>
      </c>
      <c r="Q27" s="203">
        <f t="shared" si="6"/>
        <v>5099.322580645161</v>
      </c>
      <c r="R27" s="203">
        <f t="shared" si="26"/>
        <v>237</v>
      </c>
      <c r="S27" s="203">
        <f t="shared" si="7"/>
        <v>5099.322580645161</v>
      </c>
      <c r="T27" s="203">
        <f t="shared" si="27"/>
        <v>237</v>
      </c>
      <c r="U27" s="203">
        <f t="shared" si="8"/>
        <v>5099.322580645161</v>
      </c>
      <c r="V27" s="203">
        <f t="shared" si="28"/>
        <v>237</v>
      </c>
      <c r="W27" s="203">
        <f t="shared" si="9"/>
        <v>5099.322580645161</v>
      </c>
      <c r="X27" s="35">
        <f t="shared" si="10"/>
        <v>0.76451612903225785</v>
      </c>
      <c r="Y27" s="36">
        <f t="shared" si="29"/>
        <v>56092.548387096758</v>
      </c>
      <c r="Z27" s="203">
        <f>'B5'!C26</f>
        <v>243</v>
      </c>
      <c r="AA27" s="203">
        <f t="shared" si="30"/>
        <v>2430</v>
      </c>
      <c r="AB27" s="203">
        <f t="shared" si="31"/>
        <v>243</v>
      </c>
      <c r="AC27" s="203">
        <f t="shared" si="30"/>
        <v>2430</v>
      </c>
      <c r="AD27" s="203">
        <f t="shared" si="32"/>
        <v>243</v>
      </c>
      <c r="AE27" s="203">
        <f t="shared" si="11"/>
        <v>2430</v>
      </c>
      <c r="AF27" s="203">
        <f t="shared" si="33"/>
        <v>243</v>
      </c>
      <c r="AG27" s="203">
        <f t="shared" si="12"/>
        <v>2430</v>
      </c>
      <c r="AH27" s="203">
        <f t="shared" si="34"/>
        <v>243</v>
      </c>
      <c r="AI27" s="203">
        <f t="shared" si="13"/>
        <v>2430</v>
      </c>
      <c r="AJ27" s="203">
        <f t="shared" si="35"/>
        <v>243</v>
      </c>
      <c r="AK27" s="203">
        <f t="shared" si="14"/>
        <v>2430</v>
      </c>
      <c r="AL27" s="203">
        <f t="shared" si="36"/>
        <v>243</v>
      </c>
      <c r="AM27" s="203">
        <f t="shared" si="15"/>
        <v>2430</v>
      </c>
      <c r="AN27" s="35">
        <f t="shared" si="16"/>
        <v>0.86785714285714288</v>
      </c>
      <c r="AO27" s="36">
        <f t="shared" si="17"/>
        <v>17010</v>
      </c>
      <c r="AQ27" s="223">
        <f t="shared" si="37"/>
        <v>0.78630255337309629</v>
      </c>
      <c r="AR27" s="38">
        <f t="shared" si="41"/>
        <v>73102.548387096758</v>
      </c>
      <c r="AS27" s="197">
        <f t="shared" si="38"/>
        <v>0</v>
      </c>
      <c r="AT27" s="271"/>
      <c r="AU27" s="436"/>
      <c r="AV27" s="518">
        <f t="shared" si="42"/>
        <v>0.68899999999999995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237</v>
      </c>
      <c r="C28" s="203">
        <f t="shared" si="18"/>
        <v>5099.322580645161</v>
      </c>
      <c r="D28">
        <f t="shared" si="19"/>
        <v>237</v>
      </c>
      <c r="E28" s="203">
        <f t="shared" si="18"/>
        <v>5099.322580645161</v>
      </c>
      <c r="F28">
        <f t="shared" si="20"/>
        <v>237</v>
      </c>
      <c r="G28" s="203">
        <f t="shared" si="1"/>
        <v>5099.322580645161</v>
      </c>
      <c r="H28" s="203">
        <f t="shared" si="21"/>
        <v>237</v>
      </c>
      <c r="I28" s="203">
        <f t="shared" si="2"/>
        <v>5099.322580645161</v>
      </c>
      <c r="J28" s="203">
        <f t="shared" si="22"/>
        <v>237</v>
      </c>
      <c r="K28" s="203">
        <f t="shared" si="3"/>
        <v>5099.322580645161</v>
      </c>
      <c r="L28" s="203">
        <f t="shared" si="23"/>
        <v>237</v>
      </c>
      <c r="M28" s="203">
        <f t="shared" si="4"/>
        <v>5099.322580645161</v>
      </c>
      <c r="N28" s="203">
        <f t="shared" si="24"/>
        <v>237</v>
      </c>
      <c r="O28" s="203">
        <f t="shared" si="5"/>
        <v>5099.322580645161</v>
      </c>
      <c r="P28" s="203">
        <f t="shared" si="25"/>
        <v>237</v>
      </c>
      <c r="Q28" s="203">
        <f t="shared" si="6"/>
        <v>5099.322580645161</v>
      </c>
      <c r="R28" s="203">
        <f t="shared" si="26"/>
        <v>237</v>
      </c>
      <c r="S28" s="203">
        <f t="shared" si="7"/>
        <v>5099.322580645161</v>
      </c>
      <c r="T28" s="203">
        <f t="shared" si="27"/>
        <v>237</v>
      </c>
      <c r="U28" s="203">
        <f t="shared" si="8"/>
        <v>5099.322580645161</v>
      </c>
      <c r="V28" s="203">
        <f t="shared" si="28"/>
        <v>237</v>
      </c>
      <c r="W28" s="203">
        <f t="shared" si="9"/>
        <v>5099.322580645161</v>
      </c>
      <c r="X28" s="35">
        <f t="shared" si="10"/>
        <v>0.76451612903225785</v>
      </c>
      <c r="Y28" s="36">
        <f t="shared" si="29"/>
        <v>56092.548387096758</v>
      </c>
      <c r="Z28" s="203">
        <f>'B5'!C27</f>
        <v>243</v>
      </c>
      <c r="AA28" s="203">
        <f t="shared" si="30"/>
        <v>2430</v>
      </c>
      <c r="AB28" s="203">
        <f t="shared" si="31"/>
        <v>243</v>
      </c>
      <c r="AC28" s="203">
        <f t="shared" si="30"/>
        <v>2430</v>
      </c>
      <c r="AD28" s="203">
        <f t="shared" si="32"/>
        <v>243</v>
      </c>
      <c r="AE28" s="203">
        <f t="shared" si="11"/>
        <v>2430</v>
      </c>
      <c r="AF28" s="203">
        <f t="shared" si="33"/>
        <v>243</v>
      </c>
      <c r="AG28" s="203">
        <f t="shared" si="12"/>
        <v>2430</v>
      </c>
      <c r="AH28" s="203">
        <f t="shared" si="34"/>
        <v>243</v>
      </c>
      <c r="AI28" s="203">
        <f t="shared" si="13"/>
        <v>2430</v>
      </c>
      <c r="AJ28" s="203">
        <f t="shared" si="35"/>
        <v>243</v>
      </c>
      <c r="AK28" s="203">
        <f t="shared" si="14"/>
        <v>2430</v>
      </c>
      <c r="AL28" s="203">
        <f t="shared" si="36"/>
        <v>243</v>
      </c>
      <c r="AM28" s="203">
        <f t="shared" si="15"/>
        <v>2430</v>
      </c>
      <c r="AN28" s="35">
        <f t="shared" si="16"/>
        <v>0.86785714285714288</v>
      </c>
      <c r="AO28" s="36">
        <f t="shared" si="17"/>
        <v>17010</v>
      </c>
      <c r="AQ28" s="223">
        <f t="shared" si="37"/>
        <v>0.78630255337309629</v>
      </c>
      <c r="AR28" s="38">
        <f t="shared" si="41"/>
        <v>73102.548387096758</v>
      </c>
      <c r="AS28" s="197">
        <f t="shared" si="38"/>
        <v>0</v>
      </c>
      <c r="AT28" s="355"/>
      <c r="AU28" s="436"/>
      <c r="AV28" s="518">
        <f t="shared" si="42"/>
        <v>0.68899999999999995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237</v>
      </c>
      <c r="C29" s="203">
        <f t="shared" si="18"/>
        <v>5099.322580645161</v>
      </c>
      <c r="D29">
        <f t="shared" si="19"/>
        <v>237</v>
      </c>
      <c r="E29" s="203">
        <f t="shared" si="18"/>
        <v>5099.322580645161</v>
      </c>
      <c r="F29">
        <f t="shared" si="20"/>
        <v>237</v>
      </c>
      <c r="G29" s="203">
        <f t="shared" si="1"/>
        <v>5099.322580645161</v>
      </c>
      <c r="H29" s="203">
        <f t="shared" si="21"/>
        <v>237</v>
      </c>
      <c r="I29" s="203">
        <f t="shared" si="2"/>
        <v>5099.322580645161</v>
      </c>
      <c r="J29" s="203">
        <f t="shared" si="22"/>
        <v>237</v>
      </c>
      <c r="K29" s="203">
        <f t="shared" si="3"/>
        <v>5099.322580645161</v>
      </c>
      <c r="L29" s="203">
        <f t="shared" si="23"/>
        <v>237</v>
      </c>
      <c r="M29" s="203">
        <f t="shared" si="4"/>
        <v>5099.322580645161</v>
      </c>
      <c r="N29" s="203">
        <f t="shared" si="24"/>
        <v>237</v>
      </c>
      <c r="O29" s="203">
        <f t="shared" si="5"/>
        <v>5099.322580645161</v>
      </c>
      <c r="P29" s="203">
        <f t="shared" si="25"/>
        <v>237</v>
      </c>
      <c r="Q29" s="203">
        <f t="shared" si="6"/>
        <v>5099.322580645161</v>
      </c>
      <c r="R29" s="203">
        <f t="shared" si="26"/>
        <v>237</v>
      </c>
      <c r="S29" s="203">
        <f t="shared" si="7"/>
        <v>5099.322580645161</v>
      </c>
      <c r="T29" s="203">
        <f t="shared" si="27"/>
        <v>237</v>
      </c>
      <c r="U29" s="203">
        <f t="shared" si="8"/>
        <v>5099.322580645161</v>
      </c>
      <c r="V29" s="203">
        <f t="shared" si="28"/>
        <v>237</v>
      </c>
      <c r="W29" s="203">
        <f t="shared" si="9"/>
        <v>5099.322580645161</v>
      </c>
      <c r="X29" s="35">
        <f t="shared" si="10"/>
        <v>0.76451612903225785</v>
      </c>
      <c r="Y29" s="36">
        <f t="shared" si="29"/>
        <v>56092.548387096758</v>
      </c>
      <c r="Z29" s="203">
        <f>'B5'!C28</f>
        <v>243</v>
      </c>
      <c r="AA29" s="203">
        <f t="shared" si="30"/>
        <v>2430</v>
      </c>
      <c r="AB29" s="203">
        <f t="shared" si="31"/>
        <v>243</v>
      </c>
      <c r="AC29" s="203">
        <f t="shared" si="30"/>
        <v>2430</v>
      </c>
      <c r="AD29" s="203">
        <f t="shared" si="32"/>
        <v>243</v>
      </c>
      <c r="AE29" s="203">
        <f t="shared" si="11"/>
        <v>2430</v>
      </c>
      <c r="AF29" s="203">
        <f t="shared" si="33"/>
        <v>243</v>
      </c>
      <c r="AG29" s="203">
        <f t="shared" si="12"/>
        <v>2430</v>
      </c>
      <c r="AH29" s="203">
        <f t="shared" si="34"/>
        <v>243</v>
      </c>
      <c r="AI29" s="203">
        <f t="shared" si="13"/>
        <v>2430</v>
      </c>
      <c r="AJ29" s="203">
        <f t="shared" si="35"/>
        <v>243</v>
      </c>
      <c r="AK29" s="203">
        <f t="shared" si="14"/>
        <v>2430</v>
      </c>
      <c r="AL29" s="203">
        <f t="shared" si="36"/>
        <v>243</v>
      </c>
      <c r="AM29" s="203">
        <f t="shared" si="15"/>
        <v>2430</v>
      </c>
      <c r="AN29" s="35">
        <f t="shared" si="16"/>
        <v>0.86785714285714288</v>
      </c>
      <c r="AO29" s="36">
        <f t="shared" si="17"/>
        <v>17010</v>
      </c>
      <c r="AQ29" s="223">
        <f t="shared" si="37"/>
        <v>0.78630255337309629</v>
      </c>
      <c r="AR29" s="38">
        <f t="shared" si="41"/>
        <v>73102.548387096758</v>
      </c>
      <c r="AS29" s="197">
        <f t="shared" si="38"/>
        <v>0</v>
      </c>
      <c r="AT29" s="355"/>
      <c r="AU29" s="436"/>
      <c r="AV29" s="518">
        <f t="shared" si="42"/>
        <v>0.68899999999999995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237</v>
      </c>
      <c r="C30" s="203">
        <f t="shared" si="18"/>
        <v>5099.322580645161</v>
      </c>
      <c r="D30">
        <f t="shared" ref="D30:D33" si="44">SUM(B30)</f>
        <v>237</v>
      </c>
      <c r="E30" s="203">
        <f t="shared" si="18"/>
        <v>5099.322580645161</v>
      </c>
      <c r="F30">
        <f t="shared" ref="F30:F33" si="45">SUM(D30)</f>
        <v>237</v>
      </c>
      <c r="G30" s="203">
        <f t="shared" si="1"/>
        <v>5099.322580645161</v>
      </c>
      <c r="H30" s="203">
        <f t="shared" ref="H30:H33" si="46">SUM(F30)</f>
        <v>237</v>
      </c>
      <c r="I30" s="203">
        <f t="shared" si="2"/>
        <v>5099.322580645161</v>
      </c>
      <c r="J30" s="203">
        <f t="shared" ref="J30:J33" si="47">SUM(H30)</f>
        <v>237</v>
      </c>
      <c r="K30" s="203">
        <f t="shared" si="3"/>
        <v>5099.322580645161</v>
      </c>
      <c r="L30" s="203">
        <f t="shared" ref="L30:L33" si="48">SUM(J30)</f>
        <v>237</v>
      </c>
      <c r="M30" s="203">
        <f t="shared" si="4"/>
        <v>5099.322580645161</v>
      </c>
      <c r="N30" s="203">
        <f t="shared" ref="N30:N33" si="49">SUM(L30)</f>
        <v>237</v>
      </c>
      <c r="O30" s="203">
        <f t="shared" si="5"/>
        <v>5099.322580645161</v>
      </c>
      <c r="P30" s="203">
        <f t="shared" ref="P30:P33" si="50">SUM(N30)</f>
        <v>237</v>
      </c>
      <c r="Q30" s="203">
        <f t="shared" si="6"/>
        <v>5099.322580645161</v>
      </c>
      <c r="R30" s="203">
        <f t="shared" ref="R30:R33" si="51">SUM(P30)</f>
        <v>237</v>
      </c>
      <c r="S30" s="203">
        <f t="shared" si="7"/>
        <v>5099.322580645161</v>
      </c>
      <c r="T30" s="203">
        <f t="shared" ref="T30:T33" si="52">SUM(R30)</f>
        <v>237</v>
      </c>
      <c r="U30" s="203">
        <f t="shared" si="8"/>
        <v>5099.322580645161</v>
      </c>
      <c r="V30" s="203">
        <f t="shared" ref="V30:V33" si="53">SUM(T30)</f>
        <v>237</v>
      </c>
      <c r="W30" s="203">
        <f t="shared" si="9"/>
        <v>5099.322580645161</v>
      </c>
      <c r="X30" s="35">
        <f t="shared" ref="X30:X33" si="54">SUM(Y30/73370)</f>
        <v>0.76451612903225785</v>
      </c>
      <c r="Y30" s="36">
        <f t="shared" ref="Y30:Y33" si="55">SUM(C30+E30+G30+I30+K30+M30+O30+Q30+S30+U30+W30)</f>
        <v>56092.548387096758</v>
      </c>
      <c r="Z30" s="203">
        <f>'B5'!C29</f>
        <v>243</v>
      </c>
      <c r="AA30" s="203">
        <f t="shared" si="30"/>
        <v>2430</v>
      </c>
      <c r="AB30" s="203">
        <f t="shared" ref="AB30:AB33" si="56">SUM(Z30)</f>
        <v>243</v>
      </c>
      <c r="AC30" s="203">
        <f t="shared" si="30"/>
        <v>2430</v>
      </c>
      <c r="AD30" s="203">
        <f t="shared" ref="AD30:AD33" si="57">SUM(AB30)</f>
        <v>243</v>
      </c>
      <c r="AE30" s="203">
        <f t="shared" si="11"/>
        <v>2430</v>
      </c>
      <c r="AF30" s="203">
        <f t="shared" ref="AF30:AF33" si="58">SUM(AD30)</f>
        <v>243</v>
      </c>
      <c r="AG30" s="203">
        <f t="shared" si="12"/>
        <v>2430</v>
      </c>
      <c r="AH30" s="203">
        <f t="shared" ref="AH30:AH33" si="59">SUM(AF30)</f>
        <v>243</v>
      </c>
      <c r="AI30" s="203">
        <f t="shared" si="13"/>
        <v>2430</v>
      </c>
      <c r="AJ30" s="203">
        <f t="shared" ref="AJ30:AJ33" si="60">SUM(AH30)</f>
        <v>243</v>
      </c>
      <c r="AK30" s="203">
        <f t="shared" si="14"/>
        <v>2430</v>
      </c>
      <c r="AL30" s="203">
        <f t="shared" ref="AL30:AL33" si="61">SUM(AJ30)</f>
        <v>243</v>
      </c>
      <c r="AM30" s="203">
        <f t="shared" si="15"/>
        <v>2430</v>
      </c>
      <c r="AN30" s="35">
        <f t="shared" ref="AN30:AN33" si="62">SUM(AO30/19600)</f>
        <v>0.86785714285714288</v>
      </c>
      <c r="AO30" s="36">
        <f t="shared" ref="AO30:AO33" si="63">SUM(AA30+AC30+AE30+AG30+AI30+AK30+AM30)</f>
        <v>17010</v>
      </c>
      <c r="AQ30" s="223">
        <f t="shared" si="37"/>
        <v>0.78630255337309629</v>
      </c>
      <c r="AR30" s="38">
        <f t="shared" si="41"/>
        <v>73102.548387096758</v>
      </c>
      <c r="AS30" s="197">
        <f t="shared" si="38"/>
        <v>0</v>
      </c>
      <c r="AT30" s="355"/>
      <c r="AU30" s="436"/>
      <c r="AV30" s="518">
        <f t="shared" si="42"/>
        <v>0.68899999999999995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237</v>
      </c>
      <c r="C31" s="203">
        <f t="shared" si="18"/>
        <v>5099.322580645161</v>
      </c>
      <c r="D31">
        <f t="shared" si="44"/>
        <v>237</v>
      </c>
      <c r="E31" s="203">
        <f t="shared" si="18"/>
        <v>5099.322580645161</v>
      </c>
      <c r="F31">
        <f t="shared" si="45"/>
        <v>237</v>
      </c>
      <c r="G31" s="203">
        <f t="shared" si="1"/>
        <v>5099.322580645161</v>
      </c>
      <c r="H31" s="203">
        <f t="shared" si="46"/>
        <v>237</v>
      </c>
      <c r="I31" s="203">
        <f t="shared" si="2"/>
        <v>5099.322580645161</v>
      </c>
      <c r="J31" s="203">
        <f t="shared" si="47"/>
        <v>237</v>
      </c>
      <c r="K31" s="203">
        <f t="shared" si="3"/>
        <v>5099.322580645161</v>
      </c>
      <c r="L31" s="203">
        <f t="shared" si="48"/>
        <v>237</v>
      </c>
      <c r="M31" s="203">
        <f t="shared" si="4"/>
        <v>5099.322580645161</v>
      </c>
      <c r="N31" s="203">
        <f t="shared" si="49"/>
        <v>237</v>
      </c>
      <c r="O31" s="203">
        <f t="shared" si="5"/>
        <v>5099.322580645161</v>
      </c>
      <c r="P31" s="203">
        <f t="shared" si="50"/>
        <v>237</v>
      </c>
      <c r="Q31" s="203">
        <f t="shared" si="6"/>
        <v>5099.322580645161</v>
      </c>
      <c r="R31" s="203">
        <f t="shared" si="51"/>
        <v>237</v>
      </c>
      <c r="S31" s="203">
        <f t="shared" si="7"/>
        <v>5099.322580645161</v>
      </c>
      <c r="T31" s="203">
        <f t="shared" si="52"/>
        <v>237</v>
      </c>
      <c r="U31" s="203">
        <f t="shared" si="8"/>
        <v>5099.322580645161</v>
      </c>
      <c r="V31" s="203">
        <f t="shared" si="53"/>
        <v>237</v>
      </c>
      <c r="W31" s="203">
        <f t="shared" si="9"/>
        <v>5099.322580645161</v>
      </c>
      <c r="X31" s="35">
        <f t="shared" si="54"/>
        <v>0.76451612903225785</v>
      </c>
      <c r="Y31" s="36">
        <f t="shared" si="55"/>
        <v>56092.548387096758</v>
      </c>
      <c r="Z31" s="203">
        <f>'B5'!C30</f>
        <v>243</v>
      </c>
      <c r="AA31" s="203">
        <f t="shared" si="30"/>
        <v>2430</v>
      </c>
      <c r="AB31" s="203">
        <f t="shared" si="56"/>
        <v>243</v>
      </c>
      <c r="AC31" s="203">
        <f t="shared" si="30"/>
        <v>2430</v>
      </c>
      <c r="AD31" s="203">
        <f t="shared" si="57"/>
        <v>243</v>
      </c>
      <c r="AE31" s="203">
        <f t="shared" si="11"/>
        <v>2430</v>
      </c>
      <c r="AF31" s="203">
        <f t="shared" si="58"/>
        <v>243</v>
      </c>
      <c r="AG31" s="203">
        <f t="shared" si="12"/>
        <v>2430</v>
      </c>
      <c r="AH31" s="203">
        <f t="shared" si="59"/>
        <v>243</v>
      </c>
      <c r="AI31" s="203">
        <f t="shared" si="13"/>
        <v>2430</v>
      </c>
      <c r="AJ31" s="203">
        <f t="shared" si="60"/>
        <v>243</v>
      </c>
      <c r="AK31" s="203">
        <f t="shared" si="14"/>
        <v>2430</v>
      </c>
      <c r="AL31" s="203">
        <f t="shared" si="61"/>
        <v>243</v>
      </c>
      <c r="AM31" s="203">
        <f t="shared" si="15"/>
        <v>2430</v>
      </c>
      <c r="AN31" s="35">
        <f t="shared" si="62"/>
        <v>0.86785714285714288</v>
      </c>
      <c r="AO31" s="36">
        <f t="shared" si="63"/>
        <v>17010</v>
      </c>
      <c r="AQ31" s="223">
        <f t="shared" si="37"/>
        <v>0.78630255337309629</v>
      </c>
      <c r="AR31" s="38">
        <f t="shared" si="41"/>
        <v>73102.548387096758</v>
      </c>
      <c r="AS31" s="197">
        <f>SUM(AR31-AR30-AT31)</f>
        <v>0</v>
      </c>
      <c r="AT31" s="355"/>
      <c r="AU31" s="436"/>
      <c r="AV31" s="518">
        <f t="shared" si="42"/>
        <v>0.68899999999999995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237</v>
      </c>
      <c r="C32" s="203">
        <f t="shared" si="18"/>
        <v>5099.322580645161</v>
      </c>
      <c r="D32">
        <f t="shared" si="44"/>
        <v>237</v>
      </c>
      <c r="E32" s="203">
        <f t="shared" si="18"/>
        <v>5099.322580645161</v>
      </c>
      <c r="F32">
        <f t="shared" si="45"/>
        <v>237</v>
      </c>
      <c r="G32" s="203">
        <f t="shared" si="1"/>
        <v>5099.322580645161</v>
      </c>
      <c r="H32" s="203">
        <f t="shared" si="46"/>
        <v>237</v>
      </c>
      <c r="I32" s="203">
        <f t="shared" si="2"/>
        <v>5099.322580645161</v>
      </c>
      <c r="J32" s="203">
        <f t="shared" si="47"/>
        <v>237</v>
      </c>
      <c r="K32" s="203">
        <f t="shared" si="3"/>
        <v>5099.322580645161</v>
      </c>
      <c r="L32" s="203">
        <f t="shared" si="48"/>
        <v>237</v>
      </c>
      <c r="M32" s="203">
        <f t="shared" si="4"/>
        <v>5099.322580645161</v>
      </c>
      <c r="N32" s="203">
        <f t="shared" si="49"/>
        <v>237</v>
      </c>
      <c r="O32" s="203">
        <f t="shared" si="5"/>
        <v>5099.322580645161</v>
      </c>
      <c r="P32" s="203">
        <f t="shared" si="50"/>
        <v>237</v>
      </c>
      <c r="Q32" s="203">
        <f t="shared" si="6"/>
        <v>5099.322580645161</v>
      </c>
      <c r="R32" s="203">
        <f t="shared" si="51"/>
        <v>237</v>
      </c>
      <c r="S32" s="203">
        <f t="shared" si="7"/>
        <v>5099.322580645161</v>
      </c>
      <c r="T32" s="203">
        <f t="shared" si="52"/>
        <v>237</v>
      </c>
      <c r="U32" s="203">
        <f t="shared" si="8"/>
        <v>5099.322580645161</v>
      </c>
      <c r="V32" s="203">
        <f t="shared" si="53"/>
        <v>237</v>
      </c>
      <c r="W32" s="203">
        <f t="shared" si="9"/>
        <v>5099.322580645161</v>
      </c>
      <c r="X32" s="35">
        <f t="shared" si="54"/>
        <v>0.76451612903225785</v>
      </c>
      <c r="Y32" s="36">
        <f t="shared" si="55"/>
        <v>56092.548387096758</v>
      </c>
      <c r="Z32" s="203">
        <f>'B5'!C31</f>
        <v>243</v>
      </c>
      <c r="AA32" s="203">
        <f t="shared" si="30"/>
        <v>2430</v>
      </c>
      <c r="AB32" s="203">
        <f t="shared" si="56"/>
        <v>243</v>
      </c>
      <c r="AC32" s="203">
        <f t="shared" si="30"/>
        <v>2430</v>
      </c>
      <c r="AD32" s="203">
        <f t="shared" si="57"/>
        <v>243</v>
      </c>
      <c r="AE32" s="203">
        <f t="shared" si="11"/>
        <v>2430</v>
      </c>
      <c r="AF32" s="203">
        <f t="shared" si="58"/>
        <v>243</v>
      </c>
      <c r="AG32" s="203">
        <f t="shared" si="12"/>
        <v>2430</v>
      </c>
      <c r="AH32" s="203">
        <f t="shared" si="59"/>
        <v>243</v>
      </c>
      <c r="AI32" s="203">
        <f t="shared" si="13"/>
        <v>2430</v>
      </c>
      <c r="AJ32" s="203">
        <f t="shared" si="60"/>
        <v>243</v>
      </c>
      <c r="AK32" s="203">
        <f t="shared" si="14"/>
        <v>2430</v>
      </c>
      <c r="AL32" s="203">
        <f t="shared" si="61"/>
        <v>243</v>
      </c>
      <c r="AM32" s="203">
        <f t="shared" si="15"/>
        <v>2430</v>
      </c>
      <c r="AN32" s="35">
        <f t="shared" si="62"/>
        <v>0.86785714285714288</v>
      </c>
      <c r="AO32" s="36">
        <f t="shared" si="63"/>
        <v>17010</v>
      </c>
      <c r="AQ32" s="223">
        <f t="shared" si="37"/>
        <v>0.78630255337309629</v>
      </c>
      <c r="AR32" s="38">
        <f t="shared" si="41"/>
        <v>73102.548387096758</v>
      </c>
      <c r="AS32" s="197">
        <f t="shared" si="38"/>
        <v>0</v>
      </c>
      <c r="AT32" s="355"/>
      <c r="AU32" s="436"/>
      <c r="AV32" s="518">
        <f>IF(AT32&gt;0,AU32,AV31)</f>
        <v>0.68899999999999995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237</v>
      </c>
      <c r="C33" s="203">
        <f t="shared" si="18"/>
        <v>5099.322580645161</v>
      </c>
      <c r="D33">
        <f t="shared" si="44"/>
        <v>237</v>
      </c>
      <c r="E33" s="203">
        <f t="shared" si="18"/>
        <v>5099.322580645161</v>
      </c>
      <c r="F33">
        <f t="shared" si="45"/>
        <v>237</v>
      </c>
      <c r="G33" s="203">
        <f t="shared" si="1"/>
        <v>5099.322580645161</v>
      </c>
      <c r="H33" s="203">
        <f t="shared" si="46"/>
        <v>237</v>
      </c>
      <c r="I33" s="203">
        <f t="shared" si="2"/>
        <v>5099.322580645161</v>
      </c>
      <c r="J33" s="203">
        <f t="shared" si="47"/>
        <v>237</v>
      </c>
      <c r="K33" s="203">
        <f t="shared" si="3"/>
        <v>5099.322580645161</v>
      </c>
      <c r="L33" s="203">
        <f t="shared" si="48"/>
        <v>237</v>
      </c>
      <c r="M33" s="203">
        <f t="shared" si="4"/>
        <v>5099.322580645161</v>
      </c>
      <c r="N33" s="203">
        <f t="shared" si="49"/>
        <v>237</v>
      </c>
      <c r="O33" s="203">
        <f t="shared" si="5"/>
        <v>5099.322580645161</v>
      </c>
      <c r="P33" s="203">
        <f t="shared" si="50"/>
        <v>237</v>
      </c>
      <c r="Q33" s="203">
        <f t="shared" si="6"/>
        <v>5099.322580645161</v>
      </c>
      <c r="R33" s="203">
        <f t="shared" si="51"/>
        <v>237</v>
      </c>
      <c r="S33" s="203">
        <f t="shared" si="7"/>
        <v>5099.322580645161</v>
      </c>
      <c r="T33" s="203">
        <f t="shared" si="52"/>
        <v>237</v>
      </c>
      <c r="U33" s="203">
        <f t="shared" si="8"/>
        <v>5099.322580645161</v>
      </c>
      <c r="V33" s="203">
        <f t="shared" si="53"/>
        <v>237</v>
      </c>
      <c r="W33" s="203">
        <f t="shared" si="9"/>
        <v>5099.322580645161</v>
      </c>
      <c r="X33" s="35">
        <f t="shared" si="54"/>
        <v>0.76451612903225785</v>
      </c>
      <c r="Y33" s="36">
        <f t="shared" si="55"/>
        <v>56092.548387096758</v>
      </c>
      <c r="Z33" s="203">
        <f>'B5'!C32</f>
        <v>243</v>
      </c>
      <c r="AA33" s="203">
        <f t="shared" si="30"/>
        <v>2430</v>
      </c>
      <c r="AB33" s="203">
        <f t="shared" si="56"/>
        <v>243</v>
      </c>
      <c r="AC33" s="203">
        <f t="shared" si="30"/>
        <v>2430</v>
      </c>
      <c r="AD33" s="203">
        <f t="shared" si="57"/>
        <v>243</v>
      </c>
      <c r="AE33" s="203">
        <f t="shared" si="11"/>
        <v>2430</v>
      </c>
      <c r="AF33" s="203">
        <f t="shared" si="58"/>
        <v>243</v>
      </c>
      <c r="AG33" s="203">
        <f t="shared" si="12"/>
        <v>2430</v>
      </c>
      <c r="AH33" s="203">
        <f t="shared" si="59"/>
        <v>243</v>
      </c>
      <c r="AI33" s="203">
        <f t="shared" si="13"/>
        <v>2430</v>
      </c>
      <c r="AJ33" s="203">
        <f t="shared" si="60"/>
        <v>243</v>
      </c>
      <c r="AK33" s="203">
        <f t="shared" si="14"/>
        <v>2430</v>
      </c>
      <c r="AL33" s="203">
        <f t="shared" si="61"/>
        <v>243</v>
      </c>
      <c r="AM33" s="203">
        <f t="shared" si="15"/>
        <v>2430</v>
      </c>
      <c r="AN33" s="35">
        <f t="shared" si="62"/>
        <v>0.86785714285714288</v>
      </c>
      <c r="AO33" s="36">
        <f t="shared" si="63"/>
        <v>17010</v>
      </c>
      <c r="AQ33" s="223">
        <f t="shared" si="37"/>
        <v>0.78630255337309629</v>
      </c>
      <c r="AR33" s="38">
        <f t="shared" si="41"/>
        <v>73102.548387096758</v>
      </c>
      <c r="AS33" s="197">
        <f t="shared" si="38"/>
        <v>0</v>
      </c>
      <c r="AT33" s="355"/>
      <c r="AU33" s="436"/>
      <c r="AV33" s="518">
        <f>IF(AT33&gt;0,AU33,AV32)</f>
        <v>0.68899999999999995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3</v>
      </c>
      <c r="AT34" s="203">
        <f>SUM(AT6:AT33)</f>
        <v>17500.099999999999</v>
      </c>
      <c r="AU34">
        <f>SUM(AU6:AU33)/AS34</f>
        <v>0.48766666666666669</v>
      </c>
      <c r="AX34" s="203">
        <f>SUM(AX6:AX33)</f>
        <v>-12622.422580645167</v>
      </c>
      <c r="AY34" s="203">
        <f>SUM(AY6:AY33)</f>
        <v>-17193.422580645165</v>
      </c>
    </row>
    <row r="35" spans="1:60">
      <c r="AS35" s="206"/>
      <c r="AT35">
        <f>+AT34*AU34</f>
        <v>8534.2154333333328</v>
      </c>
    </row>
    <row r="37" spans="1:60">
      <c r="AS37" s="165">
        <f>SUM(AS6:AS33)/'EDl log'!A32</f>
        <v>-1074.5889112903228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6" priority="5" stopIfTrue="1" operator="greaterThan">
      <formula>0</formula>
    </cfRule>
  </conditionalFormatting>
  <conditionalFormatting sqref="AT6:AU33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3</v>
      </c>
      <c r="B6" s="3">
        <f>ELEC!AF7</f>
        <v>440</v>
      </c>
      <c r="C6" s="3">
        <f>ELEC!N7</f>
        <v>5932</v>
      </c>
      <c r="D6" s="3">
        <f t="shared" si="0"/>
        <v>5932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-39.600000000000023</v>
      </c>
      <c r="J6" s="9">
        <f>'B5'!A8</f>
        <v>44231</v>
      </c>
    </row>
    <row r="7" spans="1:10">
      <c r="A7" s="3">
        <f>ELEC!T8+ELEC!X8+ELEC!AB8</f>
        <v>2</v>
      </c>
      <c r="B7" s="3">
        <f>ELEC!AF8</f>
        <v>374</v>
      </c>
      <c r="C7" s="3">
        <f>ELEC!N8</f>
        <v>5977</v>
      </c>
      <c r="D7" s="3">
        <f t="shared" si="0"/>
        <v>4283.0000000004948</v>
      </c>
      <c r="E7" s="3">
        <f>ELEC!Q8</f>
        <v>1693.9999999995052</v>
      </c>
      <c r="F7" s="3">
        <f>GEN!Z7</f>
        <v>3</v>
      </c>
      <c r="G7" s="3">
        <f>WATER!C10+WATER!H10</f>
        <v>0</v>
      </c>
      <c r="H7" s="3">
        <f>WATER!L10</f>
        <v>-1</v>
      </c>
      <c r="I7" s="15">
        <f>WATER!BC10+WATER!BD10+WATER!BE11-Sheet1!G7</f>
        <v>-35.600000000000023</v>
      </c>
      <c r="J7" s="9">
        <f>'B5'!A9</f>
        <v>44232</v>
      </c>
    </row>
    <row r="8" spans="1:10">
      <c r="A8" s="3">
        <f>ELEC!T9+ELEC!X9+ELEC!AB9</f>
        <v>2</v>
      </c>
      <c r="B8" s="3">
        <f>ELEC!AF9</f>
        <v>481</v>
      </c>
      <c r="C8" s="3">
        <f>ELEC!N9</f>
        <v>6551.2000000001863</v>
      </c>
      <c r="D8" s="3">
        <f t="shared" si="0"/>
        <v>4507.1999999984982</v>
      </c>
      <c r="E8" s="3">
        <f>ELEC!Q9</f>
        <v>2044.000000001688</v>
      </c>
      <c r="F8" s="3">
        <f>GEN!Z8</f>
        <v>3</v>
      </c>
      <c r="G8" s="3">
        <f>WATER!C11+WATER!H11</f>
        <v>0</v>
      </c>
      <c r="H8" s="3">
        <f>WATER!L11</f>
        <v>0.5</v>
      </c>
      <c r="I8" s="15">
        <f>WATER!BC11+WATER!BD11+WATER!BE12-Sheet1!G8</f>
        <v>-28.699999999999989</v>
      </c>
      <c r="J8" s="9">
        <f>'B5'!A10</f>
        <v>44233</v>
      </c>
    </row>
    <row r="9" spans="1:10">
      <c r="A9" s="3">
        <f>ELEC!T10+ELEC!X10+ELEC!AB10</f>
        <v>3</v>
      </c>
      <c r="B9" s="3">
        <f>ELEC!AF10</f>
        <v>518</v>
      </c>
      <c r="C9" s="3">
        <f>ELEC!N10</f>
        <v>6289.7999999998137</v>
      </c>
      <c r="D9" s="3">
        <f t="shared" si="0"/>
        <v>4244.80000000156</v>
      </c>
      <c r="E9" s="3">
        <f>ELEC!Q10</f>
        <v>2044.9999999982538</v>
      </c>
      <c r="F9" s="3">
        <f>GEN!Z9</f>
        <v>3</v>
      </c>
      <c r="G9" s="3">
        <f>WATER!C12+WATER!H12</f>
        <v>0</v>
      </c>
      <c r="H9" s="3">
        <f>WATER!L12</f>
        <v>0.5</v>
      </c>
      <c r="I9" s="15">
        <f>WATER!BC12+WATER!BD12+WATER!BE13-Sheet1!G9</f>
        <v>-24.699999999999989</v>
      </c>
      <c r="J9" s="9">
        <f>'B5'!A11</f>
        <v>44234</v>
      </c>
    </row>
    <row r="10" spans="1:10">
      <c r="A10" s="3">
        <f>ELEC!T11+ELEC!X11+ELEC!AB11</f>
        <v>4</v>
      </c>
      <c r="B10" s="3">
        <f>ELEC!AF11</f>
        <v>876</v>
      </c>
      <c r="C10" s="3">
        <f>ELEC!N11</f>
        <v>7008</v>
      </c>
      <c r="D10" s="3">
        <f t="shared" si="0"/>
        <v>3571.9999999984866</v>
      </c>
      <c r="E10" s="3">
        <f>ELEC!Q11</f>
        <v>3436.0000000015134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-23.999999999999972</v>
      </c>
      <c r="J10" s="9">
        <f>'B5'!A12</f>
        <v>44235</v>
      </c>
    </row>
    <row r="11" spans="1:10">
      <c r="A11" s="3">
        <f>ELEC!T12+ELEC!X12+ELEC!AB12</f>
        <v>6</v>
      </c>
      <c r="B11" s="3">
        <f>ELEC!AF12</f>
        <v>946</v>
      </c>
      <c r="C11" s="3">
        <f>ELEC!N12</f>
        <v>7276</v>
      </c>
      <c r="D11" s="3">
        <f t="shared" si="0"/>
        <v>2834.0000000009022</v>
      </c>
      <c r="E11" s="3">
        <f>ELEC!Q12</f>
        <v>4441.9999999990978</v>
      </c>
      <c r="F11" s="3">
        <f>GEN!Z11</f>
        <v>5</v>
      </c>
      <c r="G11" s="3">
        <f>WATER!C14+WATER!H14</f>
        <v>0</v>
      </c>
      <c r="H11" s="3">
        <f>WATER!L14</f>
        <v>1</v>
      </c>
      <c r="I11" s="15">
        <f>WATER!BC14+WATER!BD14+WATER!BE15-Sheet1!G11</f>
        <v>-22.200000000000017</v>
      </c>
      <c r="J11" s="9">
        <f>'B5'!A13</f>
        <v>44236</v>
      </c>
    </row>
    <row r="12" spans="1:10">
      <c r="A12" s="3">
        <f>ELEC!T13+ELEC!X13+ELEC!AB13</f>
        <v>5</v>
      </c>
      <c r="B12" s="3">
        <f>ELEC!AF13</f>
        <v>815</v>
      </c>
      <c r="C12" s="3">
        <f>ELEC!N13</f>
        <v>7236</v>
      </c>
      <c r="D12" s="3">
        <f t="shared" si="0"/>
        <v>3237.0000000002037</v>
      </c>
      <c r="E12" s="3">
        <f>ELEC!Q13</f>
        <v>3998.9999999997963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-20.400000000000034</v>
      </c>
      <c r="J12" s="9">
        <f>'B5'!A14</f>
        <v>44237</v>
      </c>
    </row>
    <row r="13" spans="1:10">
      <c r="A13" s="3">
        <f>ELEC!T14+ELEC!X14+ELEC!AB14</f>
        <v>4</v>
      </c>
      <c r="B13" s="3">
        <f>ELEC!AF14</f>
        <v>555</v>
      </c>
      <c r="C13" s="3">
        <f>ELEC!N14</f>
        <v>5643</v>
      </c>
      <c r="D13" s="3">
        <f t="shared" si="0"/>
        <v>3014.9999999993888</v>
      </c>
      <c r="E13" s="3">
        <f>ELEC!Q14</f>
        <v>2628.0000000006112</v>
      </c>
      <c r="F13" s="3">
        <f>GEN!Z13</f>
        <v>6</v>
      </c>
      <c r="G13" s="3">
        <f>WATER!C16+WATER!H16</f>
        <v>0</v>
      </c>
      <c r="H13" s="3">
        <f>WATER!L16</f>
        <v>0</v>
      </c>
      <c r="I13" s="15">
        <f>WATER!BC16+WATER!BD16+WATER!BE17-Sheet1!G13</f>
        <v>-24.399999999999991</v>
      </c>
      <c r="J13" s="9">
        <f>'B5'!A15</f>
        <v>44238</v>
      </c>
    </row>
    <row r="14" spans="1:10">
      <c r="A14" s="3">
        <f>ELEC!T15+ELEC!X15+ELEC!AB15</f>
        <v>3</v>
      </c>
      <c r="B14" s="3">
        <f>ELEC!AF15</f>
        <v>427</v>
      </c>
      <c r="C14" s="3">
        <f>ELEC!N15</f>
        <v>6507</v>
      </c>
      <c r="D14" s="3">
        <f t="shared" si="0"/>
        <v>3268.000000002241</v>
      </c>
      <c r="E14" s="3">
        <f>ELEC!Q15</f>
        <v>3238.999999997759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-57.700000000000017</v>
      </c>
      <c r="J14" s="9">
        <f>'B5'!A16</f>
        <v>44239</v>
      </c>
    </row>
    <row r="15" spans="1:10">
      <c r="A15" s="3">
        <f>ELEC!T16+ELEC!X16+ELEC!AB16</f>
        <v>5</v>
      </c>
      <c r="B15" s="3">
        <f>ELEC!AF16</f>
        <v>877</v>
      </c>
      <c r="C15" s="3">
        <f>ELEC!N16</f>
        <v>7439</v>
      </c>
      <c r="D15" s="3">
        <f t="shared" si="0"/>
        <v>3784.9999999977299</v>
      </c>
      <c r="E15" s="3">
        <f>ELEC!Q16</f>
        <v>3654.0000000022701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218.8</v>
      </c>
      <c r="J15" s="9">
        <f>'B5'!A17</f>
        <v>44240</v>
      </c>
    </row>
    <row r="16" spans="1:10">
      <c r="A16" s="3">
        <f>ELEC!T17+ELEC!X17+ELEC!AB17</f>
        <v>5</v>
      </c>
      <c r="B16" s="3">
        <f>ELEC!AF17</f>
        <v>838</v>
      </c>
      <c r="C16" s="3">
        <f>ELEC!N17</f>
        <v>7469</v>
      </c>
      <c r="D16" s="3">
        <f t="shared" si="0"/>
        <v>3488.0000000002328</v>
      </c>
      <c r="E16" s="3">
        <f>ELEC!Q17</f>
        <v>3980.9999999997672</v>
      </c>
      <c r="F16" s="3">
        <f>GEN!Z16</f>
        <v>6</v>
      </c>
      <c r="G16" s="3">
        <f>WATER!C19+WATER!H19</f>
        <v>279</v>
      </c>
      <c r="H16" s="3">
        <f>WATER!L19</f>
        <v>0</v>
      </c>
      <c r="I16" s="15">
        <f>WATER!BC19+WATER!BD19+WATER!BE20-Sheet1!G16</f>
        <v>-303</v>
      </c>
      <c r="J16" s="9">
        <f>'B5'!A18</f>
        <v>44241</v>
      </c>
    </row>
    <row r="17" spans="1:10">
      <c r="A17" s="3">
        <f>ELEC!T18+ELEC!X18+ELEC!AB18</f>
        <v>2</v>
      </c>
      <c r="B17" s="3">
        <f>ELEC!AF18</f>
        <v>467</v>
      </c>
      <c r="C17" s="3">
        <f>ELEC!N18</f>
        <v>5934</v>
      </c>
      <c r="D17" s="3">
        <f t="shared" si="0"/>
        <v>3625.9999999990978</v>
      </c>
      <c r="E17" s="3">
        <f>ELEC!Q18</f>
        <v>2308.0000000009022</v>
      </c>
      <c r="F17" s="3">
        <f>GEN!Z17</f>
        <v>6</v>
      </c>
      <c r="G17" s="3">
        <f>WATER!C20+WATER!H20</f>
        <v>0</v>
      </c>
      <c r="H17" s="3">
        <f>WATER!L20</f>
        <v>2</v>
      </c>
      <c r="I17" s="15">
        <f>WATER!BC20+WATER!BD20+WATER!BE21-Sheet1!G17</f>
        <v>107.19999999999996</v>
      </c>
      <c r="J17" s="9">
        <f>'B5'!A19</f>
        <v>44242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4</v>
      </c>
      <c r="G18" s="3">
        <f>WATER!C21+WATER!H21</f>
        <v>167</v>
      </c>
      <c r="H18" s="3">
        <f>WATER!L21</f>
        <v>0</v>
      </c>
      <c r="I18" s="15">
        <f>WATER!BC21+WATER!BD21+WATER!BE22-Sheet1!G18</f>
        <v>-46.000000000000028</v>
      </c>
      <c r="J18" s="9">
        <f>'B5'!A20</f>
        <v>44243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44244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44245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-7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7</v>
      </c>
      <c r="I22" s="15">
        <f>WATER!BC25+WATER!BD25+WATER!BE26-Sheet1!G22</f>
        <v>0</v>
      </c>
      <c r="J22" s="9">
        <f>'B5'!A24</f>
        <v>44247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44248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44249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44250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44251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44252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37"/>
      <c r="B1" s="634" t="s">
        <v>119</v>
      </c>
      <c r="C1" s="634" t="s">
        <v>118</v>
      </c>
      <c r="D1" s="639" t="s">
        <v>113</v>
      </c>
      <c r="E1" s="639" t="s">
        <v>114</v>
      </c>
      <c r="F1" s="640" t="s">
        <v>120</v>
      </c>
      <c r="G1" s="641" t="s">
        <v>75</v>
      </c>
      <c r="H1" s="642" t="s">
        <v>115</v>
      </c>
      <c r="I1" s="643" t="s">
        <v>116</v>
      </c>
      <c r="J1" s="642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38"/>
      <c r="B2" s="635"/>
      <c r="C2" s="635"/>
      <c r="D2" s="639"/>
      <c r="E2" s="639"/>
      <c r="F2" s="640"/>
      <c r="G2" s="641"/>
      <c r="H2" s="642"/>
      <c r="I2" s="644"/>
      <c r="J2" s="642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391</v>
      </c>
      <c r="C9" s="76">
        <f>'B5'!AH9</f>
        <v>0</v>
      </c>
      <c r="D9" s="76">
        <f>GEN!AI7</f>
        <v>505.75949367092358</v>
      </c>
      <c r="E9" s="242">
        <f t="shared" si="0"/>
        <v>896.75949367092358</v>
      </c>
      <c r="F9" s="75">
        <f>WATER!L9</f>
        <v>0</v>
      </c>
      <c r="G9" s="78">
        <f>WATER!BG9</f>
        <v>-18.899999999999977</v>
      </c>
      <c r="H9" s="79">
        <f>ELEC!AF7</f>
        <v>440</v>
      </c>
      <c r="I9" s="79">
        <f>ELEC!Q7</f>
        <v>1965.0000000001455</v>
      </c>
      <c r="J9" s="79">
        <f>ELEC!R7</f>
        <v>3966.9999999998545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311</v>
      </c>
      <c r="C10" s="76">
        <f>'B5'!AH10</f>
        <v>0</v>
      </c>
      <c r="D10" s="76">
        <f>GEN!AI8</f>
        <v>436.00843881843809</v>
      </c>
      <c r="E10" s="242">
        <f t="shared" si="0"/>
        <v>747.00843881843809</v>
      </c>
      <c r="F10" s="75">
        <f>WATER!L10</f>
        <v>-1</v>
      </c>
      <c r="G10" s="78">
        <f>WATER!BG10</f>
        <v>-20.700000000000045</v>
      </c>
      <c r="H10" s="79">
        <f>ELEC!AF8</f>
        <v>374</v>
      </c>
      <c r="I10" s="79">
        <f>ELEC!Q8</f>
        <v>1693.9999999995052</v>
      </c>
      <c r="J10" s="79">
        <f>ELEC!R8</f>
        <v>4283.0000000004948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279</v>
      </c>
      <c r="C11" s="76">
        <f>'B5'!AH11</f>
        <v>0</v>
      </c>
      <c r="D11" s="76">
        <f>GEN!AI9</f>
        <v>526.09282700465394</v>
      </c>
      <c r="E11" s="242">
        <f t="shared" si="0"/>
        <v>805.09282700465394</v>
      </c>
      <c r="F11" s="75">
        <f>WATER!L11</f>
        <v>0.5</v>
      </c>
      <c r="G11" s="78">
        <f>WATER!BG11</f>
        <v>-14.899999999999977</v>
      </c>
      <c r="H11" s="79">
        <f>ELEC!AF9</f>
        <v>481</v>
      </c>
      <c r="I11" s="79">
        <f>ELEC!Q9</f>
        <v>2044.000000001688</v>
      </c>
      <c r="J11" s="79">
        <f>ELEC!R9</f>
        <v>4507.1999999984982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256</v>
      </c>
      <c r="C12" s="76">
        <f>'B5'!AH12</f>
        <v>77.399999999994179</v>
      </c>
      <c r="D12" s="76">
        <f>GEN!AI10</f>
        <v>526.3502109700147</v>
      </c>
      <c r="E12" s="242">
        <f t="shared" si="0"/>
        <v>859.75021097000888</v>
      </c>
      <c r="F12" s="75">
        <f>WATER!L12</f>
        <v>0.5</v>
      </c>
      <c r="G12" s="78">
        <f>WATER!BG12</f>
        <v>-13.800000000000011</v>
      </c>
      <c r="H12" s="79">
        <f>ELEC!AF10</f>
        <v>518</v>
      </c>
      <c r="I12" s="79">
        <f>ELEC!Q10</f>
        <v>2044.9999999982538</v>
      </c>
      <c r="J12" s="79">
        <f>ELEC!R10</f>
        <v>4244.80000000156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236</v>
      </c>
      <c r="C13" s="76">
        <f>'B5'!AH13</f>
        <v>0</v>
      </c>
      <c r="D13" s="76">
        <f>GEN!AI11</f>
        <v>884.37130801726721</v>
      </c>
      <c r="E13" s="242">
        <f t="shared" si="0"/>
        <v>1120.3713080172672</v>
      </c>
      <c r="F13" s="75">
        <f>WATER!L13</f>
        <v>1</v>
      </c>
      <c r="G13" s="78">
        <f>WATER!BG13</f>
        <v>-10.899999999999977</v>
      </c>
      <c r="H13" s="79">
        <f>ELEC!AF11</f>
        <v>876</v>
      </c>
      <c r="I13" s="79">
        <f>ELEC!Q11</f>
        <v>3436.0000000015134</v>
      </c>
      <c r="J13" s="79">
        <f>ELEC!R11</f>
        <v>3571.9999999984866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236</v>
      </c>
      <c r="C14" s="76">
        <f>'B5'!AH14</f>
        <v>0</v>
      </c>
      <c r="D14" s="76">
        <f>GEN!AI12</f>
        <v>1143.2995780588396</v>
      </c>
      <c r="E14" s="242">
        <f t="shared" si="0"/>
        <v>1379.2995780588396</v>
      </c>
      <c r="F14" s="75">
        <f>WATER!L14</f>
        <v>1</v>
      </c>
      <c r="G14" s="78">
        <f>WATER!BG14</f>
        <v>-13.099999999999994</v>
      </c>
      <c r="H14" s="79">
        <f>ELEC!AF12</f>
        <v>946</v>
      </c>
      <c r="I14" s="79">
        <f>ELEC!Q12</f>
        <v>4441.9999999990978</v>
      </c>
      <c r="J14" s="79">
        <f>ELEC!R12</f>
        <v>2834.0000000009022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253</v>
      </c>
      <c r="C15" s="76">
        <f>'B5'!AH15</f>
        <v>0</v>
      </c>
      <c r="D15" s="76">
        <f>GEN!AI13</f>
        <v>1029.2784810126059</v>
      </c>
      <c r="E15" s="242">
        <f t="shared" si="0"/>
        <v>1282.2784810126059</v>
      </c>
      <c r="F15" s="75">
        <f>WATER!L15</f>
        <v>0</v>
      </c>
      <c r="G15" s="78">
        <f>WATER!BG15</f>
        <v>-9.1000000000000227</v>
      </c>
      <c r="H15" s="79">
        <f>ELEC!AF13</f>
        <v>815</v>
      </c>
      <c r="I15" s="79">
        <f>ELEC!Q13</f>
        <v>3998.9999999997963</v>
      </c>
      <c r="J15" s="79">
        <f>ELEC!R13</f>
        <v>3237.0000000002037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234</v>
      </c>
      <c r="C16" s="76">
        <f>'B5'!AH16</f>
        <v>0</v>
      </c>
      <c r="D16" s="76">
        <f>GEN!AI14</f>
        <v>676.40506329129664</v>
      </c>
      <c r="E16" s="242">
        <f t="shared" si="0"/>
        <v>910.40506329129664</v>
      </c>
      <c r="F16" s="75">
        <f>WATER!L16</f>
        <v>0</v>
      </c>
      <c r="G16" s="78">
        <f>WATER!BG16</f>
        <v>-11.300000000000011</v>
      </c>
      <c r="H16" s="79">
        <f>ELEC!AF14</f>
        <v>555</v>
      </c>
      <c r="I16" s="79">
        <f>ELEC!Q14</f>
        <v>2628.0000000006112</v>
      </c>
      <c r="J16" s="79">
        <f>ELEC!R14</f>
        <v>3014.9999999993888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281</v>
      </c>
      <c r="C17" s="76">
        <f>'B5'!AH17</f>
        <v>0</v>
      </c>
      <c r="D17" s="76">
        <f>GEN!AI15</f>
        <v>833.6666666660899</v>
      </c>
      <c r="E17" s="242">
        <f t="shared" si="0"/>
        <v>1114.6666666660899</v>
      </c>
      <c r="F17" s="75">
        <f>WATER!L17</f>
        <v>0</v>
      </c>
      <c r="G17" s="78">
        <f>WATER!BG17</f>
        <v>-13.09999999999998</v>
      </c>
      <c r="H17" s="79">
        <f>ELEC!AF15</f>
        <v>427</v>
      </c>
      <c r="I17" s="79">
        <f>ELEC!Q15</f>
        <v>3238.999999997759</v>
      </c>
      <c r="J17" s="79">
        <f>ELEC!R15</f>
        <v>3268.000000002241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267</v>
      </c>
      <c r="C18" s="76">
        <f>'B5'!AH18</f>
        <v>0</v>
      </c>
      <c r="D18" s="76">
        <f>GEN!AI16</f>
        <v>940.48101265881223</v>
      </c>
      <c r="E18" s="242">
        <f t="shared" si="0"/>
        <v>1207.4810126588122</v>
      </c>
      <c r="F18" s="75">
        <f>WATER!L18</f>
        <v>0</v>
      </c>
      <c r="G18" s="78">
        <f>WATER!BG18</f>
        <v>-44.600000000000037</v>
      </c>
      <c r="H18" s="79">
        <f>ELEC!AF16</f>
        <v>877</v>
      </c>
      <c r="I18" s="79">
        <f>ELEC!Q16</f>
        <v>3654.0000000022701</v>
      </c>
      <c r="J18" s="79">
        <f>ELEC!R16</f>
        <v>3784.9999999977299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217</v>
      </c>
      <c r="C19" s="76">
        <f>'B5'!AH19</f>
        <v>0</v>
      </c>
      <c r="D19" s="76">
        <f>GEN!AI17</f>
        <v>1024.6455696201933</v>
      </c>
      <c r="E19" s="242">
        <f t="shared" si="0"/>
        <v>1241.6455696201933</v>
      </c>
      <c r="F19" s="75">
        <f>WATER!L19</f>
        <v>0</v>
      </c>
      <c r="G19" s="78">
        <f>WATER!BG19</f>
        <v>132.00000000000006</v>
      </c>
      <c r="H19" s="79">
        <f>ELEC!AF17</f>
        <v>838</v>
      </c>
      <c r="I19" s="79">
        <f>ELEC!Q17</f>
        <v>3980.9999999997672</v>
      </c>
      <c r="J19" s="79">
        <f>ELEC!R17</f>
        <v>3488.0000000002328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228</v>
      </c>
      <c r="C20" s="76">
        <f>'B5'!AH20</f>
        <v>0</v>
      </c>
      <c r="D20" s="76">
        <f>GEN!AI18</f>
        <v>594.04219409305927</v>
      </c>
      <c r="E20" s="242">
        <f t="shared" si="0"/>
        <v>822.04219409305927</v>
      </c>
      <c r="F20" s="75">
        <f>WATER!L20</f>
        <v>2</v>
      </c>
      <c r="G20" s="78">
        <f>WATER!BG20</f>
        <v>-13.800000000000011</v>
      </c>
      <c r="H20" s="79">
        <f>ELEC!AF18</f>
        <v>467</v>
      </c>
      <c r="I20" s="79">
        <f>ELEC!Q18</f>
        <v>2308.0000000009022</v>
      </c>
      <c r="J20" s="79">
        <f>ELEC!R18</f>
        <v>3625.9999999990978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120.99999999999997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-7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7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45" t="s">
        <v>151</v>
      </c>
      <c r="U3" s="645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5</v>
      </c>
      <c r="E11">
        <f t="shared" si="0"/>
        <v>450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topLeftCell="H1" zoomScale="112" zoomScaleNormal="112" workbookViewId="0">
      <pane ySplit="1" topLeftCell="A8" activePane="bottomLeft" state="frozen"/>
      <selection pane="bottomLeft" activeCell="X18" sqref="X18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v>9729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v>11898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11898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" thickBot="1">
      <c r="A4" s="4">
        <f>ELEC!C4</f>
        <v>44229</v>
      </c>
      <c r="B4" s="541">
        <v>9545</v>
      </c>
      <c r="C4" s="287">
        <f t="shared" ref="C4:C30" si="11">B4-B3</f>
        <v>4</v>
      </c>
      <c r="D4" s="542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9729</v>
      </c>
      <c r="I4" s="287" t="str">
        <f t="shared" si="1"/>
        <v>ok</v>
      </c>
      <c r="J4" s="542">
        <f t="shared" ref="J4:L30" si="14">J3</f>
        <v>10698</v>
      </c>
      <c r="K4" s="287">
        <f t="shared" si="2"/>
        <v>0</v>
      </c>
      <c r="L4" s="542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2">
        <f t="shared" ref="R4:R30" si="17">R3</f>
        <v>11798</v>
      </c>
      <c r="S4" s="287">
        <f t="shared" si="5"/>
        <v>0</v>
      </c>
      <c r="T4" s="542">
        <f t="shared" ref="T4:T30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11898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" thickBot="1">
      <c r="A5" s="4">
        <f>ELEC!C5</f>
        <v>44230</v>
      </c>
      <c r="B5" s="541">
        <v>9549</v>
      </c>
      <c r="C5" s="287">
        <f t="shared" si="11"/>
        <v>4</v>
      </c>
      <c r="D5" s="542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9729</v>
      </c>
      <c r="I5" s="287" t="str">
        <f t="shared" si="1"/>
        <v>ok</v>
      </c>
      <c r="J5" s="542">
        <f t="shared" si="14"/>
        <v>10698</v>
      </c>
      <c r="K5" s="287">
        <f t="shared" si="2"/>
        <v>0</v>
      </c>
      <c r="L5" s="542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2">
        <f t="shared" si="17"/>
        <v>11798</v>
      </c>
      <c r="S5" s="287">
        <f t="shared" si="5"/>
        <v>0</v>
      </c>
      <c r="T5" s="542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11898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" thickBot="1">
      <c r="A6" s="4">
        <f>ELEC!C6</f>
        <v>44231</v>
      </c>
      <c r="B6" s="541">
        <v>9553</v>
      </c>
      <c r="C6" s="287">
        <f t="shared" si="11"/>
        <v>4</v>
      </c>
      <c r="D6" s="542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9729</v>
      </c>
      <c r="I6" s="287" t="str">
        <f t="shared" si="1"/>
        <v>ok</v>
      </c>
      <c r="J6" s="542">
        <f t="shared" si="14"/>
        <v>10698</v>
      </c>
      <c r="K6" s="287">
        <f t="shared" si="2"/>
        <v>0</v>
      </c>
      <c r="L6" s="542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2">
        <f t="shared" si="17"/>
        <v>11798</v>
      </c>
      <c r="S6" s="287">
        <f t="shared" si="5"/>
        <v>0</v>
      </c>
      <c r="T6" s="542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11898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" thickBot="1">
      <c r="A7" s="4">
        <f>ELEC!C7</f>
        <v>44232</v>
      </c>
      <c r="B7" s="541">
        <v>9556</v>
      </c>
      <c r="C7" s="287">
        <f t="shared" si="11"/>
        <v>3</v>
      </c>
      <c r="D7" s="542">
        <v>314232</v>
      </c>
      <c r="E7" s="287">
        <f t="shared" si="12"/>
        <v>544</v>
      </c>
      <c r="F7" s="287">
        <f t="shared" si="0"/>
        <v>181.33333333333334</v>
      </c>
      <c r="G7" s="196"/>
      <c r="H7" s="270">
        <f t="shared" si="13"/>
        <v>9729</v>
      </c>
      <c r="I7" s="287" t="str">
        <f t="shared" si="1"/>
        <v>ok</v>
      </c>
      <c r="J7" s="542">
        <f t="shared" si="14"/>
        <v>10698</v>
      </c>
      <c r="K7" s="287">
        <f t="shared" si="2"/>
        <v>0</v>
      </c>
      <c r="L7" s="542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2">
        <v>11798</v>
      </c>
      <c r="S7" s="287">
        <f t="shared" si="5"/>
        <v>0</v>
      </c>
      <c r="T7" s="542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11898</v>
      </c>
      <c r="Y7" s="287" t="str">
        <f t="shared" si="7"/>
        <v>ok</v>
      </c>
      <c r="Z7" s="287">
        <f t="shared" si="8"/>
        <v>3</v>
      </c>
      <c r="AA7" s="287">
        <f>U7+M7+E7</f>
        <v>544</v>
      </c>
      <c r="AB7" s="287">
        <f t="shared" si="22"/>
        <v>181.33333333333334</v>
      </c>
      <c r="AC7" s="287">
        <f t="shared" si="23"/>
        <v>181.33333333333334</v>
      </c>
      <c r="AD7" s="73">
        <f>ELEC!Q7</f>
        <v>1965.0000000001455</v>
      </c>
      <c r="AE7" s="73">
        <f t="shared" si="25"/>
        <v>655.00000000004854</v>
      </c>
      <c r="AF7" s="403">
        <f t="shared" si="26"/>
        <v>0.40937500000003035</v>
      </c>
      <c r="AG7" s="504" t="s">
        <v>403</v>
      </c>
      <c r="AH7" s="404" t="e">
        <f t="shared" si="24"/>
        <v>#VALUE!</v>
      </c>
      <c r="AI7" s="73">
        <f t="shared" si="28"/>
        <v>505.75949367092358</v>
      </c>
      <c r="AJ7" s="289">
        <f t="shared" si="9"/>
        <v>0.25738396624472576</v>
      </c>
      <c r="AK7" s="289">
        <f t="shared" si="10"/>
        <v>168.58649789030787</v>
      </c>
    </row>
    <row r="8" spans="1:37" ht="15" thickBot="1">
      <c r="A8" s="4">
        <f>ELEC!C8</f>
        <v>44233</v>
      </c>
      <c r="B8" s="541">
        <v>9559</v>
      </c>
      <c r="C8" s="287">
        <f t="shared" si="11"/>
        <v>3</v>
      </c>
      <c r="D8" s="542">
        <v>314706</v>
      </c>
      <c r="E8" s="287">
        <f t="shared" si="12"/>
        <v>474</v>
      </c>
      <c r="F8" s="287">
        <f t="shared" si="0"/>
        <v>158</v>
      </c>
      <c r="G8" s="196"/>
      <c r="H8" s="270">
        <f t="shared" si="13"/>
        <v>9729</v>
      </c>
      <c r="I8" s="287" t="str">
        <f t="shared" si="1"/>
        <v>ok</v>
      </c>
      <c r="J8" s="542">
        <f t="shared" si="14"/>
        <v>10698</v>
      </c>
      <c r="K8" s="287">
        <f t="shared" si="2"/>
        <v>0</v>
      </c>
      <c r="L8" s="542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2">
        <f t="shared" si="17"/>
        <v>11798</v>
      </c>
      <c r="S8" s="287">
        <f t="shared" si="5"/>
        <v>0</v>
      </c>
      <c r="T8" s="542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11898</v>
      </c>
      <c r="Y8" s="287" t="str">
        <f t="shared" si="7"/>
        <v>ok</v>
      </c>
      <c r="Z8" s="287">
        <f t="shared" si="8"/>
        <v>3</v>
      </c>
      <c r="AA8" s="287">
        <f t="shared" si="21"/>
        <v>474</v>
      </c>
      <c r="AB8" s="287">
        <f t="shared" si="22"/>
        <v>158</v>
      </c>
      <c r="AC8" s="287">
        <f t="shared" si="23"/>
        <v>158</v>
      </c>
      <c r="AD8" s="73">
        <f>ELEC!Q8</f>
        <v>1693.9999999995052</v>
      </c>
      <c r="AE8" s="73">
        <f t="shared" si="25"/>
        <v>564.66666666650178</v>
      </c>
      <c r="AF8" s="403">
        <f t="shared" si="26"/>
        <v>0.35291666666656363</v>
      </c>
      <c r="AG8" s="404">
        <f t="shared" si="27"/>
        <v>112.93333333330037</v>
      </c>
      <c r="AH8" s="404">
        <f t="shared" si="24"/>
        <v>45.066666666699632</v>
      </c>
      <c r="AI8" s="73">
        <f t="shared" si="28"/>
        <v>436.00843881843809</v>
      </c>
      <c r="AJ8" s="289">
        <f t="shared" si="9"/>
        <v>0.25738396624472576</v>
      </c>
      <c r="AK8" s="289">
        <f t="shared" si="10"/>
        <v>145.3361462728127</v>
      </c>
    </row>
    <row r="9" spans="1:37" ht="15" thickBot="1">
      <c r="A9" s="4">
        <f>ELEC!C9</f>
        <v>44234</v>
      </c>
      <c r="B9" s="541">
        <v>9562</v>
      </c>
      <c r="C9" s="287">
        <f t="shared" si="11"/>
        <v>3</v>
      </c>
      <c r="D9" s="542">
        <v>315186</v>
      </c>
      <c r="E9" s="287">
        <f t="shared" si="12"/>
        <v>480</v>
      </c>
      <c r="F9" s="287">
        <f t="shared" si="0"/>
        <v>160</v>
      </c>
      <c r="G9" s="196"/>
      <c r="H9" s="270">
        <v>9729</v>
      </c>
      <c r="I9" s="287" t="str">
        <f t="shared" si="1"/>
        <v>ok</v>
      </c>
      <c r="J9" s="542">
        <f t="shared" si="14"/>
        <v>10698</v>
      </c>
      <c r="K9" s="287">
        <f t="shared" si="2"/>
        <v>0</v>
      </c>
      <c r="L9" s="542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2">
        <f t="shared" si="17"/>
        <v>11798</v>
      </c>
      <c r="S9" s="287">
        <f t="shared" si="5"/>
        <v>0</v>
      </c>
      <c r="T9" s="542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11898</v>
      </c>
      <c r="Y9" s="287" t="str">
        <f t="shared" si="7"/>
        <v>ok</v>
      </c>
      <c r="Z9" s="287">
        <f t="shared" si="8"/>
        <v>3</v>
      </c>
      <c r="AA9" s="287">
        <f t="shared" si="21"/>
        <v>480</v>
      </c>
      <c r="AB9" s="287">
        <f t="shared" si="22"/>
        <v>160</v>
      </c>
      <c r="AC9" s="287">
        <f t="shared" si="23"/>
        <v>160</v>
      </c>
      <c r="AD9" s="73">
        <f>ELEC!Q9</f>
        <v>2044.000000001688</v>
      </c>
      <c r="AE9" s="73">
        <f t="shared" si="25"/>
        <v>681.33333333389601</v>
      </c>
      <c r="AF9" s="403">
        <f t="shared" si="26"/>
        <v>0.425833333333685</v>
      </c>
      <c r="AG9" s="404">
        <f t="shared" si="27"/>
        <v>136.2666666667792</v>
      </c>
      <c r="AH9" s="404">
        <f t="shared" si="24"/>
        <v>23.733333333220799</v>
      </c>
      <c r="AI9" s="73">
        <f t="shared" si="28"/>
        <v>526.09282700465394</v>
      </c>
      <c r="AJ9" s="289">
        <v>0.25738396624472576</v>
      </c>
      <c r="AK9" s="289">
        <f t="shared" ref="AK9:AK16" si="29">IF(Z9&gt;0,AI9/Z9,0)</f>
        <v>175.36427566821797</v>
      </c>
    </row>
    <row r="10" spans="1:37" ht="15" thickBot="1">
      <c r="A10" s="4">
        <f>ELEC!C10</f>
        <v>44235</v>
      </c>
      <c r="B10" s="541">
        <v>9565</v>
      </c>
      <c r="C10" s="287">
        <f t="shared" si="11"/>
        <v>3</v>
      </c>
      <c r="D10" s="542">
        <v>315670</v>
      </c>
      <c r="E10" s="287">
        <f t="shared" si="12"/>
        <v>484</v>
      </c>
      <c r="F10" s="287">
        <f t="shared" si="0"/>
        <v>161.33333333333334</v>
      </c>
      <c r="G10" s="196"/>
      <c r="H10" s="270">
        <f t="shared" si="13"/>
        <v>9729</v>
      </c>
      <c r="I10" s="287" t="str">
        <f t="shared" si="1"/>
        <v>ok</v>
      </c>
      <c r="J10" s="542">
        <f t="shared" si="14"/>
        <v>10698</v>
      </c>
      <c r="K10" s="287">
        <f t="shared" si="2"/>
        <v>0</v>
      </c>
      <c r="L10" s="542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2">
        <f t="shared" si="17"/>
        <v>11798</v>
      </c>
      <c r="S10" s="287">
        <f t="shared" si="5"/>
        <v>0</v>
      </c>
      <c r="T10" s="542">
        <f t="shared" si="18"/>
        <v>379229</v>
      </c>
      <c r="U10" s="287">
        <f t="shared" ref="U10:U20" si="30">SUM(T10-T9)</f>
        <v>0</v>
      </c>
      <c r="V10" s="287">
        <f t="shared" ref="V10:V20" si="31">IF(S10&gt;0,U10/S10,0)</f>
        <v>0</v>
      </c>
      <c r="W10" s="338"/>
      <c r="X10" s="288">
        <f t="shared" si="20"/>
        <v>11898</v>
      </c>
      <c r="Y10" s="287" t="str">
        <f t="shared" ref="Y10:Y20" si="32">IF(R10-X10&lt;=0,"ok","oil change")</f>
        <v>ok</v>
      </c>
      <c r="Z10" s="287">
        <f t="shared" si="8"/>
        <v>3</v>
      </c>
      <c r="AA10" s="287">
        <f t="shared" si="21"/>
        <v>484</v>
      </c>
      <c r="AB10" s="287">
        <f t="shared" si="22"/>
        <v>161.33333333333334</v>
      </c>
      <c r="AC10" s="287">
        <f t="shared" si="23"/>
        <v>161.33333333333334</v>
      </c>
      <c r="AD10" s="73">
        <f>ELEC!Q10</f>
        <v>2044.9999999982538</v>
      </c>
      <c r="AE10" s="73">
        <f t="shared" si="25"/>
        <v>681.66666666608455</v>
      </c>
      <c r="AF10" s="403">
        <f t="shared" si="26"/>
        <v>0.42604166666630283</v>
      </c>
      <c r="AG10" s="404">
        <f t="shared" si="27"/>
        <v>136.3333333332169</v>
      </c>
      <c r="AH10" s="404">
        <f t="shared" si="24"/>
        <v>25.000000000116444</v>
      </c>
      <c r="AI10" s="73">
        <f t="shared" si="28"/>
        <v>526.3502109700147</v>
      </c>
      <c r="AJ10" s="289">
        <f t="shared" si="9"/>
        <v>0.25738396624472576</v>
      </c>
      <c r="AK10" s="289">
        <f t="shared" si="29"/>
        <v>175.45007032333822</v>
      </c>
    </row>
    <row r="11" spans="1:37" ht="15" thickBot="1">
      <c r="A11" s="4">
        <f>ELEC!C11</f>
        <v>44236</v>
      </c>
      <c r="B11" s="541">
        <v>9570</v>
      </c>
      <c r="C11" s="287">
        <f t="shared" si="11"/>
        <v>5</v>
      </c>
      <c r="D11" s="542">
        <v>316363</v>
      </c>
      <c r="E11" s="287">
        <f t="shared" si="12"/>
        <v>693</v>
      </c>
      <c r="F11" s="287">
        <f t="shared" si="0"/>
        <v>138.6</v>
      </c>
      <c r="G11" s="196"/>
      <c r="H11" s="270">
        <f t="shared" si="13"/>
        <v>9729</v>
      </c>
      <c r="I11" s="287" t="str">
        <f t="shared" si="1"/>
        <v>ok</v>
      </c>
      <c r="J11" s="542">
        <f t="shared" si="14"/>
        <v>10698</v>
      </c>
      <c r="K11" s="287">
        <f t="shared" si="2"/>
        <v>0</v>
      </c>
      <c r="L11" s="542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2">
        <f t="shared" si="17"/>
        <v>11798</v>
      </c>
      <c r="S11" s="287">
        <f t="shared" si="5"/>
        <v>0</v>
      </c>
      <c r="T11" s="542">
        <f t="shared" si="18"/>
        <v>379229</v>
      </c>
      <c r="U11" s="287">
        <f t="shared" si="30"/>
        <v>0</v>
      </c>
      <c r="V11" s="287">
        <f t="shared" si="31"/>
        <v>0</v>
      </c>
      <c r="W11" s="338"/>
      <c r="X11" s="288">
        <f t="shared" si="20"/>
        <v>11898</v>
      </c>
      <c r="Y11" s="287" t="str">
        <f t="shared" si="32"/>
        <v>ok</v>
      </c>
      <c r="Z11" s="287">
        <f t="shared" si="8"/>
        <v>5</v>
      </c>
      <c r="AA11" s="287">
        <f t="shared" si="21"/>
        <v>693</v>
      </c>
      <c r="AB11" s="287">
        <f t="shared" si="22"/>
        <v>138.6</v>
      </c>
      <c r="AC11" s="287">
        <f t="shared" si="23"/>
        <v>138.6</v>
      </c>
      <c r="AD11" s="73">
        <f>ELEC!Q11</f>
        <v>3436.0000000015134</v>
      </c>
      <c r="AE11" s="73">
        <f t="shared" si="25"/>
        <v>687.20000000030268</v>
      </c>
      <c r="AF11" s="403">
        <f t="shared" si="26"/>
        <v>0.42950000000018917</v>
      </c>
      <c r="AG11" s="404">
        <f t="shared" si="27"/>
        <v>137.44000000006054</v>
      </c>
      <c r="AH11" s="404">
        <f t="shared" si="24"/>
        <v>1.1599999999394583</v>
      </c>
      <c r="AI11" s="73">
        <f t="shared" si="28"/>
        <v>884.37130801726721</v>
      </c>
      <c r="AJ11" s="289">
        <f t="shared" si="9"/>
        <v>0.25738396624472576</v>
      </c>
      <c r="AK11" s="289">
        <f t="shared" si="29"/>
        <v>176.87426160345345</v>
      </c>
    </row>
    <row r="12" spans="1:37" ht="15" thickBot="1">
      <c r="A12" s="4">
        <f>ELEC!C12</f>
        <v>44237</v>
      </c>
      <c r="B12" s="541">
        <v>9577</v>
      </c>
      <c r="C12" s="287">
        <f t="shared" si="11"/>
        <v>7</v>
      </c>
      <c r="D12" s="542">
        <v>317389</v>
      </c>
      <c r="E12" s="287">
        <f t="shared" si="12"/>
        <v>1026</v>
      </c>
      <c r="F12" s="287">
        <f t="shared" si="0"/>
        <v>146.57142857142858</v>
      </c>
      <c r="G12" s="196"/>
      <c r="H12" s="270">
        <f t="shared" si="13"/>
        <v>9729</v>
      </c>
      <c r="I12" s="287" t="str">
        <f t="shared" si="1"/>
        <v>ok</v>
      </c>
      <c r="J12" s="542">
        <f t="shared" si="14"/>
        <v>10698</v>
      </c>
      <c r="K12" s="287">
        <f t="shared" si="2"/>
        <v>0</v>
      </c>
      <c r="L12" s="542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2">
        <f t="shared" si="17"/>
        <v>11798</v>
      </c>
      <c r="S12" s="287">
        <f t="shared" si="5"/>
        <v>0</v>
      </c>
      <c r="T12" s="542">
        <f t="shared" si="18"/>
        <v>379229</v>
      </c>
      <c r="U12" s="287">
        <f t="shared" si="30"/>
        <v>0</v>
      </c>
      <c r="V12" s="287">
        <f t="shared" si="31"/>
        <v>0</v>
      </c>
      <c r="W12" s="338"/>
      <c r="X12" s="288">
        <f t="shared" si="20"/>
        <v>11898</v>
      </c>
      <c r="Y12" s="287" t="str">
        <f t="shared" si="32"/>
        <v>ok</v>
      </c>
      <c r="Z12" s="287">
        <f t="shared" si="8"/>
        <v>7</v>
      </c>
      <c r="AA12" s="287">
        <f t="shared" si="21"/>
        <v>1026</v>
      </c>
      <c r="AB12" s="287">
        <f t="shared" si="22"/>
        <v>146.57142857142858</v>
      </c>
      <c r="AC12" s="287">
        <f t="shared" si="23"/>
        <v>146.57142857142858</v>
      </c>
      <c r="AD12" s="73">
        <f>ELEC!Q12</f>
        <v>4441.9999999990978</v>
      </c>
      <c r="AE12" s="73">
        <f t="shared" si="25"/>
        <v>634.57142857129963</v>
      </c>
      <c r="AF12" s="403">
        <f t="shared" si="26"/>
        <v>0.39660714285706228</v>
      </c>
      <c r="AG12" s="404">
        <f t="shared" si="27"/>
        <v>126.91428571425993</v>
      </c>
      <c r="AH12" s="404">
        <f t="shared" si="24"/>
        <v>19.657142857168651</v>
      </c>
      <c r="AI12" s="73">
        <f t="shared" si="28"/>
        <v>1143.2995780588396</v>
      </c>
      <c r="AJ12" s="289">
        <f t="shared" si="9"/>
        <v>0.25738396624472576</v>
      </c>
      <c r="AK12" s="289">
        <f t="shared" si="29"/>
        <v>163.3285111512628</v>
      </c>
    </row>
    <row r="13" spans="1:37" ht="15" thickBot="1">
      <c r="A13" s="4">
        <f>ELEC!C13</f>
        <v>44238</v>
      </c>
      <c r="B13" s="541">
        <v>9580</v>
      </c>
      <c r="C13" s="287">
        <f t="shared" si="11"/>
        <v>3</v>
      </c>
      <c r="D13" s="542">
        <v>317818</v>
      </c>
      <c r="E13" s="287">
        <f t="shared" si="12"/>
        <v>429</v>
      </c>
      <c r="F13" s="287">
        <f t="shared" si="0"/>
        <v>143</v>
      </c>
      <c r="G13" s="196"/>
      <c r="H13" s="270">
        <f t="shared" si="13"/>
        <v>9729</v>
      </c>
      <c r="I13" s="287" t="str">
        <f t="shared" si="1"/>
        <v>ok</v>
      </c>
      <c r="J13" s="542">
        <f t="shared" si="14"/>
        <v>10698</v>
      </c>
      <c r="K13" s="287">
        <f t="shared" si="2"/>
        <v>0</v>
      </c>
      <c r="L13" s="542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2">
        <v>11801</v>
      </c>
      <c r="S13" s="287">
        <f t="shared" si="5"/>
        <v>3</v>
      </c>
      <c r="T13" s="542">
        <f>T12+429</f>
        <v>379658</v>
      </c>
      <c r="U13" s="287">
        <f t="shared" si="30"/>
        <v>429</v>
      </c>
      <c r="V13" s="287">
        <f t="shared" si="31"/>
        <v>143</v>
      </c>
      <c r="W13" s="338"/>
      <c r="X13" s="288">
        <f t="shared" si="20"/>
        <v>11898</v>
      </c>
      <c r="Y13" s="287" t="str">
        <f t="shared" si="32"/>
        <v>ok</v>
      </c>
      <c r="Z13" s="287">
        <f t="shared" si="8"/>
        <v>6</v>
      </c>
      <c r="AA13" s="287">
        <f t="shared" si="21"/>
        <v>858</v>
      </c>
      <c r="AB13" s="287">
        <f t="shared" si="22"/>
        <v>286</v>
      </c>
      <c r="AC13" s="287">
        <f t="shared" si="23"/>
        <v>143</v>
      </c>
      <c r="AD13" s="73">
        <f>ELEC!Q13</f>
        <v>3998.9999999997963</v>
      </c>
      <c r="AE13" s="73">
        <f t="shared" si="25"/>
        <v>666.49999999996601</v>
      </c>
      <c r="AF13" s="403">
        <f t="shared" si="26"/>
        <v>0.41656249999997874</v>
      </c>
      <c r="AG13" s="404">
        <f t="shared" si="27"/>
        <v>133.29999999999319</v>
      </c>
      <c r="AH13" s="404">
        <f t="shared" si="24"/>
        <v>9.7000000000068098</v>
      </c>
      <c r="AI13" s="73">
        <f t="shared" si="28"/>
        <v>1029.2784810126059</v>
      </c>
      <c r="AJ13" s="289">
        <f t="shared" si="9"/>
        <v>0.25738396624472576</v>
      </c>
      <c r="AK13" s="289">
        <f t="shared" si="29"/>
        <v>171.54641350210099</v>
      </c>
    </row>
    <row r="14" spans="1:37" ht="15" thickBot="1">
      <c r="A14" s="4">
        <f>ELEC!C14</f>
        <v>44239</v>
      </c>
      <c r="B14" s="541">
        <v>9584</v>
      </c>
      <c r="C14" s="287">
        <f t="shared" si="11"/>
        <v>4</v>
      </c>
      <c r="D14" s="542">
        <v>318396</v>
      </c>
      <c r="E14" s="287">
        <f t="shared" si="12"/>
        <v>578</v>
      </c>
      <c r="F14" s="287">
        <f t="shared" si="0"/>
        <v>144.5</v>
      </c>
      <c r="G14" s="196"/>
      <c r="H14" s="270">
        <f t="shared" si="13"/>
        <v>9729</v>
      </c>
      <c r="I14" s="287" t="str">
        <f t="shared" si="1"/>
        <v>ok</v>
      </c>
      <c r="J14" s="542">
        <f t="shared" si="14"/>
        <v>10698</v>
      </c>
      <c r="K14" s="287">
        <f t="shared" si="2"/>
        <v>0</v>
      </c>
      <c r="L14" s="542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2">
        <v>11802</v>
      </c>
      <c r="S14" s="287">
        <f t="shared" si="5"/>
        <v>1</v>
      </c>
      <c r="T14" s="542">
        <f>T13+120</f>
        <v>379778</v>
      </c>
      <c r="U14" s="287">
        <f t="shared" si="30"/>
        <v>120</v>
      </c>
      <c r="V14" s="287">
        <f t="shared" si="31"/>
        <v>120</v>
      </c>
      <c r="W14" s="338"/>
      <c r="X14" s="288">
        <f t="shared" si="20"/>
        <v>11898</v>
      </c>
      <c r="Y14" s="287" t="str">
        <f t="shared" si="32"/>
        <v>ok</v>
      </c>
      <c r="Z14" s="287">
        <f t="shared" si="8"/>
        <v>5</v>
      </c>
      <c r="AA14" s="287">
        <f t="shared" si="21"/>
        <v>698</v>
      </c>
      <c r="AB14" s="287">
        <f t="shared" si="22"/>
        <v>264.5</v>
      </c>
      <c r="AC14" s="287">
        <f t="shared" si="23"/>
        <v>139.6</v>
      </c>
      <c r="AD14" s="73">
        <f>ELEC!Q14</f>
        <v>2628.0000000006112</v>
      </c>
      <c r="AE14" s="73">
        <f t="shared" si="25"/>
        <v>525.60000000012224</v>
      </c>
      <c r="AF14" s="403">
        <f t="shared" si="26"/>
        <v>0.3285000000000764</v>
      </c>
      <c r="AG14" s="404">
        <f t="shared" si="27"/>
        <v>105.12000000002445</v>
      </c>
      <c r="AH14" s="404">
        <f t="shared" si="24"/>
        <v>34.479999999975547</v>
      </c>
      <c r="AI14" s="73">
        <f t="shared" si="28"/>
        <v>676.40506329129664</v>
      </c>
      <c r="AJ14" s="289">
        <f t="shared" si="9"/>
        <v>0.25738396624472576</v>
      </c>
      <c r="AK14" s="289">
        <f t="shared" si="29"/>
        <v>135.28101265825933</v>
      </c>
    </row>
    <row r="15" spans="1:37" ht="15" thickBot="1">
      <c r="A15" s="4">
        <f>ELEC!C15</f>
        <v>44240</v>
      </c>
      <c r="B15" s="541">
        <v>9590</v>
      </c>
      <c r="C15" s="287">
        <f t="shared" si="11"/>
        <v>6</v>
      </c>
      <c r="D15" s="542">
        <v>319881</v>
      </c>
      <c r="E15" s="287">
        <f t="shared" si="12"/>
        <v>1485</v>
      </c>
      <c r="F15" s="287">
        <f t="shared" si="0"/>
        <v>247.5</v>
      </c>
      <c r="G15" s="196"/>
      <c r="H15" s="270">
        <f t="shared" si="13"/>
        <v>9729</v>
      </c>
      <c r="I15" s="287" t="str">
        <f t="shared" si="1"/>
        <v>ok</v>
      </c>
      <c r="J15" s="542">
        <f t="shared" si="14"/>
        <v>10698</v>
      </c>
      <c r="K15" s="287">
        <f t="shared" si="2"/>
        <v>0</v>
      </c>
      <c r="L15" s="542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2">
        <f t="shared" si="17"/>
        <v>11802</v>
      </c>
      <c r="S15" s="287">
        <f t="shared" si="5"/>
        <v>0</v>
      </c>
      <c r="T15" s="542">
        <f t="shared" si="18"/>
        <v>379778</v>
      </c>
      <c r="U15" s="287">
        <f t="shared" si="30"/>
        <v>0</v>
      </c>
      <c r="V15" s="287">
        <f t="shared" si="31"/>
        <v>0</v>
      </c>
      <c r="W15" s="338"/>
      <c r="X15" s="288">
        <f t="shared" si="20"/>
        <v>11898</v>
      </c>
      <c r="Y15" s="287" t="str">
        <f t="shared" si="32"/>
        <v>ok</v>
      </c>
      <c r="Z15" s="287">
        <f t="shared" si="8"/>
        <v>6</v>
      </c>
      <c r="AA15" s="287">
        <f t="shared" si="21"/>
        <v>1485</v>
      </c>
      <c r="AB15" s="287">
        <f t="shared" si="22"/>
        <v>247.5</v>
      </c>
      <c r="AC15" s="287">
        <f t="shared" si="23"/>
        <v>247.5</v>
      </c>
      <c r="AD15" s="73">
        <f>ELEC!Q15</f>
        <v>3238.999999997759</v>
      </c>
      <c r="AE15" s="73">
        <f t="shared" si="25"/>
        <v>539.8333333329598</v>
      </c>
      <c r="AF15" s="403">
        <f t="shared" si="26"/>
        <v>0.33739583333309986</v>
      </c>
      <c r="AG15" s="404">
        <f t="shared" si="27"/>
        <v>107.96666666659195</v>
      </c>
      <c r="AH15" s="404">
        <f t="shared" si="24"/>
        <v>139.53333333340805</v>
      </c>
      <c r="AI15" s="73">
        <f t="shared" si="28"/>
        <v>833.6666666660899</v>
      </c>
      <c r="AJ15" s="289">
        <f t="shared" si="9"/>
        <v>0.25738396624472576</v>
      </c>
      <c r="AK15" s="289">
        <f t="shared" si="29"/>
        <v>138.94444444434831</v>
      </c>
    </row>
    <row r="16" spans="1:37" ht="15" thickBot="1">
      <c r="A16" s="4">
        <f>ELEC!C16</f>
        <v>44241</v>
      </c>
      <c r="B16" s="541">
        <v>9596</v>
      </c>
      <c r="C16" s="287">
        <f t="shared" si="11"/>
        <v>6</v>
      </c>
      <c r="D16" s="542">
        <v>320871</v>
      </c>
      <c r="E16" s="287">
        <f t="shared" si="12"/>
        <v>990</v>
      </c>
      <c r="F16" s="287">
        <f t="shared" si="0"/>
        <v>165</v>
      </c>
      <c r="G16" s="196"/>
      <c r="H16" s="270">
        <f t="shared" si="13"/>
        <v>9729</v>
      </c>
      <c r="I16" s="287" t="str">
        <f t="shared" si="1"/>
        <v>ok</v>
      </c>
      <c r="J16" s="542">
        <f t="shared" si="14"/>
        <v>10698</v>
      </c>
      <c r="K16" s="287">
        <f t="shared" si="2"/>
        <v>0</v>
      </c>
      <c r="L16" s="542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2">
        <f t="shared" si="17"/>
        <v>11802</v>
      </c>
      <c r="S16" s="287">
        <f t="shared" si="5"/>
        <v>0</v>
      </c>
      <c r="T16" s="542">
        <f t="shared" si="18"/>
        <v>379778</v>
      </c>
      <c r="U16" s="287">
        <f t="shared" si="30"/>
        <v>0</v>
      </c>
      <c r="V16" s="287">
        <f t="shared" si="31"/>
        <v>0</v>
      </c>
      <c r="W16" s="338"/>
      <c r="X16" s="288">
        <f t="shared" si="20"/>
        <v>11898</v>
      </c>
      <c r="Y16" s="287" t="str">
        <f t="shared" si="32"/>
        <v>ok</v>
      </c>
      <c r="Z16" s="287">
        <f t="shared" si="8"/>
        <v>6</v>
      </c>
      <c r="AA16" s="287">
        <f t="shared" si="21"/>
        <v>990</v>
      </c>
      <c r="AB16" s="287">
        <f t="shared" si="22"/>
        <v>165</v>
      </c>
      <c r="AC16" s="287">
        <f t="shared" si="23"/>
        <v>165</v>
      </c>
      <c r="AD16" s="73">
        <f>ELEC!Q16</f>
        <v>3654.0000000022701</v>
      </c>
      <c r="AE16" s="73">
        <f t="shared" si="25"/>
        <v>609.00000000037835</v>
      </c>
      <c r="AF16" s="403">
        <f t="shared" si="26"/>
        <v>0.38062500000023647</v>
      </c>
      <c r="AG16" s="404">
        <f t="shared" si="27"/>
        <v>121.80000000007567</v>
      </c>
      <c r="AH16" s="404">
        <f t="shared" si="24"/>
        <v>43.19999999992433</v>
      </c>
      <c r="AI16" s="73">
        <f t="shared" si="28"/>
        <v>940.48101265881223</v>
      </c>
      <c r="AJ16" s="289">
        <f t="shared" si="9"/>
        <v>0.25738396624472576</v>
      </c>
      <c r="AK16" s="289">
        <f t="shared" si="29"/>
        <v>156.74683544313538</v>
      </c>
    </row>
    <row r="17" spans="1:37" ht="15" thickBot="1">
      <c r="A17" s="4">
        <f>ELEC!C17</f>
        <v>44242</v>
      </c>
      <c r="B17" s="541">
        <v>9602</v>
      </c>
      <c r="C17" s="287">
        <f t="shared" si="11"/>
        <v>6</v>
      </c>
      <c r="D17" s="542">
        <v>321924</v>
      </c>
      <c r="E17" s="287">
        <f t="shared" si="12"/>
        <v>1053</v>
      </c>
      <c r="F17" s="287">
        <f t="shared" si="0"/>
        <v>175.5</v>
      </c>
      <c r="G17" s="196"/>
      <c r="H17" s="270">
        <f t="shared" si="13"/>
        <v>9729</v>
      </c>
      <c r="I17" s="287" t="str">
        <f t="shared" si="1"/>
        <v>ok</v>
      </c>
      <c r="J17" s="542">
        <f t="shared" si="14"/>
        <v>10698</v>
      </c>
      <c r="K17" s="287">
        <f t="shared" si="2"/>
        <v>0</v>
      </c>
      <c r="L17" s="542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2">
        <f t="shared" si="17"/>
        <v>11802</v>
      </c>
      <c r="S17" s="287">
        <f t="shared" si="5"/>
        <v>0</v>
      </c>
      <c r="T17" s="542">
        <f t="shared" si="18"/>
        <v>379778</v>
      </c>
      <c r="U17" s="287">
        <f t="shared" si="30"/>
        <v>0</v>
      </c>
      <c r="V17" s="287">
        <f t="shared" si="31"/>
        <v>0</v>
      </c>
      <c r="W17" s="338"/>
      <c r="X17" s="288">
        <f t="shared" si="20"/>
        <v>11898</v>
      </c>
      <c r="Y17" s="287" t="str">
        <f t="shared" si="32"/>
        <v>ok</v>
      </c>
      <c r="Z17" s="287">
        <f t="shared" si="8"/>
        <v>6</v>
      </c>
      <c r="AA17" s="287">
        <f t="shared" si="21"/>
        <v>1053</v>
      </c>
      <c r="AB17" s="287">
        <f t="shared" si="22"/>
        <v>175.5</v>
      </c>
      <c r="AC17" s="287">
        <f t="shared" si="23"/>
        <v>175.5</v>
      </c>
      <c r="AD17" s="73">
        <f>ELEC!Q17</f>
        <v>3980.9999999997672</v>
      </c>
      <c r="AE17" s="73">
        <f t="shared" si="25"/>
        <v>663.49999999996123</v>
      </c>
      <c r="AF17" s="403">
        <f t="shared" si="26"/>
        <v>0.41468749999997578</v>
      </c>
      <c r="AG17" s="404">
        <f t="shared" si="27"/>
        <v>132.69999999999226</v>
      </c>
      <c r="AH17" s="404">
        <f t="shared" si="24"/>
        <v>42.800000000007742</v>
      </c>
      <c r="AI17" s="73">
        <f t="shared" si="28"/>
        <v>1024.6455696201933</v>
      </c>
      <c r="AJ17" s="289">
        <f t="shared" si="9"/>
        <v>0.25738396624472576</v>
      </c>
      <c r="AK17" s="289">
        <f t="shared" ref="AK17:AK30" si="33">IF(Z17&gt;0,AI17/Z17,0)</f>
        <v>170.77426160336555</v>
      </c>
    </row>
    <row r="18" spans="1:37" ht="15" thickBot="1">
      <c r="A18" s="4">
        <f>ELEC!C18</f>
        <v>44243</v>
      </c>
      <c r="B18" s="541">
        <v>9606</v>
      </c>
      <c r="C18" s="287">
        <f t="shared" si="11"/>
        <v>4</v>
      </c>
      <c r="D18" s="542">
        <v>322554</v>
      </c>
      <c r="E18" s="287">
        <f t="shared" si="12"/>
        <v>630</v>
      </c>
      <c r="F18" s="287">
        <f t="shared" si="0"/>
        <v>157.5</v>
      </c>
      <c r="G18" s="196"/>
      <c r="H18" s="270">
        <f t="shared" si="13"/>
        <v>9729</v>
      </c>
      <c r="I18" s="287" t="str">
        <f t="shared" si="1"/>
        <v>ok</v>
      </c>
      <c r="J18" s="542">
        <f t="shared" si="14"/>
        <v>10698</v>
      </c>
      <c r="K18" s="287">
        <f t="shared" si="2"/>
        <v>0</v>
      </c>
      <c r="L18" s="542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2">
        <f t="shared" si="17"/>
        <v>11802</v>
      </c>
      <c r="S18" s="287">
        <f t="shared" si="5"/>
        <v>0</v>
      </c>
      <c r="T18" s="542">
        <f t="shared" si="18"/>
        <v>379778</v>
      </c>
      <c r="U18" s="287">
        <f t="shared" si="30"/>
        <v>0</v>
      </c>
      <c r="V18" s="287">
        <f t="shared" si="31"/>
        <v>0</v>
      </c>
      <c r="W18" s="338"/>
      <c r="X18" s="288">
        <f t="shared" si="20"/>
        <v>11898</v>
      </c>
      <c r="Y18" s="287" t="str">
        <f t="shared" si="32"/>
        <v>ok</v>
      </c>
      <c r="Z18" s="287">
        <f t="shared" si="8"/>
        <v>4</v>
      </c>
      <c r="AA18" s="287">
        <f t="shared" si="21"/>
        <v>630</v>
      </c>
      <c r="AB18" s="287">
        <f t="shared" si="22"/>
        <v>157.5</v>
      </c>
      <c r="AC18" s="287">
        <f t="shared" si="23"/>
        <v>157.5</v>
      </c>
      <c r="AD18" s="73">
        <f>ELEC!Q18</f>
        <v>2308.0000000009022</v>
      </c>
      <c r="AE18" s="73">
        <f t="shared" si="25"/>
        <v>577.00000000022555</v>
      </c>
      <c r="AF18" s="403">
        <f t="shared" si="26"/>
        <v>0.36062500000014097</v>
      </c>
      <c r="AG18" s="404">
        <f t="shared" si="27"/>
        <v>115.40000000004511</v>
      </c>
      <c r="AH18" s="404">
        <f t="shared" si="24"/>
        <v>42.099999999954889</v>
      </c>
      <c r="AI18" s="73">
        <f t="shared" si="28"/>
        <v>594.04219409305927</v>
      </c>
      <c r="AJ18" s="289">
        <f t="shared" si="9"/>
        <v>0.25738396624472576</v>
      </c>
      <c r="AK18" s="289">
        <f t="shared" si="33"/>
        <v>148.51054852326482</v>
      </c>
    </row>
    <row r="19" spans="1:37" ht="15" thickBot="1">
      <c r="A19" s="4">
        <f>ELEC!C19</f>
        <v>44244</v>
      </c>
      <c r="B19" s="541">
        <f t="shared" ref="B18:B30" si="34">B18</f>
        <v>9606</v>
      </c>
      <c r="C19" s="287">
        <f t="shared" si="11"/>
        <v>0</v>
      </c>
      <c r="D19" s="542">
        <f t="shared" ref="D18:D30" si="35">D18</f>
        <v>322554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2">
        <f t="shared" si="14"/>
        <v>10698</v>
      </c>
      <c r="K19" s="287">
        <f t="shared" si="2"/>
        <v>0</v>
      </c>
      <c r="L19" s="542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6">IF(J19-P19&lt;=0,"ok","oil change")</f>
        <v>ok</v>
      </c>
      <c r="R19" s="542">
        <f t="shared" si="17"/>
        <v>11802</v>
      </c>
      <c r="S19" s="287">
        <f t="shared" si="5"/>
        <v>0</v>
      </c>
      <c r="T19" s="542">
        <f t="shared" si="18"/>
        <v>379778</v>
      </c>
      <c r="U19" s="287">
        <f t="shared" si="30"/>
        <v>0</v>
      </c>
      <c r="V19" s="287">
        <f t="shared" si="31"/>
        <v>0</v>
      </c>
      <c r="W19" s="338"/>
      <c r="X19" s="288">
        <f t="shared" si="20"/>
        <v>11898</v>
      </c>
      <c r="Y19" s="287" t="str">
        <f t="shared" si="32"/>
        <v>ok</v>
      </c>
      <c r="Z19" s="287">
        <f t="shared" si="8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9"/>
        <v>0.25738396624472576</v>
      </c>
      <c r="AK19" s="289">
        <f t="shared" si="33"/>
        <v>0</v>
      </c>
    </row>
    <row r="20" spans="1:37" ht="15" thickBot="1">
      <c r="A20" s="4">
        <f>ELEC!C20</f>
        <v>44245</v>
      </c>
      <c r="B20" s="541">
        <f t="shared" si="34"/>
        <v>9606</v>
      </c>
      <c r="C20" s="287">
        <f>B20-B19</f>
        <v>0</v>
      </c>
      <c r="D20" s="542">
        <f t="shared" si="35"/>
        <v>322554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2">
        <f t="shared" si="14"/>
        <v>10698</v>
      </c>
      <c r="K20" s="287">
        <f t="shared" si="2"/>
        <v>0</v>
      </c>
      <c r="L20" s="542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6"/>
        <v>ok</v>
      </c>
      <c r="R20" s="542">
        <f t="shared" si="17"/>
        <v>11802</v>
      </c>
      <c r="S20" s="287">
        <f t="shared" si="5"/>
        <v>0</v>
      </c>
      <c r="T20" s="542">
        <f t="shared" si="18"/>
        <v>379778</v>
      </c>
      <c r="U20" s="287">
        <f t="shared" si="30"/>
        <v>0</v>
      </c>
      <c r="V20" s="287">
        <f t="shared" si="31"/>
        <v>0</v>
      </c>
      <c r="W20" s="338"/>
      <c r="X20" s="288">
        <f t="shared" si="20"/>
        <v>11898</v>
      </c>
      <c r="Y20" s="287" t="str">
        <f t="shared" si="32"/>
        <v>ok</v>
      </c>
      <c r="Z20" s="287">
        <f t="shared" si="8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9"/>
        <v>0.25738396624472576</v>
      </c>
      <c r="AK20" s="289">
        <f t="shared" si="33"/>
        <v>0</v>
      </c>
    </row>
    <row r="21" spans="1:37" ht="15" thickBot="1">
      <c r="A21" s="4">
        <f>ELEC!C21</f>
        <v>44246</v>
      </c>
      <c r="B21" s="541">
        <f t="shared" si="34"/>
        <v>9606</v>
      </c>
      <c r="C21" s="287">
        <f t="shared" ref="C21" si="37">B21-B20</f>
        <v>0</v>
      </c>
      <c r="D21" s="542">
        <f t="shared" si="35"/>
        <v>322554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2">
        <f t="shared" si="14"/>
        <v>10698</v>
      </c>
      <c r="K21" s="287">
        <f t="shared" si="2"/>
        <v>0</v>
      </c>
      <c r="L21" s="542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6"/>
        <v>ok</v>
      </c>
      <c r="R21" s="542">
        <f t="shared" si="17"/>
        <v>11802</v>
      </c>
      <c r="S21" s="287">
        <f t="shared" si="5"/>
        <v>0</v>
      </c>
      <c r="T21" s="542">
        <f t="shared" si="18"/>
        <v>379778</v>
      </c>
      <c r="U21" s="287">
        <f t="shared" ref="U21:U30" si="38">SUM(T21-T20)</f>
        <v>0</v>
      </c>
      <c r="V21" s="287">
        <f t="shared" si="19"/>
        <v>0</v>
      </c>
      <c r="W21" s="196"/>
      <c r="X21" s="288">
        <f t="shared" si="20"/>
        <v>11898</v>
      </c>
      <c r="Y21" s="287" t="str">
        <f>Y20</f>
        <v>ok</v>
      </c>
      <c r="Z21" s="287">
        <f t="shared" si="8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9"/>
        <v>0.25738396624472576</v>
      </c>
      <c r="AK21" s="289">
        <f t="shared" si="33"/>
        <v>0</v>
      </c>
    </row>
    <row r="22" spans="1:37" ht="15" thickBot="1">
      <c r="A22" s="4">
        <f>ELEC!C22</f>
        <v>44247</v>
      </c>
      <c r="B22" s="541">
        <f t="shared" si="34"/>
        <v>9606</v>
      </c>
      <c r="C22" s="287">
        <f t="shared" si="11"/>
        <v>0</v>
      </c>
      <c r="D22" s="542">
        <f t="shared" si="35"/>
        <v>322554</v>
      </c>
      <c r="E22" s="287">
        <f t="shared" si="12"/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2">
        <f t="shared" si="14"/>
        <v>10698</v>
      </c>
      <c r="K22" s="287">
        <f t="shared" si="2"/>
        <v>0</v>
      </c>
      <c r="L22" s="542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6"/>
        <v>ok</v>
      </c>
      <c r="R22" s="542">
        <f t="shared" si="17"/>
        <v>11802</v>
      </c>
      <c r="S22" s="287">
        <f t="shared" si="5"/>
        <v>0</v>
      </c>
      <c r="T22" s="542">
        <f t="shared" si="18"/>
        <v>379778</v>
      </c>
      <c r="U22" s="287">
        <f t="shared" si="38"/>
        <v>0</v>
      </c>
      <c r="V22" s="287">
        <f t="shared" si="19"/>
        <v>0</v>
      </c>
      <c r="W22" s="196"/>
      <c r="X22" s="288">
        <f t="shared" si="20"/>
        <v>11898</v>
      </c>
      <c r="Y22" s="287" t="str">
        <f t="shared" ref="Y22:Y30" si="39">IF(R22-X22&lt;=0,"ok","oil change")</f>
        <v>ok</v>
      </c>
      <c r="Z22" s="287">
        <f t="shared" si="8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9"/>
        <v>0.25738396624472576</v>
      </c>
      <c r="AK22" s="289">
        <f t="shared" si="33"/>
        <v>0</v>
      </c>
    </row>
    <row r="23" spans="1:37" ht="15" thickBot="1">
      <c r="A23" s="4">
        <f>ELEC!C23</f>
        <v>44248</v>
      </c>
      <c r="B23" s="541">
        <f t="shared" si="34"/>
        <v>9606</v>
      </c>
      <c r="C23" s="287">
        <f t="shared" si="11"/>
        <v>0</v>
      </c>
      <c r="D23" s="542">
        <f t="shared" si="35"/>
        <v>322554</v>
      </c>
      <c r="E23" s="287">
        <f t="shared" si="12"/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2">
        <f t="shared" si="14"/>
        <v>10698</v>
      </c>
      <c r="K23" s="287">
        <f t="shared" si="2"/>
        <v>0</v>
      </c>
      <c r="L23" s="542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6"/>
        <v>ok</v>
      </c>
      <c r="R23" s="542">
        <f t="shared" si="17"/>
        <v>11802</v>
      </c>
      <c r="S23" s="287">
        <f t="shared" si="5"/>
        <v>0</v>
      </c>
      <c r="T23" s="542">
        <f t="shared" si="18"/>
        <v>379778</v>
      </c>
      <c r="U23" s="287">
        <f t="shared" si="38"/>
        <v>0</v>
      </c>
      <c r="V23" s="287">
        <f t="shared" si="19"/>
        <v>0</v>
      </c>
      <c r="W23" s="196"/>
      <c r="X23" s="288">
        <f t="shared" si="20"/>
        <v>11898</v>
      </c>
      <c r="Y23" s="287" t="str">
        <f t="shared" si="39"/>
        <v>ok</v>
      </c>
      <c r="Z23" s="287">
        <f t="shared" si="8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9"/>
        <v>0.25738396624472576</v>
      </c>
      <c r="AK23" s="289">
        <f t="shared" si="33"/>
        <v>0</v>
      </c>
    </row>
    <row r="24" spans="1:37" ht="15" thickBot="1">
      <c r="A24" s="4">
        <f>ELEC!C24</f>
        <v>44249</v>
      </c>
      <c r="B24" s="541">
        <f t="shared" si="34"/>
        <v>9606</v>
      </c>
      <c r="C24" s="287">
        <f t="shared" si="11"/>
        <v>0</v>
      </c>
      <c r="D24" s="542">
        <f t="shared" si="35"/>
        <v>322554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2">
        <f t="shared" si="14"/>
        <v>10698</v>
      </c>
      <c r="K24" s="287">
        <f t="shared" si="2"/>
        <v>0</v>
      </c>
      <c r="L24" s="542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6"/>
        <v>ok</v>
      </c>
      <c r="R24" s="542">
        <f t="shared" si="17"/>
        <v>11802</v>
      </c>
      <c r="S24" s="287">
        <f t="shared" si="5"/>
        <v>0</v>
      </c>
      <c r="T24" s="542">
        <f t="shared" si="18"/>
        <v>379778</v>
      </c>
      <c r="U24" s="287">
        <f t="shared" si="38"/>
        <v>0</v>
      </c>
      <c r="V24" s="287">
        <f t="shared" si="19"/>
        <v>0</v>
      </c>
      <c r="W24" s="196"/>
      <c r="X24" s="288">
        <f t="shared" si="20"/>
        <v>11898</v>
      </c>
      <c r="Y24" s="287" t="str">
        <f t="shared" si="39"/>
        <v>ok</v>
      </c>
      <c r="Z24" s="287">
        <f t="shared" si="8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9"/>
        <v>0.25738396624472576</v>
      </c>
      <c r="AK24" s="289">
        <f t="shared" si="33"/>
        <v>0</v>
      </c>
    </row>
    <row r="25" spans="1:37" ht="15" thickBot="1">
      <c r="A25" s="4">
        <f>ELEC!C25</f>
        <v>44250</v>
      </c>
      <c r="B25" s="541">
        <f t="shared" si="34"/>
        <v>9606</v>
      </c>
      <c r="C25" s="287">
        <f t="shared" si="11"/>
        <v>0</v>
      </c>
      <c r="D25" s="542">
        <f t="shared" si="35"/>
        <v>322554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2">
        <f t="shared" si="14"/>
        <v>10698</v>
      </c>
      <c r="K25" s="287">
        <f t="shared" si="2"/>
        <v>0</v>
      </c>
      <c r="L25" s="542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6"/>
        <v>ok</v>
      </c>
      <c r="R25" s="542">
        <f t="shared" si="17"/>
        <v>11802</v>
      </c>
      <c r="S25" s="287">
        <f t="shared" si="5"/>
        <v>0</v>
      </c>
      <c r="T25" s="542">
        <f t="shared" si="18"/>
        <v>379778</v>
      </c>
      <c r="U25" s="287">
        <f t="shared" si="38"/>
        <v>0</v>
      </c>
      <c r="V25" s="287">
        <f t="shared" si="19"/>
        <v>0</v>
      </c>
      <c r="W25" s="196"/>
      <c r="X25" s="288">
        <f t="shared" si="20"/>
        <v>11898</v>
      </c>
      <c r="Y25" s="287" t="str">
        <f t="shared" si="39"/>
        <v>ok</v>
      </c>
      <c r="Z25" s="287">
        <f t="shared" si="8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9"/>
        <v>0.25738396624472576</v>
      </c>
      <c r="AK25" s="289">
        <f t="shared" si="33"/>
        <v>0</v>
      </c>
    </row>
    <row r="26" spans="1:37" ht="15" thickBot="1">
      <c r="A26" s="4">
        <f>ELEC!C26</f>
        <v>44251</v>
      </c>
      <c r="B26" s="541">
        <f t="shared" si="34"/>
        <v>9606</v>
      </c>
      <c r="C26" s="287">
        <f t="shared" si="11"/>
        <v>0</v>
      </c>
      <c r="D26" s="542">
        <f t="shared" si="35"/>
        <v>322554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2">
        <f t="shared" si="14"/>
        <v>10698</v>
      </c>
      <c r="K26" s="287">
        <f t="shared" si="2"/>
        <v>0</v>
      </c>
      <c r="L26" s="542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6"/>
        <v>ok</v>
      </c>
      <c r="R26" s="542">
        <f t="shared" si="17"/>
        <v>11802</v>
      </c>
      <c r="S26" s="287">
        <f t="shared" si="5"/>
        <v>0</v>
      </c>
      <c r="T26" s="542">
        <f t="shared" si="18"/>
        <v>379778</v>
      </c>
      <c r="U26" s="287">
        <f t="shared" si="38"/>
        <v>0</v>
      </c>
      <c r="V26" s="287">
        <f t="shared" si="19"/>
        <v>0</v>
      </c>
      <c r="W26" s="196"/>
      <c r="X26" s="288">
        <f t="shared" si="20"/>
        <v>11898</v>
      </c>
      <c r="Y26" s="287" t="str">
        <f t="shared" si="39"/>
        <v>ok</v>
      </c>
      <c r="Z26" s="287">
        <f t="shared" si="8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9"/>
        <v>0.25738396624472576</v>
      </c>
      <c r="AK26" s="289">
        <f t="shared" si="33"/>
        <v>0</v>
      </c>
    </row>
    <row r="27" spans="1:37" ht="15" thickBot="1">
      <c r="A27" s="4">
        <f>ELEC!C27</f>
        <v>44252</v>
      </c>
      <c r="B27" s="541">
        <f t="shared" si="34"/>
        <v>9606</v>
      </c>
      <c r="C27" s="287">
        <f t="shared" si="11"/>
        <v>0</v>
      </c>
      <c r="D27" s="542">
        <f t="shared" si="35"/>
        <v>322554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2">
        <f t="shared" si="14"/>
        <v>10698</v>
      </c>
      <c r="K27" s="287">
        <f t="shared" si="2"/>
        <v>0</v>
      </c>
      <c r="L27" s="542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6"/>
        <v>ok</v>
      </c>
      <c r="R27" s="542">
        <f t="shared" si="17"/>
        <v>11802</v>
      </c>
      <c r="S27" s="287">
        <f t="shared" si="5"/>
        <v>0</v>
      </c>
      <c r="T27" s="542">
        <f t="shared" si="18"/>
        <v>379778</v>
      </c>
      <c r="U27" s="287">
        <f t="shared" si="38"/>
        <v>0</v>
      </c>
      <c r="V27" s="287">
        <f t="shared" si="19"/>
        <v>0</v>
      </c>
      <c r="W27" s="196"/>
      <c r="X27" s="288">
        <f t="shared" si="20"/>
        <v>11898</v>
      </c>
      <c r="Y27" s="287" t="str">
        <f t="shared" si="39"/>
        <v>ok</v>
      </c>
      <c r="Z27" s="287">
        <f t="shared" si="8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9"/>
        <v>0.25738396624472576</v>
      </c>
      <c r="AK27" s="289">
        <f t="shared" si="33"/>
        <v>0</v>
      </c>
    </row>
    <row r="28" spans="1:37" ht="15" thickBot="1">
      <c r="A28" s="4">
        <f>ELEC!C28</f>
        <v>44253</v>
      </c>
      <c r="B28" s="541">
        <f t="shared" si="34"/>
        <v>9606</v>
      </c>
      <c r="C28" s="287">
        <f t="shared" si="11"/>
        <v>0</v>
      </c>
      <c r="D28" s="542">
        <f t="shared" si="35"/>
        <v>322554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2">
        <f t="shared" si="14"/>
        <v>10698</v>
      </c>
      <c r="K28" s="287">
        <f t="shared" si="2"/>
        <v>0</v>
      </c>
      <c r="L28" s="542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6"/>
        <v>ok</v>
      </c>
      <c r="R28" s="542">
        <f t="shared" si="17"/>
        <v>11802</v>
      </c>
      <c r="S28" s="287">
        <f t="shared" si="5"/>
        <v>0</v>
      </c>
      <c r="T28" s="542">
        <f t="shared" si="18"/>
        <v>379778</v>
      </c>
      <c r="U28" s="287">
        <f t="shared" si="38"/>
        <v>0</v>
      </c>
      <c r="V28" s="287">
        <f t="shared" si="19"/>
        <v>0</v>
      </c>
      <c r="W28" s="196"/>
      <c r="X28" s="288">
        <f t="shared" si="20"/>
        <v>11898</v>
      </c>
      <c r="Y28" s="287" t="str">
        <f t="shared" si="39"/>
        <v>ok</v>
      </c>
      <c r="Z28" s="287">
        <f t="shared" si="8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9"/>
        <v>0.25738396624472576</v>
      </c>
      <c r="AK28" s="289">
        <f t="shared" si="33"/>
        <v>0</v>
      </c>
    </row>
    <row r="29" spans="1:37" ht="15" thickBot="1">
      <c r="A29" s="4">
        <f>ELEC!C29</f>
        <v>44254</v>
      </c>
      <c r="B29" s="541">
        <f t="shared" si="34"/>
        <v>9606</v>
      </c>
      <c r="C29" s="287">
        <f t="shared" si="11"/>
        <v>0</v>
      </c>
      <c r="D29" s="542">
        <f t="shared" si="35"/>
        <v>322554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2">
        <f t="shared" si="14"/>
        <v>10698</v>
      </c>
      <c r="K29" s="287">
        <f t="shared" si="2"/>
        <v>0</v>
      </c>
      <c r="L29" s="542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6"/>
        <v>ok</v>
      </c>
      <c r="R29" s="542">
        <f t="shared" si="17"/>
        <v>11802</v>
      </c>
      <c r="S29" s="287">
        <f t="shared" si="5"/>
        <v>0</v>
      </c>
      <c r="T29" s="542">
        <f t="shared" si="18"/>
        <v>379778</v>
      </c>
      <c r="U29" s="287">
        <f t="shared" si="38"/>
        <v>0</v>
      </c>
      <c r="V29" s="287">
        <f t="shared" si="19"/>
        <v>0</v>
      </c>
      <c r="W29" s="196"/>
      <c r="X29" s="288">
        <f t="shared" si="20"/>
        <v>11898</v>
      </c>
      <c r="Y29" s="287" t="str">
        <f t="shared" si="39"/>
        <v>ok</v>
      </c>
      <c r="Z29" s="287">
        <f t="shared" si="8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9"/>
        <v>0.25738396624472576</v>
      </c>
      <c r="AK29" s="289">
        <f t="shared" si="33"/>
        <v>0</v>
      </c>
    </row>
    <row r="30" spans="1:37">
      <c r="A30" s="4">
        <f>ELEC!C30</f>
        <v>44255</v>
      </c>
      <c r="B30" s="541">
        <f t="shared" si="34"/>
        <v>9606</v>
      </c>
      <c r="C30" s="287">
        <f t="shared" si="11"/>
        <v>0</v>
      </c>
      <c r="D30" s="542">
        <f t="shared" si="35"/>
        <v>322554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2">
        <f t="shared" si="14"/>
        <v>10698</v>
      </c>
      <c r="K30" s="287">
        <f t="shared" si="2"/>
        <v>0</v>
      </c>
      <c r="L30" s="542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6"/>
        <v>ok</v>
      </c>
      <c r="R30" s="542">
        <f t="shared" si="17"/>
        <v>11802</v>
      </c>
      <c r="S30" s="287">
        <f t="shared" si="5"/>
        <v>0</v>
      </c>
      <c r="T30" s="542">
        <f t="shared" si="18"/>
        <v>379778</v>
      </c>
      <c r="U30" s="287">
        <f t="shared" si="38"/>
        <v>0</v>
      </c>
      <c r="V30" s="287">
        <f t="shared" si="19"/>
        <v>0</v>
      </c>
      <c r="W30" s="285"/>
      <c r="X30" s="288">
        <f t="shared" si="20"/>
        <v>11898</v>
      </c>
      <c r="Y30" s="287" t="str">
        <f t="shared" si="39"/>
        <v>ok</v>
      </c>
      <c r="Z30" s="287">
        <f t="shared" si="8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9"/>
        <v>0.25738396624472576</v>
      </c>
      <c r="AK30" s="289">
        <f t="shared" si="33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72</v>
      </c>
      <c r="V31" s="40"/>
      <c r="X31">
        <v>341</v>
      </c>
      <c r="Z31" s="421">
        <f>SUM(Z3:Z30)</f>
        <v>72</v>
      </c>
    </row>
    <row r="32" spans="1:37">
      <c r="C32" s="40">
        <f>SUM(C3:C30)</f>
        <v>68</v>
      </c>
      <c r="K32" s="40">
        <f>SUM(K3:K30)</f>
        <v>0</v>
      </c>
      <c r="S32" s="40">
        <f>SUM(S3:S30)</f>
        <v>4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topLeftCell="K1" zoomScale="80" zoomScaleNormal="80" workbookViewId="0">
      <selection activeCell="X19" sqref="X19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7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1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" thickBot="1">
      <c r="A4" s="163">
        <f>ELEC!C3</f>
        <v>44228</v>
      </c>
      <c r="B4" s="540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40">
        <v>129225</v>
      </c>
      <c r="G4" s="160">
        <f t="shared" ref="G4:G31" si="1">F4-F3</f>
        <v>496</v>
      </c>
      <c r="H4" s="540">
        <v>427118</v>
      </c>
      <c r="I4" s="161">
        <f t="shared" ref="I4:I31" si="2">H4-H3</f>
        <v>1076</v>
      </c>
      <c r="J4" s="540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97.936616238535208</v>
      </c>
      <c r="P4" s="297">
        <f>SUM(L4:O4)</f>
        <v>332.359170135716</v>
      </c>
      <c r="Q4" s="297">
        <f>SUM(-tanks!AX6*tanks!$AU$34)</f>
        <v>370.24125268816618</v>
      </c>
      <c r="R4" s="297">
        <f>SUM(P4:Q4)</f>
        <v>702.60042282388213</v>
      </c>
      <c r="S4" s="299">
        <f>SUM(ELEC!N3)</f>
        <v>6404.3999999999069</v>
      </c>
      <c r="T4" s="336">
        <f>IF(S4&gt;0,R4/S4,0)</f>
        <v>0.10970589326461376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9"/>
      <c r="AC4" s="660"/>
    </row>
    <row r="5" spans="1:32" ht="15" thickBot="1">
      <c r="A5" s="163">
        <f>ELEC!C4</f>
        <v>44229</v>
      </c>
      <c r="B5" s="540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40">
        <v>129716</v>
      </c>
      <c r="G5" s="160">
        <f t="shared" si="1"/>
        <v>491</v>
      </c>
      <c r="H5" s="540">
        <v>428204</v>
      </c>
      <c r="I5" s="161">
        <f t="shared" si="2"/>
        <v>1086</v>
      </c>
      <c r="J5" s="540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97.936616238535208</v>
      </c>
      <c r="P5" s="297">
        <f t="shared" ref="P5:P31" si="9">SUM(L5:O5)</f>
        <v>317.44706399972927</v>
      </c>
      <c r="Q5" s="297">
        <f>SUM(-tanks!AX7*tanks!$AU$34)</f>
        <v>334.55506451612149</v>
      </c>
      <c r="R5" s="297">
        <f t="shared" ref="R5:R31" si="10">SUM(P5:Q5)</f>
        <v>652.0021285158507</v>
      </c>
      <c r="S5" s="299">
        <f>SUM(ELEC!N4)</f>
        <v>6622</v>
      </c>
      <c r="T5" s="336">
        <f>IF(S5&gt;0,R5/S5,0)</f>
        <v>9.8460001285993762E-2</v>
      </c>
      <c r="U5" s="250"/>
      <c r="V5" s="653"/>
      <c r="W5" s="654"/>
      <c r="X5" s="654"/>
      <c r="Y5" s="655"/>
      <c r="Z5" s="26" t="s">
        <v>203</v>
      </c>
      <c r="AA5" s="264">
        <f>'[7]EDl log'!AA22</f>
        <v>5000</v>
      </c>
      <c r="AB5" s="661"/>
      <c r="AC5" s="662"/>
    </row>
    <row r="6" spans="1:32" ht="15" thickBot="1">
      <c r="A6" s="163">
        <f>ELEC!C5</f>
        <v>44230</v>
      </c>
      <c r="B6" s="540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40">
        <v>129935</v>
      </c>
      <c r="G6" s="160">
        <f t="shared" si="1"/>
        <v>219</v>
      </c>
      <c r="H6" s="540">
        <v>429188</v>
      </c>
      <c r="I6" s="161">
        <f t="shared" si="2"/>
        <v>984</v>
      </c>
      <c r="J6" s="540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97.936616238535208</v>
      </c>
      <c r="P6" s="297">
        <f t="shared" si="9"/>
        <v>264.3896842319017</v>
      </c>
      <c r="Q6" s="297">
        <f>SUM(-tanks!AX8*tanks!$AU$34)</f>
        <v>457.28975268818328</v>
      </c>
      <c r="R6" s="297">
        <f t="shared" si="10"/>
        <v>721.67943692008498</v>
      </c>
      <c r="S6" s="299">
        <f>SUM(ELEC!N5)</f>
        <v>6753</v>
      </c>
      <c r="T6" s="336">
        <f t="shared" ref="T6:T31" si="12">IF(S6&gt;0,R6/S6,0)</f>
        <v>0.10686797525841625</v>
      </c>
      <c r="V6" s="656"/>
      <c r="W6" s="657"/>
      <c r="X6" s="657"/>
      <c r="Y6" s="658"/>
      <c r="Z6" s="3"/>
      <c r="AA6" s="3"/>
      <c r="AB6" s="661"/>
      <c r="AC6" s="662"/>
    </row>
    <row r="7" spans="1:32" ht="15" customHeight="1" thickBot="1">
      <c r="A7" s="163">
        <f>ELEC!C6</f>
        <v>44231</v>
      </c>
      <c r="B7" s="540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40">
        <v>130413</v>
      </c>
      <c r="G7" s="160">
        <f t="shared" si="1"/>
        <v>478</v>
      </c>
      <c r="H7" s="540">
        <v>430047</v>
      </c>
      <c r="I7" s="161">
        <f t="shared" si="2"/>
        <v>859</v>
      </c>
      <c r="J7" s="540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97.936616238535208</v>
      </c>
      <c r="P7" s="297">
        <f t="shared" si="9"/>
        <v>306.63180695163635</v>
      </c>
      <c r="Q7" s="297">
        <f>SUM(-tanks!AX9*tanks!$AU$34)</f>
        <v>445.09808602150952</v>
      </c>
      <c r="R7" s="297">
        <f t="shared" si="10"/>
        <v>751.72989297314587</v>
      </c>
      <c r="S7" s="299">
        <f>SUM(ELEC!N6)</f>
        <v>6587</v>
      </c>
      <c r="T7" s="336">
        <f t="shared" si="12"/>
        <v>0.11412325686551478</v>
      </c>
      <c r="V7" s="649" t="s">
        <v>204</v>
      </c>
      <c r="W7" s="650"/>
      <c r="X7" s="651" t="s">
        <v>205</v>
      </c>
      <c r="Y7" s="652"/>
      <c r="Z7" s="650"/>
      <c r="AA7" s="26"/>
      <c r="AB7" s="663"/>
      <c r="AC7" s="664"/>
    </row>
    <row r="8" spans="1:32" ht="15.75" customHeight="1" thickBot="1">
      <c r="A8" s="163">
        <f>ELEC!C7</f>
        <v>44232</v>
      </c>
      <c r="B8" s="540">
        <v>864742</v>
      </c>
      <c r="C8" s="264">
        <f t="shared" si="0"/>
        <v>2146</v>
      </c>
      <c r="D8" s="308">
        <f t="shared" si="8"/>
        <v>2147</v>
      </c>
      <c r="E8" s="308">
        <f t="shared" si="11"/>
        <v>864743</v>
      </c>
      <c r="F8" s="540">
        <v>130838</v>
      </c>
      <c r="G8" s="160">
        <f t="shared" si="1"/>
        <v>425</v>
      </c>
      <c r="H8" s="540">
        <v>430939</v>
      </c>
      <c r="I8" s="161">
        <f t="shared" si="2"/>
        <v>892</v>
      </c>
      <c r="J8" s="540">
        <v>302965</v>
      </c>
      <c r="K8" s="162">
        <f>J8-J7</f>
        <v>830</v>
      </c>
      <c r="L8" s="296">
        <f t="shared" si="4"/>
        <v>90.215588723051411</v>
      </c>
      <c r="M8" s="296">
        <f t="shared" si="5"/>
        <v>66.271310116086241</v>
      </c>
      <c r="N8" s="296">
        <f t="shared" si="6"/>
        <v>44.046434494195687</v>
      </c>
      <c r="O8" s="296">
        <f t="shared" si="7"/>
        <v>97.936616238535208</v>
      </c>
      <c r="P8" s="297">
        <f t="shared" si="9"/>
        <v>298.4699495718686</v>
      </c>
      <c r="Q8" s="297">
        <f>SUM(-tanks!AX10*tanks!$AU$34)</f>
        <v>-216.82289247312377</v>
      </c>
      <c r="R8" s="297">
        <f t="shared" si="10"/>
        <v>81.647057098744824</v>
      </c>
      <c r="S8" s="299">
        <f>SUM(ELEC!N7)</f>
        <v>5932</v>
      </c>
      <c r="T8" s="336">
        <f>IF(S8&gt;0,R8/S8,0)</f>
        <v>1.3763832956632641E-2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" thickBot="1">
      <c r="A9" s="163">
        <f>ELEC!C8</f>
        <v>44233</v>
      </c>
      <c r="B9" s="540">
        <v>867071</v>
      </c>
      <c r="C9" s="264">
        <f t="shared" si="0"/>
        <v>2329</v>
      </c>
      <c r="D9" s="308">
        <f t="shared" si="8"/>
        <v>2329</v>
      </c>
      <c r="E9" s="308">
        <f t="shared" si="11"/>
        <v>867071</v>
      </c>
      <c r="F9" s="540">
        <v>131316</v>
      </c>
      <c r="G9" s="160">
        <f t="shared" si="1"/>
        <v>478</v>
      </c>
      <c r="H9" s="540">
        <v>431779</v>
      </c>
      <c r="I9" s="161">
        <f t="shared" si="2"/>
        <v>840</v>
      </c>
      <c r="J9" s="540">
        <v>303976</v>
      </c>
      <c r="K9" s="162">
        <f>J9-J8</f>
        <v>1011</v>
      </c>
      <c r="L9" s="296">
        <f t="shared" si="4"/>
        <v>101.46600331674959</v>
      </c>
      <c r="M9" s="296">
        <f t="shared" si="5"/>
        <v>62.407960199004975</v>
      </c>
      <c r="N9" s="296">
        <f t="shared" si="6"/>
        <v>53.651741293532339</v>
      </c>
      <c r="O9" s="296">
        <f t="shared" si="7"/>
        <v>97.936616238535208</v>
      </c>
      <c r="P9" s="297">
        <f t="shared" si="9"/>
        <v>315.46232104782212</v>
      </c>
      <c r="Q9" s="297">
        <f>SUM(-tanks!AX11*tanks!$AU$34)</f>
        <v>262.86806451611437</v>
      </c>
      <c r="R9" s="297">
        <f>SUM(P9:Q9)</f>
        <v>578.33038556393649</v>
      </c>
      <c r="S9" s="299">
        <f>SUM(ELEC!N8)</f>
        <v>5977</v>
      </c>
      <c r="T9" s="336">
        <f t="shared" si="12"/>
        <v>9.6759308275712982E-2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" thickBot="1">
      <c r="A10" s="163">
        <f>ELEC!C9</f>
        <v>44234</v>
      </c>
      <c r="B10" s="540">
        <v>869480</v>
      </c>
      <c r="C10" s="264">
        <f t="shared" si="0"/>
        <v>2409</v>
      </c>
      <c r="D10" s="308">
        <f t="shared" si="8"/>
        <v>2408</v>
      </c>
      <c r="E10" s="308">
        <f t="shared" si="11"/>
        <v>869479</v>
      </c>
      <c r="F10" s="540">
        <v>131674</v>
      </c>
      <c r="G10" s="160">
        <f t="shared" si="1"/>
        <v>358</v>
      </c>
      <c r="H10" s="540">
        <v>432965</v>
      </c>
      <c r="I10" s="161">
        <f t="shared" si="2"/>
        <v>1186</v>
      </c>
      <c r="J10" s="540">
        <v>304840</v>
      </c>
      <c r="K10" s="162">
        <f t="shared" si="3"/>
        <v>864</v>
      </c>
      <c r="L10" s="296">
        <f t="shared" si="4"/>
        <v>75.993366500829183</v>
      </c>
      <c r="M10" s="296">
        <f t="shared" si="5"/>
        <v>88.114096185737978</v>
      </c>
      <c r="N10" s="296">
        <f t="shared" si="6"/>
        <v>45.850746268656714</v>
      </c>
      <c r="O10" s="296">
        <f t="shared" si="7"/>
        <v>97.936616238535208</v>
      </c>
      <c r="P10" s="297">
        <f t="shared" si="9"/>
        <v>307.89482519375906</v>
      </c>
      <c r="Q10" s="297">
        <f>SUM(-tanks!AX12*tanks!$AU$34)</f>
        <v>462.16641935484284</v>
      </c>
      <c r="R10" s="297">
        <f t="shared" si="10"/>
        <v>770.06124454860196</v>
      </c>
      <c r="S10" s="299">
        <f>SUM(ELEC!N9)</f>
        <v>6551.2000000001863</v>
      </c>
      <c r="T10" s="336">
        <f t="shared" si="12"/>
        <v>0.11754506724700514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" thickBot="1">
      <c r="A11" s="163">
        <f>ELEC!C10</f>
        <v>44235</v>
      </c>
      <c r="B11" s="540">
        <v>871763</v>
      </c>
      <c r="C11" s="264">
        <f t="shared" si="0"/>
        <v>2283</v>
      </c>
      <c r="D11" s="308">
        <f>SUM(G11+I11+K11)</f>
        <v>2293</v>
      </c>
      <c r="E11" s="308">
        <f t="shared" si="11"/>
        <v>871773</v>
      </c>
      <c r="F11" s="540">
        <v>132118</v>
      </c>
      <c r="G11" s="160">
        <f t="shared" si="1"/>
        <v>444</v>
      </c>
      <c r="H11" s="540">
        <v>433933</v>
      </c>
      <c r="I11" s="161">
        <f t="shared" si="2"/>
        <v>968</v>
      </c>
      <c r="J11" s="540">
        <v>305721</v>
      </c>
      <c r="K11" s="162">
        <f t="shared" si="3"/>
        <v>881</v>
      </c>
      <c r="L11" s="296">
        <f t="shared" si="4"/>
        <v>94.24875621890547</v>
      </c>
      <c r="M11" s="296">
        <f t="shared" si="5"/>
        <v>71.917744610281929</v>
      </c>
      <c r="N11" s="296">
        <f t="shared" si="6"/>
        <v>46.752902155887227</v>
      </c>
      <c r="O11" s="296">
        <f t="shared" si="7"/>
        <v>97.936616238535208</v>
      </c>
      <c r="P11" s="297">
        <f t="shared" si="9"/>
        <v>310.85601922360979</v>
      </c>
      <c r="Q11" s="297">
        <f>SUM(-tanks!AX13*tanks!$AU$34)</f>
        <v>286.08099784947893</v>
      </c>
      <c r="R11" s="297">
        <f t="shared" si="10"/>
        <v>596.93701707308878</v>
      </c>
      <c r="S11" s="299">
        <f>SUM(ELEC!N10)</f>
        <v>6289.7999999998137</v>
      </c>
      <c r="T11" s="336">
        <f t="shared" si="12"/>
        <v>9.4905564099511341E-2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" thickBot="1">
      <c r="A12" s="163">
        <f>ELEC!C11</f>
        <v>44236</v>
      </c>
      <c r="B12" s="540">
        <v>873722</v>
      </c>
      <c r="C12" s="264">
        <f t="shared" si="0"/>
        <v>1959</v>
      </c>
      <c r="D12" s="308">
        <f t="shared" si="8"/>
        <v>1950</v>
      </c>
      <c r="E12" s="308">
        <f t="shared" si="11"/>
        <v>873713</v>
      </c>
      <c r="F12" s="540">
        <v>132337</v>
      </c>
      <c r="G12" s="160">
        <f t="shared" si="1"/>
        <v>219</v>
      </c>
      <c r="H12" s="540">
        <v>434813</v>
      </c>
      <c r="I12" s="161">
        <f t="shared" si="2"/>
        <v>880</v>
      </c>
      <c r="J12" s="540">
        <v>306572</v>
      </c>
      <c r="K12" s="162">
        <f t="shared" si="3"/>
        <v>851</v>
      </c>
      <c r="L12" s="296">
        <f t="shared" si="4"/>
        <v>46.487562189054728</v>
      </c>
      <c r="M12" s="296">
        <f t="shared" si="5"/>
        <v>65.379767827529022</v>
      </c>
      <c r="N12" s="296">
        <f t="shared" si="6"/>
        <v>45.160862354892203</v>
      </c>
      <c r="O12" s="296">
        <f t="shared" si="7"/>
        <v>97.936616238535208</v>
      </c>
      <c r="P12" s="297">
        <f t="shared" si="9"/>
        <v>254.96480861001115</v>
      </c>
      <c r="Q12" s="297">
        <f>SUM(-tanks!AX14*tanks!$AU$34)</f>
        <v>483.13608602149532</v>
      </c>
      <c r="R12" s="297">
        <f t="shared" si="10"/>
        <v>738.10089463150643</v>
      </c>
      <c r="S12" s="299">
        <f>SUM(ELEC!N11)</f>
        <v>7008</v>
      </c>
      <c r="T12" s="336">
        <f t="shared" si="12"/>
        <v>0.10532261624308026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" thickBot="1">
      <c r="A13" s="163">
        <f>ELEC!C12</f>
        <v>44237</v>
      </c>
      <c r="B13" s="540">
        <v>875296</v>
      </c>
      <c r="C13" s="264">
        <f t="shared" si="0"/>
        <v>1574</v>
      </c>
      <c r="D13" s="308">
        <f t="shared" si="8"/>
        <v>1573</v>
      </c>
      <c r="E13" s="308">
        <f t="shared" si="11"/>
        <v>875295</v>
      </c>
      <c r="F13" s="540">
        <v>132662</v>
      </c>
      <c r="G13" s="160">
        <f t="shared" si="1"/>
        <v>325</v>
      </c>
      <c r="H13" s="540">
        <v>435479</v>
      </c>
      <c r="I13" s="161">
        <f t="shared" si="2"/>
        <v>666</v>
      </c>
      <c r="J13" s="540">
        <v>307154</v>
      </c>
      <c r="K13" s="162">
        <f t="shared" si="3"/>
        <v>582</v>
      </c>
      <c r="L13" s="296">
        <f t="shared" si="4"/>
        <v>68.988391376451077</v>
      </c>
      <c r="M13" s="296">
        <f t="shared" si="5"/>
        <v>49.480597014925372</v>
      </c>
      <c r="N13" s="296">
        <f t="shared" si="6"/>
        <v>30.885572139303484</v>
      </c>
      <c r="O13" s="296">
        <f t="shared" si="7"/>
        <v>97.936616238535208</v>
      </c>
      <c r="P13" s="297">
        <f t="shared" si="9"/>
        <v>247.29117676921516</v>
      </c>
      <c r="Q13" s="297">
        <f>SUM(-tanks!AX15*tanks!$AU$34)</f>
        <v>782.24879569892391</v>
      </c>
      <c r="R13" s="297">
        <f t="shared" si="10"/>
        <v>1029.539972468139</v>
      </c>
      <c r="S13" s="299">
        <f>SUM(ELEC!N12)</f>
        <v>7276</v>
      </c>
      <c r="T13" s="336">
        <f>IF(S13&gt;0,R13/S13,0)</f>
        <v>0.14149807208193224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" thickBot="1">
      <c r="A14" s="163">
        <f>ELEC!C13</f>
        <v>44238</v>
      </c>
      <c r="B14" s="540">
        <v>877076</v>
      </c>
      <c r="C14" s="264">
        <f t="shared" si="0"/>
        <v>1780</v>
      </c>
      <c r="D14" s="308">
        <f t="shared" si="8"/>
        <v>1780</v>
      </c>
      <c r="E14" s="308">
        <f t="shared" si="11"/>
        <v>877076</v>
      </c>
      <c r="F14" s="540">
        <v>132888</v>
      </c>
      <c r="G14" s="160">
        <f t="shared" si="1"/>
        <v>226</v>
      </c>
      <c r="H14" s="540">
        <v>436178</v>
      </c>
      <c r="I14" s="161">
        <f t="shared" si="2"/>
        <v>699</v>
      </c>
      <c r="J14" s="540">
        <v>308009</v>
      </c>
      <c r="K14" s="162">
        <f t="shared" ref="K14:K17" si="13">J14-J13</f>
        <v>855</v>
      </c>
      <c r="L14" s="296">
        <f t="shared" ref="L14:L17" si="14">SUM(G14*$Y$28)/1507.5</f>
        <v>47.973466003316751</v>
      </c>
      <c r="M14" s="296">
        <f t="shared" ref="M14:M17" si="15">SUM(I14*$Y$27)/1507.5</f>
        <v>51.932338308457709</v>
      </c>
      <c r="N14" s="296">
        <f t="shared" ref="N14:N17" si="16">SUM(K14*$Y$26)/1507.5</f>
        <v>45.373134328358212</v>
      </c>
      <c r="O14" s="296">
        <f t="shared" si="7"/>
        <v>97.936616238535208</v>
      </c>
      <c r="P14" s="297">
        <f t="shared" ref="P14:P17" si="17">SUM(L14:O14)</f>
        <v>243.21555487866789</v>
      </c>
      <c r="Q14" s="297">
        <f>SUM(-tanks!AX16*tanks!$AU$34)</f>
        <v>624.4021075268904</v>
      </c>
      <c r="R14" s="297">
        <f t="shared" ref="R14:R17" si="18">SUM(P14:Q14)</f>
        <v>867.61766240555835</v>
      </c>
      <c r="S14" s="299">
        <f>SUM(ELEC!N13)</f>
        <v>7236</v>
      </c>
      <c r="T14" s="336">
        <f t="shared" ref="T14:T17" si="19">IF(S14&gt;0,R14/S14,0)</f>
        <v>0.11990293841978418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" thickBot="1">
      <c r="A15" s="163">
        <f>ELEC!C14</f>
        <v>44239</v>
      </c>
      <c r="B15" s="540">
        <v>878743</v>
      </c>
      <c r="C15" s="264">
        <f t="shared" si="0"/>
        <v>1667</v>
      </c>
      <c r="D15" s="308">
        <f t="shared" si="8"/>
        <v>1666</v>
      </c>
      <c r="E15" s="308">
        <f t="shared" si="11"/>
        <v>878742</v>
      </c>
      <c r="F15" s="540">
        <v>133233</v>
      </c>
      <c r="G15" s="160">
        <f t="shared" si="1"/>
        <v>345</v>
      </c>
      <c r="H15" s="540">
        <v>436879</v>
      </c>
      <c r="I15" s="161">
        <f t="shared" si="2"/>
        <v>701</v>
      </c>
      <c r="J15" s="540">
        <v>308629</v>
      </c>
      <c r="K15" s="162">
        <f t="shared" si="13"/>
        <v>620</v>
      </c>
      <c r="L15" s="296">
        <f t="shared" si="14"/>
        <v>73.233830845771138</v>
      </c>
      <c r="M15" s="296">
        <f t="shared" si="15"/>
        <v>52.080928689883912</v>
      </c>
      <c r="N15" s="296">
        <f t="shared" si="16"/>
        <v>32.902155887230514</v>
      </c>
      <c r="O15" s="296">
        <f t="shared" si="7"/>
        <v>97.936616238535208</v>
      </c>
      <c r="P15" s="297">
        <f t="shared" si="17"/>
        <v>256.15353166142074</v>
      </c>
      <c r="Q15" s="297">
        <f>SUM(-tanks!AX17*tanks!$AU$34)</f>
        <v>368.69173118279525</v>
      </c>
      <c r="R15" s="297">
        <f t="shared" si="18"/>
        <v>624.84526284421599</v>
      </c>
      <c r="S15" s="299">
        <f>SUM(ELEC!N14)</f>
        <v>5643</v>
      </c>
      <c r="T15" s="336">
        <f t="shared" si="19"/>
        <v>0.11072926862381996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" thickBot="1">
      <c r="A16" s="163">
        <f>ELEC!C15</f>
        <v>44240</v>
      </c>
      <c r="B16" s="540">
        <v>880551</v>
      </c>
      <c r="C16" s="264">
        <f t="shared" si="0"/>
        <v>1808</v>
      </c>
      <c r="D16" s="308">
        <f t="shared" si="8"/>
        <v>1809</v>
      </c>
      <c r="E16" s="308">
        <f t="shared" si="11"/>
        <v>880552</v>
      </c>
      <c r="F16" s="540">
        <v>133505</v>
      </c>
      <c r="G16" s="160">
        <f t="shared" si="1"/>
        <v>272</v>
      </c>
      <c r="H16" s="540">
        <v>437592</v>
      </c>
      <c r="I16" s="161">
        <f t="shared" si="2"/>
        <v>713</v>
      </c>
      <c r="J16" s="540">
        <v>309453</v>
      </c>
      <c r="K16" s="162">
        <f t="shared" si="13"/>
        <v>824</v>
      </c>
      <c r="L16" s="296">
        <f t="shared" si="14"/>
        <v>57.737976782752902</v>
      </c>
      <c r="M16" s="296">
        <f t="shared" si="15"/>
        <v>52.97247097844113</v>
      </c>
      <c r="N16" s="296">
        <f t="shared" si="16"/>
        <v>43.728026533996683</v>
      </c>
      <c r="O16" s="296">
        <f t="shared" si="7"/>
        <v>97.936616238535208</v>
      </c>
      <c r="P16" s="297">
        <f t="shared" si="17"/>
        <v>252.37509053372591</v>
      </c>
      <c r="Q16" s="297">
        <f>SUM(-tanks!AX18*tanks!$AU$34)</f>
        <v>610.74744086020962</v>
      </c>
      <c r="R16" s="297">
        <f t="shared" si="18"/>
        <v>863.12253139393556</v>
      </c>
      <c r="S16" s="299">
        <f>SUM(ELEC!N15)</f>
        <v>6507</v>
      </c>
      <c r="T16" s="336">
        <f t="shared" si="19"/>
        <v>0.13264523304040809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" thickBot="1">
      <c r="A17" s="163">
        <f>ELEC!C16</f>
        <v>44241</v>
      </c>
      <c r="B17" s="540">
        <v>882600</v>
      </c>
      <c r="C17" s="264">
        <f t="shared" si="0"/>
        <v>2049</v>
      </c>
      <c r="D17" s="308">
        <f t="shared" si="8"/>
        <v>2049</v>
      </c>
      <c r="E17" s="308">
        <f t="shared" si="11"/>
        <v>882600</v>
      </c>
      <c r="F17" s="540">
        <v>133795</v>
      </c>
      <c r="G17" s="160">
        <f t="shared" si="1"/>
        <v>290</v>
      </c>
      <c r="H17" s="540">
        <v>438400</v>
      </c>
      <c r="I17" s="161">
        <f t="shared" si="2"/>
        <v>808</v>
      </c>
      <c r="J17" s="540">
        <v>310404</v>
      </c>
      <c r="K17" s="162">
        <f t="shared" si="13"/>
        <v>951</v>
      </c>
      <c r="L17" s="296">
        <f t="shared" si="14"/>
        <v>61.558872305140959</v>
      </c>
      <c r="M17" s="296">
        <f t="shared" si="15"/>
        <v>60.03051409618574</v>
      </c>
      <c r="N17" s="296">
        <f t="shared" si="16"/>
        <v>50.46766169154229</v>
      </c>
      <c r="O17" s="296">
        <f t="shared" si="7"/>
        <v>97.936616238535208</v>
      </c>
      <c r="P17" s="297">
        <f t="shared" si="17"/>
        <v>269.99366433140415</v>
      </c>
      <c r="Q17" s="297">
        <f>SUM(-tanks!AX19*tanks!$AU$34)</f>
        <v>698.857795698931</v>
      </c>
      <c r="R17" s="297">
        <f t="shared" si="18"/>
        <v>968.85146003033515</v>
      </c>
      <c r="S17" s="299">
        <f>SUM(ELEC!N16)</f>
        <v>7439</v>
      </c>
      <c r="T17" s="336">
        <f t="shared" si="19"/>
        <v>0.13023947574006386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" thickBot="1">
      <c r="A18" s="163">
        <f>ELEC!C17</f>
        <v>44242</v>
      </c>
      <c r="B18" s="540">
        <v>884518</v>
      </c>
      <c r="C18" s="264">
        <f t="shared" si="0"/>
        <v>1918</v>
      </c>
      <c r="D18" s="308">
        <f t="shared" si="8"/>
        <v>1918</v>
      </c>
      <c r="E18" s="308">
        <f t="shared" si="11"/>
        <v>884518</v>
      </c>
      <c r="F18" s="540">
        <v>134020</v>
      </c>
      <c r="G18" s="160">
        <f t="shared" si="1"/>
        <v>225</v>
      </c>
      <c r="H18" s="540">
        <v>439134</v>
      </c>
      <c r="I18" s="161">
        <f t="shared" si="2"/>
        <v>734</v>
      </c>
      <c r="J18" s="540">
        <v>311363</v>
      </c>
      <c r="K18" s="162">
        <f t="shared" si="3"/>
        <v>959</v>
      </c>
      <c r="L18" s="296">
        <f t="shared" ref="L18:L31" si="20">SUM(G18*$Y$28)/1507.5</f>
        <v>47.761194029850749</v>
      </c>
      <c r="M18" s="296">
        <f t="shared" ref="M18:M31" si="21">SUM(I18*$Y$27)/1507.5</f>
        <v>54.532669983416255</v>
      </c>
      <c r="N18" s="296">
        <f t="shared" ref="N18:N31" si="22">SUM(K18*$Y$26)/1507.5</f>
        <v>50.892205638474294</v>
      </c>
      <c r="O18" s="296">
        <f t="shared" si="7"/>
        <v>97.936616238535208</v>
      </c>
      <c r="P18" s="297">
        <f t="shared" si="9"/>
        <v>251.12268589027653</v>
      </c>
      <c r="Q18" s="297">
        <f>SUM(-tanks!AX20*tanks!$AU$34)</f>
        <v>526.53841935483581</v>
      </c>
      <c r="R18" s="297">
        <f t="shared" si="10"/>
        <v>777.66110524511237</v>
      </c>
      <c r="S18" s="299">
        <f>SUM(ELEC!N17)</f>
        <v>7469</v>
      </c>
      <c r="T18" s="336">
        <f t="shared" si="12"/>
        <v>0.10411850384858914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" thickBot="1">
      <c r="A19" s="163">
        <f>ELEC!C18</f>
        <v>44243</v>
      </c>
      <c r="B19" s="540">
        <v>886485</v>
      </c>
      <c r="C19" s="264">
        <f t="shared" si="0"/>
        <v>1967</v>
      </c>
      <c r="D19" s="308">
        <f t="shared" si="8"/>
        <v>1968</v>
      </c>
      <c r="E19" s="308">
        <f t="shared" si="11"/>
        <v>886486</v>
      </c>
      <c r="F19" s="540">
        <v>134501</v>
      </c>
      <c r="G19" s="160">
        <f t="shared" si="1"/>
        <v>481</v>
      </c>
      <c r="H19" s="540">
        <v>439964</v>
      </c>
      <c r="I19" s="161">
        <f t="shared" si="2"/>
        <v>830</v>
      </c>
      <c r="J19" s="540">
        <v>312020</v>
      </c>
      <c r="K19" s="162">
        <f t="shared" si="3"/>
        <v>657</v>
      </c>
      <c r="L19" s="296">
        <f t="shared" si="20"/>
        <v>102.1028192371476</v>
      </c>
      <c r="M19" s="296">
        <f t="shared" si="21"/>
        <v>61.665008291873967</v>
      </c>
      <c r="N19" s="296">
        <f t="shared" si="22"/>
        <v>34.865671641791046</v>
      </c>
      <c r="O19" s="296">
        <f t="shared" si="7"/>
        <v>97.936616238535208</v>
      </c>
      <c r="P19" s="297">
        <f t="shared" si="9"/>
        <v>296.57011540934781</v>
      </c>
      <c r="Q19" s="297">
        <f>SUM(-tanks!AX21*tanks!$AU$34)</f>
        <v>-340.56437634408098</v>
      </c>
      <c r="R19" s="297">
        <f t="shared" si="10"/>
        <v>-43.994260934733177</v>
      </c>
      <c r="S19" s="299">
        <f>SUM(ELEC!N18)</f>
        <v>5934</v>
      </c>
      <c r="T19" s="336">
        <f t="shared" si="12"/>
        <v>-7.4139300530389578E-3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" thickBot="1">
      <c r="A20" s="163">
        <f>ELEC!C19</f>
        <v>44244</v>
      </c>
      <c r="B20" s="540">
        <f t="shared" ref="B19:B31" si="23">B19</f>
        <v>886485</v>
      </c>
      <c r="C20" s="264">
        <f t="shared" si="0"/>
        <v>0</v>
      </c>
      <c r="D20" s="308">
        <f t="shared" si="8"/>
        <v>0</v>
      </c>
      <c r="E20" s="308">
        <f t="shared" si="11"/>
        <v>886485</v>
      </c>
      <c r="F20" s="540">
        <f t="shared" ref="F19:J31" si="24">F19</f>
        <v>134501</v>
      </c>
      <c r="G20" s="160">
        <f t="shared" si="1"/>
        <v>0</v>
      </c>
      <c r="H20" s="540">
        <f t="shared" si="24"/>
        <v>439964</v>
      </c>
      <c r="I20" s="161">
        <f t="shared" si="2"/>
        <v>0</v>
      </c>
      <c r="J20" s="540">
        <f t="shared" si="24"/>
        <v>312020</v>
      </c>
      <c r="K20" s="162">
        <f t="shared" si="3"/>
        <v>0</v>
      </c>
      <c r="L20" s="296">
        <f t="shared" si="20"/>
        <v>0</v>
      </c>
      <c r="M20" s="296">
        <f t="shared" si="21"/>
        <v>0</v>
      </c>
      <c r="N20" s="296">
        <f t="shared" si="22"/>
        <v>0</v>
      </c>
      <c r="O20" s="296">
        <f t="shared" si="7"/>
        <v>97.936616238535208</v>
      </c>
      <c r="P20" s="297">
        <f t="shared" si="9"/>
        <v>97.936616238535208</v>
      </c>
      <c r="Q20" s="297">
        <f>SUM(-tanks!AX22*tanks!$AU$34)</f>
        <v>0</v>
      </c>
      <c r="R20" s="297">
        <f t="shared" si="10"/>
        <v>97.936616238535208</v>
      </c>
      <c r="S20" s="299">
        <f>SUM(ELEC!N19)</f>
        <v>0</v>
      </c>
      <c r="T20" s="336">
        <f t="shared" si="12"/>
        <v>0</v>
      </c>
      <c r="V20" t="s">
        <v>412</v>
      </c>
      <c r="AB20" s="571"/>
    </row>
    <row r="21" spans="1:32" ht="15" thickBot="1">
      <c r="A21" s="163">
        <f>ELEC!C20</f>
        <v>44245</v>
      </c>
      <c r="B21" s="540">
        <f t="shared" si="23"/>
        <v>886485</v>
      </c>
      <c r="C21" s="264">
        <f t="shared" si="0"/>
        <v>0</v>
      </c>
      <c r="D21" s="308">
        <f t="shared" si="8"/>
        <v>0</v>
      </c>
      <c r="E21" s="308">
        <f t="shared" si="11"/>
        <v>886485</v>
      </c>
      <c r="F21" s="540">
        <f t="shared" si="24"/>
        <v>134501</v>
      </c>
      <c r="G21" s="160">
        <f t="shared" si="1"/>
        <v>0</v>
      </c>
      <c r="H21" s="540">
        <f t="shared" si="24"/>
        <v>439964</v>
      </c>
      <c r="I21" s="161">
        <f t="shared" si="2"/>
        <v>0</v>
      </c>
      <c r="J21" s="540">
        <f t="shared" si="24"/>
        <v>312020</v>
      </c>
      <c r="K21" s="162">
        <f t="shared" si="3"/>
        <v>0</v>
      </c>
      <c r="L21" s="296">
        <f t="shared" si="20"/>
        <v>0</v>
      </c>
      <c r="M21" s="296">
        <f t="shared" si="21"/>
        <v>0</v>
      </c>
      <c r="N21" s="296">
        <f t="shared" si="22"/>
        <v>0</v>
      </c>
      <c r="O21" s="296">
        <f t="shared" si="7"/>
        <v>97.936616238535208</v>
      </c>
      <c r="P21" s="297">
        <f t="shared" si="9"/>
        <v>97.936616238535208</v>
      </c>
      <c r="Q21" s="297">
        <f>SUM(-tanks!AX23*tanks!$AU$34)</f>
        <v>0</v>
      </c>
      <c r="R21" s="297">
        <f t="shared" si="10"/>
        <v>97.936616238535208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9"/>
      <c r="AC21" s="660"/>
    </row>
    <row r="22" spans="1:32" ht="15" thickBot="1">
      <c r="A22" s="163">
        <f>ELEC!C21</f>
        <v>44246</v>
      </c>
      <c r="B22" s="540">
        <f t="shared" si="23"/>
        <v>886485</v>
      </c>
      <c r="C22" s="264">
        <f t="shared" si="0"/>
        <v>0</v>
      </c>
      <c r="D22" s="308">
        <f t="shared" si="8"/>
        <v>0</v>
      </c>
      <c r="E22" s="308">
        <f t="shared" si="11"/>
        <v>886485</v>
      </c>
      <c r="F22" s="540">
        <f t="shared" si="24"/>
        <v>134501</v>
      </c>
      <c r="G22" s="160">
        <f t="shared" si="1"/>
        <v>0</v>
      </c>
      <c r="H22" s="540">
        <f t="shared" si="24"/>
        <v>439964</v>
      </c>
      <c r="I22" s="161">
        <f t="shared" si="2"/>
        <v>0</v>
      </c>
      <c r="J22" s="540">
        <f t="shared" si="24"/>
        <v>312020</v>
      </c>
      <c r="K22" s="162">
        <f t="shared" si="3"/>
        <v>0</v>
      </c>
      <c r="L22" s="296">
        <f t="shared" si="20"/>
        <v>0</v>
      </c>
      <c r="M22" s="296">
        <f t="shared" si="21"/>
        <v>0</v>
      </c>
      <c r="N22" s="296">
        <f t="shared" si="22"/>
        <v>0</v>
      </c>
      <c r="O22" s="296">
        <f t="shared" si="7"/>
        <v>97.936616238535208</v>
      </c>
      <c r="P22" s="297">
        <f t="shared" si="9"/>
        <v>97.936616238535208</v>
      </c>
      <c r="Q22" s="297">
        <f>SUM(-tanks!AX24*tanks!$AU$34)</f>
        <v>0</v>
      </c>
      <c r="R22" s="297">
        <f t="shared" si="10"/>
        <v>97.936616238535208</v>
      </c>
      <c r="S22" s="299">
        <f>SUM(ELEC!N21)</f>
        <v>0</v>
      </c>
      <c r="T22" s="336">
        <f t="shared" si="12"/>
        <v>0</v>
      </c>
      <c r="V22" s="665"/>
      <c r="W22" s="666"/>
      <c r="X22" s="666"/>
      <c r="Y22" s="667"/>
      <c r="Z22" s="26" t="s">
        <v>203</v>
      </c>
      <c r="AA22" s="26">
        <v>5000</v>
      </c>
      <c r="AB22" s="661"/>
      <c r="AC22" s="662"/>
    </row>
    <row r="23" spans="1:32" ht="15" thickBot="1">
      <c r="A23" s="163">
        <f>ELEC!C22</f>
        <v>44247</v>
      </c>
      <c r="B23" s="540">
        <f t="shared" si="23"/>
        <v>886485</v>
      </c>
      <c r="C23" s="264">
        <f t="shared" si="0"/>
        <v>0</v>
      </c>
      <c r="D23" s="308">
        <f t="shared" si="8"/>
        <v>0</v>
      </c>
      <c r="E23" s="308">
        <f t="shared" si="11"/>
        <v>886485</v>
      </c>
      <c r="F23" s="540">
        <f t="shared" si="24"/>
        <v>134501</v>
      </c>
      <c r="G23" s="160">
        <f t="shared" si="1"/>
        <v>0</v>
      </c>
      <c r="H23" s="540">
        <f t="shared" si="24"/>
        <v>439964</v>
      </c>
      <c r="I23" s="161">
        <f t="shared" si="2"/>
        <v>0</v>
      </c>
      <c r="J23" s="540">
        <f t="shared" si="24"/>
        <v>312020</v>
      </c>
      <c r="K23" s="162">
        <f t="shared" si="3"/>
        <v>0</v>
      </c>
      <c r="L23" s="296">
        <f t="shared" si="20"/>
        <v>0</v>
      </c>
      <c r="M23" s="296">
        <f t="shared" si="21"/>
        <v>0</v>
      </c>
      <c r="N23" s="296">
        <f t="shared" si="22"/>
        <v>0</v>
      </c>
      <c r="O23" s="296">
        <f t="shared" si="7"/>
        <v>97.936616238535208</v>
      </c>
      <c r="P23" s="297">
        <f t="shared" si="9"/>
        <v>97.936616238535208</v>
      </c>
      <c r="Q23" s="297">
        <f>SUM(-tanks!AX25*tanks!$AU$34)</f>
        <v>0</v>
      </c>
      <c r="R23" s="297">
        <f t="shared" si="10"/>
        <v>97.936616238535208</v>
      </c>
      <c r="S23" s="299">
        <f>SUM(ELEC!N22)</f>
        <v>0</v>
      </c>
      <c r="T23" s="336">
        <f t="shared" si="12"/>
        <v>0</v>
      </c>
      <c r="V23" s="668"/>
      <c r="W23" s="669"/>
      <c r="X23" s="669"/>
      <c r="Y23" s="670"/>
      <c r="Z23" s="671"/>
      <c r="AA23" s="672"/>
      <c r="AB23" s="661"/>
      <c r="AC23" s="662"/>
    </row>
    <row r="24" spans="1:32" ht="15" customHeight="1" thickBot="1">
      <c r="A24" s="163">
        <f>ELEC!C23</f>
        <v>44248</v>
      </c>
      <c r="B24" s="540">
        <f t="shared" si="23"/>
        <v>886485</v>
      </c>
      <c r="C24" s="264">
        <f t="shared" si="0"/>
        <v>0</v>
      </c>
      <c r="D24" s="308">
        <f t="shared" si="8"/>
        <v>0</v>
      </c>
      <c r="E24" s="308">
        <f t="shared" si="11"/>
        <v>886485</v>
      </c>
      <c r="F24" s="540">
        <f t="shared" si="24"/>
        <v>134501</v>
      </c>
      <c r="G24" s="160">
        <f t="shared" si="1"/>
        <v>0</v>
      </c>
      <c r="H24" s="540">
        <f t="shared" si="24"/>
        <v>439964</v>
      </c>
      <c r="I24" s="161">
        <f t="shared" si="2"/>
        <v>0</v>
      </c>
      <c r="J24" s="540">
        <f t="shared" si="24"/>
        <v>312020</v>
      </c>
      <c r="K24" s="162">
        <f t="shared" si="3"/>
        <v>0</v>
      </c>
      <c r="L24" s="296">
        <f t="shared" si="20"/>
        <v>0</v>
      </c>
      <c r="M24" s="296">
        <f t="shared" si="21"/>
        <v>0</v>
      </c>
      <c r="N24" s="296">
        <f t="shared" si="22"/>
        <v>0</v>
      </c>
      <c r="O24" s="296">
        <f t="shared" si="7"/>
        <v>97.936616238535208</v>
      </c>
      <c r="P24" s="297">
        <f t="shared" si="9"/>
        <v>97.936616238535208</v>
      </c>
      <c r="Q24" s="297">
        <f>SUM(-tanks!AX26*tanks!$AU$34)</f>
        <v>0</v>
      </c>
      <c r="R24" s="297">
        <f t="shared" si="10"/>
        <v>97.936616238535208</v>
      </c>
      <c r="S24" s="299">
        <f>SUM(ELEC!N23)</f>
        <v>0</v>
      </c>
      <c r="T24" s="336">
        <f t="shared" si="12"/>
        <v>0</v>
      </c>
      <c r="V24" s="673" t="s">
        <v>204</v>
      </c>
      <c r="W24" s="674"/>
      <c r="X24" s="675" t="s">
        <v>205</v>
      </c>
      <c r="Y24" s="676"/>
      <c r="Z24" s="677"/>
      <c r="AA24" s="170"/>
      <c r="AB24" s="663"/>
      <c r="AC24" s="664"/>
    </row>
    <row r="25" spans="1:32" ht="17.25" customHeight="1" thickBot="1">
      <c r="A25" s="163">
        <f>ELEC!C24</f>
        <v>44249</v>
      </c>
      <c r="B25" s="540">
        <f t="shared" si="23"/>
        <v>886485</v>
      </c>
      <c r="C25" s="264">
        <f t="shared" si="0"/>
        <v>0</v>
      </c>
      <c r="D25" s="308">
        <f t="shared" si="8"/>
        <v>0</v>
      </c>
      <c r="E25" s="308">
        <f t="shared" si="11"/>
        <v>886485</v>
      </c>
      <c r="F25" s="540">
        <f t="shared" si="24"/>
        <v>134501</v>
      </c>
      <c r="G25" s="160">
        <f t="shared" si="1"/>
        <v>0</v>
      </c>
      <c r="H25" s="540">
        <f t="shared" si="24"/>
        <v>439964</v>
      </c>
      <c r="I25" s="161">
        <f t="shared" si="2"/>
        <v>0</v>
      </c>
      <c r="J25" s="540">
        <f t="shared" si="24"/>
        <v>312020</v>
      </c>
      <c r="K25" s="162">
        <f t="shared" si="3"/>
        <v>0</v>
      </c>
      <c r="L25" s="296">
        <f t="shared" si="20"/>
        <v>0</v>
      </c>
      <c r="M25" s="296">
        <f t="shared" si="21"/>
        <v>0</v>
      </c>
      <c r="N25" s="296">
        <f t="shared" si="22"/>
        <v>0</v>
      </c>
      <c r="O25" s="296">
        <f t="shared" si="7"/>
        <v>97.936616238535208</v>
      </c>
      <c r="P25" s="297">
        <f t="shared" si="9"/>
        <v>97.936616238535208</v>
      </c>
      <c r="Q25" s="297">
        <f>SUM(-tanks!AX27*tanks!$AU$34)</f>
        <v>0</v>
      </c>
      <c r="R25" s="297">
        <f t="shared" si="10"/>
        <v>97.936616238535208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" thickBot="1">
      <c r="A26" s="163">
        <f>ELEC!C25</f>
        <v>44250</v>
      </c>
      <c r="B26" s="540">
        <f t="shared" si="23"/>
        <v>886485</v>
      </c>
      <c r="C26" s="264">
        <f t="shared" si="0"/>
        <v>0</v>
      </c>
      <c r="D26" s="308">
        <f t="shared" si="8"/>
        <v>0</v>
      </c>
      <c r="E26" s="308">
        <f t="shared" si="11"/>
        <v>886485</v>
      </c>
      <c r="F26" s="540">
        <f t="shared" si="24"/>
        <v>134501</v>
      </c>
      <c r="G26" s="160">
        <f t="shared" si="1"/>
        <v>0</v>
      </c>
      <c r="H26" s="540">
        <f t="shared" si="24"/>
        <v>439964</v>
      </c>
      <c r="I26" s="161">
        <f t="shared" si="2"/>
        <v>0</v>
      </c>
      <c r="J26" s="540">
        <f t="shared" si="24"/>
        <v>312020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7"/>
        <v>97.936616238535208</v>
      </c>
      <c r="P26" s="297">
        <f t="shared" si="9"/>
        <v>97.936616238535208</v>
      </c>
      <c r="Q26" s="297">
        <f>SUM(-tanks!AX28*tanks!$AU$34)</f>
        <v>0</v>
      </c>
      <c r="R26" s="297">
        <f t="shared" si="10"/>
        <v>97.936616238535208</v>
      </c>
      <c r="S26" s="299">
        <f>SUM(ELEC!N25)</f>
        <v>0</v>
      </c>
      <c r="T26" s="336">
        <f t="shared" si="12"/>
        <v>0</v>
      </c>
      <c r="V26" s="254">
        <f>W9</f>
        <v>297890</v>
      </c>
      <c r="W26" s="170">
        <f>J31</f>
        <v>312020</v>
      </c>
      <c r="X26" s="172" t="s">
        <v>199</v>
      </c>
      <c r="Y26" s="172">
        <v>80</v>
      </c>
      <c r="Z26" s="172">
        <v>1</v>
      </c>
      <c r="AA26" s="338">
        <f>(W26-V26)*Z26</f>
        <v>14130</v>
      </c>
      <c r="AB26" s="338">
        <f>AA26*Y26</f>
        <v>1130400</v>
      </c>
      <c r="AC26" s="249">
        <f>AC9</f>
        <v>1033333</v>
      </c>
      <c r="AD26" s="212">
        <f>SUM(K33)</f>
        <v>0.40065126753705227</v>
      </c>
    </row>
    <row r="27" spans="1:32" ht="15" thickBot="1">
      <c r="A27" s="163">
        <f>ELEC!C26</f>
        <v>44251</v>
      </c>
      <c r="B27" s="540">
        <f t="shared" si="23"/>
        <v>886485</v>
      </c>
      <c r="C27" s="264">
        <f t="shared" si="0"/>
        <v>0</v>
      </c>
      <c r="D27" s="308">
        <f t="shared" si="8"/>
        <v>0</v>
      </c>
      <c r="E27" s="308">
        <f t="shared" si="11"/>
        <v>886485</v>
      </c>
      <c r="F27" s="540">
        <f t="shared" si="24"/>
        <v>134501</v>
      </c>
      <c r="G27" s="160">
        <f t="shared" si="1"/>
        <v>0</v>
      </c>
      <c r="H27" s="540">
        <f t="shared" si="24"/>
        <v>439964</v>
      </c>
      <c r="I27" s="161">
        <f t="shared" si="2"/>
        <v>0</v>
      </c>
      <c r="J27" s="540">
        <f t="shared" si="24"/>
        <v>312020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7"/>
        <v>97.936616238535208</v>
      </c>
      <c r="P27" s="297">
        <f t="shared" si="9"/>
        <v>97.936616238535208</v>
      </c>
      <c r="Q27" s="297">
        <f>SUM(-tanks!AX29*tanks!$AU$34)</f>
        <v>0</v>
      </c>
      <c r="R27" s="297">
        <f t="shared" si="10"/>
        <v>97.936616238535208</v>
      </c>
      <c r="S27" s="299">
        <f>SUM(ELEC!N26)</f>
        <v>0</v>
      </c>
      <c r="T27" s="336">
        <f t="shared" si="12"/>
        <v>0</v>
      </c>
      <c r="V27" s="254">
        <f t="shared" ref="V27:V28" si="25">W10</f>
        <v>425107</v>
      </c>
      <c r="W27" s="170">
        <f>H31</f>
        <v>439964</v>
      </c>
      <c r="X27" s="172" t="s">
        <v>213</v>
      </c>
      <c r="Y27" s="172">
        <v>112</v>
      </c>
      <c r="Z27" s="172">
        <v>1</v>
      </c>
      <c r="AA27" s="338">
        <f>(W27-V27)*Z27</f>
        <v>14857</v>
      </c>
      <c r="AB27" s="338">
        <f>SUM(AA27*Y27)</f>
        <v>1663984</v>
      </c>
      <c r="AC27" s="249">
        <f>AC10</f>
        <v>6200000</v>
      </c>
      <c r="AD27" s="212">
        <f>SUM(I33)</f>
        <v>0.42368909583371372</v>
      </c>
    </row>
    <row r="28" spans="1:32" ht="15" thickBot="1">
      <c r="A28" s="163">
        <f>ELEC!C27</f>
        <v>44252</v>
      </c>
      <c r="B28" s="540">
        <f t="shared" si="23"/>
        <v>886485</v>
      </c>
      <c r="C28" s="264">
        <f t="shared" si="0"/>
        <v>0</v>
      </c>
      <c r="D28" s="308">
        <f t="shared" si="8"/>
        <v>0</v>
      </c>
      <c r="E28" s="308">
        <f t="shared" si="11"/>
        <v>886485</v>
      </c>
      <c r="F28" s="540">
        <f t="shared" si="24"/>
        <v>134501</v>
      </c>
      <c r="G28" s="160">
        <f t="shared" si="1"/>
        <v>0</v>
      </c>
      <c r="H28" s="540">
        <f t="shared" si="24"/>
        <v>439964</v>
      </c>
      <c r="I28" s="161">
        <f t="shared" si="2"/>
        <v>0</v>
      </c>
      <c r="J28" s="540">
        <f t="shared" si="24"/>
        <v>312020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7"/>
        <v>97.936616238535208</v>
      </c>
      <c r="P28" s="297">
        <f t="shared" si="9"/>
        <v>97.936616238535208</v>
      </c>
      <c r="Q28" s="297">
        <f>SUM(-tanks!AX30*tanks!$AU$34)</f>
        <v>0</v>
      </c>
      <c r="R28" s="297">
        <f t="shared" si="10"/>
        <v>97.936616238535208</v>
      </c>
      <c r="S28" s="299">
        <f>SUM(ELEC!N27)</f>
        <v>0</v>
      </c>
      <c r="T28" s="336">
        <f t="shared" si="12"/>
        <v>0</v>
      </c>
      <c r="V28" s="254">
        <f t="shared" si="25"/>
        <v>128283</v>
      </c>
      <c r="W28" s="170">
        <f>F31</f>
        <v>134501</v>
      </c>
      <c r="X28" s="172" t="s">
        <v>197</v>
      </c>
      <c r="Y28" s="172">
        <v>320</v>
      </c>
      <c r="Z28" s="172">
        <v>1</v>
      </c>
      <c r="AA28" s="338">
        <f>(W28-V28)*Z28</f>
        <v>6218</v>
      </c>
      <c r="AB28" s="338">
        <f>SUM(AA28*Y28)</f>
        <v>1989760</v>
      </c>
      <c r="AC28" s="249">
        <f>AC11</f>
        <v>1000</v>
      </c>
      <c r="AD28" s="212">
        <f>SUM(G33)</f>
        <v>0.17565963662923401</v>
      </c>
      <c r="AE28" s="40">
        <f>SUM(AB28*5%)</f>
        <v>99488</v>
      </c>
      <c r="AF28" s="82">
        <f>SUM(AE28/7)*31</f>
        <v>440589.71428571432</v>
      </c>
    </row>
    <row r="29" spans="1:32" ht="15" thickBot="1">
      <c r="A29" s="163">
        <f>ELEC!C28</f>
        <v>44253</v>
      </c>
      <c r="B29" s="540">
        <f t="shared" si="23"/>
        <v>886485</v>
      </c>
      <c r="C29" s="264">
        <f t="shared" si="0"/>
        <v>0</v>
      </c>
      <c r="D29" s="308">
        <f t="shared" si="8"/>
        <v>0</v>
      </c>
      <c r="E29" s="308">
        <f t="shared" si="11"/>
        <v>886485</v>
      </c>
      <c r="F29" s="540">
        <f t="shared" si="24"/>
        <v>134501</v>
      </c>
      <c r="G29" s="160">
        <f t="shared" si="1"/>
        <v>0</v>
      </c>
      <c r="H29" s="540">
        <f t="shared" si="24"/>
        <v>439964</v>
      </c>
      <c r="I29" s="161">
        <f t="shared" si="2"/>
        <v>0</v>
      </c>
      <c r="J29" s="540">
        <f t="shared" si="24"/>
        <v>312020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7"/>
        <v>97.936616238535208</v>
      </c>
      <c r="P29" s="297">
        <f t="shared" si="9"/>
        <v>97.936616238535208</v>
      </c>
      <c r="Q29" s="297">
        <f>SUM(-tanks!AX31*tanks!$AU$34)</f>
        <v>0</v>
      </c>
      <c r="R29" s="297">
        <f t="shared" si="10"/>
        <v>97.936616238535208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35205</v>
      </c>
      <c r="AB29" s="338"/>
      <c r="AC29" s="249"/>
    </row>
    <row r="30" spans="1:32" ht="14.25" customHeight="1" thickBot="1">
      <c r="A30" s="163">
        <f>ELEC!C29</f>
        <v>44254</v>
      </c>
      <c r="B30" s="540">
        <f t="shared" si="23"/>
        <v>886485</v>
      </c>
      <c r="C30" s="264">
        <f t="shared" si="0"/>
        <v>0</v>
      </c>
      <c r="D30" s="308">
        <f t="shared" si="8"/>
        <v>0</v>
      </c>
      <c r="E30" s="308">
        <f t="shared" si="11"/>
        <v>886485</v>
      </c>
      <c r="F30" s="540">
        <f t="shared" si="24"/>
        <v>134501</v>
      </c>
      <c r="G30" s="160">
        <f t="shared" si="1"/>
        <v>0</v>
      </c>
      <c r="H30" s="540">
        <f t="shared" si="24"/>
        <v>439964</v>
      </c>
      <c r="I30" s="161">
        <f t="shared" si="2"/>
        <v>0</v>
      </c>
      <c r="J30" s="540">
        <f t="shared" si="24"/>
        <v>312020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7"/>
        <v>97.936616238535208</v>
      </c>
      <c r="P30" s="297">
        <f t="shared" si="9"/>
        <v>97.936616238535208</v>
      </c>
      <c r="Q30" s="297">
        <f>SUM(-tanks!AX32*tanks!$AU$34)</f>
        <v>0</v>
      </c>
      <c r="R30" s="297">
        <f t="shared" si="10"/>
        <v>97.936616238535208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4784144</v>
      </c>
      <c r="AC30" s="249">
        <f>SUM(AC26:AC29)/A34*A32</f>
        <v>4133904.5714285714</v>
      </c>
    </row>
    <row r="31" spans="1:32">
      <c r="A31" s="163">
        <f>ELEC!C30</f>
        <v>44255</v>
      </c>
      <c r="B31" s="540">
        <f t="shared" si="23"/>
        <v>886485</v>
      </c>
      <c r="C31" s="264">
        <f t="shared" si="0"/>
        <v>0</v>
      </c>
      <c r="D31" s="308">
        <f t="shared" si="8"/>
        <v>0</v>
      </c>
      <c r="E31" s="308">
        <f t="shared" si="11"/>
        <v>886485</v>
      </c>
      <c r="F31" s="540">
        <f t="shared" si="24"/>
        <v>134501</v>
      </c>
      <c r="G31" s="160">
        <f t="shared" si="1"/>
        <v>0</v>
      </c>
      <c r="H31" s="540">
        <f t="shared" si="24"/>
        <v>439964</v>
      </c>
      <c r="I31" s="161">
        <f t="shared" si="2"/>
        <v>0</v>
      </c>
      <c r="J31" s="540">
        <f t="shared" si="24"/>
        <v>312020</v>
      </c>
      <c r="K31" s="162">
        <f t="shared" si="3"/>
        <v>0</v>
      </c>
      <c r="L31" s="296">
        <f t="shared" si="20"/>
        <v>0</v>
      </c>
      <c r="M31" s="296">
        <f t="shared" si="21"/>
        <v>0</v>
      </c>
      <c r="N31" s="296">
        <f t="shared" si="22"/>
        <v>0</v>
      </c>
      <c r="O31" s="296">
        <f t="shared" si="7"/>
        <v>97.936616238535208</v>
      </c>
      <c r="P31" s="297">
        <f t="shared" si="9"/>
        <v>97.936616238535208</v>
      </c>
      <c r="Q31" s="297">
        <f>SUM(-tanks!AX33*tanks!$AU$34)</f>
        <v>0</v>
      </c>
      <c r="R31" s="297">
        <f t="shared" si="10"/>
        <v>97.936616238535208</v>
      </c>
      <c r="S31" s="299">
        <f>SUM(ELEC!N30)</f>
        <v>0</v>
      </c>
      <c r="T31" s="336">
        <f t="shared" si="12"/>
        <v>0</v>
      </c>
      <c r="V31" s="216" t="s">
        <v>317</v>
      </c>
      <c r="W31" s="217">
        <f>SUM(GEN!U31)</f>
        <v>72</v>
      </c>
      <c r="X31" s="222">
        <f>SUM(W31/A32)</f>
        <v>4.5</v>
      </c>
      <c r="Y31" s="260">
        <f>SUM(X31/2)</f>
        <v>2.25</v>
      </c>
      <c r="Z31" s="3"/>
      <c r="AA31" s="3"/>
      <c r="AB31" s="543">
        <f>SUM(AB30+AC31)</f>
        <v>8918048.5714285709</v>
      </c>
      <c r="AC31" s="249">
        <f>SUM(AC30)</f>
        <v>4133904.5714285714</v>
      </c>
    </row>
    <row r="32" spans="1:32" ht="15" thickBot="1">
      <c r="A32" s="539">
        <f>A34-COUNTIF(C4:C31,0)</f>
        <v>16</v>
      </c>
      <c r="C32" s="173">
        <f>SUM(C4:C31)/A32</f>
        <v>2053.6875</v>
      </c>
      <c r="D32" s="173"/>
      <c r="E32" s="173"/>
      <c r="G32" s="173">
        <f>SUM(G4:G31)/A32</f>
        <v>360.75</v>
      </c>
      <c r="I32" s="173">
        <f>SUM(I4:I31)/A32</f>
        <v>870.125</v>
      </c>
      <c r="K32" s="173">
        <f>SUM(K4:K31)/A32</f>
        <v>822.8125</v>
      </c>
      <c r="L32" s="173">
        <f>SUM(L31*1507.5)</f>
        <v>0</v>
      </c>
      <c r="M32" s="173">
        <f>SUM(M31*1507.5)</f>
        <v>0</v>
      </c>
      <c r="N32" s="173">
        <f>SUM(N31*1507.5)</f>
        <v>0</v>
      </c>
      <c r="O32" s="173">
        <f>SUM(O31*1507.5)</f>
        <v>147639.44897959183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7"/>
    </row>
    <row r="33" spans="1:32" ht="15" thickBot="1">
      <c r="A33" s="210"/>
      <c r="C33" s="212">
        <f>SUM(G33:K33)</f>
        <v>1</v>
      </c>
      <c r="G33" s="225">
        <f>IF(C32&gt;0,G32/C32,0)</f>
        <v>0.17565963662923401</v>
      </c>
      <c r="H33" s="212"/>
      <c r="I33" s="225">
        <f>SUM(I32/C32)</f>
        <v>0.42368909583371372</v>
      </c>
      <c r="J33" s="212"/>
      <c r="K33" s="225">
        <f>SUM(K32/C32)</f>
        <v>0.40065126753705227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>
        <f>SUM(AB31/1507.5)</f>
        <v>5915.7867803837953</v>
      </c>
      <c r="AC33" s="579"/>
    </row>
    <row r="34" spans="1:32" ht="1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2742.2252546789859</v>
      </c>
      <c r="Z35" s="40"/>
      <c r="AA35" s="292" t="s">
        <v>215</v>
      </c>
      <c r="AB35" s="293">
        <f>SUM(AB33)</f>
        <v>5915.7867803837953</v>
      </c>
    </row>
    <row r="36" spans="1:32">
      <c r="V36" s="217"/>
      <c r="W36" s="82">
        <f>(AB30+AB51)/1507.5</f>
        <v>3173.5615257048094</v>
      </c>
      <c r="X36" s="544"/>
      <c r="Z36" s="294">
        <f>SUM(AB35)</f>
        <v>5915.7867803837953</v>
      </c>
      <c r="AA36" s="293"/>
      <c r="AB36" s="293"/>
    </row>
    <row r="37" spans="1:32">
      <c r="V37" s="17"/>
      <c r="W37" s="82">
        <f>SUM(W35:W36)</f>
        <v>5915.7867803837953</v>
      </c>
      <c r="X37" s="544"/>
      <c r="Y37" s="82"/>
      <c r="Z37" s="294">
        <f>SUM(-tanks!AX34)*tanks!AU34</f>
        <v>6155.5347451612934</v>
      </c>
      <c r="AA37" s="101">
        <f>SUM(AB31/A32)</f>
        <v>557378.03571428568</v>
      </c>
      <c r="AB37" s="348">
        <f>SUM(AA37*A34)</f>
        <v>15606585</v>
      </c>
    </row>
    <row r="38" spans="1:32" ht="18.5">
      <c r="W38" s="82">
        <f>(AB30+AB51)/1507.5</f>
        <v>3173.5615257048094</v>
      </c>
      <c r="Z38" s="276">
        <f>SUM(Z36:Z37)</f>
        <v>12071.321525545089</v>
      </c>
      <c r="AA38" s="293">
        <f>SUM(AA37/1507.5)</f>
        <v>369.73667377398721</v>
      </c>
      <c r="AB38" s="347">
        <f>SUM(AB37/1507.5)</f>
        <v>10352.626865671642</v>
      </c>
    </row>
    <row r="39" spans="1:32">
      <c r="D39" s="519"/>
      <c r="E39" s="519"/>
      <c r="F39" s="519"/>
      <c r="W39" s="82">
        <f>SUM(W37:W38)</f>
        <v>9089.3483060886047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46"/>
      <c r="AC42" s="646"/>
      <c r="AD42" s="17"/>
      <c r="AE42" s="17"/>
      <c r="AF42" s="17"/>
    </row>
    <row r="43" spans="1:32">
      <c r="V43" s="646"/>
      <c r="W43" s="646"/>
      <c r="X43" s="646"/>
      <c r="Y43" s="646"/>
      <c r="Z43" s="548"/>
      <c r="AA43" s="548"/>
      <c r="AB43" s="646"/>
      <c r="AC43" s="646"/>
      <c r="AD43" s="17"/>
      <c r="AE43" s="17"/>
      <c r="AF43" s="17"/>
    </row>
    <row r="44" spans="1:32">
      <c r="V44" s="646"/>
      <c r="W44" s="646"/>
      <c r="X44" s="646"/>
      <c r="Y44" s="646"/>
      <c r="Z44" s="646"/>
      <c r="AA44" s="646"/>
      <c r="AB44" s="646"/>
      <c r="AC44" s="646"/>
      <c r="AD44" s="17"/>
      <c r="AE44" s="17"/>
      <c r="AF44" s="17"/>
    </row>
    <row r="45" spans="1:32">
      <c r="V45" s="647"/>
      <c r="W45" s="647"/>
      <c r="X45" s="648"/>
      <c r="Y45" s="648"/>
      <c r="Z45" s="648"/>
      <c r="AA45" s="549"/>
      <c r="AB45" s="646"/>
      <c r="AC45" s="646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2:AC45"/>
    <mergeCell ref="V43:Y44"/>
    <mergeCell ref="Z44:AA44"/>
    <mergeCell ref="V45:W45"/>
    <mergeCell ref="X45:Z45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17" activePane="bottomLeft" state="frozen"/>
      <selection pane="bottomLeft" activeCell="K21" sqref="K21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0" customWidth="1"/>
    <col min="12" max="12" width="26.453125" bestFit="1" customWidth="1"/>
    <col min="14" max="14" width="14.26953125" customWidth="1"/>
  </cols>
  <sheetData>
    <row r="1" spans="1:18" ht="39.75" customHeight="1" thickBot="1">
      <c r="A1" s="678" t="s">
        <v>51</v>
      </c>
      <c r="B1" s="690" t="s">
        <v>318</v>
      </c>
      <c r="C1" s="691"/>
      <c r="D1" s="693"/>
      <c r="E1" s="690" t="s">
        <v>319</v>
      </c>
      <c r="F1" s="691"/>
      <c r="G1" s="692"/>
      <c r="H1" s="687" t="s">
        <v>324</v>
      </c>
      <c r="I1" s="684" t="s">
        <v>325</v>
      </c>
      <c r="J1" s="681" t="s">
        <v>43</v>
      </c>
    </row>
    <row r="2" spans="1:18" ht="37.5" thickBot="1">
      <c r="A2" s="67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88"/>
      <c r="I2" s="685"/>
      <c r="J2" s="682"/>
    </row>
    <row r="3" spans="1:18" ht="24" customHeight="1" thickBot="1">
      <c r="A3" s="68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89"/>
      <c r="I3" s="686"/>
      <c r="J3" s="683"/>
    </row>
    <row r="4" spans="1:18" ht="19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" thickBot="1">
      <c r="A7" s="240">
        <f>ELEC!C4</f>
        <v>44229</v>
      </c>
      <c r="B7" s="598">
        <v>1.3</v>
      </c>
      <c r="C7" s="597">
        <v>7.8</v>
      </c>
      <c r="D7" s="597"/>
      <c r="E7" s="597">
        <v>1.2</v>
      </c>
      <c r="F7" s="597">
        <v>8</v>
      </c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" thickBot="1">
      <c r="A8" s="240">
        <f>ELEC!C5</f>
        <v>44230</v>
      </c>
      <c r="B8" s="598">
        <v>1.4</v>
      </c>
      <c r="C8" s="597">
        <v>7.8</v>
      </c>
      <c r="D8" s="597"/>
      <c r="E8" s="597">
        <v>1.3</v>
      </c>
      <c r="F8" s="597">
        <v>8</v>
      </c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" thickBot="1">
      <c r="A9" s="240">
        <f>ELEC!C6</f>
        <v>44231</v>
      </c>
      <c r="B9" s="599">
        <v>1.4</v>
      </c>
      <c r="C9" s="597">
        <v>7.8</v>
      </c>
      <c r="D9" s="45"/>
      <c r="E9" s="45">
        <v>1.2</v>
      </c>
      <c r="F9" s="45">
        <v>8</v>
      </c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" thickBot="1">
      <c r="A10" s="240">
        <f>ELEC!C7</f>
        <v>44232</v>
      </c>
      <c r="B10" s="587">
        <v>1.1000000000000001</v>
      </c>
      <c r="C10" s="586">
        <v>7.8</v>
      </c>
      <c r="D10" s="586"/>
      <c r="E10" s="586">
        <v>1</v>
      </c>
      <c r="F10" s="586">
        <v>8</v>
      </c>
      <c r="G10" s="586"/>
      <c r="H10" s="597">
        <v>6715</v>
      </c>
      <c r="I10" s="509">
        <f t="shared" si="3"/>
        <v>-1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" thickBot="1">
      <c r="A11" s="240">
        <f>ELEC!C8</f>
        <v>44233</v>
      </c>
      <c r="B11" s="537">
        <v>1.5</v>
      </c>
      <c r="C11" s="537">
        <v>7.8</v>
      </c>
      <c r="D11" s="537"/>
      <c r="E11" s="537">
        <v>1.2</v>
      </c>
      <c r="F11" s="537">
        <v>8</v>
      </c>
      <c r="G11" s="537"/>
      <c r="H11" s="597">
        <v>6715.5</v>
      </c>
      <c r="I11" s="509">
        <f t="shared" si="3"/>
        <v>0.5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" thickBot="1">
      <c r="A12" s="240">
        <f>ELEC!C9</f>
        <v>44234</v>
      </c>
      <c r="B12" s="537">
        <v>1.4</v>
      </c>
      <c r="C12" s="537">
        <v>7.8</v>
      </c>
      <c r="D12" s="537"/>
      <c r="E12" s="537">
        <v>1</v>
      </c>
      <c r="F12" s="537">
        <v>8</v>
      </c>
      <c r="G12" s="537"/>
      <c r="H12" s="597">
        <v>6716</v>
      </c>
      <c r="I12" s="509">
        <f t="shared" si="3"/>
        <v>0.5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" thickBot="1">
      <c r="A13" s="240">
        <f>ELEC!C10</f>
        <v>44235</v>
      </c>
      <c r="B13" s="537">
        <v>1.3</v>
      </c>
      <c r="C13" s="537">
        <v>7.8</v>
      </c>
      <c r="D13" s="537"/>
      <c r="E13" s="537" t="s">
        <v>417</v>
      </c>
      <c r="F13" s="537"/>
      <c r="G13" s="537"/>
      <c r="H13" s="597">
        <v>6717</v>
      </c>
      <c r="I13" s="509">
        <f t="shared" si="3"/>
        <v>1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" thickBot="1">
      <c r="A14" s="240">
        <f>ELEC!C11</f>
        <v>44236</v>
      </c>
      <c r="B14" s="537">
        <v>1.3</v>
      </c>
      <c r="C14" s="590">
        <v>7.8</v>
      </c>
      <c r="D14" s="170"/>
      <c r="E14" s="170">
        <v>1.2</v>
      </c>
      <c r="F14" s="170">
        <v>7.4</v>
      </c>
      <c r="G14" s="170"/>
      <c r="H14" s="597">
        <v>6718</v>
      </c>
      <c r="I14" s="509">
        <f t="shared" si="3"/>
        <v>1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" thickBot="1">
      <c r="A15" s="240">
        <f>ELEC!C12</f>
        <v>44237</v>
      </c>
      <c r="B15" s="537">
        <v>1.2</v>
      </c>
      <c r="C15" s="591">
        <v>7.8</v>
      </c>
      <c r="D15" s="591"/>
      <c r="E15" s="591">
        <v>1.4</v>
      </c>
      <c r="F15" s="591">
        <v>7.8</v>
      </c>
      <c r="G15" s="591"/>
      <c r="H15" s="597">
        <f t="shared" si="2"/>
        <v>6718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" thickBot="1">
      <c r="A16" s="240">
        <f>ELEC!C13</f>
        <v>44238</v>
      </c>
      <c r="B16" s="537">
        <v>2.2000000000000002</v>
      </c>
      <c r="C16" s="591">
        <v>7.8</v>
      </c>
      <c r="D16" s="591"/>
      <c r="E16" s="591">
        <v>1.5</v>
      </c>
      <c r="F16" s="591">
        <v>7.8</v>
      </c>
      <c r="G16" s="591"/>
      <c r="H16" s="597">
        <f t="shared" si="2"/>
        <v>6718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" thickBot="1">
      <c r="A17" s="240">
        <f>ELEC!C14</f>
        <v>44239</v>
      </c>
      <c r="B17" s="537">
        <v>2.5</v>
      </c>
      <c r="C17" s="537">
        <v>7.8</v>
      </c>
      <c r="D17" s="537"/>
      <c r="E17" s="537">
        <v>2</v>
      </c>
      <c r="F17" s="537">
        <v>7.4</v>
      </c>
      <c r="G17" s="537"/>
      <c r="H17" s="597">
        <f t="shared" si="2"/>
        <v>6718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" thickBot="1">
      <c r="A18" s="240">
        <f>ELEC!C15</f>
        <v>44240</v>
      </c>
      <c r="B18" s="537">
        <v>1</v>
      </c>
      <c r="C18" s="592">
        <v>7.8</v>
      </c>
      <c r="D18" s="170"/>
      <c r="E18" s="170">
        <v>1.3</v>
      </c>
      <c r="F18" s="170">
        <v>7.8</v>
      </c>
      <c r="G18" s="537"/>
      <c r="H18" s="597">
        <f t="shared" si="2"/>
        <v>6718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" thickBot="1">
      <c r="A19" s="240">
        <f>ELEC!C16</f>
        <v>44241</v>
      </c>
      <c r="B19" s="537">
        <v>2.2000000000000002</v>
      </c>
      <c r="C19" s="593">
        <v>7.8</v>
      </c>
      <c r="D19" s="170"/>
      <c r="E19" s="170">
        <v>1.5</v>
      </c>
      <c r="F19" s="170">
        <v>8</v>
      </c>
      <c r="G19" s="537"/>
      <c r="H19" s="597">
        <f t="shared" si="2"/>
        <v>6718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" thickBot="1">
      <c r="A20" s="240">
        <f>ELEC!C17</f>
        <v>44242</v>
      </c>
      <c r="B20" s="537">
        <v>2.5</v>
      </c>
      <c r="C20" s="537">
        <v>7.8</v>
      </c>
      <c r="D20" s="537"/>
      <c r="E20" s="537">
        <v>1.5</v>
      </c>
      <c r="F20" s="537">
        <v>8</v>
      </c>
      <c r="G20" s="537"/>
      <c r="H20" s="597">
        <v>6720</v>
      </c>
      <c r="I20" s="509">
        <f t="shared" si="3"/>
        <v>2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" thickBot="1">
      <c r="A21" s="240">
        <f>ELEC!C18</f>
        <v>44243</v>
      </c>
      <c r="B21" s="537">
        <v>2</v>
      </c>
      <c r="C21" s="594">
        <v>7.8</v>
      </c>
      <c r="D21" s="170"/>
      <c r="E21" s="170">
        <v>1.4</v>
      </c>
      <c r="F21" s="170">
        <v>8</v>
      </c>
      <c r="G21" s="537"/>
      <c r="H21" s="597">
        <f t="shared" si="2"/>
        <v>6720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" thickBot="1">
      <c r="A22" s="240">
        <f>ELEC!C19</f>
        <v>44244</v>
      </c>
      <c r="B22" s="537"/>
      <c r="C22" s="537"/>
      <c r="D22" s="537"/>
      <c r="E22" s="537"/>
      <c r="F22" s="537"/>
      <c r="G22" s="537"/>
      <c r="H22" s="597">
        <f t="shared" si="2"/>
        <v>6720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" thickBot="1">
      <c r="A23" s="240">
        <f>ELEC!C20</f>
        <v>44245</v>
      </c>
      <c r="B23" s="537"/>
      <c r="C23" s="537"/>
      <c r="D23" s="537"/>
      <c r="E23" s="537"/>
      <c r="F23" s="537"/>
      <c r="G23" s="537"/>
      <c r="H23" s="597">
        <f t="shared" si="2"/>
        <v>6720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" thickBot="1">
      <c r="A24" s="240">
        <f>ELEC!C21</f>
        <v>44246</v>
      </c>
      <c r="B24" s="537"/>
      <c r="C24" s="600"/>
      <c r="D24" s="170"/>
      <c r="E24" s="170"/>
      <c r="F24" s="170"/>
      <c r="G24" s="170"/>
      <c r="H24" s="597">
        <f t="shared" si="2"/>
        <v>6720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" thickBot="1">
      <c r="A25" s="240">
        <f>ELEC!C22</f>
        <v>44247</v>
      </c>
      <c r="B25" s="583"/>
      <c r="C25" s="582"/>
      <c r="D25" s="170"/>
      <c r="E25" s="170"/>
      <c r="F25" s="170"/>
      <c r="G25" s="170"/>
      <c r="H25" s="597">
        <f t="shared" si="2"/>
        <v>6720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" thickBot="1">
      <c r="A26" s="240">
        <f>ELEC!C23</f>
        <v>44248</v>
      </c>
      <c r="B26" s="583"/>
      <c r="C26" s="584"/>
      <c r="D26" s="170"/>
      <c r="E26" s="170"/>
      <c r="F26" s="170"/>
      <c r="G26" s="170"/>
      <c r="H26" s="597">
        <f t="shared" si="2"/>
        <v>6720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" thickBot="1">
      <c r="A27" s="240">
        <f>ELEC!C24</f>
        <v>44249</v>
      </c>
      <c r="B27" s="170"/>
      <c r="C27" s="170"/>
      <c r="D27" s="170"/>
      <c r="E27" s="170"/>
      <c r="F27" s="170"/>
      <c r="G27" s="170"/>
      <c r="H27" s="597">
        <f t="shared" si="2"/>
        <v>6720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" thickBot="1">
      <c r="A28" s="240">
        <f>ELEC!C25</f>
        <v>44250</v>
      </c>
      <c r="B28" s="254"/>
      <c r="C28" s="585"/>
      <c r="D28" s="170"/>
      <c r="E28" s="170"/>
      <c r="F28" s="170"/>
      <c r="G28" s="170"/>
      <c r="H28" s="597">
        <f t="shared" si="2"/>
        <v>6720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" thickBot="1">
      <c r="A29" s="240">
        <f>ELEC!C26</f>
        <v>44251</v>
      </c>
      <c r="B29" s="537"/>
      <c r="C29" s="537"/>
      <c r="D29" s="537"/>
      <c r="E29" s="170"/>
      <c r="F29" s="170"/>
      <c r="G29" s="537"/>
      <c r="H29" s="597">
        <f t="shared" si="2"/>
        <v>6720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" thickBot="1">
      <c r="A30" s="240">
        <f>ELEC!C27</f>
        <v>44252</v>
      </c>
      <c r="B30" s="509"/>
      <c r="C30" s="509"/>
      <c r="D30" s="170"/>
      <c r="E30" s="170"/>
      <c r="F30" s="170"/>
      <c r="G30" s="170"/>
      <c r="H30" s="597">
        <f t="shared" si="2"/>
        <v>6720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" thickBot="1">
      <c r="A31" s="240">
        <f>ELEC!C28</f>
        <v>44253</v>
      </c>
      <c r="B31" s="254"/>
      <c r="C31" s="538"/>
      <c r="D31" s="170"/>
      <c r="E31" s="170"/>
      <c r="F31" s="170"/>
      <c r="G31" s="170"/>
      <c r="H31" s="597">
        <f t="shared" si="2"/>
        <v>6720</v>
      </c>
      <c r="I31" s="509">
        <f t="shared" si="3"/>
        <v>0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" thickBot="1">
      <c r="A32" s="240">
        <f>ELEC!C29</f>
        <v>44254</v>
      </c>
      <c r="B32" s="509"/>
      <c r="C32" s="509"/>
      <c r="D32" s="509"/>
      <c r="E32" s="509"/>
      <c r="F32" s="509"/>
      <c r="G32" s="509"/>
      <c r="H32" s="597">
        <f t="shared" si="2"/>
        <v>6720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6720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694" t="s">
        <v>161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694"/>
      <c r="V1" s="694"/>
      <c r="W1" s="694"/>
      <c r="X1" s="694"/>
    </row>
    <row r="2" spans="1:28" ht="19.5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  <c r="Q2" s="695"/>
      <c r="R2" s="695"/>
      <c r="S2" s="695"/>
      <c r="T2" s="695"/>
      <c r="U2" s="695"/>
      <c r="V2" s="695"/>
      <c r="W2" s="695"/>
      <c r="X2" s="695"/>
    </row>
    <row r="3" spans="1:28" ht="19.5">
      <c r="A3" s="695" t="s">
        <v>162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695"/>
      <c r="N3" s="695"/>
      <c r="O3" s="695"/>
      <c r="P3" s="695"/>
      <c r="Q3" s="695"/>
      <c r="R3" s="695"/>
      <c r="S3" s="695"/>
      <c r="T3" s="695"/>
      <c r="U3" s="695"/>
      <c r="V3" s="695"/>
      <c r="W3" s="695"/>
      <c r="X3" s="69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5" t="s">
        <v>409</v>
      </c>
      <c r="B5" s="695"/>
      <c r="C5" s="695"/>
      <c r="D5" s="695"/>
      <c r="E5" s="695"/>
      <c r="F5" s="695"/>
      <c r="G5" s="695"/>
      <c r="H5" s="695"/>
      <c r="I5" s="695"/>
      <c r="J5" s="695"/>
      <c r="K5" s="695"/>
      <c r="L5" s="695"/>
      <c r="M5" s="695"/>
      <c r="N5" s="695"/>
      <c r="O5" s="695"/>
      <c r="P5" s="695"/>
      <c r="Q5" s="695"/>
      <c r="R5" s="695"/>
      <c r="S5" s="695"/>
      <c r="T5" s="695"/>
      <c r="U5" s="695"/>
      <c r="V5" s="695"/>
      <c r="W5" s="695"/>
      <c r="X5" s="695"/>
    </row>
    <row r="6" spans="1:28" ht="15" thickBot="1">
      <c r="A6" s="696"/>
      <c r="B6" s="696"/>
      <c r="C6" s="696"/>
      <c r="D6" s="696"/>
      <c r="E6" s="696"/>
      <c r="F6" s="696"/>
      <c r="G6" s="696"/>
      <c r="H6" s="696"/>
      <c r="I6" s="696"/>
      <c r="J6" s="696"/>
      <c r="K6" s="696"/>
      <c r="L6" s="696"/>
      <c r="M6" s="696"/>
      <c r="N6" s="696"/>
      <c r="O6" s="696"/>
      <c r="P6" s="696"/>
      <c r="Q6" s="696"/>
      <c r="R6" s="696"/>
      <c r="S6" s="696"/>
      <c r="T6" s="696"/>
      <c r="U6" s="696"/>
      <c r="V6" s="696"/>
      <c r="W6" s="696"/>
      <c r="X6" s="696"/>
    </row>
    <row r="7" spans="1:28" ht="15" thickBot="1">
      <c r="A7" s="698" t="s">
        <v>163</v>
      </c>
      <c r="B7" s="699"/>
      <c r="C7" s="700" t="s">
        <v>164</v>
      </c>
      <c r="D7" s="701"/>
      <c r="E7" s="701"/>
      <c r="F7" s="701"/>
      <c r="G7" s="701"/>
      <c r="H7" s="701"/>
      <c r="I7" s="701"/>
      <c r="J7" s="701"/>
      <c r="K7" s="702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20</v>
      </c>
      <c r="G14" s="272">
        <f>'General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19</v>
      </c>
      <c r="G15" s="272">
        <f>'General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21</v>
      </c>
      <c r="G16" s="272">
        <f>'General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23</v>
      </c>
      <c r="G17" s="272">
        <f>'General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21</v>
      </c>
      <c r="G18" s="272">
        <f>'General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19</v>
      </c>
      <c r="G19" s="272">
        <f>'General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18</v>
      </c>
      <c r="G20" s="272">
        <f>'General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18</v>
      </c>
      <c r="G21" s="272">
        <f>'General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19</v>
      </c>
      <c r="G22" s="272">
        <f>'General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18</v>
      </c>
      <c r="G23" s="272">
        <f>'General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18</v>
      </c>
      <c r="G24" s="272">
        <f>'General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11</v>
      </c>
      <c r="G25" s="272">
        <f>'General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0</v>
      </c>
      <c r="G26" s="272">
        <f>'General information '!C22</f>
        <v>0</v>
      </c>
      <c r="H26" s="272">
        <f t="shared" si="0"/>
        <v>-18.3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0</v>
      </c>
      <c r="G27" s="272">
        <f>'General information '!C23</f>
        <v>0</v>
      </c>
      <c r="H27" s="272">
        <f t="shared" si="0"/>
        <v>-18.3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0</v>
      </c>
      <c r="G28" s="272">
        <f>'General information '!C24</f>
        <v>0</v>
      </c>
      <c r="H28" s="272">
        <f t="shared" si="0"/>
        <v>-18.3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0</v>
      </c>
      <c r="G29" s="272">
        <f>'General information '!C25</f>
        <v>0</v>
      </c>
      <c r="H29" s="272">
        <f t="shared" si="0"/>
        <v>-18.3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0</v>
      </c>
      <c r="G30" s="272">
        <f>'General information '!C26</f>
        <v>0</v>
      </c>
      <c r="H30" s="272">
        <f t="shared" si="0"/>
        <v>-18.3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0</v>
      </c>
      <c r="G31" s="272">
        <f>'General information '!C27</f>
        <v>0</v>
      </c>
      <c r="H31" s="272">
        <f t="shared" si="0"/>
        <v>-18.3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0</v>
      </c>
      <c r="G32" s="272">
        <f>'General information '!C28</f>
        <v>0</v>
      </c>
      <c r="H32" s="272">
        <f t="shared" si="0"/>
        <v>-18.3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0</v>
      </c>
      <c r="G33" s="272">
        <f>'General information '!C29</f>
        <v>0</v>
      </c>
      <c r="H33" s="272">
        <f t="shared" si="0"/>
        <v>-18.3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0</v>
      </c>
      <c r="G34" s="272">
        <f>'General information '!C30</f>
        <v>0</v>
      </c>
      <c r="H34" s="272">
        <f t="shared" si="0"/>
        <v>-18.3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0</v>
      </c>
      <c r="G35" s="272">
        <f>'General information '!C31</f>
        <v>0</v>
      </c>
      <c r="H35" s="272">
        <f t="shared" si="0"/>
        <v>-18.3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0</v>
      </c>
      <c r="G36" s="272">
        <f>'General information '!C32</f>
        <v>0</v>
      </c>
      <c r="H36" s="272">
        <f t="shared" si="0"/>
        <v>-18.3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-247.90000000000006</v>
      </c>
      <c r="G43" s="119">
        <f>SUMIF(H10:H37,"&gt;0")</f>
        <v>6.4999999999999964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3" t="s">
        <v>174</v>
      </c>
      <c r="O84" s="703" t="s">
        <v>175</v>
      </c>
      <c r="P84" s="134"/>
      <c r="T84" s="134"/>
      <c r="X84" s="134"/>
    </row>
    <row r="85" spans="1:24" ht="20" thickBot="1">
      <c r="D85" s="134"/>
      <c r="I85" s="705" t="s">
        <v>182</v>
      </c>
      <c r="J85" s="706"/>
      <c r="K85" s="706"/>
      <c r="L85" s="706"/>
      <c r="N85" s="704"/>
      <c r="O85" s="704"/>
      <c r="P85" s="134"/>
      <c r="R85" s="17"/>
      <c r="S85" s="17"/>
      <c r="T85" s="140"/>
      <c r="U85" s="141"/>
      <c r="X85" s="134"/>
    </row>
    <row r="86" spans="1:24" ht="18" thickBot="1">
      <c r="D86" s="134"/>
      <c r="I86" s="707" t="s">
        <v>183</v>
      </c>
      <c r="J86" s="707"/>
      <c r="K86" s="707"/>
      <c r="L86" s="707"/>
      <c r="N86" s="142">
        <f>B43+F43+J43+N43+R43+V43+B81+F81+J81+N81+R81+V81</f>
        <v>-5757.3000000000011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abSelected="1" topLeftCell="A4" workbookViewId="0">
      <pane xSplit="1" topLeftCell="B1" activePane="topRight" state="frozen"/>
      <selection pane="topRight" activeCell="H20" sqref="H20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08" t="s">
        <v>216</v>
      </c>
      <c r="B2" s="708"/>
      <c r="C2" s="708"/>
      <c r="D2" s="708"/>
      <c r="E2" s="708"/>
      <c r="F2" s="708"/>
      <c r="G2" s="708"/>
      <c r="H2" s="708"/>
      <c r="I2" s="708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16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446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4685.7142857142853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17500.099999999999</v>
      </c>
      <c r="C8" s="493">
        <f>SUM(tanks!AU34)</f>
        <v>0.48766666666666669</v>
      </c>
      <c r="D8" s="191">
        <f>SUM(B8*C8)*D4</f>
        <v>12865329.765749998</v>
      </c>
      <c r="E8" s="192">
        <f>SUM(D8/D4/F4)</f>
        <v>533.3884645833333</v>
      </c>
      <c r="F8" s="192">
        <f>SUM(E8*F4)</f>
        <v>8534.2154333333328</v>
      </c>
      <c r="G8" s="510">
        <f>E8*$F$4</f>
        <v>8534.2154333333328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8918048.5714285709</v>
      </c>
      <c r="E10" s="182">
        <f>SUM(D10/D4/F4)</f>
        <v>369.73667377398721</v>
      </c>
      <c r="F10" s="182">
        <f>SUM(E10*F4)</f>
        <v>5915.7867803837953</v>
      </c>
      <c r="G10" s="510">
        <f>E10*$G$4</f>
        <v>10352.626865671642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1195.9822812144632</v>
      </c>
      <c r="F12" s="180">
        <f>SUM(F6:F10)</f>
        <v>19135.716499431412</v>
      </c>
      <c r="G12" s="179">
        <f>SUM(G6:G10)</f>
        <v>27086.842299004973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29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3">
        <f>'[13]Utility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-28208.596088091785</v>
      </c>
      <c r="I14" s="423">
        <f>SUM(G12-I12)</f>
        <v>-28208.596088091785</v>
      </c>
    </row>
    <row r="15" spans="1:11">
      <c r="A15" s="449" t="s">
        <v>303</v>
      </c>
      <c r="B15" s="97">
        <f>'Degree Days 2020'!AA19</f>
        <v>0</v>
      </c>
      <c r="C15" s="433">
        <f>'[13]Utility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>
        <f>'General information '!D35</f>
        <v>16.9375</v>
      </c>
      <c r="C16" s="433">
        <f>'[13]Utility Cost '!B16</f>
        <v>14.293103448275861</v>
      </c>
      <c r="D16" s="432"/>
      <c r="E16" s="433">
        <f t="shared" si="0"/>
        <v>2.6443965517241388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72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-43.420000000000073</v>
      </c>
      <c r="F18" s="528">
        <f>B18-D18</f>
        <v>-100.73885330486587</v>
      </c>
    </row>
    <row r="19" spans="1:10">
      <c r="A19" s="522" t="s">
        <v>411</v>
      </c>
      <c r="B19" s="520">
        <f>SUM(B18/$F$4)</f>
        <v>4.5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2021-02-17T19:05:49Z</dcterms:modified>
</cp:coreProperties>
</file>