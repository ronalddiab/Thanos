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L:\BAL-ENG\4. Energy\4.1 Utilities\HEP\2020\2. February 2020\"/>
    </mc:Choice>
  </mc:AlternateContent>
  <bookViews>
    <workbookView xWindow="0" yWindow="0" windowWidth="28800" windowHeight="12435" tabRatio="762" activeTab="1"/>
  </bookViews>
  <sheets>
    <sheet name="TOTAL" sheetId="11" r:id="rId1"/>
    <sheet name="FS Jimbaran February 2020" sheetId="14" r:id="rId2"/>
    <sheet name="RNs &amp; Covers February 2020" sheetId="10" r:id="rId3"/>
  </sheets>
  <calcPr calcId="152511" calcOnSave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40" i="14" l="1"/>
  <c r="P40" i="14"/>
  <c r="N40" i="14"/>
  <c r="I40" i="14"/>
  <c r="AL40" i="14"/>
  <c r="AA40" i="14"/>
  <c r="AB40" i="14"/>
  <c r="AA47" i="14"/>
  <c r="Z47" i="14"/>
  <c r="X47" i="14"/>
  <c r="AJ47" i="14"/>
  <c r="AK47" i="14"/>
  <c r="AH47" i="14"/>
  <c r="AG47" i="14"/>
  <c r="AG40" i="14" l="1"/>
  <c r="AI40" i="14" s="1"/>
  <c r="V33" i="14" l="1"/>
  <c r="V34" i="14"/>
  <c r="V35" i="14"/>
  <c r="V36" i="14"/>
  <c r="V37" i="14"/>
  <c r="V38" i="14"/>
  <c r="V39" i="14"/>
  <c r="U33" i="14"/>
  <c r="U34" i="14"/>
  <c r="U35" i="14"/>
  <c r="U36" i="14"/>
  <c r="U37" i="14"/>
  <c r="U38" i="14"/>
  <c r="U39" i="14"/>
  <c r="V24" i="14" l="1"/>
  <c r="J21" i="11" l="1"/>
  <c r="J22" i="11"/>
  <c r="J23" i="11"/>
  <c r="J24" i="11"/>
  <c r="J25" i="11"/>
  <c r="J26" i="11"/>
  <c r="J27" i="11"/>
  <c r="J28" i="11"/>
  <c r="J29" i="11"/>
  <c r="I21" i="11"/>
  <c r="I22" i="11"/>
  <c r="I23" i="11"/>
  <c r="I24" i="11"/>
  <c r="I25" i="11"/>
  <c r="I26" i="11"/>
  <c r="I27" i="11"/>
  <c r="I28" i="11"/>
  <c r="I29" i="11"/>
  <c r="AL31" i="14" l="1"/>
  <c r="AL32" i="14"/>
  <c r="AL33" i="14"/>
  <c r="AL34" i="14"/>
  <c r="AL35" i="14"/>
  <c r="AL36" i="14"/>
  <c r="AL37" i="14"/>
  <c r="AL38" i="14"/>
  <c r="AL39" i="14"/>
  <c r="AG31" i="14"/>
  <c r="AI31" i="14" s="1"/>
  <c r="AG32" i="14"/>
  <c r="AI32" i="14" s="1"/>
  <c r="AG33" i="14"/>
  <c r="AI33" i="14" s="1"/>
  <c r="AG34" i="14"/>
  <c r="AI34" i="14" s="1"/>
  <c r="AG35" i="14"/>
  <c r="AI35" i="14" s="1"/>
  <c r="AG36" i="14"/>
  <c r="AI36" i="14" s="1"/>
  <c r="AG37" i="14"/>
  <c r="AI37" i="14" s="1"/>
  <c r="AG38" i="14"/>
  <c r="AI38" i="14" s="1"/>
  <c r="AG39" i="14"/>
  <c r="AI39" i="14" s="1"/>
  <c r="H29" i="11" l="1"/>
  <c r="G29" i="11"/>
  <c r="H27" i="11"/>
  <c r="G27" i="11"/>
  <c r="H25" i="11"/>
  <c r="G25" i="11"/>
  <c r="H23" i="11"/>
  <c r="G23" i="11"/>
  <c r="H21" i="11"/>
  <c r="G21" i="11"/>
  <c r="H28" i="11"/>
  <c r="G28" i="11"/>
  <c r="H26" i="11"/>
  <c r="G26" i="11"/>
  <c r="H24" i="11"/>
  <c r="G24" i="11"/>
  <c r="H22" i="11"/>
  <c r="G22" i="11"/>
  <c r="AA31" i="14"/>
  <c r="AA32" i="14"/>
  <c r="AA33" i="14"/>
  <c r="AA34" i="14"/>
  <c r="AA35" i="14"/>
  <c r="AA36" i="14"/>
  <c r="AA37" i="14"/>
  <c r="AA38" i="14"/>
  <c r="AA39" i="14"/>
  <c r="V31" i="14"/>
  <c r="K21" i="11" s="1"/>
  <c r="V32" i="14"/>
  <c r="K22" i="11" s="1"/>
  <c r="K23" i="11"/>
  <c r="K24" i="11"/>
  <c r="K25" i="11"/>
  <c r="K26" i="11"/>
  <c r="K27" i="11"/>
  <c r="K28" i="11"/>
  <c r="K29" i="11"/>
  <c r="N31" i="14"/>
  <c r="N32" i="14"/>
  <c r="N33" i="14"/>
  <c r="N34" i="14"/>
  <c r="N35" i="14"/>
  <c r="N36" i="14"/>
  <c r="N37" i="14"/>
  <c r="N38" i="14"/>
  <c r="N39" i="14"/>
  <c r="I39" i="14"/>
  <c r="I38" i="14"/>
  <c r="I37" i="14"/>
  <c r="I36" i="14"/>
  <c r="I35" i="14"/>
  <c r="I34" i="14"/>
  <c r="I33" i="14"/>
  <c r="I32" i="14"/>
  <c r="I31" i="14"/>
  <c r="O32" i="14" l="1"/>
  <c r="U32" i="14" s="1"/>
  <c r="O37" i="14"/>
  <c r="O35" i="14"/>
  <c r="O39" i="14"/>
  <c r="O33" i="14"/>
  <c r="O34" i="14"/>
  <c r="O36" i="14"/>
  <c r="O38" i="14"/>
  <c r="O31" i="14"/>
  <c r="U31" i="14" s="1"/>
  <c r="L29" i="11"/>
  <c r="AB39" i="14"/>
  <c r="L27" i="11"/>
  <c r="AB37" i="14"/>
  <c r="L25" i="11"/>
  <c r="AB35" i="14"/>
  <c r="L23" i="11"/>
  <c r="AB33" i="14"/>
  <c r="L21" i="11"/>
  <c r="AB31" i="14"/>
  <c r="P31" i="14"/>
  <c r="P32" i="14"/>
  <c r="P33" i="14"/>
  <c r="E23" i="11" s="1"/>
  <c r="P34" i="14"/>
  <c r="E24" i="11" s="1"/>
  <c r="P35" i="14"/>
  <c r="E25" i="11" s="1"/>
  <c r="P36" i="14"/>
  <c r="E26" i="11" s="1"/>
  <c r="P37" i="14"/>
  <c r="E27" i="11" s="1"/>
  <c r="P38" i="14"/>
  <c r="E28" i="11" s="1"/>
  <c r="P39" i="14"/>
  <c r="E29" i="11" s="1"/>
  <c r="L28" i="11"/>
  <c r="AB38" i="14"/>
  <c r="L26" i="11"/>
  <c r="AB36" i="14"/>
  <c r="L24" i="11"/>
  <c r="AB34" i="14"/>
  <c r="L22" i="11"/>
  <c r="AB32" i="14"/>
  <c r="E21" i="11" l="1"/>
  <c r="E22" i="11"/>
  <c r="F28" i="11"/>
  <c r="F26" i="11"/>
  <c r="F24" i="11"/>
  <c r="F22" i="11"/>
  <c r="F29" i="11"/>
  <c r="F27" i="11"/>
  <c r="F25" i="11"/>
  <c r="F23" i="11"/>
  <c r="F21" i="11"/>
  <c r="C38" i="10"/>
  <c r="B38" i="10"/>
  <c r="V30" i="14" l="1"/>
  <c r="V29" i="14"/>
  <c r="V28" i="14"/>
  <c r="V27" i="14"/>
  <c r="V26" i="14"/>
  <c r="V25" i="14"/>
  <c r="V23" i="14"/>
  <c r="V22" i="14"/>
  <c r="V21" i="14"/>
  <c r="V20" i="14"/>
  <c r="V19" i="14"/>
  <c r="V18" i="14"/>
  <c r="V17" i="14"/>
  <c r="V16" i="14"/>
  <c r="V15" i="14"/>
  <c r="V14" i="14"/>
  <c r="V13" i="14"/>
  <c r="V12" i="14"/>
  <c r="K9" i="11" l="1"/>
  <c r="K10" i="11"/>
  <c r="K11" i="11"/>
  <c r="K17" i="11"/>
  <c r="K18" i="11"/>
  <c r="K19" i="11"/>
  <c r="K20" i="11"/>
  <c r="J7" i="11"/>
  <c r="I3" i="11"/>
  <c r="I5" i="11"/>
  <c r="I11" i="11"/>
  <c r="I13" i="11"/>
  <c r="I19" i="11"/>
  <c r="I20" i="11"/>
  <c r="I2" i="11"/>
  <c r="AD47" i="14"/>
  <c r="D47" i="14"/>
  <c r="C47" i="14"/>
  <c r="AE47" i="14"/>
  <c r="J20" i="11"/>
  <c r="AG30" i="14"/>
  <c r="N30" i="14"/>
  <c r="I30" i="14"/>
  <c r="AL29" i="14"/>
  <c r="AG29" i="14"/>
  <c r="N29" i="14"/>
  <c r="I29" i="14"/>
  <c r="AL28" i="14"/>
  <c r="AG28" i="14"/>
  <c r="N28" i="14"/>
  <c r="I28" i="14"/>
  <c r="AG27" i="14"/>
  <c r="N27" i="14"/>
  <c r="I27" i="14"/>
  <c r="AL26" i="14"/>
  <c r="AG26" i="14"/>
  <c r="AI26" i="14" s="1"/>
  <c r="I26" i="14"/>
  <c r="AL25" i="14"/>
  <c r="I15" i="11"/>
  <c r="AG25" i="14"/>
  <c r="N25" i="14"/>
  <c r="P25" i="14"/>
  <c r="AL24" i="14"/>
  <c r="AG24" i="14"/>
  <c r="K14" i="11"/>
  <c r="N24" i="14"/>
  <c r="I24" i="14"/>
  <c r="AL23" i="14"/>
  <c r="AG23" i="14"/>
  <c r="P23" i="14"/>
  <c r="N23" i="14"/>
  <c r="AG22" i="14"/>
  <c r="N22" i="14"/>
  <c r="I22" i="14"/>
  <c r="AG21" i="14"/>
  <c r="P21" i="14"/>
  <c r="N21" i="14"/>
  <c r="AL20" i="14"/>
  <c r="AG20" i="14"/>
  <c r="AA20" i="14"/>
  <c r="AB20" i="14" s="1"/>
  <c r="N20" i="14"/>
  <c r="I20" i="14"/>
  <c r="I9" i="11"/>
  <c r="AG19" i="14"/>
  <c r="AA19" i="14"/>
  <c r="AB19" i="14" s="1"/>
  <c r="N19" i="14"/>
  <c r="AL18" i="14"/>
  <c r="AG18" i="14"/>
  <c r="P18" i="14"/>
  <c r="I18" i="14"/>
  <c r="AL17" i="14"/>
  <c r="I7" i="11"/>
  <c r="AG17" i="14"/>
  <c r="P17" i="14"/>
  <c r="N17" i="14"/>
  <c r="AL16" i="14"/>
  <c r="AG16" i="14"/>
  <c r="K6" i="11"/>
  <c r="N16" i="14"/>
  <c r="I16" i="14"/>
  <c r="AL15" i="14"/>
  <c r="AG15" i="14"/>
  <c r="P15" i="14"/>
  <c r="N15" i="14"/>
  <c r="AG14" i="14"/>
  <c r="N14" i="14"/>
  <c r="AL13" i="14"/>
  <c r="AG13" i="14"/>
  <c r="N13" i="14"/>
  <c r="AG12" i="14"/>
  <c r="K2" i="11"/>
  <c r="I12" i="14"/>
  <c r="H11" i="11" l="1"/>
  <c r="H5" i="11"/>
  <c r="G2" i="11"/>
  <c r="H7" i="11"/>
  <c r="H13" i="11"/>
  <c r="H3" i="11"/>
  <c r="E7" i="11"/>
  <c r="E5" i="11"/>
  <c r="E13" i="11"/>
  <c r="E11" i="11"/>
  <c r="E15" i="11"/>
  <c r="E8" i="11"/>
  <c r="G8" i="11"/>
  <c r="H8" i="11"/>
  <c r="G9" i="11"/>
  <c r="H9" i="11"/>
  <c r="AI22" i="14"/>
  <c r="H12" i="11"/>
  <c r="AI24" i="14"/>
  <c r="H14" i="11"/>
  <c r="AI25" i="14"/>
  <c r="H15" i="11"/>
  <c r="G16" i="11"/>
  <c r="H16" i="11"/>
  <c r="AI28" i="14"/>
  <c r="H18" i="11"/>
  <c r="AI29" i="14"/>
  <c r="H19" i="11"/>
  <c r="AI30" i="14"/>
  <c r="H20" i="11"/>
  <c r="AI14" i="14"/>
  <c r="H4" i="11"/>
  <c r="AI16" i="14"/>
  <c r="H6" i="11"/>
  <c r="AI20" i="14"/>
  <c r="H10" i="11"/>
  <c r="AI27" i="14"/>
  <c r="H17" i="11"/>
  <c r="O29" i="14"/>
  <c r="U29" i="14" s="1"/>
  <c r="O27" i="14"/>
  <c r="U27" i="14" s="1"/>
  <c r="G20" i="11"/>
  <c r="O20" i="14"/>
  <c r="U20" i="14" s="1"/>
  <c r="O30" i="14"/>
  <c r="U30" i="14" s="1"/>
  <c r="G15" i="11"/>
  <c r="G14" i="11"/>
  <c r="O28" i="14"/>
  <c r="U28" i="14" s="1"/>
  <c r="J13" i="11"/>
  <c r="J14" i="11"/>
  <c r="AL30" i="14"/>
  <c r="J6" i="11"/>
  <c r="J5" i="11"/>
  <c r="G7" i="11"/>
  <c r="G11" i="11"/>
  <c r="AL27" i="14"/>
  <c r="J17" i="11"/>
  <c r="G13" i="11"/>
  <c r="J4" i="11"/>
  <c r="AL14" i="14"/>
  <c r="G5" i="11"/>
  <c r="G3" i="11"/>
  <c r="AL21" i="14"/>
  <c r="J11" i="11"/>
  <c r="J12" i="11"/>
  <c r="AL22" i="14"/>
  <c r="J47" i="14"/>
  <c r="G47" i="14"/>
  <c r="W47" i="14"/>
  <c r="AA13" i="14"/>
  <c r="AA15" i="14"/>
  <c r="AA17" i="14"/>
  <c r="AA23" i="14"/>
  <c r="O24" i="14"/>
  <c r="U24" i="14" s="1"/>
  <c r="P27" i="14"/>
  <c r="P29" i="14"/>
  <c r="P30" i="14"/>
  <c r="J16" i="11"/>
  <c r="J8" i="11"/>
  <c r="K3" i="11"/>
  <c r="G6" i="11"/>
  <c r="I12" i="11"/>
  <c r="I4" i="11"/>
  <c r="J15" i="11"/>
  <c r="I19" i="14"/>
  <c r="O19" i="14" s="1"/>
  <c r="U19" i="14" s="1"/>
  <c r="G12" i="11"/>
  <c r="G4" i="11"/>
  <c r="I18" i="11"/>
  <c r="K16" i="11"/>
  <c r="K8" i="11"/>
  <c r="L47" i="14"/>
  <c r="P14" i="14"/>
  <c r="P20" i="14"/>
  <c r="P22" i="14"/>
  <c r="AA29" i="14"/>
  <c r="G19" i="11"/>
  <c r="I17" i="11"/>
  <c r="K15" i="11"/>
  <c r="K7" i="11"/>
  <c r="L10" i="11"/>
  <c r="P13" i="14"/>
  <c r="AF47" i="14"/>
  <c r="I10" i="11"/>
  <c r="M47" i="14"/>
  <c r="P16" i="14"/>
  <c r="I17" i="14"/>
  <c r="N18" i="14"/>
  <c r="O18" i="14" s="1"/>
  <c r="I21" i="14"/>
  <c r="O21" i="14" s="1"/>
  <c r="AA27" i="14"/>
  <c r="G18" i="11"/>
  <c r="G10" i="11"/>
  <c r="I16" i="11"/>
  <c r="I8" i="11"/>
  <c r="J19" i="11"/>
  <c r="J3" i="11"/>
  <c r="L9" i="11"/>
  <c r="K47" i="14"/>
  <c r="O22" i="14"/>
  <c r="AA24" i="14"/>
  <c r="P26" i="14"/>
  <c r="E47" i="14"/>
  <c r="I13" i="14"/>
  <c r="O13" i="14" s="1"/>
  <c r="I15" i="14"/>
  <c r="O15" i="14" s="1"/>
  <c r="O16" i="14"/>
  <c r="P19" i="14"/>
  <c r="AA21" i="14"/>
  <c r="I23" i="14"/>
  <c r="O23" i="14" s="1"/>
  <c r="P28" i="14"/>
  <c r="G17" i="11"/>
  <c r="J18" i="11"/>
  <c r="J10" i="11"/>
  <c r="K13" i="11"/>
  <c r="K5" i="11"/>
  <c r="AA25" i="14"/>
  <c r="F47" i="14"/>
  <c r="V47" i="14"/>
  <c r="W51" i="14" s="1"/>
  <c r="I14" i="14"/>
  <c r="O14" i="14" s="1"/>
  <c r="AA14" i="14"/>
  <c r="P24" i="14"/>
  <c r="I25" i="14"/>
  <c r="O25" i="14" s="1"/>
  <c r="N26" i="14"/>
  <c r="O26" i="14" s="1"/>
  <c r="U26" i="14" s="1"/>
  <c r="I14" i="11"/>
  <c r="I6" i="11"/>
  <c r="K12" i="11"/>
  <c r="K4" i="11"/>
  <c r="AA12" i="14"/>
  <c r="L2" i="11" s="1"/>
  <c r="H2" i="11"/>
  <c r="AA18" i="14"/>
  <c r="AA26" i="14"/>
  <c r="AA22" i="14"/>
  <c r="N12" i="14"/>
  <c r="AA30" i="14"/>
  <c r="H47" i="14"/>
  <c r="P12" i="14"/>
  <c r="AA28" i="14"/>
  <c r="J2" i="11"/>
  <c r="AC47" i="14"/>
  <c r="F5" i="11" l="1"/>
  <c r="E2" i="11"/>
  <c r="F15" i="11"/>
  <c r="U25" i="14"/>
  <c r="E4" i="11"/>
  <c r="E6" i="11"/>
  <c r="F11" i="11"/>
  <c r="U21" i="14"/>
  <c r="E19" i="11"/>
  <c r="E16" i="11"/>
  <c r="E18" i="11"/>
  <c r="F13" i="11"/>
  <c r="U23" i="14"/>
  <c r="F12" i="11"/>
  <c r="U22" i="14"/>
  <c r="E12" i="11"/>
  <c r="E9" i="11"/>
  <c r="E3" i="11"/>
  <c r="E10" i="11"/>
  <c r="E20" i="11"/>
  <c r="E14" i="11"/>
  <c r="F8" i="11"/>
  <c r="U18" i="14"/>
  <c r="E17" i="11"/>
  <c r="F6" i="11"/>
  <c r="F16" i="11"/>
  <c r="F4" i="11"/>
  <c r="F18" i="11"/>
  <c r="F9" i="11"/>
  <c r="F20" i="11"/>
  <c r="F10" i="11"/>
  <c r="F3" i="11"/>
  <c r="F14" i="11"/>
  <c r="F17" i="11"/>
  <c r="F19" i="11"/>
  <c r="I47" i="14"/>
  <c r="AI18" i="14"/>
  <c r="AI19" i="14"/>
  <c r="AB24" i="14"/>
  <c r="L14" i="11"/>
  <c r="AB22" i="14"/>
  <c r="L12" i="11"/>
  <c r="AI13" i="14"/>
  <c r="AI15" i="14"/>
  <c r="O17" i="14"/>
  <c r="AB28" i="14"/>
  <c r="L18" i="11"/>
  <c r="AB14" i="14"/>
  <c r="L4" i="11"/>
  <c r="AB30" i="14"/>
  <c r="L20" i="11"/>
  <c r="AB29" i="14"/>
  <c r="L19" i="11"/>
  <c r="AB18" i="14"/>
  <c r="L8" i="11"/>
  <c r="AB25" i="14"/>
  <c r="L15" i="11"/>
  <c r="AB23" i="14"/>
  <c r="L13" i="11"/>
  <c r="AI21" i="14"/>
  <c r="AB26" i="14"/>
  <c r="L16" i="11"/>
  <c r="AB17" i="14"/>
  <c r="L7" i="11"/>
  <c r="Y47" i="14"/>
  <c r="AB27" i="14"/>
  <c r="L17" i="11"/>
  <c r="AB15" i="14"/>
  <c r="L5" i="11"/>
  <c r="AI23" i="14"/>
  <c r="AI17" i="14"/>
  <c r="AB21" i="14"/>
  <c r="L11" i="11"/>
  <c r="AL19" i="14"/>
  <c r="J9" i="11"/>
  <c r="AB13" i="14"/>
  <c r="L3" i="11"/>
  <c r="AL47" i="14"/>
  <c r="AL12" i="14"/>
  <c r="AA16" i="14"/>
  <c r="AB47" i="14" s="1"/>
  <c r="AI47" i="14"/>
  <c r="AI12" i="14"/>
  <c r="N47" i="14"/>
  <c r="O12" i="14"/>
  <c r="P47" i="14"/>
  <c r="AB12" i="14"/>
  <c r="F7" i="11" l="1"/>
  <c r="F2" i="11"/>
  <c r="AB16" i="14"/>
  <c r="L6" i="11"/>
  <c r="O47" i="14"/>
  <c r="U48" i="14" l="1"/>
  <c r="B3" i="11"/>
  <c r="B4" i="11" s="1"/>
  <c r="B5" i="11" s="1"/>
  <c r="B6" i="11" s="1"/>
  <c r="B7" i="11" s="1"/>
  <c r="B8" i="11" s="1"/>
  <c r="B9" i="11" s="1"/>
  <c r="B10" i="11" s="1"/>
  <c r="B11" i="11" s="1"/>
  <c r="B12" i="11" s="1"/>
  <c r="B13" i="11" s="1"/>
  <c r="B14" i="11" s="1"/>
  <c r="B15" i="11" s="1"/>
  <c r="B16" i="11" s="1"/>
  <c r="B17" i="11" s="1"/>
  <c r="B18" i="11" s="1"/>
  <c r="B19" i="11" s="1"/>
  <c r="B20" i="11" s="1"/>
  <c r="B21" i="11" s="1"/>
  <c r="B22" i="11" s="1"/>
  <c r="B23" i="11" s="1"/>
  <c r="B24" i="11" s="1"/>
  <c r="B25" i="11" s="1"/>
  <c r="B26" i="11" s="1"/>
  <c r="B27" i="11" s="1"/>
  <c r="B28" i="11" s="1"/>
  <c r="B29" i="11" s="1"/>
  <c r="A8" i="10" l="1"/>
  <c r="A9" i="10" s="1"/>
  <c r="A10" i="10" s="1"/>
  <c r="A11" i="10" s="1"/>
  <c r="A12" i="10" s="1"/>
  <c r="A13" i="10" s="1"/>
  <c r="A14" i="10" s="1"/>
  <c r="A15" i="10" s="1"/>
  <c r="A16" i="10" s="1"/>
  <c r="A17" i="10" s="1"/>
  <c r="A18" i="10" s="1"/>
  <c r="A19" i="10" s="1"/>
  <c r="A20" i="10" s="1"/>
  <c r="A21" i="10" s="1"/>
  <c r="A22" i="10" s="1"/>
  <c r="A23" i="10" s="1"/>
  <c r="A24" i="10" s="1"/>
  <c r="A25" i="10" s="1"/>
  <c r="A26" i="10" s="1"/>
  <c r="A27" i="10" s="1"/>
  <c r="A28" i="10" s="1"/>
  <c r="A29" i="10" s="1"/>
  <c r="A30" i="10" s="1"/>
  <c r="A31" i="10" s="1"/>
  <c r="A32" i="10" s="1"/>
  <c r="A33" i="10" s="1"/>
</calcChain>
</file>

<file path=xl/sharedStrings.xml><?xml version="1.0" encoding="utf-8"?>
<sst xmlns="http://schemas.openxmlformats.org/spreadsheetml/2006/main" count="97" uniqueCount="54">
  <si>
    <t>Municipal Water (m3)</t>
  </si>
  <si>
    <t>Date</t>
  </si>
  <si>
    <t>Room Nights</t>
  </si>
  <si>
    <t>Food Covers</t>
  </si>
  <si>
    <t>Water (m3)</t>
  </si>
  <si>
    <t>Electricity - Sundara</t>
  </si>
  <si>
    <t>Cost (IDR)</t>
  </si>
  <si>
    <t>LPG Bulk (m3)</t>
  </si>
  <si>
    <t>Water consumption (m3)</t>
  </si>
  <si>
    <t>12 Kg (tube)</t>
  </si>
  <si>
    <t>Deepwell Consumption (m3)</t>
  </si>
  <si>
    <t>Sundara 50 kg (tube)</t>
  </si>
  <si>
    <t>Sub Total (Resort &amp; Sundara) Cost  (IDR)</t>
  </si>
  <si>
    <t>TOTAL  Electricity consumption (KWh)</t>
  </si>
  <si>
    <t>Resort Cost  (IDR)</t>
  </si>
  <si>
    <t>Sundara Cost  (IDR)</t>
  </si>
  <si>
    <t>IDR</t>
  </si>
  <si>
    <t>USD</t>
  </si>
  <si>
    <t>TOTAL  Electricity cost</t>
  </si>
  <si>
    <t>WATER</t>
  </si>
  <si>
    <t>Diesel</t>
  </si>
  <si>
    <t>Residences- Electricity cost (IDR)</t>
  </si>
  <si>
    <t xml:space="preserve">LPG </t>
  </si>
  <si>
    <t>Used (liters)</t>
  </si>
  <si>
    <t>GAS</t>
  </si>
  <si>
    <t>Total kg</t>
  </si>
  <si>
    <t>Municipal Water cost (IDR)</t>
  </si>
  <si>
    <t xml:space="preserve">Total Water Cost </t>
  </si>
  <si>
    <t>Four Seasons Resort Bali at Jimbaran Bay</t>
  </si>
  <si>
    <t>kWh rate</t>
  </si>
  <si>
    <t>Deepwell water Cost (IDR)</t>
  </si>
  <si>
    <t>50 Kg (tube) IVD &amp; TW</t>
  </si>
  <si>
    <t>Sub Total (Resort &amp; Sundara), KWh</t>
  </si>
  <si>
    <t>Electricity Resort</t>
  </si>
  <si>
    <t>ELECTRICITY Resort, Sundara &amp; Residences</t>
  </si>
  <si>
    <t>BASED LOAD KWh (from 10 pm - 6 pm)</t>
  </si>
  <si>
    <t>PEAK LOAD KWh (from 6 pm - 10 pm)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</si>
  <si>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</si>
  <si>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</si>
  <si>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</si>
  <si>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</si>
  <si>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</si>
  <si>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</si>
  <si>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</si>
  <si>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</si>
  <si>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</si>
  <si>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 </t>
  </si>
  <si>
    <t xml:space="preserve">LPG (Kg) </t>
  </si>
  <si>
    <t>LPG $/Kg</t>
  </si>
  <si>
    <t>Bali Jimbaran</t>
  </si>
  <si>
    <t xml:space="preserve">Total Fuel Oil  (Liters) </t>
  </si>
  <si>
    <t>Fuel Oil  $/Liter</t>
  </si>
  <si>
    <t>Residences- Electricity KWh</t>
  </si>
  <si>
    <t>FEBRUARY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</si>
</sst>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1">
    <numFmt numFmtId="43" formatCode="_-* #,##0.00_-;\-* #,##0.00_-;_-* &quot;-&quot;??_-;_-@_-"/>
    <numFmt numFmtId="164" formatCode="&quot;$&quot;#,##0.00_);\(&quot;$&quot;#,##0.00\)"/>
    <numFmt numFmtId="165" formatCode="_(* #,##0_);_(* \(#,##0\);_(* &quot;-&quot;_);_(@_)"/>
    <numFmt numFmtId="166" formatCode="_(&quot;$&quot;* #,##0.00_);_(&quot;$&quot;* \(#,##0.00\);_(&quot;$&quot;* &quot;-&quot;??_);_(@_)"/>
    <numFmt numFmtId="167" formatCode="_(* #,##0.00_);_(* \(#,##0.00\);_(* &quot;-&quot;??_);_(@_)"/>
    <numFmt numFmtId="168" formatCode="_-* #,##0_-;\-* #,##0_-;_-* &quot;-&quot;??_-;_-@_-"/>
    <numFmt numFmtId="169" formatCode="_(* #,##0_);_(* \(#,##0\);_(* &quot;-&quot;??_);_(@_)"/>
    <numFmt numFmtId="170" formatCode="&quot;$&quot;#,##0"/>
    <numFmt numFmtId="171" formatCode="_-* #,##0.0_-;\-* #,##0.0_-;_-* &quot;-&quot;??_-;_-@_-"/>
    <numFmt numFmtId="172" formatCode="0.0%"/>
    <numFmt numFmtId="173" formatCode="_-* #,##0.000_-;\-* #,##0.000_-;_-* &quot;-&quot;??_-;_-@_-"/>
  </numFmts>
  <fonts count="2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8"/>
      <name val="Arial"/>
      <family val="2"/>
    </font>
    <font>
      <b/>
      <sz val="9"/>
      <name val="Arial"/>
      <family val="2"/>
    </font>
    <font>
      <sz val="12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name val="Calibri"/>
      <family val="2"/>
    </font>
    <font>
      <u/>
      <sz val="8.8000000000000007"/>
      <color theme="10"/>
      <name val="Calibri"/>
      <family val="2"/>
    </font>
    <font>
      <sz val="11"/>
      <color theme="1"/>
      <name val="Calibri"/>
      <family val="2"/>
      <charset val="1"/>
      <scheme val="minor"/>
    </font>
    <font>
      <sz val="11"/>
      <name val="Calibri"/>
      <family val="2"/>
      <scheme val="minor"/>
    </font>
    <font>
      <sz val="12"/>
      <name val="Calibri"/>
      <family val="2"/>
      <scheme val="minor"/>
    </font>
    <font>
      <b/>
      <sz val="11"/>
      <name val="Calibri"/>
      <family val="2"/>
      <scheme val="minor"/>
    </font>
    <font>
      <b/>
      <sz val="12"/>
      <name val="Calibri"/>
      <family val="2"/>
      <scheme val="minor"/>
    </font>
    <font>
      <b/>
      <sz val="8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 tint="-0.249977111117893"/>
        <bgColor indexed="64"/>
      </patternFill>
    </fill>
  </fills>
  <borders count="7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10">
    <xf numFmtId="0" fontId="0" fillId="0" borderId="0"/>
    <xf numFmtId="166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7" fontId="3" fillId="0" borderId="0" applyFont="0" applyFill="0" applyBorder="0" applyAlignment="0" applyProtection="0"/>
    <xf numFmtId="0" fontId="7" fillId="0" borderId="0" applyNumberFormat="0" applyFill="0" applyBorder="0" applyAlignment="0" applyProtection="0"/>
    <xf numFmtId="9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0" fontId="15" fillId="0" borderId="0" applyNumberFormat="0" applyFill="0" applyBorder="0" applyAlignment="0" applyProtection="0">
      <alignment vertical="top"/>
      <protection locked="0"/>
    </xf>
    <xf numFmtId="165" fontId="16" fillId="0" borderId="0" applyFont="0" applyFill="0" applyBorder="0" applyAlignment="0" applyProtection="0"/>
    <xf numFmtId="0" fontId="16" fillId="0" borderId="0"/>
  </cellStyleXfs>
  <cellXfs count="286">
    <xf numFmtId="0" fontId="0" fillId="0" borderId="0" xfId="0"/>
    <xf numFmtId="0" fontId="0" fillId="0" borderId="0" xfId="0" applyBorder="1"/>
    <xf numFmtId="0" fontId="0" fillId="0" borderId="8" xfId="0" applyBorder="1"/>
    <xf numFmtId="168" fontId="0" fillId="0" borderId="8" xfId="2" applyNumberFormat="1" applyFont="1" applyBorder="1"/>
    <xf numFmtId="168" fontId="0" fillId="0" borderId="0" xfId="2" applyNumberFormat="1" applyFont="1"/>
    <xf numFmtId="168" fontId="0" fillId="0" borderId="0" xfId="2" applyNumberFormat="1" applyFont="1" applyBorder="1"/>
    <xf numFmtId="168" fontId="1" fillId="0" borderId="0" xfId="2" applyNumberFormat="1" applyFont="1"/>
    <xf numFmtId="168" fontId="0" fillId="3" borderId="0" xfId="2" applyNumberFormat="1" applyFont="1" applyFill="1" applyBorder="1"/>
    <xf numFmtId="0" fontId="0" fillId="3" borderId="0" xfId="0" applyFill="1"/>
    <xf numFmtId="43" fontId="4" fillId="0" borderId="0" xfId="2" applyFont="1" applyBorder="1"/>
    <xf numFmtId="43" fontId="4" fillId="0" borderId="0" xfId="0" applyNumberFormat="1" applyFont="1" applyBorder="1"/>
    <xf numFmtId="168" fontId="0" fillId="0" borderId="0" xfId="0" applyNumberFormat="1" applyBorder="1"/>
    <xf numFmtId="0" fontId="8" fillId="0" borderId="0" xfId="0" applyFont="1"/>
    <xf numFmtId="0" fontId="0" fillId="0" borderId="32" xfId="0" applyBorder="1" applyAlignment="1">
      <alignment horizontal="center" vertical="center" wrapText="1"/>
    </xf>
    <xf numFmtId="0" fontId="4" fillId="0" borderId="0" xfId="0" applyFont="1" applyBorder="1" applyAlignment="1">
      <alignment horizontal="right"/>
    </xf>
    <xf numFmtId="0" fontId="0" fillId="3" borderId="0" xfId="0" applyFill="1" applyBorder="1"/>
    <xf numFmtId="43" fontId="0" fillId="3" borderId="0" xfId="0" applyNumberFormat="1" applyFill="1" applyBorder="1"/>
    <xf numFmtId="168" fontId="4" fillId="0" borderId="0" xfId="2" applyNumberFormat="1" applyFont="1" applyBorder="1"/>
    <xf numFmtId="0" fontId="0" fillId="0" borderId="9" xfId="0" applyBorder="1"/>
    <xf numFmtId="168" fontId="0" fillId="0" borderId="12" xfId="2" applyNumberFormat="1" applyFont="1" applyBorder="1" applyAlignment="1">
      <alignment horizontal="center" vertical="center" wrapText="1"/>
    </xf>
    <xf numFmtId="0" fontId="0" fillId="0" borderId="34" xfId="0" applyBorder="1" applyAlignment="1">
      <alignment horizontal="center" vertical="center" wrapText="1"/>
    </xf>
    <xf numFmtId="168" fontId="0" fillId="0" borderId="34" xfId="2" applyNumberFormat="1" applyFont="1" applyBorder="1" applyAlignment="1">
      <alignment horizontal="center" vertical="center" wrapText="1"/>
    </xf>
    <xf numFmtId="0" fontId="0" fillId="0" borderId="28" xfId="0" applyBorder="1" applyAlignment="1">
      <alignment horizontal="center" vertical="center" wrapText="1"/>
    </xf>
    <xf numFmtId="0" fontId="1" fillId="0" borderId="36" xfId="0" applyFont="1" applyBorder="1" applyAlignment="1">
      <alignment horizontal="center" vertical="center" wrapText="1"/>
    </xf>
    <xf numFmtId="0" fontId="0" fillId="0" borderId="30" xfId="0" applyBorder="1" applyAlignment="1">
      <alignment horizontal="center" vertical="center" wrapText="1"/>
    </xf>
    <xf numFmtId="0" fontId="1" fillId="0" borderId="38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168" fontId="0" fillId="3" borderId="0" xfId="0" applyNumberFormat="1" applyFill="1" applyBorder="1"/>
    <xf numFmtId="0" fontId="6" fillId="3" borderId="0" xfId="0" applyFont="1" applyFill="1" applyBorder="1" applyAlignment="1"/>
    <xf numFmtId="0" fontId="1" fillId="3" borderId="0" xfId="0" applyFont="1" applyFill="1" applyBorder="1" applyAlignment="1"/>
    <xf numFmtId="0" fontId="0" fillId="3" borderId="0" xfId="0" applyFill="1" applyBorder="1" applyAlignment="1">
      <alignment horizontal="center" vertical="center" wrapText="1"/>
    </xf>
    <xf numFmtId="0" fontId="1" fillId="3" borderId="0" xfId="0" applyFont="1" applyFill="1" applyBorder="1" applyAlignment="1">
      <alignment horizontal="center"/>
    </xf>
    <xf numFmtId="0" fontId="0" fillId="3" borderId="0" xfId="0" applyFill="1" applyBorder="1" applyAlignment="1"/>
    <xf numFmtId="0" fontId="9" fillId="3" borderId="0" xfId="0" applyFont="1" applyFill="1" applyBorder="1" applyAlignment="1"/>
    <xf numFmtId="168" fontId="0" fillId="0" borderId="9" xfId="0" applyNumberFormat="1" applyBorder="1"/>
    <xf numFmtId="0" fontId="0" fillId="3" borderId="5" xfId="0" applyFill="1" applyBorder="1"/>
    <xf numFmtId="168" fontId="0" fillId="3" borderId="0" xfId="2" applyNumberFormat="1" applyFont="1" applyFill="1" applyBorder="1" applyAlignment="1">
      <alignment horizontal="right"/>
    </xf>
    <xf numFmtId="168" fontId="6" fillId="3" borderId="0" xfId="2" applyNumberFormat="1" applyFont="1" applyFill="1" applyBorder="1" applyAlignment="1"/>
    <xf numFmtId="169" fontId="0" fillId="0" borderId="8" xfId="2" applyNumberFormat="1" applyFont="1" applyBorder="1"/>
    <xf numFmtId="0" fontId="1" fillId="4" borderId="37" xfId="0" applyFont="1" applyFill="1" applyBorder="1" applyAlignment="1">
      <alignment horizontal="center" vertical="center"/>
    </xf>
    <xf numFmtId="170" fontId="6" fillId="3" borderId="0" xfId="0" applyNumberFormat="1" applyFont="1" applyFill="1" applyBorder="1" applyAlignment="1"/>
    <xf numFmtId="170" fontId="1" fillId="4" borderId="4" xfId="0" applyNumberFormat="1" applyFont="1" applyFill="1" applyBorder="1" applyAlignment="1">
      <alignment horizontal="center" vertical="center"/>
    </xf>
    <xf numFmtId="170" fontId="0" fillId="0" borderId="21" xfId="2" applyNumberFormat="1" applyFont="1" applyBorder="1"/>
    <xf numFmtId="170" fontId="0" fillId="3" borderId="5" xfId="0" applyNumberFormat="1" applyFill="1" applyBorder="1"/>
    <xf numFmtId="170" fontId="0" fillId="0" borderId="0" xfId="0" applyNumberFormat="1"/>
    <xf numFmtId="0" fontId="0" fillId="0" borderId="13" xfId="0" applyBorder="1" applyAlignment="1">
      <alignment horizontal="center" vertical="center" wrapText="1"/>
    </xf>
    <xf numFmtId="170" fontId="0" fillId="0" borderId="9" xfId="2" applyNumberFormat="1" applyFont="1" applyBorder="1"/>
    <xf numFmtId="43" fontId="0" fillId="3" borderId="23" xfId="0" applyNumberFormat="1" applyFill="1" applyBorder="1"/>
    <xf numFmtId="168" fontId="0" fillId="0" borderId="13" xfId="2" applyNumberFormat="1" applyFont="1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0" fillId="0" borderId="43" xfId="0" applyBorder="1" applyAlignment="1">
      <alignment horizontal="center" vertical="center" wrapText="1"/>
    </xf>
    <xf numFmtId="168" fontId="0" fillId="0" borderId="43" xfId="2" applyNumberFormat="1" applyFont="1" applyBorder="1" applyAlignment="1">
      <alignment horizontal="center" vertical="center" wrapText="1"/>
    </xf>
    <xf numFmtId="0" fontId="0" fillId="0" borderId="44" xfId="0" applyBorder="1" applyAlignment="1">
      <alignment horizontal="center" vertical="center" wrapText="1"/>
    </xf>
    <xf numFmtId="170" fontId="0" fillId="0" borderId="26" xfId="0" applyNumberFormat="1" applyBorder="1" applyAlignment="1">
      <alignment horizontal="center" vertical="center" wrapText="1"/>
    </xf>
    <xf numFmtId="170" fontId="0" fillId="0" borderId="44" xfId="0" applyNumberFormat="1" applyBorder="1" applyAlignment="1">
      <alignment horizontal="center" vertical="center" wrapText="1"/>
    </xf>
    <xf numFmtId="168" fontId="1" fillId="3" borderId="6" xfId="0" applyNumberFormat="1" applyFont="1" applyFill="1" applyBorder="1"/>
    <xf numFmtId="0" fontId="0" fillId="5" borderId="19" xfId="0" applyFill="1" applyBorder="1" applyAlignment="1">
      <alignment vertical="center"/>
    </xf>
    <xf numFmtId="0" fontId="0" fillId="5" borderId="34" xfId="0" applyFill="1" applyBorder="1" applyAlignment="1">
      <alignment horizontal="center" vertical="center"/>
    </xf>
    <xf numFmtId="0" fontId="1" fillId="0" borderId="29" xfId="0" applyFont="1" applyBorder="1" applyAlignment="1">
      <alignment horizontal="center" vertical="center" wrapText="1"/>
    </xf>
    <xf numFmtId="0" fontId="0" fillId="0" borderId="45" xfId="0" applyBorder="1" applyAlignment="1">
      <alignment horizontal="center" vertical="center" wrapText="1"/>
    </xf>
    <xf numFmtId="0" fontId="11" fillId="11" borderId="45" xfId="0" applyFont="1" applyFill="1" applyBorder="1" applyAlignment="1">
      <alignment horizontal="center" vertical="center" shrinkToFit="1"/>
    </xf>
    <xf numFmtId="0" fontId="11" fillId="11" borderId="46" xfId="0" applyFont="1" applyFill="1" applyBorder="1" applyAlignment="1">
      <alignment horizontal="center" vertical="center" shrinkToFit="1"/>
    </xf>
    <xf numFmtId="43" fontId="9" fillId="3" borderId="0" xfId="2" applyFont="1" applyFill="1" applyBorder="1" applyAlignment="1"/>
    <xf numFmtId="43" fontId="8" fillId="0" borderId="16" xfId="2" applyFont="1" applyBorder="1" applyAlignment="1">
      <alignment horizontal="center" vertical="center" wrapText="1"/>
    </xf>
    <xf numFmtId="43" fontId="8" fillId="0" borderId="28" xfId="2" applyFont="1" applyBorder="1" applyAlignment="1">
      <alignment horizontal="center" vertical="center" wrapText="1"/>
    </xf>
    <xf numFmtId="43" fontId="8" fillId="3" borderId="0" xfId="2" applyFont="1" applyFill="1" applyBorder="1"/>
    <xf numFmtId="43" fontId="12" fillId="0" borderId="0" xfId="2" applyFont="1" applyBorder="1"/>
    <xf numFmtId="43" fontId="8" fillId="0" borderId="0" xfId="2" applyFont="1"/>
    <xf numFmtId="168" fontId="9" fillId="3" borderId="0" xfId="2" applyNumberFormat="1" applyFont="1" applyFill="1" applyBorder="1" applyAlignment="1"/>
    <xf numFmtId="168" fontId="8" fillId="3" borderId="0" xfId="2" applyNumberFormat="1" applyFont="1" applyFill="1" applyBorder="1"/>
    <xf numFmtId="168" fontId="12" fillId="0" borderId="0" xfId="2" applyNumberFormat="1" applyFont="1" applyBorder="1"/>
    <xf numFmtId="168" fontId="8" fillId="0" borderId="0" xfId="2" applyNumberFormat="1" applyFont="1"/>
    <xf numFmtId="168" fontId="0" fillId="3" borderId="40" xfId="0" applyNumberFormat="1" applyFill="1" applyBorder="1"/>
    <xf numFmtId="168" fontId="1" fillId="0" borderId="40" xfId="0" applyNumberFormat="1" applyFont="1" applyBorder="1"/>
    <xf numFmtId="0" fontId="0" fillId="3" borderId="48" xfId="0" applyFill="1" applyBorder="1"/>
    <xf numFmtId="168" fontId="0" fillId="3" borderId="48" xfId="2" applyNumberFormat="1" applyFont="1" applyFill="1" applyBorder="1"/>
    <xf numFmtId="43" fontId="8" fillId="3" borderId="48" xfId="2" applyFont="1" applyFill="1" applyBorder="1"/>
    <xf numFmtId="168" fontId="8" fillId="3" borderId="48" xfId="2" applyNumberFormat="1" applyFont="1" applyFill="1" applyBorder="1"/>
    <xf numFmtId="43" fontId="0" fillId="3" borderId="48" xfId="0" applyNumberFormat="1" applyFill="1" applyBorder="1"/>
    <xf numFmtId="0" fontId="0" fillId="3" borderId="50" xfId="0" applyFill="1" applyBorder="1"/>
    <xf numFmtId="167" fontId="0" fillId="3" borderId="48" xfId="0" applyNumberFormat="1" applyFill="1" applyBorder="1"/>
    <xf numFmtId="168" fontId="0" fillId="3" borderId="48" xfId="0" applyNumberFormat="1" applyFill="1" applyBorder="1"/>
    <xf numFmtId="168" fontId="0" fillId="0" borderId="48" xfId="2" applyNumberFormat="1" applyFont="1" applyBorder="1"/>
    <xf numFmtId="170" fontId="0" fillId="3" borderId="50" xfId="0" applyNumberFormat="1" applyFill="1" applyBorder="1"/>
    <xf numFmtId="168" fontId="0" fillId="0" borderId="0" xfId="2" applyNumberFormat="1" applyFont="1" applyBorder="1" applyAlignment="1">
      <alignment horizontal="right"/>
    </xf>
    <xf numFmtId="168" fontId="9" fillId="6" borderId="23" xfId="2" applyNumberFormat="1" applyFont="1" applyFill="1" applyBorder="1"/>
    <xf numFmtId="0" fontId="1" fillId="0" borderId="12" xfId="0" applyFont="1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171" fontId="6" fillId="3" borderId="0" xfId="2" applyNumberFormat="1" applyFont="1" applyFill="1" applyBorder="1" applyAlignment="1"/>
    <xf numFmtId="171" fontId="0" fillId="3" borderId="0" xfId="2" applyNumberFormat="1" applyFont="1" applyFill="1" applyBorder="1"/>
    <xf numFmtId="171" fontId="0" fillId="3" borderId="48" xfId="2" applyNumberFormat="1" applyFont="1" applyFill="1" applyBorder="1"/>
    <xf numFmtId="171" fontId="0" fillId="0" borderId="0" xfId="2" applyNumberFormat="1" applyFont="1" applyBorder="1"/>
    <xf numFmtId="171" fontId="0" fillId="0" borderId="0" xfId="2" applyNumberFormat="1" applyFont="1"/>
    <xf numFmtId="168" fontId="0" fillId="0" borderId="19" xfId="2" applyNumberFormat="1" applyFont="1" applyBorder="1" applyAlignment="1">
      <alignment horizontal="center" vertical="center" wrapText="1"/>
    </xf>
    <xf numFmtId="0" fontId="0" fillId="0" borderId="52" xfId="0" applyBorder="1" applyAlignment="1">
      <alignment horizontal="center" vertical="center" wrapText="1"/>
    </xf>
    <xf numFmtId="168" fontId="9" fillId="0" borderId="54" xfId="2" applyNumberFormat="1" applyFont="1" applyBorder="1" applyAlignment="1">
      <alignment horizontal="center" vertical="center" wrapText="1"/>
    </xf>
    <xf numFmtId="168" fontId="8" fillId="0" borderId="55" xfId="2" applyNumberFormat="1" applyFont="1" applyBorder="1" applyAlignment="1">
      <alignment horizontal="center" vertical="center" wrapText="1"/>
    </xf>
    <xf numFmtId="168" fontId="8" fillId="0" borderId="21" xfId="2" applyNumberFormat="1" applyFont="1" applyBorder="1"/>
    <xf numFmtId="0" fontId="0" fillId="0" borderId="29" xfId="0" applyBorder="1"/>
    <xf numFmtId="168" fontId="0" fillId="0" borderId="29" xfId="2" applyNumberFormat="1" applyFont="1" applyBorder="1"/>
    <xf numFmtId="43" fontId="8" fillId="0" borderId="29" xfId="2" applyFont="1" applyBorder="1"/>
    <xf numFmtId="168" fontId="8" fillId="0" borderId="32" xfId="2" applyNumberFormat="1" applyFont="1" applyBorder="1"/>
    <xf numFmtId="0" fontId="1" fillId="0" borderId="53" xfId="0" applyFont="1" applyBorder="1" applyAlignment="1">
      <alignment horizontal="center" vertical="center" wrapText="1"/>
    </xf>
    <xf numFmtId="0" fontId="1" fillId="0" borderId="54" xfId="0" applyFont="1" applyBorder="1" applyAlignment="1">
      <alignment horizontal="center" vertical="center" wrapText="1"/>
    </xf>
    <xf numFmtId="168" fontId="0" fillId="0" borderId="18" xfId="2" applyNumberFormat="1" applyFont="1" applyBorder="1" applyAlignment="1">
      <alignment horizontal="center" vertical="center" wrapText="1"/>
    </xf>
    <xf numFmtId="0" fontId="0" fillId="0" borderId="55" xfId="0" applyBorder="1" applyAlignment="1">
      <alignment horizontal="center" vertical="center" wrapText="1"/>
    </xf>
    <xf numFmtId="43" fontId="0" fillId="0" borderId="21" xfId="0" applyNumberFormat="1" applyBorder="1"/>
    <xf numFmtId="168" fontId="0" fillId="0" borderId="57" xfId="2" applyNumberFormat="1" applyFont="1" applyBorder="1"/>
    <xf numFmtId="0" fontId="0" fillId="0" borderId="32" xfId="0" applyBorder="1"/>
    <xf numFmtId="168" fontId="0" fillId="0" borderId="10" xfId="2" applyNumberFormat="1" applyFont="1" applyBorder="1"/>
    <xf numFmtId="0" fontId="0" fillId="0" borderId="58" xfId="0" applyBorder="1"/>
    <xf numFmtId="43" fontId="0" fillId="0" borderId="46" xfId="2" applyFont="1" applyBorder="1"/>
    <xf numFmtId="43" fontId="0" fillId="0" borderId="59" xfId="2" applyFont="1" applyBorder="1"/>
    <xf numFmtId="168" fontId="8" fillId="0" borderId="45" xfId="2" applyNumberFormat="1" applyFont="1" applyBorder="1" applyAlignment="1">
      <alignment horizontal="center" vertical="center" wrapText="1"/>
    </xf>
    <xf numFmtId="168" fontId="8" fillId="0" borderId="46" xfId="2" applyNumberFormat="1" applyFont="1" applyBorder="1"/>
    <xf numFmtId="168" fontId="8" fillId="0" borderId="59" xfId="2" applyNumberFormat="1" applyFont="1" applyBorder="1"/>
    <xf numFmtId="171" fontId="0" fillId="0" borderId="35" xfId="2" applyNumberFormat="1" applyFont="1" applyBorder="1" applyAlignment="1">
      <alignment horizontal="center" vertical="center" wrapText="1"/>
    </xf>
    <xf numFmtId="171" fontId="4" fillId="0" borderId="0" xfId="2" applyNumberFormat="1" applyFont="1" applyBorder="1"/>
    <xf numFmtId="168" fontId="9" fillId="6" borderId="23" xfId="0" applyNumberFormat="1" applyFont="1" applyFill="1" applyBorder="1"/>
    <xf numFmtId="168" fontId="0" fillId="3" borderId="14" xfId="2" applyNumberFormat="1" applyFont="1" applyFill="1" applyBorder="1"/>
    <xf numFmtId="0" fontId="0" fillId="3" borderId="61" xfId="0" applyFill="1" applyBorder="1"/>
    <xf numFmtId="0" fontId="0" fillId="3" borderId="15" xfId="0" applyFill="1" applyBorder="1"/>
    <xf numFmtId="0" fontId="0" fillId="3" borderId="62" xfId="0" applyFill="1" applyBorder="1"/>
    <xf numFmtId="0" fontId="0" fillId="3" borderId="63" xfId="0" applyFill="1" applyBorder="1"/>
    <xf numFmtId="168" fontId="0" fillId="3" borderId="49" xfId="2" applyNumberFormat="1" applyFont="1" applyFill="1" applyBorder="1"/>
    <xf numFmtId="0" fontId="11" fillId="11" borderId="59" xfId="0" applyFont="1" applyFill="1" applyBorder="1" applyAlignment="1">
      <alignment horizontal="center" vertical="center" shrinkToFit="1"/>
    </xf>
    <xf numFmtId="168" fontId="1" fillId="0" borderId="23" xfId="2" applyNumberFormat="1" applyFont="1" applyBorder="1"/>
    <xf numFmtId="170" fontId="1" fillId="3" borderId="7" xfId="0" applyNumberFormat="1" applyFont="1" applyFill="1" applyBorder="1"/>
    <xf numFmtId="0" fontId="0" fillId="0" borderId="65" xfId="0" applyBorder="1" applyAlignment="1">
      <alignment horizontal="center" vertical="center" wrapText="1"/>
    </xf>
    <xf numFmtId="0" fontId="0" fillId="0" borderId="24" xfId="0" applyBorder="1" applyAlignment="1">
      <alignment horizontal="center" vertical="center" wrapText="1"/>
    </xf>
    <xf numFmtId="0" fontId="0" fillId="0" borderId="10" xfId="0" applyBorder="1"/>
    <xf numFmtId="168" fontId="0" fillId="0" borderId="21" xfId="0" applyNumberFormat="1" applyBorder="1"/>
    <xf numFmtId="0" fontId="0" fillId="0" borderId="21" xfId="0" applyBorder="1"/>
    <xf numFmtId="0" fontId="0" fillId="3" borderId="51" xfId="0" applyFill="1" applyBorder="1"/>
    <xf numFmtId="167" fontId="0" fillId="3" borderId="5" xfId="0" applyNumberFormat="1" applyFill="1" applyBorder="1"/>
    <xf numFmtId="0" fontId="0" fillId="3" borderId="66" xfId="0" applyFill="1" applyBorder="1"/>
    <xf numFmtId="168" fontId="1" fillId="0" borderId="12" xfId="2" applyNumberFormat="1" applyFont="1" applyBorder="1" applyAlignment="1">
      <alignment horizontal="center" vertical="center" wrapText="1"/>
    </xf>
    <xf numFmtId="168" fontId="14" fillId="3" borderId="8" xfId="2" applyNumberFormat="1" applyFont="1" applyFill="1" applyBorder="1" applyProtection="1">
      <protection locked="0"/>
    </xf>
    <xf numFmtId="0" fontId="0" fillId="3" borderId="53" xfId="0" applyFill="1" applyBorder="1" applyAlignment="1">
      <alignment wrapText="1"/>
    </xf>
    <xf numFmtId="168" fontId="1" fillId="12" borderId="6" xfId="0" applyNumberFormat="1" applyFont="1" applyFill="1" applyBorder="1"/>
    <xf numFmtId="166" fontId="9" fillId="12" borderId="7" xfId="1" applyFont="1" applyFill="1" applyBorder="1"/>
    <xf numFmtId="168" fontId="0" fillId="3" borderId="23" xfId="2" applyNumberFormat="1" applyFont="1" applyFill="1" applyBorder="1"/>
    <xf numFmtId="167" fontId="0" fillId="0" borderId="0" xfId="0" applyNumberFormat="1" applyBorder="1"/>
    <xf numFmtId="171" fontId="1" fillId="4" borderId="3" xfId="2" applyNumberFormat="1" applyFont="1" applyFill="1" applyBorder="1" applyAlignment="1">
      <alignment horizontal="center" vertical="center"/>
    </xf>
    <xf numFmtId="171" fontId="0" fillId="0" borderId="42" xfId="2" applyNumberFormat="1" applyFont="1" applyBorder="1" applyAlignment="1">
      <alignment horizontal="center" vertical="center" wrapText="1"/>
    </xf>
    <xf numFmtId="171" fontId="0" fillId="0" borderId="25" xfId="2" applyNumberFormat="1" applyFont="1" applyBorder="1" applyAlignment="1">
      <alignment horizontal="center" vertical="center" wrapText="1"/>
    </xf>
    <xf numFmtId="171" fontId="0" fillId="0" borderId="22" xfId="2" applyNumberFormat="1" applyFont="1" applyBorder="1"/>
    <xf numFmtId="171" fontId="0" fillId="0" borderId="48" xfId="2" applyNumberFormat="1" applyFont="1" applyBorder="1"/>
    <xf numFmtId="171" fontId="0" fillId="0" borderId="6" xfId="2" applyNumberFormat="1" applyFont="1" applyBorder="1"/>
    <xf numFmtId="168" fontId="1" fillId="12" borderId="6" xfId="2" applyNumberFormat="1" applyFont="1" applyFill="1" applyBorder="1"/>
    <xf numFmtId="170" fontId="1" fillId="12" borderId="7" xfId="0" applyNumberFormat="1" applyFont="1" applyFill="1" applyBorder="1"/>
    <xf numFmtId="168" fontId="1" fillId="12" borderId="31" xfId="2" applyNumberFormat="1" applyFont="1" applyFill="1" applyBorder="1"/>
    <xf numFmtId="170" fontId="1" fillId="12" borderId="33" xfId="2" applyNumberFormat="1" applyFont="1" applyFill="1" applyBorder="1"/>
    <xf numFmtId="43" fontId="5" fillId="0" borderId="0" xfId="2" applyFont="1" applyBorder="1"/>
    <xf numFmtId="168" fontId="14" fillId="3" borderId="67" xfId="2" applyNumberFormat="1" applyFont="1" applyFill="1" applyBorder="1" applyProtection="1">
      <protection locked="0"/>
    </xf>
    <xf numFmtId="169" fontId="0" fillId="0" borderId="56" xfId="2" applyNumberFormat="1" applyFont="1" applyBorder="1"/>
    <xf numFmtId="168" fontId="14" fillId="3" borderId="46" xfId="2" applyNumberFormat="1" applyFont="1" applyFill="1" applyBorder="1" applyProtection="1">
      <protection locked="0"/>
    </xf>
    <xf numFmtId="168" fontId="0" fillId="0" borderId="59" xfId="2" applyNumberFormat="1" applyFont="1" applyBorder="1"/>
    <xf numFmtId="164" fontId="4" fillId="0" borderId="0" xfId="1" applyNumberFormat="1" applyFont="1" applyBorder="1"/>
    <xf numFmtId="0" fontId="1" fillId="0" borderId="8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/>
    </xf>
    <xf numFmtId="0" fontId="13" fillId="0" borderId="8" xfId="0" applyFont="1" applyBorder="1" applyAlignment="1">
      <alignment horizontal="center" vertical="center"/>
    </xf>
    <xf numFmtId="2" fontId="13" fillId="0" borderId="8" xfId="0" applyNumberFormat="1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3" fillId="0" borderId="8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3" fillId="0" borderId="8" xfId="0" applyFont="1" applyBorder="1" applyAlignment="1">
      <alignment horizontal="center"/>
    </xf>
    <xf numFmtId="1" fontId="0" fillId="0" borderId="8" xfId="0" applyNumberForma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  <xf numFmtId="0" fontId="13" fillId="0" borderId="0" xfId="0" applyFont="1" applyAlignment="1">
      <alignment horizontal="center"/>
    </xf>
    <xf numFmtId="2" fontId="4" fillId="0" borderId="0" xfId="0" applyNumberFormat="1" applyFont="1" applyAlignment="1">
      <alignment horizontal="center"/>
    </xf>
    <xf numFmtId="1" fontId="0" fillId="0" borderId="0" xfId="0" applyNumberFormat="1" applyAlignment="1">
      <alignment horizontal="center"/>
    </xf>
    <xf numFmtId="0" fontId="4" fillId="0" borderId="0" xfId="0" applyFont="1" applyAlignment="1">
      <alignment horizontal="center"/>
    </xf>
    <xf numFmtId="1" fontId="4" fillId="0" borderId="8" xfId="0" applyNumberFormat="1" applyFont="1" applyBorder="1" applyAlignment="1">
      <alignment horizontal="center"/>
    </xf>
    <xf numFmtId="0" fontId="1" fillId="0" borderId="8" xfId="0" applyFont="1" applyBorder="1" applyAlignment="1">
      <alignment horizontal="center" vertical="center" wrapText="1"/>
    </xf>
    <xf numFmtId="1" fontId="0" fillId="0" borderId="8" xfId="0" applyNumberFormat="1" applyBorder="1" applyAlignment="1">
      <alignment horizontal="center"/>
    </xf>
    <xf numFmtId="9" fontId="8" fillId="0" borderId="0" xfId="5" applyFont="1"/>
    <xf numFmtId="9" fontId="0" fillId="0" borderId="0" xfId="0" applyNumberFormat="1"/>
    <xf numFmtId="168" fontId="14" fillId="3" borderId="64" xfId="2" applyNumberFormat="1" applyFont="1" applyFill="1" applyBorder="1" applyProtection="1">
      <protection locked="0"/>
    </xf>
    <xf numFmtId="168" fontId="14" fillId="3" borderId="47" xfId="2" applyNumberFormat="1" applyFont="1" applyFill="1" applyBorder="1" applyProtection="1">
      <protection locked="0"/>
    </xf>
    <xf numFmtId="0" fontId="7" fillId="0" borderId="68" xfId="4" quotePrefix="1" applyBorder="1"/>
    <xf numFmtId="168" fontId="1" fillId="5" borderId="6" xfId="0" applyNumberFormat="1" applyFont="1" applyFill="1" applyBorder="1"/>
    <xf numFmtId="0" fontId="0" fillId="5" borderId="28" xfId="0" applyFill="1" applyBorder="1" applyAlignment="1">
      <alignment horizontal="center" vertical="center"/>
    </xf>
    <xf numFmtId="0" fontId="1" fillId="0" borderId="11" xfId="0" applyFont="1" applyBorder="1" applyAlignment="1">
      <alignment horizontal="center" vertical="center" wrapText="1"/>
    </xf>
    <xf numFmtId="0" fontId="1" fillId="0" borderId="58" xfId="0" applyFont="1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168" fontId="0" fillId="0" borderId="8" xfId="2" applyNumberFormat="1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1" fillId="0" borderId="27" xfId="0" applyFont="1" applyBorder="1" applyAlignment="1">
      <alignment horizontal="center" vertical="center" wrapText="1"/>
    </xf>
    <xf numFmtId="168" fontId="2" fillId="0" borderId="8" xfId="2" applyNumberFormat="1" applyFont="1" applyBorder="1"/>
    <xf numFmtId="43" fontId="2" fillId="0" borderId="8" xfId="2" applyFont="1" applyBorder="1"/>
    <xf numFmtId="168" fontId="1" fillId="0" borderId="10" xfId="2" applyNumberFormat="1" applyFont="1" applyBorder="1"/>
    <xf numFmtId="43" fontId="0" fillId="3" borderId="50" xfId="0" applyNumberFormat="1" applyFill="1" applyBorder="1"/>
    <xf numFmtId="43" fontId="1" fillId="6" borderId="23" xfId="2" applyNumberFormat="1" applyFont="1" applyFill="1" applyBorder="1"/>
    <xf numFmtId="168" fontId="4" fillId="3" borderId="0" xfId="0" applyNumberFormat="1" applyFont="1" applyFill="1" applyBorder="1"/>
    <xf numFmtId="168" fontId="4" fillId="0" borderId="0" xfId="0" applyNumberFormat="1" applyFont="1" applyBorder="1"/>
    <xf numFmtId="166" fontId="4" fillId="0" borderId="0" xfId="1" applyNumberFormat="1" applyFont="1" applyBorder="1"/>
    <xf numFmtId="172" fontId="4" fillId="0" borderId="0" xfId="5" applyNumberFormat="1" applyFont="1" applyBorder="1"/>
    <xf numFmtId="170" fontId="4" fillId="0" borderId="0" xfId="0" applyNumberFormat="1" applyFont="1" applyBorder="1"/>
    <xf numFmtId="0" fontId="4" fillId="0" borderId="0" xfId="0" applyFont="1" applyBorder="1"/>
    <xf numFmtId="0" fontId="0" fillId="3" borderId="61" xfId="0" applyFill="1" applyBorder="1" applyAlignment="1">
      <alignment wrapText="1"/>
    </xf>
    <xf numFmtId="43" fontId="0" fillId="3" borderId="39" xfId="2" applyFont="1" applyFill="1" applyBorder="1"/>
    <xf numFmtId="43" fontId="0" fillId="3" borderId="40" xfId="2" applyFont="1" applyFill="1" applyBorder="1"/>
    <xf numFmtId="0" fontId="7" fillId="3" borderId="61" xfId="4" quotePrefix="1" applyFill="1" applyBorder="1" applyAlignment="1"/>
    <xf numFmtId="168" fontId="19" fillId="3" borderId="0" xfId="2" applyNumberFormat="1" applyFont="1" applyFill="1" applyBorder="1"/>
    <xf numFmtId="168" fontId="19" fillId="0" borderId="0" xfId="2" applyNumberFormat="1" applyFont="1" applyBorder="1"/>
    <xf numFmtId="3" fontId="19" fillId="0" borderId="0" xfId="0" applyNumberFormat="1" applyFont="1"/>
    <xf numFmtId="173" fontId="19" fillId="0" borderId="0" xfId="2" applyNumberFormat="1" applyFont="1"/>
    <xf numFmtId="10" fontId="19" fillId="0" borderId="0" xfId="5" applyNumberFormat="1" applyFont="1"/>
    <xf numFmtId="166" fontId="19" fillId="0" borderId="0" xfId="1" applyFont="1" applyBorder="1"/>
    <xf numFmtId="168" fontId="20" fillId="0" borderId="0" xfId="2" applyNumberFormat="1" applyFont="1" applyBorder="1"/>
    <xf numFmtId="171" fontId="19" fillId="0" borderId="0" xfId="2" applyNumberFormat="1" applyFont="1" applyBorder="1"/>
    <xf numFmtId="168" fontId="19" fillId="0" borderId="0" xfId="2" applyNumberFormat="1" applyFont="1" applyBorder="1" applyAlignment="1">
      <alignment horizontal="right"/>
    </xf>
    <xf numFmtId="172" fontId="19" fillId="0" borderId="0" xfId="5" applyNumberFormat="1" applyFont="1" applyBorder="1"/>
    <xf numFmtId="168" fontId="21" fillId="0" borderId="0" xfId="2" applyNumberFormat="1" applyFont="1" applyBorder="1"/>
    <xf numFmtId="0" fontId="19" fillId="0" borderId="0" xfId="0" applyFont="1"/>
    <xf numFmtId="170" fontId="19" fillId="0" borderId="0" xfId="2" applyNumberFormat="1" applyFont="1" applyBorder="1"/>
    <xf numFmtId="0" fontId="17" fillId="3" borderId="0" xfId="0" applyFont="1" applyFill="1" applyBorder="1"/>
    <xf numFmtId="168" fontId="17" fillId="0" borderId="0" xfId="2" applyNumberFormat="1" applyFont="1"/>
    <xf numFmtId="0" fontId="17" fillId="0" borderId="0" xfId="0" applyFont="1"/>
    <xf numFmtId="43" fontId="18" fillId="0" borderId="0" xfId="2" applyFont="1"/>
    <xf numFmtId="168" fontId="18" fillId="0" borderId="0" xfId="2" applyNumberFormat="1" applyFont="1"/>
    <xf numFmtId="171" fontId="17" fillId="0" borderId="0" xfId="2" applyNumberFormat="1" applyFont="1"/>
    <xf numFmtId="170" fontId="17" fillId="0" borderId="0" xfId="0" applyNumberFormat="1" applyFont="1"/>
    <xf numFmtId="171" fontId="0" fillId="0" borderId="16" xfId="2" applyNumberFormat="1" applyFont="1" applyBorder="1"/>
    <xf numFmtId="171" fontId="0" fillId="0" borderId="14" xfId="2" applyNumberFormat="1" applyFont="1" applyBorder="1"/>
    <xf numFmtId="171" fontId="7" fillId="3" borderId="14" xfId="2" applyNumberFormat="1" applyFont="1" applyFill="1" applyBorder="1" applyAlignment="1">
      <alignment vertical="top" wrapText="1"/>
    </xf>
    <xf numFmtId="0" fontId="0" fillId="3" borderId="51" xfId="0" applyFill="1" applyBorder="1" applyAlignment="1">
      <alignment wrapText="1"/>
    </xf>
    <xf numFmtId="0" fontId="7" fillId="3" borderId="51" xfId="4" quotePrefix="1" applyFill="1" applyBorder="1" applyAlignment="1"/>
    <xf numFmtId="171" fontId="17" fillId="3" borderId="14" xfId="2" applyNumberFormat="1" applyFont="1" applyFill="1" applyBorder="1" applyAlignment="1">
      <alignment vertical="top" wrapText="1"/>
    </xf>
    <xf numFmtId="171" fontId="7" fillId="3" borderId="14" xfId="4" quotePrefix="1" applyNumberFormat="1" applyFill="1" applyBorder="1" applyAlignment="1">
      <alignment vertical="top"/>
    </xf>
    <xf numFmtId="0" fontId="7" fillId="3" borderId="14" xfId="4" applyFill="1" applyBorder="1" applyAlignment="1">
      <alignment vertical="top" wrapText="1"/>
    </xf>
    <xf numFmtId="0" fontId="7" fillId="0" borderId="33" xfId="4" quotePrefix="1" applyBorder="1"/>
    <xf numFmtId="43" fontId="0" fillId="3" borderId="70" xfId="2" applyFont="1" applyFill="1" applyBorder="1"/>
    <xf numFmtId="43" fontId="0" fillId="3" borderId="5" xfId="2" applyFont="1" applyFill="1" applyBorder="1"/>
    <xf numFmtId="43" fontId="0" fillId="3" borderId="7" xfId="2" applyFont="1" applyFill="1" applyBorder="1"/>
    <xf numFmtId="43" fontId="0" fillId="3" borderId="71" xfId="2" applyFont="1" applyFill="1" applyBorder="1"/>
    <xf numFmtId="43" fontId="0" fillId="3" borderId="11" xfId="2" applyFont="1" applyFill="1" applyBorder="1"/>
    <xf numFmtId="43" fontId="0" fillId="3" borderId="72" xfId="2" applyFont="1" applyFill="1" applyBorder="1"/>
    <xf numFmtId="43" fontId="0" fillId="3" borderId="47" xfId="2" applyFont="1" applyFill="1" applyBorder="1"/>
    <xf numFmtId="168" fontId="0" fillId="0" borderId="0" xfId="0" applyNumberFormat="1" applyFont="1" applyBorder="1"/>
    <xf numFmtId="9" fontId="17" fillId="0" borderId="0" xfId="5" applyFont="1"/>
    <xf numFmtId="171" fontId="1" fillId="0" borderId="35" xfId="2" applyNumberFormat="1" applyFont="1" applyBorder="1" applyAlignment="1">
      <alignment horizontal="center" vertical="center" wrapText="1"/>
    </xf>
    <xf numFmtId="171" fontId="1" fillId="0" borderId="33" xfId="2" applyNumberFormat="1" applyFont="1" applyBorder="1" applyAlignment="1">
      <alignment horizontal="center" vertical="center" wrapText="1"/>
    </xf>
    <xf numFmtId="0" fontId="1" fillId="6" borderId="27" xfId="0" applyFont="1" applyFill="1" applyBorder="1" applyAlignment="1">
      <alignment horizontal="center" vertical="center" wrapText="1"/>
    </xf>
    <xf numFmtId="0" fontId="1" fillId="6" borderId="40" xfId="0" applyFont="1" applyFill="1" applyBorder="1" applyAlignment="1">
      <alignment horizontal="center" vertical="center" wrapText="1"/>
    </xf>
    <xf numFmtId="0" fontId="1" fillId="0" borderId="37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0" fillId="5" borderId="28" xfId="0" applyFill="1" applyBorder="1" applyAlignment="1">
      <alignment horizontal="center" vertical="center"/>
    </xf>
    <xf numFmtId="0" fontId="0" fillId="5" borderId="20" xfId="0" applyFill="1" applyBorder="1" applyAlignment="1">
      <alignment horizontal="center" vertical="center"/>
    </xf>
    <xf numFmtId="49" fontId="9" fillId="2" borderId="1" xfId="0" applyNumberFormat="1" applyFont="1" applyFill="1" applyBorder="1" applyAlignment="1">
      <alignment horizontal="left"/>
    </xf>
    <xf numFmtId="49" fontId="9" fillId="2" borderId="41" xfId="0" applyNumberFormat="1" applyFont="1" applyFill="1" applyBorder="1" applyAlignment="1">
      <alignment horizontal="left"/>
    </xf>
    <xf numFmtId="49" fontId="9" fillId="2" borderId="2" xfId="0" applyNumberFormat="1" applyFont="1" applyFill="1" applyBorder="1" applyAlignment="1">
      <alignment horizontal="left"/>
    </xf>
    <xf numFmtId="0" fontId="10" fillId="10" borderId="27" xfId="0" applyFont="1" applyFill="1" applyBorder="1" applyAlignment="1">
      <alignment horizontal="center" vertical="center" wrapText="1"/>
    </xf>
    <xf numFmtId="0" fontId="10" fillId="10" borderId="39" xfId="0" applyFont="1" applyFill="1" applyBorder="1" applyAlignment="1">
      <alignment horizontal="center" vertical="center" wrapText="1"/>
    </xf>
    <xf numFmtId="0" fontId="10" fillId="10" borderId="40" xfId="0" applyFont="1" applyFill="1" applyBorder="1" applyAlignment="1">
      <alignment horizontal="center" vertical="center" wrapText="1"/>
    </xf>
    <xf numFmtId="43" fontId="0" fillId="0" borderId="27" xfId="2" applyFont="1" applyBorder="1" applyAlignment="1">
      <alignment horizontal="center" vertical="center" wrapText="1"/>
    </xf>
    <xf numFmtId="43" fontId="0" fillId="0" borderId="39" xfId="2" applyFont="1" applyBorder="1" applyAlignment="1">
      <alignment horizontal="center" vertical="center" wrapText="1"/>
    </xf>
    <xf numFmtId="43" fontId="0" fillId="0" borderId="40" xfId="2" applyFont="1" applyBorder="1" applyAlignment="1">
      <alignment horizontal="center" vertical="center" wrapText="1"/>
    </xf>
    <xf numFmtId="0" fontId="0" fillId="0" borderId="27" xfId="0" applyBorder="1" applyAlignment="1">
      <alignment horizontal="center" vertical="center" wrapText="1"/>
    </xf>
    <xf numFmtId="0" fontId="0" fillId="0" borderId="39" xfId="0" applyBorder="1" applyAlignment="1">
      <alignment horizontal="center" vertical="center" wrapText="1"/>
    </xf>
    <xf numFmtId="0" fontId="0" fillId="0" borderId="40" xfId="0" applyBorder="1" applyAlignment="1">
      <alignment horizontal="center" vertical="center" wrapText="1"/>
    </xf>
    <xf numFmtId="0" fontId="1" fillId="8" borderId="37" xfId="0" applyFont="1" applyFill="1" applyBorder="1" applyAlignment="1">
      <alignment horizontal="center"/>
    </xf>
    <xf numFmtId="0" fontId="1" fillId="8" borderId="4" xfId="0" applyFont="1" applyFill="1" applyBorder="1" applyAlignment="1">
      <alignment horizontal="center"/>
    </xf>
    <xf numFmtId="0" fontId="1" fillId="5" borderId="3" xfId="0" applyFont="1" applyFill="1" applyBorder="1" applyAlignment="1">
      <alignment horizontal="center"/>
    </xf>
    <xf numFmtId="0" fontId="1" fillId="5" borderId="37" xfId="0" applyFont="1" applyFill="1" applyBorder="1" applyAlignment="1">
      <alignment horizontal="center"/>
    </xf>
    <xf numFmtId="0" fontId="1" fillId="5" borderId="4" xfId="0" applyFont="1" applyFill="1" applyBorder="1" applyAlignment="1">
      <alignment horizontal="center"/>
    </xf>
    <xf numFmtId="0" fontId="1" fillId="4" borderId="41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0" fontId="1" fillId="7" borderId="18" xfId="0" applyFont="1" applyFill="1" applyBorder="1" applyAlignment="1">
      <alignment horizontal="center" vertical="center"/>
    </xf>
    <xf numFmtId="0" fontId="1" fillId="7" borderId="19" xfId="0" applyFont="1" applyFill="1" applyBorder="1" applyAlignment="1">
      <alignment horizontal="center" vertical="center"/>
    </xf>
    <xf numFmtId="0" fontId="1" fillId="7" borderId="20" xfId="0" applyFont="1" applyFill="1" applyBorder="1" applyAlignment="1">
      <alignment horizontal="center" vertical="center"/>
    </xf>
    <xf numFmtId="0" fontId="1" fillId="9" borderId="19" xfId="0" applyFont="1" applyFill="1" applyBorder="1" applyAlignment="1">
      <alignment horizontal="center" vertical="center"/>
    </xf>
    <xf numFmtId="0" fontId="1" fillId="9" borderId="20" xfId="0" applyFont="1" applyFill="1" applyBorder="1" applyAlignment="1">
      <alignment horizontal="center" vertical="center"/>
    </xf>
    <xf numFmtId="168" fontId="9" fillId="0" borderId="27" xfId="2" applyNumberFormat="1" applyFont="1" applyBorder="1" applyAlignment="1">
      <alignment horizontal="center" vertical="center" wrapText="1"/>
    </xf>
    <xf numFmtId="168" fontId="9" fillId="0" borderId="40" xfId="2" applyNumberFormat="1" applyFont="1" applyBorder="1" applyAlignment="1">
      <alignment horizontal="center" vertical="center" wrapText="1"/>
    </xf>
    <xf numFmtId="0" fontId="1" fillId="0" borderId="69" xfId="0" applyFont="1" applyBorder="1" applyAlignment="1">
      <alignment horizontal="center" vertical="center" wrapText="1"/>
    </xf>
    <xf numFmtId="0" fontId="1" fillId="0" borderId="68" xfId="0" applyFont="1" applyBorder="1" applyAlignment="1">
      <alignment horizontal="center" vertical="center" wrapText="1"/>
    </xf>
    <xf numFmtId="17" fontId="6" fillId="3" borderId="60" xfId="0" applyNumberFormat="1" applyFont="1" applyFill="1" applyBorder="1" applyAlignment="1">
      <alignment horizontal="center"/>
    </xf>
    <xf numFmtId="0" fontId="6" fillId="3" borderId="60" xfId="0" applyNumberFormat="1" applyFont="1" applyFill="1" applyBorder="1" applyAlignment="1">
      <alignment horizontal="center"/>
    </xf>
    <xf numFmtId="0" fontId="1" fillId="0" borderId="8" xfId="0" applyFont="1" applyBorder="1" applyAlignment="1">
      <alignment horizontal="center" vertical="center" wrapText="1"/>
    </xf>
    <xf numFmtId="0" fontId="10" fillId="10" borderId="8" xfId="0" applyFont="1" applyFill="1" applyBorder="1" applyAlignment="1">
      <alignment horizontal="center" vertical="center" wrapText="1"/>
    </xf>
  </cellXfs>
  <cellStyles count="10">
    <cellStyle name="Comma" xfId="2" builtinId="3"/>
    <cellStyle name="Comma [0] 2" xfId="8"/>
    <cellStyle name="Comma 10" xfId="3"/>
    <cellStyle name="Comma 2" xfId="6"/>
    <cellStyle name="Currency" xfId="1" builtinId="4"/>
    <cellStyle name="Hyperlink" xfId="4" builtinId="8"/>
    <cellStyle name="Hyperlink 2" xfId="7"/>
    <cellStyle name="Normal" xfId="0" builtinId="0"/>
    <cellStyle name="Normal 2" xfId="9"/>
    <cellStyle name="Percent" xfId="5" builtinId="5"/>
  </cellStyles>
  <dxfs count="0"/>
  <tableStyles count="0" defaultTableStyle="TableStyleMedium2" defaultPivotStyle="PivotStyleLight16"/>
  <colors>
    <mruColors>
      <color rgb="FFF8CBAD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199718</xdr:colOff>
      <xdr:row>0</xdr:row>
      <xdr:rowOff>76814</xdr:rowOff>
    </xdr:from>
    <xdr:to>
      <xdr:col>3</xdr:col>
      <xdr:colOff>344023</xdr:colOff>
      <xdr:row>4</xdr:row>
      <xdr:rowOff>138265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47368" y="76814"/>
          <a:ext cx="1306355" cy="86155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Z30"/>
  <sheetViews>
    <sheetView workbookViewId="0">
      <selection activeCell="D3" sqref="D3:D29"/>
    </sheetView>
  </sheetViews>
  <sheetFormatPr defaultColWidth="11.5703125" defaultRowHeight="15" x14ac:dyDescent="0.25"/>
  <cols>
    <col min="1" max="1" width="18.42578125" style="171" customWidth="1"/>
    <col min="2" max="2" width="11.5703125" style="172"/>
    <col min="3" max="3" width="11.5703125" style="173"/>
    <col min="4" max="4" width="13.42578125" style="172" customWidth="1"/>
    <col min="5" max="5" width="12.5703125" style="170" customWidth="1"/>
    <col min="6" max="6" width="12.5703125" style="174" customWidth="1"/>
    <col min="7" max="7" width="11.5703125" style="170"/>
    <col min="8" max="8" width="11.5703125" style="174"/>
    <col min="9" max="9" width="11.5703125" style="175"/>
    <col min="10" max="10" width="11.5703125" style="176"/>
    <col min="11" max="11" width="11.5703125" style="170"/>
    <col min="12" max="12" width="11.5703125" style="176"/>
    <col min="13" max="26" width="11.5703125" style="170"/>
  </cols>
  <sheetData>
    <row r="1" spans="1:15" s="164" customFormat="1" ht="43.15" x14ac:dyDescent="0.3">
      <c r="A1" s="160" t="s">
        <v>37</v>
      </c>
      <c r="B1" s="160" t="s">
        <v>38</v>
      </c>
      <c r="C1" s="161" t="s">
        <v>39</v>
      </c>
      <c r="D1" s="160" t="s">
        <v>40</v>
      </c>
      <c r="E1" s="159" t="s">
        <v>41</v>
      </c>
      <c r="F1" s="162" t="s">
        <v>42</v>
      </c>
      <c r="G1" s="159" t="s">
        <v>47</v>
      </c>
      <c r="H1" s="162" t="s">
        <v>48</v>
      </c>
      <c r="I1" s="178" t="s">
        <v>50</v>
      </c>
      <c r="J1" s="162" t="s">
        <v>51</v>
      </c>
      <c r="K1" s="159" t="s">
        <v>43</v>
      </c>
      <c r="L1" s="163" t="s">
        <v>44</v>
      </c>
      <c r="M1" s="159" t="s">
        <v>45</v>
      </c>
      <c r="N1" s="159" t="s">
        <v>3</v>
      </c>
    </row>
    <row r="2" spans="1:15" ht="14.45" x14ac:dyDescent="0.3">
      <c r="A2" s="165" t="s">
        <v>49</v>
      </c>
      <c r="B2" s="166">
        <v>1</v>
      </c>
      <c r="C2" s="167">
        <v>2</v>
      </c>
      <c r="D2" s="166">
        <v>2020</v>
      </c>
      <c r="E2" s="168">
        <f>'FS Jimbaran February 2020'!P12</f>
        <v>24460.000000000491</v>
      </c>
      <c r="F2" s="177">
        <f>'FS Jimbaran February 2020'!O12/'FS Jimbaran February 2020'!P12</f>
        <v>1128.9409157808668</v>
      </c>
      <c r="G2" s="168">
        <f>'FS Jimbaran February 2020'!AG12</f>
        <v>128.16751999998593</v>
      </c>
      <c r="H2" s="177">
        <f>'FS Jimbaran February 2020'!AH12/'FS Jimbaran February 2020'!AG12</f>
        <v>9423.4211126188857</v>
      </c>
      <c r="I2" s="168">
        <f>'FS Jimbaran February 2020'!AJ12</f>
        <v>347.35000000000582</v>
      </c>
      <c r="J2" s="169">
        <f>'FS Jimbaran February 2020'!AK12/'FS Jimbaran February 2020'!AJ12</f>
        <v>10300</v>
      </c>
      <c r="K2" s="168">
        <f>'FS Jimbaran February 2020'!V12</f>
        <v>113.92</v>
      </c>
      <c r="L2" s="177">
        <f>'FS Jimbaran February 2020'!AA12/'FS Jimbaran February 2020'!V12</f>
        <v>7462.0518749999992</v>
      </c>
      <c r="M2" s="168">
        <v>0</v>
      </c>
      <c r="N2" s="168">
        <v>38</v>
      </c>
    </row>
    <row r="3" spans="1:15" ht="14.45" x14ac:dyDescent="0.3">
      <c r="A3" s="165" t="s">
        <v>49</v>
      </c>
      <c r="B3" s="166">
        <f>B2+1</f>
        <v>2</v>
      </c>
      <c r="C3" s="167">
        <v>2</v>
      </c>
      <c r="D3" s="166">
        <v>2020</v>
      </c>
      <c r="E3" s="179">
        <f>'FS Jimbaran February 2020'!P13</f>
        <v>25020.000000000437</v>
      </c>
      <c r="F3" s="177">
        <f>'FS Jimbaran February 2020'!O13/'FS Jimbaran February 2020'!P13</f>
        <v>1125.613836930457</v>
      </c>
      <c r="G3" s="179">
        <f>'FS Jimbaran February 2020'!AG13</f>
        <v>281.59132000000938</v>
      </c>
      <c r="H3" s="177">
        <f>'FS Jimbaran February 2020'!AH13/'FS Jimbaran February 2020'!AG13</f>
        <v>9988.8085283310302</v>
      </c>
      <c r="I3" s="179">
        <f>'FS Jimbaran February 2020'!AJ13</f>
        <v>422.04999999999563</v>
      </c>
      <c r="J3" s="169">
        <f>'FS Jimbaran February 2020'!AK13/'FS Jimbaran February 2020'!AJ13</f>
        <v>10300</v>
      </c>
      <c r="K3" s="179">
        <f>'FS Jimbaran February 2020'!V13</f>
        <v>122.82</v>
      </c>
      <c r="L3" s="177">
        <f>'FS Jimbaran February 2020'!AA13/'FS Jimbaran February 2020'!V13</f>
        <v>8024.6159420289869</v>
      </c>
      <c r="M3" s="179">
        <v>1</v>
      </c>
      <c r="N3" s="179">
        <v>44</v>
      </c>
    </row>
    <row r="4" spans="1:15" ht="14.45" x14ac:dyDescent="0.3">
      <c r="A4" s="165" t="s">
        <v>49</v>
      </c>
      <c r="B4" s="166">
        <f t="shared" ref="B4:B29" si="0">B3+1</f>
        <v>3</v>
      </c>
      <c r="C4" s="167">
        <v>2</v>
      </c>
      <c r="D4" s="166">
        <v>2020</v>
      </c>
      <c r="E4" s="179">
        <f>'FS Jimbaran February 2020'!P14</f>
        <v>24600.000000001273</v>
      </c>
      <c r="F4" s="177">
        <f>'FS Jimbaran February 2020'!O14/'FS Jimbaran February 2020'!P14</f>
        <v>1128.8317804878016</v>
      </c>
      <c r="G4" s="179">
        <f>'FS Jimbaran February 2020'!AG14</f>
        <v>208.63516000000467</v>
      </c>
      <c r="H4" s="177">
        <f>'FS Jimbaran February 2020'!AH14/'FS Jimbaran February 2020'!AG14</f>
        <v>9816.2214430204258</v>
      </c>
      <c r="I4" s="179">
        <f>'FS Jimbaran February 2020'!AJ14</f>
        <v>400</v>
      </c>
      <c r="J4" s="169">
        <f>'FS Jimbaran February 2020'!AK14/'FS Jimbaran February 2020'!AJ14</f>
        <v>10300</v>
      </c>
      <c r="K4" s="179">
        <f>'FS Jimbaran February 2020'!V14</f>
        <v>140.62</v>
      </c>
      <c r="L4" s="177">
        <f>'FS Jimbaran February 2020'!AA14/'FS Jimbaran February 2020'!V14</f>
        <v>9370.4577215189875</v>
      </c>
      <c r="M4" s="179">
        <v>1</v>
      </c>
      <c r="N4" s="179">
        <v>27</v>
      </c>
    </row>
    <row r="5" spans="1:15" ht="14.45" x14ac:dyDescent="0.3">
      <c r="A5" s="165" t="s">
        <v>49</v>
      </c>
      <c r="B5" s="166">
        <f t="shared" si="0"/>
        <v>4</v>
      </c>
      <c r="C5" s="167">
        <v>2</v>
      </c>
      <c r="D5" s="166">
        <v>2020</v>
      </c>
      <c r="E5" s="179">
        <f>'FS Jimbaran February 2020'!P15</f>
        <v>23819.999999998345</v>
      </c>
      <c r="F5" s="177">
        <f>'FS Jimbaran February 2020'!O15/'FS Jimbaran February 2020'!P15</f>
        <v>1128.4001259445856</v>
      </c>
      <c r="G5" s="179">
        <f>'FS Jimbaran February 2020'!AG15</f>
        <v>274</v>
      </c>
      <c r="H5" s="177">
        <f>'FS Jimbaran February 2020'!AH15/'FS Jimbaran February 2020'!AG15</f>
        <v>10589.416058394161</v>
      </c>
      <c r="I5" s="179">
        <f>'FS Jimbaran February 2020'!AJ15</f>
        <v>326.90000000000146</v>
      </c>
      <c r="J5" s="169">
        <f>'FS Jimbaran February 2020'!AK15/'FS Jimbaran February 2020'!AJ15</f>
        <v>10300</v>
      </c>
      <c r="K5" s="179">
        <f>'FS Jimbaran February 2020'!V15</f>
        <v>160.19999999999999</v>
      </c>
      <c r="L5" s="177">
        <f>'FS Jimbaran February 2020'!AA15/'FS Jimbaran February 2020'!V15</f>
        <v>10345.322222222223</v>
      </c>
      <c r="M5" s="179">
        <v>1</v>
      </c>
      <c r="N5" s="179">
        <v>11</v>
      </c>
    </row>
    <row r="6" spans="1:15" ht="14.45" x14ac:dyDescent="0.3">
      <c r="A6" s="165" t="s">
        <v>49</v>
      </c>
      <c r="B6" s="166">
        <f t="shared" si="0"/>
        <v>5</v>
      </c>
      <c r="C6" s="167">
        <v>2</v>
      </c>
      <c r="D6" s="166">
        <v>2020</v>
      </c>
      <c r="E6" s="179">
        <f>'FS Jimbaran February 2020'!P16</f>
        <v>24580.000000000837</v>
      </c>
      <c r="F6" s="177">
        <f>'FS Jimbaran February 2020'!O16/'FS Jimbaran February 2020'!P16</f>
        <v>1125.5363628966654</v>
      </c>
      <c r="G6" s="179">
        <f>'FS Jimbaran February 2020'!AG16</f>
        <v>98.202640000018746</v>
      </c>
      <c r="H6" s="177">
        <f>'FS Jimbaran February 2020'!AH16/'FS Jimbaran February 2020'!AG16</f>
        <v>9196</v>
      </c>
      <c r="I6" s="179">
        <f>'FS Jimbaran February 2020'!AJ16</f>
        <v>508.85000000002765</v>
      </c>
      <c r="J6" s="169">
        <f>'FS Jimbaran February 2020'!AK16/'FS Jimbaran February 2020'!AJ16</f>
        <v>10300</v>
      </c>
      <c r="K6" s="179">
        <f>'FS Jimbaran February 2020'!V16</f>
        <v>112.14000000000001</v>
      </c>
      <c r="L6" s="177">
        <f>'FS Jimbaran February 2020'!AA16/'FS Jimbaran February 2020'!V16</f>
        <v>5770.2155555555555</v>
      </c>
      <c r="M6" s="179">
        <v>1</v>
      </c>
      <c r="N6" s="179">
        <v>46</v>
      </c>
    </row>
    <row r="7" spans="1:15" ht="14.45" x14ac:dyDescent="0.3">
      <c r="A7" s="165" t="s">
        <v>49</v>
      </c>
      <c r="B7" s="166">
        <f t="shared" si="0"/>
        <v>6</v>
      </c>
      <c r="C7" s="167">
        <v>2</v>
      </c>
      <c r="D7" s="166">
        <v>2020</v>
      </c>
      <c r="E7" s="179">
        <f>'FS Jimbaran February 2020'!P17</f>
        <v>25000.000000000226</v>
      </c>
      <c r="F7" s="177">
        <f>'FS Jimbaran February 2020'!O17/'FS Jimbaran February 2020'!P17</f>
        <v>1123.6141439999994</v>
      </c>
      <c r="G7" s="179">
        <f>'FS Jimbaran February 2020'!AG17</f>
        <v>337.22363999996014</v>
      </c>
      <c r="H7" s="177">
        <f>'FS Jimbaran February 2020'!AH17/'FS Jimbaran February 2020'!AG17</f>
        <v>10222.748895777417</v>
      </c>
      <c r="I7" s="179">
        <f>'FS Jimbaran February 2020'!AJ17</f>
        <v>608.75</v>
      </c>
      <c r="J7" s="169">
        <f>'FS Jimbaran February 2020'!AK17/'FS Jimbaran February 2020'!AJ17</f>
        <v>10300</v>
      </c>
      <c r="K7" s="179">
        <f>'FS Jimbaran February 2020'!V17</f>
        <v>180.67000000000002</v>
      </c>
      <c r="L7" s="177">
        <f>'FS Jimbaran February 2020'!AA17/'FS Jimbaran February 2020'!V17</f>
        <v>9518.9482758620688</v>
      </c>
      <c r="M7" s="179">
        <v>0</v>
      </c>
      <c r="N7" s="179">
        <v>27</v>
      </c>
    </row>
    <row r="8" spans="1:15" ht="14.45" x14ac:dyDescent="0.3">
      <c r="A8" s="165" t="s">
        <v>49</v>
      </c>
      <c r="B8" s="166">
        <f t="shared" si="0"/>
        <v>7</v>
      </c>
      <c r="C8" s="167">
        <v>2</v>
      </c>
      <c r="D8" s="166">
        <v>2020</v>
      </c>
      <c r="E8" s="179">
        <f>'FS Jimbaran February 2020'!P18</f>
        <v>24139.999999998508</v>
      </c>
      <c r="F8" s="177">
        <f>'FS Jimbaran February 2020'!O18/'FS Jimbaran February 2020'!P18</f>
        <v>1125.0269925434986</v>
      </c>
      <c r="G8" s="179">
        <f>'FS Jimbaran February 2020'!AG18</f>
        <v>200.73683999999531</v>
      </c>
      <c r="H8" s="177">
        <f>'FS Jimbaran February 2020'!AH18/'FS Jimbaran February 2020'!AG18</f>
        <v>9985.8301079164321</v>
      </c>
      <c r="I8" s="179">
        <f>'FS Jimbaran February 2020'!AJ18</f>
        <v>440.20000000000437</v>
      </c>
      <c r="J8" s="169">
        <f>'FS Jimbaran February 2020'!AK18/'FS Jimbaran February 2020'!AJ18</f>
        <v>10300</v>
      </c>
      <c r="K8" s="179">
        <f>'FS Jimbaran February 2020'!V18</f>
        <v>45.39</v>
      </c>
      <c r="L8" s="177">
        <f>'FS Jimbaran February 2020'!AA18/'FS Jimbaran February 2020'!V18</f>
        <v>5321.6756862745096</v>
      </c>
      <c r="M8" s="179">
        <v>0</v>
      </c>
      <c r="N8" s="179">
        <v>61</v>
      </c>
    </row>
    <row r="9" spans="1:15" ht="14.45" x14ac:dyDescent="0.3">
      <c r="A9" s="165" t="s">
        <v>49</v>
      </c>
      <c r="B9" s="166">
        <f t="shared" si="0"/>
        <v>8</v>
      </c>
      <c r="C9" s="167">
        <v>2</v>
      </c>
      <c r="D9" s="166">
        <v>2020</v>
      </c>
      <c r="E9" s="179">
        <f>'FS Jimbaran February 2020'!P19</f>
        <v>24480.000000000473</v>
      </c>
      <c r="F9" s="177">
        <f>'FS Jimbaran February 2020'!O19/'FS Jimbaran February 2020'!P19</f>
        <v>1125.4799019607779</v>
      </c>
      <c r="G9" s="179">
        <f>'FS Jimbaran February 2020'!AG19</f>
        <v>102.71399999999998</v>
      </c>
      <c r="H9" s="177">
        <f>'FS Jimbaran February 2020'!AH19/'FS Jimbaran February 2020'!AG19</f>
        <v>9196</v>
      </c>
      <c r="I9" s="179">
        <f>'FS Jimbaran February 2020'!AJ19</f>
        <v>427.29999999999563</v>
      </c>
      <c r="J9" s="169">
        <f>'FS Jimbaran February 2020'!AK19/'FS Jimbaran February 2020'!AJ19</f>
        <v>10300</v>
      </c>
      <c r="K9" s="179">
        <f>'FS Jimbaran February 2020'!V19</f>
        <v>117.48</v>
      </c>
      <c r="L9" s="177">
        <f>'FS Jimbaran February 2020'!AA19/'FS Jimbaran February 2020'!V19</f>
        <v>4245.18</v>
      </c>
      <c r="M9" s="179">
        <v>1</v>
      </c>
      <c r="N9" s="179">
        <v>27</v>
      </c>
      <c r="O9" s="170" t="s">
        <v>46</v>
      </c>
    </row>
    <row r="10" spans="1:15" ht="14.45" x14ac:dyDescent="0.3">
      <c r="A10" s="165" t="s">
        <v>49</v>
      </c>
      <c r="B10" s="166">
        <f t="shared" si="0"/>
        <v>9</v>
      </c>
      <c r="C10" s="167">
        <v>2</v>
      </c>
      <c r="D10" s="166">
        <v>2020</v>
      </c>
      <c r="E10" s="179">
        <f>'FS Jimbaran February 2020'!P20</f>
        <v>20960.000000000946</v>
      </c>
      <c r="F10" s="177">
        <f>'FS Jimbaran February 2020'!O20/'FS Jimbaran February 2020'!P20</f>
        <v>1123.7422328244334</v>
      </c>
      <c r="G10" s="179">
        <f>'FS Jimbaran February 2020'!AG20</f>
        <v>88.495160000004674</v>
      </c>
      <c r="H10" s="177">
        <f>'FS Jimbaran February 2020'!AH20/'FS Jimbaran February 2020'!AG20</f>
        <v>9196</v>
      </c>
      <c r="I10" s="179">
        <f>'FS Jimbaran February 2020'!AJ20</f>
        <v>445.84999999999854</v>
      </c>
      <c r="J10" s="169">
        <f>'FS Jimbaran February 2020'!AK20/'FS Jimbaran February 2020'!AJ20</f>
        <v>10300</v>
      </c>
      <c r="K10" s="179">
        <f>'FS Jimbaran February 2020'!V20</f>
        <v>124.60000000000001</v>
      </c>
      <c r="L10" s="177">
        <f>'FS Jimbaran February 2020'!AA20/'FS Jimbaran February 2020'!V20</f>
        <v>4245.18</v>
      </c>
      <c r="M10" s="179">
        <v>1</v>
      </c>
      <c r="N10" s="179">
        <v>47</v>
      </c>
    </row>
    <row r="11" spans="1:15" ht="14.45" x14ac:dyDescent="0.3">
      <c r="A11" s="165" t="s">
        <v>49</v>
      </c>
      <c r="B11" s="166">
        <f t="shared" si="0"/>
        <v>10</v>
      </c>
      <c r="C11" s="167">
        <v>2</v>
      </c>
      <c r="D11" s="166">
        <v>2020</v>
      </c>
      <c r="E11" s="179">
        <f>'FS Jimbaran February 2020'!P21</f>
        <v>22600.000000000364</v>
      </c>
      <c r="F11" s="177">
        <f>'FS Jimbaran February 2020'!O21/'FS Jimbaran February 2020'!P21</f>
        <v>1126.5253274336276</v>
      </c>
      <c r="G11" s="179">
        <f>'FS Jimbaran February 2020'!AG21</f>
        <v>255.41275999999294</v>
      </c>
      <c r="H11" s="177">
        <f>'FS Jimbaran February 2020'!AH21/'FS Jimbaran February 2020'!AG21</f>
        <v>9955.9463707295035</v>
      </c>
      <c r="I11" s="179">
        <f>'FS Jimbaran February 2020'!AJ21</f>
        <v>434</v>
      </c>
      <c r="J11" s="169">
        <f>'FS Jimbaran February 2020'!AK21/'FS Jimbaran February 2020'!AJ21</f>
        <v>10300</v>
      </c>
      <c r="K11" s="179">
        <f>'FS Jimbaran February 2020'!V21</f>
        <v>84.55</v>
      </c>
      <c r="L11" s="177">
        <f>'FS Jimbaran February 2020'!AA21/'FS Jimbaran February 2020'!V21</f>
        <v>4245.18</v>
      </c>
      <c r="M11" s="179">
        <v>3</v>
      </c>
      <c r="N11" s="179">
        <v>26</v>
      </c>
    </row>
    <row r="12" spans="1:15" ht="14.45" x14ac:dyDescent="0.3">
      <c r="A12" s="165" t="s">
        <v>49</v>
      </c>
      <c r="B12" s="166">
        <f t="shared" si="0"/>
        <v>11</v>
      </c>
      <c r="C12" s="167">
        <v>2</v>
      </c>
      <c r="D12" s="166">
        <v>2020</v>
      </c>
      <c r="E12" s="179">
        <f>'FS Jimbaran February 2020'!P22</f>
        <v>22619.999999999891</v>
      </c>
      <c r="F12" s="177">
        <f>'FS Jimbaran February 2020'!O22/'FS Jimbaran February 2020'!P22</f>
        <v>1123.2397612732034</v>
      </c>
      <c r="G12" s="179">
        <f>'FS Jimbaran February 2020'!AG22</f>
        <v>106.62116000000468</v>
      </c>
      <c r="H12" s="177">
        <f>'FS Jimbaran February 2020'!AH22/'FS Jimbaran February 2020'!AG22</f>
        <v>9196</v>
      </c>
      <c r="I12" s="179">
        <f>'FS Jimbaran February 2020'!AJ22</f>
        <v>297.26000000000204</v>
      </c>
      <c r="J12" s="169">
        <f>'FS Jimbaran February 2020'!AK22/'FS Jimbaran February 2020'!AJ22</f>
        <v>10300</v>
      </c>
      <c r="K12" s="179">
        <f>'FS Jimbaran February 2020'!V22</f>
        <v>115.7</v>
      </c>
      <c r="L12" s="177">
        <f>'FS Jimbaran February 2020'!AA22/'FS Jimbaran February 2020'!V22</f>
        <v>4245.18</v>
      </c>
      <c r="M12" s="179">
        <v>3</v>
      </c>
      <c r="N12" s="179">
        <v>27</v>
      </c>
    </row>
    <row r="13" spans="1:15" ht="14.45" x14ac:dyDescent="0.3">
      <c r="A13" s="165" t="s">
        <v>49</v>
      </c>
      <c r="B13" s="166">
        <f t="shared" si="0"/>
        <v>12</v>
      </c>
      <c r="C13" s="167">
        <v>2</v>
      </c>
      <c r="D13" s="166">
        <v>2020</v>
      </c>
      <c r="E13" s="179">
        <f>'FS Jimbaran February 2020'!P23</f>
        <v>22779.999999999745</v>
      </c>
      <c r="F13" s="177">
        <f>'FS Jimbaran February 2020'!O23/'FS Jimbaran February 2020'!P23</f>
        <v>1124.8989113257269</v>
      </c>
      <c r="G13" s="179">
        <f>'FS Jimbaran February 2020'!AG23</f>
        <v>116.00296000002812</v>
      </c>
      <c r="H13" s="177">
        <f>'FS Jimbaran February 2020'!AH23/'FS Jimbaran February 2020'!AG23</f>
        <v>9447.2694503656876</v>
      </c>
      <c r="I13" s="179">
        <f>'FS Jimbaran February 2020'!AJ23</f>
        <v>508.70999999998457</v>
      </c>
      <c r="J13" s="169">
        <f>'FS Jimbaran February 2020'!AK23/'FS Jimbaran February 2020'!AJ23</f>
        <v>10300</v>
      </c>
      <c r="K13" s="179">
        <f>'FS Jimbaran February 2020'!V23</f>
        <v>146.85</v>
      </c>
      <c r="L13" s="177">
        <f>'FS Jimbaran February 2020'!AA23/'FS Jimbaran February 2020'!V23</f>
        <v>4245.18</v>
      </c>
      <c r="M13" s="179">
        <v>3</v>
      </c>
      <c r="N13" s="179">
        <v>53</v>
      </c>
    </row>
    <row r="14" spans="1:15" ht="14.45" x14ac:dyDescent="0.3">
      <c r="A14" s="165" t="s">
        <v>49</v>
      </c>
      <c r="B14" s="166">
        <f t="shared" si="0"/>
        <v>13</v>
      </c>
      <c r="C14" s="167">
        <v>2</v>
      </c>
      <c r="D14" s="166">
        <v>2020</v>
      </c>
      <c r="E14" s="179">
        <f>'FS Jimbaran February 2020'!P24</f>
        <v>24139.999999998963</v>
      </c>
      <c r="F14" s="177">
        <f>'FS Jimbaran February 2020'!O24/'FS Jimbaran February 2020'!P24</f>
        <v>1123.73977630489</v>
      </c>
      <c r="G14" s="179">
        <f>'FS Jimbaran February 2020'!AG24</f>
        <v>112.9048399999953</v>
      </c>
      <c r="H14" s="177">
        <f>'FS Jimbaran February 2020'!AH24/'FS Jimbaran February 2020'!AG24</f>
        <v>9196</v>
      </c>
      <c r="I14" s="179">
        <f>'FS Jimbaran February 2020'!AJ24</f>
        <v>484.68000000000029</v>
      </c>
      <c r="J14" s="169">
        <f>'FS Jimbaran February 2020'!AK24/'FS Jimbaran February 2020'!AJ24</f>
        <v>10300</v>
      </c>
      <c r="K14" s="179">
        <f>'FS Jimbaran February 2020'!V24</f>
        <v>149.52000000000001</v>
      </c>
      <c r="L14" s="177">
        <f>'FS Jimbaran February 2020'!AA24/'FS Jimbaran February 2020'!V24</f>
        <v>4245.18</v>
      </c>
      <c r="M14" s="179">
        <v>3</v>
      </c>
      <c r="N14" s="179">
        <v>69</v>
      </c>
    </row>
    <row r="15" spans="1:15" ht="14.45" x14ac:dyDescent="0.3">
      <c r="A15" s="165" t="s">
        <v>49</v>
      </c>
      <c r="B15" s="166">
        <f t="shared" si="0"/>
        <v>14</v>
      </c>
      <c r="C15" s="167">
        <v>2</v>
      </c>
      <c r="D15" s="166">
        <v>2020</v>
      </c>
      <c r="E15" s="179">
        <f>'FS Jimbaran February 2020'!P25</f>
        <v>23440.000000001874</v>
      </c>
      <c r="F15" s="177">
        <f>'FS Jimbaran February 2020'!O25/'FS Jimbaran February 2020'!P25</f>
        <v>1125.9246757679193</v>
      </c>
      <c r="G15" s="179">
        <f>'FS Jimbaran February 2020'!AG25</f>
        <v>256.98367999999061</v>
      </c>
      <c r="H15" s="177">
        <f>'FS Jimbaran February 2020'!AH25/'FS Jimbaran February 2020'!AG25</f>
        <v>9951.3008813633896</v>
      </c>
      <c r="I15" s="179">
        <f>'FS Jimbaran February 2020'!AJ25</f>
        <v>388.79999999999563</v>
      </c>
      <c r="J15" s="169">
        <f>'FS Jimbaran February 2020'!AK25/'FS Jimbaran February 2020'!AJ25</f>
        <v>10300</v>
      </c>
      <c r="K15" s="179">
        <f>'FS Jimbaran February 2020'!V25</f>
        <v>137.06</v>
      </c>
      <c r="L15" s="177">
        <f>'FS Jimbaran February 2020'!AA25/'FS Jimbaran February 2020'!V25</f>
        <v>4245.18</v>
      </c>
      <c r="M15" s="179">
        <v>3</v>
      </c>
      <c r="N15" s="179">
        <v>125</v>
      </c>
    </row>
    <row r="16" spans="1:15" ht="14.45" x14ac:dyDescent="0.3">
      <c r="A16" s="165" t="s">
        <v>49</v>
      </c>
      <c r="B16" s="166">
        <f t="shared" si="0"/>
        <v>15</v>
      </c>
      <c r="C16" s="167">
        <v>2</v>
      </c>
      <c r="D16" s="166">
        <v>2020</v>
      </c>
      <c r="E16" s="179">
        <f>'FS Jimbaran February 2020'!P26</f>
        <v>24399.999999998952</v>
      </c>
      <c r="F16" s="177">
        <f>'FS Jimbaran February 2020'!O26/'FS Jimbaran February 2020'!P26</f>
        <v>1120.2554999999993</v>
      </c>
      <c r="G16" s="179">
        <f>'FS Jimbaran February 2020'!AG26</f>
        <v>94.537160000004675</v>
      </c>
      <c r="H16" s="177">
        <f>'FS Jimbaran February 2020'!AH26/'FS Jimbaran February 2020'!AG26</f>
        <v>9196</v>
      </c>
      <c r="I16" s="179">
        <f>'FS Jimbaran February 2020'!AJ26</f>
        <v>299.9800000000032</v>
      </c>
      <c r="J16" s="169">
        <f>'FS Jimbaran February 2020'!AK26/'FS Jimbaran February 2020'!AJ26</f>
        <v>10300</v>
      </c>
      <c r="K16" s="179">
        <f>'FS Jimbaran February 2020'!V26</f>
        <v>134.39000000000001</v>
      </c>
      <c r="L16" s="177">
        <f>'FS Jimbaran February 2020'!AA26/'FS Jimbaran February 2020'!V26</f>
        <v>4245.18</v>
      </c>
      <c r="M16" s="179">
        <v>3</v>
      </c>
      <c r="N16" s="179">
        <v>40</v>
      </c>
    </row>
    <row r="17" spans="1:14" ht="14.45" x14ac:dyDescent="0.3">
      <c r="A17" s="165" t="s">
        <v>49</v>
      </c>
      <c r="B17" s="166">
        <f t="shared" si="0"/>
        <v>16</v>
      </c>
      <c r="C17" s="167">
        <v>2</v>
      </c>
      <c r="D17" s="166">
        <v>2020</v>
      </c>
      <c r="E17" s="179">
        <f>'FS Jimbaran February 2020'!P27</f>
        <v>23459.999999998672</v>
      </c>
      <c r="F17" s="177">
        <f>'FS Jimbaran February 2020'!O27/'FS Jimbaran February 2020'!P27</f>
        <v>1130.7044245524291</v>
      </c>
      <c r="G17" s="179">
        <f>'FS Jimbaran February 2020'!AG27</f>
        <v>268.86283999999529</v>
      </c>
      <c r="H17" s="177">
        <f>'FS Jimbaran February 2020'!AH27/'FS Jimbaran February 2020'!AG27</f>
        <v>10026.341597224831</v>
      </c>
      <c r="I17" s="179">
        <f>'FS Jimbaran February 2020'!AJ27</f>
        <v>353.62000000000262</v>
      </c>
      <c r="J17" s="169">
        <f>'FS Jimbaran February 2020'!AK27/'FS Jimbaran February 2020'!AJ27</f>
        <v>10300</v>
      </c>
      <c r="K17" s="179">
        <f>'FS Jimbaran February 2020'!V27</f>
        <v>123.71000000000001</v>
      </c>
      <c r="L17" s="177">
        <f>'FS Jimbaran February 2020'!AA27/'FS Jimbaran February 2020'!V27</f>
        <v>4245.18</v>
      </c>
      <c r="M17" s="179">
        <v>3</v>
      </c>
      <c r="N17" s="179">
        <v>45</v>
      </c>
    </row>
    <row r="18" spans="1:14" ht="14.45" x14ac:dyDescent="0.3">
      <c r="A18" s="165" t="s">
        <v>49</v>
      </c>
      <c r="B18" s="166">
        <f t="shared" si="0"/>
        <v>17</v>
      </c>
      <c r="C18" s="167">
        <v>2</v>
      </c>
      <c r="D18" s="166">
        <v>2020</v>
      </c>
      <c r="E18" s="179">
        <f>'FS Jimbaran February 2020'!P28</f>
        <v>22880.000000000109</v>
      </c>
      <c r="F18" s="177">
        <f>'FS Jimbaran February 2020'!O28/'FS Jimbaran February 2020'!P28</f>
        <v>1125.4148076923082</v>
      </c>
      <c r="G18" s="179">
        <f>'FS Jimbaran February 2020'!AG28</f>
        <v>103.31820000003516</v>
      </c>
      <c r="H18" s="177">
        <f>'FS Jimbaran February 2020'!AH28/'FS Jimbaran February 2020'!AG28</f>
        <v>9196</v>
      </c>
      <c r="I18" s="179">
        <f>'FS Jimbaran February 2020'!AJ28</f>
        <v>432.5</v>
      </c>
      <c r="J18" s="169">
        <f>'FS Jimbaran February 2020'!AK28/'FS Jimbaran February 2020'!AJ28</f>
        <v>10300</v>
      </c>
      <c r="K18" s="179">
        <f>'FS Jimbaran February 2020'!V28</f>
        <v>151.30000000000001</v>
      </c>
      <c r="L18" s="177">
        <f>'FS Jimbaran February 2020'!AA28/'FS Jimbaran February 2020'!V28</f>
        <v>7151.7183529411768</v>
      </c>
      <c r="M18" s="179">
        <v>3</v>
      </c>
      <c r="N18" s="179">
        <v>31</v>
      </c>
    </row>
    <row r="19" spans="1:14" ht="14.45" x14ac:dyDescent="0.3">
      <c r="A19" s="165" t="s">
        <v>49</v>
      </c>
      <c r="B19" s="166">
        <f t="shared" si="0"/>
        <v>18</v>
      </c>
      <c r="C19" s="167">
        <v>2</v>
      </c>
      <c r="D19" s="166">
        <v>2020</v>
      </c>
      <c r="E19" s="179">
        <f>'FS Jimbaran February 2020'!P29</f>
        <v>23300.000000000637</v>
      </c>
      <c r="F19" s="177">
        <f>'FS Jimbaran February 2020'!O29/'FS Jimbaran February 2020'!P29</f>
        <v>1123.35453218884</v>
      </c>
      <c r="G19" s="179">
        <f>'FS Jimbaran February 2020'!AG29</f>
        <v>89.300759999992962</v>
      </c>
      <c r="H19" s="177">
        <f>'FS Jimbaran February 2020'!AH29/'FS Jimbaran February 2020'!AG29</f>
        <v>9196</v>
      </c>
      <c r="I19" s="179">
        <f>'FS Jimbaran February 2020'!AJ29</f>
        <v>357</v>
      </c>
      <c r="J19" s="169">
        <f>'FS Jimbaran February 2020'!AK29/'FS Jimbaran February 2020'!AJ29</f>
        <v>10300</v>
      </c>
      <c r="K19" s="179">
        <f>'FS Jimbaran February 2020'!V29</f>
        <v>86.33</v>
      </c>
      <c r="L19" s="177">
        <f>'FS Jimbaran February 2020'!AA29/'FS Jimbaran February 2020'!V29</f>
        <v>4245.18</v>
      </c>
      <c r="M19" s="179">
        <v>2</v>
      </c>
      <c r="N19" s="179">
        <v>28</v>
      </c>
    </row>
    <row r="20" spans="1:14" ht="14.45" x14ac:dyDescent="0.3">
      <c r="A20" s="165" t="s">
        <v>49</v>
      </c>
      <c r="B20" s="166">
        <f t="shared" si="0"/>
        <v>19</v>
      </c>
      <c r="C20" s="167">
        <v>2</v>
      </c>
      <c r="D20" s="166">
        <v>2020</v>
      </c>
      <c r="E20" s="179">
        <f>'FS Jimbaran February 2020'!P30</f>
        <v>22940.000000000964</v>
      </c>
      <c r="F20" s="177">
        <f>'FS Jimbaran February 2020'!O30/'FS Jimbaran February 2020'!P30</f>
        <v>1123.825815170007</v>
      </c>
      <c r="G20" s="179">
        <f>'FS Jimbaran February 2020'!AG30</f>
        <v>112.21319999997654</v>
      </c>
      <c r="H20" s="177">
        <f>'FS Jimbaran February 2020'!AH30/'FS Jimbaran February 2020'!AG30</f>
        <v>9715.5110735636481</v>
      </c>
      <c r="I20" s="179">
        <f>'FS Jimbaran February 2020'!AJ30</f>
        <v>392.86999999997079</v>
      </c>
      <c r="J20" s="169">
        <f>'FS Jimbaran February 2020'!AK30/'FS Jimbaran February 2020'!AJ30</f>
        <v>10300</v>
      </c>
      <c r="K20" s="179">
        <f>'FS Jimbaran February 2020'!V30</f>
        <v>115.7</v>
      </c>
      <c r="L20" s="177">
        <f>'FS Jimbaran February 2020'!AA30/'FS Jimbaran February 2020'!V30</f>
        <v>7518.1409230769232</v>
      </c>
      <c r="M20" s="179">
        <v>2</v>
      </c>
      <c r="N20" s="179">
        <v>31</v>
      </c>
    </row>
    <row r="21" spans="1:14" x14ac:dyDescent="0.25">
      <c r="A21" s="165" t="s">
        <v>49</v>
      </c>
      <c r="B21" s="166">
        <f t="shared" si="0"/>
        <v>20</v>
      </c>
      <c r="C21" s="167">
        <v>2</v>
      </c>
      <c r="D21" s="166">
        <v>2020</v>
      </c>
      <c r="E21" s="179">
        <f>'FS Jimbaran February 2020'!P31</f>
        <v>22359.999999999218</v>
      </c>
      <c r="F21" s="177">
        <f>'FS Jimbaran February 2020'!O31/'FS Jimbaran February 2020'!P31</f>
        <v>1132.1316279069874</v>
      </c>
      <c r="G21" s="179">
        <f>'FS Jimbaran February 2020'!AG31</f>
        <v>344.25519999997653</v>
      </c>
      <c r="H21" s="177">
        <f>'FS Jimbaran February 2020'!AH31/'FS Jimbaran February 2020'!AG31</f>
        <v>10135.709843162927</v>
      </c>
      <c r="I21" s="179">
        <f>'FS Jimbaran February 2020'!AJ31</f>
        <v>387.40000000002328</v>
      </c>
      <c r="J21" s="169">
        <f>'FS Jimbaran February 2020'!AK31/'FS Jimbaran February 2020'!AJ31</f>
        <v>10300</v>
      </c>
      <c r="K21" s="179">
        <f>'FS Jimbaran February 2020'!V31</f>
        <v>88.11</v>
      </c>
      <c r="L21" s="177">
        <f>'FS Jimbaran February 2020'!AA31/'FS Jimbaran February 2020'!V31</f>
        <v>4383.819595959596</v>
      </c>
      <c r="M21" s="179">
        <v>2</v>
      </c>
      <c r="N21" s="179">
        <v>55</v>
      </c>
    </row>
    <row r="22" spans="1:14" x14ac:dyDescent="0.25">
      <c r="A22" s="165" t="s">
        <v>49</v>
      </c>
      <c r="B22" s="166">
        <f t="shared" si="0"/>
        <v>21</v>
      </c>
      <c r="C22" s="167">
        <v>2</v>
      </c>
      <c r="D22" s="166">
        <v>2020</v>
      </c>
      <c r="E22" s="179">
        <f>'FS Jimbaran February 2020'!P32</f>
        <v>23319.999999999709</v>
      </c>
      <c r="F22" s="177">
        <f>'FS Jimbaran February 2020'!O32/'FS Jimbaran February 2020'!P32</f>
        <v>1123.279425385927</v>
      </c>
      <c r="G22" s="179">
        <f>'FS Jimbaran February 2020'!AG32</f>
        <v>135.57216000000466</v>
      </c>
      <c r="H22" s="177">
        <f>'FS Jimbaran February 2020'!AH32/'FS Jimbaran February 2020'!AG32</f>
        <v>9840.9996813504858</v>
      </c>
      <c r="I22" s="179">
        <f>'FS Jimbaran February 2020'!AJ32</f>
        <v>185.48000000001502</v>
      </c>
      <c r="J22" s="169">
        <f>'FS Jimbaran February 2020'!AK32/'FS Jimbaran February 2020'!AJ32</f>
        <v>10300</v>
      </c>
      <c r="K22" s="179">
        <f>'FS Jimbaran February 2020'!V32</f>
        <v>87.22</v>
      </c>
      <c r="L22" s="177">
        <f>'FS Jimbaran February 2020'!AA32/'FS Jimbaran February 2020'!V32</f>
        <v>4245.18</v>
      </c>
      <c r="M22" s="179">
        <v>2</v>
      </c>
      <c r="N22" s="179">
        <v>68</v>
      </c>
    </row>
    <row r="23" spans="1:14" x14ac:dyDescent="0.25">
      <c r="A23" s="165" t="s">
        <v>49</v>
      </c>
      <c r="B23" s="166">
        <f t="shared" si="0"/>
        <v>22</v>
      </c>
      <c r="C23" s="167">
        <v>2</v>
      </c>
      <c r="D23" s="166">
        <v>2020</v>
      </c>
      <c r="E23" s="179">
        <f>'FS Jimbaran February 2020'!P33</f>
        <v>23560.000000001535</v>
      </c>
      <c r="F23" s="177">
        <f>'FS Jimbaran February 2020'!O33/'FS Jimbaran February 2020'!P33</f>
        <v>1121.5088200339471</v>
      </c>
      <c r="G23" s="179">
        <f>'FS Jimbaran February 2020'!AG33</f>
        <v>245.98724000000703</v>
      </c>
      <c r="H23" s="177">
        <f>'FS Jimbaran February 2020'!AH33/'FS Jimbaran February 2020'!AG33</f>
        <v>9985.0653189978239</v>
      </c>
      <c r="I23" s="179">
        <f>'FS Jimbaran February 2020'!AJ33</f>
        <v>458.59999999999854</v>
      </c>
      <c r="J23" s="169">
        <f>'FS Jimbaran February 2020'!AK33/'FS Jimbaran February 2020'!AJ33</f>
        <v>10300</v>
      </c>
      <c r="K23" s="179">
        <f>'FS Jimbaran February 2020'!V33</f>
        <v>84.55</v>
      </c>
      <c r="L23" s="177">
        <f>'FS Jimbaran February 2020'!AA33/'FS Jimbaran February 2020'!V33</f>
        <v>4245.18</v>
      </c>
      <c r="M23" s="179">
        <v>1</v>
      </c>
      <c r="N23" s="179">
        <v>13</v>
      </c>
    </row>
    <row r="24" spans="1:14" x14ac:dyDescent="0.25">
      <c r="A24" s="165" t="s">
        <v>49</v>
      </c>
      <c r="B24" s="166">
        <f t="shared" si="0"/>
        <v>23</v>
      </c>
      <c r="C24" s="167">
        <v>2</v>
      </c>
      <c r="D24" s="166">
        <v>2020</v>
      </c>
      <c r="E24" s="179">
        <f>'FS Jimbaran February 2020'!P34</f>
        <v>21699.999999998454</v>
      </c>
      <c r="F24" s="177">
        <f>'FS Jimbaran February 2020'!O34/'FS Jimbaran February 2020'!P34</f>
        <v>1125.9930967742048</v>
      </c>
      <c r="G24" s="179">
        <f>'FS Jimbaran February 2020'!AG34</f>
        <v>103.43559999998827</v>
      </c>
      <c r="H24" s="177">
        <f>'FS Jimbaran February 2020'!AH34/'FS Jimbaran February 2020'!AG34</f>
        <v>9477.7985297132054</v>
      </c>
      <c r="I24" s="179">
        <f>'FS Jimbaran February 2020'!AJ34</f>
        <v>442.26000000000204</v>
      </c>
      <c r="J24" s="169">
        <f>'FS Jimbaran February 2020'!AK34/'FS Jimbaran February 2020'!AJ34</f>
        <v>10300.000000000002</v>
      </c>
      <c r="K24" s="179">
        <f>'FS Jimbaran February 2020'!V34</f>
        <v>86.33</v>
      </c>
      <c r="L24" s="177">
        <f>'FS Jimbaran February 2020'!AA34/'FS Jimbaran February 2020'!V34</f>
        <v>4245.18</v>
      </c>
      <c r="M24" s="179">
        <v>4</v>
      </c>
      <c r="N24" s="179">
        <v>33</v>
      </c>
    </row>
    <row r="25" spans="1:14" x14ac:dyDescent="0.25">
      <c r="A25" s="165" t="s">
        <v>49</v>
      </c>
      <c r="B25" s="166">
        <f t="shared" si="0"/>
        <v>24</v>
      </c>
      <c r="C25" s="167">
        <v>2</v>
      </c>
      <c r="D25" s="166">
        <v>2020</v>
      </c>
      <c r="E25" s="179">
        <f>'FS Jimbaran February 2020'!P35</f>
        <v>21280.00000000111</v>
      </c>
      <c r="F25" s="177">
        <f>'FS Jimbaran February 2020'!O35/'FS Jimbaran February 2020'!P35</f>
        <v>1124.3664473684134</v>
      </c>
      <c r="G25" s="179">
        <f>'FS Jimbaran February 2020'!AG35</f>
        <v>93.046800000023438</v>
      </c>
      <c r="H25" s="177">
        <f>'FS Jimbaran February 2020'!AH35/'FS Jimbaran February 2020'!AG35</f>
        <v>9196</v>
      </c>
      <c r="I25" s="179">
        <f>'FS Jimbaran February 2020'!AJ35</f>
        <v>399</v>
      </c>
      <c r="J25" s="169">
        <f>'FS Jimbaran February 2020'!AK35/'FS Jimbaran February 2020'!AJ35</f>
        <v>10300</v>
      </c>
      <c r="K25" s="179">
        <f>'FS Jimbaran February 2020'!V35</f>
        <v>122.82</v>
      </c>
      <c r="L25" s="177">
        <f>'FS Jimbaran February 2020'!AA35/'FS Jimbaran February 2020'!V35</f>
        <v>10511.086956521742</v>
      </c>
      <c r="M25" s="179">
        <v>2</v>
      </c>
      <c r="N25" s="179">
        <v>59</v>
      </c>
    </row>
    <row r="26" spans="1:14" x14ac:dyDescent="0.25">
      <c r="A26" s="165" t="s">
        <v>49</v>
      </c>
      <c r="B26" s="166">
        <f>B25+1</f>
        <v>25</v>
      </c>
      <c r="C26" s="167">
        <v>2</v>
      </c>
      <c r="D26" s="166">
        <v>2020</v>
      </c>
      <c r="E26" s="179">
        <f>'FS Jimbaran February 2020'!P36</f>
        <v>20200.000000000728</v>
      </c>
      <c r="F26" s="177">
        <f>'FS Jimbaran February 2020'!O36/'FS Jimbaran February 2020'!P36</f>
        <v>1123.9751287128811</v>
      </c>
      <c r="G26" s="179">
        <f>'FS Jimbaran February 2020'!AG36</f>
        <v>136.86112000003283</v>
      </c>
      <c r="H26" s="177">
        <f>'FS Jimbaran February 2020'!AH36/'FS Jimbaran February 2020'!AG36</f>
        <v>9834.9250650584981</v>
      </c>
      <c r="I26" s="179">
        <f>'FS Jimbaran February 2020'!AJ36</f>
        <v>318.87999999999738</v>
      </c>
      <c r="J26" s="169">
        <f>'FS Jimbaran February 2020'!AK36/'FS Jimbaran February 2020'!AJ36</f>
        <v>10300</v>
      </c>
      <c r="K26" s="179">
        <f>'FS Jimbaran February 2020'!V36</f>
        <v>101.46000000000001</v>
      </c>
      <c r="L26" s="177">
        <f>'FS Jimbaran February 2020'!AA36/'FS Jimbaran February 2020'!V36</f>
        <v>4245.18</v>
      </c>
      <c r="M26" s="179">
        <v>1</v>
      </c>
      <c r="N26" s="179">
        <v>25</v>
      </c>
    </row>
    <row r="27" spans="1:14" x14ac:dyDescent="0.25">
      <c r="A27" s="165" t="s">
        <v>49</v>
      </c>
      <c r="B27" s="166">
        <f t="shared" si="0"/>
        <v>26</v>
      </c>
      <c r="C27" s="167">
        <v>2</v>
      </c>
      <c r="D27" s="166">
        <v>2020</v>
      </c>
      <c r="E27" s="179">
        <f>'FS Jimbaran February 2020'!P37</f>
        <v>19059.999999997897</v>
      </c>
      <c r="F27" s="177">
        <f>'FS Jimbaran February 2020'!O37/'FS Jimbaran February 2020'!P37</f>
        <v>1121.0987093389294</v>
      </c>
      <c r="G27" s="179">
        <f>'FS Jimbaran February 2020'!AG37</f>
        <v>91.234199999976539</v>
      </c>
      <c r="H27" s="177">
        <f>'FS Jimbaran February 2020'!AH37/'FS Jimbaran February 2020'!AG37</f>
        <v>9196</v>
      </c>
      <c r="I27" s="179">
        <f>'FS Jimbaran February 2020'!AJ37</f>
        <v>565.43999999996595</v>
      </c>
      <c r="J27" s="169">
        <f>'FS Jimbaran February 2020'!AK37/'FS Jimbaran February 2020'!AJ37</f>
        <v>10300</v>
      </c>
      <c r="K27" s="179">
        <f>'FS Jimbaran February 2020'!V37</f>
        <v>89.890000000000015</v>
      </c>
      <c r="L27" s="177">
        <f>'FS Jimbaran February 2020'!AA37/'FS Jimbaran February 2020'!V37</f>
        <v>5875.9110891089103</v>
      </c>
      <c r="M27" s="179">
        <v>1</v>
      </c>
      <c r="N27" s="179">
        <v>20</v>
      </c>
    </row>
    <row r="28" spans="1:14" x14ac:dyDescent="0.25">
      <c r="A28" s="165" t="s">
        <v>49</v>
      </c>
      <c r="B28" s="166">
        <f t="shared" si="0"/>
        <v>27</v>
      </c>
      <c r="C28" s="167">
        <v>2</v>
      </c>
      <c r="D28" s="166">
        <v>2020</v>
      </c>
      <c r="E28" s="179">
        <f>'FS Jimbaran February 2020'!P38</f>
        <v>20720.000000000709</v>
      </c>
      <c r="F28" s="177">
        <f>'FS Jimbaran February 2020'!O38/'FS Jimbaran February 2020'!P38</f>
        <v>1128.7602509652429</v>
      </c>
      <c r="G28" s="179">
        <f>'FS Jimbaran February 2020'!AG38</f>
        <v>444.33575999999294</v>
      </c>
      <c r="H28" s="177">
        <f>'FS Jimbaran February 2020'!AH38/'FS Jimbaran February 2020'!AG38</f>
        <v>10215.274253325926</v>
      </c>
      <c r="I28" s="179">
        <f>'FS Jimbaran February 2020'!AJ38</f>
        <v>500.7300000000032</v>
      </c>
      <c r="J28" s="169">
        <f>'FS Jimbaran February 2020'!AK38/'FS Jimbaran February 2020'!AJ38</f>
        <v>10300</v>
      </c>
      <c r="K28" s="179">
        <f>'FS Jimbaran February 2020'!V38</f>
        <v>82.77</v>
      </c>
      <c r="L28" s="177">
        <f>'FS Jimbaran February 2020'!AA38/'FS Jimbaran February 2020'!V38</f>
        <v>4245.18</v>
      </c>
      <c r="M28" s="179">
        <v>2</v>
      </c>
      <c r="N28" s="179">
        <v>14</v>
      </c>
    </row>
    <row r="29" spans="1:14" x14ac:dyDescent="0.25">
      <c r="A29" s="165" t="s">
        <v>49</v>
      </c>
      <c r="B29" s="166">
        <f t="shared" si="0"/>
        <v>28</v>
      </c>
      <c r="C29" s="167">
        <v>2</v>
      </c>
      <c r="D29" s="166">
        <v>2020</v>
      </c>
      <c r="E29" s="179">
        <f>'FS Jimbaran February 2020'!P39</f>
        <v>20640.000000000553</v>
      </c>
      <c r="F29" s="177">
        <f>'FS Jimbaran February 2020'!O39/'FS Jimbaran February 2020'!P39</f>
        <v>1121.5931686046565</v>
      </c>
      <c r="G29" s="179">
        <f>'FS Jimbaran February 2020'!AG39</f>
        <v>87.286759999992952</v>
      </c>
      <c r="H29" s="177">
        <f>'FS Jimbaran February 2020'!AH39/'FS Jimbaran February 2020'!AG39</f>
        <v>0</v>
      </c>
      <c r="I29" s="179">
        <f>'FS Jimbaran February 2020'!AJ39</f>
        <v>320.91999999999825</v>
      </c>
      <c r="J29" s="169">
        <f>'FS Jimbaran February 2020'!AK39/'FS Jimbaran February 2020'!AJ39</f>
        <v>10300</v>
      </c>
      <c r="K29" s="179">
        <f>'FS Jimbaran February 2020'!V39</f>
        <v>71.2</v>
      </c>
      <c r="L29" s="177">
        <f>'FS Jimbaran February 2020'!AA39/'FS Jimbaran February 2020'!V39</f>
        <v>4245.18</v>
      </c>
      <c r="M29" s="179">
        <v>0</v>
      </c>
      <c r="N29" s="179">
        <v>0</v>
      </c>
    </row>
    <row r="30" spans="1:14" x14ac:dyDescent="0.25">
      <c r="E30" s="175"/>
      <c r="G30" s="175"/>
      <c r="K30" s="175"/>
      <c r="M30" s="175"/>
      <c r="N30" s="175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AM113"/>
  <sheetViews>
    <sheetView tabSelected="1" zoomScale="62" zoomScaleNormal="62" workbookViewId="0">
      <pane xSplit="4" ySplit="10" topLeftCell="E11" activePane="bottomRight" state="frozen"/>
      <selection pane="topRight" activeCell="E1" sqref="E1"/>
      <selection pane="bottomLeft" activeCell="A11" sqref="A11"/>
      <selection pane="bottomRight" activeCell="O47" sqref="O47"/>
    </sheetView>
  </sheetViews>
  <sheetFormatPr defaultRowHeight="15.75" x14ac:dyDescent="0.25"/>
  <cols>
    <col min="1" max="1" width="3.7109375" style="15" customWidth="1"/>
    <col min="2" max="2" width="8.7109375" style="15" customWidth="1"/>
    <col min="3" max="3" width="8.7109375" style="4" customWidth="1"/>
    <col min="4" max="4" width="9.140625" customWidth="1"/>
    <col min="5" max="5" width="14.7109375" style="4" customWidth="1"/>
    <col min="6" max="6" width="17.7109375" style="4" customWidth="1"/>
    <col min="7" max="7" width="14.85546875" customWidth="1"/>
    <col min="8" max="8" width="17.140625" style="4" customWidth="1"/>
    <col min="9" max="9" width="17" customWidth="1"/>
    <col min="10" max="10" width="14" customWidth="1"/>
    <col min="11" max="11" width="17.42578125" customWidth="1"/>
    <col min="12" max="12" width="14.140625" style="4" customWidth="1"/>
    <col min="13" max="13" width="18.28515625" style="67" bestFit="1" customWidth="1"/>
    <col min="14" max="14" width="20.42578125" style="71" customWidth="1"/>
    <col min="15" max="15" width="18.85546875" customWidth="1"/>
    <col min="16" max="16" width="15.140625" style="71" customWidth="1"/>
    <col min="17" max="17" width="19.7109375" customWidth="1"/>
    <col min="18" max="18" width="18.140625" style="92" customWidth="1"/>
    <col min="19" max="19" width="22.85546875" customWidth="1"/>
    <col min="20" max="20" width="21.140625" bestFit="1" customWidth="1"/>
    <col min="21" max="21" width="18.85546875" customWidth="1"/>
    <col min="22" max="22" width="17.42578125" bestFit="1" customWidth="1"/>
    <col min="23" max="24" width="21.140625" bestFit="1" customWidth="1"/>
    <col min="25" max="25" width="19.7109375" bestFit="1" customWidth="1"/>
    <col min="26" max="26" width="21.28515625" bestFit="1" customWidth="1"/>
    <col min="27" max="27" width="16" bestFit="1" customWidth="1"/>
    <col min="28" max="28" width="9.85546875" customWidth="1"/>
    <col min="29" max="29" width="15.85546875" bestFit="1" customWidth="1"/>
    <col min="30" max="30" width="12.85546875" style="4" bestFit="1" customWidth="1"/>
    <col min="31" max="31" width="14.85546875" customWidth="1"/>
    <col min="32" max="32" width="12.28515625" bestFit="1" customWidth="1"/>
    <col min="33" max="33" width="10.7109375" bestFit="1" customWidth="1"/>
    <col min="34" max="34" width="19" style="4" customWidth="1"/>
    <col min="35" max="35" width="10.5703125" customWidth="1"/>
    <col min="36" max="36" width="13.28515625" style="92" bestFit="1" customWidth="1"/>
    <col min="37" max="37" width="20.7109375" bestFit="1" customWidth="1"/>
    <col min="38" max="38" width="9.42578125" style="44" bestFit="1" customWidth="1"/>
    <col min="39" max="39" width="2.28515625" style="15" customWidth="1"/>
  </cols>
  <sheetData>
    <row r="5" spans="1:39" ht="15.6" x14ac:dyDescent="0.3">
      <c r="N5" s="180"/>
      <c r="X5" s="181"/>
    </row>
    <row r="6" spans="1:39" s="28" customFormat="1" ht="18.600000000000001" thickBot="1" x14ac:dyDescent="0.4">
      <c r="B6" s="28" t="s">
        <v>28</v>
      </c>
      <c r="C6" s="37"/>
      <c r="E6" s="37"/>
      <c r="F6" s="37"/>
      <c r="H6" s="37"/>
      <c r="L6" s="37"/>
      <c r="M6" s="62"/>
      <c r="N6" s="68"/>
      <c r="P6" s="68"/>
      <c r="R6" s="88"/>
      <c r="AD6" s="37"/>
      <c r="AH6" s="37"/>
      <c r="AJ6" s="88"/>
      <c r="AL6" s="40"/>
    </row>
    <row r="7" spans="1:39" s="12" customFormat="1" ht="16.149999999999999" thickBot="1" x14ac:dyDescent="0.35">
      <c r="A7" s="33"/>
      <c r="B7" s="254" t="s">
        <v>53</v>
      </c>
      <c r="C7" s="255"/>
      <c r="D7" s="255"/>
      <c r="E7" s="255"/>
      <c r="F7" s="255"/>
      <c r="G7" s="255"/>
      <c r="H7" s="255"/>
      <c r="I7" s="255"/>
      <c r="J7" s="255"/>
      <c r="K7" s="255"/>
      <c r="L7" s="255"/>
      <c r="M7" s="255"/>
      <c r="N7" s="255"/>
      <c r="O7" s="255"/>
      <c r="P7" s="255"/>
      <c r="Q7" s="255"/>
      <c r="R7" s="255"/>
      <c r="S7" s="255"/>
      <c r="T7" s="255"/>
      <c r="U7" s="255"/>
      <c r="V7" s="255"/>
      <c r="W7" s="255"/>
      <c r="X7" s="255"/>
      <c r="Y7" s="255"/>
      <c r="Z7" s="255"/>
      <c r="AA7" s="255"/>
      <c r="AB7" s="255"/>
      <c r="AC7" s="255"/>
      <c r="AD7" s="255"/>
      <c r="AE7" s="255"/>
      <c r="AF7" s="255"/>
      <c r="AG7" s="255"/>
      <c r="AH7" s="255"/>
      <c r="AI7" s="255"/>
      <c r="AJ7" s="255"/>
      <c r="AK7" s="255"/>
      <c r="AL7" s="256"/>
      <c r="AM7" s="33"/>
    </row>
    <row r="8" spans="1:39" s="8" customFormat="1" ht="15.75" customHeight="1" thickBot="1" x14ac:dyDescent="0.3">
      <c r="A8" s="29"/>
      <c r="B8" s="257" t="s">
        <v>1</v>
      </c>
      <c r="C8" s="260" t="s">
        <v>2</v>
      </c>
      <c r="D8" s="263" t="s">
        <v>3</v>
      </c>
      <c r="E8" s="266" t="s">
        <v>34</v>
      </c>
      <c r="F8" s="266"/>
      <c r="G8" s="266"/>
      <c r="H8" s="266"/>
      <c r="I8" s="266"/>
      <c r="J8" s="266"/>
      <c r="K8" s="266"/>
      <c r="L8" s="266"/>
      <c r="M8" s="266"/>
      <c r="N8" s="266"/>
      <c r="O8" s="266"/>
      <c r="P8" s="266"/>
      <c r="Q8" s="266"/>
      <c r="R8" s="266"/>
      <c r="S8" s="266"/>
      <c r="T8" s="266"/>
      <c r="U8" s="267"/>
      <c r="V8" s="268" t="s">
        <v>19</v>
      </c>
      <c r="W8" s="269"/>
      <c r="X8" s="269"/>
      <c r="Y8" s="269"/>
      <c r="Z8" s="269"/>
      <c r="AA8" s="269"/>
      <c r="AB8" s="270"/>
      <c r="AC8" s="271" t="s">
        <v>24</v>
      </c>
      <c r="AD8" s="271"/>
      <c r="AE8" s="271"/>
      <c r="AF8" s="271"/>
      <c r="AG8" s="271"/>
      <c r="AH8" s="271"/>
      <c r="AI8" s="271"/>
      <c r="AJ8" s="271"/>
      <c r="AK8" s="271"/>
      <c r="AL8" s="272"/>
      <c r="AM8" s="31"/>
    </row>
    <row r="9" spans="1:39" ht="15" customHeight="1" thickBot="1" x14ac:dyDescent="0.3">
      <c r="A9" s="32"/>
      <c r="B9" s="258"/>
      <c r="C9" s="261"/>
      <c r="D9" s="264"/>
      <c r="E9" s="273" t="s">
        <v>33</v>
      </c>
      <c r="F9" s="274"/>
      <c r="G9" s="274"/>
      <c r="H9" s="274"/>
      <c r="I9" s="275"/>
      <c r="J9" s="276" t="s">
        <v>5</v>
      </c>
      <c r="K9" s="276"/>
      <c r="L9" s="276"/>
      <c r="M9" s="276"/>
      <c r="N9" s="277"/>
      <c r="O9" s="263" t="s">
        <v>12</v>
      </c>
      <c r="P9" s="278" t="s">
        <v>32</v>
      </c>
      <c r="Q9" s="280" t="s">
        <v>52</v>
      </c>
      <c r="R9" s="246" t="s">
        <v>21</v>
      </c>
      <c r="S9" s="248" t="s">
        <v>13</v>
      </c>
      <c r="T9" s="250" t="s">
        <v>18</v>
      </c>
      <c r="U9" s="251"/>
      <c r="V9" s="56"/>
      <c r="W9" s="56" t="s">
        <v>4</v>
      </c>
      <c r="X9" s="56"/>
      <c r="Y9" s="57"/>
      <c r="Z9" s="186"/>
      <c r="AA9" s="252" t="s">
        <v>27</v>
      </c>
      <c r="AB9" s="253"/>
      <c r="AC9" s="271" t="s">
        <v>22</v>
      </c>
      <c r="AD9" s="271"/>
      <c r="AE9" s="271"/>
      <c r="AF9" s="271"/>
      <c r="AG9" s="271"/>
      <c r="AH9" s="271"/>
      <c r="AI9" s="272"/>
      <c r="AJ9" s="143" t="s">
        <v>20</v>
      </c>
      <c r="AK9" s="39"/>
      <c r="AL9" s="41"/>
      <c r="AM9" s="32"/>
    </row>
    <row r="10" spans="1:39" ht="61.5" customHeight="1" thickBot="1" x14ac:dyDescent="0.3">
      <c r="A10" s="30"/>
      <c r="B10" s="259"/>
      <c r="C10" s="262"/>
      <c r="D10" s="265"/>
      <c r="E10" s="102" t="s">
        <v>35</v>
      </c>
      <c r="F10" s="86" t="s">
        <v>6</v>
      </c>
      <c r="G10" s="136" t="s">
        <v>36</v>
      </c>
      <c r="H10" s="19" t="s">
        <v>6</v>
      </c>
      <c r="I10" s="103" t="s">
        <v>14</v>
      </c>
      <c r="J10" s="102" t="s">
        <v>35</v>
      </c>
      <c r="K10" s="87" t="s">
        <v>6</v>
      </c>
      <c r="L10" s="136" t="s">
        <v>36</v>
      </c>
      <c r="M10" s="63" t="s">
        <v>6</v>
      </c>
      <c r="N10" s="95" t="s">
        <v>15</v>
      </c>
      <c r="O10" s="265"/>
      <c r="P10" s="279"/>
      <c r="Q10" s="281"/>
      <c r="R10" s="247"/>
      <c r="S10" s="249"/>
      <c r="T10" s="187" t="s">
        <v>16</v>
      </c>
      <c r="U10" s="25" t="s">
        <v>17</v>
      </c>
      <c r="V10" s="188" t="s">
        <v>8</v>
      </c>
      <c r="W10" s="58" t="s">
        <v>0</v>
      </c>
      <c r="X10" s="58" t="s">
        <v>26</v>
      </c>
      <c r="Y10" s="24" t="s">
        <v>10</v>
      </c>
      <c r="Z10" s="24" t="s">
        <v>30</v>
      </c>
      <c r="AA10" s="24" t="s">
        <v>16</v>
      </c>
      <c r="AB10" s="13" t="s">
        <v>17</v>
      </c>
      <c r="AC10" s="128" t="s">
        <v>7</v>
      </c>
      <c r="AD10" s="51" t="s">
        <v>31</v>
      </c>
      <c r="AE10" s="50" t="s">
        <v>11</v>
      </c>
      <c r="AF10" s="50" t="s">
        <v>9</v>
      </c>
      <c r="AG10" s="50" t="s">
        <v>25</v>
      </c>
      <c r="AH10" s="51" t="s">
        <v>16</v>
      </c>
      <c r="AI10" s="52" t="s">
        <v>17</v>
      </c>
      <c r="AJ10" s="144" t="s">
        <v>23</v>
      </c>
      <c r="AK10" s="50" t="s">
        <v>16</v>
      </c>
      <c r="AL10" s="54" t="s">
        <v>17</v>
      </c>
      <c r="AM10" s="30"/>
    </row>
    <row r="11" spans="1:39" x14ac:dyDescent="0.25">
      <c r="A11" s="30"/>
      <c r="B11" s="60"/>
      <c r="C11" s="104"/>
      <c r="D11" s="189"/>
      <c r="E11" s="190"/>
      <c r="F11" s="93"/>
      <c r="G11" s="20"/>
      <c r="H11" s="21"/>
      <c r="I11" s="105"/>
      <c r="J11" s="94"/>
      <c r="K11" s="20"/>
      <c r="L11" s="21"/>
      <c r="M11" s="64"/>
      <c r="N11" s="96"/>
      <c r="O11" s="59"/>
      <c r="P11" s="113"/>
      <c r="Q11" s="191"/>
      <c r="R11" s="116"/>
      <c r="S11" s="192"/>
      <c r="T11" s="23"/>
      <c r="U11" s="26"/>
      <c r="V11" s="94"/>
      <c r="W11" s="20"/>
      <c r="X11" s="20"/>
      <c r="Y11" s="22"/>
      <c r="Z11" s="22"/>
      <c r="AA11" s="22"/>
      <c r="AB11" s="105"/>
      <c r="AC11" s="129"/>
      <c r="AD11" s="48"/>
      <c r="AE11" s="45"/>
      <c r="AF11" s="45"/>
      <c r="AG11" s="45"/>
      <c r="AH11" s="48"/>
      <c r="AI11" s="49"/>
      <c r="AJ11" s="145"/>
      <c r="AK11" s="45"/>
      <c r="AL11" s="53"/>
      <c r="AM11" s="30"/>
    </row>
    <row r="12" spans="1:39" x14ac:dyDescent="0.25">
      <c r="A12" s="36"/>
      <c r="B12" s="61">
        <v>1</v>
      </c>
      <c r="C12" s="154">
        <v>79</v>
      </c>
      <c r="D12" s="156">
        <v>568</v>
      </c>
      <c r="E12" s="109">
        <v>18200.000000000728</v>
      </c>
      <c r="F12" s="3">
        <v>18851196.000000753</v>
      </c>
      <c r="G12" s="38">
        <v>3920.0000000000728</v>
      </c>
      <c r="H12" s="3">
        <v>6090386.4000001131</v>
      </c>
      <c r="I12" s="106">
        <f>F12+H12</f>
        <v>24941582.400000867</v>
      </c>
      <c r="J12" s="109">
        <v>1859.9999999996726</v>
      </c>
      <c r="K12" s="3">
        <v>1926550.7999996608</v>
      </c>
      <c r="L12" s="193">
        <v>480.00000000001819</v>
      </c>
      <c r="M12" s="194">
        <v>745761.60000002827</v>
      </c>
      <c r="N12" s="97">
        <f>K12+M12</f>
        <v>2672312.3999996893</v>
      </c>
      <c r="O12" s="111">
        <f>N12+I12</f>
        <v>27613894.800000556</v>
      </c>
      <c r="P12" s="114">
        <f>L12+J12+G12+E12</f>
        <v>24460.000000000491</v>
      </c>
      <c r="Q12" s="138"/>
      <c r="R12" s="228"/>
      <c r="S12" s="243"/>
      <c r="T12" s="240"/>
      <c r="U12" s="237">
        <v>0</v>
      </c>
      <c r="V12" s="195">
        <f>Y12+W12</f>
        <v>113.92</v>
      </c>
      <c r="W12" s="3">
        <v>26.7</v>
      </c>
      <c r="X12" s="3">
        <v>479812.35</v>
      </c>
      <c r="Y12" s="34">
        <v>87.22</v>
      </c>
      <c r="Z12" s="34">
        <v>370264.59960000002</v>
      </c>
      <c r="AA12" s="34">
        <f t="shared" ref="AA12:AA39" si="0">Z12+X12</f>
        <v>850076.94959999993</v>
      </c>
      <c r="AB12" s="131">
        <f t="shared" ref="AB12:AB39" si="1">AA12/$AL$48</f>
        <v>65.511024476556486</v>
      </c>
      <c r="AC12" s="137">
        <v>116.16751999998593</v>
      </c>
      <c r="AD12" s="3">
        <v>0</v>
      </c>
      <c r="AE12" s="3">
        <v>0</v>
      </c>
      <c r="AF12" s="3">
        <v>12</v>
      </c>
      <c r="AG12" s="3">
        <f>SUM(AC12:AF12)</f>
        <v>128.16751999998593</v>
      </c>
      <c r="AH12" s="3">
        <v>1207776.5139198706</v>
      </c>
      <c r="AI12" s="46">
        <f t="shared" ref="AI12:AI39" si="2">AH12/$AL$48</f>
        <v>93.077075908064032</v>
      </c>
      <c r="AJ12" s="146">
        <v>347.35000000000582</v>
      </c>
      <c r="AK12" s="3">
        <v>3577705.0000000601</v>
      </c>
      <c r="AL12" s="42">
        <f t="shared" ref="AL12:AL40" si="3">AK12/$AL$48</f>
        <v>275.71518076709242</v>
      </c>
      <c r="AM12" s="7"/>
    </row>
    <row r="13" spans="1:39" x14ac:dyDescent="0.25">
      <c r="A13" s="36"/>
      <c r="B13" s="61">
        <v>2</v>
      </c>
      <c r="C13" s="154">
        <v>65</v>
      </c>
      <c r="D13" s="156">
        <v>557</v>
      </c>
      <c r="E13" s="109">
        <v>18680.000000000291</v>
      </c>
      <c r="F13" s="3">
        <v>19348370.4000003</v>
      </c>
      <c r="G13" s="38">
        <v>3840.0000000001455</v>
      </c>
      <c r="H13" s="3">
        <v>5966092.8000002261</v>
      </c>
      <c r="I13" s="106">
        <f t="shared" ref="I13:I40" si="4">F13+H13</f>
        <v>25314463.200000525</v>
      </c>
      <c r="J13" s="109">
        <v>2000</v>
      </c>
      <c r="K13" s="3">
        <v>2071560</v>
      </c>
      <c r="L13" s="193">
        <v>500</v>
      </c>
      <c r="M13" s="194">
        <v>776835</v>
      </c>
      <c r="N13" s="97">
        <f t="shared" ref="N13:N40" si="5">K13+M13</f>
        <v>2848395</v>
      </c>
      <c r="O13" s="111">
        <f t="shared" ref="O13:O39" si="6">N13+I13</f>
        <v>28162858.200000525</v>
      </c>
      <c r="P13" s="114">
        <f t="shared" ref="P13:P39" si="7">L13+J13+G13+E13</f>
        <v>25020.000000000437</v>
      </c>
      <c r="Q13" s="204"/>
      <c r="R13" s="229"/>
      <c r="S13" s="205"/>
      <c r="T13" s="241"/>
      <c r="U13" s="237">
        <v>0</v>
      </c>
      <c r="V13" s="195">
        <f t="shared" ref="V13:V39" si="8">Y13+W13</f>
        <v>122.82</v>
      </c>
      <c r="W13" s="3">
        <v>33.82</v>
      </c>
      <c r="X13" s="3">
        <v>607762.31000000006</v>
      </c>
      <c r="Y13" s="34">
        <v>89</v>
      </c>
      <c r="Z13" s="34">
        <v>377821.02</v>
      </c>
      <c r="AA13" s="34">
        <f t="shared" si="0"/>
        <v>985583.33000000007</v>
      </c>
      <c r="AB13" s="131">
        <f t="shared" si="1"/>
        <v>75.953798871616954</v>
      </c>
      <c r="AC13" s="137">
        <v>119.59132000000936</v>
      </c>
      <c r="AD13" s="3">
        <v>0</v>
      </c>
      <c r="AE13" s="3">
        <v>150</v>
      </c>
      <c r="AF13" s="3">
        <v>12</v>
      </c>
      <c r="AG13" s="3">
        <f t="shared" ref="AG13:AG39" si="9">SUM(AC13:AF13)</f>
        <v>281.59132000000938</v>
      </c>
      <c r="AH13" s="3">
        <v>2812761.778720086</v>
      </c>
      <c r="AI13" s="46">
        <f t="shared" si="2"/>
        <v>216.76497147600594</v>
      </c>
      <c r="AJ13" s="146">
        <v>422.04999999999563</v>
      </c>
      <c r="AK13" s="3">
        <v>4347114.9999999553</v>
      </c>
      <c r="AL13" s="42">
        <f t="shared" si="3"/>
        <v>335.00962154238721</v>
      </c>
      <c r="AM13" s="7"/>
    </row>
    <row r="14" spans="1:39" x14ac:dyDescent="0.25">
      <c r="A14" s="36"/>
      <c r="B14" s="61">
        <v>3</v>
      </c>
      <c r="C14" s="154">
        <v>68</v>
      </c>
      <c r="D14" s="156">
        <v>382</v>
      </c>
      <c r="E14" s="109">
        <v>18320.000000001528</v>
      </c>
      <c r="F14" s="3">
        <v>18975489.600001581</v>
      </c>
      <c r="G14" s="38">
        <v>3960.0000000000364</v>
      </c>
      <c r="H14" s="3">
        <v>6152533.200000057</v>
      </c>
      <c r="I14" s="106">
        <f t="shared" si="4"/>
        <v>25128022.800001636</v>
      </c>
      <c r="J14" s="109">
        <v>1859.9999999996726</v>
      </c>
      <c r="K14" s="3">
        <v>1926550.7999996608</v>
      </c>
      <c r="L14" s="193">
        <v>460.00000000003638</v>
      </c>
      <c r="M14" s="194">
        <v>714688.20000005653</v>
      </c>
      <c r="N14" s="97">
        <f t="shared" si="5"/>
        <v>2641238.9999997173</v>
      </c>
      <c r="O14" s="111">
        <f t="shared" si="6"/>
        <v>27769261.800001353</v>
      </c>
      <c r="P14" s="114">
        <f t="shared" si="7"/>
        <v>24600.000000001273</v>
      </c>
      <c r="Q14" s="204"/>
      <c r="R14" s="229"/>
      <c r="S14" s="205"/>
      <c r="T14" s="241"/>
      <c r="U14" s="237">
        <v>0</v>
      </c>
      <c r="V14" s="195">
        <f t="shared" si="8"/>
        <v>140.62</v>
      </c>
      <c r="W14" s="3">
        <v>52.51</v>
      </c>
      <c r="X14" s="3">
        <v>943630.95499999996</v>
      </c>
      <c r="Y14" s="34">
        <v>88.11</v>
      </c>
      <c r="Z14" s="34">
        <v>374042.80980000005</v>
      </c>
      <c r="AA14" s="34">
        <f t="shared" si="0"/>
        <v>1317673.7648</v>
      </c>
      <c r="AB14" s="131">
        <f t="shared" si="1"/>
        <v>101.54628742556501</v>
      </c>
      <c r="AC14" s="137">
        <v>108.63516000000467</v>
      </c>
      <c r="AD14" s="3">
        <v>0</v>
      </c>
      <c r="AE14" s="3">
        <v>100</v>
      </c>
      <c r="AF14" s="3">
        <v>0</v>
      </c>
      <c r="AG14" s="3">
        <f t="shared" si="9"/>
        <v>208.63516000000467</v>
      </c>
      <c r="AH14" s="3">
        <v>2048008.9313600431</v>
      </c>
      <c r="AI14" s="46">
        <f t="shared" si="2"/>
        <v>157.82943331620257</v>
      </c>
      <c r="AJ14" s="146">
        <v>400</v>
      </c>
      <c r="AK14" s="3">
        <v>4120000</v>
      </c>
      <c r="AL14" s="42">
        <f t="shared" si="3"/>
        <v>317.50704565088557</v>
      </c>
      <c r="AM14" s="7"/>
    </row>
    <row r="15" spans="1:39" x14ac:dyDescent="0.25">
      <c r="A15" s="36"/>
      <c r="B15" s="61">
        <v>4</v>
      </c>
      <c r="C15" s="154">
        <v>62</v>
      </c>
      <c r="D15" s="156">
        <v>438</v>
      </c>
      <c r="E15" s="109">
        <v>17679.999999998472</v>
      </c>
      <c r="F15" s="3">
        <v>18312590.399998415</v>
      </c>
      <c r="G15" s="38">
        <v>3799.9999999997272</v>
      </c>
      <c r="H15" s="3">
        <v>5903945.9999995762</v>
      </c>
      <c r="I15" s="106">
        <f t="shared" si="4"/>
        <v>24216536.399997991</v>
      </c>
      <c r="J15" s="109">
        <v>1880.0000000001091</v>
      </c>
      <c r="K15" s="3">
        <v>1947266.4000001131</v>
      </c>
      <c r="L15" s="193">
        <v>460.00000000003638</v>
      </c>
      <c r="M15" s="194">
        <v>714688.20000005653</v>
      </c>
      <c r="N15" s="97">
        <f t="shared" si="5"/>
        <v>2661954.6000001696</v>
      </c>
      <c r="O15" s="111">
        <f t="shared" si="6"/>
        <v>26878490.99999816</v>
      </c>
      <c r="P15" s="114">
        <f t="shared" si="7"/>
        <v>23819.999999998345</v>
      </c>
      <c r="Q15" s="204"/>
      <c r="R15" s="229"/>
      <c r="S15" s="205"/>
      <c r="T15" s="241"/>
      <c r="U15" s="237">
        <v>0</v>
      </c>
      <c r="V15" s="195">
        <f t="shared" si="8"/>
        <v>160.19999999999999</v>
      </c>
      <c r="W15" s="3">
        <v>71.2</v>
      </c>
      <c r="X15" s="3">
        <v>1279499.6000000001</v>
      </c>
      <c r="Y15" s="34">
        <v>89</v>
      </c>
      <c r="Z15" s="34">
        <v>377821.02</v>
      </c>
      <c r="AA15" s="34">
        <f t="shared" si="0"/>
        <v>1657320.62</v>
      </c>
      <c r="AB15" s="131">
        <f t="shared" si="1"/>
        <v>127.7211101341005</v>
      </c>
      <c r="AC15" s="137">
        <v>0</v>
      </c>
      <c r="AD15" s="3">
        <v>0</v>
      </c>
      <c r="AE15" s="3">
        <v>250</v>
      </c>
      <c r="AF15" s="3">
        <v>24</v>
      </c>
      <c r="AG15" s="3">
        <f t="shared" si="9"/>
        <v>274</v>
      </c>
      <c r="AH15" s="3">
        <v>2901500</v>
      </c>
      <c r="AI15" s="46">
        <f t="shared" si="2"/>
        <v>223.60356625146713</v>
      </c>
      <c r="AJ15" s="146">
        <v>326.90000000000146</v>
      </c>
      <c r="AK15" s="3">
        <v>3367070.0000000149</v>
      </c>
      <c r="AL15" s="42">
        <f t="shared" si="3"/>
        <v>259.48263305818739</v>
      </c>
      <c r="AM15" s="7"/>
    </row>
    <row r="16" spans="1:39" x14ac:dyDescent="0.25">
      <c r="A16" s="36"/>
      <c r="B16" s="61">
        <v>5</v>
      </c>
      <c r="C16" s="154">
        <v>62</v>
      </c>
      <c r="D16" s="156">
        <v>417</v>
      </c>
      <c r="E16" s="109">
        <v>18440.000000000509</v>
      </c>
      <c r="F16" s="3">
        <v>19099783.200000528</v>
      </c>
      <c r="G16" s="38">
        <v>3840.0000000001455</v>
      </c>
      <c r="H16" s="3">
        <v>5966092.8000002261</v>
      </c>
      <c r="I16" s="106">
        <f t="shared" si="4"/>
        <v>25065876.000000753</v>
      </c>
      <c r="J16" s="109">
        <v>1880.0000000001091</v>
      </c>
      <c r="K16" s="3">
        <v>1947266.4000001131</v>
      </c>
      <c r="L16" s="193">
        <v>420.00000000007276</v>
      </c>
      <c r="M16" s="194">
        <v>652541.40000011306</v>
      </c>
      <c r="N16" s="97">
        <f t="shared" si="5"/>
        <v>2599807.8000002261</v>
      </c>
      <c r="O16" s="111">
        <f t="shared" si="6"/>
        <v>27665683.80000098</v>
      </c>
      <c r="P16" s="114">
        <f t="shared" si="7"/>
        <v>24580.000000000837</v>
      </c>
      <c r="Q16" s="204"/>
      <c r="R16" s="229"/>
      <c r="S16" s="205"/>
      <c r="T16" s="241"/>
      <c r="U16" s="237">
        <v>0</v>
      </c>
      <c r="V16" s="195">
        <f t="shared" si="8"/>
        <v>112.14000000000001</v>
      </c>
      <c r="W16" s="3">
        <v>12.46</v>
      </c>
      <c r="X16" s="3">
        <v>223912.43000000002</v>
      </c>
      <c r="Y16" s="34">
        <v>99.68</v>
      </c>
      <c r="Z16" s="34">
        <v>423159.54240000003</v>
      </c>
      <c r="AA16" s="34">
        <f t="shared" si="0"/>
        <v>647071.97240000009</v>
      </c>
      <c r="AB16" s="131">
        <f t="shared" si="1"/>
        <v>49.866483077722187</v>
      </c>
      <c r="AC16" s="137">
        <v>98.202640000018746</v>
      </c>
      <c r="AD16" s="3">
        <v>0</v>
      </c>
      <c r="AE16" s="3">
        <v>0</v>
      </c>
      <c r="AF16" s="3">
        <v>0</v>
      </c>
      <c r="AG16" s="3">
        <f t="shared" si="9"/>
        <v>98.202640000018746</v>
      </c>
      <c r="AH16" s="3">
        <v>903071.47744017234</v>
      </c>
      <c r="AI16" s="46">
        <f t="shared" si="2"/>
        <v>69.595038061555698</v>
      </c>
      <c r="AJ16" s="146">
        <v>508.85000000002765</v>
      </c>
      <c r="AK16" s="3">
        <v>5241155.000000285</v>
      </c>
      <c r="AL16" s="42">
        <f t="shared" si="3"/>
        <v>403.90865044865478</v>
      </c>
      <c r="AM16" s="7"/>
    </row>
    <row r="17" spans="1:39" x14ac:dyDescent="0.25">
      <c r="A17" s="36"/>
      <c r="B17" s="61">
        <v>6</v>
      </c>
      <c r="C17" s="154">
        <v>49</v>
      </c>
      <c r="D17" s="156">
        <v>367</v>
      </c>
      <c r="E17" s="109">
        <v>18840.000000000146</v>
      </c>
      <c r="F17" s="3">
        <v>19514095.200000152</v>
      </c>
      <c r="G17" s="38">
        <v>3760.0000000002183</v>
      </c>
      <c r="H17" s="3">
        <v>5841799.2000003392</v>
      </c>
      <c r="I17" s="106">
        <f t="shared" si="4"/>
        <v>25355894.40000049</v>
      </c>
      <c r="J17" s="109">
        <v>1920.0000000000728</v>
      </c>
      <c r="K17" s="3">
        <v>1988697.6000000753</v>
      </c>
      <c r="L17" s="193">
        <v>479.99999999979082</v>
      </c>
      <c r="M17" s="194">
        <v>745761.59999967506</v>
      </c>
      <c r="N17" s="97">
        <f t="shared" si="5"/>
        <v>2734459.1999997506</v>
      </c>
      <c r="O17" s="111">
        <f t="shared" si="6"/>
        <v>28090353.60000024</v>
      </c>
      <c r="P17" s="114">
        <f t="shared" si="7"/>
        <v>25000.000000000226</v>
      </c>
      <c r="Q17" s="204"/>
      <c r="R17" s="229"/>
      <c r="S17" s="205"/>
      <c r="T17" s="241"/>
      <c r="U17" s="237">
        <v>0</v>
      </c>
      <c r="V17" s="195">
        <f t="shared" si="8"/>
        <v>180.67000000000002</v>
      </c>
      <c r="W17" s="3">
        <v>69.42</v>
      </c>
      <c r="X17" s="3">
        <v>1247512.1100000001</v>
      </c>
      <c r="Y17" s="34">
        <v>111.25</v>
      </c>
      <c r="Z17" s="34">
        <v>472276.27500000002</v>
      </c>
      <c r="AA17" s="34">
        <f t="shared" si="0"/>
        <v>1719788.3850000002</v>
      </c>
      <c r="AB17" s="131">
        <f t="shared" si="1"/>
        <v>132.53517700632472</v>
      </c>
      <c r="AC17" s="137">
        <v>101.22363999996013</v>
      </c>
      <c r="AD17" s="3">
        <v>0</v>
      </c>
      <c r="AE17" s="3">
        <v>200</v>
      </c>
      <c r="AF17" s="3">
        <v>36</v>
      </c>
      <c r="AG17" s="3">
        <f t="shared" si="9"/>
        <v>337.22363999996014</v>
      </c>
      <c r="AH17" s="3">
        <v>3447352.5934396335</v>
      </c>
      <c r="AI17" s="46">
        <f t="shared" si="2"/>
        <v>265.66959642231467</v>
      </c>
      <c r="AJ17" s="146">
        <v>608.75</v>
      </c>
      <c r="AK17" s="3">
        <v>6270125</v>
      </c>
      <c r="AL17" s="42">
        <f t="shared" si="3"/>
        <v>483.20603509994152</v>
      </c>
      <c r="AM17" s="7"/>
    </row>
    <row r="18" spans="1:39" x14ac:dyDescent="0.25">
      <c r="A18" s="36"/>
      <c r="B18" s="61">
        <v>7</v>
      </c>
      <c r="C18" s="154">
        <v>59</v>
      </c>
      <c r="D18" s="156">
        <v>387</v>
      </c>
      <c r="E18" s="109">
        <v>17959.999999999127</v>
      </c>
      <c r="F18" s="3">
        <v>18602608.799999095</v>
      </c>
      <c r="G18" s="38">
        <v>3679.9999999998363</v>
      </c>
      <c r="H18" s="3">
        <v>5717505.5999997463</v>
      </c>
      <c r="I18" s="106">
        <f t="shared" si="4"/>
        <v>24320114.399998844</v>
      </c>
      <c r="J18" s="109">
        <v>2019.9999999995271</v>
      </c>
      <c r="K18" s="3">
        <v>2092275.59999951</v>
      </c>
      <c r="L18" s="193">
        <v>480.00000000001819</v>
      </c>
      <c r="M18" s="194">
        <v>745761.60000002827</v>
      </c>
      <c r="N18" s="97">
        <f t="shared" si="5"/>
        <v>2838037.1999995383</v>
      </c>
      <c r="O18" s="111">
        <f t="shared" si="6"/>
        <v>27158151.599998381</v>
      </c>
      <c r="P18" s="114">
        <f t="shared" si="7"/>
        <v>24139.999999998508</v>
      </c>
      <c r="Q18" s="204"/>
      <c r="R18" s="229"/>
      <c r="S18" s="205"/>
      <c r="T18" s="241"/>
      <c r="U18" s="237">
        <f t="shared" ref="U18:U32" si="10">T18/$AL$48</f>
        <v>0</v>
      </c>
      <c r="V18" s="195">
        <f t="shared" si="8"/>
        <v>45.39</v>
      </c>
      <c r="W18" s="3">
        <v>3.56</v>
      </c>
      <c r="X18" s="3">
        <v>63974.98</v>
      </c>
      <c r="Y18" s="34">
        <v>41.83</v>
      </c>
      <c r="Z18" s="34">
        <v>177575.87940000001</v>
      </c>
      <c r="AA18" s="34">
        <f t="shared" si="0"/>
        <v>241550.85940000002</v>
      </c>
      <c r="AB18" s="131">
        <f t="shared" si="1"/>
        <v>18.615072753040401</v>
      </c>
      <c r="AC18" s="137">
        <v>88.736839999995297</v>
      </c>
      <c r="AD18" s="3">
        <v>0</v>
      </c>
      <c r="AE18" s="3">
        <v>100</v>
      </c>
      <c r="AF18" s="3">
        <v>12</v>
      </c>
      <c r="AG18" s="3">
        <f t="shared" si="9"/>
        <v>200.73683999999531</v>
      </c>
      <c r="AH18" s="3">
        <v>2004523.9806399569</v>
      </c>
      <c r="AI18" s="46">
        <f t="shared" si="2"/>
        <v>154.47827355081205</v>
      </c>
      <c r="AJ18" s="146">
        <v>440.20000000000437</v>
      </c>
      <c r="AK18" s="3">
        <v>4534060.0000000447</v>
      </c>
      <c r="AL18" s="42">
        <f t="shared" si="3"/>
        <v>349.41650373880304</v>
      </c>
      <c r="AM18" s="7"/>
    </row>
    <row r="19" spans="1:39" x14ac:dyDescent="0.25">
      <c r="A19" s="36"/>
      <c r="B19" s="61">
        <v>8</v>
      </c>
      <c r="C19" s="154">
        <v>55</v>
      </c>
      <c r="D19" s="156">
        <v>463</v>
      </c>
      <c r="E19" s="109">
        <v>18120.0000000008</v>
      </c>
      <c r="F19" s="3">
        <v>18768333.600000829</v>
      </c>
      <c r="G19" s="38">
        <v>3719.9999999997999</v>
      </c>
      <c r="H19" s="3">
        <v>5779652.3999996893</v>
      </c>
      <c r="I19" s="106">
        <f t="shared" si="4"/>
        <v>24547986.000000518</v>
      </c>
      <c r="J19" s="109">
        <v>2119.9999999998909</v>
      </c>
      <c r="K19" s="3">
        <v>2195853.5999998869</v>
      </c>
      <c r="L19" s="193">
        <v>519.99999999998181</v>
      </c>
      <c r="M19" s="194">
        <v>807908.39999997173</v>
      </c>
      <c r="N19" s="97">
        <f t="shared" si="5"/>
        <v>3003761.9999998584</v>
      </c>
      <c r="O19" s="111">
        <f t="shared" si="6"/>
        <v>27551748.000000376</v>
      </c>
      <c r="P19" s="114">
        <f t="shared" si="7"/>
        <v>24480.000000000473</v>
      </c>
      <c r="Q19" s="204"/>
      <c r="R19" s="229"/>
      <c r="S19" s="205"/>
      <c r="T19" s="241"/>
      <c r="U19" s="237">
        <f t="shared" si="10"/>
        <v>0</v>
      </c>
      <c r="V19" s="195">
        <f t="shared" si="8"/>
        <v>117.48</v>
      </c>
      <c r="W19" s="3">
        <v>0</v>
      </c>
      <c r="X19" s="3">
        <v>0</v>
      </c>
      <c r="Y19" s="34">
        <v>117.48</v>
      </c>
      <c r="Z19" s="34">
        <v>498723.74640000006</v>
      </c>
      <c r="AA19" s="34">
        <f t="shared" si="0"/>
        <v>498723.74640000006</v>
      </c>
      <c r="AB19" s="131">
        <f t="shared" si="1"/>
        <v>38.43405420276833</v>
      </c>
      <c r="AC19" s="137">
        <v>102.71399999999998</v>
      </c>
      <c r="AD19" s="3">
        <v>0</v>
      </c>
      <c r="AE19" s="3">
        <v>0</v>
      </c>
      <c r="AF19" s="3">
        <v>0</v>
      </c>
      <c r="AG19" s="3">
        <f t="shared" si="9"/>
        <v>102.71399999999998</v>
      </c>
      <c r="AH19" s="3">
        <v>944557.9439999999</v>
      </c>
      <c r="AI19" s="46">
        <f t="shared" si="2"/>
        <v>72.792185011047238</v>
      </c>
      <c r="AJ19" s="146">
        <v>427.29999999999563</v>
      </c>
      <c r="AK19" s="3">
        <v>4401189.9999999553</v>
      </c>
      <c r="AL19" s="42">
        <f t="shared" si="3"/>
        <v>339.17690151655506</v>
      </c>
      <c r="AM19" s="7"/>
    </row>
    <row r="20" spans="1:39" x14ac:dyDescent="0.25">
      <c r="A20" s="36"/>
      <c r="B20" s="61">
        <v>9</v>
      </c>
      <c r="C20" s="154">
        <v>54</v>
      </c>
      <c r="D20" s="156">
        <v>357</v>
      </c>
      <c r="E20" s="109">
        <v>15520.000000000437</v>
      </c>
      <c r="F20" s="3">
        <v>16075305.600000452</v>
      </c>
      <c r="G20" s="38">
        <v>3120.0000000003456</v>
      </c>
      <c r="H20" s="3">
        <v>4847450.4000005368</v>
      </c>
      <c r="I20" s="106">
        <f t="shared" si="4"/>
        <v>20922756.000000991</v>
      </c>
      <c r="J20" s="109">
        <v>1880.0000000001091</v>
      </c>
      <c r="K20" s="3">
        <v>1947266.4000001131</v>
      </c>
      <c r="L20" s="193">
        <v>440.00000000005457</v>
      </c>
      <c r="M20" s="194">
        <v>683614.8000000848</v>
      </c>
      <c r="N20" s="97">
        <f t="shared" si="5"/>
        <v>2630881.2000001976</v>
      </c>
      <c r="O20" s="111">
        <f t="shared" si="6"/>
        <v>23553637.200001188</v>
      </c>
      <c r="P20" s="114">
        <f t="shared" si="7"/>
        <v>20960.000000000946</v>
      </c>
      <c r="Q20" s="204"/>
      <c r="R20" s="229"/>
      <c r="S20" s="205"/>
      <c r="T20" s="241"/>
      <c r="U20" s="237">
        <f t="shared" si="10"/>
        <v>0</v>
      </c>
      <c r="V20" s="195">
        <f t="shared" si="8"/>
        <v>124.60000000000001</v>
      </c>
      <c r="W20" s="3">
        <v>0</v>
      </c>
      <c r="X20" s="3">
        <v>0</v>
      </c>
      <c r="Y20" s="34">
        <v>124.60000000000001</v>
      </c>
      <c r="Z20" s="34">
        <v>528949.42800000007</v>
      </c>
      <c r="AA20" s="34">
        <f t="shared" si="0"/>
        <v>528949.42800000007</v>
      </c>
      <c r="AB20" s="131">
        <f t="shared" si="1"/>
        <v>40.763390821117923</v>
      </c>
      <c r="AC20" s="137">
        <v>88.495160000004674</v>
      </c>
      <c r="AD20" s="3">
        <v>0</v>
      </c>
      <c r="AE20" s="3">
        <v>0</v>
      </c>
      <c r="AF20" s="3">
        <v>0</v>
      </c>
      <c r="AG20" s="3">
        <f t="shared" si="9"/>
        <v>88.495160000004674</v>
      </c>
      <c r="AH20" s="3">
        <v>813801.49136004294</v>
      </c>
      <c r="AI20" s="46">
        <f t="shared" si="2"/>
        <v>62.71546292912911</v>
      </c>
      <c r="AJ20" s="146">
        <v>445.84999999999854</v>
      </c>
      <c r="AK20" s="3">
        <v>4592254.9999999851</v>
      </c>
      <c r="AL20" s="42">
        <f t="shared" si="3"/>
        <v>353.90129075861722</v>
      </c>
      <c r="AM20" s="7"/>
    </row>
    <row r="21" spans="1:39" x14ac:dyDescent="0.25">
      <c r="A21" s="36"/>
      <c r="B21" s="61">
        <v>10</v>
      </c>
      <c r="C21" s="154">
        <v>50</v>
      </c>
      <c r="D21" s="156">
        <v>316</v>
      </c>
      <c r="E21" s="109">
        <v>16760.000000000218</v>
      </c>
      <c r="F21" s="3">
        <v>17359672.800000224</v>
      </c>
      <c r="G21" s="38">
        <v>3480.0000000000182</v>
      </c>
      <c r="H21" s="3">
        <v>5406771.6000000285</v>
      </c>
      <c r="I21" s="106">
        <f t="shared" si="4"/>
        <v>22766444.400000252</v>
      </c>
      <c r="J21" s="109">
        <v>1880.0000000001091</v>
      </c>
      <c r="K21" s="3">
        <v>1947266.4000001131</v>
      </c>
      <c r="L21" s="193">
        <v>480.00000000001819</v>
      </c>
      <c r="M21" s="194">
        <v>745761.60000002827</v>
      </c>
      <c r="N21" s="97">
        <f t="shared" si="5"/>
        <v>2693028.0000001416</v>
      </c>
      <c r="O21" s="111">
        <f t="shared" si="6"/>
        <v>25459472.400000393</v>
      </c>
      <c r="P21" s="114">
        <f t="shared" si="7"/>
        <v>22600.000000000364</v>
      </c>
      <c r="Q21" s="204"/>
      <c r="R21" s="229"/>
      <c r="S21" s="205"/>
      <c r="T21" s="241"/>
      <c r="U21" s="237">
        <f t="shared" si="10"/>
        <v>0</v>
      </c>
      <c r="V21" s="195">
        <f t="shared" si="8"/>
        <v>84.55</v>
      </c>
      <c r="W21" s="3">
        <v>0</v>
      </c>
      <c r="X21" s="3">
        <v>0</v>
      </c>
      <c r="Y21" s="34">
        <v>84.55</v>
      </c>
      <c r="Z21" s="34">
        <v>358929.96900000004</v>
      </c>
      <c r="AA21" s="34">
        <f t="shared" si="0"/>
        <v>358929.96900000004</v>
      </c>
      <c r="AB21" s="131">
        <f t="shared" si="1"/>
        <v>27.660872342901445</v>
      </c>
      <c r="AC21" s="137">
        <v>105.41275999999296</v>
      </c>
      <c r="AD21" s="3">
        <v>0</v>
      </c>
      <c r="AE21" s="3">
        <v>150</v>
      </c>
      <c r="AF21" s="3">
        <v>0</v>
      </c>
      <c r="AG21" s="3">
        <f t="shared" si="9"/>
        <v>255.41275999999294</v>
      </c>
      <c r="AH21" s="3">
        <v>2542875.7409599354</v>
      </c>
      <c r="AI21" s="46">
        <f t="shared" si="2"/>
        <v>195.96625339065429</v>
      </c>
      <c r="AJ21" s="146">
        <v>434</v>
      </c>
      <c r="AK21" s="3">
        <v>4470200</v>
      </c>
      <c r="AL21" s="42">
        <f t="shared" si="3"/>
        <v>344.49514453121088</v>
      </c>
      <c r="AM21" s="7"/>
    </row>
    <row r="22" spans="1:39" x14ac:dyDescent="0.25">
      <c r="A22" s="36"/>
      <c r="B22" s="61">
        <v>11</v>
      </c>
      <c r="C22" s="154">
        <v>38</v>
      </c>
      <c r="D22" s="156">
        <v>369</v>
      </c>
      <c r="E22" s="109">
        <v>17239.999999999782</v>
      </c>
      <c r="F22" s="3">
        <v>17856847.199999772</v>
      </c>
      <c r="G22" s="38">
        <v>3359.9999999996726</v>
      </c>
      <c r="H22" s="3">
        <v>5220331.1999994917</v>
      </c>
      <c r="I22" s="106">
        <f t="shared" si="4"/>
        <v>23077178.399999265</v>
      </c>
      <c r="J22" s="109">
        <v>1560.0000000004002</v>
      </c>
      <c r="K22" s="3">
        <v>1615816.8000004145</v>
      </c>
      <c r="L22" s="193">
        <v>460.00000000003638</v>
      </c>
      <c r="M22" s="194">
        <v>714688.20000005653</v>
      </c>
      <c r="N22" s="97">
        <f t="shared" si="5"/>
        <v>2330505.0000004712</v>
      </c>
      <c r="O22" s="111">
        <f t="shared" si="6"/>
        <v>25407683.399999738</v>
      </c>
      <c r="P22" s="114">
        <f t="shared" si="7"/>
        <v>22619.999999999891</v>
      </c>
      <c r="Q22" s="204"/>
      <c r="R22" s="229"/>
      <c r="S22" s="205"/>
      <c r="T22" s="241"/>
      <c r="U22" s="237">
        <f t="shared" si="10"/>
        <v>0</v>
      </c>
      <c r="V22" s="195">
        <f t="shared" si="8"/>
        <v>115.7</v>
      </c>
      <c r="W22" s="3">
        <v>0</v>
      </c>
      <c r="X22" s="3">
        <v>0</v>
      </c>
      <c r="Y22" s="34">
        <v>115.7</v>
      </c>
      <c r="Z22" s="34">
        <v>491167.32600000006</v>
      </c>
      <c r="AA22" s="34">
        <f t="shared" si="0"/>
        <v>491167.32600000006</v>
      </c>
      <c r="AB22" s="131">
        <f t="shared" si="1"/>
        <v>37.85172004818093</v>
      </c>
      <c r="AC22" s="137">
        <v>106.62116000000468</v>
      </c>
      <c r="AD22" s="3">
        <v>0</v>
      </c>
      <c r="AE22" s="3">
        <v>0</v>
      </c>
      <c r="AF22" s="3">
        <v>0</v>
      </c>
      <c r="AG22" s="3">
        <f t="shared" si="9"/>
        <v>106.62116000000468</v>
      </c>
      <c r="AH22" s="3">
        <v>980488.18736004306</v>
      </c>
      <c r="AI22" s="46">
        <f t="shared" si="2"/>
        <v>75.56114263696098</v>
      </c>
      <c r="AJ22" s="146">
        <v>297.26000000000204</v>
      </c>
      <c r="AK22" s="3">
        <v>3061778.000000021</v>
      </c>
      <c r="AL22" s="42">
        <f t="shared" si="3"/>
        <v>235.95536097545724</v>
      </c>
      <c r="AM22" s="7"/>
    </row>
    <row r="23" spans="1:39" x14ac:dyDescent="0.25">
      <c r="A23" s="36"/>
      <c r="B23" s="61">
        <v>12</v>
      </c>
      <c r="C23" s="154">
        <v>45</v>
      </c>
      <c r="D23" s="156">
        <v>284</v>
      </c>
      <c r="E23" s="109">
        <v>17079.999999999927</v>
      </c>
      <c r="F23" s="3">
        <v>17691122.399999924</v>
      </c>
      <c r="G23" s="38">
        <v>3480.0000000000182</v>
      </c>
      <c r="H23" s="3">
        <v>5406771.6000000285</v>
      </c>
      <c r="I23" s="106">
        <f t="shared" si="4"/>
        <v>23097893.999999952</v>
      </c>
      <c r="J23" s="109">
        <v>1779.9999999997453</v>
      </c>
      <c r="K23" s="3">
        <v>1843688.3999997361</v>
      </c>
      <c r="L23" s="193">
        <v>440.00000000005457</v>
      </c>
      <c r="M23" s="194">
        <v>683614.8000000848</v>
      </c>
      <c r="N23" s="97">
        <f t="shared" si="5"/>
        <v>2527303.1999998209</v>
      </c>
      <c r="O23" s="111">
        <f t="shared" si="6"/>
        <v>25625197.199999772</v>
      </c>
      <c r="P23" s="114">
        <f t="shared" si="7"/>
        <v>22779.999999999745</v>
      </c>
      <c r="Q23" s="204"/>
      <c r="R23" s="229"/>
      <c r="S23" s="205"/>
      <c r="T23" s="241"/>
      <c r="U23" s="237">
        <f t="shared" si="10"/>
        <v>0</v>
      </c>
      <c r="V23" s="195">
        <f t="shared" si="8"/>
        <v>146.85</v>
      </c>
      <c r="W23" s="3">
        <v>0</v>
      </c>
      <c r="X23" s="3">
        <v>0</v>
      </c>
      <c r="Y23" s="34">
        <v>146.85</v>
      </c>
      <c r="Z23" s="34">
        <v>623404.68299999996</v>
      </c>
      <c r="AA23" s="34">
        <f t="shared" si="0"/>
        <v>623404.68299999996</v>
      </c>
      <c r="AB23" s="131">
        <f t="shared" si="1"/>
        <v>48.042567753460396</v>
      </c>
      <c r="AC23" s="137">
        <v>104.00296000002812</v>
      </c>
      <c r="AD23" s="3">
        <v>0</v>
      </c>
      <c r="AE23" s="3">
        <v>0</v>
      </c>
      <c r="AF23" s="3">
        <v>12</v>
      </c>
      <c r="AG23" s="3">
        <f t="shared" si="9"/>
        <v>116.00296000002812</v>
      </c>
      <c r="AH23" s="3">
        <v>1095911.2201602585</v>
      </c>
      <c r="AI23" s="46">
        <f t="shared" si="2"/>
        <v>84.456197526393424</v>
      </c>
      <c r="AJ23" s="146">
        <v>508.70999999998457</v>
      </c>
      <c r="AK23" s="3">
        <v>5239712.9999998407</v>
      </c>
      <c r="AL23" s="42">
        <f t="shared" si="3"/>
        <v>403.79752298264276</v>
      </c>
      <c r="AM23" s="7"/>
    </row>
    <row r="24" spans="1:39" x14ac:dyDescent="0.25">
      <c r="A24" s="36"/>
      <c r="B24" s="61">
        <v>13</v>
      </c>
      <c r="C24" s="154">
        <v>45</v>
      </c>
      <c r="D24" s="156">
        <v>323</v>
      </c>
      <c r="E24" s="109">
        <v>17959.999999999127</v>
      </c>
      <c r="F24" s="3">
        <v>18602608.799999095</v>
      </c>
      <c r="G24" s="38">
        <v>3639.9999999998727</v>
      </c>
      <c r="H24" s="3">
        <v>5655358.7999998024</v>
      </c>
      <c r="I24" s="106">
        <f t="shared" si="4"/>
        <v>24257967.599998899</v>
      </c>
      <c r="J24" s="109">
        <v>2079.9999999999272</v>
      </c>
      <c r="K24" s="3">
        <v>2154422.3999999245</v>
      </c>
      <c r="L24" s="193">
        <v>460.00000000003638</v>
      </c>
      <c r="M24" s="194">
        <v>714688.20000005653</v>
      </c>
      <c r="N24" s="97">
        <f t="shared" si="5"/>
        <v>2869110.599999981</v>
      </c>
      <c r="O24" s="111">
        <f t="shared" si="6"/>
        <v>27127078.199998878</v>
      </c>
      <c r="P24" s="114">
        <f t="shared" si="7"/>
        <v>24139.999999998963</v>
      </c>
      <c r="Q24" s="204"/>
      <c r="R24" s="229"/>
      <c r="S24" s="205"/>
      <c r="T24" s="241"/>
      <c r="U24" s="237">
        <f t="shared" si="10"/>
        <v>0</v>
      </c>
      <c r="V24" s="195">
        <f>Y24+W24</f>
        <v>149.52000000000001</v>
      </c>
      <c r="W24" s="3">
        <v>0</v>
      </c>
      <c r="X24" s="3">
        <v>0</v>
      </c>
      <c r="Y24" s="34">
        <v>149.52000000000001</v>
      </c>
      <c r="Z24" s="34">
        <v>634739.31360000011</v>
      </c>
      <c r="AA24" s="34">
        <f t="shared" si="0"/>
        <v>634739.31360000011</v>
      </c>
      <c r="AB24" s="131">
        <f t="shared" si="1"/>
        <v>48.916068985341511</v>
      </c>
      <c r="AC24" s="137">
        <v>112.9048399999953</v>
      </c>
      <c r="AD24" s="3">
        <v>0</v>
      </c>
      <c r="AE24" s="3">
        <v>0</v>
      </c>
      <c r="AF24" s="3">
        <v>0</v>
      </c>
      <c r="AG24" s="3">
        <f t="shared" si="9"/>
        <v>112.9048399999953</v>
      </c>
      <c r="AH24" s="3">
        <v>1038272.9086399568</v>
      </c>
      <c r="AI24" s="46">
        <f t="shared" si="2"/>
        <v>80.014311602336051</v>
      </c>
      <c r="AJ24" s="146">
        <v>484.68000000000029</v>
      </c>
      <c r="AK24" s="3">
        <v>4992204.0000000028</v>
      </c>
      <c r="AL24" s="42">
        <f t="shared" si="3"/>
        <v>384.72328721517829</v>
      </c>
      <c r="AM24" s="7"/>
    </row>
    <row r="25" spans="1:39" x14ac:dyDescent="0.25">
      <c r="A25" s="36"/>
      <c r="B25" s="61">
        <v>14</v>
      </c>
      <c r="C25" s="154">
        <v>46</v>
      </c>
      <c r="D25" s="156">
        <v>410</v>
      </c>
      <c r="E25" s="109">
        <v>17480.000000001382</v>
      </c>
      <c r="F25" s="3">
        <v>18105434.400001433</v>
      </c>
      <c r="G25" s="38">
        <v>3600.0000000003638</v>
      </c>
      <c r="H25" s="3">
        <v>5593212.0000005653</v>
      </c>
      <c r="I25" s="106">
        <f t="shared" si="4"/>
        <v>23698646.400001999</v>
      </c>
      <c r="J25" s="109">
        <v>1880.0000000001091</v>
      </c>
      <c r="K25" s="3">
        <v>1947266.4000001131</v>
      </c>
      <c r="L25" s="193">
        <v>480.00000000001819</v>
      </c>
      <c r="M25" s="194">
        <v>745761.60000002827</v>
      </c>
      <c r="N25" s="97">
        <f t="shared" si="5"/>
        <v>2693028.0000001416</v>
      </c>
      <c r="O25" s="111">
        <f t="shared" si="6"/>
        <v>26391674.400002141</v>
      </c>
      <c r="P25" s="114">
        <f t="shared" si="7"/>
        <v>23440.000000001874</v>
      </c>
      <c r="Q25" s="204"/>
      <c r="R25" s="229"/>
      <c r="S25" s="205"/>
      <c r="T25" s="241"/>
      <c r="U25" s="237">
        <f t="shared" si="10"/>
        <v>0</v>
      </c>
      <c r="V25" s="195">
        <f t="shared" si="8"/>
        <v>137.06</v>
      </c>
      <c r="W25" s="3">
        <v>0</v>
      </c>
      <c r="X25" s="3">
        <v>0</v>
      </c>
      <c r="Y25" s="34">
        <v>137.06</v>
      </c>
      <c r="Z25" s="34">
        <v>581844.37080000003</v>
      </c>
      <c r="AA25" s="34">
        <f t="shared" si="0"/>
        <v>581844.37080000003</v>
      </c>
      <c r="AB25" s="131">
        <f t="shared" si="1"/>
        <v>44.83972990322971</v>
      </c>
      <c r="AC25" s="137">
        <v>106.98367999999061</v>
      </c>
      <c r="AD25" s="3">
        <v>0</v>
      </c>
      <c r="AE25" s="3">
        <v>150</v>
      </c>
      <c r="AF25" s="3">
        <v>0</v>
      </c>
      <c r="AG25" s="3">
        <f t="shared" si="9"/>
        <v>256.98367999999061</v>
      </c>
      <c r="AH25" s="3">
        <v>2557321.9212799137</v>
      </c>
      <c r="AI25" s="46">
        <f t="shared" si="2"/>
        <v>197.07954563199806</v>
      </c>
      <c r="AJ25" s="146">
        <v>388.79999999999563</v>
      </c>
      <c r="AK25" s="3">
        <v>4004639.9999999548</v>
      </c>
      <c r="AL25" s="42">
        <f t="shared" si="3"/>
        <v>308.61684837265733</v>
      </c>
      <c r="AM25" s="7"/>
    </row>
    <row r="26" spans="1:39" x14ac:dyDescent="0.25">
      <c r="A26" s="36"/>
      <c r="B26" s="61">
        <v>15</v>
      </c>
      <c r="C26" s="154">
        <v>35</v>
      </c>
      <c r="D26" s="156">
        <v>344</v>
      </c>
      <c r="E26" s="109">
        <v>18479.999999999563</v>
      </c>
      <c r="F26" s="3">
        <v>19141214.399999548</v>
      </c>
      <c r="G26" s="38">
        <v>3519.9999999999818</v>
      </c>
      <c r="H26" s="3">
        <v>5468918.3999999724</v>
      </c>
      <c r="I26" s="106">
        <f t="shared" si="4"/>
        <v>24610132.79999952</v>
      </c>
      <c r="J26" s="109">
        <v>1939.9999999995998</v>
      </c>
      <c r="K26" s="3">
        <v>2009413.1999995855</v>
      </c>
      <c r="L26" s="193">
        <v>459.99999999980901</v>
      </c>
      <c r="M26" s="194">
        <v>714688.19999970333</v>
      </c>
      <c r="N26" s="97">
        <f t="shared" si="5"/>
        <v>2724101.3999992888</v>
      </c>
      <c r="O26" s="111">
        <f t="shared" si="6"/>
        <v>27334234.199998811</v>
      </c>
      <c r="P26" s="114">
        <f t="shared" si="7"/>
        <v>24399.999999998952</v>
      </c>
      <c r="Q26" s="204"/>
      <c r="R26" s="229"/>
      <c r="S26" s="205"/>
      <c r="T26" s="241"/>
      <c r="U26" s="237">
        <f t="shared" si="10"/>
        <v>0</v>
      </c>
      <c r="V26" s="195">
        <f t="shared" si="8"/>
        <v>134.39000000000001</v>
      </c>
      <c r="W26" s="3">
        <v>0</v>
      </c>
      <c r="X26" s="3">
        <v>0</v>
      </c>
      <c r="Y26" s="34">
        <v>134.39000000000001</v>
      </c>
      <c r="Z26" s="34">
        <v>570509.74020000012</v>
      </c>
      <c r="AA26" s="34">
        <f t="shared" si="0"/>
        <v>570509.74020000012</v>
      </c>
      <c r="AB26" s="131">
        <f t="shared" si="1"/>
        <v>43.966228671348617</v>
      </c>
      <c r="AC26" s="137">
        <v>94.537160000004675</v>
      </c>
      <c r="AD26" s="3">
        <v>0</v>
      </c>
      <c r="AE26" s="3">
        <v>0</v>
      </c>
      <c r="AF26" s="3">
        <v>0</v>
      </c>
      <c r="AG26" s="3">
        <f t="shared" si="9"/>
        <v>94.537160000004675</v>
      </c>
      <c r="AH26" s="3">
        <v>869363.72336004302</v>
      </c>
      <c r="AI26" s="46">
        <f t="shared" si="2"/>
        <v>66.997356165073072</v>
      </c>
      <c r="AJ26" s="146">
        <v>299.9800000000032</v>
      </c>
      <c r="AK26" s="3">
        <v>3089794.0000000331</v>
      </c>
      <c r="AL26" s="42">
        <f t="shared" si="3"/>
        <v>238.11440888588419</v>
      </c>
      <c r="AM26" s="7"/>
    </row>
    <row r="27" spans="1:39" x14ac:dyDescent="0.25">
      <c r="A27" s="36"/>
      <c r="B27" s="61">
        <v>16</v>
      </c>
      <c r="C27" s="154">
        <v>71</v>
      </c>
      <c r="D27" s="156">
        <v>450</v>
      </c>
      <c r="E27" s="109">
        <v>17279.999999998836</v>
      </c>
      <c r="F27" s="3">
        <v>17898278.399998795</v>
      </c>
      <c r="G27" s="38">
        <v>3839.9999999996908</v>
      </c>
      <c r="H27" s="3">
        <v>5966092.7999995202</v>
      </c>
      <c r="I27" s="106">
        <f t="shared" si="4"/>
        <v>23864371.199998315</v>
      </c>
      <c r="J27" s="109">
        <v>1880.0000000001091</v>
      </c>
      <c r="K27" s="3">
        <v>1947266.4000001131</v>
      </c>
      <c r="L27" s="193">
        <v>460.00000000003638</v>
      </c>
      <c r="M27" s="194">
        <v>714688.20000005653</v>
      </c>
      <c r="N27" s="97">
        <f t="shared" si="5"/>
        <v>2661954.6000001696</v>
      </c>
      <c r="O27" s="111">
        <f t="shared" si="6"/>
        <v>26526325.799998485</v>
      </c>
      <c r="P27" s="114">
        <f t="shared" si="7"/>
        <v>23459.999999998672</v>
      </c>
      <c r="Q27" s="204"/>
      <c r="R27" s="229"/>
      <c r="S27" s="205"/>
      <c r="T27" s="241"/>
      <c r="U27" s="237">
        <f t="shared" si="10"/>
        <v>0</v>
      </c>
      <c r="V27" s="195">
        <f t="shared" si="8"/>
        <v>123.71000000000001</v>
      </c>
      <c r="W27" s="3">
        <v>0</v>
      </c>
      <c r="X27" s="3">
        <v>0</v>
      </c>
      <c r="Y27" s="34">
        <v>123.71000000000001</v>
      </c>
      <c r="Z27" s="34">
        <v>525171.2178000001</v>
      </c>
      <c r="AA27" s="34">
        <f t="shared" si="0"/>
        <v>525171.2178000001</v>
      </c>
      <c r="AB27" s="131">
        <f t="shared" si="1"/>
        <v>40.472223743824223</v>
      </c>
      <c r="AC27" s="137">
        <v>106.8628399999953</v>
      </c>
      <c r="AD27" s="3">
        <v>0</v>
      </c>
      <c r="AE27" s="3">
        <v>150</v>
      </c>
      <c r="AF27" s="3">
        <v>12</v>
      </c>
      <c r="AG27" s="3">
        <f t="shared" si="9"/>
        <v>268.86283999999529</v>
      </c>
      <c r="AH27" s="3">
        <v>2695710.6766399569</v>
      </c>
      <c r="AI27" s="46">
        <f t="shared" si="2"/>
        <v>207.74444972560738</v>
      </c>
      <c r="AJ27" s="146">
        <v>353.62000000000262</v>
      </c>
      <c r="AK27" s="3">
        <v>3642286.000000027</v>
      </c>
      <c r="AL27" s="42">
        <f t="shared" si="3"/>
        <v>280.69210370766746</v>
      </c>
      <c r="AM27" s="7"/>
    </row>
    <row r="28" spans="1:39" x14ac:dyDescent="0.25">
      <c r="A28" s="36"/>
      <c r="B28" s="61">
        <v>17</v>
      </c>
      <c r="C28" s="154">
        <v>71</v>
      </c>
      <c r="D28" s="156">
        <v>309</v>
      </c>
      <c r="E28" s="109">
        <v>17079.999999999927</v>
      </c>
      <c r="F28" s="3">
        <v>17691122.399999924</v>
      </c>
      <c r="G28" s="38">
        <v>3519.9999999999818</v>
      </c>
      <c r="H28" s="3">
        <v>5468918.3999999724</v>
      </c>
      <c r="I28" s="106">
        <f t="shared" si="4"/>
        <v>23160040.799999896</v>
      </c>
      <c r="J28" s="109">
        <v>1840.0000000001455</v>
      </c>
      <c r="K28" s="3">
        <v>1905835.2000001506</v>
      </c>
      <c r="L28" s="193">
        <v>440.00000000005457</v>
      </c>
      <c r="M28" s="194">
        <v>683614.8000000848</v>
      </c>
      <c r="N28" s="97">
        <f t="shared" si="5"/>
        <v>2589450.0000002356</v>
      </c>
      <c r="O28" s="111">
        <f t="shared" si="6"/>
        <v>25749490.800000131</v>
      </c>
      <c r="P28" s="114">
        <f t="shared" si="7"/>
        <v>22880.000000000109</v>
      </c>
      <c r="Q28" s="204"/>
      <c r="R28" s="229"/>
      <c r="S28" s="205"/>
      <c r="T28" s="241"/>
      <c r="U28" s="237">
        <f t="shared" si="10"/>
        <v>0</v>
      </c>
      <c r="V28" s="195">
        <f t="shared" si="8"/>
        <v>151.30000000000001</v>
      </c>
      <c r="W28" s="3">
        <v>32.04</v>
      </c>
      <c r="X28" s="3">
        <v>575774.81999999995</v>
      </c>
      <c r="Y28" s="34">
        <v>119.26</v>
      </c>
      <c r="Z28" s="34">
        <v>506280.16680000006</v>
      </c>
      <c r="AA28" s="34">
        <f t="shared" si="0"/>
        <v>1082054.9868000001</v>
      </c>
      <c r="AB28" s="131">
        <f t="shared" si="1"/>
        <v>83.388369439484478</v>
      </c>
      <c r="AC28" s="137">
        <v>103.31820000003516</v>
      </c>
      <c r="AD28" s="3">
        <v>0</v>
      </c>
      <c r="AE28" s="3">
        <v>0</v>
      </c>
      <c r="AF28" s="3">
        <v>0</v>
      </c>
      <c r="AG28" s="3">
        <f t="shared" si="9"/>
        <v>103.31820000003516</v>
      </c>
      <c r="AH28" s="3">
        <v>950114.16720032331</v>
      </c>
      <c r="AI28" s="46">
        <f t="shared" si="2"/>
        <v>73.220374334666559</v>
      </c>
      <c r="AJ28" s="146">
        <v>432.5</v>
      </c>
      <c r="AK28" s="3">
        <v>4454750</v>
      </c>
      <c r="AL28" s="42">
        <f t="shared" si="3"/>
        <v>343.30449311002002</v>
      </c>
      <c r="AM28" s="7"/>
    </row>
    <row r="29" spans="1:39" x14ac:dyDescent="0.25">
      <c r="A29" s="36"/>
      <c r="B29" s="61">
        <v>18</v>
      </c>
      <c r="C29" s="154">
        <v>33</v>
      </c>
      <c r="D29" s="156">
        <v>341</v>
      </c>
      <c r="E29" s="109">
        <v>17600.000000000364</v>
      </c>
      <c r="F29" s="3">
        <v>18229728.000000376</v>
      </c>
      <c r="G29" s="38">
        <v>3480.0000000000182</v>
      </c>
      <c r="H29" s="3">
        <v>5406771.6000000285</v>
      </c>
      <c r="I29" s="106">
        <f t="shared" si="4"/>
        <v>23636499.600000404</v>
      </c>
      <c r="J29" s="109">
        <v>1760.0000000002183</v>
      </c>
      <c r="K29" s="3">
        <v>1822972.8000002261</v>
      </c>
      <c r="L29" s="193">
        <v>460.00000000003638</v>
      </c>
      <c r="M29" s="194">
        <v>714688.20000005653</v>
      </c>
      <c r="N29" s="97">
        <f t="shared" si="5"/>
        <v>2537661.0000002827</v>
      </c>
      <c r="O29" s="111">
        <f t="shared" si="6"/>
        <v>26174160.600000687</v>
      </c>
      <c r="P29" s="114">
        <f t="shared" si="7"/>
        <v>23300.000000000637</v>
      </c>
      <c r="Q29" s="204"/>
      <c r="R29" s="229"/>
      <c r="S29" s="205"/>
      <c r="T29" s="241"/>
      <c r="U29" s="237">
        <f t="shared" si="10"/>
        <v>0</v>
      </c>
      <c r="V29" s="195">
        <f t="shared" si="8"/>
        <v>86.33</v>
      </c>
      <c r="W29" s="3">
        <v>0</v>
      </c>
      <c r="X29" s="3">
        <v>0</v>
      </c>
      <c r="Y29" s="34">
        <v>86.33</v>
      </c>
      <c r="Z29" s="34">
        <v>366486.38940000004</v>
      </c>
      <c r="AA29" s="34">
        <f t="shared" si="0"/>
        <v>366486.38940000004</v>
      </c>
      <c r="AB29" s="131">
        <f t="shared" si="1"/>
        <v>28.243206497488845</v>
      </c>
      <c r="AC29" s="137">
        <v>89.300759999992962</v>
      </c>
      <c r="AD29" s="3">
        <v>0</v>
      </c>
      <c r="AE29" s="3">
        <v>0</v>
      </c>
      <c r="AF29" s="3">
        <v>0</v>
      </c>
      <c r="AG29" s="3">
        <f t="shared" si="9"/>
        <v>89.300759999992962</v>
      </c>
      <c r="AH29" s="3">
        <v>821209.78895993531</v>
      </c>
      <c r="AI29" s="46">
        <f t="shared" si="2"/>
        <v>63.286382027246674</v>
      </c>
      <c r="AJ29" s="146">
        <v>357</v>
      </c>
      <c r="AK29" s="3">
        <v>3677100</v>
      </c>
      <c r="AL29" s="42">
        <f t="shared" si="3"/>
        <v>283.37503824341536</v>
      </c>
      <c r="AM29" s="7"/>
    </row>
    <row r="30" spans="1:39" x14ac:dyDescent="0.25">
      <c r="A30" s="36"/>
      <c r="B30" s="61">
        <v>19</v>
      </c>
      <c r="C30" s="154">
        <v>37</v>
      </c>
      <c r="D30" s="156">
        <v>353</v>
      </c>
      <c r="E30" s="109">
        <v>17040.000000000873</v>
      </c>
      <c r="F30" s="3">
        <v>17649691.200000905</v>
      </c>
      <c r="G30" s="38">
        <v>3440.0000000000546</v>
      </c>
      <c r="H30" s="3">
        <v>5344624.8000000855</v>
      </c>
      <c r="I30" s="106">
        <f t="shared" si="4"/>
        <v>22994316.000000991</v>
      </c>
      <c r="J30" s="109">
        <v>2000</v>
      </c>
      <c r="K30" s="3">
        <v>2071560</v>
      </c>
      <c r="L30" s="193">
        <v>460.00000000003638</v>
      </c>
      <c r="M30" s="194">
        <v>714688.20000005653</v>
      </c>
      <c r="N30" s="97">
        <f t="shared" si="5"/>
        <v>2786248.2000000565</v>
      </c>
      <c r="O30" s="111">
        <f t="shared" si="6"/>
        <v>25780564.200001046</v>
      </c>
      <c r="P30" s="114">
        <f t="shared" si="7"/>
        <v>22940.000000000964</v>
      </c>
      <c r="Q30" s="204"/>
      <c r="R30" s="229"/>
      <c r="S30" s="205"/>
      <c r="T30" s="241"/>
      <c r="U30" s="237">
        <f t="shared" si="10"/>
        <v>0</v>
      </c>
      <c r="V30" s="195">
        <f t="shared" si="8"/>
        <v>115.7</v>
      </c>
      <c r="W30" s="3">
        <v>27.59</v>
      </c>
      <c r="X30" s="3">
        <v>495806.09499999997</v>
      </c>
      <c r="Y30" s="34">
        <v>88.11</v>
      </c>
      <c r="Z30" s="34">
        <v>374042.80980000005</v>
      </c>
      <c r="AA30" s="34">
        <f t="shared" si="0"/>
        <v>869848.90480000002</v>
      </c>
      <c r="AB30" s="131">
        <f t="shared" si="1"/>
        <v>67.034746583909325</v>
      </c>
      <c r="AC30" s="137">
        <v>88.213199999976538</v>
      </c>
      <c r="AD30" s="3">
        <v>0</v>
      </c>
      <c r="AE30" s="3">
        <v>0</v>
      </c>
      <c r="AF30" s="3">
        <v>24</v>
      </c>
      <c r="AG30" s="3">
        <f t="shared" si="9"/>
        <v>112.21319999997654</v>
      </c>
      <c r="AH30" s="3">
        <v>1090208.5871997843</v>
      </c>
      <c r="AI30" s="46">
        <f t="shared" si="2"/>
        <v>84.016725161414911</v>
      </c>
      <c r="AJ30" s="146">
        <v>392.86999999997079</v>
      </c>
      <c r="AK30" s="3">
        <v>4046560.9999996992</v>
      </c>
      <c r="AL30" s="42">
        <f t="shared" si="3"/>
        <v>311.84748256213538</v>
      </c>
      <c r="AM30" s="7"/>
    </row>
    <row r="31" spans="1:39" x14ac:dyDescent="0.25">
      <c r="A31" s="36"/>
      <c r="B31" s="61">
        <v>20</v>
      </c>
      <c r="C31" s="154">
        <v>69</v>
      </c>
      <c r="D31" s="156">
        <v>351</v>
      </c>
      <c r="E31" s="109">
        <v>16199.999999998909</v>
      </c>
      <c r="F31" s="3">
        <v>16779635.999998868</v>
      </c>
      <c r="G31" s="38">
        <v>3640.0000000003274</v>
      </c>
      <c r="H31" s="3">
        <v>5655358.8000005092</v>
      </c>
      <c r="I31" s="106">
        <f t="shared" si="4"/>
        <v>22434994.799999379</v>
      </c>
      <c r="J31" s="109">
        <v>2000</v>
      </c>
      <c r="K31" s="3">
        <v>2071560</v>
      </c>
      <c r="L31" s="193">
        <v>519.99999999998181</v>
      </c>
      <c r="M31" s="194">
        <v>807908.39999997173</v>
      </c>
      <c r="N31" s="97">
        <f t="shared" si="5"/>
        <v>2879468.3999999715</v>
      </c>
      <c r="O31" s="111">
        <f t="shared" si="6"/>
        <v>25314463.199999351</v>
      </c>
      <c r="P31" s="114">
        <f t="shared" si="7"/>
        <v>22359.999999999218</v>
      </c>
      <c r="Q31" s="204"/>
      <c r="R31" s="230"/>
      <c r="S31" s="205"/>
      <c r="T31" s="241"/>
      <c r="U31" s="237">
        <f t="shared" si="10"/>
        <v>0</v>
      </c>
      <c r="V31" s="195">
        <f t="shared" si="8"/>
        <v>88.11</v>
      </c>
      <c r="W31" s="3">
        <v>0.89</v>
      </c>
      <c r="X31" s="3">
        <v>15993.745000000001</v>
      </c>
      <c r="Y31" s="34">
        <v>87.22</v>
      </c>
      <c r="Z31" s="34">
        <v>370264.59960000002</v>
      </c>
      <c r="AA31" s="34">
        <f t="shared" si="0"/>
        <v>386258.34460000001</v>
      </c>
      <c r="AB31" s="131">
        <f t="shared" si="1"/>
        <v>29.766928604841674</v>
      </c>
      <c r="AC31" s="137">
        <v>94.25519999997654</v>
      </c>
      <c r="AD31" s="3">
        <v>0</v>
      </c>
      <c r="AE31" s="3">
        <v>250</v>
      </c>
      <c r="AF31" s="3">
        <v>0</v>
      </c>
      <c r="AG31" s="3">
        <f t="shared" si="9"/>
        <v>344.25519999997653</v>
      </c>
      <c r="AH31" s="3">
        <v>3489270.8191997842</v>
      </c>
      <c r="AI31" s="46">
        <f t="shared" si="2"/>
        <v>268.90001681552644</v>
      </c>
      <c r="AJ31" s="146">
        <v>387.40000000002328</v>
      </c>
      <c r="AK31" s="3">
        <v>3990220.0000002398</v>
      </c>
      <c r="AL31" s="42">
        <f t="shared" si="3"/>
        <v>307.5055737129012</v>
      </c>
      <c r="AM31" s="7"/>
    </row>
    <row r="32" spans="1:39" x14ac:dyDescent="0.25">
      <c r="A32" s="36"/>
      <c r="B32" s="61">
        <v>21</v>
      </c>
      <c r="C32" s="154">
        <v>71</v>
      </c>
      <c r="D32" s="156">
        <v>338</v>
      </c>
      <c r="E32" s="109">
        <v>17440.000000000509</v>
      </c>
      <c r="F32" s="3">
        <v>18064003.200000528</v>
      </c>
      <c r="G32" s="38">
        <v>3439.9999999995998</v>
      </c>
      <c r="H32" s="3">
        <v>5344624.7999993786</v>
      </c>
      <c r="I32" s="106">
        <f t="shared" si="4"/>
        <v>23408627.999999907</v>
      </c>
      <c r="J32" s="109">
        <v>1939.9999999995998</v>
      </c>
      <c r="K32" s="3">
        <v>2009413.1999995855</v>
      </c>
      <c r="L32" s="193">
        <v>500</v>
      </c>
      <c r="M32" s="194">
        <v>776835</v>
      </c>
      <c r="N32" s="97">
        <f t="shared" si="5"/>
        <v>2786248.1999995857</v>
      </c>
      <c r="O32" s="111">
        <f t="shared" si="6"/>
        <v>26194876.199999493</v>
      </c>
      <c r="P32" s="114">
        <f t="shared" si="7"/>
        <v>23319.999999999709</v>
      </c>
      <c r="Q32" s="204"/>
      <c r="R32" s="230"/>
      <c r="S32" s="205"/>
      <c r="T32" s="241"/>
      <c r="U32" s="237">
        <f t="shared" si="10"/>
        <v>0</v>
      </c>
      <c r="V32" s="195">
        <f t="shared" si="8"/>
        <v>87.22</v>
      </c>
      <c r="W32" s="3">
        <v>0</v>
      </c>
      <c r="X32" s="3">
        <v>0</v>
      </c>
      <c r="Y32" s="34">
        <v>87.22</v>
      </c>
      <c r="Z32" s="34">
        <v>370264.59960000002</v>
      </c>
      <c r="AA32" s="34">
        <f t="shared" si="0"/>
        <v>370264.59960000002</v>
      </c>
      <c r="AB32" s="131">
        <f t="shared" si="1"/>
        <v>28.534373574782542</v>
      </c>
      <c r="AC32" s="137">
        <v>99.572160000004672</v>
      </c>
      <c r="AD32" s="3">
        <v>0</v>
      </c>
      <c r="AE32" s="3">
        <v>0</v>
      </c>
      <c r="AF32" s="3">
        <v>36</v>
      </c>
      <c r="AG32" s="3">
        <f t="shared" si="9"/>
        <v>135.57216000000466</v>
      </c>
      <c r="AH32" s="3">
        <v>1334165.5833600429</v>
      </c>
      <c r="AI32" s="46">
        <f t="shared" si="2"/>
        <v>102.81722640333436</v>
      </c>
      <c r="AJ32" s="146">
        <v>185.48000000001502</v>
      </c>
      <c r="AK32" s="3">
        <v>1910444.0000001548</v>
      </c>
      <c r="AL32" s="42">
        <f t="shared" si="3"/>
        <v>147.22801706832757</v>
      </c>
      <c r="AM32" s="7"/>
    </row>
    <row r="33" spans="1:39" x14ac:dyDescent="0.25">
      <c r="A33" s="36"/>
      <c r="B33" s="61">
        <v>22</v>
      </c>
      <c r="C33" s="154">
        <v>38</v>
      </c>
      <c r="D33" s="156">
        <v>369</v>
      </c>
      <c r="E33" s="109">
        <v>17880.000000001019</v>
      </c>
      <c r="F33" s="3">
        <v>18519746.400001053</v>
      </c>
      <c r="G33" s="38">
        <v>3480.0000000000182</v>
      </c>
      <c r="H33" s="3">
        <v>5406771.6000000285</v>
      </c>
      <c r="I33" s="106">
        <f t="shared" si="4"/>
        <v>23926518.00000108</v>
      </c>
      <c r="J33" s="109">
        <v>1780.0000000006548</v>
      </c>
      <c r="K33" s="3">
        <v>1843688.4000006781</v>
      </c>
      <c r="L33" s="193">
        <v>419.99999999984539</v>
      </c>
      <c r="M33" s="194">
        <v>652541.39999975986</v>
      </c>
      <c r="N33" s="97">
        <f t="shared" si="5"/>
        <v>2496229.800000438</v>
      </c>
      <c r="O33" s="111">
        <f t="shared" si="6"/>
        <v>26422747.800001517</v>
      </c>
      <c r="P33" s="114">
        <f t="shared" si="7"/>
        <v>23560.000000001535</v>
      </c>
      <c r="Q33" s="204"/>
      <c r="R33" s="231"/>
      <c r="S33" s="205"/>
      <c r="T33" s="241"/>
      <c r="U33" s="237">
        <f t="shared" ref="U33:U39" si="11">T33/$AL$48</f>
        <v>0</v>
      </c>
      <c r="V33" s="195">
        <f t="shared" si="8"/>
        <v>84.55</v>
      </c>
      <c r="W33" s="3">
        <v>0</v>
      </c>
      <c r="X33" s="3">
        <v>0</v>
      </c>
      <c r="Y33" s="34">
        <v>84.55</v>
      </c>
      <c r="Z33" s="34">
        <v>358929.96900000004</v>
      </c>
      <c r="AA33" s="34">
        <f t="shared" si="0"/>
        <v>358929.96900000004</v>
      </c>
      <c r="AB33" s="131">
        <f t="shared" si="1"/>
        <v>27.660872342901445</v>
      </c>
      <c r="AC33" s="137">
        <v>95.98724000000702</v>
      </c>
      <c r="AD33" s="3">
        <v>0</v>
      </c>
      <c r="AE33" s="3">
        <v>150</v>
      </c>
      <c r="AF33" s="3">
        <v>0</v>
      </c>
      <c r="AG33" s="3">
        <f t="shared" si="9"/>
        <v>245.98724000000703</v>
      </c>
      <c r="AH33" s="3">
        <v>2456198.6590400646</v>
      </c>
      <c r="AI33" s="46">
        <f t="shared" si="2"/>
        <v>189.28649994259169</v>
      </c>
      <c r="AJ33" s="146">
        <v>458.59999999999854</v>
      </c>
      <c r="AK33" s="3">
        <v>4723579.9999999851</v>
      </c>
      <c r="AL33" s="42">
        <f t="shared" si="3"/>
        <v>364.02182783873917</v>
      </c>
      <c r="AM33" s="7"/>
    </row>
    <row r="34" spans="1:39" x14ac:dyDescent="0.25">
      <c r="A34" s="36"/>
      <c r="B34" s="61">
        <v>23</v>
      </c>
      <c r="C34" s="154">
        <v>35</v>
      </c>
      <c r="D34" s="156">
        <v>357</v>
      </c>
      <c r="E34" s="109">
        <v>16199.999999998909</v>
      </c>
      <c r="F34" s="3">
        <v>16779635.999998868</v>
      </c>
      <c r="G34" s="38">
        <v>3320.0000000001637</v>
      </c>
      <c r="H34" s="3">
        <v>5158184.4000002546</v>
      </c>
      <c r="I34" s="106">
        <f t="shared" si="4"/>
        <v>21937820.399999123</v>
      </c>
      <c r="J34" s="109">
        <v>1719.9999999993452</v>
      </c>
      <c r="K34" s="3">
        <v>1781541.5999993216</v>
      </c>
      <c r="L34" s="193">
        <v>460.00000000003638</v>
      </c>
      <c r="M34" s="194">
        <v>714688.20000005653</v>
      </c>
      <c r="N34" s="97">
        <f t="shared" si="5"/>
        <v>2496229.7999993782</v>
      </c>
      <c r="O34" s="111">
        <f t="shared" si="6"/>
        <v>24434050.199998502</v>
      </c>
      <c r="P34" s="114">
        <f t="shared" si="7"/>
        <v>21699.999999998454</v>
      </c>
      <c r="Q34" s="207"/>
      <c r="R34" s="232"/>
      <c r="S34" s="205"/>
      <c r="T34" s="241"/>
      <c r="U34" s="237">
        <f t="shared" si="11"/>
        <v>0</v>
      </c>
      <c r="V34" s="195">
        <f t="shared" si="8"/>
        <v>86.33</v>
      </c>
      <c r="W34" s="3">
        <v>0</v>
      </c>
      <c r="X34" s="3">
        <v>0</v>
      </c>
      <c r="Y34" s="34">
        <v>86.33</v>
      </c>
      <c r="Z34" s="34">
        <v>366486.38940000004</v>
      </c>
      <c r="AA34" s="34">
        <f t="shared" si="0"/>
        <v>366486.38940000004</v>
      </c>
      <c r="AB34" s="131">
        <f t="shared" si="1"/>
        <v>28.243206497488845</v>
      </c>
      <c r="AC34" s="137">
        <v>91.43559999998827</v>
      </c>
      <c r="AD34" s="3">
        <v>0</v>
      </c>
      <c r="AE34" s="3">
        <v>0</v>
      </c>
      <c r="AF34" s="3">
        <v>12</v>
      </c>
      <c r="AG34" s="3">
        <f t="shared" si="9"/>
        <v>103.43559999998827</v>
      </c>
      <c r="AH34" s="3">
        <v>980341.77759989211</v>
      </c>
      <c r="AI34" s="46">
        <f t="shared" si="2"/>
        <v>75.54985959560176</v>
      </c>
      <c r="AJ34" s="146">
        <v>442.26000000000204</v>
      </c>
      <c r="AK34" s="3">
        <v>4555278.0000000214</v>
      </c>
      <c r="AL34" s="42">
        <f t="shared" si="3"/>
        <v>351.0516650239033</v>
      </c>
      <c r="AM34" s="7"/>
    </row>
    <row r="35" spans="1:39" x14ac:dyDescent="0.25">
      <c r="A35" s="36"/>
      <c r="B35" s="61">
        <v>24</v>
      </c>
      <c r="C35" s="154">
        <v>26</v>
      </c>
      <c r="D35" s="156">
        <v>270</v>
      </c>
      <c r="E35" s="109">
        <v>15960.000000000946</v>
      </c>
      <c r="F35" s="3">
        <v>16531048.800000979</v>
      </c>
      <c r="G35" s="38">
        <v>3199.9999999998181</v>
      </c>
      <c r="H35" s="3">
        <v>4971743.9999997178</v>
      </c>
      <c r="I35" s="106">
        <f t="shared" si="4"/>
        <v>21502792.800000697</v>
      </c>
      <c r="J35" s="109">
        <v>1680.000000000291</v>
      </c>
      <c r="K35" s="3">
        <v>1740110.4000003014</v>
      </c>
      <c r="L35" s="193">
        <v>440.00000000005457</v>
      </c>
      <c r="M35" s="194">
        <v>683614.8000000848</v>
      </c>
      <c r="N35" s="97">
        <f t="shared" si="5"/>
        <v>2423725.2000003862</v>
      </c>
      <c r="O35" s="111">
        <f t="shared" si="6"/>
        <v>23926518.000001084</v>
      </c>
      <c r="P35" s="114">
        <f t="shared" si="7"/>
        <v>21280.00000000111</v>
      </c>
      <c r="Q35" s="204"/>
      <c r="R35" s="230"/>
      <c r="S35" s="205"/>
      <c r="T35" s="241"/>
      <c r="U35" s="237">
        <f t="shared" si="11"/>
        <v>0</v>
      </c>
      <c r="V35" s="195">
        <f t="shared" si="8"/>
        <v>122.82</v>
      </c>
      <c r="W35" s="3">
        <v>56.07</v>
      </c>
      <c r="X35" s="3">
        <v>1007605.9350000001</v>
      </c>
      <c r="Y35" s="34">
        <v>66.75</v>
      </c>
      <c r="Z35" s="34">
        <v>283365.76500000001</v>
      </c>
      <c r="AA35" s="34">
        <f t="shared" si="0"/>
        <v>1290971.7000000002</v>
      </c>
      <c r="AB35" s="131">
        <f t="shared" si="1"/>
        <v>99.48849769075278</v>
      </c>
      <c r="AC35" s="137">
        <v>93.046800000023438</v>
      </c>
      <c r="AD35" s="3">
        <v>0</v>
      </c>
      <c r="AE35" s="3">
        <v>0</v>
      </c>
      <c r="AF35" s="3">
        <v>0</v>
      </c>
      <c r="AG35" s="3">
        <f t="shared" si="9"/>
        <v>93.046800000023438</v>
      </c>
      <c r="AH35" s="3">
        <v>855658.3728002155</v>
      </c>
      <c r="AI35" s="46">
        <f t="shared" si="2"/>
        <v>65.941155833553523</v>
      </c>
      <c r="AJ35" s="146">
        <v>399</v>
      </c>
      <c r="AK35" s="3">
        <v>4109700</v>
      </c>
      <c r="AL35" s="42">
        <f t="shared" si="3"/>
        <v>316.71327803675837</v>
      </c>
      <c r="AM35" s="7"/>
    </row>
    <row r="36" spans="1:39" x14ac:dyDescent="0.25">
      <c r="A36" s="36"/>
      <c r="B36" s="61">
        <v>25</v>
      </c>
      <c r="C36" s="154">
        <v>26</v>
      </c>
      <c r="D36" s="156">
        <v>234</v>
      </c>
      <c r="E36" s="109">
        <v>15159.999999999854</v>
      </c>
      <c r="F36" s="3">
        <v>15702424.799999848</v>
      </c>
      <c r="G36" s="38">
        <v>3040.0000000004184</v>
      </c>
      <c r="H36" s="3">
        <v>4723156.8000006499</v>
      </c>
      <c r="I36" s="106">
        <f t="shared" si="4"/>
        <v>20425581.600000497</v>
      </c>
      <c r="J36" s="109">
        <v>1600.0000000003638</v>
      </c>
      <c r="K36" s="3">
        <v>1657248.0000003767</v>
      </c>
      <c r="L36" s="193">
        <v>400.00000000009095</v>
      </c>
      <c r="M36" s="194">
        <v>621468.00000014133</v>
      </c>
      <c r="N36" s="97">
        <f t="shared" si="5"/>
        <v>2278716.0000005178</v>
      </c>
      <c r="O36" s="111">
        <f t="shared" si="6"/>
        <v>22704297.600001015</v>
      </c>
      <c r="P36" s="114">
        <f t="shared" si="7"/>
        <v>20200.000000000728</v>
      </c>
      <c r="Q36" s="204"/>
      <c r="R36" s="230"/>
      <c r="S36" s="205"/>
      <c r="T36" s="241"/>
      <c r="U36" s="237">
        <f t="shared" si="11"/>
        <v>0</v>
      </c>
      <c r="V36" s="195">
        <f t="shared" si="8"/>
        <v>101.46000000000001</v>
      </c>
      <c r="W36" s="3">
        <v>0</v>
      </c>
      <c r="X36" s="3">
        <v>0</v>
      </c>
      <c r="Y36" s="34">
        <v>101.46000000000001</v>
      </c>
      <c r="Z36" s="34">
        <v>430715.96280000004</v>
      </c>
      <c r="AA36" s="34">
        <f t="shared" si="0"/>
        <v>430715.96280000004</v>
      </c>
      <c r="AB36" s="131">
        <f t="shared" si="1"/>
        <v>33.193046811481736</v>
      </c>
      <c r="AC36" s="137">
        <v>100.86112000003281</v>
      </c>
      <c r="AD36" s="3">
        <v>0</v>
      </c>
      <c r="AE36" s="3">
        <v>0</v>
      </c>
      <c r="AF36" s="3">
        <v>36</v>
      </c>
      <c r="AG36" s="3">
        <f t="shared" si="9"/>
        <v>136.86112000003283</v>
      </c>
      <c r="AH36" s="3">
        <v>1346018.8595203017</v>
      </c>
      <c r="AI36" s="46">
        <f t="shared" si="2"/>
        <v>103.73069696035567</v>
      </c>
      <c r="AJ36" s="146">
        <v>318.87999999999738</v>
      </c>
      <c r="AK36" s="3">
        <v>3284463.999999973</v>
      </c>
      <c r="AL36" s="42">
        <f t="shared" si="3"/>
        <v>253.11661679288392</v>
      </c>
      <c r="AM36" s="7"/>
    </row>
    <row r="37" spans="1:39" x14ac:dyDescent="0.25">
      <c r="A37" s="36"/>
      <c r="B37" s="61">
        <v>26</v>
      </c>
      <c r="C37" s="154">
        <v>23</v>
      </c>
      <c r="D37" s="156">
        <v>209</v>
      </c>
      <c r="E37" s="109">
        <v>14519.999999998618</v>
      </c>
      <c r="F37" s="3">
        <v>15039525.599998567</v>
      </c>
      <c r="G37" s="38">
        <v>2799.9999999997272</v>
      </c>
      <c r="H37" s="3">
        <v>4350275.9999995762</v>
      </c>
      <c r="I37" s="106">
        <f t="shared" si="4"/>
        <v>19389801.599998143</v>
      </c>
      <c r="J37" s="109">
        <v>1399.9999999996362</v>
      </c>
      <c r="K37" s="3">
        <v>1450091.999999623</v>
      </c>
      <c r="L37" s="193">
        <v>339.99999999991815</v>
      </c>
      <c r="M37" s="194">
        <v>528247.7999998728</v>
      </c>
      <c r="N37" s="97">
        <f t="shared" si="5"/>
        <v>1978339.799999496</v>
      </c>
      <c r="O37" s="111">
        <f t="shared" si="6"/>
        <v>21368141.399997637</v>
      </c>
      <c r="P37" s="114">
        <f t="shared" si="7"/>
        <v>19059.999999997897</v>
      </c>
      <c r="Q37" s="204"/>
      <c r="R37" s="230"/>
      <c r="S37" s="205"/>
      <c r="T37" s="241"/>
      <c r="U37" s="237">
        <f t="shared" si="11"/>
        <v>0</v>
      </c>
      <c r="V37" s="195">
        <f t="shared" si="8"/>
        <v>89.890000000000015</v>
      </c>
      <c r="W37" s="3">
        <v>10.68</v>
      </c>
      <c r="X37" s="3">
        <v>191924.94</v>
      </c>
      <c r="Y37" s="34">
        <v>79.210000000000008</v>
      </c>
      <c r="Z37" s="34">
        <v>336260.70780000003</v>
      </c>
      <c r="AA37" s="34">
        <f t="shared" si="0"/>
        <v>528185.64780000004</v>
      </c>
      <c r="AB37" s="131">
        <f t="shared" si="1"/>
        <v>40.704530239848829</v>
      </c>
      <c r="AC37" s="137">
        <v>91.234199999976539</v>
      </c>
      <c r="AD37" s="3">
        <v>0</v>
      </c>
      <c r="AE37" s="3">
        <v>0</v>
      </c>
      <c r="AF37" s="3">
        <v>0</v>
      </c>
      <c r="AG37" s="3">
        <f t="shared" si="9"/>
        <v>91.234199999976539</v>
      </c>
      <c r="AH37" s="3">
        <v>838989.70319978427</v>
      </c>
      <c r="AI37" s="46">
        <f t="shared" si="2"/>
        <v>64.656587862737098</v>
      </c>
      <c r="AJ37" s="146">
        <v>565.43999999996595</v>
      </c>
      <c r="AK37" s="3">
        <v>5824031.9999996489</v>
      </c>
      <c r="AL37" s="42">
        <f t="shared" si="3"/>
        <v>448.82795973206481</v>
      </c>
      <c r="AM37" s="7"/>
    </row>
    <row r="38" spans="1:39" x14ac:dyDescent="0.25">
      <c r="A38" s="36"/>
      <c r="B38" s="61">
        <v>27</v>
      </c>
      <c r="C38" s="154">
        <v>23</v>
      </c>
      <c r="D38" s="156">
        <v>224</v>
      </c>
      <c r="E38" s="109">
        <v>15520.000000000437</v>
      </c>
      <c r="F38" s="3">
        <v>16075305.600000452</v>
      </c>
      <c r="G38" s="38">
        <v>3159.9999999998545</v>
      </c>
      <c r="H38" s="3">
        <v>4909597.1999997739</v>
      </c>
      <c r="I38" s="106">
        <f t="shared" si="4"/>
        <v>20984902.800000228</v>
      </c>
      <c r="J38" s="109">
        <v>1480.0000000004729</v>
      </c>
      <c r="K38" s="3">
        <v>1532954.4000004898</v>
      </c>
      <c r="L38" s="193">
        <v>559.99999999994543</v>
      </c>
      <c r="M38" s="194">
        <v>870055.1999999152</v>
      </c>
      <c r="N38" s="97">
        <f t="shared" si="5"/>
        <v>2403009.6000004048</v>
      </c>
      <c r="O38" s="111">
        <f t="shared" si="6"/>
        <v>23387912.400000632</v>
      </c>
      <c r="P38" s="114">
        <f t="shared" si="7"/>
        <v>20720.000000000709</v>
      </c>
      <c r="Q38" s="204"/>
      <c r="R38" s="230"/>
      <c r="S38" s="205"/>
      <c r="T38" s="241"/>
      <c r="U38" s="237">
        <f t="shared" si="11"/>
        <v>0</v>
      </c>
      <c r="V38" s="195">
        <f t="shared" si="8"/>
        <v>82.77</v>
      </c>
      <c r="W38" s="3">
        <v>0</v>
      </c>
      <c r="X38" s="3">
        <v>0</v>
      </c>
      <c r="Y38" s="34">
        <v>82.77</v>
      </c>
      <c r="Z38" s="34">
        <v>351373.54859999998</v>
      </c>
      <c r="AA38" s="34">
        <f t="shared" si="0"/>
        <v>351373.54859999998</v>
      </c>
      <c r="AB38" s="131">
        <f t="shared" si="1"/>
        <v>27.078538188314042</v>
      </c>
      <c r="AC38" s="137">
        <v>94.335759999992959</v>
      </c>
      <c r="AD38" s="3">
        <v>0</v>
      </c>
      <c r="AE38" s="3">
        <v>350</v>
      </c>
      <c r="AF38" s="3">
        <v>0</v>
      </c>
      <c r="AG38" s="3">
        <f t="shared" si="9"/>
        <v>444.33575999999294</v>
      </c>
      <c r="AH38" s="3">
        <v>4539011.6489599356</v>
      </c>
      <c r="AI38" s="46">
        <f t="shared" si="2"/>
        <v>349.79810165927762</v>
      </c>
      <c r="AJ38" s="146">
        <v>500.7300000000032</v>
      </c>
      <c r="AK38" s="3">
        <v>5157519.0000000326</v>
      </c>
      <c r="AL38" s="42">
        <f t="shared" si="3"/>
        <v>397.46325742192238</v>
      </c>
      <c r="AM38" s="7"/>
    </row>
    <row r="39" spans="1:39" x14ac:dyDescent="0.25">
      <c r="A39" s="36"/>
      <c r="B39" s="61">
        <v>28</v>
      </c>
      <c r="C39" s="154">
        <v>15</v>
      </c>
      <c r="D39" s="156">
        <v>205</v>
      </c>
      <c r="E39" s="109">
        <v>15440.000000000509</v>
      </c>
      <c r="F39" s="3">
        <v>15992443.200000526</v>
      </c>
      <c r="G39" s="38">
        <v>3160.0000000003092</v>
      </c>
      <c r="H39" s="3">
        <v>4909597.2000004807</v>
      </c>
      <c r="I39" s="106">
        <f t="shared" si="4"/>
        <v>20902040.400001008</v>
      </c>
      <c r="J39" s="109">
        <v>1779.9999999997453</v>
      </c>
      <c r="K39" s="3">
        <v>1843688.3999997361</v>
      </c>
      <c r="L39" s="193">
        <v>259.99999999999091</v>
      </c>
      <c r="M39" s="194">
        <v>403954.19999998587</v>
      </c>
      <c r="N39" s="97">
        <f t="shared" si="5"/>
        <v>2247642.5999997221</v>
      </c>
      <c r="O39" s="111">
        <f t="shared" si="6"/>
        <v>23149683.00000073</v>
      </c>
      <c r="P39" s="114">
        <f t="shared" si="7"/>
        <v>20640.000000000553</v>
      </c>
      <c r="Q39" s="204"/>
      <c r="R39" s="233"/>
      <c r="S39" s="205"/>
      <c r="T39" s="241"/>
      <c r="U39" s="237">
        <f t="shared" si="11"/>
        <v>0</v>
      </c>
      <c r="V39" s="195">
        <f t="shared" si="8"/>
        <v>71.2</v>
      </c>
      <c r="W39" s="3">
        <v>0</v>
      </c>
      <c r="X39" s="3">
        <v>0</v>
      </c>
      <c r="Y39" s="34">
        <v>71.2</v>
      </c>
      <c r="Z39" s="34">
        <v>302256.81600000005</v>
      </c>
      <c r="AA39" s="34">
        <f t="shared" si="0"/>
        <v>302256.81600000005</v>
      </c>
      <c r="AB39" s="131">
        <f t="shared" si="1"/>
        <v>23.293366183495955</v>
      </c>
      <c r="AC39" s="137">
        <v>87.286759999992952</v>
      </c>
      <c r="AD39" s="3">
        <v>0</v>
      </c>
      <c r="AE39" s="3"/>
      <c r="AF39" s="3"/>
      <c r="AG39" s="3">
        <f t="shared" si="9"/>
        <v>87.286759999992952</v>
      </c>
      <c r="AH39" s="3"/>
      <c r="AI39" s="46">
        <f t="shared" si="2"/>
        <v>0</v>
      </c>
      <c r="AJ39" s="146">
        <v>320.91999999999825</v>
      </c>
      <c r="AK39" s="3">
        <v>3305475.9999999818</v>
      </c>
      <c r="AL39" s="42">
        <f t="shared" si="3"/>
        <v>254.73590272570411</v>
      </c>
      <c r="AM39" s="7"/>
    </row>
    <row r="40" spans="1:39" x14ac:dyDescent="0.25">
      <c r="A40" s="36"/>
      <c r="B40" s="61">
        <v>29</v>
      </c>
      <c r="C40" s="154">
        <v>11</v>
      </c>
      <c r="D40" s="156">
        <v>198</v>
      </c>
      <c r="E40" s="109">
        <v>12959.999999999127</v>
      </c>
      <c r="F40" s="3">
        <v>13423708.799999095</v>
      </c>
      <c r="G40" s="38">
        <v>2799.9999999997272</v>
      </c>
      <c r="H40" s="3">
        <v>4350275.9999995762</v>
      </c>
      <c r="I40" s="106">
        <f t="shared" si="4"/>
        <v>17773984.799998671</v>
      </c>
      <c r="J40" s="109">
        <v>1760.0000000002183</v>
      </c>
      <c r="K40" s="3">
        <v>1822972.8000002261</v>
      </c>
      <c r="L40" s="193">
        <v>420.00000000007276</v>
      </c>
      <c r="M40" s="194">
        <v>652541.40000011306</v>
      </c>
      <c r="N40" s="97">
        <f t="shared" si="5"/>
        <v>2475514.2000003392</v>
      </c>
      <c r="O40" s="111">
        <f t="shared" ref="O40" si="12">N40+I40</f>
        <v>20249498.999999009</v>
      </c>
      <c r="P40" s="114">
        <f t="shared" ref="P40" si="13">L40+J40+G40+E40</f>
        <v>17939.999999999145</v>
      </c>
      <c r="Q40" s="207"/>
      <c r="R40" s="234"/>
      <c r="S40" s="205"/>
      <c r="T40" s="241"/>
      <c r="U40" s="238"/>
      <c r="V40" s="195"/>
      <c r="W40" s="3">
        <v>0.89</v>
      </c>
      <c r="X40" s="3">
        <v>15993.745000000001</v>
      </c>
      <c r="Y40" s="34">
        <v>86.33</v>
      </c>
      <c r="Z40" s="34">
        <v>366486.38940000004</v>
      </c>
      <c r="AA40" s="34">
        <f t="shared" ref="AA40" si="14">Z40+X40</f>
        <v>382480.13440000004</v>
      </c>
      <c r="AB40" s="131">
        <f t="shared" ref="AB40" si="15">AA40/$AL$48</f>
        <v>29.475761527547977</v>
      </c>
      <c r="AC40" s="137">
        <v>90.106359999981237</v>
      </c>
      <c r="AD40" s="3"/>
      <c r="AE40" s="3">
        <v>0</v>
      </c>
      <c r="AF40" s="3">
        <v>0</v>
      </c>
      <c r="AG40" s="3">
        <f t="shared" ref="AG40" si="16">SUM(AC40:AF40)</f>
        <v>90.106359999981237</v>
      </c>
      <c r="AH40" s="3">
        <v>828618.08655982744</v>
      </c>
      <c r="AI40" s="46">
        <f t="shared" ref="AI40" si="17">AH40/$AL$48</f>
        <v>63.857301125364224</v>
      </c>
      <c r="AJ40" s="146">
        <v>371.08000000000175</v>
      </c>
      <c r="AK40" s="3">
        <v>3822124.0000000182</v>
      </c>
      <c r="AL40" s="42">
        <f t="shared" si="3"/>
        <v>294.55128625032796</v>
      </c>
      <c r="AM40" s="7"/>
    </row>
    <row r="41" spans="1:39" x14ac:dyDescent="0.25">
      <c r="A41" s="36"/>
      <c r="B41" s="61"/>
      <c r="C41" s="154"/>
      <c r="D41" s="156"/>
      <c r="E41" s="109"/>
      <c r="F41" s="3"/>
      <c r="G41" s="38"/>
      <c r="H41" s="3"/>
      <c r="I41" s="106"/>
      <c r="J41" s="109"/>
      <c r="K41" s="3"/>
      <c r="L41" s="193"/>
      <c r="M41" s="194"/>
      <c r="N41" s="97"/>
      <c r="O41" s="111"/>
      <c r="P41" s="114"/>
      <c r="Q41" s="204"/>
      <c r="R41" s="235"/>
      <c r="S41" s="205"/>
      <c r="T41" s="241"/>
      <c r="U41" s="238"/>
      <c r="V41" s="195"/>
      <c r="W41" s="3"/>
      <c r="X41" s="3"/>
      <c r="Y41" s="34"/>
      <c r="Z41" s="34"/>
      <c r="AA41" s="34"/>
      <c r="AB41" s="131"/>
      <c r="AC41" s="137"/>
      <c r="AD41" s="3"/>
      <c r="AE41" s="3"/>
      <c r="AF41" s="3"/>
      <c r="AG41" s="3"/>
      <c r="AH41" s="3"/>
      <c r="AI41" s="46"/>
      <c r="AJ41" s="146"/>
      <c r="AK41" s="3"/>
      <c r="AL41" s="42"/>
      <c r="AM41" s="7"/>
    </row>
    <row r="42" spans="1:39" x14ac:dyDescent="0.25">
      <c r="A42" s="36"/>
      <c r="B42" s="61"/>
      <c r="C42" s="182"/>
      <c r="D42" s="183"/>
      <c r="E42" s="109"/>
      <c r="F42" s="3"/>
      <c r="G42" s="38"/>
      <c r="H42" s="3"/>
      <c r="I42" s="106"/>
      <c r="J42" s="109"/>
      <c r="K42" s="3"/>
      <c r="L42" s="193"/>
      <c r="M42" s="194"/>
      <c r="N42" s="97"/>
      <c r="O42" s="111"/>
      <c r="P42" s="114"/>
      <c r="Q42" s="204"/>
      <c r="R42" s="235"/>
      <c r="S42" s="205"/>
      <c r="T42" s="241"/>
      <c r="U42" s="238"/>
      <c r="V42" s="195"/>
      <c r="W42" s="3"/>
      <c r="X42" s="3"/>
      <c r="Y42" s="34"/>
      <c r="Z42" s="34"/>
      <c r="AA42" s="34"/>
      <c r="AB42" s="131"/>
      <c r="AC42" s="137"/>
      <c r="AD42" s="3"/>
      <c r="AE42" s="3"/>
      <c r="AF42" s="3"/>
      <c r="AG42" s="3"/>
      <c r="AH42" s="3"/>
      <c r="AI42" s="46"/>
      <c r="AJ42" s="146"/>
      <c r="AK42" s="3"/>
      <c r="AL42" s="42"/>
      <c r="AM42" s="7"/>
    </row>
    <row r="43" spans="1:39" ht="16.5" thickBot="1" x14ac:dyDescent="0.3">
      <c r="A43" s="36"/>
      <c r="B43" s="125"/>
      <c r="C43" s="155"/>
      <c r="D43" s="157"/>
      <c r="E43" s="107"/>
      <c r="F43" s="107"/>
      <c r="G43" s="98"/>
      <c r="H43" s="99"/>
      <c r="I43" s="108"/>
      <c r="J43" s="110"/>
      <c r="K43" s="98"/>
      <c r="L43" s="99"/>
      <c r="M43" s="100"/>
      <c r="N43" s="101"/>
      <c r="O43" s="112"/>
      <c r="P43" s="115"/>
      <c r="Q43" s="184"/>
      <c r="R43" s="236"/>
      <c r="S43" s="206"/>
      <c r="T43" s="242"/>
      <c r="U43" s="239"/>
      <c r="V43" s="195"/>
      <c r="W43" s="3"/>
      <c r="X43" s="3"/>
      <c r="Y43" s="34"/>
      <c r="Z43" s="34"/>
      <c r="AA43" s="18"/>
      <c r="AB43" s="132"/>
      <c r="AC43" s="130"/>
      <c r="AD43" s="3"/>
      <c r="AE43" s="2"/>
      <c r="AF43" s="2"/>
      <c r="AG43" s="2"/>
      <c r="AH43" s="3"/>
      <c r="AI43" s="46"/>
      <c r="AJ43" s="146"/>
      <c r="AK43" s="3"/>
      <c r="AL43" s="42"/>
      <c r="AM43" s="7"/>
    </row>
    <row r="44" spans="1:39" s="8" customFormat="1" ht="4.5" customHeight="1" x14ac:dyDescent="0.25">
      <c r="A44" s="15"/>
      <c r="B44" s="120"/>
      <c r="C44" s="121"/>
      <c r="D44" s="121"/>
      <c r="E44" s="119"/>
      <c r="F44" s="7"/>
      <c r="G44" s="15"/>
      <c r="H44" s="7"/>
      <c r="I44" s="15"/>
      <c r="J44" s="15"/>
      <c r="K44" s="15"/>
      <c r="L44" s="7"/>
      <c r="M44" s="65"/>
      <c r="N44" s="69"/>
      <c r="O44" s="15"/>
      <c r="P44" s="69"/>
      <c r="Q44" s="15"/>
      <c r="R44" s="89"/>
      <c r="S44" s="7"/>
      <c r="T44" s="15"/>
      <c r="U44" s="35"/>
      <c r="V44" s="133"/>
      <c r="W44" s="15"/>
      <c r="X44" s="15"/>
      <c r="Y44" s="15"/>
      <c r="Z44" s="15"/>
      <c r="AA44" s="15"/>
      <c r="AB44" s="35"/>
      <c r="AC44" s="15"/>
      <c r="AD44" s="7"/>
      <c r="AE44" s="15"/>
      <c r="AF44" s="15"/>
      <c r="AG44" s="15"/>
      <c r="AH44" s="15"/>
      <c r="AI44" s="15"/>
      <c r="AJ44" s="89"/>
      <c r="AK44" s="15"/>
      <c r="AL44" s="35"/>
      <c r="AM44" s="15"/>
    </row>
    <row r="45" spans="1:39" s="8" customFormat="1" ht="6" customHeight="1" x14ac:dyDescent="0.25">
      <c r="A45" s="15"/>
      <c r="B45" s="120"/>
      <c r="C45" s="121"/>
      <c r="D45" s="121"/>
      <c r="E45" s="119"/>
      <c r="F45" s="7"/>
      <c r="G45" s="15"/>
      <c r="H45" s="7"/>
      <c r="I45" s="15"/>
      <c r="J45" s="15"/>
      <c r="K45" s="15"/>
      <c r="L45" s="7"/>
      <c r="M45" s="65"/>
      <c r="N45" s="69"/>
      <c r="O45" s="15"/>
      <c r="P45" s="69"/>
      <c r="Q45" s="15"/>
      <c r="R45" s="89"/>
      <c r="S45" s="16"/>
      <c r="T45" s="16"/>
      <c r="U45" s="35"/>
      <c r="V45" s="133"/>
      <c r="W45" s="15"/>
      <c r="X45" s="15"/>
      <c r="Y45" s="15"/>
      <c r="Z45" s="15"/>
      <c r="AA45" s="15"/>
      <c r="AB45" s="134"/>
      <c r="AC45" s="15"/>
      <c r="AD45" s="7"/>
      <c r="AE45" s="15"/>
      <c r="AF45" s="15"/>
      <c r="AG45" s="15"/>
      <c r="AH45" s="7"/>
      <c r="AI45" s="15"/>
      <c r="AJ45" s="91"/>
      <c r="AK45" s="5"/>
      <c r="AL45" s="43"/>
      <c r="AM45" s="15"/>
    </row>
    <row r="46" spans="1:39" s="8" customFormat="1" ht="16.5" thickBot="1" x14ac:dyDescent="0.3">
      <c r="A46" s="15"/>
      <c r="B46" s="122"/>
      <c r="C46" s="123"/>
      <c r="D46" s="123"/>
      <c r="E46" s="124"/>
      <c r="F46" s="75"/>
      <c r="G46" s="74"/>
      <c r="H46" s="75"/>
      <c r="I46" s="74"/>
      <c r="J46" s="74"/>
      <c r="K46" s="74"/>
      <c r="L46" s="75"/>
      <c r="M46" s="76"/>
      <c r="N46" s="77"/>
      <c r="O46" s="74"/>
      <c r="P46" s="77"/>
      <c r="Q46" s="74"/>
      <c r="R46" s="90"/>
      <c r="S46" s="78"/>
      <c r="T46" s="74"/>
      <c r="U46" s="196"/>
      <c r="V46" s="135"/>
      <c r="W46" s="80"/>
      <c r="X46" s="74"/>
      <c r="Y46" s="74"/>
      <c r="Z46" s="74"/>
      <c r="AA46" s="74"/>
      <c r="AB46" s="79"/>
      <c r="AC46" s="81"/>
      <c r="AD46" s="75"/>
      <c r="AE46" s="81"/>
      <c r="AF46" s="81"/>
      <c r="AG46" s="81"/>
      <c r="AH46" s="75"/>
      <c r="AI46" s="74"/>
      <c r="AJ46" s="147"/>
      <c r="AK46" s="82"/>
      <c r="AL46" s="83"/>
      <c r="AM46" s="15"/>
    </row>
    <row r="47" spans="1:39" ht="17.25" thickTop="1" thickBot="1" x14ac:dyDescent="0.3">
      <c r="A47" s="27"/>
      <c r="B47" s="72"/>
      <c r="C47" s="73">
        <f>SUM(C12:C43)</f>
        <v>1361</v>
      </c>
      <c r="D47" s="73">
        <f>SUM(D12:D43)</f>
        <v>10190</v>
      </c>
      <c r="E47" s="73">
        <f>SUM(E12:E43)</f>
        <v>493040.00000000093</v>
      </c>
      <c r="F47" s="73">
        <f>SUM(F12:F43)</f>
        <v>510680971.20000082</v>
      </c>
      <c r="G47" s="73">
        <f>SUM(G12:G43)</f>
        <v>101039.99999999997</v>
      </c>
      <c r="H47" s="73">
        <f t="shared" ref="H47:O47" si="18">SUM(H12:H43)</f>
        <v>156982816.79999998</v>
      </c>
      <c r="I47" s="73">
        <f t="shared" si="18"/>
        <v>667663788.00000072</v>
      </c>
      <c r="J47" s="73">
        <f t="shared" si="18"/>
        <v>53159.999999999854</v>
      </c>
      <c r="K47" s="73">
        <f t="shared" si="18"/>
        <v>55062064.799999863</v>
      </c>
      <c r="L47" s="73">
        <f t="shared" si="18"/>
        <v>13160.000000000082</v>
      </c>
      <c r="M47" s="73">
        <f t="shared" si="18"/>
        <v>20446297.20000013</v>
      </c>
      <c r="N47" s="73">
        <f t="shared" si="18"/>
        <v>75508361.999999985</v>
      </c>
      <c r="O47" s="73">
        <f t="shared" si="18"/>
        <v>743172150.00000048</v>
      </c>
      <c r="P47" s="85">
        <f>SUM(P12:P43)</f>
        <v>660400.00000000093</v>
      </c>
      <c r="Q47" s="197"/>
      <c r="R47" s="126"/>
      <c r="S47" s="118"/>
      <c r="T47" s="118"/>
      <c r="U47" s="140"/>
      <c r="V47" s="185">
        <f>SUM(V12:V42)</f>
        <v>3177.2999999999997</v>
      </c>
      <c r="W47" s="55">
        <f>SUM(W12:W42)</f>
        <v>397.83</v>
      </c>
      <c r="X47" s="55">
        <f>SUM(X12:X40)</f>
        <v>7149204.0150000025</v>
      </c>
      <c r="Y47" s="55">
        <f t="shared" ref="X47:Z47" si="19">SUM(Y12:Y42)</f>
        <v>2866.6899999999996</v>
      </c>
      <c r="Z47" s="55">
        <f>SUM(Z12:Z40)</f>
        <v>12169615.054200001</v>
      </c>
      <c r="AA47" s="139">
        <f>SUM(AA12:AA40)</f>
        <v>19318819.069199998</v>
      </c>
      <c r="AB47" s="127">
        <f>AA47/$AL$48</f>
        <v>1488.8012543994375</v>
      </c>
      <c r="AC47" s="47">
        <f>SUM(AC12:AC41)</f>
        <v>2780.0450399999722</v>
      </c>
      <c r="AD47" s="141">
        <f>SUM(AD12:AD41)</f>
        <v>0</v>
      </c>
      <c r="AE47" s="47">
        <f>SUM(AE12:AE42)</f>
        <v>2000</v>
      </c>
      <c r="AF47" s="47">
        <f>SUM(AF12:AF42)</f>
        <v>228</v>
      </c>
      <c r="AG47" s="47">
        <f>SUM(AG12:AG40)</f>
        <v>5008.0450399999718</v>
      </c>
      <c r="AH47" s="151">
        <f>SUM(AH12:AH40)</f>
        <v>48393105.142879799</v>
      </c>
      <c r="AI47" s="152">
        <f>AH47/$AL$48</f>
        <v>3729.4057873272918</v>
      </c>
      <c r="AJ47" s="148">
        <f>SUM(AJ12:AJ40)</f>
        <v>11826.459999999992</v>
      </c>
      <c r="AK47" s="149">
        <f>SUM(AK12:AK40)</f>
        <v>121812537.99999991</v>
      </c>
      <c r="AL47" s="150">
        <f>AK47/AL48</f>
        <v>9387.4609377709239</v>
      </c>
      <c r="AM47" s="27"/>
    </row>
    <row r="48" spans="1:39" s="1" customFormat="1" x14ac:dyDescent="0.25">
      <c r="A48" s="27"/>
      <c r="B48" s="27"/>
      <c r="C48" s="5"/>
      <c r="D48" s="11"/>
      <c r="E48" s="5"/>
      <c r="F48" s="5"/>
      <c r="G48" s="11"/>
      <c r="H48" s="5"/>
      <c r="I48" s="9"/>
      <c r="J48" s="9"/>
      <c r="K48" s="9"/>
      <c r="L48" s="17"/>
      <c r="M48" s="66"/>
      <c r="N48" s="70"/>
      <c r="O48" s="10"/>
      <c r="P48" s="70"/>
      <c r="Q48" s="10"/>
      <c r="R48" s="117"/>
      <c r="S48" s="14"/>
      <c r="T48" s="84" t="s">
        <v>29</v>
      </c>
      <c r="U48" s="158" t="e">
        <f>U47/S47</f>
        <v>#DIV/0!</v>
      </c>
      <c r="V48" s="11"/>
      <c r="W48" s="11"/>
      <c r="X48" s="11"/>
      <c r="Y48" s="142"/>
      <c r="Z48" s="11"/>
      <c r="AA48" s="11"/>
      <c r="AB48" s="11"/>
      <c r="AC48" s="16"/>
      <c r="AD48" s="7"/>
      <c r="AE48" s="16"/>
      <c r="AF48" s="16"/>
      <c r="AG48" s="7"/>
      <c r="AH48" s="5"/>
      <c r="AI48" s="11"/>
      <c r="AJ48" s="91"/>
      <c r="AK48" s="11"/>
      <c r="AL48" s="153">
        <v>12976.09</v>
      </c>
      <c r="AM48" s="27"/>
    </row>
    <row r="49" spans="1:39" s="203" customFormat="1" x14ac:dyDescent="0.25">
      <c r="A49" s="198"/>
      <c r="B49" s="198"/>
      <c r="C49" s="17"/>
      <c r="D49" s="199"/>
      <c r="E49" s="17"/>
      <c r="F49" s="17"/>
      <c r="G49" s="199"/>
      <c r="H49" s="17"/>
      <c r="I49" s="9"/>
      <c r="J49" s="9"/>
      <c r="K49" s="9"/>
      <c r="L49" s="17"/>
      <c r="M49" s="70"/>
      <c r="N49" s="70"/>
      <c r="O49" s="10"/>
      <c r="P49" s="70"/>
      <c r="Q49" s="10"/>
      <c r="R49" s="117"/>
      <c r="S49" s="14"/>
      <c r="T49" s="17"/>
      <c r="U49" s="200"/>
      <c r="V49" s="244"/>
      <c r="W49" s="244"/>
      <c r="X49" s="199"/>
      <c r="Y49" s="201"/>
      <c r="Z49" s="17"/>
      <c r="AA49" s="199"/>
      <c r="AB49" s="199"/>
      <c r="AC49" s="199"/>
      <c r="AD49" s="17"/>
      <c r="AE49" s="199"/>
      <c r="AF49" s="199"/>
      <c r="AG49" s="17"/>
      <c r="AH49" s="17"/>
      <c r="AI49" s="199"/>
      <c r="AJ49" s="117"/>
      <c r="AK49" s="199"/>
      <c r="AL49" s="202"/>
      <c r="AM49" s="198"/>
    </row>
    <row r="50" spans="1:39" s="209" customFormat="1" x14ac:dyDescent="0.25">
      <c r="A50" s="208"/>
      <c r="B50" s="208"/>
      <c r="E50" s="210"/>
      <c r="F50" s="211"/>
      <c r="G50" s="210"/>
      <c r="I50" s="210"/>
      <c r="J50" s="210"/>
      <c r="K50" s="210"/>
      <c r="L50" s="210"/>
      <c r="M50" s="210"/>
      <c r="N50" s="212"/>
      <c r="O50" s="213"/>
      <c r="P50" s="214"/>
      <c r="R50" s="215"/>
      <c r="S50" s="216"/>
      <c r="Y50" s="217"/>
      <c r="Z50" s="218"/>
      <c r="AB50" s="219"/>
      <c r="AJ50" s="215"/>
      <c r="AL50" s="220"/>
      <c r="AM50" s="208"/>
    </row>
    <row r="51" spans="1:39" s="223" customFormat="1" x14ac:dyDescent="0.25">
      <c r="A51" s="221"/>
      <c r="B51" s="221"/>
      <c r="C51" s="222"/>
      <c r="E51" s="222"/>
      <c r="F51" s="222"/>
      <c r="H51" s="222"/>
      <c r="L51" s="222"/>
      <c r="M51" s="224"/>
      <c r="N51" s="225"/>
      <c r="P51" s="225"/>
      <c r="R51" s="226"/>
      <c r="W51" s="245">
        <f>W47/V47</f>
        <v>0.12521008403361344</v>
      </c>
      <c r="AD51" s="222"/>
      <c r="AH51" s="222"/>
      <c r="AJ51" s="226"/>
      <c r="AL51" s="227"/>
      <c r="AM51" s="221"/>
    </row>
    <row r="52" spans="1:39" s="223" customFormat="1" x14ac:dyDescent="0.25">
      <c r="A52" s="221"/>
      <c r="B52" s="221"/>
      <c r="C52" s="222"/>
      <c r="E52" s="222"/>
      <c r="F52" s="222"/>
      <c r="H52" s="222"/>
      <c r="L52" s="222"/>
      <c r="M52" s="224"/>
      <c r="N52" s="225"/>
      <c r="P52" s="225"/>
      <c r="R52" s="226"/>
      <c r="AD52" s="222"/>
      <c r="AH52" s="222"/>
      <c r="AJ52" s="226"/>
      <c r="AL52" s="227"/>
      <c r="AM52" s="221"/>
    </row>
    <row r="53" spans="1:39" s="223" customFormat="1" x14ac:dyDescent="0.25">
      <c r="A53" s="221"/>
      <c r="B53" s="221"/>
      <c r="C53" s="222"/>
      <c r="E53" s="222"/>
      <c r="F53" s="222"/>
      <c r="H53" s="222"/>
      <c r="L53" s="222"/>
      <c r="M53" s="224"/>
      <c r="N53" s="225"/>
      <c r="P53" s="225"/>
      <c r="R53" s="226"/>
      <c r="AD53" s="222"/>
      <c r="AH53" s="222"/>
      <c r="AJ53" s="226"/>
      <c r="AL53" s="227"/>
      <c r="AM53" s="221"/>
    </row>
    <row r="54" spans="1:39" s="223" customFormat="1" x14ac:dyDescent="0.25">
      <c r="A54" s="221"/>
      <c r="B54" s="221"/>
      <c r="C54" s="222"/>
      <c r="E54" s="222"/>
      <c r="F54" s="222"/>
      <c r="H54" s="222"/>
      <c r="L54" s="222"/>
      <c r="M54" s="224"/>
      <c r="N54" s="225"/>
      <c r="P54" s="225"/>
      <c r="R54" s="226"/>
      <c r="AD54" s="222"/>
      <c r="AH54" s="222"/>
      <c r="AJ54" s="226"/>
      <c r="AL54" s="227"/>
      <c r="AM54" s="221"/>
    </row>
    <row r="55" spans="1:39" s="223" customFormat="1" x14ac:dyDescent="0.25">
      <c r="A55" s="221"/>
      <c r="B55" s="221"/>
      <c r="C55" s="222"/>
      <c r="E55" s="222"/>
      <c r="F55" s="222"/>
      <c r="H55" s="222"/>
      <c r="L55" s="222"/>
      <c r="M55" s="224"/>
      <c r="N55" s="225"/>
      <c r="P55" s="225"/>
      <c r="R55" s="226"/>
      <c r="AD55" s="222"/>
      <c r="AH55" s="222"/>
      <c r="AJ55" s="226"/>
      <c r="AL55" s="227"/>
      <c r="AM55" s="221"/>
    </row>
    <row r="56" spans="1:39" s="223" customFormat="1" x14ac:dyDescent="0.25">
      <c r="A56" s="221"/>
      <c r="B56" s="221"/>
      <c r="C56" s="222"/>
      <c r="E56" s="222"/>
      <c r="F56" s="222"/>
      <c r="H56" s="222"/>
      <c r="L56" s="222"/>
      <c r="M56" s="224"/>
      <c r="N56" s="225"/>
      <c r="P56" s="225"/>
      <c r="R56" s="226"/>
      <c r="AD56" s="222"/>
      <c r="AH56" s="222"/>
      <c r="AJ56" s="226"/>
      <c r="AL56" s="227"/>
      <c r="AM56" s="221"/>
    </row>
    <row r="57" spans="1:39" s="223" customFormat="1" x14ac:dyDescent="0.25">
      <c r="A57" s="221"/>
      <c r="B57" s="221"/>
      <c r="C57" s="222"/>
      <c r="E57" s="222"/>
      <c r="F57" s="222"/>
      <c r="H57" s="222"/>
      <c r="L57" s="222"/>
      <c r="M57" s="224"/>
      <c r="N57" s="225"/>
      <c r="P57" s="225"/>
      <c r="R57" s="226"/>
      <c r="AD57" s="222"/>
      <c r="AH57" s="222"/>
      <c r="AJ57" s="226"/>
      <c r="AL57" s="227"/>
      <c r="AM57" s="221"/>
    </row>
    <row r="58" spans="1:39" s="223" customFormat="1" x14ac:dyDescent="0.25">
      <c r="A58" s="221"/>
      <c r="B58" s="221"/>
      <c r="C58" s="222"/>
      <c r="E58" s="222"/>
      <c r="F58" s="222"/>
      <c r="H58" s="222"/>
      <c r="L58" s="222"/>
      <c r="M58" s="224"/>
      <c r="N58" s="225"/>
      <c r="P58" s="225"/>
      <c r="R58" s="226"/>
      <c r="AD58" s="222"/>
      <c r="AH58" s="222"/>
      <c r="AJ58" s="226"/>
      <c r="AL58" s="227"/>
      <c r="AM58" s="221"/>
    </row>
    <row r="59" spans="1:39" s="223" customFormat="1" x14ac:dyDescent="0.25">
      <c r="A59" s="221"/>
      <c r="B59" s="221"/>
      <c r="C59" s="222"/>
      <c r="E59" s="222"/>
      <c r="F59" s="222"/>
      <c r="H59" s="222"/>
      <c r="L59" s="222"/>
      <c r="M59" s="224"/>
      <c r="N59" s="225"/>
      <c r="P59" s="225"/>
      <c r="R59" s="226"/>
      <c r="AD59" s="222"/>
      <c r="AH59" s="222"/>
      <c r="AJ59" s="226"/>
      <c r="AL59" s="227"/>
      <c r="AM59" s="221"/>
    </row>
    <row r="60" spans="1:39" s="223" customFormat="1" x14ac:dyDescent="0.25">
      <c r="A60" s="221"/>
      <c r="B60" s="221"/>
      <c r="C60" s="222"/>
      <c r="E60" s="222"/>
      <c r="F60" s="222"/>
      <c r="H60" s="222"/>
      <c r="L60" s="222"/>
      <c r="M60" s="224"/>
      <c r="N60" s="225"/>
      <c r="P60" s="225"/>
      <c r="R60" s="226"/>
      <c r="AD60" s="222"/>
      <c r="AH60" s="222"/>
      <c r="AJ60" s="226"/>
      <c r="AL60" s="227"/>
      <c r="AM60" s="221"/>
    </row>
    <row r="61" spans="1:39" s="223" customFormat="1" x14ac:dyDescent="0.25">
      <c r="A61" s="221"/>
      <c r="B61" s="221"/>
      <c r="C61" s="222"/>
      <c r="E61" s="222"/>
      <c r="F61" s="222"/>
      <c r="H61" s="222"/>
      <c r="L61" s="222"/>
      <c r="M61" s="224"/>
      <c r="N61" s="225"/>
      <c r="P61" s="225"/>
      <c r="R61" s="226"/>
      <c r="AD61" s="222"/>
      <c r="AH61" s="222"/>
      <c r="AJ61" s="226"/>
      <c r="AL61" s="227"/>
      <c r="AM61" s="221"/>
    </row>
    <row r="62" spans="1:39" s="223" customFormat="1" x14ac:dyDescent="0.25">
      <c r="A62" s="221"/>
      <c r="B62" s="221"/>
      <c r="C62" s="222"/>
      <c r="E62" s="222"/>
      <c r="F62" s="222"/>
      <c r="H62" s="222"/>
      <c r="L62" s="222"/>
      <c r="M62" s="224"/>
      <c r="N62" s="225"/>
      <c r="P62" s="225"/>
      <c r="R62" s="226"/>
      <c r="AD62" s="222"/>
      <c r="AH62" s="222"/>
      <c r="AJ62" s="226"/>
      <c r="AL62" s="227"/>
      <c r="AM62" s="221"/>
    </row>
    <row r="63" spans="1:39" s="223" customFormat="1" x14ac:dyDescent="0.25">
      <c r="A63" s="221"/>
      <c r="B63" s="221"/>
      <c r="C63" s="222"/>
      <c r="E63" s="222"/>
      <c r="F63" s="222"/>
      <c r="H63" s="222"/>
      <c r="L63" s="222"/>
      <c r="M63" s="224"/>
      <c r="N63" s="225"/>
      <c r="P63" s="225"/>
      <c r="R63" s="226"/>
      <c r="AD63" s="222"/>
      <c r="AH63" s="222"/>
      <c r="AJ63" s="226"/>
      <c r="AL63" s="227"/>
      <c r="AM63" s="221"/>
    </row>
    <row r="64" spans="1:39" s="223" customFormat="1" x14ac:dyDescent="0.25">
      <c r="A64" s="221"/>
      <c r="B64" s="221"/>
      <c r="C64" s="222"/>
      <c r="E64" s="222"/>
      <c r="F64" s="222"/>
      <c r="H64" s="222"/>
      <c r="L64" s="222"/>
      <c r="M64" s="224"/>
      <c r="N64" s="225"/>
      <c r="P64" s="225"/>
      <c r="R64" s="226"/>
      <c r="AD64" s="222"/>
      <c r="AH64" s="222"/>
      <c r="AJ64" s="226"/>
      <c r="AL64" s="227"/>
      <c r="AM64" s="221"/>
    </row>
    <row r="65" spans="1:39" s="223" customFormat="1" x14ac:dyDescent="0.25">
      <c r="A65" s="221"/>
      <c r="B65" s="221"/>
      <c r="C65" s="222"/>
      <c r="E65" s="222"/>
      <c r="F65" s="222"/>
      <c r="H65" s="222"/>
      <c r="L65" s="222"/>
      <c r="M65" s="224"/>
      <c r="N65" s="225"/>
      <c r="P65" s="225"/>
      <c r="R65" s="226"/>
      <c r="AD65" s="222"/>
      <c r="AH65" s="222"/>
      <c r="AJ65" s="226"/>
      <c r="AL65" s="227"/>
      <c r="AM65" s="221"/>
    </row>
    <row r="66" spans="1:39" s="223" customFormat="1" x14ac:dyDescent="0.25">
      <c r="A66" s="221"/>
      <c r="B66" s="221"/>
      <c r="C66" s="222"/>
      <c r="E66" s="222"/>
      <c r="F66" s="222"/>
      <c r="H66" s="222"/>
      <c r="L66" s="222"/>
      <c r="M66" s="224"/>
      <c r="N66" s="225"/>
      <c r="P66" s="225"/>
      <c r="R66" s="226"/>
      <c r="AD66" s="222"/>
      <c r="AH66" s="222"/>
      <c r="AJ66" s="226"/>
      <c r="AL66" s="227"/>
      <c r="AM66" s="221"/>
    </row>
    <row r="67" spans="1:39" s="223" customFormat="1" x14ac:dyDescent="0.25">
      <c r="A67" s="221"/>
      <c r="B67" s="221"/>
      <c r="C67" s="222"/>
      <c r="E67" s="222"/>
      <c r="F67" s="222"/>
      <c r="H67" s="222"/>
      <c r="L67" s="222"/>
      <c r="M67" s="224"/>
      <c r="N67" s="225"/>
      <c r="P67" s="225"/>
      <c r="R67" s="226"/>
      <c r="AD67" s="222"/>
      <c r="AH67" s="222"/>
      <c r="AJ67" s="226"/>
      <c r="AL67" s="227"/>
      <c r="AM67" s="221"/>
    </row>
    <row r="68" spans="1:39" s="223" customFormat="1" x14ac:dyDescent="0.25">
      <c r="A68" s="221"/>
      <c r="B68" s="221"/>
      <c r="C68" s="222"/>
      <c r="E68" s="222"/>
      <c r="F68" s="222"/>
      <c r="H68" s="222"/>
      <c r="L68" s="222"/>
      <c r="M68" s="224"/>
      <c r="N68" s="225"/>
      <c r="P68" s="225"/>
      <c r="R68" s="226"/>
      <c r="AD68" s="222"/>
      <c r="AH68" s="222"/>
      <c r="AJ68" s="226"/>
      <c r="AL68" s="227"/>
      <c r="AM68" s="221"/>
    </row>
    <row r="69" spans="1:39" s="223" customFormat="1" x14ac:dyDescent="0.25">
      <c r="A69" s="221"/>
      <c r="B69" s="221"/>
      <c r="C69" s="222"/>
      <c r="E69" s="222"/>
      <c r="F69" s="222"/>
      <c r="H69" s="222"/>
      <c r="L69" s="222"/>
      <c r="M69" s="224"/>
      <c r="N69" s="225"/>
      <c r="P69" s="225"/>
      <c r="R69" s="226"/>
      <c r="AD69" s="222"/>
      <c r="AH69" s="222"/>
      <c r="AJ69" s="226"/>
      <c r="AL69" s="227"/>
      <c r="AM69" s="221"/>
    </row>
    <row r="70" spans="1:39" s="223" customFormat="1" x14ac:dyDescent="0.25">
      <c r="A70" s="221"/>
      <c r="B70" s="221"/>
      <c r="C70" s="222"/>
      <c r="E70" s="222"/>
      <c r="F70" s="222"/>
      <c r="H70" s="222"/>
      <c r="L70" s="222"/>
      <c r="M70" s="224"/>
      <c r="N70" s="225"/>
      <c r="P70" s="225"/>
      <c r="R70" s="226"/>
      <c r="AD70" s="222"/>
      <c r="AH70" s="222"/>
      <c r="AJ70" s="226"/>
      <c r="AL70" s="227"/>
      <c r="AM70" s="221"/>
    </row>
    <row r="71" spans="1:39" s="223" customFormat="1" x14ac:dyDescent="0.25">
      <c r="A71" s="221"/>
      <c r="B71" s="221"/>
      <c r="C71" s="222"/>
      <c r="E71" s="222"/>
      <c r="F71" s="222"/>
      <c r="H71" s="222"/>
      <c r="L71" s="222"/>
      <c r="M71" s="224"/>
      <c r="N71" s="225"/>
      <c r="P71" s="225"/>
      <c r="R71" s="226"/>
      <c r="AD71" s="222"/>
      <c r="AH71" s="222"/>
      <c r="AJ71" s="226"/>
      <c r="AL71" s="227"/>
      <c r="AM71" s="221"/>
    </row>
    <row r="72" spans="1:39" s="223" customFormat="1" x14ac:dyDescent="0.25">
      <c r="A72" s="221"/>
      <c r="B72" s="221"/>
      <c r="C72" s="222"/>
      <c r="E72" s="222"/>
      <c r="F72" s="222"/>
      <c r="H72" s="222"/>
      <c r="L72" s="222"/>
      <c r="M72" s="224"/>
      <c r="N72" s="225"/>
      <c r="P72" s="225"/>
      <c r="R72" s="226"/>
      <c r="AD72" s="222"/>
      <c r="AH72" s="222"/>
      <c r="AJ72" s="226"/>
      <c r="AL72" s="227"/>
      <c r="AM72" s="221"/>
    </row>
    <row r="73" spans="1:39" s="223" customFormat="1" x14ac:dyDescent="0.25">
      <c r="A73" s="221"/>
      <c r="B73" s="221"/>
      <c r="C73" s="222"/>
      <c r="E73" s="222"/>
      <c r="F73" s="222"/>
      <c r="H73" s="222"/>
      <c r="L73" s="222"/>
      <c r="M73" s="224"/>
      <c r="N73" s="225"/>
      <c r="P73" s="225"/>
      <c r="R73" s="226"/>
      <c r="AD73" s="222"/>
      <c r="AH73" s="222"/>
      <c r="AJ73" s="226"/>
      <c r="AL73" s="227"/>
      <c r="AM73" s="221"/>
    </row>
    <row r="74" spans="1:39" s="223" customFormat="1" x14ac:dyDescent="0.25">
      <c r="A74" s="221"/>
      <c r="B74" s="221"/>
      <c r="C74" s="222"/>
      <c r="E74" s="222"/>
      <c r="F74" s="222"/>
      <c r="H74" s="222"/>
      <c r="L74" s="222"/>
      <c r="M74" s="224"/>
      <c r="N74" s="225"/>
      <c r="P74" s="225"/>
      <c r="R74" s="226"/>
      <c r="AD74" s="222"/>
      <c r="AH74" s="222"/>
      <c r="AJ74" s="226"/>
      <c r="AL74" s="227"/>
      <c r="AM74" s="221"/>
    </row>
    <row r="75" spans="1:39" s="223" customFormat="1" x14ac:dyDescent="0.25">
      <c r="A75" s="221"/>
      <c r="B75" s="221"/>
      <c r="C75" s="222"/>
      <c r="E75" s="222"/>
      <c r="F75" s="222"/>
      <c r="H75" s="222"/>
      <c r="L75" s="222"/>
      <c r="M75" s="224"/>
      <c r="N75" s="225"/>
      <c r="P75" s="225"/>
      <c r="R75" s="226"/>
      <c r="AD75" s="222"/>
      <c r="AH75" s="222"/>
      <c r="AJ75" s="226"/>
      <c r="AL75" s="227"/>
      <c r="AM75" s="221"/>
    </row>
    <row r="76" spans="1:39" s="223" customFormat="1" x14ac:dyDescent="0.25">
      <c r="A76" s="221"/>
      <c r="B76" s="221"/>
      <c r="C76" s="222"/>
      <c r="E76" s="222"/>
      <c r="F76" s="222"/>
      <c r="H76" s="222"/>
      <c r="L76" s="222"/>
      <c r="M76" s="224"/>
      <c r="N76" s="225"/>
      <c r="P76" s="225"/>
      <c r="R76" s="226"/>
      <c r="AD76" s="222"/>
      <c r="AH76" s="222"/>
      <c r="AJ76" s="226"/>
      <c r="AL76" s="227"/>
      <c r="AM76" s="221"/>
    </row>
    <row r="77" spans="1:39" s="223" customFormat="1" x14ac:dyDescent="0.25">
      <c r="A77" s="221"/>
      <c r="B77" s="221"/>
      <c r="C77" s="222"/>
      <c r="E77" s="222"/>
      <c r="F77" s="222"/>
      <c r="H77" s="222"/>
      <c r="L77" s="222"/>
      <c r="M77" s="224"/>
      <c r="N77" s="225"/>
      <c r="P77" s="225"/>
      <c r="R77" s="226"/>
      <c r="AD77" s="222"/>
      <c r="AH77" s="222"/>
      <c r="AJ77" s="226"/>
      <c r="AL77" s="227"/>
      <c r="AM77" s="221"/>
    </row>
    <row r="78" spans="1:39" s="223" customFormat="1" x14ac:dyDescent="0.25">
      <c r="A78" s="221"/>
      <c r="B78" s="221"/>
      <c r="C78" s="222"/>
      <c r="E78" s="222"/>
      <c r="F78" s="222"/>
      <c r="H78" s="222"/>
      <c r="L78" s="222"/>
      <c r="M78" s="224"/>
      <c r="N78" s="225"/>
      <c r="P78" s="225"/>
      <c r="R78" s="226"/>
      <c r="AD78" s="222"/>
      <c r="AH78" s="222"/>
      <c r="AJ78" s="226"/>
      <c r="AL78" s="227"/>
      <c r="AM78" s="221"/>
    </row>
    <row r="79" spans="1:39" s="223" customFormat="1" x14ac:dyDescent="0.25">
      <c r="A79" s="221"/>
      <c r="B79" s="221"/>
      <c r="C79" s="222"/>
      <c r="E79" s="222"/>
      <c r="F79" s="222"/>
      <c r="H79" s="222"/>
      <c r="L79" s="222"/>
      <c r="M79" s="224"/>
      <c r="N79" s="225"/>
      <c r="P79" s="225"/>
      <c r="R79" s="226"/>
      <c r="AD79" s="222"/>
      <c r="AH79" s="222"/>
      <c r="AJ79" s="226"/>
      <c r="AL79" s="227"/>
      <c r="AM79" s="221"/>
    </row>
    <row r="80" spans="1:39" s="223" customFormat="1" x14ac:dyDescent="0.25">
      <c r="A80" s="221"/>
      <c r="B80" s="221"/>
      <c r="C80" s="222"/>
      <c r="E80" s="222"/>
      <c r="F80" s="222"/>
      <c r="H80" s="222"/>
      <c r="L80" s="222"/>
      <c r="M80" s="224"/>
      <c r="N80" s="225"/>
      <c r="P80" s="225"/>
      <c r="R80" s="226"/>
      <c r="AD80" s="222"/>
      <c r="AH80" s="222"/>
      <c r="AJ80" s="226"/>
      <c r="AL80" s="227"/>
      <c r="AM80" s="221"/>
    </row>
    <row r="81" spans="1:39" s="223" customFormat="1" x14ac:dyDescent="0.25">
      <c r="A81" s="221"/>
      <c r="B81" s="221"/>
      <c r="C81" s="222"/>
      <c r="E81" s="222"/>
      <c r="F81" s="222"/>
      <c r="H81" s="222"/>
      <c r="L81" s="222"/>
      <c r="M81" s="224"/>
      <c r="N81" s="225"/>
      <c r="P81" s="225"/>
      <c r="R81" s="226"/>
      <c r="AD81" s="222"/>
      <c r="AH81" s="222"/>
      <c r="AJ81" s="226"/>
      <c r="AL81" s="227"/>
      <c r="AM81" s="221"/>
    </row>
    <row r="82" spans="1:39" s="223" customFormat="1" x14ac:dyDescent="0.25">
      <c r="A82" s="221"/>
      <c r="B82" s="221"/>
      <c r="C82" s="222"/>
      <c r="E82" s="222"/>
      <c r="F82" s="222"/>
      <c r="H82" s="222"/>
      <c r="L82" s="222"/>
      <c r="M82" s="224"/>
      <c r="N82" s="225"/>
      <c r="P82" s="225"/>
      <c r="R82" s="226"/>
      <c r="AD82" s="222"/>
      <c r="AH82" s="222"/>
      <c r="AJ82" s="226"/>
      <c r="AL82" s="227"/>
      <c r="AM82" s="221"/>
    </row>
    <row r="83" spans="1:39" s="223" customFormat="1" x14ac:dyDescent="0.25">
      <c r="A83" s="221"/>
      <c r="B83" s="221"/>
      <c r="C83" s="222"/>
      <c r="E83" s="222"/>
      <c r="F83" s="222"/>
      <c r="H83" s="222"/>
      <c r="L83" s="222"/>
      <c r="M83" s="224"/>
      <c r="N83" s="225"/>
      <c r="P83" s="225"/>
      <c r="R83" s="226"/>
      <c r="AD83" s="222"/>
      <c r="AH83" s="222"/>
      <c r="AJ83" s="226"/>
      <c r="AL83" s="227"/>
      <c r="AM83" s="221"/>
    </row>
    <row r="84" spans="1:39" s="223" customFormat="1" x14ac:dyDescent="0.25">
      <c r="A84" s="221"/>
      <c r="B84" s="221"/>
      <c r="C84" s="222"/>
      <c r="E84" s="222"/>
      <c r="F84" s="222"/>
      <c r="H84" s="222"/>
      <c r="L84" s="222"/>
      <c r="M84" s="224"/>
      <c r="N84" s="225"/>
      <c r="P84" s="225"/>
      <c r="R84" s="226"/>
      <c r="AD84" s="222"/>
      <c r="AH84" s="222"/>
      <c r="AJ84" s="226"/>
      <c r="AL84" s="227"/>
      <c r="AM84" s="221"/>
    </row>
    <row r="85" spans="1:39" s="223" customFormat="1" x14ac:dyDescent="0.25">
      <c r="A85" s="221"/>
      <c r="B85" s="221"/>
      <c r="C85" s="222"/>
      <c r="E85" s="222"/>
      <c r="F85" s="222"/>
      <c r="H85" s="222"/>
      <c r="L85" s="222"/>
      <c r="M85" s="224"/>
      <c r="N85" s="225"/>
      <c r="P85" s="225"/>
      <c r="R85" s="226"/>
      <c r="AD85" s="222"/>
      <c r="AH85" s="222"/>
      <c r="AJ85" s="226"/>
      <c r="AL85" s="227"/>
      <c r="AM85" s="221"/>
    </row>
    <row r="86" spans="1:39" s="223" customFormat="1" x14ac:dyDescent="0.25">
      <c r="A86" s="221"/>
      <c r="B86" s="221"/>
      <c r="C86" s="222"/>
      <c r="E86" s="222"/>
      <c r="F86" s="222"/>
      <c r="H86" s="222"/>
      <c r="L86" s="222"/>
      <c r="M86" s="224"/>
      <c r="N86" s="225"/>
      <c r="P86" s="225"/>
      <c r="R86" s="226"/>
      <c r="AD86" s="222"/>
      <c r="AH86" s="222"/>
      <c r="AJ86" s="226"/>
      <c r="AL86" s="227"/>
      <c r="AM86" s="221"/>
    </row>
    <row r="87" spans="1:39" s="223" customFormat="1" x14ac:dyDescent="0.25">
      <c r="A87" s="221"/>
      <c r="B87" s="221"/>
      <c r="C87" s="222"/>
      <c r="E87" s="222"/>
      <c r="F87" s="222"/>
      <c r="H87" s="222"/>
      <c r="L87" s="222"/>
      <c r="M87" s="224"/>
      <c r="N87" s="225"/>
      <c r="P87" s="225"/>
      <c r="R87" s="226"/>
      <c r="AD87" s="222"/>
      <c r="AH87" s="222"/>
      <c r="AJ87" s="226"/>
      <c r="AL87" s="227"/>
      <c r="AM87" s="221"/>
    </row>
    <row r="88" spans="1:39" s="223" customFormat="1" x14ac:dyDescent="0.25">
      <c r="A88" s="221"/>
      <c r="B88" s="221"/>
      <c r="C88" s="222"/>
      <c r="E88" s="222"/>
      <c r="F88" s="222"/>
      <c r="H88" s="222"/>
      <c r="L88" s="222"/>
      <c r="M88" s="224"/>
      <c r="N88" s="225"/>
      <c r="P88" s="225"/>
      <c r="R88" s="226"/>
      <c r="AD88" s="222"/>
      <c r="AH88" s="222"/>
      <c r="AJ88" s="226"/>
      <c r="AL88" s="227"/>
      <c r="AM88" s="221"/>
    </row>
    <row r="89" spans="1:39" s="223" customFormat="1" x14ac:dyDescent="0.25">
      <c r="A89" s="221"/>
      <c r="B89" s="221"/>
      <c r="C89" s="222"/>
      <c r="E89" s="222"/>
      <c r="F89" s="222"/>
      <c r="H89" s="222"/>
      <c r="L89" s="222"/>
      <c r="M89" s="224"/>
      <c r="N89" s="225"/>
      <c r="P89" s="225"/>
      <c r="R89" s="226"/>
      <c r="AD89" s="222"/>
      <c r="AH89" s="222"/>
      <c r="AJ89" s="226"/>
      <c r="AL89" s="227"/>
      <c r="AM89" s="221"/>
    </row>
    <row r="90" spans="1:39" s="223" customFormat="1" x14ac:dyDescent="0.25">
      <c r="A90" s="221"/>
      <c r="B90" s="221"/>
      <c r="C90" s="222"/>
      <c r="E90" s="222"/>
      <c r="F90" s="222"/>
      <c r="H90" s="222"/>
      <c r="L90" s="222"/>
      <c r="M90" s="224"/>
      <c r="N90" s="225"/>
      <c r="P90" s="225"/>
      <c r="R90" s="226"/>
      <c r="AD90" s="222"/>
      <c r="AH90" s="222"/>
      <c r="AJ90" s="226"/>
      <c r="AL90" s="227"/>
      <c r="AM90" s="221"/>
    </row>
    <row r="91" spans="1:39" s="223" customFormat="1" x14ac:dyDescent="0.25">
      <c r="A91" s="221"/>
      <c r="B91" s="221"/>
      <c r="C91" s="222"/>
      <c r="E91" s="222"/>
      <c r="F91" s="222"/>
      <c r="H91" s="222"/>
      <c r="L91" s="222"/>
      <c r="M91" s="224"/>
      <c r="N91" s="225"/>
      <c r="P91" s="225"/>
      <c r="R91" s="226"/>
      <c r="AD91" s="222"/>
      <c r="AH91" s="222"/>
      <c r="AJ91" s="226"/>
      <c r="AL91" s="227"/>
      <c r="AM91" s="221"/>
    </row>
    <row r="92" spans="1:39" s="223" customFormat="1" x14ac:dyDescent="0.25">
      <c r="A92" s="221"/>
      <c r="B92" s="221"/>
      <c r="C92" s="222"/>
      <c r="E92" s="222"/>
      <c r="F92" s="222"/>
      <c r="H92" s="222"/>
      <c r="L92" s="222"/>
      <c r="M92" s="224"/>
      <c r="N92" s="225"/>
      <c r="P92" s="225"/>
      <c r="R92" s="226"/>
      <c r="AD92" s="222"/>
      <c r="AH92" s="222"/>
      <c r="AJ92" s="226"/>
      <c r="AL92" s="227"/>
      <c r="AM92" s="221"/>
    </row>
    <row r="93" spans="1:39" s="223" customFormat="1" x14ac:dyDescent="0.25">
      <c r="A93" s="221"/>
      <c r="B93" s="221"/>
      <c r="C93" s="222"/>
      <c r="E93" s="222"/>
      <c r="F93" s="222"/>
      <c r="H93" s="222"/>
      <c r="L93" s="222"/>
      <c r="M93" s="224"/>
      <c r="N93" s="225"/>
      <c r="P93" s="225"/>
      <c r="R93" s="226"/>
      <c r="AD93" s="222"/>
      <c r="AH93" s="222"/>
      <c r="AJ93" s="226"/>
      <c r="AL93" s="227"/>
      <c r="AM93" s="221"/>
    </row>
    <row r="94" spans="1:39" s="223" customFormat="1" x14ac:dyDescent="0.25">
      <c r="A94" s="221"/>
      <c r="B94" s="221"/>
      <c r="C94" s="222"/>
      <c r="E94" s="222"/>
      <c r="F94" s="222"/>
      <c r="H94" s="222"/>
      <c r="L94" s="222"/>
      <c r="M94" s="224"/>
      <c r="N94" s="225"/>
      <c r="P94" s="225"/>
      <c r="R94" s="226"/>
      <c r="AD94" s="222"/>
      <c r="AH94" s="222"/>
      <c r="AJ94" s="226"/>
      <c r="AL94" s="227"/>
      <c r="AM94" s="221"/>
    </row>
    <row r="95" spans="1:39" s="223" customFormat="1" x14ac:dyDescent="0.25">
      <c r="A95" s="221"/>
      <c r="B95" s="221"/>
      <c r="C95" s="222"/>
      <c r="E95" s="222"/>
      <c r="F95" s="222"/>
      <c r="H95" s="222"/>
      <c r="L95" s="222"/>
      <c r="M95" s="224"/>
      <c r="N95" s="225"/>
      <c r="P95" s="225"/>
      <c r="R95" s="226"/>
      <c r="AD95" s="222"/>
      <c r="AH95" s="222"/>
      <c r="AJ95" s="226"/>
      <c r="AL95" s="227"/>
      <c r="AM95" s="221"/>
    </row>
    <row r="96" spans="1:39" s="223" customFormat="1" x14ac:dyDescent="0.25">
      <c r="A96" s="221"/>
      <c r="B96" s="221"/>
      <c r="C96" s="222"/>
      <c r="E96" s="222"/>
      <c r="F96" s="222"/>
      <c r="H96" s="222"/>
      <c r="L96" s="222"/>
      <c r="M96" s="224"/>
      <c r="N96" s="225"/>
      <c r="P96" s="225"/>
      <c r="R96" s="226"/>
      <c r="AD96" s="222"/>
      <c r="AH96" s="222"/>
      <c r="AJ96" s="226"/>
      <c r="AL96" s="227"/>
      <c r="AM96" s="221"/>
    </row>
    <row r="97" spans="1:39" s="223" customFormat="1" x14ac:dyDescent="0.25">
      <c r="A97" s="221"/>
      <c r="B97" s="221"/>
      <c r="C97" s="222"/>
      <c r="E97" s="222"/>
      <c r="F97" s="222"/>
      <c r="H97" s="222"/>
      <c r="L97" s="222"/>
      <c r="M97" s="224"/>
      <c r="N97" s="225"/>
      <c r="P97" s="225"/>
      <c r="R97" s="226"/>
      <c r="AD97" s="222"/>
      <c r="AH97" s="222"/>
      <c r="AJ97" s="226"/>
      <c r="AL97" s="227"/>
      <c r="AM97" s="221"/>
    </row>
    <row r="98" spans="1:39" s="223" customFormat="1" x14ac:dyDescent="0.25">
      <c r="A98" s="221"/>
      <c r="B98" s="221"/>
      <c r="C98" s="222"/>
      <c r="E98" s="222"/>
      <c r="F98" s="222"/>
      <c r="H98" s="222"/>
      <c r="L98" s="222"/>
      <c r="M98" s="224"/>
      <c r="N98" s="225"/>
      <c r="P98" s="225"/>
      <c r="R98" s="226"/>
      <c r="AD98" s="222"/>
      <c r="AH98" s="222"/>
      <c r="AJ98" s="226"/>
      <c r="AL98" s="227"/>
      <c r="AM98" s="221"/>
    </row>
    <row r="99" spans="1:39" s="223" customFormat="1" x14ac:dyDescent="0.25">
      <c r="A99" s="221"/>
      <c r="B99" s="221"/>
      <c r="C99" s="222"/>
      <c r="E99" s="222"/>
      <c r="F99" s="222"/>
      <c r="H99" s="222"/>
      <c r="L99" s="222"/>
      <c r="M99" s="224"/>
      <c r="N99" s="225"/>
      <c r="P99" s="225"/>
      <c r="R99" s="226"/>
      <c r="AD99" s="222"/>
      <c r="AH99" s="222"/>
      <c r="AJ99" s="226"/>
      <c r="AL99" s="227"/>
      <c r="AM99" s="221"/>
    </row>
    <row r="100" spans="1:39" s="223" customFormat="1" x14ac:dyDescent="0.25">
      <c r="A100" s="221"/>
      <c r="B100" s="221"/>
      <c r="C100" s="222"/>
      <c r="E100" s="222"/>
      <c r="F100" s="222"/>
      <c r="H100" s="222"/>
      <c r="L100" s="222"/>
      <c r="M100" s="224"/>
      <c r="N100" s="225"/>
      <c r="P100" s="225"/>
      <c r="R100" s="226"/>
      <c r="AD100" s="222"/>
      <c r="AH100" s="222"/>
      <c r="AJ100" s="226"/>
      <c r="AL100" s="227"/>
      <c r="AM100" s="221"/>
    </row>
    <row r="101" spans="1:39" s="223" customFormat="1" x14ac:dyDescent="0.25">
      <c r="A101" s="221"/>
      <c r="B101" s="221"/>
      <c r="C101" s="222"/>
      <c r="E101" s="222"/>
      <c r="F101" s="222"/>
      <c r="H101" s="222"/>
      <c r="L101" s="222"/>
      <c r="M101" s="224"/>
      <c r="N101" s="225"/>
      <c r="P101" s="225"/>
      <c r="R101" s="226"/>
      <c r="AD101" s="222"/>
      <c r="AH101" s="222"/>
      <c r="AJ101" s="226"/>
      <c r="AL101" s="227"/>
      <c r="AM101" s="221"/>
    </row>
    <row r="102" spans="1:39" s="223" customFormat="1" x14ac:dyDescent="0.25">
      <c r="A102" s="221"/>
      <c r="B102" s="221"/>
      <c r="C102" s="222"/>
      <c r="E102" s="222"/>
      <c r="F102" s="222"/>
      <c r="H102" s="222"/>
      <c r="L102" s="222"/>
      <c r="M102" s="224"/>
      <c r="N102" s="225"/>
      <c r="P102" s="225"/>
      <c r="R102" s="226"/>
      <c r="AD102" s="222"/>
      <c r="AH102" s="222"/>
      <c r="AJ102" s="226"/>
      <c r="AL102" s="227"/>
      <c r="AM102" s="221"/>
    </row>
    <row r="103" spans="1:39" s="223" customFormat="1" x14ac:dyDescent="0.25">
      <c r="A103" s="221"/>
      <c r="B103" s="221"/>
      <c r="C103" s="222"/>
      <c r="E103" s="222"/>
      <c r="F103" s="222"/>
      <c r="H103" s="222"/>
      <c r="L103" s="222"/>
      <c r="M103" s="224"/>
      <c r="N103" s="225"/>
      <c r="P103" s="225"/>
      <c r="R103" s="226"/>
      <c r="AD103" s="222"/>
      <c r="AH103" s="222"/>
      <c r="AJ103" s="226"/>
      <c r="AL103" s="227"/>
      <c r="AM103" s="221"/>
    </row>
    <row r="104" spans="1:39" s="223" customFormat="1" x14ac:dyDescent="0.25">
      <c r="A104" s="221"/>
      <c r="B104" s="221"/>
      <c r="C104" s="222"/>
      <c r="E104" s="222"/>
      <c r="F104" s="222"/>
      <c r="H104" s="222"/>
      <c r="L104" s="222"/>
      <c r="M104" s="224"/>
      <c r="N104" s="225"/>
      <c r="P104" s="225"/>
      <c r="R104" s="226"/>
      <c r="AD104" s="222"/>
      <c r="AH104" s="222"/>
      <c r="AJ104" s="226"/>
      <c r="AL104" s="227"/>
      <c r="AM104" s="221"/>
    </row>
    <row r="105" spans="1:39" s="223" customFormat="1" x14ac:dyDescent="0.25">
      <c r="A105" s="221"/>
      <c r="B105" s="221"/>
      <c r="C105" s="222"/>
      <c r="E105" s="222"/>
      <c r="F105" s="222"/>
      <c r="H105" s="222"/>
      <c r="L105" s="222"/>
      <c r="M105" s="224"/>
      <c r="N105" s="225"/>
      <c r="P105" s="225"/>
      <c r="R105" s="226"/>
      <c r="AD105" s="222"/>
      <c r="AH105" s="222"/>
      <c r="AJ105" s="226"/>
      <c r="AL105" s="227"/>
      <c r="AM105" s="221"/>
    </row>
    <row r="106" spans="1:39" s="223" customFormat="1" x14ac:dyDescent="0.25">
      <c r="A106" s="221"/>
      <c r="B106" s="221"/>
      <c r="C106" s="222"/>
      <c r="E106" s="222"/>
      <c r="F106" s="222"/>
      <c r="H106" s="222"/>
      <c r="L106" s="222"/>
      <c r="M106" s="224"/>
      <c r="N106" s="225"/>
      <c r="P106" s="225"/>
      <c r="R106" s="226"/>
      <c r="AD106" s="222"/>
      <c r="AH106" s="222"/>
      <c r="AJ106" s="226"/>
      <c r="AL106" s="227"/>
      <c r="AM106" s="221"/>
    </row>
    <row r="107" spans="1:39" s="223" customFormat="1" x14ac:dyDescent="0.25">
      <c r="A107" s="221"/>
      <c r="B107" s="221"/>
      <c r="C107" s="222"/>
      <c r="E107" s="222"/>
      <c r="F107" s="222"/>
      <c r="H107" s="222"/>
      <c r="L107" s="222"/>
      <c r="M107" s="224"/>
      <c r="N107" s="225"/>
      <c r="P107" s="225"/>
      <c r="R107" s="226"/>
      <c r="AD107" s="222"/>
      <c r="AH107" s="222"/>
      <c r="AJ107" s="226"/>
      <c r="AL107" s="227"/>
      <c r="AM107" s="221"/>
    </row>
    <row r="108" spans="1:39" s="223" customFormat="1" x14ac:dyDescent="0.25">
      <c r="A108" s="221"/>
      <c r="B108" s="221"/>
      <c r="C108" s="222"/>
      <c r="E108" s="222"/>
      <c r="F108" s="222"/>
      <c r="H108" s="222"/>
      <c r="L108" s="222"/>
      <c r="M108" s="224"/>
      <c r="N108" s="225"/>
      <c r="P108" s="225"/>
      <c r="R108" s="226"/>
      <c r="AD108" s="222"/>
      <c r="AH108" s="222"/>
      <c r="AJ108" s="226"/>
      <c r="AL108" s="227"/>
      <c r="AM108" s="221"/>
    </row>
    <row r="109" spans="1:39" s="223" customFormat="1" x14ac:dyDescent="0.25">
      <c r="A109" s="221"/>
      <c r="B109" s="221"/>
      <c r="C109" s="222"/>
      <c r="E109" s="222"/>
      <c r="F109" s="222"/>
      <c r="H109" s="222"/>
      <c r="L109" s="222"/>
      <c r="M109" s="224"/>
      <c r="N109" s="225"/>
      <c r="P109" s="225"/>
      <c r="R109" s="226"/>
      <c r="AD109" s="222"/>
      <c r="AH109" s="222"/>
      <c r="AJ109" s="226"/>
      <c r="AL109" s="227"/>
      <c r="AM109" s="221"/>
    </row>
    <row r="110" spans="1:39" s="223" customFormat="1" x14ac:dyDescent="0.25">
      <c r="A110" s="221"/>
      <c r="B110" s="221"/>
      <c r="C110" s="222"/>
      <c r="E110" s="222"/>
      <c r="F110" s="222"/>
      <c r="H110" s="222"/>
      <c r="L110" s="222"/>
      <c r="M110" s="224"/>
      <c r="N110" s="225"/>
      <c r="P110" s="225"/>
      <c r="R110" s="226"/>
      <c r="AD110" s="222"/>
      <c r="AH110" s="222"/>
      <c r="AJ110" s="226"/>
      <c r="AL110" s="227"/>
      <c r="AM110" s="221"/>
    </row>
    <row r="111" spans="1:39" s="223" customFormat="1" x14ac:dyDescent="0.25">
      <c r="A111" s="221"/>
      <c r="B111" s="221"/>
      <c r="C111" s="222"/>
      <c r="E111" s="222"/>
      <c r="F111" s="222"/>
      <c r="H111" s="222"/>
      <c r="L111" s="222"/>
      <c r="M111" s="224"/>
      <c r="N111" s="225"/>
      <c r="P111" s="225"/>
      <c r="R111" s="226"/>
      <c r="AD111" s="222"/>
      <c r="AH111" s="222"/>
      <c r="AJ111" s="226"/>
      <c r="AL111" s="227"/>
      <c r="AM111" s="221"/>
    </row>
    <row r="112" spans="1:39" s="223" customFormat="1" x14ac:dyDescent="0.25">
      <c r="A112" s="221"/>
      <c r="B112" s="221"/>
      <c r="C112" s="222"/>
      <c r="E112" s="222"/>
      <c r="F112" s="222"/>
      <c r="H112" s="222"/>
      <c r="L112" s="222"/>
      <c r="M112" s="224"/>
      <c r="N112" s="225"/>
      <c r="P112" s="225"/>
      <c r="R112" s="226"/>
      <c r="AD112" s="222"/>
      <c r="AH112" s="222"/>
      <c r="AJ112" s="226"/>
      <c r="AL112" s="227"/>
      <c r="AM112" s="221"/>
    </row>
    <row r="113" spans="1:39" s="223" customFormat="1" x14ac:dyDescent="0.25">
      <c r="A113" s="221"/>
      <c r="B113" s="221"/>
      <c r="C113" s="222"/>
      <c r="E113" s="222"/>
      <c r="F113" s="222"/>
      <c r="H113" s="222"/>
      <c r="L113" s="222"/>
      <c r="M113" s="224"/>
      <c r="N113" s="225"/>
      <c r="P113" s="225"/>
      <c r="R113" s="226"/>
      <c r="AD113" s="222"/>
      <c r="AH113" s="222"/>
      <c r="AJ113" s="226"/>
      <c r="AL113" s="227"/>
      <c r="AM113" s="221"/>
    </row>
  </sheetData>
  <mergeCells count="17">
    <mergeCell ref="Q9:Q10"/>
    <mergeCell ref="R9:R10"/>
    <mergeCell ref="S9:S10"/>
    <mergeCell ref="T9:U9"/>
    <mergeCell ref="AA9:AB9"/>
    <mergeCell ref="B7:AL7"/>
    <mergeCell ref="B8:B10"/>
    <mergeCell ref="C8:C10"/>
    <mergeCell ref="D8:D10"/>
    <mergeCell ref="E8:U8"/>
    <mergeCell ref="V8:AB8"/>
    <mergeCell ref="AC8:AL8"/>
    <mergeCell ref="E9:I9"/>
    <mergeCell ref="J9:N9"/>
    <mergeCell ref="O9:O10"/>
    <mergeCell ref="AC9:AI9"/>
    <mergeCell ref="P9:P10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8"/>
  <sheetViews>
    <sheetView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B6" sqref="B6:C34"/>
    </sheetView>
  </sheetViews>
  <sheetFormatPr defaultRowHeight="15" x14ac:dyDescent="0.25"/>
  <cols>
    <col min="1" max="1" width="9.5703125" bestFit="1" customWidth="1"/>
    <col min="2" max="2" width="9.28515625" bestFit="1" customWidth="1"/>
    <col min="3" max="3" width="9.5703125" bestFit="1" customWidth="1"/>
  </cols>
  <sheetData>
    <row r="1" spans="1:3" ht="18" x14ac:dyDescent="0.35">
      <c r="A1" s="28" t="s">
        <v>28</v>
      </c>
    </row>
    <row r="2" spans="1:3" ht="18" x14ac:dyDescent="0.35">
      <c r="A2" s="282">
        <v>43862</v>
      </c>
      <c r="B2" s="283"/>
      <c r="C2" s="283"/>
    </row>
    <row r="3" spans="1:3" x14ac:dyDescent="0.25">
      <c r="A3" s="285" t="s">
        <v>1</v>
      </c>
      <c r="B3" s="284" t="s">
        <v>2</v>
      </c>
      <c r="C3" s="284" t="s">
        <v>3</v>
      </c>
    </row>
    <row r="4" spans="1:3" x14ac:dyDescent="0.25">
      <c r="A4" s="285"/>
      <c r="B4" s="284"/>
      <c r="C4" s="284"/>
    </row>
    <row r="5" spans="1:3" x14ac:dyDescent="0.25">
      <c r="A5" s="285"/>
      <c r="B5" s="284"/>
      <c r="C5" s="284"/>
    </row>
    <row r="6" spans="1:3" x14ac:dyDescent="0.25">
      <c r="A6" s="2">
        <v>1</v>
      </c>
      <c r="B6" s="2">
        <v>79</v>
      </c>
      <c r="C6" s="2">
        <v>568</v>
      </c>
    </row>
    <row r="7" spans="1:3" x14ac:dyDescent="0.25">
      <c r="A7" s="2">
        <v>2</v>
      </c>
      <c r="B7" s="2">
        <v>65</v>
      </c>
      <c r="C7" s="2">
        <v>557</v>
      </c>
    </row>
    <row r="8" spans="1:3" x14ac:dyDescent="0.25">
      <c r="A8" s="2">
        <f>A7+1</f>
        <v>3</v>
      </c>
      <c r="B8" s="2">
        <v>68</v>
      </c>
      <c r="C8" s="2">
        <v>382</v>
      </c>
    </row>
    <row r="9" spans="1:3" x14ac:dyDescent="0.25">
      <c r="A9" s="2">
        <f>A8+1</f>
        <v>4</v>
      </c>
      <c r="B9" s="2">
        <v>62</v>
      </c>
      <c r="C9" s="2">
        <v>438</v>
      </c>
    </row>
    <row r="10" spans="1:3" x14ac:dyDescent="0.25">
      <c r="A10" s="2">
        <f t="shared" ref="A10:A33" si="0">A9+1</f>
        <v>5</v>
      </c>
      <c r="B10" s="2">
        <v>62</v>
      </c>
      <c r="C10" s="2">
        <v>417</v>
      </c>
    </row>
    <row r="11" spans="1:3" x14ac:dyDescent="0.25">
      <c r="A11" s="2">
        <f t="shared" si="0"/>
        <v>6</v>
      </c>
      <c r="B11" s="2">
        <v>49</v>
      </c>
      <c r="C11" s="2">
        <v>367</v>
      </c>
    </row>
    <row r="12" spans="1:3" x14ac:dyDescent="0.25">
      <c r="A12" s="2">
        <f t="shared" si="0"/>
        <v>7</v>
      </c>
      <c r="B12" s="2">
        <v>59</v>
      </c>
      <c r="C12" s="2">
        <v>387</v>
      </c>
    </row>
    <row r="13" spans="1:3" x14ac:dyDescent="0.25">
      <c r="A13" s="2">
        <f t="shared" si="0"/>
        <v>8</v>
      </c>
      <c r="B13" s="2">
        <v>55</v>
      </c>
      <c r="C13" s="2">
        <v>463</v>
      </c>
    </row>
    <row r="14" spans="1:3" x14ac:dyDescent="0.25">
      <c r="A14" s="2">
        <f t="shared" si="0"/>
        <v>9</v>
      </c>
      <c r="B14" s="2">
        <v>54</v>
      </c>
      <c r="C14" s="2">
        <v>357</v>
      </c>
    </row>
    <row r="15" spans="1:3" x14ac:dyDescent="0.25">
      <c r="A15" s="2">
        <f t="shared" si="0"/>
        <v>10</v>
      </c>
      <c r="B15" s="2">
        <v>50</v>
      </c>
      <c r="C15" s="2">
        <v>316</v>
      </c>
    </row>
    <row r="16" spans="1:3" x14ac:dyDescent="0.25">
      <c r="A16" s="2">
        <f t="shared" si="0"/>
        <v>11</v>
      </c>
      <c r="B16" s="2">
        <v>38</v>
      </c>
      <c r="C16" s="2">
        <v>369</v>
      </c>
    </row>
    <row r="17" spans="1:3" x14ac:dyDescent="0.25">
      <c r="A17" s="2">
        <f t="shared" si="0"/>
        <v>12</v>
      </c>
      <c r="B17" s="2">
        <v>45</v>
      </c>
      <c r="C17" s="2">
        <v>284</v>
      </c>
    </row>
    <row r="18" spans="1:3" x14ac:dyDescent="0.25">
      <c r="A18" s="2">
        <f t="shared" si="0"/>
        <v>13</v>
      </c>
      <c r="B18" s="2">
        <v>45</v>
      </c>
      <c r="C18" s="2">
        <v>323</v>
      </c>
    </row>
    <row r="19" spans="1:3" x14ac:dyDescent="0.25">
      <c r="A19" s="2">
        <f t="shared" si="0"/>
        <v>14</v>
      </c>
      <c r="B19" s="2">
        <v>46</v>
      </c>
      <c r="C19" s="2">
        <v>410</v>
      </c>
    </row>
    <row r="20" spans="1:3" x14ac:dyDescent="0.25">
      <c r="A20" s="2">
        <f t="shared" si="0"/>
        <v>15</v>
      </c>
      <c r="B20" s="2">
        <v>35</v>
      </c>
      <c r="C20" s="2">
        <v>344</v>
      </c>
    </row>
    <row r="21" spans="1:3" x14ac:dyDescent="0.25">
      <c r="A21" s="2">
        <f t="shared" si="0"/>
        <v>16</v>
      </c>
      <c r="B21" s="2">
        <v>71</v>
      </c>
      <c r="C21" s="2">
        <v>450</v>
      </c>
    </row>
    <row r="22" spans="1:3" x14ac:dyDescent="0.25">
      <c r="A22" s="2">
        <f t="shared" si="0"/>
        <v>17</v>
      </c>
      <c r="B22" s="2">
        <v>71</v>
      </c>
      <c r="C22" s="2">
        <v>309</v>
      </c>
    </row>
    <row r="23" spans="1:3" x14ac:dyDescent="0.25">
      <c r="A23" s="2">
        <f t="shared" si="0"/>
        <v>18</v>
      </c>
      <c r="B23" s="2">
        <v>33</v>
      </c>
      <c r="C23" s="2">
        <v>341</v>
      </c>
    </row>
    <row r="24" spans="1:3" x14ac:dyDescent="0.25">
      <c r="A24" s="2">
        <f t="shared" si="0"/>
        <v>19</v>
      </c>
      <c r="B24" s="2">
        <v>37</v>
      </c>
      <c r="C24" s="2">
        <v>353</v>
      </c>
    </row>
    <row r="25" spans="1:3" x14ac:dyDescent="0.25">
      <c r="A25" s="2">
        <f t="shared" si="0"/>
        <v>20</v>
      </c>
      <c r="B25" s="2">
        <v>69</v>
      </c>
      <c r="C25" s="2">
        <v>351</v>
      </c>
    </row>
    <row r="26" spans="1:3" x14ac:dyDescent="0.25">
      <c r="A26" s="2">
        <f t="shared" si="0"/>
        <v>21</v>
      </c>
      <c r="B26" s="2">
        <v>71</v>
      </c>
      <c r="C26" s="2">
        <v>338</v>
      </c>
    </row>
    <row r="27" spans="1:3" x14ac:dyDescent="0.25">
      <c r="A27" s="2">
        <f t="shared" si="0"/>
        <v>22</v>
      </c>
      <c r="B27" s="2">
        <v>38</v>
      </c>
      <c r="C27" s="2">
        <v>369</v>
      </c>
    </row>
    <row r="28" spans="1:3" x14ac:dyDescent="0.25">
      <c r="A28" s="2">
        <f t="shared" si="0"/>
        <v>23</v>
      </c>
      <c r="B28" s="2">
        <v>35</v>
      </c>
      <c r="C28" s="2">
        <v>357</v>
      </c>
    </row>
    <row r="29" spans="1:3" x14ac:dyDescent="0.25">
      <c r="A29" s="2">
        <f t="shared" si="0"/>
        <v>24</v>
      </c>
      <c r="B29" s="2">
        <v>26</v>
      </c>
      <c r="C29" s="2">
        <v>270</v>
      </c>
    </row>
    <row r="30" spans="1:3" x14ac:dyDescent="0.25">
      <c r="A30" s="2">
        <f t="shared" si="0"/>
        <v>25</v>
      </c>
      <c r="B30" s="2">
        <v>26</v>
      </c>
      <c r="C30" s="2">
        <v>234</v>
      </c>
    </row>
    <row r="31" spans="1:3" x14ac:dyDescent="0.25">
      <c r="A31" s="2">
        <f t="shared" si="0"/>
        <v>26</v>
      </c>
      <c r="B31" s="2">
        <v>23</v>
      </c>
      <c r="C31" s="2">
        <v>209</v>
      </c>
    </row>
    <row r="32" spans="1:3" x14ac:dyDescent="0.25">
      <c r="A32" s="2">
        <f t="shared" si="0"/>
        <v>27</v>
      </c>
      <c r="B32" s="2">
        <v>23</v>
      </c>
      <c r="C32" s="2">
        <v>224</v>
      </c>
    </row>
    <row r="33" spans="1:3" x14ac:dyDescent="0.25">
      <c r="A33" s="2">
        <f t="shared" si="0"/>
        <v>28</v>
      </c>
      <c r="B33" s="2">
        <v>15</v>
      </c>
      <c r="C33" s="2">
        <v>205</v>
      </c>
    </row>
    <row r="34" spans="1:3" x14ac:dyDescent="0.25">
      <c r="A34" s="2"/>
      <c r="B34" s="2">
        <v>11</v>
      </c>
      <c r="C34" s="2">
        <v>198</v>
      </c>
    </row>
    <row r="35" spans="1:3" x14ac:dyDescent="0.25">
      <c r="A35" s="2"/>
      <c r="B35" s="2"/>
      <c r="C35" s="2"/>
    </row>
    <row r="36" spans="1:3" x14ac:dyDescent="0.25">
      <c r="A36" s="2"/>
      <c r="B36" s="2"/>
      <c r="C36" s="2"/>
    </row>
    <row r="38" spans="1:3" x14ac:dyDescent="0.25">
      <c r="B38" s="6">
        <f>SUM(B6:B36)</f>
        <v>1361</v>
      </c>
      <c r="C38" s="6">
        <f>SUM(C6:C36)</f>
        <v>10190</v>
      </c>
    </row>
  </sheetData>
  <mergeCells count="4">
    <mergeCell ref="A2:C2"/>
    <mergeCell ref="C3:C5"/>
    <mergeCell ref="A3:A5"/>
    <mergeCell ref="B3:B5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0047CC794813E498F4E0E4373AD9880" ma:contentTypeVersion="13" ma:contentTypeDescription="Create a new document." ma:contentTypeScope="" ma:versionID="0f442fd14c8c2f27e599873b8aa4e1da">
  <xsd:schema xmlns:xsd="http://www.w3.org/2001/XMLSchema" xmlns:xs="http://www.w3.org/2001/XMLSchema" xmlns:p="http://schemas.microsoft.com/office/2006/metadata/properties" xmlns:ns3="ed2f2222-2bff-489f-89bb-9539c67e7b9c" xmlns:ns4="77842aba-bda6-4832-96cd-e75cb5324294" targetNamespace="http://schemas.microsoft.com/office/2006/metadata/properties" ma:root="true" ma:fieldsID="e4c8dcf7dcd090c9b8489b6930ce9acf" ns3:_="" ns4:_="">
    <xsd:import namespace="ed2f2222-2bff-489f-89bb-9539c67e7b9c"/>
    <xsd:import namespace="77842aba-bda6-4832-96cd-e75cb5324294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DateTaken" minOccurs="0"/>
                <xsd:element ref="ns4:MediaServiceAutoTags" minOccurs="0"/>
                <xsd:element ref="ns4:MediaServiceOCR" minOccurs="0"/>
                <xsd:element ref="ns4:MediaServiceLocation" minOccurs="0"/>
                <xsd:element ref="ns4:MediaServiceGenerationTime" minOccurs="0"/>
                <xsd:element ref="ns4:MediaServiceEventHashCode" minOccurs="0"/>
                <xsd:element ref="ns4:MediaServiceAutoKeyPoints" minOccurs="0"/>
                <xsd:element ref="ns4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d2f2222-2bff-489f-89bb-9539c67e7b9c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7842aba-bda6-4832-96cd-e75cb532429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4C324EC-38EF-4CFC-9AFF-4A199CEAD0D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d2f2222-2bff-489f-89bb-9539c67e7b9c"/>
    <ds:schemaRef ds:uri="77842aba-bda6-4832-96cd-e75cb532429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F63AC17-9EFD-48DA-BB12-4FD1F7102A5E}">
  <ds:schemaRefs>
    <ds:schemaRef ds:uri="ed2f2222-2bff-489f-89bb-9539c67e7b9c"/>
    <ds:schemaRef ds:uri="http://purl.org/dc/terms/"/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http://schemas.microsoft.com/office/2006/documentManagement/types"/>
    <ds:schemaRef ds:uri="http://schemas.microsoft.com/office/2006/metadata/properties"/>
    <ds:schemaRef ds:uri="77842aba-bda6-4832-96cd-e75cb5324294"/>
    <ds:schemaRef ds:uri="http://www.w3.org/XML/1998/namespace"/>
    <ds:schemaRef ds:uri="http://purl.org/dc/elements/1.1/"/>
  </ds:schemaRefs>
</ds:datastoreItem>
</file>

<file path=customXml/itemProps3.xml><?xml version="1.0" encoding="utf-8"?>
<ds:datastoreItem xmlns:ds="http://schemas.openxmlformats.org/officeDocument/2006/customXml" ds:itemID="{9EAE74F4-7ADC-443D-BDD6-B8BBEBD453E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FS Jimbaran February 2020</vt:lpstr>
      <vt:lpstr>RNs &amp; Covers February 2020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Wu</dc:creator>
  <cp:lastModifiedBy>Tjokorda Gde Sparsa Krisyana Krisyana</cp:lastModifiedBy>
  <cp:lastPrinted>2020-11-17T04:34:44Z</cp:lastPrinted>
  <dcterms:created xsi:type="dcterms:W3CDTF">2020-09-16T08:52:25Z</dcterms:created>
  <dcterms:modified xsi:type="dcterms:W3CDTF">2022-04-30T10:50:00Z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0x010100E0047CC794813E498F4E0E4373AD9880</vt:lpwstr>
  </property>
</Properties>
</file>