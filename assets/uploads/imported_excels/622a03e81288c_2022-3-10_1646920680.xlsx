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30" windowWidth="14325" windowHeight="12060" tabRatio="578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X2" i="3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8"/>
  <c r="C9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8"/>
  <c r="B9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7"/>
  <c r="L8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7"/>
  <c r="H8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7"/>
  <c r="F8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7"/>
  <c r="D8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F31" l="1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X37" s="1"/>
  <c r="AX42" s="1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Y35" i="7" l="1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Q33" i="5" l="1"/>
  <c r="M29" i="81" s="1"/>
  <c r="P34" i="5"/>
  <c r="O35"/>
  <c r="W33"/>
  <c r="AL33" s="1"/>
  <c r="V34"/>
  <c r="N34"/>
  <c r="M35"/>
  <c r="L21" i="3"/>
  <c r="M20"/>
  <c r="AK17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<sst xmlns="http://schemas.openxmlformats.org/spreadsheetml/2006/main" count="666" uniqueCount="418">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</sst>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7829888"/>
        <c:axId val="147831424"/>
      </c:lineChart>
      <c:catAx>
        <c:axId val="14782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31424"/>
        <c:crosses val="autoZero"/>
        <c:auto val="1"/>
        <c:lblAlgn val="ctr"/>
        <c:lblOffset val="100"/>
      </c:catAx>
      <c:valAx>
        <c:axId val="1478314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2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71593088"/>
        <c:axId val="141235328"/>
      </c:lineChart>
      <c:catAx>
        <c:axId val="17159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35328"/>
        <c:crosses val="autoZero"/>
        <c:auto val="1"/>
        <c:lblAlgn val="ctr"/>
        <c:lblOffset val="100"/>
      </c:catAx>
      <c:valAx>
        <c:axId val="141235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9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3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1247616"/>
        <c:axId val="141249152"/>
      </c:lineChart>
      <c:catAx>
        <c:axId val="14124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49152"/>
        <c:crosses val="autoZero"/>
        <c:auto val="1"/>
        <c:lblAlgn val="ctr"/>
        <c:lblOffset val="100"/>
      </c:catAx>
      <c:valAx>
        <c:axId val="1412491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4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1281920"/>
        <c:axId val="141283712"/>
      </c:lineChart>
      <c:catAx>
        <c:axId val="14128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83712"/>
        <c:crosses val="autoZero"/>
        <c:auto val="1"/>
        <c:lblAlgn val="ctr"/>
        <c:lblOffset val="100"/>
      </c:catAx>
      <c:valAx>
        <c:axId val="1412837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8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76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7759488"/>
        <c:axId val="147761024"/>
      </c:lineChart>
      <c:catAx>
        <c:axId val="14775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61024"/>
        <c:crosses val="autoZero"/>
        <c:auto val="1"/>
        <c:lblAlgn val="ctr"/>
        <c:lblOffset val="100"/>
      </c:catAx>
      <c:valAx>
        <c:axId val="1477610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75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78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71026688"/>
        <c:axId val="171057152"/>
      </c:lineChart>
      <c:catAx>
        <c:axId val="17102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57152"/>
        <c:crosses val="autoZero"/>
        <c:auto val="1"/>
        <c:lblAlgn val="ctr"/>
        <c:lblOffset val="100"/>
      </c:catAx>
      <c:valAx>
        <c:axId val="17105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2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71077632"/>
        <c:axId val="171079168"/>
      </c:lineChart>
      <c:catAx>
        <c:axId val="17107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79168"/>
        <c:crosses val="autoZero"/>
        <c:auto val="1"/>
        <c:lblAlgn val="ctr"/>
        <c:lblOffset val="100"/>
      </c:catAx>
      <c:valAx>
        <c:axId val="17107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7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71189760"/>
        <c:axId val="171191296"/>
      </c:lineChart>
      <c:catAx>
        <c:axId val="1711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91296"/>
        <c:crosses val="autoZero"/>
        <c:auto val="1"/>
        <c:lblAlgn val="ctr"/>
        <c:lblOffset val="100"/>
      </c:catAx>
      <c:valAx>
        <c:axId val="17119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71215872"/>
        <c:axId val="171238144"/>
      </c:lineChart>
      <c:catAx>
        <c:axId val="17121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38144"/>
        <c:crosses val="autoZero"/>
        <c:auto val="1"/>
        <c:lblAlgn val="ctr"/>
        <c:lblOffset val="100"/>
      </c:catAx>
      <c:valAx>
        <c:axId val="171238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1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077"/>
          <c:w val="0.1272403315177655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71463424"/>
        <c:axId val="171464960"/>
      </c:lineChart>
      <c:catAx>
        <c:axId val="17146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64960"/>
        <c:crosses val="autoZero"/>
        <c:auto val="1"/>
        <c:lblAlgn val="ctr"/>
        <c:lblOffset val="100"/>
      </c:catAx>
      <c:valAx>
        <c:axId val="17146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6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5668480"/>
        <c:axId val="147849216"/>
      </c:lineChart>
      <c:catAx>
        <c:axId val="9566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849216"/>
        <c:crosses val="autoZero"/>
        <c:auto val="1"/>
        <c:lblAlgn val="ctr"/>
        <c:lblOffset val="100"/>
      </c:catAx>
      <c:valAx>
        <c:axId val="1478492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6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70746240"/>
        <c:axId val="170747776"/>
      </c:lineChart>
      <c:catAx>
        <c:axId val="17074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47776"/>
        <c:crosses val="autoZero"/>
        <c:auto val="1"/>
        <c:lblAlgn val="ctr"/>
        <c:lblOffset val="100"/>
      </c:catAx>
      <c:valAx>
        <c:axId val="170747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4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2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304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70776832"/>
        <c:axId val="95485952"/>
      </c:lineChart>
      <c:catAx>
        <c:axId val="17077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85952"/>
        <c:crosses val="autoZero"/>
        <c:auto val="1"/>
        <c:lblAlgn val="ctr"/>
        <c:lblOffset val="100"/>
      </c:catAx>
      <c:valAx>
        <c:axId val="9548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7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077"/>
          <c:w val="0.135416885389379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5514624"/>
        <c:axId val="95516160"/>
      </c:lineChart>
      <c:catAx>
        <c:axId val="955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16160"/>
        <c:crosses val="autoZero"/>
        <c:auto val="1"/>
        <c:lblAlgn val="ctr"/>
        <c:lblOffset val="100"/>
      </c:catAx>
      <c:valAx>
        <c:axId val="95516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07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5545216"/>
        <c:axId val="95546752"/>
      </c:lineChart>
      <c:catAx>
        <c:axId val="9554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46752"/>
        <c:crosses val="autoZero"/>
        <c:auto val="1"/>
        <c:lblAlgn val="ctr"/>
        <c:lblOffset val="100"/>
      </c:catAx>
      <c:valAx>
        <c:axId val="95546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4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7463680"/>
        <c:axId val="97481856"/>
      </c:lineChart>
      <c:catAx>
        <c:axId val="9746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81856"/>
        <c:crosses val="autoZero"/>
        <c:auto val="1"/>
        <c:lblAlgn val="ctr"/>
        <c:lblOffset val="100"/>
      </c:catAx>
      <c:valAx>
        <c:axId val="9748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6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077"/>
          <c:w val="0.135416885389379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7514624"/>
        <c:axId val="97516160"/>
      </c:lineChart>
      <c:catAx>
        <c:axId val="9751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6160"/>
        <c:crosses val="autoZero"/>
        <c:auto val="1"/>
        <c:lblAlgn val="ctr"/>
        <c:lblOffset val="100"/>
      </c:catAx>
      <c:valAx>
        <c:axId val="975161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23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-831.70967741935601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7553024"/>
        <c:axId val="97563008"/>
      </c:lineChart>
      <c:catAx>
        <c:axId val="9755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63008"/>
        <c:crosses val="autoZero"/>
        <c:auto val="1"/>
        <c:lblAlgn val="ctr"/>
        <c:lblOffset val="100"/>
      </c:catAx>
      <c:valAx>
        <c:axId val="97563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5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7571584"/>
        <c:axId val="97573120"/>
      </c:lineChart>
      <c:catAx>
        <c:axId val="9757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73120"/>
        <c:crosses val="autoZero"/>
        <c:auto val="1"/>
        <c:lblAlgn val="ctr"/>
        <c:lblOffset val="100"/>
      </c:catAx>
      <c:valAx>
        <c:axId val="97573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7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00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8343168"/>
        <c:axId val="98349056"/>
      </c:lineChart>
      <c:catAx>
        <c:axId val="9834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49056"/>
        <c:crosses val="autoZero"/>
        <c:auto val="1"/>
        <c:lblAlgn val="ctr"/>
        <c:lblOffset val="100"/>
      </c:catAx>
      <c:valAx>
        <c:axId val="983490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4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8451456"/>
        <c:axId val="98452992"/>
      </c:lineChart>
      <c:catAx>
        <c:axId val="9845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52992"/>
        <c:crosses val="autoZero"/>
        <c:auto val="1"/>
        <c:lblAlgn val="ctr"/>
        <c:lblOffset val="100"/>
      </c:catAx>
      <c:valAx>
        <c:axId val="98452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5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8493952"/>
        <c:axId val="98495488"/>
      </c:lineChart>
      <c:catAx>
        <c:axId val="984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95488"/>
        <c:crosses val="autoZero"/>
        <c:auto val="1"/>
        <c:lblAlgn val="ctr"/>
        <c:lblOffset val="100"/>
      </c:catAx>
      <c:valAx>
        <c:axId val="9849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9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93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8380800"/>
        <c:axId val="98382592"/>
      </c:lineChart>
      <c:catAx>
        <c:axId val="9838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2592"/>
        <c:crosses val="autoZero"/>
        <c:auto val="1"/>
        <c:lblAlgn val="ctr"/>
        <c:lblOffset val="100"/>
      </c:catAx>
      <c:valAx>
        <c:axId val="9838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07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8423552"/>
        <c:axId val="98425088"/>
      </c:lineChart>
      <c:catAx>
        <c:axId val="9842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25088"/>
        <c:crosses val="autoZero"/>
        <c:auto val="1"/>
        <c:lblAlgn val="ctr"/>
        <c:lblOffset val="100"/>
      </c:catAx>
      <c:valAx>
        <c:axId val="98425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763"/>
          <c:w val="0.1234311819809446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8524544"/>
        <c:axId val="98530432"/>
      </c:lineChart>
      <c:catAx>
        <c:axId val="985245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30432"/>
        <c:crosses val="autoZero"/>
        <c:auto val="1"/>
        <c:lblAlgn val="ctr"/>
        <c:lblOffset val="100"/>
      </c:catAx>
      <c:valAx>
        <c:axId val="985304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2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416"/>
          <c:w val="0.1569039853282443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8554624"/>
        <c:axId val="98556160"/>
      </c:lineChart>
      <c:catAx>
        <c:axId val="9855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56160"/>
        <c:crosses val="autoZero"/>
        <c:auto val="1"/>
        <c:lblAlgn val="ctr"/>
        <c:lblOffset val="100"/>
      </c:catAx>
      <c:valAx>
        <c:axId val="98556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5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19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0158080"/>
        <c:axId val="100168064"/>
      </c:lineChart>
      <c:catAx>
        <c:axId val="10015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68064"/>
        <c:crosses val="autoZero"/>
        <c:auto val="1"/>
        <c:lblAlgn val="ctr"/>
        <c:lblOffset val="100"/>
      </c:catAx>
      <c:valAx>
        <c:axId val="10016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5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83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5250304"/>
        <c:axId val="95251840"/>
      </c:lineChart>
      <c:catAx>
        <c:axId val="952503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51840"/>
        <c:crosses val="autoZero"/>
        <c:auto val="1"/>
        <c:lblAlgn val="ctr"/>
        <c:lblOffset val="100"/>
      </c:catAx>
      <c:valAx>
        <c:axId val="952518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5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41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N30" sqref="N30:N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0.22099151714521562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0.39452112659804489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0.36537212544796605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0.32505086795200733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0.39930645204303195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0.31157254296818149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4939</v>
      </c>
      <c r="F10" s="315">
        <f>SUM('EDl log'!T12)</f>
        <v>0.13074454576508004</v>
      </c>
      <c r="G10" s="203">
        <f>-tanks!AW14</f>
        <v>304</v>
      </c>
      <c r="H10" s="315">
        <f>tanks!AV14</f>
        <v>1.1000000000000001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1.1000000000000001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1.1000000000000001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1.1000000000000001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1.1000000000000001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1.1000000000000001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1.1000000000000001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1.1000000000000001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1.1000000000000001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1.1000000000000001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1.1000000000000001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1.1000000000000001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1.1000000000000001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1.1000000000000001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1.1000000000000001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1.1000000000000001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1.1000000000000001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1.1000000000000001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1.1000000000000001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1.1000000000000001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1.1000000000000001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1.1000000000000001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1.1000000000000001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876</v>
      </c>
      <c r="F10" s="203">
        <f>ELEC!K12</f>
        <v>1430</v>
      </c>
      <c r="G10" s="203">
        <f>ELEC!I12</f>
        <v>404</v>
      </c>
      <c r="H10" s="203">
        <f>ELEC!E12</f>
        <v>1970</v>
      </c>
      <c r="I10" s="203">
        <f>ELEC!G12</f>
        <v>259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F1" zoomScale="70" zoomScaleNormal="70" zoomScaleSheetLayoutView="100" workbookViewId="0">
      <pane ySplit="2" topLeftCell="A3" activePane="bottomLeft" state="frozen"/>
      <selection activeCell="C1" sqref="C1"/>
      <selection pane="bottomLeft" activeCell="K24" sqref="K24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v>227040</v>
      </c>
      <c r="E12" s="580">
        <f>D12-D11</f>
        <v>1970</v>
      </c>
      <c r="F12" s="569">
        <v>4121702</v>
      </c>
      <c r="G12" s="449">
        <f t="shared" si="15"/>
        <v>259</v>
      </c>
      <c r="H12" s="426">
        <v>18022662</v>
      </c>
      <c r="I12" s="449">
        <f t="shared" si="16"/>
        <v>404</v>
      </c>
      <c r="J12" s="426">
        <v>29728672</v>
      </c>
      <c r="K12" s="449">
        <f t="shared" si="17"/>
        <v>1430</v>
      </c>
      <c r="L12" s="426">
        <v>24546242</v>
      </c>
      <c r="M12" s="449">
        <f t="shared" si="18"/>
        <v>876</v>
      </c>
      <c r="N12" s="297">
        <f>M12+K12+I12+G12+E12</f>
        <v>4939</v>
      </c>
      <c r="O12" s="445">
        <f t="shared" si="32"/>
        <v>0</v>
      </c>
      <c r="P12" s="563">
        <v>19035.971000000001</v>
      </c>
      <c r="Q12" s="446">
        <f t="shared" si="1"/>
        <v>4631.0000000012224</v>
      </c>
      <c r="R12" s="428">
        <f t="shared" si="29"/>
        <v>307.99999999877764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f t="shared" si="23"/>
        <v>227040</v>
      </c>
      <c r="E13" s="580">
        <f t="shared" si="7"/>
        <v>0</v>
      </c>
      <c r="F13" s="569">
        <f t="shared" si="24"/>
        <v>4121702</v>
      </c>
      <c r="G13" s="449">
        <f t="shared" si="15"/>
        <v>0</v>
      </c>
      <c r="H13" s="426">
        <f t="shared" si="25"/>
        <v>18022662</v>
      </c>
      <c r="I13" s="449">
        <f t="shared" si="16"/>
        <v>0</v>
      </c>
      <c r="J13" s="426">
        <f t="shared" si="26"/>
        <v>29728672</v>
      </c>
      <c r="K13" s="449">
        <f t="shared" si="17"/>
        <v>0</v>
      </c>
      <c r="L13" s="426">
        <f t="shared" si="27"/>
        <v>24546242</v>
      </c>
      <c r="M13" s="449">
        <f t="shared" si="18"/>
        <v>0</v>
      </c>
      <c r="N13" s="297">
        <f>M13+K13+I13+G13+E13</f>
        <v>0</v>
      </c>
      <c r="O13" s="445">
        <f t="shared" si="32"/>
        <v>0</v>
      </c>
      <c r="P13" s="563">
        <f t="shared" si="28"/>
        <v>19035.971000000001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f t="shared" si="23"/>
        <v>227040</v>
      </c>
      <c r="E14" s="580">
        <f t="shared" si="7"/>
        <v>0</v>
      </c>
      <c r="F14" s="569">
        <f t="shared" si="24"/>
        <v>4121702</v>
      </c>
      <c r="G14" s="449">
        <f t="shared" si="15"/>
        <v>0</v>
      </c>
      <c r="H14" s="426">
        <f t="shared" si="25"/>
        <v>18022662</v>
      </c>
      <c r="I14" s="449">
        <f t="shared" si="16"/>
        <v>0</v>
      </c>
      <c r="J14" s="426">
        <f t="shared" si="26"/>
        <v>29728672</v>
      </c>
      <c r="K14" s="449">
        <f t="shared" si="17"/>
        <v>0</v>
      </c>
      <c r="L14" s="426">
        <f t="shared" si="27"/>
        <v>24546242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3">
        <f t="shared" si="28"/>
        <v>19035.971000000001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227040</v>
      </c>
      <c r="E15" s="580">
        <f t="shared" si="7"/>
        <v>0</v>
      </c>
      <c r="F15" s="569">
        <f t="shared" si="24"/>
        <v>4121702</v>
      </c>
      <c r="G15" s="449">
        <f t="shared" si="15"/>
        <v>0</v>
      </c>
      <c r="H15" s="426">
        <f t="shared" si="25"/>
        <v>18022662</v>
      </c>
      <c r="I15" s="449">
        <f t="shared" si="16"/>
        <v>0</v>
      </c>
      <c r="J15" s="426">
        <f t="shared" si="26"/>
        <v>29728672</v>
      </c>
      <c r="K15" s="449">
        <f t="shared" si="17"/>
        <v>0</v>
      </c>
      <c r="L15" s="426">
        <f t="shared" si="27"/>
        <v>24546242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19035.971000000001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f t="shared" si="23"/>
        <v>227040</v>
      </c>
      <c r="E16" s="580">
        <f t="shared" si="7"/>
        <v>0</v>
      </c>
      <c r="F16" s="569">
        <f t="shared" si="24"/>
        <v>4121702</v>
      </c>
      <c r="G16" s="449">
        <f t="shared" si="15"/>
        <v>0</v>
      </c>
      <c r="H16" s="426">
        <f t="shared" si="25"/>
        <v>18022662</v>
      </c>
      <c r="I16" s="449">
        <f t="shared" si="16"/>
        <v>0</v>
      </c>
      <c r="J16" s="426">
        <f t="shared" si="26"/>
        <v>29728672</v>
      </c>
      <c r="K16" s="449">
        <f t="shared" si="17"/>
        <v>0</v>
      </c>
      <c r="L16" s="426">
        <f t="shared" si="27"/>
        <v>24546242</v>
      </c>
      <c r="M16" s="449">
        <f t="shared" si="18"/>
        <v>0</v>
      </c>
      <c r="N16" s="297">
        <f t="shared" si="19"/>
        <v>0</v>
      </c>
      <c r="O16" s="445">
        <f t="shared" si="32"/>
        <v>0</v>
      </c>
      <c r="P16" s="563">
        <f t="shared" si="28"/>
        <v>19035.971000000001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f t="shared" si="23"/>
        <v>227040</v>
      </c>
      <c r="E17" s="580">
        <f t="shared" si="7"/>
        <v>0</v>
      </c>
      <c r="F17" s="569">
        <f t="shared" si="24"/>
        <v>4121702</v>
      </c>
      <c r="G17" s="449">
        <f t="shared" si="15"/>
        <v>0</v>
      </c>
      <c r="H17" s="426">
        <f t="shared" si="25"/>
        <v>18022662</v>
      </c>
      <c r="I17" s="449">
        <f t="shared" si="16"/>
        <v>0</v>
      </c>
      <c r="J17" s="426">
        <f t="shared" si="26"/>
        <v>29728672</v>
      </c>
      <c r="K17" s="449">
        <f t="shared" si="17"/>
        <v>0</v>
      </c>
      <c r="L17" s="426">
        <f t="shared" si="27"/>
        <v>24546242</v>
      </c>
      <c r="M17" s="449">
        <f t="shared" si="18"/>
        <v>0</v>
      </c>
      <c r="N17" s="297">
        <f t="shared" si="19"/>
        <v>0</v>
      </c>
      <c r="O17" s="445">
        <f t="shared" si="32"/>
        <v>0</v>
      </c>
      <c r="P17" s="563">
        <f t="shared" si="28"/>
        <v>19035.971000000001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f t="shared" si="23"/>
        <v>227040</v>
      </c>
      <c r="E18" s="580">
        <f t="shared" si="7"/>
        <v>0</v>
      </c>
      <c r="F18" s="569">
        <f t="shared" si="24"/>
        <v>4121702</v>
      </c>
      <c r="G18" s="449">
        <f t="shared" si="15"/>
        <v>0</v>
      </c>
      <c r="H18" s="426">
        <f t="shared" si="25"/>
        <v>18022662</v>
      </c>
      <c r="I18" s="449">
        <f t="shared" si="16"/>
        <v>0</v>
      </c>
      <c r="J18" s="426">
        <f t="shared" si="26"/>
        <v>29728672</v>
      </c>
      <c r="K18" s="449">
        <f t="shared" si="17"/>
        <v>0</v>
      </c>
      <c r="L18" s="426">
        <f t="shared" si="27"/>
        <v>24546242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3">
        <f t="shared" si="28"/>
        <v>19035.971000000001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23"/>
        <v>227040</v>
      </c>
      <c r="E19" s="580">
        <f t="shared" si="7"/>
        <v>0</v>
      </c>
      <c r="F19" s="569">
        <f t="shared" si="24"/>
        <v>4121702</v>
      </c>
      <c r="G19" s="449">
        <f t="shared" si="15"/>
        <v>0</v>
      </c>
      <c r="H19" s="426">
        <f t="shared" si="25"/>
        <v>18022662</v>
      </c>
      <c r="I19" s="449">
        <f t="shared" si="16"/>
        <v>0</v>
      </c>
      <c r="J19" s="426">
        <f t="shared" si="26"/>
        <v>29728672</v>
      </c>
      <c r="K19" s="449">
        <f t="shared" si="17"/>
        <v>0</v>
      </c>
      <c r="L19" s="426">
        <f t="shared" si="27"/>
        <v>24546242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3">
        <f t="shared" si="28"/>
        <v>19035.971000000001</v>
      </c>
      <c r="Q19" s="446">
        <f>(P19-P18)*1000</f>
        <v>0</v>
      </c>
      <c r="R19" s="594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23"/>
        <v>227040</v>
      </c>
      <c r="E20" s="580">
        <f t="shared" si="7"/>
        <v>0</v>
      </c>
      <c r="F20" s="569">
        <f t="shared" si="24"/>
        <v>4121702</v>
      </c>
      <c r="G20" s="449">
        <f t="shared" si="15"/>
        <v>0</v>
      </c>
      <c r="H20" s="426">
        <f t="shared" si="25"/>
        <v>18022662</v>
      </c>
      <c r="I20" s="449">
        <f t="shared" si="16"/>
        <v>0</v>
      </c>
      <c r="J20" s="426">
        <f t="shared" si="26"/>
        <v>29728672</v>
      </c>
      <c r="K20" s="449">
        <f t="shared" si="17"/>
        <v>0</v>
      </c>
      <c r="L20" s="426">
        <f t="shared" si="27"/>
        <v>24546242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3">
        <f t="shared" si="28"/>
        <v>19035.971000000001</v>
      </c>
      <c r="Q20" s="446">
        <f>(P20-P19)*1000</f>
        <v>0</v>
      </c>
      <c r="R20" s="594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227040</v>
      </c>
      <c r="E21" s="580">
        <f t="shared" si="7"/>
        <v>0</v>
      </c>
      <c r="F21" s="569">
        <f t="shared" si="24"/>
        <v>4121702</v>
      </c>
      <c r="G21" s="449">
        <f t="shared" si="15"/>
        <v>0</v>
      </c>
      <c r="H21" s="426">
        <f t="shared" si="25"/>
        <v>18022662</v>
      </c>
      <c r="I21" s="449">
        <f t="shared" si="16"/>
        <v>0</v>
      </c>
      <c r="J21" s="426">
        <f t="shared" si="26"/>
        <v>29728672</v>
      </c>
      <c r="K21" s="449">
        <f t="shared" si="17"/>
        <v>0</v>
      </c>
      <c r="L21" s="426">
        <f t="shared" si="27"/>
        <v>24546242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19035.971000000001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227040</v>
      </c>
      <c r="E22" s="580">
        <f t="shared" ref="E22" si="36">D22-D21</f>
        <v>0</v>
      </c>
      <c r="F22" s="569">
        <f t="shared" si="24"/>
        <v>4121702</v>
      </c>
      <c r="G22" s="449">
        <f t="shared" ref="G22" si="37">F22-F21</f>
        <v>0</v>
      </c>
      <c r="H22" s="426">
        <f t="shared" si="25"/>
        <v>18022662</v>
      </c>
      <c r="I22" s="449">
        <f t="shared" ref="I22" si="38">H22-H21</f>
        <v>0</v>
      </c>
      <c r="J22" s="426">
        <f t="shared" si="26"/>
        <v>29728672</v>
      </c>
      <c r="K22" s="449">
        <f t="shared" ref="K22" si="39">J22-J21</f>
        <v>0</v>
      </c>
      <c r="L22" s="426">
        <f t="shared" si="27"/>
        <v>24546242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19035.971000000001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23"/>
        <v>227040</v>
      </c>
      <c r="E23" s="580">
        <f t="shared" si="7"/>
        <v>0</v>
      </c>
      <c r="F23" s="569">
        <f t="shared" si="24"/>
        <v>4121702</v>
      </c>
      <c r="G23" s="449">
        <f t="shared" si="15"/>
        <v>0</v>
      </c>
      <c r="H23" s="426">
        <f t="shared" si="25"/>
        <v>18022662</v>
      </c>
      <c r="I23" s="449">
        <f t="shared" si="16"/>
        <v>0</v>
      </c>
      <c r="J23" s="426">
        <f t="shared" si="26"/>
        <v>29728672</v>
      </c>
      <c r="K23" s="449">
        <f t="shared" si="17"/>
        <v>0</v>
      </c>
      <c r="L23" s="426">
        <f t="shared" si="27"/>
        <v>24546242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3">
        <f t="shared" si="28"/>
        <v>19035.971000000001</v>
      </c>
      <c r="Q23" s="446">
        <f t="shared" si="1"/>
        <v>0</v>
      </c>
      <c r="R23" s="594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227040</v>
      </c>
      <c r="E24" s="580">
        <f t="shared" si="7"/>
        <v>0</v>
      </c>
      <c r="F24" s="569">
        <f t="shared" si="24"/>
        <v>4121702</v>
      </c>
      <c r="G24" s="449">
        <f t="shared" si="15"/>
        <v>0</v>
      </c>
      <c r="H24" s="426">
        <f t="shared" si="25"/>
        <v>18022662</v>
      </c>
      <c r="I24" s="599">
        <f t="shared" si="16"/>
        <v>0</v>
      </c>
      <c r="J24" s="426">
        <f t="shared" si="26"/>
        <v>29728672</v>
      </c>
      <c r="K24" s="449">
        <f t="shared" si="17"/>
        <v>0</v>
      </c>
      <c r="L24" s="426">
        <f t="shared" si="27"/>
        <v>24546242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19035.971000000001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227040</v>
      </c>
      <c r="E25" s="580">
        <f t="shared" si="7"/>
        <v>0</v>
      </c>
      <c r="F25" s="569">
        <f t="shared" si="24"/>
        <v>4121702</v>
      </c>
      <c r="G25" s="449">
        <f t="shared" si="15"/>
        <v>0</v>
      </c>
      <c r="H25" s="426">
        <f t="shared" si="25"/>
        <v>18022662</v>
      </c>
      <c r="I25" s="449">
        <f t="shared" si="16"/>
        <v>0</v>
      </c>
      <c r="J25" s="426">
        <f t="shared" si="26"/>
        <v>29728672</v>
      </c>
      <c r="K25" s="449">
        <f t="shared" si="17"/>
        <v>0</v>
      </c>
      <c r="L25" s="426">
        <f t="shared" si="27"/>
        <v>24546242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19035.971000000001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227040</v>
      </c>
      <c r="E26" s="580">
        <f t="shared" si="7"/>
        <v>0</v>
      </c>
      <c r="F26" s="569">
        <f t="shared" si="24"/>
        <v>4121702</v>
      </c>
      <c r="G26" s="449">
        <f t="shared" si="15"/>
        <v>0</v>
      </c>
      <c r="H26" s="426">
        <f t="shared" si="25"/>
        <v>18022662</v>
      </c>
      <c r="I26" s="449">
        <f t="shared" si="16"/>
        <v>0</v>
      </c>
      <c r="J26" s="426">
        <f t="shared" si="26"/>
        <v>29728672</v>
      </c>
      <c r="K26" s="449">
        <f t="shared" si="17"/>
        <v>0</v>
      </c>
      <c r="L26" s="426">
        <f t="shared" si="27"/>
        <v>24546242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19035.971000000001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227040</v>
      </c>
      <c r="E27" s="580">
        <f t="shared" si="7"/>
        <v>0</v>
      </c>
      <c r="F27" s="569">
        <f t="shared" si="24"/>
        <v>4121702</v>
      </c>
      <c r="G27" s="449">
        <f t="shared" si="15"/>
        <v>0</v>
      </c>
      <c r="H27" s="426">
        <f t="shared" si="25"/>
        <v>18022662</v>
      </c>
      <c r="I27" s="449">
        <f t="shared" si="16"/>
        <v>0</v>
      </c>
      <c r="J27" s="426">
        <f t="shared" si="26"/>
        <v>29728672</v>
      </c>
      <c r="K27" s="449">
        <f t="shared" si="17"/>
        <v>0</v>
      </c>
      <c r="L27" s="426">
        <f t="shared" si="27"/>
        <v>24546242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19035.971000000001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227040</v>
      </c>
      <c r="E28" s="580">
        <f t="shared" si="7"/>
        <v>0</v>
      </c>
      <c r="F28" s="569">
        <f t="shared" si="24"/>
        <v>4121702</v>
      </c>
      <c r="G28" s="449">
        <f>F28-F27</f>
        <v>0</v>
      </c>
      <c r="H28" s="426">
        <f t="shared" si="25"/>
        <v>18022662</v>
      </c>
      <c r="I28" s="449">
        <f t="shared" si="16"/>
        <v>0</v>
      </c>
      <c r="J28" s="426">
        <f t="shared" si="26"/>
        <v>29728672</v>
      </c>
      <c r="K28" s="449">
        <f t="shared" si="17"/>
        <v>0</v>
      </c>
      <c r="L28" s="426">
        <f t="shared" si="27"/>
        <v>24546242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19035.971000000001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227040</v>
      </c>
      <c r="E29" s="580">
        <f t="shared" si="7"/>
        <v>0</v>
      </c>
      <c r="F29" s="569">
        <f t="shared" si="24"/>
        <v>4121702</v>
      </c>
      <c r="G29" s="449">
        <f>F29-F28</f>
        <v>0</v>
      </c>
      <c r="H29" s="426">
        <f t="shared" si="25"/>
        <v>18022662</v>
      </c>
      <c r="I29" s="449">
        <f>H29-H28</f>
        <v>0</v>
      </c>
      <c r="J29" s="426">
        <f t="shared" si="26"/>
        <v>29728672</v>
      </c>
      <c r="K29" s="449">
        <f>J29-J28</f>
        <v>0</v>
      </c>
      <c r="L29" s="426">
        <f t="shared" si="27"/>
        <v>24546242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19035.971000000001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227040</v>
      </c>
      <c r="E30" s="580">
        <f t="shared" si="7"/>
        <v>0</v>
      </c>
      <c r="F30" s="569">
        <f t="shared" si="24"/>
        <v>4121702</v>
      </c>
      <c r="G30" s="449">
        <f t="shared" si="15"/>
        <v>0</v>
      </c>
      <c r="H30" s="426">
        <f t="shared" si="25"/>
        <v>18022662</v>
      </c>
      <c r="I30" s="449">
        <f t="shared" si="16"/>
        <v>0</v>
      </c>
      <c r="J30" s="426">
        <f t="shared" si="26"/>
        <v>29728672</v>
      </c>
      <c r="K30" s="449">
        <f t="shared" si="17"/>
        <v>0</v>
      </c>
      <c r="L30" s="426">
        <f t="shared" si="27"/>
        <v>24546242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19035.971000000001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227040</v>
      </c>
      <c r="E31" s="580">
        <f t="shared" si="7"/>
        <v>0</v>
      </c>
      <c r="F31" s="569">
        <f t="shared" si="24"/>
        <v>4121702</v>
      </c>
      <c r="G31" s="449">
        <f t="shared" si="15"/>
        <v>0</v>
      </c>
      <c r="H31" s="426">
        <f t="shared" si="25"/>
        <v>18022662</v>
      </c>
      <c r="I31" s="449">
        <f t="shared" si="16"/>
        <v>0</v>
      </c>
      <c r="J31" s="426">
        <f t="shared" si="26"/>
        <v>29728672</v>
      </c>
      <c r="K31" s="449">
        <f t="shared" si="17"/>
        <v>0</v>
      </c>
      <c r="L31" s="426">
        <f t="shared" si="27"/>
        <v>24546242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19035.971000000001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227040</v>
      </c>
      <c r="E32" s="580">
        <f t="shared" si="7"/>
        <v>0</v>
      </c>
      <c r="F32" s="569">
        <f t="shared" si="24"/>
        <v>4121702</v>
      </c>
      <c r="G32" s="449">
        <f t="shared" si="15"/>
        <v>0</v>
      </c>
      <c r="H32" s="426">
        <f t="shared" si="25"/>
        <v>18022662</v>
      </c>
      <c r="I32" s="449">
        <f t="shared" si="16"/>
        <v>0</v>
      </c>
      <c r="J32" s="426">
        <f t="shared" si="26"/>
        <v>29728672</v>
      </c>
      <c r="K32" s="449">
        <f t="shared" si="17"/>
        <v>0</v>
      </c>
      <c r="L32" s="426">
        <f t="shared" si="27"/>
        <v>24546242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19035.971000000001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/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227040</v>
      </c>
      <c r="E33" s="580">
        <f t="shared" si="7"/>
        <v>0</v>
      </c>
      <c r="F33" s="569">
        <f t="shared" si="24"/>
        <v>4121702</v>
      </c>
      <c r="G33" s="449">
        <f t="shared" si="15"/>
        <v>0</v>
      </c>
      <c r="H33" s="426">
        <f t="shared" si="25"/>
        <v>18022662</v>
      </c>
      <c r="I33" s="449">
        <f t="shared" si="16"/>
        <v>0</v>
      </c>
      <c r="J33" s="426">
        <f t="shared" si="26"/>
        <v>29728672</v>
      </c>
      <c r="K33" s="449">
        <f t="shared" si="17"/>
        <v>0</v>
      </c>
      <c r="L33" s="426">
        <f t="shared" si="27"/>
        <v>24546242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19035.971000000001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227040</v>
      </c>
      <c r="E34" s="580">
        <f t="shared" si="7"/>
        <v>0</v>
      </c>
      <c r="F34" s="569">
        <f t="shared" si="24"/>
        <v>4121702</v>
      </c>
      <c r="G34" s="449">
        <f t="shared" si="15"/>
        <v>0</v>
      </c>
      <c r="H34" s="426">
        <f t="shared" si="25"/>
        <v>18022662</v>
      </c>
      <c r="I34" s="449">
        <f t="shared" si="16"/>
        <v>0</v>
      </c>
      <c r="J34" s="426">
        <f t="shared" si="26"/>
        <v>29728672</v>
      </c>
      <c r="K34" s="449">
        <f t="shared" si="17"/>
        <v>0</v>
      </c>
      <c r="L34" s="426">
        <f t="shared" si="27"/>
        <v>24546242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19035.971000000001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H13" sqref="H1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6" t="s">
        <v>2</v>
      </c>
      <c r="G1" s="637"/>
      <c r="H1" s="637"/>
      <c r="I1" s="638"/>
      <c r="J1" s="271">
        <f>J36</f>
        <v>65.715986394557817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381"/>
      <c r="V1" s="27" t="s">
        <v>104</v>
      </c>
      <c r="W1" s="382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v>177</v>
      </c>
      <c r="C13" s="537">
        <v>185</v>
      </c>
      <c r="D13" s="45">
        <f t="shared" si="32"/>
        <v>-28</v>
      </c>
      <c r="E13" s="45">
        <f t="shared" si="12"/>
        <v>-234.64000000000001</v>
      </c>
      <c r="F13" s="537">
        <v>2142</v>
      </c>
      <c r="G13" s="52">
        <f t="shared" si="0"/>
        <v>4</v>
      </c>
      <c r="H13" s="537">
        <v>35949</v>
      </c>
      <c r="I13" s="380">
        <f t="shared" si="1"/>
        <v>304</v>
      </c>
      <c r="J13" s="66">
        <f t="shared" si="13"/>
        <v>76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304</v>
      </c>
      <c r="W13" s="384">
        <f t="shared" si="19"/>
        <v>76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304</v>
      </c>
      <c r="AJ13" s="303">
        <f>-tanks!AW14</f>
        <v>304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f t="shared" si="40"/>
        <v>177</v>
      </c>
      <c r="C14" s="537">
        <f t="shared" si="41"/>
        <v>185</v>
      </c>
      <c r="D14" s="45">
        <f t="shared" si="32"/>
        <v>0</v>
      </c>
      <c r="E14" s="45">
        <f t="shared" si="12"/>
        <v>0</v>
      </c>
      <c r="F14" s="537">
        <f t="shared" si="42"/>
        <v>2142</v>
      </c>
      <c r="G14" s="52">
        <f t="shared" si="0"/>
        <v>0</v>
      </c>
      <c r="H14" s="537">
        <f t="shared" si="43"/>
        <v>35949</v>
      </c>
      <c r="I14" s="380">
        <f t="shared" si="1"/>
        <v>0</v>
      </c>
      <c r="J14" s="66">
        <f t="shared" si="13"/>
        <v>0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0</v>
      </c>
      <c r="V14" s="62">
        <f t="shared" si="18"/>
        <v>0</v>
      </c>
      <c r="W14" s="384" t="e">
        <f t="shared" si="19"/>
        <v>#DIV/0!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7"/>
        <v>0</v>
      </c>
      <c r="AL14" s="303">
        <f t="shared" si="8"/>
        <v>0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f t="shared" si="40"/>
        <v>177</v>
      </c>
      <c r="C15" s="537">
        <f t="shared" si="41"/>
        <v>185</v>
      </c>
      <c r="D15" s="45">
        <f t="shared" si="32"/>
        <v>0</v>
      </c>
      <c r="E15" s="45">
        <f t="shared" si="12"/>
        <v>0</v>
      </c>
      <c r="F15" s="537">
        <f t="shared" si="42"/>
        <v>2142</v>
      </c>
      <c r="G15" s="52">
        <f t="shared" si="0"/>
        <v>0</v>
      </c>
      <c r="H15" s="537">
        <f t="shared" si="43"/>
        <v>35949</v>
      </c>
      <c r="I15" s="380">
        <f t="shared" si="1"/>
        <v>0</v>
      </c>
      <c r="J15" s="66">
        <f t="shared" si="13"/>
        <v>0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177</v>
      </c>
      <c r="C16" s="537">
        <f t="shared" si="41"/>
        <v>185</v>
      </c>
      <c r="D16" s="45">
        <f t="shared" si="32"/>
        <v>0</v>
      </c>
      <c r="E16" s="45">
        <f t="shared" si="12"/>
        <v>0</v>
      </c>
      <c r="F16" s="537">
        <f t="shared" si="42"/>
        <v>2142</v>
      </c>
      <c r="G16" s="52">
        <f t="shared" si="0"/>
        <v>0</v>
      </c>
      <c r="H16" s="537">
        <f t="shared" si="43"/>
        <v>35949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f t="shared" si="40"/>
        <v>177</v>
      </c>
      <c r="C17" s="537">
        <f t="shared" si="41"/>
        <v>185</v>
      </c>
      <c r="D17" s="45">
        <f t="shared" si="32"/>
        <v>0</v>
      </c>
      <c r="E17" s="45">
        <f t="shared" si="12"/>
        <v>0</v>
      </c>
      <c r="F17" s="537">
        <f t="shared" si="42"/>
        <v>2142</v>
      </c>
      <c r="G17" s="52">
        <f t="shared" si="0"/>
        <v>0</v>
      </c>
      <c r="H17" s="537">
        <f t="shared" si="43"/>
        <v>35949</v>
      </c>
      <c r="I17" s="380">
        <f t="shared" si="1"/>
        <v>0</v>
      </c>
      <c r="J17" s="66">
        <f t="shared" si="13"/>
        <v>0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0</v>
      </c>
      <c r="V17" s="62">
        <f t="shared" si="18"/>
        <v>0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0</v>
      </c>
      <c r="AJ17" s="303">
        <f>-tanks!AW18</f>
        <v>0</v>
      </c>
      <c r="AK17" s="303">
        <f t="shared" si="27"/>
        <v>0</v>
      </c>
      <c r="AL17" s="303">
        <f t="shared" si="8"/>
        <v>0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f t="shared" si="40"/>
        <v>177</v>
      </c>
      <c r="C18" s="537">
        <f t="shared" si="41"/>
        <v>185</v>
      </c>
      <c r="D18" s="45">
        <f t="shared" si="32"/>
        <v>0</v>
      </c>
      <c r="E18" s="45">
        <f t="shared" si="12"/>
        <v>0</v>
      </c>
      <c r="F18" s="537">
        <f t="shared" si="42"/>
        <v>2142</v>
      </c>
      <c r="G18" s="52">
        <f t="shared" si="0"/>
        <v>0</v>
      </c>
      <c r="H18" s="537">
        <f t="shared" si="43"/>
        <v>35949</v>
      </c>
      <c r="I18" s="380">
        <f t="shared" si="1"/>
        <v>0</v>
      </c>
      <c r="J18" s="66">
        <f t="shared" si="13"/>
        <v>0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0</v>
      </c>
      <c r="V18" s="62">
        <f t="shared" si="18"/>
        <v>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0</v>
      </c>
      <c r="AJ18" s="303">
        <f>-tanks!AW19</f>
        <v>0</v>
      </c>
      <c r="AK18" s="303">
        <f t="shared" si="27"/>
        <v>0</v>
      </c>
      <c r="AL18" s="303">
        <f t="shared" si="8"/>
        <v>0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f t="shared" si="40"/>
        <v>177</v>
      </c>
      <c r="C19" s="537">
        <f t="shared" si="41"/>
        <v>185</v>
      </c>
      <c r="D19" s="45">
        <f t="shared" si="32"/>
        <v>0</v>
      </c>
      <c r="E19" s="45">
        <f t="shared" si="12"/>
        <v>0</v>
      </c>
      <c r="F19" s="537">
        <f t="shared" si="42"/>
        <v>2142</v>
      </c>
      <c r="G19" s="52">
        <f t="shared" si="0"/>
        <v>0</v>
      </c>
      <c r="H19" s="537">
        <f t="shared" si="43"/>
        <v>35949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f t="shared" si="40"/>
        <v>177</v>
      </c>
      <c r="C20" s="537">
        <f t="shared" si="41"/>
        <v>185</v>
      </c>
      <c r="D20" s="45">
        <f>C19-C20</f>
        <v>0</v>
      </c>
      <c r="E20" s="45">
        <f t="shared" si="12"/>
        <v>0</v>
      </c>
      <c r="F20" s="537">
        <f t="shared" si="42"/>
        <v>2142</v>
      </c>
      <c r="G20" s="52">
        <f t="shared" si="0"/>
        <v>0</v>
      </c>
      <c r="H20" s="537">
        <f t="shared" si="43"/>
        <v>35949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f t="shared" si="40"/>
        <v>177</v>
      </c>
      <c r="C21" s="537">
        <f t="shared" si="41"/>
        <v>185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2142</v>
      </c>
      <c r="G21" s="52">
        <f t="shared" si="0"/>
        <v>0</v>
      </c>
      <c r="H21" s="537">
        <f t="shared" si="43"/>
        <v>35949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177</v>
      </c>
      <c r="C22" s="537">
        <f t="shared" si="41"/>
        <v>185</v>
      </c>
      <c r="D22" s="45">
        <f t="shared" si="49"/>
        <v>0</v>
      </c>
      <c r="E22" s="45">
        <f t="shared" si="12"/>
        <v>0</v>
      </c>
      <c r="F22" s="537">
        <f t="shared" si="42"/>
        <v>2142</v>
      </c>
      <c r="G22" s="52">
        <f t="shared" si="0"/>
        <v>0</v>
      </c>
      <c r="H22" s="537">
        <f t="shared" si="43"/>
        <v>35949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177</v>
      </c>
      <c r="C23" s="537">
        <f t="shared" si="41"/>
        <v>185</v>
      </c>
      <c r="D23" s="45">
        <f t="shared" si="49"/>
        <v>0</v>
      </c>
      <c r="E23" s="45">
        <f t="shared" si="12"/>
        <v>0</v>
      </c>
      <c r="F23" s="537">
        <f t="shared" si="42"/>
        <v>2142</v>
      </c>
      <c r="G23" s="52">
        <f t="shared" si="0"/>
        <v>0</v>
      </c>
      <c r="H23" s="537">
        <f t="shared" si="43"/>
        <v>35949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f t="shared" si="40"/>
        <v>177</v>
      </c>
      <c r="C24" s="537">
        <f t="shared" si="41"/>
        <v>185</v>
      </c>
      <c r="D24" s="45">
        <f t="shared" si="49"/>
        <v>0</v>
      </c>
      <c r="E24" s="45">
        <f t="shared" si="12"/>
        <v>0</v>
      </c>
      <c r="F24" s="537">
        <f t="shared" si="42"/>
        <v>2142</v>
      </c>
      <c r="G24" s="52">
        <f t="shared" si="0"/>
        <v>0</v>
      </c>
      <c r="H24" s="537">
        <f t="shared" si="43"/>
        <v>35949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177</v>
      </c>
      <c r="C25" s="537">
        <f t="shared" si="41"/>
        <v>185</v>
      </c>
      <c r="D25" s="45">
        <f t="shared" si="49"/>
        <v>0</v>
      </c>
      <c r="E25" s="45">
        <f t="shared" si="12"/>
        <v>0</v>
      </c>
      <c r="F25" s="537">
        <f t="shared" si="42"/>
        <v>2142</v>
      </c>
      <c r="G25" s="52">
        <f t="shared" si="0"/>
        <v>0</v>
      </c>
      <c r="H25" s="537">
        <f t="shared" si="43"/>
        <v>35949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177</v>
      </c>
      <c r="C26" s="537">
        <f t="shared" si="41"/>
        <v>185</v>
      </c>
      <c r="D26" s="45">
        <f t="shared" si="49"/>
        <v>0</v>
      </c>
      <c r="E26" s="45">
        <f t="shared" si="12"/>
        <v>0</v>
      </c>
      <c r="F26" s="537">
        <f t="shared" si="42"/>
        <v>2142</v>
      </c>
      <c r="G26" s="52">
        <f t="shared" si="0"/>
        <v>0</v>
      </c>
      <c r="H26" s="537">
        <f t="shared" si="43"/>
        <v>35949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177</v>
      </c>
      <c r="C27" s="537">
        <f t="shared" si="41"/>
        <v>185</v>
      </c>
      <c r="D27" s="45">
        <f t="shared" si="49"/>
        <v>0</v>
      </c>
      <c r="E27" s="45">
        <f t="shared" si="12"/>
        <v>0</v>
      </c>
      <c r="F27" s="537">
        <f t="shared" si="42"/>
        <v>2142</v>
      </c>
      <c r="G27" s="52">
        <f t="shared" si="0"/>
        <v>0</v>
      </c>
      <c r="H27" s="537">
        <f t="shared" si="43"/>
        <v>35949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177</v>
      </c>
      <c r="C28" s="537">
        <f t="shared" si="41"/>
        <v>185</v>
      </c>
      <c r="D28" s="45">
        <f t="shared" si="49"/>
        <v>0</v>
      </c>
      <c r="E28" s="45">
        <f t="shared" si="12"/>
        <v>0</v>
      </c>
      <c r="F28" s="537">
        <f t="shared" si="42"/>
        <v>2142</v>
      </c>
      <c r="G28" s="52">
        <f t="shared" si="0"/>
        <v>0</v>
      </c>
      <c r="H28" s="537">
        <f t="shared" si="43"/>
        <v>35949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177</v>
      </c>
      <c r="C29" s="537">
        <f t="shared" si="41"/>
        <v>185</v>
      </c>
      <c r="D29" s="45">
        <f t="shared" si="49"/>
        <v>0</v>
      </c>
      <c r="E29" s="45">
        <f t="shared" si="12"/>
        <v>0</v>
      </c>
      <c r="F29" s="537">
        <f t="shared" si="42"/>
        <v>2142</v>
      </c>
      <c r="G29" s="52">
        <f t="shared" si="0"/>
        <v>0</v>
      </c>
      <c r="H29" s="537">
        <f t="shared" si="43"/>
        <v>35949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177</v>
      </c>
      <c r="C30" s="537">
        <f t="shared" si="41"/>
        <v>185</v>
      </c>
      <c r="D30" s="45">
        <f>C29-C30</f>
        <v>0</v>
      </c>
      <c r="E30" s="45">
        <f>D30*8.38</f>
        <v>0</v>
      </c>
      <c r="F30" s="537">
        <f t="shared" si="42"/>
        <v>2142</v>
      </c>
      <c r="G30" s="52">
        <f>F30-F29</f>
        <v>0</v>
      </c>
      <c r="H30" s="537">
        <f t="shared" si="43"/>
        <v>35949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177</v>
      </c>
      <c r="C31" s="537">
        <f t="shared" si="41"/>
        <v>185</v>
      </c>
      <c r="D31" s="45">
        <f t="shared" si="49"/>
        <v>0</v>
      </c>
      <c r="E31" s="45">
        <f t="shared" si="12"/>
        <v>0</v>
      </c>
      <c r="F31" s="537">
        <f t="shared" si="42"/>
        <v>2142</v>
      </c>
      <c r="G31" s="52">
        <f t="shared" si="0"/>
        <v>0</v>
      </c>
      <c r="H31" s="537">
        <f t="shared" si="43"/>
        <v>35949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177</v>
      </c>
      <c r="C32" s="537">
        <f t="shared" si="41"/>
        <v>185</v>
      </c>
      <c r="D32" s="45">
        <f t="shared" si="49"/>
        <v>0</v>
      </c>
      <c r="E32" s="45">
        <f t="shared" si="12"/>
        <v>0</v>
      </c>
      <c r="F32" s="537">
        <f t="shared" si="42"/>
        <v>2142</v>
      </c>
      <c r="G32" s="52">
        <f t="shared" si="0"/>
        <v>0</v>
      </c>
      <c r="H32" s="537">
        <f t="shared" si="43"/>
        <v>35949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177</v>
      </c>
      <c r="C33" s="537">
        <f t="shared" si="41"/>
        <v>185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2142</v>
      </c>
      <c r="G33" s="52">
        <f t="shared" ref="G33:G35" si="56">F33-F32</f>
        <v>0</v>
      </c>
      <c r="H33" s="537">
        <f t="shared" si="43"/>
        <v>35949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177</v>
      </c>
      <c r="C34" s="537">
        <f t="shared" si="41"/>
        <v>185</v>
      </c>
      <c r="D34" s="45">
        <f t="shared" si="54"/>
        <v>0</v>
      </c>
      <c r="E34" s="45">
        <f t="shared" si="55"/>
        <v>0</v>
      </c>
      <c r="F34" s="537">
        <f t="shared" si="42"/>
        <v>2142</v>
      </c>
      <c r="G34" s="52">
        <f t="shared" si="56"/>
        <v>0</v>
      </c>
      <c r="H34" s="537">
        <f t="shared" si="43"/>
        <v>35949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1392127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177</v>
      </c>
      <c r="C35" s="537">
        <f t="shared" si="41"/>
        <v>185</v>
      </c>
      <c r="D35" s="45">
        <f t="shared" si="54"/>
        <v>0</v>
      </c>
      <c r="E35" s="45">
        <f t="shared" si="55"/>
        <v>0</v>
      </c>
      <c r="F35" s="537">
        <f t="shared" si="42"/>
        <v>2142</v>
      </c>
      <c r="G35" s="52">
        <f t="shared" si="56"/>
        <v>0</v>
      </c>
      <c r="H35" s="537">
        <f t="shared" si="43"/>
        <v>35949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1392127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65.715986394557817</v>
      </c>
      <c r="U36" s="70">
        <f>SUM(U5:U35)</f>
        <v>32</v>
      </c>
      <c r="V36" s="62">
        <f>SUM(V5:V35)</f>
        <v>2474</v>
      </c>
      <c r="AE36" s="71" t="s">
        <v>379</v>
      </c>
      <c r="AG36" s="329"/>
      <c r="AH36" s="62">
        <f>SUM(AH5:AH35)</f>
        <v>0</v>
      </c>
      <c r="AL36" s="62">
        <f>SUM(AL5:AL35)</f>
        <v>32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77.3125</v>
      </c>
      <c r="AH37" s="62">
        <f>AF37+AA37</f>
        <v>0</v>
      </c>
      <c r="AI37" s="306">
        <f>SUM(AI5:AI35)</f>
        <v>2474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4" activePane="bottomLeft" state="frozen"/>
      <selection pane="bottomLeft" activeCell="AU30" sqref="AU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8154549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2" t="s">
        <v>126</v>
      </c>
      <c r="AO3" s="643"/>
      <c r="AP3" s="64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v>81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234.9</v>
      </c>
      <c r="BB14" s="21">
        <f t="shared" si="38"/>
        <v>0</v>
      </c>
      <c r="BC14" s="21">
        <f t="shared" si="30"/>
        <v>0</v>
      </c>
      <c r="BD14" s="21">
        <f t="shared" si="30"/>
        <v>-5.7999999999999829</v>
      </c>
      <c r="BE14" s="24">
        <f t="shared" si="31"/>
        <v>-5.7999999999999829</v>
      </c>
      <c r="BF14" s="96">
        <f t="shared" si="32"/>
        <v>5.7999999999999829</v>
      </c>
      <c r="BG14" s="82">
        <f t="shared" si="4"/>
        <v>-5.7999999999999829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154864</v>
      </c>
      <c r="Y15" s="309">
        <f t="shared" si="40"/>
        <v>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f t="shared" si="29"/>
        <v>183</v>
      </c>
      <c r="AU15" s="408">
        <f t="shared" si="41"/>
        <v>1.1000000000000001</v>
      </c>
      <c r="AV15" s="201">
        <f t="shared" si="42"/>
        <v>113</v>
      </c>
      <c r="AW15" s="5">
        <v>2.9</v>
      </c>
      <c r="AX15" s="201">
        <f t="shared" si="43"/>
        <v>81</v>
      </c>
      <c r="AY15" s="409">
        <f t="shared" si="35"/>
        <v>164.70000000000002</v>
      </c>
      <c r="AZ15" s="409">
        <f t="shared" si="36"/>
        <v>124.30000000000001</v>
      </c>
      <c r="BA15" s="409">
        <f t="shared" si="37"/>
        <v>234.9</v>
      </c>
      <c r="BB15" s="21">
        <f t="shared" si="38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154864</v>
      </c>
      <c r="Y16" s="309">
        <f t="shared" si="40"/>
        <v>0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f t="shared" si="29"/>
        <v>183</v>
      </c>
      <c r="AU16" s="408">
        <f t="shared" si="41"/>
        <v>1.1000000000000001</v>
      </c>
      <c r="AV16" s="201">
        <f t="shared" si="42"/>
        <v>113</v>
      </c>
      <c r="AW16" s="5">
        <v>2.9</v>
      </c>
      <c r="AX16" s="201">
        <f t="shared" si="43"/>
        <v>81</v>
      </c>
      <c r="AY16" s="409">
        <f t="shared" si="35"/>
        <v>164.70000000000002</v>
      </c>
      <c r="AZ16" s="409">
        <f t="shared" si="36"/>
        <v>124.30000000000001</v>
      </c>
      <c r="BA16" s="409">
        <f t="shared" si="37"/>
        <v>234.9</v>
      </c>
      <c r="BB16" s="21">
        <f t="shared" si="38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154864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183</v>
      </c>
      <c r="AU17" s="408">
        <f t="shared" si="41"/>
        <v>1.1000000000000001</v>
      </c>
      <c r="AV17" s="201">
        <f t="shared" si="42"/>
        <v>113</v>
      </c>
      <c r="AW17" s="5">
        <v>2.9</v>
      </c>
      <c r="AX17" s="201">
        <f t="shared" si="43"/>
        <v>81</v>
      </c>
      <c r="AY17" s="409">
        <f t="shared" si="35"/>
        <v>164.70000000000002</v>
      </c>
      <c r="AZ17" s="409">
        <f t="shared" si="36"/>
        <v>124.30000000000001</v>
      </c>
      <c r="BA17" s="409">
        <f t="shared" si="37"/>
        <v>234.9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154864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183</v>
      </c>
      <c r="AU18" s="408">
        <f t="shared" si="41"/>
        <v>1.1000000000000001</v>
      </c>
      <c r="AV18" s="201">
        <f t="shared" si="42"/>
        <v>113</v>
      </c>
      <c r="AW18" s="5">
        <v>2.9</v>
      </c>
      <c r="AX18" s="201">
        <f t="shared" si="43"/>
        <v>81</v>
      </c>
      <c r="AY18" s="409">
        <f t="shared" si="35"/>
        <v>164.70000000000002</v>
      </c>
      <c r="AZ18" s="409">
        <f t="shared" si="36"/>
        <v>124.30000000000001</v>
      </c>
      <c r="BA18" s="409">
        <f t="shared" si="37"/>
        <v>234.9</v>
      </c>
      <c r="BB18" s="21">
        <f t="shared" si="38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627273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154864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f t="shared" si="29"/>
        <v>183</v>
      </c>
      <c r="AU19" s="408">
        <f t="shared" si="41"/>
        <v>1.1000000000000001</v>
      </c>
      <c r="AV19" s="201">
        <f t="shared" si="42"/>
        <v>113</v>
      </c>
      <c r="AW19" s="5">
        <v>2.9</v>
      </c>
      <c r="AX19" s="201">
        <f t="shared" si="43"/>
        <v>81</v>
      </c>
      <c r="AY19" s="409">
        <f>AS19*AT19</f>
        <v>164.70000000000002</v>
      </c>
      <c r="AZ19" s="409">
        <f>AU19*AV19</f>
        <v>124.30000000000001</v>
      </c>
      <c r="BA19" s="409">
        <f>AW19*AX19</f>
        <v>234.9</v>
      </c>
      <c r="BB19" s="21">
        <f t="shared" si="38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627273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7023</v>
      </c>
      <c r="L20" s="83">
        <f t="shared" si="39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154864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183</v>
      </c>
      <c r="AU20" s="408">
        <f t="shared" si="41"/>
        <v>1.1000000000000001</v>
      </c>
      <c r="AV20" s="201">
        <f t="shared" si="42"/>
        <v>113</v>
      </c>
      <c r="AW20" s="5">
        <v>2.9</v>
      </c>
      <c r="AX20" s="201">
        <f t="shared" si="43"/>
        <v>81</v>
      </c>
      <c r="AY20" s="409">
        <f>AS20*AT20</f>
        <v>164.70000000000002</v>
      </c>
      <c r="AZ20" s="409">
        <f>AU20*AV20</f>
        <v>124.30000000000001</v>
      </c>
      <c r="BA20" s="409">
        <f>AW20*AX20</f>
        <v>234.9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627273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154864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183</v>
      </c>
      <c r="AU21" s="408">
        <f t="shared" si="41"/>
        <v>1.1000000000000001</v>
      </c>
      <c r="AV21" s="201">
        <f t="shared" si="42"/>
        <v>113</v>
      </c>
      <c r="AW21" s="5">
        <v>2.9</v>
      </c>
      <c r="AX21" s="201">
        <f t="shared" si="43"/>
        <v>81</v>
      </c>
      <c r="AY21" s="409">
        <f>AS21*AT21</f>
        <v>164.70000000000002</v>
      </c>
      <c r="AZ21" s="409">
        <f>AU21*AV21</f>
        <v>124.30000000000001</v>
      </c>
      <c r="BA21" s="409">
        <f>AW21*AX21</f>
        <v>234.9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627273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154864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183</v>
      </c>
      <c r="AU22" s="408">
        <f t="shared" si="41"/>
        <v>1.1000000000000001</v>
      </c>
      <c r="AV22" s="201">
        <f t="shared" si="42"/>
        <v>113</v>
      </c>
      <c r="AW22" s="5">
        <v>2.9</v>
      </c>
      <c r="AX22" s="201">
        <f t="shared" si="43"/>
        <v>81</v>
      </c>
      <c r="AY22" s="409">
        <f t="shared" si="35"/>
        <v>164.70000000000002</v>
      </c>
      <c r="AZ22" s="409">
        <f t="shared" si="36"/>
        <v>124.30000000000001</v>
      </c>
      <c r="BA22" s="409">
        <f t="shared" si="37"/>
        <v>234.9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627273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154864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183</v>
      </c>
      <c r="AU23" s="408">
        <f t="shared" si="41"/>
        <v>1.1000000000000001</v>
      </c>
      <c r="AV23" s="201">
        <f t="shared" si="42"/>
        <v>113</v>
      </c>
      <c r="AW23" s="5">
        <v>2.9</v>
      </c>
      <c r="AX23" s="201">
        <f t="shared" si="43"/>
        <v>81</v>
      </c>
      <c r="AY23" s="409">
        <f t="shared" si="35"/>
        <v>164.70000000000002</v>
      </c>
      <c r="AZ23" s="409">
        <f t="shared" si="36"/>
        <v>124.30000000000001</v>
      </c>
      <c r="BA23" s="409">
        <f t="shared" si="37"/>
        <v>234.9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627273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154864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183</v>
      </c>
      <c r="AU24" s="408">
        <f t="shared" si="41"/>
        <v>1.1000000000000001</v>
      </c>
      <c r="AV24" s="201">
        <f t="shared" si="42"/>
        <v>113</v>
      </c>
      <c r="AW24" s="5">
        <v>2.9</v>
      </c>
      <c r="AX24" s="201">
        <f t="shared" si="43"/>
        <v>81</v>
      </c>
      <c r="AY24" s="409">
        <f t="shared" si="35"/>
        <v>164.70000000000002</v>
      </c>
      <c r="AZ24" s="409">
        <f t="shared" si="36"/>
        <v>124.30000000000001</v>
      </c>
      <c r="BA24" s="409">
        <f t="shared" si="37"/>
        <v>234.9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627273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154864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183</v>
      </c>
      <c r="AU25" s="408">
        <f t="shared" si="41"/>
        <v>1.1000000000000001</v>
      </c>
      <c r="AV25" s="201">
        <f t="shared" si="42"/>
        <v>113</v>
      </c>
      <c r="AW25" s="5">
        <v>2.9</v>
      </c>
      <c r="AX25" s="201">
        <f t="shared" si="43"/>
        <v>81</v>
      </c>
      <c r="AY25" s="409">
        <f t="shared" si="35"/>
        <v>164.70000000000002</v>
      </c>
      <c r="AZ25" s="409">
        <f t="shared" si="36"/>
        <v>124.30000000000001</v>
      </c>
      <c r="BA25" s="409">
        <f t="shared" si="37"/>
        <v>234.9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627273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154864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183</v>
      </c>
      <c r="AU26" s="408">
        <f t="shared" si="41"/>
        <v>1.1000000000000001</v>
      </c>
      <c r="AV26" s="201">
        <f t="shared" si="42"/>
        <v>113</v>
      </c>
      <c r="AW26" s="5">
        <v>2.9</v>
      </c>
      <c r="AX26" s="201">
        <f t="shared" si="43"/>
        <v>81</v>
      </c>
      <c r="AY26" s="409">
        <f t="shared" si="35"/>
        <v>164.70000000000002</v>
      </c>
      <c r="AZ26" s="409">
        <f t="shared" si="36"/>
        <v>124.30000000000001</v>
      </c>
      <c r="BA26" s="409">
        <f t="shared" si="37"/>
        <v>234.9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627273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183</v>
      </c>
      <c r="AU27" s="408">
        <f t="shared" si="41"/>
        <v>1.1000000000000001</v>
      </c>
      <c r="AV27" s="201">
        <f t="shared" si="42"/>
        <v>113</v>
      </c>
      <c r="AW27" s="5">
        <v>2.9</v>
      </c>
      <c r="AX27" s="201">
        <f t="shared" si="43"/>
        <v>81</v>
      </c>
      <c r="AY27" s="409">
        <f t="shared" si="35"/>
        <v>164.70000000000002</v>
      </c>
      <c r="AZ27" s="409">
        <f t="shared" si="36"/>
        <v>124.30000000000001</v>
      </c>
      <c r="BA27" s="409">
        <f t="shared" si="37"/>
        <v>234.9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627273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183</v>
      </c>
      <c r="AU28" s="408">
        <f t="shared" si="41"/>
        <v>1.1000000000000001</v>
      </c>
      <c r="AV28" s="201">
        <f t="shared" si="42"/>
        <v>113</v>
      </c>
      <c r="AW28" s="5">
        <v>2.9</v>
      </c>
      <c r="AX28" s="201">
        <f t="shared" si="43"/>
        <v>81</v>
      </c>
      <c r="AY28" s="409">
        <f t="shared" si="35"/>
        <v>164.70000000000002</v>
      </c>
      <c r="AZ28" s="409">
        <f t="shared" si="36"/>
        <v>124.30000000000001</v>
      </c>
      <c r="BA28" s="409">
        <f t="shared" si="37"/>
        <v>234.9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627273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183</v>
      </c>
      <c r="AU29" s="408">
        <f t="shared" si="41"/>
        <v>1.1000000000000001</v>
      </c>
      <c r="AV29" s="201">
        <f t="shared" si="42"/>
        <v>113</v>
      </c>
      <c r="AW29" s="5">
        <v>2.9</v>
      </c>
      <c r="AX29" s="201">
        <f t="shared" si="43"/>
        <v>81</v>
      </c>
      <c r="AY29" s="409">
        <f t="shared" si="35"/>
        <v>164.70000000000002</v>
      </c>
      <c r="AZ29" s="409">
        <f t="shared" si="36"/>
        <v>124.30000000000001</v>
      </c>
      <c r="BA29" s="409">
        <f t="shared" si="37"/>
        <v>234.9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183</v>
      </c>
      <c r="AU30" s="408">
        <f t="shared" si="41"/>
        <v>1.1000000000000001</v>
      </c>
      <c r="AV30" s="201">
        <f t="shared" si="42"/>
        <v>113</v>
      </c>
      <c r="AW30" s="5">
        <v>2.9</v>
      </c>
      <c r="AX30" s="201">
        <f t="shared" si="43"/>
        <v>81</v>
      </c>
      <c r="AY30" s="409">
        <f t="shared" si="35"/>
        <v>164.70000000000002</v>
      </c>
      <c r="AZ30" s="409">
        <f t="shared" si="36"/>
        <v>124.30000000000001</v>
      </c>
      <c r="BA30" s="409">
        <f t="shared" si="37"/>
        <v>234.9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183</v>
      </c>
      <c r="AU31" s="408">
        <f t="shared" si="41"/>
        <v>1.1000000000000001</v>
      </c>
      <c r="AV31" s="201">
        <f t="shared" si="42"/>
        <v>113</v>
      </c>
      <c r="AW31" s="5">
        <v>2.9</v>
      </c>
      <c r="AX31" s="201">
        <f t="shared" si="43"/>
        <v>81</v>
      </c>
      <c r="AY31" s="409">
        <f t="shared" si="35"/>
        <v>164.70000000000002</v>
      </c>
      <c r="AZ31" s="409">
        <f>AU31*AV31</f>
        <v>124.30000000000001</v>
      </c>
      <c r="BA31" s="409">
        <f t="shared" si="37"/>
        <v>234.9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183</v>
      </c>
      <c r="AU32" s="408">
        <f t="shared" si="41"/>
        <v>1.1000000000000001</v>
      </c>
      <c r="AV32" s="201">
        <f t="shared" si="42"/>
        <v>113</v>
      </c>
      <c r="AW32" s="5">
        <v>2.9</v>
      </c>
      <c r="AX32" s="201">
        <f t="shared" si="43"/>
        <v>81</v>
      </c>
      <c r="AY32" s="409">
        <f t="shared" si="35"/>
        <v>164.70000000000002</v>
      </c>
      <c r="AZ32" s="409">
        <f t="shared" si="36"/>
        <v>124.30000000000001</v>
      </c>
      <c r="BA32" s="409">
        <f t="shared" si="37"/>
        <v>234.9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183</v>
      </c>
      <c r="AU33" s="408">
        <f t="shared" si="41"/>
        <v>1.1000000000000001</v>
      </c>
      <c r="AV33" s="201">
        <f t="shared" si="42"/>
        <v>113</v>
      </c>
      <c r="AW33" s="5">
        <v>2.9</v>
      </c>
      <c r="AX33" s="201">
        <f t="shared" si="43"/>
        <v>81</v>
      </c>
      <c r="AY33" s="409">
        <f t="shared" si="35"/>
        <v>164.70000000000002</v>
      </c>
      <c r="AZ33" s="409">
        <f t="shared" si="36"/>
        <v>124.30000000000001</v>
      </c>
      <c r="BA33" s="409">
        <f t="shared" si="37"/>
        <v>234.9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627273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154864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183</v>
      </c>
      <c r="AU34" s="408">
        <f t="shared" si="41"/>
        <v>1.1000000000000001</v>
      </c>
      <c r="AV34" s="201">
        <f t="shared" si="42"/>
        <v>113</v>
      </c>
      <c r="AW34" s="5">
        <v>2.9</v>
      </c>
      <c r="AX34" s="201">
        <f t="shared" si="43"/>
        <v>81</v>
      </c>
      <c r="AY34" s="409">
        <f t="shared" ref="AY34:AY36" si="71">AS34*AT34</f>
        <v>164.70000000000002</v>
      </c>
      <c r="AZ34" s="409">
        <f t="shared" ref="AZ34:AZ36" si="72">AU34*AV34</f>
        <v>124.30000000000001</v>
      </c>
      <c r="BA34" s="409">
        <f t="shared" ref="BA34:BA36" si="73">AW34*AX34</f>
        <v>234.9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627273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154864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183</v>
      </c>
      <c r="AU35" s="408">
        <f t="shared" si="41"/>
        <v>1.1000000000000001</v>
      </c>
      <c r="AV35" s="201">
        <f t="shared" si="42"/>
        <v>113</v>
      </c>
      <c r="AW35" s="5">
        <v>2.9</v>
      </c>
      <c r="AX35" s="201">
        <f t="shared" si="43"/>
        <v>81</v>
      </c>
      <c r="AY35" s="409">
        <f t="shared" si="71"/>
        <v>164.70000000000002</v>
      </c>
      <c r="AZ35" s="409">
        <f t="shared" si="72"/>
        <v>124.30000000000001</v>
      </c>
      <c r="BA35" s="409">
        <f t="shared" si="73"/>
        <v>234.9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627273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154864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183</v>
      </c>
      <c r="AU36" s="408">
        <f t="shared" si="41"/>
        <v>1.1000000000000001</v>
      </c>
      <c r="AV36" s="201">
        <f t="shared" si="42"/>
        <v>113</v>
      </c>
      <c r="AW36" s="5">
        <v>2.9</v>
      </c>
      <c r="AX36" s="201">
        <f t="shared" si="43"/>
        <v>81</v>
      </c>
      <c r="AY36" s="409">
        <f t="shared" si="71"/>
        <v>164.70000000000002</v>
      </c>
      <c r="AZ36" s="409">
        <f t="shared" si="72"/>
        <v>124.30000000000001</v>
      </c>
      <c r="BA36" s="409">
        <f t="shared" si="73"/>
        <v>234.9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R11" sqref="R1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 t="shared" ref="U3:U8" si="5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7">305/1185</f>
        <v>0.25738396624472576</v>
      </c>
      <c r="AK3" s="278">
        <f t="shared" ref="AK3:AK30" si="8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9">B4-B3</f>
        <v>9</v>
      </c>
      <c r="D4" s="503">
        <f t="shared" ref="D4:D30" si="10">D3+C4*250</f>
        <v>644266</v>
      </c>
      <c r="E4" s="276">
        <f t="shared" ref="E4:E25" si="11">SUM(D4-D3)</f>
        <v>2250</v>
      </c>
      <c r="F4" s="276">
        <f t="shared" si="0"/>
        <v>250</v>
      </c>
      <c r="G4" s="196"/>
      <c r="H4" s="260">
        <f t="shared" ref="H4:H33" si="12">H3</f>
        <v>11528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>T3+U4</f>
        <v>357012</v>
      </c>
      <c r="U4" s="276">
        <f t="shared" si="5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6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7"/>
        <v>0.25738396624472576</v>
      </c>
      <c r="AK4" s="278">
        <f t="shared" si="8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9"/>
        <v>1</v>
      </c>
      <c r="D5" s="503">
        <f t="shared" si="10"/>
        <v>644516</v>
      </c>
      <c r="E5" s="276">
        <f t="shared" si="11"/>
        <v>250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>T4+U5</f>
        <v>359762</v>
      </c>
      <c r="U5" s="276">
        <f t="shared" si="5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6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7"/>
        <v>0.25738396624472576</v>
      </c>
      <c r="AK5" s="278">
        <f t="shared" si="8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0"/>
        <v>644516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ref="R6:R33" si="29">R5</f>
        <v>13681</v>
      </c>
      <c r="S6" s="276">
        <f t="shared" si="4"/>
        <v>0</v>
      </c>
      <c r="T6" s="503">
        <f t="shared" ref="T6:T33" si="30">T5+U6</f>
        <v>359762</v>
      </c>
      <c r="U6" s="276">
        <f t="shared" si="5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9"/>
        <v>0</v>
      </c>
      <c r="D7" s="503">
        <f t="shared" si="10"/>
        <v>644516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si="29"/>
        <v>13681</v>
      </c>
      <c r="S7" s="276">
        <f t="shared" si="4"/>
        <v>0</v>
      </c>
      <c r="T7" s="503">
        <f t="shared" si="30"/>
        <v>359762</v>
      </c>
      <c r="U7" s="276">
        <f t="shared" si="5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9"/>
        <v>8</v>
      </c>
      <c r="D8" s="503">
        <f t="shared" si="10"/>
        <v>646516</v>
      </c>
      <c r="E8" s="276">
        <f t="shared" si="11"/>
        <v>2000</v>
      </c>
      <c r="F8" s="276">
        <f t="shared" si="0"/>
        <v>250</v>
      </c>
      <c r="G8" s="196"/>
      <c r="H8" s="260">
        <f t="shared" si="12"/>
        <v>11528</v>
      </c>
      <c r="I8" s="276" t="str">
        <f>IF(B8-H8&lt;=0,"ok","oil change")</f>
        <v>oil change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13684</v>
      </c>
      <c r="S8" s="276">
        <f t="shared" si="4"/>
        <v>3</v>
      </c>
      <c r="T8" s="503">
        <f>T7+U8</f>
        <v>360512</v>
      </c>
      <c r="U8" s="276">
        <f t="shared" si="5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6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7"/>
        <v>0.25738396624472576</v>
      </c>
      <c r="AK8" s="278">
        <f t="shared" si="8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9"/>
        <v>6</v>
      </c>
      <c r="D9" s="503">
        <f t="shared" si="10"/>
        <v>648016</v>
      </c>
      <c r="E9" s="276">
        <f t="shared" si="11"/>
        <v>1500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13686</v>
      </c>
      <c r="S9" s="276">
        <f t="shared" si="4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6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7"/>
        <v>0.25738396624472576</v>
      </c>
      <c r="AK9" s="278">
        <f t="shared" si="8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9"/>
        <v>1</v>
      </c>
      <c r="D10" s="503">
        <f t="shared" si="10"/>
        <v>648266</v>
      </c>
      <c r="E10" s="276">
        <f>SUM(D10-D9)</f>
        <v>250</v>
      </c>
      <c r="F10" s="276">
        <f t="shared" si="0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13695</v>
      </c>
      <c r="S10" s="276">
        <f t="shared" si="4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6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7"/>
        <v>0.25738396624472576</v>
      </c>
      <c r="AK10" s="278">
        <f t="shared" si="8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v>11550</v>
      </c>
      <c r="C11" s="276">
        <f t="shared" si="9"/>
        <v>9</v>
      </c>
      <c r="D11" s="503">
        <f t="shared" si="10"/>
        <v>650516</v>
      </c>
      <c r="E11" s="276">
        <f t="shared" si="11"/>
        <v>2250</v>
      </c>
      <c r="F11" s="276">
        <f>IF(C11&gt;0,E11/C11,0)</f>
        <v>250</v>
      </c>
      <c r="G11" s="196"/>
      <c r="H11" s="260">
        <f t="shared" si="12"/>
        <v>11690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f t="shared" si="29"/>
        <v>13695</v>
      </c>
      <c r="S11" s="276">
        <f t="shared" si="4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6"/>
        <v>9</v>
      </c>
      <c r="AA11" s="276">
        <f t="shared" si="20"/>
        <v>2250</v>
      </c>
      <c r="AB11" s="276">
        <f t="shared" si="21"/>
        <v>500</v>
      </c>
      <c r="AC11" s="276">
        <f t="shared" si="22"/>
        <v>250</v>
      </c>
      <c r="AD11" s="73">
        <f>ELEC!Q12</f>
        <v>4631.0000000012224</v>
      </c>
      <c r="AE11" s="73">
        <f t="shared" si="25"/>
        <v>514.5555555556914</v>
      </c>
      <c r="AF11" s="387">
        <f t="shared" si="26"/>
        <v>0.32159722222230713</v>
      </c>
      <c r="AG11" s="387">
        <f t="shared" si="26"/>
        <v>2.0099826388894195E-4</v>
      </c>
      <c r="AH11" s="388">
        <f t="shared" si="23"/>
        <v>249.99979900173611</v>
      </c>
      <c r="AI11" s="73">
        <f t="shared" si="27"/>
        <v>1191.9451476796396</v>
      </c>
      <c r="AJ11" s="278">
        <f t="shared" si="7"/>
        <v>0.25738396624472576</v>
      </c>
      <c r="AK11" s="278">
        <f t="shared" si="8"/>
        <v>132.43834974218217</v>
      </c>
      <c r="AL11">
        <f t="shared" si="24"/>
        <v>1</v>
      </c>
    </row>
    <row r="12" spans="1:38" ht="15.75" thickBot="1">
      <c r="A12" s="4">
        <f>ELEC!C13</f>
        <v>44630</v>
      </c>
      <c r="B12" s="502">
        <f t="shared" si="28"/>
        <v>11550</v>
      </c>
      <c r="C12" s="276">
        <f t="shared" si="9"/>
        <v>0</v>
      </c>
      <c r="D12" s="503">
        <f t="shared" si="10"/>
        <v>650516</v>
      </c>
      <c r="E12" s="276">
        <f t="shared" si="11"/>
        <v>0</v>
      </c>
      <c r="F12" s="276">
        <f t="shared" si="0"/>
        <v>0</v>
      </c>
      <c r="G12" s="196"/>
      <c r="H12" s="260">
        <f t="shared" si="12"/>
        <v>11690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9"/>
        <v>13695</v>
      </c>
      <c r="S12" s="276">
        <f t="shared" si="4"/>
        <v>0</v>
      </c>
      <c r="T12" s="503">
        <f t="shared" si="30"/>
        <v>363262</v>
      </c>
      <c r="U12" s="276">
        <f t="shared" si="31"/>
        <v>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6"/>
        <v>0</v>
      </c>
      <c r="AA12" s="276">
        <f t="shared" si="20"/>
        <v>0</v>
      </c>
      <c r="AB12" s="276">
        <f t="shared" si="21"/>
        <v>250</v>
      </c>
      <c r="AC12" s="276">
        <f t="shared" si="22"/>
        <v>0</v>
      </c>
      <c r="AD12" s="73">
        <f>ELEC!Q13</f>
        <v>0</v>
      </c>
      <c r="AE12" s="73" t="e">
        <f t="shared" si="25"/>
        <v>#DIV/0!</v>
      </c>
      <c r="AF12" s="387" t="e">
        <f t="shared" si="26"/>
        <v>#DIV/0!</v>
      </c>
      <c r="AG12" s="387" t="e">
        <f t="shared" si="26"/>
        <v>#DIV/0!</v>
      </c>
      <c r="AH12" s="388" t="e">
        <f t="shared" si="23"/>
        <v>#DIV/0!</v>
      </c>
      <c r="AI12" s="73">
        <f t="shared" si="27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4"/>
        <v>0</v>
      </c>
    </row>
    <row r="13" spans="1:38" ht="15.75" thickBot="1">
      <c r="A13" s="4">
        <f>ELEC!C14</f>
        <v>44631</v>
      </c>
      <c r="B13" s="502">
        <f t="shared" si="28"/>
        <v>11550</v>
      </c>
      <c r="C13" s="276">
        <f t="shared" si="9"/>
        <v>0</v>
      </c>
      <c r="D13" s="503">
        <f t="shared" si="10"/>
        <v>650516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11690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13695</v>
      </c>
      <c r="S13" s="276">
        <f t="shared" si="4"/>
        <v>0</v>
      </c>
      <c r="T13" s="503">
        <f t="shared" si="30"/>
        <v>363262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44632</v>
      </c>
      <c r="B14" s="502">
        <f t="shared" si="28"/>
        <v>11550</v>
      </c>
      <c r="C14" s="276">
        <f t="shared" si="9"/>
        <v>0</v>
      </c>
      <c r="D14" s="503">
        <f t="shared" si="10"/>
        <v>650516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11690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13695</v>
      </c>
      <c r="S14" s="276">
        <f t="shared" si="4"/>
        <v>0</v>
      </c>
      <c r="T14" s="503">
        <f t="shared" si="30"/>
        <v>363262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f t="shared" si="28"/>
        <v>11550</v>
      </c>
      <c r="C15" s="276">
        <f t="shared" si="9"/>
        <v>0</v>
      </c>
      <c r="D15" s="503">
        <f t="shared" si="10"/>
        <v>650516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11690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13695</v>
      </c>
      <c r="S15" s="276">
        <f t="shared" si="4"/>
        <v>0</v>
      </c>
      <c r="T15" s="503">
        <f t="shared" si="30"/>
        <v>363262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6"/>
        <v>0</v>
      </c>
      <c r="AA15" s="276">
        <f t="shared" si="20"/>
        <v>0</v>
      </c>
      <c r="AB15" s="276">
        <f t="shared" si="21"/>
        <v>250</v>
      </c>
      <c r="AC15" s="276">
        <f t="shared" si="22"/>
        <v>0</v>
      </c>
      <c r="AD15" s="73">
        <f>ELEC!Q16</f>
        <v>0</v>
      </c>
      <c r="AE15" s="73" t="e">
        <f t="shared" si="25"/>
        <v>#DIV/0!</v>
      </c>
      <c r="AF15" s="387" t="e">
        <f t="shared" si="26"/>
        <v>#DIV/0!</v>
      </c>
      <c r="AG15" s="387" t="e">
        <f t="shared" si="26"/>
        <v>#DIV/0!</v>
      </c>
      <c r="AH15" s="388" t="e">
        <f t="shared" si="23"/>
        <v>#DIV/0!</v>
      </c>
      <c r="AI15" s="73">
        <f t="shared" si="27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4"/>
        <v>0</v>
      </c>
    </row>
    <row r="16" spans="1:38" ht="15.75" thickBot="1">
      <c r="A16" s="4">
        <f>ELEC!C17</f>
        <v>44634</v>
      </c>
      <c r="B16" s="502">
        <f t="shared" si="28"/>
        <v>11550</v>
      </c>
      <c r="C16" s="276">
        <f t="shared" si="9"/>
        <v>0</v>
      </c>
      <c r="D16" s="503">
        <f t="shared" si="10"/>
        <v>650516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11690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9"/>
        <v>13695</v>
      </c>
      <c r="S16" s="276">
        <f t="shared" si="4"/>
        <v>0</v>
      </c>
      <c r="T16" s="503">
        <f t="shared" si="30"/>
        <v>363262</v>
      </c>
      <c r="U16" s="276">
        <f t="shared" si="31"/>
        <v>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6"/>
        <v>0</v>
      </c>
      <c r="AA16" s="276">
        <f t="shared" si="20"/>
        <v>0</v>
      </c>
      <c r="AB16" s="276">
        <f t="shared" si="21"/>
        <v>250</v>
      </c>
      <c r="AC16" s="276">
        <f t="shared" si="22"/>
        <v>0</v>
      </c>
      <c r="AD16" s="73">
        <f>ELEC!Q17</f>
        <v>0</v>
      </c>
      <c r="AE16" s="73" t="e">
        <f t="shared" si="25"/>
        <v>#DIV/0!</v>
      </c>
      <c r="AF16" s="387" t="e">
        <f t="shared" si="26"/>
        <v>#DIV/0!</v>
      </c>
      <c r="AG16" s="387" t="e">
        <f t="shared" si="26"/>
        <v>#DIV/0!</v>
      </c>
      <c r="AH16" s="388" t="e">
        <f t="shared" si="23"/>
        <v>#DIV/0!</v>
      </c>
      <c r="AI16" s="73">
        <f t="shared" si="27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4"/>
        <v>0</v>
      </c>
    </row>
    <row r="17" spans="1:38" ht="15.75" thickBot="1">
      <c r="A17" s="4">
        <f>ELEC!C18</f>
        <v>44635</v>
      </c>
      <c r="B17" s="502">
        <f t="shared" si="28"/>
        <v>11550</v>
      </c>
      <c r="C17" s="276">
        <f t="shared" si="9"/>
        <v>0</v>
      </c>
      <c r="D17" s="503">
        <f t="shared" si="10"/>
        <v>650516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11690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9"/>
        <v>13695</v>
      </c>
      <c r="S17" s="276">
        <f t="shared" si="4"/>
        <v>0</v>
      </c>
      <c r="T17" s="503">
        <f t="shared" si="30"/>
        <v>363262</v>
      </c>
      <c r="U17" s="276">
        <f t="shared" si="31"/>
        <v>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6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7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4"/>
        <v>0</v>
      </c>
    </row>
    <row r="18" spans="1:38" ht="15.75" thickBot="1">
      <c r="A18" s="4">
        <f>ELEC!C19</f>
        <v>44636</v>
      </c>
      <c r="B18" s="502">
        <f t="shared" si="28"/>
        <v>11550</v>
      </c>
      <c r="C18" s="276">
        <f t="shared" si="9"/>
        <v>0</v>
      </c>
      <c r="D18" s="503">
        <f t="shared" si="10"/>
        <v>650516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11690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9"/>
        <v>13695</v>
      </c>
      <c r="S18" s="276">
        <f t="shared" si="4"/>
        <v>0</v>
      </c>
      <c r="T18" s="503">
        <f t="shared" si="30"/>
        <v>363262</v>
      </c>
      <c r="U18" s="276">
        <f t="shared" si="31"/>
        <v>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44637</v>
      </c>
      <c r="B19" s="502">
        <f t="shared" si="28"/>
        <v>11550</v>
      </c>
      <c r="C19" s="276">
        <f t="shared" si="9"/>
        <v>0</v>
      </c>
      <c r="D19" s="503">
        <f t="shared" si="10"/>
        <v>650516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11690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9"/>
        <v>13695</v>
      </c>
      <c r="S19" s="276">
        <f t="shared" si="4"/>
        <v>0</v>
      </c>
      <c r="T19" s="503">
        <f t="shared" si="30"/>
        <v>363262</v>
      </c>
      <c r="U19" s="276">
        <f t="shared" si="31"/>
        <v>0</v>
      </c>
      <c r="V19" s="276">
        <v>250</v>
      </c>
      <c r="W19" s="323"/>
      <c r="X19" s="260">
        <v>13719</v>
      </c>
      <c r="Y19" s="276" t="str">
        <f t="shared" si="19"/>
        <v>ok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44638</v>
      </c>
      <c r="B20" s="502">
        <f t="shared" si="28"/>
        <v>11550</v>
      </c>
      <c r="C20" s="276">
        <f>B20-B19</f>
        <v>0</v>
      </c>
      <c r="D20" s="503">
        <f t="shared" si="10"/>
        <v>650516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11690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13695</v>
      </c>
      <c r="S20" s="276">
        <f t="shared" si="4"/>
        <v>0</v>
      </c>
      <c r="T20" s="503">
        <f t="shared" si="30"/>
        <v>363262</v>
      </c>
      <c r="U20" s="276">
        <f t="shared" si="31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11550</v>
      </c>
      <c r="C21" s="276">
        <f>B21-B20</f>
        <v>0</v>
      </c>
      <c r="D21" s="503">
        <f t="shared" si="10"/>
        <v>650516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11690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13695</v>
      </c>
      <c r="S21" s="276">
        <f t="shared" si="4"/>
        <v>0</v>
      </c>
      <c r="T21" s="503">
        <f t="shared" si="30"/>
        <v>363262</v>
      </c>
      <c r="U21" s="276">
        <f t="shared" si="31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f t="shared" si="28"/>
        <v>11550</v>
      </c>
      <c r="C22" s="276">
        <f t="shared" si="9"/>
        <v>0</v>
      </c>
      <c r="D22" s="503">
        <f t="shared" si="10"/>
        <v>650516</v>
      </c>
      <c r="E22" s="276">
        <f>150*C22</f>
        <v>0</v>
      </c>
      <c r="F22" s="276">
        <f t="shared" si="0"/>
        <v>0</v>
      </c>
      <c r="G22" s="196"/>
      <c r="H22" s="260">
        <f t="shared" si="12"/>
        <v>11690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9"/>
        <v>13695</v>
      </c>
      <c r="S22" s="276">
        <f t="shared" si="4"/>
        <v>0</v>
      </c>
      <c r="T22" s="503">
        <f t="shared" si="30"/>
        <v>363262</v>
      </c>
      <c r="U22" s="276">
        <f t="shared" si="31"/>
        <v>0</v>
      </c>
      <c r="V22" s="276">
        <v>250</v>
      </c>
      <c r="W22" s="196"/>
      <c r="X22" s="260">
        <v>13719</v>
      </c>
      <c r="Y22" s="276" t="str">
        <f t="shared" ref="Y22:Y33" si="33">Y21</f>
        <v>ok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44641</v>
      </c>
      <c r="B23" s="502">
        <f t="shared" si="28"/>
        <v>11550</v>
      </c>
      <c r="C23" s="276">
        <f t="shared" si="9"/>
        <v>0</v>
      </c>
      <c r="D23" s="503">
        <f t="shared" si="10"/>
        <v>650516</v>
      </c>
      <c r="E23" s="276">
        <f>150*C23</f>
        <v>0</v>
      </c>
      <c r="F23" s="276">
        <f t="shared" si="0"/>
        <v>0</v>
      </c>
      <c r="G23" s="196"/>
      <c r="H23" s="260">
        <f t="shared" si="12"/>
        <v>11690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9"/>
        <v>13695</v>
      </c>
      <c r="S23" s="276">
        <f>R23-R22</f>
        <v>0</v>
      </c>
      <c r="T23" s="503">
        <f t="shared" si="30"/>
        <v>363262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3"/>
        <v>ok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44642</v>
      </c>
      <c r="B24" s="502">
        <f t="shared" si="28"/>
        <v>11550</v>
      </c>
      <c r="C24" s="276">
        <f t="shared" si="9"/>
        <v>0</v>
      </c>
      <c r="D24" s="503">
        <f t="shared" si="10"/>
        <v>650516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11690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9"/>
        <v>13695</v>
      </c>
      <c r="S24" s="276">
        <f t="shared" si="4"/>
        <v>0</v>
      </c>
      <c r="T24" s="503">
        <f t="shared" si="30"/>
        <v>363262</v>
      </c>
      <c r="U24" s="276">
        <f t="shared" si="31"/>
        <v>0</v>
      </c>
      <c r="V24" s="276">
        <v>250</v>
      </c>
      <c r="W24" s="196"/>
      <c r="X24" s="260">
        <v>13719</v>
      </c>
      <c r="Y24" s="276" t="str">
        <f t="shared" si="33"/>
        <v>ok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44643</v>
      </c>
      <c r="B25" s="502">
        <f t="shared" si="28"/>
        <v>11550</v>
      </c>
      <c r="C25" s="276">
        <f t="shared" si="9"/>
        <v>0</v>
      </c>
      <c r="D25" s="503">
        <f t="shared" si="10"/>
        <v>650516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11690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9"/>
        <v>13695</v>
      </c>
      <c r="S25" s="276">
        <f t="shared" si="4"/>
        <v>0</v>
      </c>
      <c r="T25" s="503">
        <f t="shared" si="30"/>
        <v>363262</v>
      </c>
      <c r="U25" s="276">
        <f t="shared" si="31"/>
        <v>0</v>
      </c>
      <c r="V25" s="276">
        <v>250</v>
      </c>
      <c r="W25" s="196"/>
      <c r="X25" s="260">
        <v>13719</v>
      </c>
      <c r="Y25" s="276" t="str">
        <f t="shared" si="33"/>
        <v>ok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11550</v>
      </c>
      <c r="C26" s="276">
        <f>B26-B25</f>
        <v>0</v>
      </c>
      <c r="D26" s="503">
        <f t="shared" si="10"/>
        <v>650516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11690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13695</v>
      </c>
      <c r="S26" s="276">
        <f>R26-R25</f>
        <v>0</v>
      </c>
      <c r="T26" s="503">
        <f t="shared" si="30"/>
        <v>363262</v>
      </c>
      <c r="U26" s="276">
        <f t="shared" si="31"/>
        <v>0</v>
      </c>
      <c r="V26" s="276">
        <v>250</v>
      </c>
      <c r="W26" s="196"/>
      <c r="X26" s="260">
        <v>13719</v>
      </c>
      <c r="Y26" s="276" t="str">
        <f t="shared" si="33"/>
        <v>ok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11550</v>
      </c>
      <c r="C27" s="276">
        <f>B27-B26</f>
        <v>0</v>
      </c>
      <c r="D27" s="503">
        <f t="shared" si="10"/>
        <v>650516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11690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13695</v>
      </c>
      <c r="S27" s="276">
        <f t="shared" si="4"/>
        <v>0</v>
      </c>
      <c r="T27" s="503">
        <f t="shared" si="30"/>
        <v>363262</v>
      </c>
      <c r="U27" s="276">
        <f t="shared" si="31"/>
        <v>0</v>
      </c>
      <c r="V27" s="276">
        <v>250</v>
      </c>
      <c r="W27" s="196"/>
      <c r="X27" s="260">
        <v>13719</v>
      </c>
      <c r="Y27" s="276" t="str">
        <f t="shared" si="33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11550</v>
      </c>
      <c r="C28" s="276">
        <f t="shared" si="9"/>
        <v>0</v>
      </c>
      <c r="D28" s="503">
        <f t="shared" si="10"/>
        <v>650516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11690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13695</v>
      </c>
      <c r="S28" s="276">
        <f t="shared" si="4"/>
        <v>0</v>
      </c>
      <c r="T28" s="503">
        <f t="shared" si="30"/>
        <v>363262</v>
      </c>
      <c r="U28" s="276">
        <f t="shared" si="31"/>
        <v>0</v>
      </c>
      <c r="V28" s="276">
        <v>250</v>
      </c>
      <c r="W28" s="196"/>
      <c r="X28" s="260">
        <v>13719</v>
      </c>
      <c r="Y28" s="276" t="str">
        <f t="shared" si="33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11550</v>
      </c>
      <c r="C29" s="276">
        <f t="shared" si="9"/>
        <v>0</v>
      </c>
      <c r="D29" s="503">
        <f t="shared" si="10"/>
        <v>650516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11690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13695</v>
      </c>
      <c r="S29" s="276">
        <f t="shared" si="4"/>
        <v>0</v>
      </c>
      <c r="T29" s="503">
        <f t="shared" si="30"/>
        <v>363262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3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11550</v>
      </c>
      <c r="C30" s="276">
        <f t="shared" si="9"/>
        <v>0</v>
      </c>
      <c r="D30" s="503">
        <f t="shared" si="10"/>
        <v>650516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11690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13695</v>
      </c>
      <c r="S30" s="276">
        <f t="shared" si="4"/>
        <v>0</v>
      </c>
      <c r="T30" s="503">
        <f t="shared" si="30"/>
        <v>363262</v>
      </c>
      <c r="U30" s="276">
        <f t="shared" si="31"/>
        <v>0</v>
      </c>
      <c r="V30" s="276">
        <v>250</v>
      </c>
      <c r="W30" s="274"/>
      <c r="X30" s="260">
        <v>13719</v>
      </c>
      <c r="Y30" s="276" t="str">
        <f t="shared" si="33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11550</v>
      </c>
      <c r="C31" s="276">
        <f t="shared" ref="C31:C33" si="34">B31-B30</f>
        <v>0</v>
      </c>
      <c r="D31" s="503">
        <f t="shared" ref="D31:D33" si="35">D30+C31*250</f>
        <v>650516</v>
      </c>
      <c r="E31" s="276">
        <f t="shared" ref="E31:E33" si="36">SUM(D31-D30)</f>
        <v>0</v>
      </c>
      <c r="F31" s="276">
        <f t="shared" ref="F31:F33" si="37">IF(C31&gt;0,E31/C31,0)</f>
        <v>0</v>
      </c>
      <c r="G31" s="323"/>
      <c r="H31" s="260">
        <f t="shared" si="12"/>
        <v>11690</v>
      </c>
      <c r="I31" s="276" t="str">
        <f t="shared" ref="I31:I33" si="38">IF(B31-H31&lt;=0,"ok","oil change")</f>
        <v>ok</v>
      </c>
      <c r="J31" s="502">
        <f t="shared" si="13"/>
        <v>10698</v>
      </c>
      <c r="K31" s="276">
        <f t="shared" ref="K31:K33" si="39">J31-J30</f>
        <v>0</v>
      </c>
      <c r="L31" s="503">
        <f t="shared" si="14"/>
        <v>357691</v>
      </c>
      <c r="M31" s="276">
        <f t="shared" ref="M31:M33" si="40">SUM(L31-L30)</f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13695</v>
      </c>
      <c r="S31" s="276">
        <f t="shared" ref="S31:S33" si="43">R31-R30</f>
        <v>0</v>
      </c>
      <c r="T31" s="503">
        <f t="shared" si="30"/>
        <v>363262</v>
      </c>
      <c r="U31" s="276">
        <f t="shared" ref="U31:U33" si="44">V31*S31</f>
        <v>0</v>
      </c>
      <c r="V31" s="276">
        <v>250</v>
      </c>
      <c r="W31" s="323"/>
      <c r="X31" s="260">
        <v>13719</v>
      </c>
      <c r="Y31" s="276" t="str">
        <f t="shared" si="33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11550</v>
      </c>
      <c r="C32" s="276">
        <f t="shared" si="34"/>
        <v>0</v>
      </c>
      <c r="D32" s="503">
        <f t="shared" si="35"/>
        <v>650516</v>
      </c>
      <c r="E32" s="276">
        <f t="shared" si="36"/>
        <v>0</v>
      </c>
      <c r="F32" s="276">
        <f t="shared" si="37"/>
        <v>0</v>
      </c>
      <c r="G32" s="323"/>
      <c r="H32" s="260">
        <f t="shared" si="12"/>
        <v>11690</v>
      </c>
      <c r="I32" s="276" t="str">
        <f t="shared" si="38"/>
        <v>ok</v>
      </c>
      <c r="J32" s="502">
        <f t="shared" si="13"/>
        <v>10698</v>
      </c>
      <c r="K32" s="276">
        <f t="shared" si="39"/>
        <v>0</v>
      </c>
      <c r="L32" s="503">
        <f t="shared" si="14"/>
        <v>357691</v>
      </c>
      <c r="M32" s="276">
        <f t="shared" si="4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13695</v>
      </c>
      <c r="S32" s="276">
        <f t="shared" si="43"/>
        <v>0</v>
      </c>
      <c r="T32" s="503">
        <f t="shared" si="30"/>
        <v>363262</v>
      </c>
      <c r="U32" s="276">
        <f t="shared" si="44"/>
        <v>0</v>
      </c>
      <c r="V32" s="276">
        <v>250</v>
      </c>
      <c r="W32" s="323"/>
      <c r="X32" s="260">
        <v>13719</v>
      </c>
      <c r="Y32" s="276" t="str">
        <f t="shared" si="33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11550</v>
      </c>
      <c r="C33" s="276">
        <f t="shared" si="34"/>
        <v>0</v>
      </c>
      <c r="D33" s="503">
        <f t="shared" si="35"/>
        <v>650516</v>
      </c>
      <c r="E33" s="276">
        <f t="shared" si="36"/>
        <v>0</v>
      </c>
      <c r="F33" s="276">
        <f t="shared" si="37"/>
        <v>0</v>
      </c>
      <c r="G33" s="323"/>
      <c r="H33" s="260">
        <f t="shared" si="12"/>
        <v>11690</v>
      </c>
      <c r="I33" s="276" t="str">
        <f t="shared" si="38"/>
        <v>ok</v>
      </c>
      <c r="J33" s="502">
        <f t="shared" si="13"/>
        <v>10698</v>
      </c>
      <c r="K33" s="276">
        <f t="shared" si="39"/>
        <v>0</v>
      </c>
      <c r="L33" s="503">
        <f t="shared" si="14"/>
        <v>357691</v>
      </c>
      <c r="M33" s="276">
        <f t="shared" si="4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13695</v>
      </c>
      <c r="S33" s="276">
        <f t="shared" si="43"/>
        <v>0</v>
      </c>
      <c r="T33" s="503">
        <f t="shared" si="30"/>
        <v>363262</v>
      </c>
      <c r="U33" s="276">
        <f t="shared" si="44"/>
        <v>0</v>
      </c>
      <c r="V33" s="276">
        <v>250</v>
      </c>
      <c r="W33" s="323"/>
      <c r="X33" s="260">
        <v>13719</v>
      </c>
      <c r="Y33" s="276" t="str">
        <f t="shared" si="33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73</v>
      </c>
      <c r="V34" s="40"/>
      <c r="X34">
        <v>341</v>
      </c>
      <c r="Z34" s="404">
        <f>SUM(Z3:Z33)</f>
        <v>73</v>
      </c>
      <c r="AF34" s="387">
        <f>SUM(AE34/1600)</f>
        <v>0</v>
      </c>
      <c r="AL34">
        <f>SUM(AL3:AL33)</f>
        <v>7</v>
      </c>
    </row>
    <row r="35" spans="1:38">
      <c r="C35" s="40">
        <f>SUM(C3:C33)</f>
        <v>45</v>
      </c>
      <c r="K35" s="40">
        <f>SUM(K3:K33)</f>
        <v>0</v>
      </c>
      <c r="S35" s="40">
        <f>SUM(S3:S33)</f>
        <v>28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M1" activePane="topRight" state="frozen"/>
      <selection pane="topRight" activeCell="AT21" sqref="AT2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231</v>
      </c>
      <c r="AT3" s="648" t="s">
        <v>299</v>
      </c>
      <c r="AU3" s="64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1191.9451476796396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185</v>
      </c>
      <c r="AA14" s="203">
        <f t="shared" si="30"/>
        <v>1850</v>
      </c>
      <c r="AB14" s="203">
        <f t="shared" si="31"/>
        <v>185</v>
      </c>
      <c r="AC14" s="203">
        <f t="shared" si="30"/>
        <v>1850</v>
      </c>
      <c r="AD14" s="203">
        <f t="shared" si="32"/>
        <v>185</v>
      </c>
      <c r="AE14" s="203">
        <f t="shared" si="11"/>
        <v>1850</v>
      </c>
      <c r="AF14" s="203">
        <f t="shared" si="33"/>
        <v>185</v>
      </c>
      <c r="AG14" s="203">
        <f t="shared" si="12"/>
        <v>1850</v>
      </c>
      <c r="AH14" s="203">
        <f t="shared" si="34"/>
        <v>185</v>
      </c>
      <c r="AI14" s="203">
        <f t="shared" si="13"/>
        <v>1850</v>
      </c>
      <c r="AJ14" s="203">
        <f t="shared" si="35"/>
        <v>185</v>
      </c>
      <c r="AK14" s="203">
        <f t="shared" si="14"/>
        <v>1850</v>
      </c>
      <c r="AL14" s="203">
        <f t="shared" si="36"/>
        <v>185</v>
      </c>
      <c r="AM14" s="203">
        <f t="shared" si="15"/>
        <v>1850</v>
      </c>
      <c r="AN14" s="35">
        <f t="shared" si="16"/>
        <v>0.6607142857142857</v>
      </c>
      <c r="AO14" s="36">
        <f t="shared" si="40"/>
        <v>12950</v>
      </c>
      <c r="AQ14" s="223">
        <f t="shared" si="41"/>
        <v>0.58988817065511934</v>
      </c>
      <c r="AR14" s="38">
        <f t="shared" si="37"/>
        <v>54841.903225806447</v>
      </c>
      <c r="AS14" s="197">
        <f t="shared" si="42"/>
        <v>-831.70967741935601</v>
      </c>
      <c r="AT14" s="340">
        <v>9182</v>
      </c>
      <c r="AU14" s="548">
        <v>1.1000000000000001</v>
      </c>
      <c r="AV14" s="485">
        <f t="shared" si="43"/>
        <v>1.1000000000000001</v>
      </c>
      <c r="AW14" s="279">
        <f>-SUM('B5'!AI13)</f>
        <v>-304</v>
      </c>
      <c r="AX14" s="279">
        <f t="shared" si="17"/>
        <v>-527.70967741935601</v>
      </c>
      <c r="AY14" s="37">
        <f t="shared" si="38"/>
        <v>-831.70967741935601</v>
      </c>
      <c r="AZ14" s="100">
        <f>ELEC!A12</f>
        <v>0</v>
      </c>
      <c r="BA14" s="118">
        <f>'General information '!D13</f>
        <v>15</v>
      </c>
      <c r="BB14" s="378">
        <f>SUM('General information '!E13)</f>
        <v>0.76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9"/>
        <v>-175.90322580645201</v>
      </c>
      <c r="BK14" s="538">
        <f>GEN!AF11</f>
        <v>0.32159722222230713</v>
      </c>
    </row>
    <row r="15" spans="1:63" ht="13.5" customHeight="1">
      <c r="A15" s="425">
        <f>ELEC!C13</f>
        <v>44630</v>
      </c>
      <c r="B15">
        <f>'B5'!B14</f>
        <v>177</v>
      </c>
      <c r="C15" s="203">
        <f>B15*$B$4</f>
        <v>3808.3548387096776</v>
      </c>
      <c r="D15">
        <f t="shared" si="19"/>
        <v>177</v>
      </c>
      <c r="E15" s="203">
        <f t="shared" si="18"/>
        <v>3808.3548387096776</v>
      </c>
      <c r="F15">
        <f t="shared" si="20"/>
        <v>177</v>
      </c>
      <c r="G15" s="203">
        <f t="shared" si="1"/>
        <v>3808.3548387096776</v>
      </c>
      <c r="H15" s="203">
        <f t="shared" si="21"/>
        <v>177</v>
      </c>
      <c r="I15" s="203">
        <f t="shared" si="2"/>
        <v>3808.3548387096776</v>
      </c>
      <c r="J15" s="203">
        <f t="shared" si="22"/>
        <v>177</v>
      </c>
      <c r="K15" s="203">
        <f t="shared" si="3"/>
        <v>3808.3548387096776</v>
      </c>
      <c r="L15" s="203">
        <f t="shared" si="23"/>
        <v>177</v>
      </c>
      <c r="M15" s="203">
        <f t="shared" si="4"/>
        <v>3808.3548387096776</v>
      </c>
      <c r="N15" s="203">
        <f t="shared" si="24"/>
        <v>177</v>
      </c>
      <c r="O15" s="203">
        <f t="shared" si="5"/>
        <v>3808.3548387096776</v>
      </c>
      <c r="P15" s="203">
        <f t="shared" si="25"/>
        <v>177</v>
      </c>
      <c r="Q15" s="203">
        <f t="shared" si="6"/>
        <v>3808.3548387096776</v>
      </c>
      <c r="R15" s="203">
        <f t="shared" si="26"/>
        <v>177</v>
      </c>
      <c r="S15" s="203">
        <f t="shared" si="7"/>
        <v>3808.3548387096776</v>
      </c>
      <c r="T15" s="203">
        <f t="shared" si="27"/>
        <v>177</v>
      </c>
      <c r="U15" s="203">
        <f t="shared" si="8"/>
        <v>3808.3548387096776</v>
      </c>
      <c r="V15" s="203">
        <f t="shared" si="28"/>
        <v>177</v>
      </c>
      <c r="W15" s="203">
        <f t="shared" si="9"/>
        <v>3808.3548387096776</v>
      </c>
      <c r="X15" s="35">
        <f t="shared" si="10"/>
        <v>0.57096774193548383</v>
      </c>
      <c r="Y15" s="36">
        <f t="shared" si="29"/>
        <v>41891.903225806447</v>
      </c>
      <c r="Z15" s="203">
        <f>'B5'!C14</f>
        <v>185</v>
      </c>
      <c r="AA15" s="203">
        <f t="shared" si="30"/>
        <v>1850</v>
      </c>
      <c r="AB15" s="203">
        <f t="shared" si="31"/>
        <v>185</v>
      </c>
      <c r="AC15" s="203">
        <f t="shared" si="30"/>
        <v>1850</v>
      </c>
      <c r="AD15" s="203">
        <f t="shared" si="32"/>
        <v>185</v>
      </c>
      <c r="AE15" s="203">
        <f t="shared" si="11"/>
        <v>1850</v>
      </c>
      <c r="AF15" s="203">
        <f t="shared" si="33"/>
        <v>185</v>
      </c>
      <c r="AG15" s="203">
        <f t="shared" si="12"/>
        <v>1850</v>
      </c>
      <c r="AH15" s="203">
        <f t="shared" si="34"/>
        <v>185</v>
      </c>
      <c r="AI15" s="203">
        <f t="shared" si="13"/>
        <v>1850</v>
      </c>
      <c r="AJ15" s="203">
        <f t="shared" si="35"/>
        <v>185</v>
      </c>
      <c r="AK15" s="203">
        <f t="shared" si="14"/>
        <v>1850</v>
      </c>
      <c r="AL15" s="203">
        <f t="shared" si="36"/>
        <v>185</v>
      </c>
      <c r="AM15" s="203">
        <f t="shared" si="15"/>
        <v>1850</v>
      </c>
      <c r="AN15" s="35">
        <f t="shared" si="16"/>
        <v>0.6607142857142857</v>
      </c>
      <c r="AO15" s="36">
        <f t="shared" si="40"/>
        <v>12950</v>
      </c>
      <c r="AQ15" s="223">
        <f t="shared" si="41"/>
        <v>0.58988817065511934</v>
      </c>
      <c r="AR15" s="38">
        <f>Y15+AO15</f>
        <v>54841.903225806447</v>
      </c>
      <c r="AS15" s="197">
        <f t="shared" si="42"/>
        <v>0</v>
      </c>
      <c r="AT15" s="340"/>
      <c r="AU15" s="548"/>
      <c r="AV15" s="485">
        <f>IF(AT15&gt;0,AU15,AV14)</f>
        <v>1.1000000000000001</v>
      </c>
      <c r="AW15" s="279">
        <f>-SUM('B5'!AI14)</f>
        <v>0</v>
      </c>
      <c r="AX15" s="279">
        <f t="shared" si="17"/>
        <v>0</v>
      </c>
      <c r="AY15" s="37">
        <f t="shared" si="38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9"/>
        <v>0</v>
      </c>
      <c r="BK15" s="538" t="e">
        <f>GEN!AF12</f>
        <v>#DIV/0!</v>
      </c>
    </row>
    <row r="16" spans="1:63">
      <c r="A16" s="425">
        <f>ELEC!C14</f>
        <v>44631</v>
      </c>
      <c r="B16">
        <f>'B5'!B15</f>
        <v>177</v>
      </c>
      <c r="C16" s="203">
        <f t="shared" si="18"/>
        <v>3808.3548387096776</v>
      </c>
      <c r="D16">
        <f t="shared" si="19"/>
        <v>177</v>
      </c>
      <c r="E16" s="203">
        <f t="shared" si="18"/>
        <v>3808.3548387096776</v>
      </c>
      <c r="F16">
        <f t="shared" si="20"/>
        <v>177</v>
      </c>
      <c r="G16" s="203">
        <f t="shared" si="1"/>
        <v>3808.3548387096776</v>
      </c>
      <c r="H16" s="203">
        <f t="shared" si="21"/>
        <v>177</v>
      </c>
      <c r="I16" s="203">
        <f t="shared" si="2"/>
        <v>3808.3548387096776</v>
      </c>
      <c r="J16" s="203">
        <f t="shared" si="22"/>
        <v>177</v>
      </c>
      <c r="K16" s="203">
        <f t="shared" si="3"/>
        <v>3808.3548387096776</v>
      </c>
      <c r="L16" s="203">
        <f t="shared" si="23"/>
        <v>177</v>
      </c>
      <c r="M16" s="203">
        <f t="shared" si="4"/>
        <v>3808.3548387096776</v>
      </c>
      <c r="N16" s="203">
        <f t="shared" si="24"/>
        <v>177</v>
      </c>
      <c r="O16" s="203">
        <f t="shared" si="5"/>
        <v>3808.3548387096776</v>
      </c>
      <c r="P16" s="203">
        <f t="shared" si="25"/>
        <v>177</v>
      </c>
      <c r="Q16" s="203">
        <f t="shared" si="6"/>
        <v>3808.3548387096776</v>
      </c>
      <c r="R16" s="203">
        <f t="shared" si="26"/>
        <v>177</v>
      </c>
      <c r="S16" s="203">
        <f t="shared" si="7"/>
        <v>3808.3548387096776</v>
      </c>
      <c r="T16" s="203">
        <f t="shared" si="27"/>
        <v>177</v>
      </c>
      <c r="U16" s="203">
        <f t="shared" si="8"/>
        <v>3808.3548387096776</v>
      </c>
      <c r="V16" s="203">
        <f t="shared" si="28"/>
        <v>177</v>
      </c>
      <c r="W16" s="203">
        <f t="shared" si="9"/>
        <v>3808.3548387096776</v>
      </c>
      <c r="X16" s="35">
        <f t="shared" si="10"/>
        <v>0.57096774193548383</v>
      </c>
      <c r="Y16" s="36">
        <f t="shared" si="29"/>
        <v>41891.903225806447</v>
      </c>
      <c r="Z16" s="203">
        <f>'B5'!C15</f>
        <v>185</v>
      </c>
      <c r="AA16" s="203">
        <f t="shared" si="30"/>
        <v>1850</v>
      </c>
      <c r="AB16" s="203">
        <f t="shared" si="31"/>
        <v>185</v>
      </c>
      <c r="AC16" s="203">
        <f t="shared" si="30"/>
        <v>1850</v>
      </c>
      <c r="AD16" s="203">
        <f t="shared" si="32"/>
        <v>185</v>
      </c>
      <c r="AE16" s="203">
        <f t="shared" si="11"/>
        <v>1850</v>
      </c>
      <c r="AF16" s="203">
        <f t="shared" si="33"/>
        <v>185</v>
      </c>
      <c r="AG16" s="203">
        <f t="shared" si="12"/>
        <v>1850</v>
      </c>
      <c r="AH16" s="203">
        <f t="shared" si="34"/>
        <v>185</v>
      </c>
      <c r="AI16" s="203">
        <f t="shared" si="13"/>
        <v>1850</v>
      </c>
      <c r="AJ16" s="203">
        <f t="shared" si="35"/>
        <v>185</v>
      </c>
      <c r="AK16" s="203">
        <f t="shared" si="14"/>
        <v>1850</v>
      </c>
      <c r="AL16" s="203">
        <f t="shared" si="36"/>
        <v>185</v>
      </c>
      <c r="AM16" s="203">
        <f t="shared" si="15"/>
        <v>1850</v>
      </c>
      <c r="AN16" s="35">
        <f t="shared" si="16"/>
        <v>0.6607142857142857</v>
      </c>
      <c r="AO16" s="36">
        <f t="shared" si="40"/>
        <v>12950</v>
      </c>
      <c r="AQ16" s="223">
        <f t="shared" si="41"/>
        <v>0.58988817065511934</v>
      </c>
      <c r="AR16" s="38">
        <f t="shared" si="37"/>
        <v>54841.903225806447</v>
      </c>
      <c r="AS16" s="197">
        <f t="shared" si="42"/>
        <v>0</v>
      </c>
      <c r="AT16" s="340"/>
      <c r="AU16" s="548"/>
      <c r="AV16" s="485">
        <f t="shared" ref="AV16:AV21" si="45">IF(AT16&gt;0,AU16,AV15)</f>
        <v>1.1000000000000001</v>
      </c>
      <c r="AW16" s="279">
        <f>-SUM('B5'!AI15)</f>
        <v>0</v>
      </c>
      <c r="AX16" s="279">
        <f t="shared" si="17"/>
        <v>0</v>
      </c>
      <c r="AY16" s="37">
        <f t="shared" si="38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0</v>
      </c>
      <c r="BK16" s="538" t="e">
        <f>GEN!AF13</f>
        <v>#DIV/0!</v>
      </c>
    </row>
    <row r="17" spans="1:64">
      <c r="A17" s="425">
        <f>ELEC!C15</f>
        <v>44632</v>
      </c>
      <c r="B17">
        <f>'B5'!B16</f>
        <v>177</v>
      </c>
      <c r="C17" s="203">
        <f t="shared" si="18"/>
        <v>3808.3548387096776</v>
      </c>
      <c r="D17">
        <f t="shared" si="19"/>
        <v>177</v>
      </c>
      <c r="E17" s="203">
        <f t="shared" si="18"/>
        <v>3808.3548387096776</v>
      </c>
      <c r="F17">
        <f t="shared" si="20"/>
        <v>177</v>
      </c>
      <c r="G17" s="203">
        <f t="shared" si="1"/>
        <v>3808.3548387096776</v>
      </c>
      <c r="H17" s="203">
        <f t="shared" si="21"/>
        <v>177</v>
      </c>
      <c r="I17" s="203">
        <f t="shared" si="2"/>
        <v>3808.3548387096776</v>
      </c>
      <c r="J17" s="203">
        <f t="shared" si="22"/>
        <v>177</v>
      </c>
      <c r="K17" s="203">
        <f t="shared" si="3"/>
        <v>3808.3548387096776</v>
      </c>
      <c r="L17" s="203">
        <f t="shared" si="23"/>
        <v>177</v>
      </c>
      <c r="M17" s="203">
        <f t="shared" si="4"/>
        <v>3808.3548387096776</v>
      </c>
      <c r="N17" s="203">
        <f t="shared" si="24"/>
        <v>177</v>
      </c>
      <c r="O17" s="203">
        <f t="shared" si="5"/>
        <v>3808.3548387096776</v>
      </c>
      <c r="P17" s="203">
        <f t="shared" si="25"/>
        <v>177</v>
      </c>
      <c r="Q17" s="203">
        <f t="shared" si="6"/>
        <v>3808.3548387096776</v>
      </c>
      <c r="R17" s="203">
        <f t="shared" si="26"/>
        <v>177</v>
      </c>
      <c r="S17" s="203">
        <f t="shared" si="7"/>
        <v>3808.3548387096776</v>
      </c>
      <c r="T17" s="203">
        <f t="shared" si="27"/>
        <v>177</v>
      </c>
      <c r="U17" s="203">
        <f t="shared" si="8"/>
        <v>3808.3548387096776</v>
      </c>
      <c r="V17" s="203">
        <f t="shared" si="28"/>
        <v>177</v>
      </c>
      <c r="W17" s="203">
        <f t="shared" si="9"/>
        <v>3808.3548387096776</v>
      </c>
      <c r="X17" s="35">
        <f t="shared" si="10"/>
        <v>0.57096774193548383</v>
      </c>
      <c r="Y17" s="36">
        <f t="shared" si="29"/>
        <v>41891.903225806447</v>
      </c>
      <c r="Z17" s="203">
        <f>'B5'!C16</f>
        <v>185</v>
      </c>
      <c r="AA17" s="203">
        <f t="shared" si="30"/>
        <v>1850</v>
      </c>
      <c r="AB17" s="203">
        <f t="shared" si="31"/>
        <v>185</v>
      </c>
      <c r="AC17" s="203">
        <f t="shared" si="30"/>
        <v>1850</v>
      </c>
      <c r="AD17" s="203">
        <f t="shared" si="32"/>
        <v>185</v>
      </c>
      <c r="AE17" s="203">
        <f t="shared" si="11"/>
        <v>1850</v>
      </c>
      <c r="AF17" s="203">
        <f t="shared" si="33"/>
        <v>185</v>
      </c>
      <c r="AG17" s="203">
        <f t="shared" si="12"/>
        <v>1850</v>
      </c>
      <c r="AH17" s="203">
        <f t="shared" si="34"/>
        <v>185</v>
      </c>
      <c r="AI17" s="203">
        <f t="shared" si="13"/>
        <v>1850</v>
      </c>
      <c r="AJ17" s="203">
        <f t="shared" si="35"/>
        <v>185</v>
      </c>
      <c r="AK17" s="203">
        <f t="shared" si="14"/>
        <v>1850</v>
      </c>
      <c r="AL17" s="203">
        <f t="shared" si="36"/>
        <v>185</v>
      </c>
      <c r="AM17" s="203">
        <f t="shared" si="15"/>
        <v>1850</v>
      </c>
      <c r="AN17" s="35">
        <f t="shared" si="16"/>
        <v>0.6607142857142857</v>
      </c>
      <c r="AO17" s="36">
        <f>SUM(AA17+AC17+AE17+AG17+AI17+AK17+AM17)</f>
        <v>12950</v>
      </c>
      <c r="AQ17" s="223">
        <f t="shared" si="41"/>
        <v>0.58988817065511934</v>
      </c>
      <c r="AR17" s="38">
        <f t="shared" si="37"/>
        <v>54841.903225806447</v>
      </c>
      <c r="AS17" s="197">
        <f t="shared" si="42"/>
        <v>0</v>
      </c>
      <c r="AU17" s="3"/>
      <c r="AV17" s="485">
        <f t="shared" si="45"/>
        <v>1.1000000000000001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177</v>
      </c>
      <c r="C18" s="203">
        <f t="shared" si="18"/>
        <v>3808.3548387096776</v>
      </c>
      <c r="D18">
        <f t="shared" si="19"/>
        <v>177</v>
      </c>
      <c r="E18" s="203">
        <f t="shared" si="18"/>
        <v>3808.3548387096776</v>
      </c>
      <c r="F18">
        <f t="shared" si="20"/>
        <v>177</v>
      </c>
      <c r="G18" s="203">
        <f t="shared" si="1"/>
        <v>3808.3548387096776</v>
      </c>
      <c r="H18" s="203">
        <f t="shared" si="21"/>
        <v>177</v>
      </c>
      <c r="I18" s="203">
        <f t="shared" si="2"/>
        <v>3808.3548387096776</v>
      </c>
      <c r="J18" s="203">
        <f t="shared" si="22"/>
        <v>177</v>
      </c>
      <c r="K18" s="203">
        <f t="shared" si="3"/>
        <v>3808.3548387096776</v>
      </c>
      <c r="L18" s="203">
        <f t="shared" si="23"/>
        <v>177</v>
      </c>
      <c r="M18" s="203">
        <f t="shared" si="4"/>
        <v>3808.3548387096776</v>
      </c>
      <c r="N18" s="203">
        <f t="shared" si="24"/>
        <v>177</v>
      </c>
      <c r="O18" s="203">
        <f t="shared" si="5"/>
        <v>3808.3548387096776</v>
      </c>
      <c r="P18" s="203">
        <f t="shared" si="25"/>
        <v>177</v>
      </c>
      <c r="Q18" s="203">
        <f t="shared" si="6"/>
        <v>3808.3548387096776</v>
      </c>
      <c r="R18" s="203">
        <f t="shared" si="26"/>
        <v>177</v>
      </c>
      <c r="S18" s="203">
        <f t="shared" si="7"/>
        <v>3808.3548387096776</v>
      </c>
      <c r="T18" s="203">
        <f t="shared" si="27"/>
        <v>177</v>
      </c>
      <c r="U18" s="203">
        <f t="shared" si="8"/>
        <v>3808.3548387096776</v>
      </c>
      <c r="V18" s="203">
        <f t="shared" si="28"/>
        <v>177</v>
      </c>
      <c r="W18" s="203">
        <f t="shared" si="9"/>
        <v>3808.3548387096776</v>
      </c>
      <c r="X18" s="35">
        <f t="shared" si="10"/>
        <v>0.57096774193548383</v>
      </c>
      <c r="Y18" s="36">
        <f t="shared" si="29"/>
        <v>41891.903225806447</v>
      </c>
      <c r="Z18" s="203">
        <f>'B5'!C17</f>
        <v>185</v>
      </c>
      <c r="AA18" s="203">
        <f t="shared" si="30"/>
        <v>1850</v>
      </c>
      <c r="AB18" s="203">
        <f t="shared" si="31"/>
        <v>185</v>
      </c>
      <c r="AC18" s="203">
        <f t="shared" si="30"/>
        <v>1850</v>
      </c>
      <c r="AD18" s="203">
        <f t="shared" si="32"/>
        <v>185</v>
      </c>
      <c r="AE18" s="203">
        <f t="shared" si="11"/>
        <v>1850</v>
      </c>
      <c r="AF18" s="203">
        <f t="shared" si="33"/>
        <v>185</v>
      </c>
      <c r="AG18" s="203">
        <f t="shared" si="12"/>
        <v>1850</v>
      </c>
      <c r="AH18" s="203">
        <f t="shared" si="34"/>
        <v>185</v>
      </c>
      <c r="AI18" s="203">
        <f t="shared" si="13"/>
        <v>1850</v>
      </c>
      <c r="AJ18" s="203">
        <f t="shared" si="35"/>
        <v>185</v>
      </c>
      <c r="AK18" s="203">
        <f t="shared" si="14"/>
        <v>1850</v>
      </c>
      <c r="AL18" s="203">
        <f t="shared" si="36"/>
        <v>185</v>
      </c>
      <c r="AM18" s="203">
        <f t="shared" si="15"/>
        <v>1850</v>
      </c>
      <c r="AN18" s="35">
        <f t="shared" si="16"/>
        <v>0.6607142857142857</v>
      </c>
      <c r="AO18" s="36">
        <f t="shared" si="40"/>
        <v>12950</v>
      </c>
      <c r="AQ18" s="223">
        <f t="shared" si="41"/>
        <v>0.58988817065511934</v>
      </c>
      <c r="AR18" s="38">
        <f t="shared" si="37"/>
        <v>54841.903225806447</v>
      </c>
      <c r="AS18" s="197">
        <f>SUM(AR18-AR17-AT18)</f>
        <v>0</v>
      </c>
      <c r="AT18" s="340"/>
      <c r="AU18" s="548"/>
      <c r="AV18" s="485">
        <f t="shared" si="45"/>
        <v>1.1000000000000001</v>
      </c>
      <c r="AW18" s="279">
        <f>-SUM('B5'!AI17)</f>
        <v>0</v>
      </c>
      <c r="AX18" s="279">
        <f t="shared" si="17"/>
        <v>0</v>
      </c>
      <c r="AY18" s="37">
        <f t="shared" si="38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44634</v>
      </c>
      <c r="B19">
        <f>'B5'!B18</f>
        <v>177</v>
      </c>
      <c r="C19" s="203">
        <f t="shared" si="18"/>
        <v>3808.3548387096776</v>
      </c>
      <c r="D19">
        <f t="shared" si="19"/>
        <v>177</v>
      </c>
      <c r="E19" s="203">
        <f t="shared" si="18"/>
        <v>3808.3548387096776</v>
      </c>
      <c r="F19">
        <f t="shared" si="20"/>
        <v>177</v>
      </c>
      <c r="G19" s="203">
        <f t="shared" si="1"/>
        <v>3808.3548387096776</v>
      </c>
      <c r="H19" s="203">
        <f t="shared" si="21"/>
        <v>177</v>
      </c>
      <c r="I19" s="203">
        <f t="shared" si="2"/>
        <v>3808.3548387096776</v>
      </c>
      <c r="J19" s="203">
        <f t="shared" si="22"/>
        <v>177</v>
      </c>
      <c r="K19" s="203">
        <f t="shared" si="3"/>
        <v>3808.3548387096776</v>
      </c>
      <c r="L19" s="203">
        <f t="shared" si="23"/>
        <v>177</v>
      </c>
      <c r="M19" s="203">
        <f t="shared" si="4"/>
        <v>3808.3548387096776</v>
      </c>
      <c r="N19" s="203">
        <f t="shared" si="24"/>
        <v>177</v>
      </c>
      <c r="O19" s="203">
        <f t="shared" si="5"/>
        <v>3808.3548387096776</v>
      </c>
      <c r="P19" s="203">
        <f t="shared" si="25"/>
        <v>177</v>
      </c>
      <c r="Q19" s="203">
        <f t="shared" si="6"/>
        <v>3808.3548387096776</v>
      </c>
      <c r="R19" s="203">
        <f t="shared" si="26"/>
        <v>177</v>
      </c>
      <c r="S19" s="203">
        <f t="shared" si="7"/>
        <v>3808.3548387096776</v>
      </c>
      <c r="T19" s="203">
        <f t="shared" si="27"/>
        <v>177</v>
      </c>
      <c r="U19" s="203">
        <f t="shared" si="8"/>
        <v>3808.3548387096776</v>
      </c>
      <c r="V19" s="203">
        <f t="shared" si="28"/>
        <v>177</v>
      </c>
      <c r="W19" s="203">
        <f t="shared" si="9"/>
        <v>3808.3548387096776</v>
      </c>
      <c r="X19" s="35">
        <f t="shared" si="10"/>
        <v>0.57096774193548383</v>
      </c>
      <c r="Y19" s="36">
        <f t="shared" si="29"/>
        <v>41891.903225806447</v>
      </c>
      <c r="Z19" s="203">
        <f>'B5'!C18</f>
        <v>185</v>
      </c>
      <c r="AA19" s="203">
        <f t="shared" si="30"/>
        <v>1850</v>
      </c>
      <c r="AB19" s="203">
        <f t="shared" si="31"/>
        <v>185</v>
      </c>
      <c r="AC19" s="203">
        <f t="shared" si="30"/>
        <v>1850</v>
      </c>
      <c r="AD19" s="203">
        <f t="shared" si="32"/>
        <v>185</v>
      </c>
      <c r="AE19" s="203">
        <f t="shared" si="11"/>
        <v>1850</v>
      </c>
      <c r="AF19" s="203">
        <f t="shared" si="33"/>
        <v>185</v>
      </c>
      <c r="AG19" s="203">
        <f t="shared" si="12"/>
        <v>1850</v>
      </c>
      <c r="AH19" s="203">
        <f t="shared" si="34"/>
        <v>185</v>
      </c>
      <c r="AI19" s="203">
        <f t="shared" si="13"/>
        <v>1850</v>
      </c>
      <c r="AJ19" s="203">
        <f t="shared" si="35"/>
        <v>185</v>
      </c>
      <c r="AK19" s="203">
        <f t="shared" si="14"/>
        <v>1850</v>
      </c>
      <c r="AL19" s="203">
        <f t="shared" si="36"/>
        <v>185</v>
      </c>
      <c r="AM19" s="203">
        <f t="shared" si="15"/>
        <v>1850</v>
      </c>
      <c r="AN19" s="35">
        <f t="shared" si="16"/>
        <v>0.6607142857142857</v>
      </c>
      <c r="AO19" s="36">
        <f t="shared" si="40"/>
        <v>12950</v>
      </c>
      <c r="AQ19" s="223">
        <f t="shared" si="41"/>
        <v>0.58988817065511934</v>
      </c>
      <c r="AR19" s="38">
        <f t="shared" si="37"/>
        <v>54841.903225806447</v>
      </c>
      <c r="AS19" s="197">
        <f t="shared" ref="AS19:AS32" si="47">SUM(AR19-AR18-AT19)</f>
        <v>0</v>
      </c>
      <c r="AT19" s="340"/>
      <c r="AU19" s="548"/>
      <c r="AV19" s="485">
        <f t="shared" si="45"/>
        <v>1.1000000000000001</v>
      </c>
      <c r="AW19" s="279">
        <f>-SUM('B5'!AI18)</f>
        <v>0</v>
      </c>
      <c r="AX19" s="279">
        <f t="shared" si="17"/>
        <v>0</v>
      </c>
      <c r="AY19" s="37">
        <f t="shared" si="38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44635</v>
      </c>
      <c r="B20">
        <f>'B5'!B19</f>
        <v>177</v>
      </c>
      <c r="C20" s="203">
        <f t="shared" si="18"/>
        <v>3808.3548387096776</v>
      </c>
      <c r="D20">
        <f t="shared" si="19"/>
        <v>177</v>
      </c>
      <c r="E20" s="203">
        <f t="shared" si="18"/>
        <v>3808.3548387096776</v>
      </c>
      <c r="F20">
        <f t="shared" si="20"/>
        <v>177</v>
      </c>
      <c r="G20" s="203">
        <f t="shared" si="1"/>
        <v>3808.3548387096776</v>
      </c>
      <c r="H20" s="203">
        <f t="shared" si="21"/>
        <v>177</v>
      </c>
      <c r="I20" s="203">
        <f t="shared" si="2"/>
        <v>3808.3548387096776</v>
      </c>
      <c r="J20" s="203">
        <f t="shared" si="22"/>
        <v>177</v>
      </c>
      <c r="K20" s="203">
        <f t="shared" si="3"/>
        <v>3808.3548387096776</v>
      </c>
      <c r="L20" s="203">
        <f t="shared" si="23"/>
        <v>177</v>
      </c>
      <c r="M20" s="203">
        <f t="shared" si="4"/>
        <v>3808.3548387096776</v>
      </c>
      <c r="N20" s="203">
        <f t="shared" si="24"/>
        <v>177</v>
      </c>
      <c r="O20" s="203">
        <f t="shared" si="5"/>
        <v>3808.3548387096776</v>
      </c>
      <c r="P20" s="203">
        <f t="shared" si="25"/>
        <v>177</v>
      </c>
      <c r="Q20" s="203">
        <f t="shared" si="6"/>
        <v>3808.3548387096776</v>
      </c>
      <c r="R20" s="203">
        <f t="shared" si="26"/>
        <v>177</v>
      </c>
      <c r="S20" s="203">
        <f t="shared" si="7"/>
        <v>3808.3548387096776</v>
      </c>
      <c r="T20" s="203">
        <f t="shared" si="27"/>
        <v>177</v>
      </c>
      <c r="U20" s="203">
        <f t="shared" si="8"/>
        <v>3808.3548387096776</v>
      </c>
      <c r="V20" s="203">
        <f t="shared" si="28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29"/>
        <v>41891.903225806447</v>
      </c>
      <c r="Z20" s="203">
        <f>'B5'!C19</f>
        <v>185</v>
      </c>
      <c r="AA20" s="203">
        <f t="shared" si="30"/>
        <v>1850</v>
      </c>
      <c r="AB20" s="203">
        <f t="shared" si="31"/>
        <v>185</v>
      </c>
      <c r="AC20" s="203">
        <f t="shared" si="30"/>
        <v>1850</v>
      </c>
      <c r="AD20" s="203">
        <f t="shared" si="32"/>
        <v>185</v>
      </c>
      <c r="AE20" s="203">
        <f t="shared" si="11"/>
        <v>1850</v>
      </c>
      <c r="AF20" s="203">
        <f t="shared" si="33"/>
        <v>185</v>
      </c>
      <c r="AG20" s="203">
        <f t="shared" si="12"/>
        <v>1850</v>
      </c>
      <c r="AH20" s="203">
        <f t="shared" si="34"/>
        <v>185</v>
      </c>
      <c r="AI20" s="203">
        <f t="shared" si="13"/>
        <v>1850</v>
      </c>
      <c r="AJ20" s="203">
        <f t="shared" si="35"/>
        <v>185</v>
      </c>
      <c r="AK20" s="203">
        <f t="shared" si="14"/>
        <v>1850</v>
      </c>
      <c r="AL20" s="203">
        <f t="shared" si="36"/>
        <v>185</v>
      </c>
      <c r="AM20" s="203">
        <f t="shared" si="15"/>
        <v>1850</v>
      </c>
      <c r="AN20" s="35">
        <f t="shared" si="16"/>
        <v>0.6607142857142857</v>
      </c>
      <c r="AO20" s="36">
        <f t="shared" si="40"/>
        <v>12950</v>
      </c>
      <c r="AQ20" s="223">
        <f t="shared" si="41"/>
        <v>0.58988817065511934</v>
      </c>
      <c r="AR20" s="38">
        <f t="shared" si="37"/>
        <v>54841.903225806447</v>
      </c>
      <c r="AS20" s="197">
        <f>SUM(AR20-AR19-AT20)</f>
        <v>0</v>
      </c>
      <c r="AT20" s="340"/>
      <c r="AU20" s="548"/>
      <c r="AV20" s="485">
        <f t="shared" si="45"/>
        <v>1.1000000000000001</v>
      </c>
      <c r="AW20" s="279">
        <f>-SUM('B5'!AI19)</f>
        <v>0</v>
      </c>
      <c r="AX20" s="279">
        <f>-SUM(AW20-AS20)</f>
        <v>0</v>
      </c>
      <c r="AY20" s="37">
        <f t="shared" si="38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44636</v>
      </c>
      <c r="B21">
        <f>'B5'!B20</f>
        <v>177</v>
      </c>
      <c r="C21" s="203">
        <f t="shared" si="18"/>
        <v>3808.3548387096776</v>
      </c>
      <c r="D21">
        <f t="shared" si="19"/>
        <v>177</v>
      </c>
      <c r="E21" s="203">
        <f t="shared" si="18"/>
        <v>3808.3548387096776</v>
      </c>
      <c r="F21">
        <f t="shared" si="20"/>
        <v>177</v>
      </c>
      <c r="G21" s="203">
        <f t="shared" si="1"/>
        <v>3808.3548387096776</v>
      </c>
      <c r="H21" s="203">
        <f t="shared" si="21"/>
        <v>177</v>
      </c>
      <c r="I21" s="203">
        <f t="shared" si="2"/>
        <v>3808.3548387096776</v>
      </c>
      <c r="J21" s="203">
        <f t="shared" si="22"/>
        <v>177</v>
      </c>
      <c r="K21" s="203">
        <f t="shared" si="3"/>
        <v>3808.3548387096776</v>
      </c>
      <c r="L21" s="203">
        <f t="shared" si="23"/>
        <v>177</v>
      </c>
      <c r="M21" s="203">
        <f t="shared" si="4"/>
        <v>3808.3548387096776</v>
      </c>
      <c r="N21" s="203">
        <f t="shared" si="24"/>
        <v>177</v>
      </c>
      <c r="O21" s="203">
        <f t="shared" si="5"/>
        <v>3808.3548387096776</v>
      </c>
      <c r="P21" s="203">
        <f t="shared" si="25"/>
        <v>177</v>
      </c>
      <c r="Q21" s="203">
        <f t="shared" si="6"/>
        <v>3808.3548387096776</v>
      </c>
      <c r="R21" s="203">
        <f t="shared" si="26"/>
        <v>177</v>
      </c>
      <c r="S21" s="203">
        <f t="shared" si="7"/>
        <v>3808.3548387096776</v>
      </c>
      <c r="T21" s="203">
        <f t="shared" si="27"/>
        <v>177</v>
      </c>
      <c r="U21" s="203">
        <f t="shared" si="8"/>
        <v>3808.3548387096776</v>
      </c>
      <c r="V21" s="203">
        <f t="shared" si="28"/>
        <v>177</v>
      </c>
      <c r="W21" s="203">
        <f t="shared" si="9"/>
        <v>3808.3548387096776</v>
      </c>
      <c r="X21" s="35">
        <f t="shared" si="10"/>
        <v>0.57096774193548383</v>
      </c>
      <c r="Y21" s="36">
        <f t="shared" si="29"/>
        <v>41891.903225806447</v>
      </c>
      <c r="Z21" s="203">
        <f>'B5'!C20</f>
        <v>185</v>
      </c>
      <c r="AA21" s="203">
        <f t="shared" si="30"/>
        <v>1850</v>
      </c>
      <c r="AB21" s="203">
        <f t="shared" si="31"/>
        <v>185</v>
      </c>
      <c r="AC21" s="203">
        <f t="shared" si="30"/>
        <v>1850</v>
      </c>
      <c r="AD21" s="203">
        <f t="shared" si="32"/>
        <v>185</v>
      </c>
      <c r="AE21" s="203">
        <f t="shared" si="11"/>
        <v>1850</v>
      </c>
      <c r="AF21" s="203">
        <f t="shared" si="33"/>
        <v>185</v>
      </c>
      <c r="AG21" s="203">
        <f t="shared" si="12"/>
        <v>1850</v>
      </c>
      <c r="AH21" s="203">
        <f t="shared" si="34"/>
        <v>185</v>
      </c>
      <c r="AI21" s="203">
        <f t="shared" si="13"/>
        <v>1850</v>
      </c>
      <c r="AJ21" s="203">
        <f t="shared" si="35"/>
        <v>185</v>
      </c>
      <c r="AK21" s="203">
        <f t="shared" si="14"/>
        <v>1850</v>
      </c>
      <c r="AL21" s="203">
        <f t="shared" si="36"/>
        <v>185</v>
      </c>
      <c r="AM21" s="203">
        <f t="shared" si="15"/>
        <v>1850</v>
      </c>
      <c r="AN21" s="35">
        <f t="shared" si="16"/>
        <v>0.6607142857142857</v>
      </c>
      <c r="AO21" s="36">
        <f t="shared" si="40"/>
        <v>12950</v>
      </c>
      <c r="AQ21" s="223">
        <f t="shared" si="41"/>
        <v>0.58988817065511934</v>
      </c>
      <c r="AR21" s="38">
        <f t="shared" si="37"/>
        <v>54841.903225806447</v>
      </c>
      <c r="AS21" s="197">
        <f>SUM(AR21-AR20-AT21)</f>
        <v>0</v>
      </c>
      <c r="AT21" s="340"/>
      <c r="AU21" s="548"/>
      <c r="AV21" s="485">
        <f t="shared" si="45"/>
        <v>1.1000000000000001</v>
      </c>
      <c r="AW21" s="279">
        <f>-SUM('B5'!AI20)</f>
        <v>0</v>
      </c>
      <c r="AX21" s="279">
        <f t="shared" si="17"/>
        <v>0</v>
      </c>
      <c r="AY21" s="37">
        <f t="shared" si="38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177</v>
      </c>
      <c r="C22" s="203">
        <f t="shared" si="18"/>
        <v>3808.3548387096776</v>
      </c>
      <c r="D22">
        <f t="shared" si="19"/>
        <v>177</v>
      </c>
      <c r="E22" s="203">
        <f t="shared" si="18"/>
        <v>3808.3548387096776</v>
      </c>
      <c r="F22">
        <f t="shared" si="20"/>
        <v>177</v>
      </c>
      <c r="G22" s="203">
        <f t="shared" si="1"/>
        <v>3808.3548387096776</v>
      </c>
      <c r="H22" s="203">
        <f t="shared" si="21"/>
        <v>177</v>
      </c>
      <c r="I22" s="203">
        <f t="shared" si="2"/>
        <v>3808.3548387096776</v>
      </c>
      <c r="J22" s="203">
        <f t="shared" si="22"/>
        <v>177</v>
      </c>
      <c r="K22" s="203">
        <f t="shared" si="3"/>
        <v>3808.3548387096776</v>
      </c>
      <c r="L22" s="203">
        <f t="shared" si="23"/>
        <v>177</v>
      </c>
      <c r="M22" s="203">
        <f t="shared" si="4"/>
        <v>3808.3548387096776</v>
      </c>
      <c r="N22" s="203">
        <f t="shared" si="24"/>
        <v>177</v>
      </c>
      <c r="O22" s="203">
        <f t="shared" si="5"/>
        <v>3808.3548387096776</v>
      </c>
      <c r="P22" s="203">
        <f t="shared" si="25"/>
        <v>177</v>
      </c>
      <c r="Q22" s="203">
        <f t="shared" si="6"/>
        <v>3808.3548387096776</v>
      </c>
      <c r="R22" s="203">
        <f t="shared" si="26"/>
        <v>177</v>
      </c>
      <c r="S22" s="203">
        <f t="shared" si="7"/>
        <v>3808.3548387096776</v>
      </c>
      <c r="T22" s="203">
        <f t="shared" si="27"/>
        <v>177</v>
      </c>
      <c r="U22" s="203">
        <f t="shared" si="8"/>
        <v>3808.3548387096776</v>
      </c>
      <c r="V22" s="203">
        <f t="shared" si="28"/>
        <v>177</v>
      </c>
      <c r="W22" s="203">
        <f t="shared" si="9"/>
        <v>3808.3548387096776</v>
      </c>
      <c r="X22" s="35">
        <f t="shared" si="10"/>
        <v>0.57096774193548383</v>
      </c>
      <c r="Y22" s="36">
        <f t="shared" si="29"/>
        <v>41891.903225806447</v>
      </c>
      <c r="Z22" s="203">
        <f>'B5'!C21</f>
        <v>185</v>
      </c>
      <c r="AA22" s="203">
        <f t="shared" si="30"/>
        <v>1850</v>
      </c>
      <c r="AB22" s="203">
        <f t="shared" si="31"/>
        <v>185</v>
      </c>
      <c r="AC22" s="203">
        <f t="shared" si="30"/>
        <v>1850</v>
      </c>
      <c r="AD22" s="203">
        <f t="shared" si="32"/>
        <v>185</v>
      </c>
      <c r="AE22" s="203">
        <f t="shared" si="11"/>
        <v>1850</v>
      </c>
      <c r="AF22" s="203">
        <f t="shared" si="33"/>
        <v>185</v>
      </c>
      <c r="AG22" s="203">
        <f t="shared" si="12"/>
        <v>1850</v>
      </c>
      <c r="AH22" s="203">
        <f t="shared" si="34"/>
        <v>185</v>
      </c>
      <c r="AI22" s="203">
        <f t="shared" si="13"/>
        <v>1850</v>
      </c>
      <c r="AJ22" s="203">
        <f t="shared" si="35"/>
        <v>185</v>
      </c>
      <c r="AK22" s="203">
        <f t="shared" si="14"/>
        <v>1850</v>
      </c>
      <c r="AL22" s="203">
        <f t="shared" si="36"/>
        <v>185</v>
      </c>
      <c r="AM22" s="203">
        <f t="shared" si="15"/>
        <v>1850</v>
      </c>
      <c r="AN22" s="35">
        <f t="shared" si="16"/>
        <v>0.6607142857142857</v>
      </c>
      <c r="AO22" s="36">
        <f t="shared" si="40"/>
        <v>12950</v>
      </c>
      <c r="AQ22" s="223">
        <f t="shared" si="41"/>
        <v>0.58988817065511934</v>
      </c>
      <c r="AR22" s="38">
        <f t="shared" si="37"/>
        <v>54841.903225806447</v>
      </c>
      <c r="AS22" s="197">
        <f t="shared" si="47"/>
        <v>0</v>
      </c>
      <c r="AT22" s="340"/>
      <c r="AU22" s="548"/>
      <c r="AV22" s="485">
        <f t="shared" si="43"/>
        <v>1.1000000000000001</v>
      </c>
      <c r="AW22" s="279">
        <f>-SUM('B5'!AI21)</f>
        <v>0</v>
      </c>
      <c r="AX22" s="279">
        <f t="shared" si="17"/>
        <v>0</v>
      </c>
      <c r="AY22" s="37">
        <f t="shared" si="38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177</v>
      </c>
      <c r="C23" s="203">
        <f t="shared" si="18"/>
        <v>3808.3548387096776</v>
      </c>
      <c r="D23">
        <f t="shared" si="19"/>
        <v>177</v>
      </c>
      <c r="E23" s="203">
        <f t="shared" si="18"/>
        <v>3808.3548387096776</v>
      </c>
      <c r="F23">
        <f t="shared" si="20"/>
        <v>177</v>
      </c>
      <c r="G23" s="203">
        <f t="shared" si="1"/>
        <v>3808.3548387096776</v>
      </c>
      <c r="H23" s="203">
        <f t="shared" si="21"/>
        <v>177</v>
      </c>
      <c r="I23" s="203">
        <f t="shared" si="2"/>
        <v>3808.3548387096776</v>
      </c>
      <c r="J23" s="203">
        <f t="shared" si="22"/>
        <v>177</v>
      </c>
      <c r="K23" s="203">
        <f t="shared" si="3"/>
        <v>3808.3548387096776</v>
      </c>
      <c r="L23" s="203">
        <f t="shared" si="23"/>
        <v>177</v>
      </c>
      <c r="M23" s="203">
        <f t="shared" si="4"/>
        <v>3808.3548387096776</v>
      </c>
      <c r="N23" s="203">
        <f t="shared" si="24"/>
        <v>177</v>
      </c>
      <c r="O23" s="203">
        <f t="shared" si="5"/>
        <v>3808.3548387096776</v>
      </c>
      <c r="P23" s="203">
        <f t="shared" si="25"/>
        <v>177</v>
      </c>
      <c r="Q23" s="203">
        <f t="shared" si="6"/>
        <v>3808.3548387096776</v>
      </c>
      <c r="R23" s="203">
        <f t="shared" si="26"/>
        <v>177</v>
      </c>
      <c r="S23" s="203">
        <f t="shared" si="7"/>
        <v>3808.3548387096776</v>
      </c>
      <c r="T23" s="203">
        <f t="shared" si="27"/>
        <v>177</v>
      </c>
      <c r="U23" s="203">
        <f t="shared" si="8"/>
        <v>3808.3548387096776</v>
      </c>
      <c r="V23" s="203">
        <f t="shared" si="28"/>
        <v>177</v>
      </c>
      <c r="W23" s="203">
        <f t="shared" si="9"/>
        <v>3808.3548387096776</v>
      </c>
      <c r="X23" s="35">
        <f t="shared" si="10"/>
        <v>0.57096774193548383</v>
      </c>
      <c r="Y23" s="36">
        <f t="shared" si="29"/>
        <v>41891.903225806447</v>
      </c>
      <c r="Z23" s="203">
        <f>'B5'!C22</f>
        <v>185</v>
      </c>
      <c r="AA23" s="203">
        <f t="shared" si="30"/>
        <v>1850</v>
      </c>
      <c r="AB23" s="203">
        <f t="shared" si="31"/>
        <v>185</v>
      </c>
      <c r="AC23" s="203">
        <f t="shared" si="30"/>
        <v>1850</v>
      </c>
      <c r="AD23" s="203">
        <f t="shared" si="32"/>
        <v>185</v>
      </c>
      <c r="AE23" s="203">
        <f t="shared" si="11"/>
        <v>1850</v>
      </c>
      <c r="AF23" s="203">
        <f t="shared" si="33"/>
        <v>185</v>
      </c>
      <c r="AG23" s="203">
        <f t="shared" si="12"/>
        <v>1850</v>
      </c>
      <c r="AH23" s="203">
        <f t="shared" si="34"/>
        <v>185</v>
      </c>
      <c r="AI23" s="203">
        <f t="shared" si="13"/>
        <v>1850</v>
      </c>
      <c r="AJ23" s="203">
        <f t="shared" si="35"/>
        <v>185</v>
      </c>
      <c r="AK23" s="203">
        <f t="shared" si="14"/>
        <v>1850</v>
      </c>
      <c r="AL23" s="203">
        <f t="shared" si="36"/>
        <v>185</v>
      </c>
      <c r="AM23" s="203">
        <f t="shared" si="15"/>
        <v>1850</v>
      </c>
      <c r="AN23" s="35">
        <f t="shared" si="16"/>
        <v>0.6607142857142857</v>
      </c>
      <c r="AO23" s="36">
        <f t="shared" si="40"/>
        <v>12950</v>
      </c>
      <c r="AQ23" s="223">
        <f t="shared" si="41"/>
        <v>0.58988817065511934</v>
      </c>
      <c r="AR23" s="38">
        <f t="shared" si="37"/>
        <v>54841.903225806447</v>
      </c>
      <c r="AS23" s="197">
        <f t="shared" si="47"/>
        <v>0</v>
      </c>
      <c r="AT23" s="340"/>
      <c r="AU23" s="548"/>
      <c r="AV23" s="485">
        <f t="shared" si="43"/>
        <v>1.1000000000000001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177</v>
      </c>
      <c r="C24" s="203">
        <f t="shared" si="18"/>
        <v>3808.3548387096776</v>
      </c>
      <c r="D24">
        <f t="shared" si="19"/>
        <v>177</v>
      </c>
      <c r="E24" s="203">
        <f t="shared" si="18"/>
        <v>3808.3548387096776</v>
      </c>
      <c r="F24">
        <f t="shared" si="20"/>
        <v>177</v>
      </c>
      <c r="G24" s="203">
        <f t="shared" si="1"/>
        <v>3808.3548387096776</v>
      </c>
      <c r="H24" s="203">
        <f t="shared" si="21"/>
        <v>177</v>
      </c>
      <c r="I24" s="203">
        <f t="shared" si="2"/>
        <v>3808.3548387096776</v>
      </c>
      <c r="J24" s="203">
        <f t="shared" si="22"/>
        <v>177</v>
      </c>
      <c r="K24" s="203">
        <f t="shared" si="3"/>
        <v>3808.3548387096776</v>
      </c>
      <c r="L24" s="203">
        <f t="shared" si="23"/>
        <v>177</v>
      </c>
      <c r="M24" s="203">
        <f t="shared" si="4"/>
        <v>3808.3548387096776</v>
      </c>
      <c r="N24" s="203">
        <f t="shared" si="24"/>
        <v>177</v>
      </c>
      <c r="O24" s="203">
        <f t="shared" si="5"/>
        <v>3808.3548387096776</v>
      </c>
      <c r="P24" s="203">
        <f t="shared" si="25"/>
        <v>177</v>
      </c>
      <c r="Q24" s="203">
        <f t="shared" si="6"/>
        <v>3808.3548387096776</v>
      </c>
      <c r="R24" s="203">
        <f t="shared" si="26"/>
        <v>177</v>
      </c>
      <c r="S24" s="203">
        <f t="shared" si="7"/>
        <v>3808.3548387096776</v>
      </c>
      <c r="T24" s="203">
        <f t="shared" si="27"/>
        <v>177</v>
      </c>
      <c r="U24" s="203">
        <f t="shared" si="8"/>
        <v>3808.3548387096776</v>
      </c>
      <c r="V24" s="203">
        <f t="shared" si="28"/>
        <v>177</v>
      </c>
      <c r="W24" s="203">
        <f t="shared" si="9"/>
        <v>3808.3548387096776</v>
      </c>
      <c r="X24" s="35">
        <f t="shared" si="10"/>
        <v>0.57096774193548383</v>
      </c>
      <c r="Y24" s="36">
        <f t="shared" si="29"/>
        <v>41891.903225806447</v>
      </c>
      <c r="Z24" s="203">
        <f>'B5'!C23</f>
        <v>185</v>
      </c>
      <c r="AA24" s="203">
        <f t="shared" si="30"/>
        <v>1850</v>
      </c>
      <c r="AB24" s="203">
        <f t="shared" si="31"/>
        <v>185</v>
      </c>
      <c r="AC24" s="203">
        <f t="shared" si="30"/>
        <v>1850</v>
      </c>
      <c r="AD24" s="203">
        <f t="shared" si="32"/>
        <v>185</v>
      </c>
      <c r="AE24" s="203">
        <f t="shared" si="11"/>
        <v>1850</v>
      </c>
      <c r="AF24" s="203">
        <f t="shared" si="33"/>
        <v>185</v>
      </c>
      <c r="AG24" s="203">
        <f t="shared" si="12"/>
        <v>1850</v>
      </c>
      <c r="AH24" s="203">
        <f t="shared" si="34"/>
        <v>185</v>
      </c>
      <c r="AI24" s="203">
        <f t="shared" si="13"/>
        <v>1850</v>
      </c>
      <c r="AJ24" s="203">
        <f t="shared" si="35"/>
        <v>185</v>
      </c>
      <c r="AK24" s="203">
        <f t="shared" si="14"/>
        <v>1850</v>
      </c>
      <c r="AL24" s="203">
        <f t="shared" si="36"/>
        <v>185</v>
      </c>
      <c r="AM24" s="203">
        <f t="shared" si="15"/>
        <v>1850</v>
      </c>
      <c r="AN24" s="35">
        <f t="shared" si="16"/>
        <v>0.6607142857142857</v>
      </c>
      <c r="AO24" s="36">
        <f t="shared" si="40"/>
        <v>12950</v>
      </c>
      <c r="AQ24" s="223">
        <f t="shared" si="41"/>
        <v>0.58988817065511934</v>
      </c>
      <c r="AR24" s="38">
        <f t="shared" si="37"/>
        <v>54841.903225806447</v>
      </c>
      <c r="AS24" s="197">
        <f t="shared" si="47"/>
        <v>0</v>
      </c>
      <c r="AT24" s="340"/>
      <c r="AU24" s="548"/>
      <c r="AV24" s="485">
        <f t="shared" si="43"/>
        <v>1.1000000000000001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177</v>
      </c>
      <c r="C25" s="203">
        <f t="shared" si="18"/>
        <v>3808.3548387096776</v>
      </c>
      <c r="D25">
        <f t="shared" si="19"/>
        <v>177</v>
      </c>
      <c r="E25" s="203">
        <f t="shared" si="18"/>
        <v>3808.3548387096776</v>
      </c>
      <c r="F25">
        <f t="shared" si="20"/>
        <v>177</v>
      </c>
      <c r="G25" s="203">
        <f t="shared" si="1"/>
        <v>3808.3548387096776</v>
      </c>
      <c r="H25" s="203">
        <f t="shared" si="21"/>
        <v>177</v>
      </c>
      <c r="I25" s="203">
        <f t="shared" si="2"/>
        <v>3808.3548387096776</v>
      </c>
      <c r="J25" s="203">
        <f t="shared" si="22"/>
        <v>177</v>
      </c>
      <c r="K25" s="203">
        <f t="shared" si="3"/>
        <v>3808.3548387096776</v>
      </c>
      <c r="L25" s="203">
        <f t="shared" si="23"/>
        <v>177</v>
      </c>
      <c r="M25" s="203">
        <f t="shared" si="4"/>
        <v>3808.3548387096776</v>
      </c>
      <c r="N25" s="203">
        <f t="shared" si="24"/>
        <v>177</v>
      </c>
      <c r="O25" s="203">
        <f t="shared" si="5"/>
        <v>3808.3548387096776</v>
      </c>
      <c r="P25" s="203">
        <f t="shared" si="25"/>
        <v>177</v>
      </c>
      <c r="Q25" s="203">
        <f t="shared" si="6"/>
        <v>3808.3548387096776</v>
      </c>
      <c r="R25" s="203">
        <f t="shared" si="26"/>
        <v>177</v>
      </c>
      <c r="S25" s="203">
        <f t="shared" si="7"/>
        <v>3808.3548387096776</v>
      </c>
      <c r="T25" s="203">
        <f t="shared" si="27"/>
        <v>177</v>
      </c>
      <c r="U25" s="203">
        <f t="shared" si="8"/>
        <v>3808.3548387096776</v>
      </c>
      <c r="V25" s="203">
        <f t="shared" si="28"/>
        <v>177</v>
      </c>
      <c r="W25" s="203">
        <f t="shared" si="9"/>
        <v>3808.3548387096776</v>
      </c>
      <c r="X25" s="35">
        <f t="shared" si="10"/>
        <v>0.57096774193548383</v>
      </c>
      <c r="Y25" s="36">
        <f t="shared" si="29"/>
        <v>41891.903225806447</v>
      </c>
      <c r="Z25" s="203">
        <f>'B5'!C24</f>
        <v>185</v>
      </c>
      <c r="AA25" s="203">
        <f t="shared" si="30"/>
        <v>1850</v>
      </c>
      <c r="AB25" s="203">
        <f t="shared" si="31"/>
        <v>185</v>
      </c>
      <c r="AC25" s="203">
        <f t="shared" si="30"/>
        <v>1850</v>
      </c>
      <c r="AD25" s="203">
        <f t="shared" si="32"/>
        <v>185</v>
      </c>
      <c r="AE25" s="203">
        <f t="shared" si="11"/>
        <v>1850</v>
      </c>
      <c r="AF25" s="203">
        <f t="shared" si="33"/>
        <v>185</v>
      </c>
      <c r="AG25" s="203">
        <f t="shared" si="12"/>
        <v>1850</v>
      </c>
      <c r="AH25" s="203">
        <f t="shared" si="34"/>
        <v>185</v>
      </c>
      <c r="AI25" s="203">
        <f t="shared" si="13"/>
        <v>1850</v>
      </c>
      <c r="AJ25" s="203">
        <f t="shared" si="35"/>
        <v>185</v>
      </c>
      <c r="AK25" s="203">
        <f t="shared" si="14"/>
        <v>1850</v>
      </c>
      <c r="AL25" s="203">
        <f t="shared" si="36"/>
        <v>185</v>
      </c>
      <c r="AM25" s="203">
        <f t="shared" si="15"/>
        <v>1850</v>
      </c>
      <c r="AN25" s="35">
        <f t="shared" si="16"/>
        <v>0.6607142857142857</v>
      </c>
      <c r="AO25" s="36">
        <f t="shared" si="40"/>
        <v>12950</v>
      </c>
      <c r="AQ25" s="223">
        <f t="shared" si="41"/>
        <v>0.58988817065511934</v>
      </c>
      <c r="AR25" s="38">
        <f>Y25+AO25</f>
        <v>54841.903225806447</v>
      </c>
      <c r="AS25" s="197">
        <f t="shared" si="47"/>
        <v>0</v>
      </c>
      <c r="AT25" s="340"/>
      <c r="AU25" s="549"/>
      <c r="AV25" s="485">
        <f t="shared" si="43"/>
        <v>1.1000000000000001</v>
      </c>
      <c r="AW25" s="279">
        <f>-SUM('B5'!AI24)</f>
        <v>0</v>
      </c>
      <c r="AX25" s="279">
        <f t="shared" si="17"/>
        <v>0</v>
      </c>
      <c r="AY25" s="37">
        <f t="shared" si="38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177</v>
      </c>
      <c r="C26" s="203">
        <f t="shared" si="18"/>
        <v>3808.3548387096776</v>
      </c>
      <c r="D26">
        <f t="shared" si="19"/>
        <v>177</v>
      </c>
      <c r="E26" s="203">
        <f t="shared" si="18"/>
        <v>3808.3548387096776</v>
      </c>
      <c r="F26">
        <f t="shared" si="20"/>
        <v>177</v>
      </c>
      <c r="G26" s="203">
        <f t="shared" si="1"/>
        <v>3808.3548387096776</v>
      </c>
      <c r="H26" s="203">
        <f t="shared" si="21"/>
        <v>177</v>
      </c>
      <c r="I26" s="203">
        <f t="shared" si="2"/>
        <v>3808.3548387096776</v>
      </c>
      <c r="J26" s="203">
        <f t="shared" si="22"/>
        <v>177</v>
      </c>
      <c r="K26" s="203">
        <f t="shared" si="3"/>
        <v>3808.3548387096776</v>
      </c>
      <c r="L26" s="203">
        <f t="shared" si="23"/>
        <v>177</v>
      </c>
      <c r="M26" s="203">
        <f t="shared" si="4"/>
        <v>3808.3548387096776</v>
      </c>
      <c r="N26" s="203">
        <f t="shared" si="24"/>
        <v>177</v>
      </c>
      <c r="O26" s="203">
        <f t="shared" si="5"/>
        <v>3808.3548387096776</v>
      </c>
      <c r="P26" s="203">
        <f t="shared" si="25"/>
        <v>177</v>
      </c>
      <c r="Q26" s="203">
        <f t="shared" si="6"/>
        <v>3808.3548387096776</v>
      </c>
      <c r="R26" s="203">
        <f t="shared" si="26"/>
        <v>177</v>
      </c>
      <c r="S26" s="203">
        <f t="shared" si="7"/>
        <v>3808.3548387096776</v>
      </c>
      <c r="T26" s="203">
        <f t="shared" si="27"/>
        <v>177</v>
      </c>
      <c r="U26" s="203">
        <f t="shared" si="8"/>
        <v>3808.3548387096776</v>
      </c>
      <c r="V26" s="203">
        <f t="shared" si="28"/>
        <v>177</v>
      </c>
      <c r="W26" s="203">
        <f t="shared" si="9"/>
        <v>3808.3548387096776</v>
      </c>
      <c r="X26" s="35">
        <f t="shared" si="10"/>
        <v>0.57096774193548383</v>
      </c>
      <c r="Y26" s="36">
        <f t="shared" si="29"/>
        <v>41891.903225806447</v>
      </c>
      <c r="Z26" s="203">
        <f>'B5'!C25</f>
        <v>185</v>
      </c>
      <c r="AA26" s="203">
        <f t="shared" si="30"/>
        <v>1850</v>
      </c>
      <c r="AB26" s="203">
        <f t="shared" si="31"/>
        <v>185</v>
      </c>
      <c r="AC26" s="203">
        <f t="shared" si="30"/>
        <v>1850</v>
      </c>
      <c r="AD26" s="203">
        <f t="shared" si="32"/>
        <v>185</v>
      </c>
      <c r="AE26" s="203">
        <f t="shared" si="11"/>
        <v>1850</v>
      </c>
      <c r="AF26" s="203">
        <f t="shared" si="33"/>
        <v>185</v>
      </c>
      <c r="AG26" s="203">
        <f t="shared" si="12"/>
        <v>1850</v>
      </c>
      <c r="AH26" s="203">
        <f t="shared" si="34"/>
        <v>185</v>
      </c>
      <c r="AI26" s="203">
        <f t="shared" si="13"/>
        <v>1850</v>
      </c>
      <c r="AJ26" s="203">
        <f t="shared" si="35"/>
        <v>185</v>
      </c>
      <c r="AK26" s="203">
        <f t="shared" si="14"/>
        <v>1850</v>
      </c>
      <c r="AL26" s="203">
        <f t="shared" si="36"/>
        <v>185</v>
      </c>
      <c r="AM26" s="203">
        <f t="shared" si="15"/>
        <v>1850</v>
      </c>
      <c r="AN26" s="35">
        <f t="shared" si="16"/>
        <v>0.6607142857142857</v>
      </c>
      <c r="AO26" s="36">
        <f t="shared" si="40"/>
        <v>12950</v>
      </c>
      <c r="AQ26" s="223">
        <f t="shared" si="41"/>
        <v>0.58988817065511934</v>
      </c>
      <c r="AR26" s="38">
        <f>Y26+AO26</f>
        <v>54841.903225806447</v>
      </c>
      <c r="AS26" s="197">
        <f t="shared" si="47"/>
        <v>0</v>
      </c>
      <c r="AT26" s="340"/>
      <c r="AU26" s="548"/>
      <c r="AV26" s="485">
        <f t="shared" si="43"/>
        <v>1.1000000000000001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177</v>
      </c>
      <c r="C27" s="203">
        <f t="shared" si="18"/>
        <v>3808.3548387096776</v>
      </c>
      <c r="D27">
        <f t="shared" si="19"/>
        <v>177</v>
      </c>
      <c r="E27" s="203">
        <f t="shared" si="18"/>
        <v>3808.3548387096776</v>
      </c>
      <c r="F27">
        <f t="shared" si="20"/>
        <v>177</v>
      </c>
      <c r="G27" s="203">
        <f t="shared" si="1"/>
        <v>3808.3548387096776</v>
      </c>
      <c r="H27" s="203">
        <f t="shared" si="21"/>
        <v>177</v>
      </c>
      <c r="I27" s="203">
        <f t="shared" si="2"/>
        <v>3808.3548387096776</v>
      </c>
      <c r="J27" s="203">
        <f t="shared" si="22"/>
        <v>177</v>
      </c>
      <c r="K27" s="203">
        <f t="shared" si="3"/>
        <v>3808.3548387096776</v>
      </c>
      <c r="L27" s="203">
        <f t="shared" si="23"/>
        <v>177</v>
      </c>
      <c r="M27" s="203">
        <f t="shared" si="4"/>
        <v>3808.3548387096776</v>
      </c>
      <c r="N27" s="203">
        <f t="shared" si="24"/>
        <v>177</v>
      </c>
      <c r="O27" s="203">
        <f t="shared" si="5"/>
        <v>3808.3548387096776</v>
      </c>
      <c r="P27" s="203">
        <f t="shared" si="25"/>
        <v>177</v>
      </c>
      <c r="Q27" s="203">
        <f t="shared" si="6"/>
        <v>3808.3548387096776</v>
      </c>
      <c r="R27" s="203">
        <f t="shared" si="26"/>
        <v>177</v>
      </c>
      <c r="S27" s="203">
        <f t="shared" si="7"/>
        <v>3808.3548387096776</v>
      </c>
      <c r="T27" s="203">
        <f t="shared" si="27"/>
        <v>177</v>
      </c>
      <c r="U27" s="203">
        <f t="shared" si="8"/>
        <v>3808.3548387096776</v>
      </c>
      <c r="V27" s="203">
        <f t="shared" si="28"/>
        <v>177</v>
      </c>
      <c r="W27" s="203">
        <f t="shared" si="9"/>
        <v>3808.3548387096776</v>
      </c>
      <c r="X27" s="35">
        <f t="shared" si="10"/>
        <v>0.57096774193548383</v>
      </c>
      <c r="Y27" s="36">
        <f t="shared" si="29"/>
        <v>41891.903225806447</v>
      </c>
      <c r="Z27" s="203">
        <f>'B5'!C26</f>
        <v>185</v>
      </c>
      <c r="AA27" s="203">
        <f t="shared" si="30"/>
        <v>1850</v>
      </c>
      <c r="AB27" s="203">
        <f t="shared" si="31"/>
        <v>185</v>
      </c>
      <c r="AC27" s="203">
        <f t="shared" si="30"/>
        <v>1850</v>
      </c>
      <c r="AD27" s="203">
        <f t="shared" si="32"/>
        <v>185</v>
      </c>
      <c r="AE27" s="203">
        <f t="shared" si="11"/>
        <v>1850</v>
      </c>
      <c r="AF27" s="203">
        <f t="shared" si="33"/>
        <v>185</v>
      </c>
      <c r="AG27" s="203">
        <f t="shared" si="12"/>
        <v>1850</v>
      </c>
      <c r="AH27" s="203">
        <f t="shared" si="34"/>
        <v>185</v>
      </c>
      <c r="AI27" s="203">
        <f t="shared" si="13"/>
        <v>1850</v>
      </c>
      <c r="AJ27" s="203">
        <f t="shared" si="35"/>
        <v>185</v>
      </c>
      <c r="AK27" s="203">
        <f t="shared" si="14"/>
        <v>1850</v>
      </c>
      <c r="AL27" s="203">
        <f t="shared" si="36"/>
        <v>185</v>
      </c>
      <c r="AM27" s="203">
        <f t="shared" si="15"/>
        <v>1850</v>
      </c>
      <c r="AN27" s="35">
        <f t="shared" si="16"/>
        <v>0.6607142857142857</v>
      </c>
      <c r="AO27" s="36">
        <f t="shared" si="40"/>
        <v>12950</v>
      </c>
      <c r="AQ27" s="223">
        <f t="shared" si="41"/>
        <v>0.58988817065511934</v>
      </c>
      <c r="AR27" s="38">
        <f t="shared" si="37"/>
        <v>54841.903225806447</v>
      </c>
      <c r="AS27" s="197">
        <f t="shared" si="47"/>
        <v>0</v>
      </c>
      <c r="AT27" s="340"/>
      <c r="AU27" s="548"/>
      <c r="AV27" s="485">
        <f t="shared" si="43"/>
        <v>1.1000000000000001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177</v>
      </c>
      <c r="C28" s="203">
        <f t="shared" si="18"/>
        <v>3808.3548387096776</v>
      </c>
      <c r="D28">
        <f t="shared" si="19"/>
        <v>177</v>
      </c>
      <c r="E28" s="203">
        <f t="shared" si="18"/>
        <v>3808.3548387096776</v>
      </c>
      <c r="F28">
        <f t="shared" si="20"/>
        <v>177</v>
      </c>
      <c r="G28" s="203">
        <f t="shared" si="1"/>
        <v>3808.3548387096776</v>
      </c>
      <c r="H28" s="203">
        <f t="shared" si="21"/>
        <v>177</v>
      </c>
      <c r="I28" s="203">
        <f t="shared" si="2"/>
        <v>3808.3548387096776</v>
      </c>
      <c r="J28" s="203">
        <f t="shared" si="22"/>
        <v>177</v>
      </c>
      <c r="K28" s="203">
        <f t="shared" si="3"/>
        <v>3808.3548387096776</v>
      </c>
      <c r="L28" s="203">
        <f t="shared" si="23"/>
        <v>177</v>
      </c>
      <c r="M28" s="203">
        <f t="shared" si="4"/>
        <v>3808.3548387096776</v>
      </c>
      <c r="N28" s="203">
        <f t="shared" si="24"/>
        <v>177</v>
      </c>
      <c r="O28" s="203">
        <f t="shared" si="5"/>
        <v>3808.3548387096776</v>
      </c>
      <c r="P28" s="203">
        <f t="shared" si="25"/>
        <v>177</v>
      </c>
      <c r="Q28" s="203">
        <f t="shared" si="6"/>
        <v>3808.3548387096776</v>
      </c>
      <c r="R28" s="203">
        <f t="shared" si="26"/>
        <v>177</v>
      </c>
      <c r="S28" s="203">
        <f t="shared" si="7"/>
        <v>3808.3548387096776</v>
      </c>
      <c r="T28" s="203">
        <f t="shared" si="27"/>
        <v>177</v>
      </c>
      <c r="U28" s="203">
        <f t="shared" si="8"/>
        <v>3808.3548387096776</v>
      </c>
      <c r="V28" s="203">
        <f t="shared" si="28"/>
        <v>177</v>
      </c>
      <c r="W28" s="203">
        <f t="shared" si="9"/>
        <v>3808.3548387096776</v>
      </c>
      <c r="X28" s="35">
        <f t="shared" si="10"/>
        <v>0.57096774193548383</v>
      </c>
      <c r="Y28" s="36">
        <f t="shared" si="29"/>
        <v>41891.903225806447</v>
      </c>
      <c r="Z28" s="203">
        <f>'B5'!C27</f>
        <v>185</v>
      </c>
      <c r="AA28" s="203">
        <f t="shared" si="30"/>
        <v>1850</v>
      </c>
      <c r="AB28" s="203">
        <f t="shared" si="31"/>
        <v>185</v>
      </c>
      <c r="AC28" s="203">
        <f t="shared" si="30"/>
        <v>1850</v>
      </c>
      <c r="AD28" s="203">
        <f t="shared" si="32"/>
        <v>185</v>
      </c>
      <c r="AE28" s="203">
        <f t="shared" si="11"/>
        <v>1850</v>
      </c>
      <c r="AF28" s="203">
        <f t="shared" si="33"/>
        <v>185</v>
      </c>
      <c r="AG28" s="203">
        <f t="shared" si="12"/>
        <v>1850</v>
      </c>
      <c r="AH28" s="203">
        <f t="shared" si="34"/>
        <v>185</v>
      </c>
      <c r="AI28" s="203">
        <f t="shared" si="13"/>
        <v>1850</v>
      </c>
      <c r="AJ28" s="203">
        <f t="shared" si="35"/>
        <v>185</v>
      </c>
      <c r="AK28" s="203">
        <f t="shared" si="14"/>
        <v>1850</v>
      </c>
      <c r="AL28" s="203">
        <f t="shared" si="36"/>
        <v>185</v>
      </c>
      <c r="AM28" s="203">
        <f t="shared" si="15"/>
        <v>1850</v>
      </c>
      <c r="AN28" s="35">
        <f t="shared" si="16"/>
        <v>0.6607142857142857</v>
      </c>
      <c r="AO28" s="36">
        <f t="shared" si="40"/>
        <v>12950</v>
      </c>
      <c r="AQ28" s="223">
        <f t="shared" si="41"/>
        <v>0.58988817065511934</v>
      </c>
      <c r="AR28" s="38">
        <f t="shared" si="37"/>
        <v>54841.903225806447</v>
      </c>
      <c r="AS28" s="197">
        <f t="shared" si="47"/>
        <v>0</v>
      </c>
      <c r="AT28" s="340"/>
      <c r="AU28" s="549"/>
      <c r="AV28" s="485">
        <f t="shared" si="43"/>
        <v>1.1000000000000001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177</v>
      </c>
      <c r="C29" s="203">
        <f t="shared" si="18"/>
        <v>3808.3548387096776</v>
      </c>
      <c r="D29">
        <f t="shared" si="19"/>
        <v>177</v>
      </c>
      <c r="E29" s="203">
        <f t="shared" si="18"/>
        <v>3808.3548387096776</v>
      </c>
      <c r="F29">
        <f t="shared" si="20"/>
        <v>177</v>
      </c>
      <c r="G29" s="203">
        <f t="shared" si="1"/>
        <v>3808.3548387096776</v>
      </c>
      <c r="H29" s="203">
        <f t="shared" si="21"/>
        <v>177</v>
      </c>
      <c r="I29" s="203">
        <f t="shared" si="2"/>
        <v>3808.3548387096776</v>
      </c>
      <c r="J29" s="203">
        <f t="shared" si="22"/>
        <v>177</v>
      </c>
      <c r="K29" s="203">
        <f t="shared" si="3"/>
        <v>3808.3548387096776</v>
      </c>
      <c r="L29" s="203">
        <f t="shared" si="23"/>
        <v>177</v>
      </c>
      <c r="M29" s="203">
        <f t="shared" si="4"/>
        <v>3808.3548387096776</v>
      </c>
      <c r="N29" s="203">
        <f t="shared" si="24"/>
        <v>177</v>
      </c>
      <c r="O29" s="203">
        <f t="shared" si="5"/>
        <v>3808.3548387096776</v>
      </c>
      <c r="P29" s="203">
        <f t="shared" si="25"/>
        <v>177</v>
      </c>
      <c r="Q29" s="203">
        <f t="shared" si="6"/>
        <v>3808.3548387096776</v>
      </c>
      <c r="R29" s="203">
        <f t="shared" si="26"/>
        <v>177</v>
      </c>
      <c r="S29" s="203">
        <f t="shared" si="7"/>
        <v>3808.3548387096776</v>
      </c>
      <c r="T29" s="203">
        <f t="shared" si="27"/>
        <v>177</v>
      </c>
      <c r="U29" s="203">
        <f t="shared" si="8"/>
        <v>3808.3548387096776</v>
      </c>
      <c r="V29" s="203">
        <f t="shared" si="28"/>
        <v>177</v>
      </c>
      <c r="W29" s="203">
        <f t="shared" si="9"/>
        <v>3808.3548387096776</v>
      </c>
      <c r="X29" s="35">
        <f t="shared" si="10"/>
        <v>0.57096774193548383</v>
      </c>
      <c r="Y29" s="36">
        <f t="shared" si="29"/>
        <v>41891.903225806447</v>
      </c>
      <c r="Z29" s="203">
        <f>'B5'!C28</f>
        <v>185</v>
      </c>
      <c r="AA29" s="203">
        <f t="shared" si="30"/>
        <v>1850</v>
      </c>
      <c r="AB29" s="203">
        <f t="shared" si="31"/>
        <v>185</v>
      </c>
      <c r="AC29" s="203">
        <f t="shared" si="30"/>
        <v>1850</v>
      </c>
      <c r="AD29" s="203">
        <f t="shared" si="32"/>
        <v>185</v>
      </c>
      <c r="AE29" s="203">
        <f t="shared" si="11"/>
        <v>1850</v>
      </c>
      <c r="AF29" s="203">
        <f t="shared" si="33"/>
        <v>185</v>
      </c>
      <c r="AG29" s="203">
        <f t="shared" si="12"/>
        <v>1850</v>
      </c>
      <c r="AH29" s="203">
        <f t="shared" si="34"/>
        <v>185</v>
      </c>
      <c r="AI29" s="203">
        <f t="shared" si="13"/>
        <v>1850</v>
      </c>
      <c r="AJ29" s="203">
        <f t="shared" si="35"/>
        <v>185</v>
      </c>
      <c r="AK29" s="203">
        <f t="shared" si="14"/>
        <v>1850</v>
      </c>
      <c r="AL29" s="203">
        <f t="shared" si="36"/>
        <v>185</v>
      </c>
      <c r="AM29" s="203">
        <f t="shared" si="15"/>
        <v>1850</v>
      </c>
      <c r="AN29" s="35">
        <f t="shared" si="16"/>
        <v>0.6607142857142857</v>
      </c>
      <c r="AO29" s="36">
        <f t="shared" si="40"/>
        <v>12950</v>
      </c>
      <c r="AQ29" s="223">
        <f t="shared" si="41"/>
        <v>0.58988817065511934</v>
      </c>
      <c r="AR29" s="38">
        <f t="shared" si="37"/>
        <v>54841.903225806447</v>
      </c>
      <c r="AS29" s="197">
        <f>SUM(AR29-AR28-AT29)</f>
        <v>0</v>
      </c>
      <c r="AT29" s="340"/>
      <c r="AU29" s="549"/>
      <c r="AV29" s="485">
        <f t="shared" si="43"/>
        <v>1.1000000000000001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177</v>
      </c>
      <c r="C30" s="203">
        <f t="shared" si="18"/>
        <v>3808.3548387096776</v>
      </c>
      <c r="D30">
        <f>SUM(B30)</f>
        <v>177</v>
      </c>
      <c r="E30" s="203">
        <f t="shared" si="18"/>
        <v>3808.3548387096776</v>
      </c>
      <c r="F30">
        <f>SUM(D30)</f>
        <v>177</v>
      </c>
      <c r="G30" s="203">
        <f t="shared" si="1"/>
        <v>3808.3548387096776</v>
      </c>
      <c r="H30" s="203">
        <f>SUM(F30)</f>
        <v>177</v>
      </c>
      <c r="I30" s="203">
        <f t="shared" si="2"/>
        <v>3808.3548387096776</v>
      </c>
      <c r="J30" s="203">
        <f>SUM(H30)</f>
        <v>177</v>
      </c>
      <c r="K30" s="203">
        <f t="shared" si="3"/>
        <v>3808.3548387096776</v>
      </c>
      <c r="L30" s="203">
        <f>SUM(J30)</f>
        <v>177</v>
      </c>
      <c r="M30" s="203">
        <f t="shared" si="4"/>
        <v>3808.3548387096776</v>
      </c>
      <c r="N30" s="203">
        <f>SUM(L30)</f>
        <v>177</v>
      </c>
      <c r="O30" s="203">
        <f t="shared" si="5"/>
        <v>3808.3548387096776</v>
      </c>
      <c r="P30" s="203">
        <f>SUM(N30)</f>
        <v>177</v>
      </c>
      <c r="Q30" s="203">
        <f t="shared" si="6"/>
        <v>3808.3548387096776</v>
      </c>
      <c r="R30" s="203">
        <f>SUM(P30)</f>
        <v>177</v>
      </c>
      <c r="S30" s="203">
        <f t="shared" si="7"/>
        <v>3808.3548387096776</v>
      </c>
      <c r="T30" s="203">
        <f>SUM(R30)</f>
        <v>177</v>
      </c>
      <c r="U30" s="203">
        <f t="shared" si="8"/>
        <v>3808.3548387096776</v>
      </c>
      <c r="V30" s="203">
        <f>SUM(T30)</f>
        <v>177</v>
      </c>
      <c r="W30" s="203">
        <f t="shared" si="9"/>
        <v>3808.3548387096776</v>
      </c>
      <c r="X30" s="35">
        <f>SUM(Y30/73370)</f>
        <v>0.57096774193548383</v>
      </c>
      <c r="Y30" s="36">
        <f>SUM(C30+E30+G30+I30+K30+M30+O30+Q30+S30+U30+W30)</f>
        <v>41891.903225806447</v>
      </c>
      <c r="Z30" s="203">
        <f>'B5'!C29</f>
        <v>185</v>
      </c>
      <c r="AA30" s="203">
        <f t="shared" si="30"/>
        <v>1850</v>
      </c>
      <c r="AB30" s="203">
        <f>SUM(Z30)</f>
        <v>185</v>
      </c>
      <c r="AC30" s="203">
        <f t="shared" si="30"/>
        <v>1850</v>
      </c>
      <c r="AD30" s="203">
        <f>SUM(AB30)</f>
        <v>185</v>
      </c>
      <c r="AE30" s="203">
        <f t="shared" si="11"/>
        <v>1850</v>
      </c>
      <c r="AF30" s="203">
        <f>SUM(AD30)</f>
        <v>185</v>
      </c>
      <c r="AG30" s="203">
        <f t="shared" si="12"/>
        <v>1850</v>
      </c>
      <c r="AH30" s="203">
        <f>SUM(AF30)</f>
        <v>185</v>
      </c>
      <c r="AI30" s="203">
        <f t="shared" si="13"/>
        <v>1850</v>
      </c>
      <c r="AJ30" s="203">
        <f>SUM(AH30)</f>
        <v>185</v>
      </c>
      <c r="AK30" s="203">
        <f t="shared" si="14"/>
        <v>1850</v>
      </c>
      <c r="AL30" s="203">
        <f>SUM(AJ30)</f>
        <v>185</v>
      </c>
      <c r="AM30" s="203">
        <f t="shared" si="15"/>
        <v>1850</v>
      </c>
      <c r="AN30" s="35">
        <f>SUM(AO30/19600)</f>
        <v>0.6607142857142857</v>
      </c>
      <c r="AO30" s="36">
        <f>SUM(AA30+AC30+AE30+AG30+AI30+AK30+AM30)</f>
        <v>12950</v>
      </c>
      <c r="AQ30" s="223">
        <f t="shared" si="41"/>
        <v>0.58988817065511934</v>
      </c>
      <c r="AR30" s="38">
        <f t="shared" si="37"/>
        <v>54841.903225806447</v>
      </c>
      <c r="AS30" s="197">
        <f>SUM(AR30-AR29-AT30)</f>
        <v>0</v>
      </c>
      <c r="AT30" s="340"/>
      <c r="AU30" s="549"/>
      <c r="AV30" s="485">
        <f t="shared" si="43"/>
        <v>1.1000000000000001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177</v>
      </c>
      <c r="C31" s="203">
        <f t="shared" si="18"/>
        <v>3808.3548387096776</v>
      </c>
      <c r="D31">
        <f>SUM(B31)</f>
        <v>177</v>
      </c>
      <c r="E31" s="203">
        <f t="shared" si="18"/>
        <v>3808.3548387096776</v>
      </c>
      <c r="F31">
        <f>SUM(D31)</f>
        <v>177</v>
      </c>
      <c r="G31" s="203">
        <f t="shared" si="1"/>
        <v>3808.3548387096776</v>
      </c>
      <c r="H31" s="203">
        <f>SUM(F31)</f>
        <v>177</v>
      </c>
      <c r="I31" s="203">
        <f t="shared" si="2"/>
        <v>3808.3548387096776</v>
      </c>
      <c r="J31" s="203">
        <f>SUM(H31)</f>
        <v>177</v>
      </c>
      <c r="K31" s="203">
        <f t="shared" si="3"/>
        <v>3808.3548387096776</v>
      </c>
      <c r="L31" s="203">
        <f>SUM(J31)</f>
        <v>177</v>
      </c>
      <c r="M31" s="203">
        <f t="shared" si="4"/>
        <v>3808.3548387096776</v>
      </c>
      <c r="N31" s="203">
        <f>SUM(L31)</f>
        <v>177</v>
      </c>
      <c r="O31" s="203">
        <f t="shared" si="5"/>
        <v>3808.3548387096776</v>
      </c>
      <c r="P31" s="203">
        <f>SUM(N31)</f>
        <v>177</v>
      </c>
      <c r="Q31" s="203">
        <f t="shared" si="6"/>
        <v>3808.3548387096776</v>
      </c>
      <c r="R31" s="203">
        <f>SUM(P31)</f>
        <v>177</v>
      </c>
      <c r="S31" s="203">
        <f t="shared" si="7"/>
        <v>3808.3548387096776</v>
      </c>
      <c r="T31" s="203">
        <f>SUM(R31)</f>
        <v>177</v>
      </c>
      <c r="U31" s="203">
        <f t="shared" si="8"/>
        <v>3808.3548387096776</v>
      </c>
      <c r="V31" s="203">
        <f>SUM(T31)</f>
        <v>177</v>
      </c>
      <c r="W31" s="203">
        <f t="shared" si="9"/>
        <v>3808.3548387096776</v>
      </c>
      <c r="X31" s="35">
        <f>SUM(Y31/73370)</f>
        <v>0.57096774193548383</v>
      </c>
      <c r="Y31" s="36">
        <f>SUM(C31+E31+G31+I31+K31+M31+O31+Q31+S31+U31+W31)</f>
        <v>41891.903225806447</v>
      </c>
      <c r="Z31" s="203">
        <f>'B5'!C30</f>
        <v>185</v>
      </c>
      <c r="AA31" s="203">
        <f t="shared" si="30"/>
        <v>1850</v>
      </c>
      <c r="AB31" s="203">
        <f>SUM(Z31)</f>
        <v>185</v>
      </c>
      <c r="AC31" s="203">
        <f t="shared" si="30"/>
        <v>1850</v>
      </c>
      <c r="AD31" s="203">
        <f>SUM(AB31)</f>
        <v>185</v>
      </c>
      <c r="AE31" s="203">
        <f t="shared" si="11"/>
        <v>1850</v>
      </c>
      <c r="AF31" s="203">
        <f>SUM(AD31)</f>
        <v>185</v>
      </c>
      <c r="AG31" s="203">
        <f t="shared" si="12"/>
        <v>1850</v>
      </c>
      <c r="AH31" s="203">
        <f>SUM(AF31)</f>
        <v>185</v>
      </c>
      <c r="AI31" s="203">
        <f t="shared" si="13"/>
        <v>1850</v>
      </c>
      <c r="AJ31" s="203">
        <f>SUM(AH31)</f>
        <v>185</v>
      </c>
      <c r="AK31" s="203">
        <f t="shared" si="14"/>
        <v>1850</v>
      </c>
      <c r="AL31" s="203">
        <f>SUM(AJ31)</f>
        <v>185</v>
      </c>
      <c r="AM31" s="203">
        <f t="shared" si="15"/>
        <v>1850</v>
      </c>
      <c r="AN31" s="35">
        <f>SUM(AO31/19600)</f>
        <v>0.6607142857142857</v>
      </c>
      <c r="AO31" s="36">
        <f>SUM(AA31+AC31+AE31+AG31+AI31+AK31+AM31)</f>
        <v>12950</v>
      </c>
      <c r="AQ31" s="223">
        <f t="shared" si="41"/>
        <v>0.58988817065511934</v>
      </c>
      <c r="AR31" s="38">
        <f t="shared" si="37"/>
        <v>54841.903225806447</v>
      </c>
      <c r="AS31" s="197">
        <f t="shared" si="47"/>
        <v>0</v>
      </c>
      <c r="AT31" s="340"/>
      <c r="AU31" s="571"/>
      <c r="AV31" s="485">
        <f t="shared" si="43"/>
        <v>1.1000000000000001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177</v>
      </c>
      <c r="C32" s="203">
        <f t="shared" si="18"/>
        <v>3808.3548387096776</v>
      </c>
      <c r="D32">
        <f>SUM(B32)</f>
        <v>177</v>
      </c>
      <c r="E32" s="203">
        <f t="shared" si="18"/>
        <v>3808.3548387096776</v>
      </c>
      <c r="F32">
        <f>SUM(D32)</f>
        <v>177</v>
      </c>
      <c r="G32" s="203">
        <f t="shared" si="1"/>
        <v>3808.3548387096776</v>
      </c>
      <c r="H32" s="203">
        <f>SUM(F32)</f>
        <v>177</v>
      </c>
      <c r="I32" s="203">
        <f t="shared" si="2"/>
        <v>3808.3548387096776</v>
      </c>
      <c r="J32" s="203">
        <f>SUM(H32)</f>
        <v>177</v>
      </c>
      <c r="K32" s="203">
        <f t="shared" si="3"/>
        <v>3808.3548387096776</v>
      </c>
      <c r="L32" s="203">
        <f>SUM(J32)</f>
        <v>177</v>
      </c>
      <c r="M32" s="203">
        <f t="shared" si="4"/>
        <v>3808.3548387096776</v>
      </c>
      <c r="N32" s="203">
        <f>SUM(L32)</f>
        <v>177</v>
      </c>
      <c r="O32" s="203">
        <f t="shared" si="5"/>
        <v>3808.3548387096776</v>
      </c>
      <c r="P32" s="203">
        <f>SUM(N32)</f>
        <v>177</v>
      </c>
      <c r="Q32" s="203">
        <f t="shared" si="6"/>
        <v>3808.3548387096776</v>
      </c>
      <c r="R32" s="203">
        <f>SUM(P32)</f>
        <v>177</v>
      </c>
      <c r="S32" s="203">
        <f t="shared" si="7"/>
        <v>3808.3548387096776</v>
      </c>
      <c r="T32" s="203">
        <f>SUM(R32)</f>
        <v>177</v>
      </c>
      <c r="U32" s="203">
        <f t="shared" si="8"/>
        <v>3808.3548387096776</v>
      </c>
      <c r="V32" s="203">
        <f>SUM(T32)</f>
        <v>177</v>
      </c>
      <c r="W32" s="203">
        <f t="shared" si="9"/>
        <v>3808.3548387096776</v>
      </c>
      <c r="X32" s="35">
        <f>SUM(Y32/73370)</f>
        <v>0.57096774193548383</v>
      </c>
      <c r="Y32" s="36">
        <f>SUM(C32+E32+G32+I32+K32+M32+O32+Q32+S32+U32+W32)</f>
        <v>41891.903225806447</v>
      </c>
      <c r="Z32" s="203">
        <f>'B5'!C31</f>
        <v>185</v>
      </c>
      <c r="AA32" s="203">
        <f t="shared" si="30"/>
        <v>1850</v>
      </c>
      <c r="AB32" s="203">
        <f>SUM(Z32)</f>
        <v>185</v>
      </c>
      <c r="AC32" s="203">
        <f t="shared" si="30"/>
        <v>1850</v>
      </c>
      <c r="AD32" s="203">
        <f>SUM(AB32)</f>
        <v>185</v>
      </c>
      <c r="AE32" s="203">
        <f t="shared" si="11"/>
        <v>1850</v>
      </c>
      <c r="AF32" s="203">
        <f>SUM(AD32)</f>
        <v>185</v>
      </c>
      <c r="AG32" s="203">
        <f t="shared" si="12"/>
        <v>1850</v>
      </c>
      <c r="AH32" s="203">
        <f>SUM(AF32)</f>
        <v>185</v>
      </c>
      <c r="AI32" s="203">
        <f t="shared" si="13"/>
        <v>1850</v>
      </c>
      <c r="AJ32" s="203">
        <f>SUM(AH32)</f>
        <v>185</v>
      </c>
      <c r="AK32" s="203">
        <f t="shared" si="14"/>
        <v>1850</v>
      </c>
      <c r="AL32" s="203">
        <f>SUM(AJ32)</f>
        <v>185</v>
      </c>
      <c r="AM32" s="203">
        <f t="shared" si="15"/>
        <v>1850</v>
      </c>
      <c r="AN32" s="35">
        <f>SUM(AO32/19600)</f>
        <v>0.6607142857142857</v>
      </c>
      <c r="AO32" s="36">
        <f>SUM(AA32+AC32+AE32+AG32+AI32+AK32+AM32)</f>
        <v>12950</v>
      </c>
      <c r="AQ32" s="223">
        <f t="shared" si="41"/>
        <v>0.58988817065511934</v>
      </c>
      <c r="AR32" s="38">
        <f t="shared" si="37"/>
        <v>54841.903225806447</v>
      </c>
      <c r="AS32" s="197">
        <f t="shared" si="47"/>
        <v>0</v>
      </c>
      <c r="AT32" s="340"/>
      <c r="AU32" s="548"/>
      <c r="AV32" s="485">
        <f>IF(AT32&gt;0,AU32,AV31)</f>
        <v>1.1000000000000001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177</v>
      </c>
      <c r="C33" s="203">
        <f t="shared" si="18"/>
        <v>3808.3548387096776</v>
      </c>
      <c r="D33">
        <f>SUM(B33)</f>
        <v>177</v>
      </c>
      <c r="E33" s="203">
        <f t="shared" si="18"/>
        <v>3808.3548387096776</v>
      </c>
      <c r="F33">
        <f>SUM(D33)</f>
        <v>177</v>
      </c>
      <c r="G33" s="203">
        <f t="shared" si="1"/>
        <v>3808.3548387096776</v>
      </c>
      <c r="H33" s="203">
        <f>SUM(F33)</f>
        <v>177</v>
      </c>
      <c r="I33" s="203">
        <f t="shared" si="2"/>
        <v>3808.3548387096776</v>
      </c>
      <c r="J33" s="203">
        <f>SUM(H33)</f>
        <v>177</v>
      </c>
      <c r="K33" s="203">
        <f t="shared" si="3"/>
        <v>3808.3548387096776</v>
      </c>
      <c r="L33" s="203">
        <f>SUM(J33)</f>
        <v>177</v>
      </c>
      <c r="M33" s="203">
        <f t="shared" si="4"/>
        <v>3808.3548387096776</v>
      </c>
      <c r="N33" s="203">
        <f>SUM(L33)</f>
        <v>177</v>
      </c>
      <c r="O33" s="203">
        <f t="shared" si="5"/>
        <v>3808.3548387096776</v>
      </c>
      <c r="P33" s="203">
        <f>SUM(N33)</f>
        <v>177</v>
      </c>
      <c r="Q33" s="203">
        <f t="shared" si="6"/>
        <v>3808.3548387096776</v>
      </c>
      <c r="R33" s="203">
        <f>SUM(P33)</f>
        <v>177</v>
      </c>
      <c r="S33" s="203">
        <f t="shared" si="7"/>
        <v>3808.3548387096776</v>
      </c>
      <c r="T33" s="203">
        <f>SUM(R33)</f>
        <v>177</v>
      </c>
      <c r="U33" s="203">
        <f t="shared" si="8"/>
        <v>3808.3548387096776</v>
      </c>
      <c r="V33" s="203">
        <f>SUM(T33)</f>
        <v>177</v>
      </c>
      <c r="W33" s="203">
        <f t="shared" si="9"/>
        <v>3808.3548387096776</v>
      </c>
      <c r="X33" s="35">
        <f>SUM(Y33/73370)</f>
        <v>0.57096774193548383</v>
      </c>
      <c r="Y33" s="36">
        <f>SUM(C33+E33+G33+I33+K33+M33+O33+Q33+S33+U33+W33)</f>
        <v>41891.903225806447</v>
      </c>
      <c r="Z33" s="203">
        <f>'B5'!C32</f>
        <v>185</v>
      </c>
      <c r="AA33" s="203">
        <f t="shared" si="30"/>
        <v>1850</v>
      </c>
      <c r="AB33" s="203">
        <f>SUM(Z33)</f>
        <v>185</v>
      </c>
      <c r="AC33" s="203">
        <f t="shared" si="30"/>
        <v>1850</v>
      </c>
      <c r="AD33" s="203">
        <f>SUM(AB33)</f>
        <v>185</v>
      </c>
      <c r="AE33" s="203">
        <f t="shared" si="11"/>
        <v>1850</v>
      </c>
      <c r="AF33" s="203">
        <f>SUM(AD33)</f>
        <v>185</v>
      </c>
      <c r="AG33" s="203">
        <f t="shared" si="12"/>
        <v>1850</v>
      </c>
      <c r="AH33" s="203">
        <f>SUM(AF33)</f>
        <v>185</v>
      </c>
      <c r="AI33" s="203">
        <f t="shared" si="13"/>
        <v>1850</v>
      </c>
      <c r="AJ33" s="203">
        <f>SUM(AH33)</f>
        <v>185</v>
      </c>
      <c r="AK33" s="203">
        <f t="shared" si="14"/>
        <v>1850</v>
      </c>
      <c r="AL33" s="203">
        <f>SUM(AJ33)</f>
        <v>185</v>
      </c>
      <c r="AM33" s="203">
        <f t="shared" si="15"/>
        <v>1850</v>
      </c>
      <c r="AN33" s="35">
        <f>SUM(AO33/19600)</f>
        <v>0.6607142857142857</v>
      </c>
      <c r="AO33" s="36">
        <f>SUM(AA33+AC33+AE33+AG33+AI33+AK33+AM33)</f>
        <v>12950</v>
      </c>
      <c r="AQ33" s="223">
        <f t="shared" si="41"/>
        <v>0.58988817065511934</v>
      </c>
      <c r="AR33" s="38">
        <f t="shared" si="37"/>
        <v>54841.903225806447</v>
      </c>
      <c r="AS33" s="197">
        <f>SUM(AR33-AR32-AT33)</f>
        <v>0</v>
      </c>
      <c r="AT33" s="340"/>
      <c r="AU33" s="548"/>
      <c r="AV33" s="485">
        <f>IF(AT33&gt;0,AU33,AV32)</f>
        <v>1.1000000000000001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177</v>
      </c>
      <c r="C34" s="203">
        <f t="shared" ref="C34:C36" si="48">B34*$B$4</f>
        <v>3808.3548387096776</v>
      </c>
      <c r="D34">
        <f t="shared" ref="D34:D36" si="49">SUM(B34)</f>
        <v>177</v>
      </c>
      <c r="E34" s="203">
        <f t="shared" ref="E34:E36" si="50">D34*$B$4</f>
        <v>3808.3548387096776</v>
      </c>
      <c r="F34">
        <f t="shared" ref="F34:F36" si="51">SUM(D34)</f>
        <v>177</v>
      </c>
      <c r="G34" s="203">
        <f t="shared" ref="G34:G36" si="52">F34*$B$4</f>
        <v>3808.3548387096776</v>
      </c>
      <c r="H34" s="203">
        <f t="shared" ref="H34:H36" si="53">SUM(F34)</f>
        <v>177</v>
      </c>
      <c r="I34" s="203">
        <f t="shared" ref="I34:I36" si="54">H34*$B$4</f>
        <v>3808.3548387096776</v>
      </c>
      <c r="J34" s="203">
        <f t="shared" ref="J34:J36" si="55">SUM(H34)</f>
        <v>177</v>
      </c>
      <c r="K34" s="203">
        <f t="shared" ref="K34:K36" si="56">J34*$B$4</f>
        <v>3808.3548387096776</v>
      </c>
      <c r="L34" s="203">
        <f t="shared" ref="L34:L36" si="57">SUM(J34)</f>
        <v>177</v>
      </c>
      <c r="M34" s="203">
        <f t="shared" ref="M34:M36" si="58">L34*$B$4</f>
        <v>3808.3548387096776</v>
      </c>
      <c r="N34" s="203">
        <f t="shared" ref="N34:N36" si="59">SUM(L34)</f>
        <v>177</v>
      </c>
      <c r="O34" s="203">
        <f t="shared" ref="O34:O36" si="60">N34*$B$4</f>
        <v>3808.3548387096776</v>
      </c>
      <c r="P34" s="203">
        <f t="shared" ref="P34:P36" si="61">SUM(N34)</f>
        <v>177</v>
      </c>
      <c r="Q34" s="203">
        <f t="shared" ref="Q34:Q36" si="62">P34*$B$4</f>
        <v>3808.3548387096776</v>
      </c>
      <c r="R34" s="203">
        <f t="shared" ref="R34:R36" si="63">SUM(P34)</f>
        <v>177</v>
      </c>
      <c r="S34" s="203">
        <f t="shared" ref="S34:S36" si="64">R34*$B$4</f>
        <v>3808.3548387096776</v>
      </c>
      <c r="T34" s="203">
        <f t="shared" ref="T34:T36" si="65">SUM(R34)</f>
        <v>177</v>
      </c>
      <c r="U34" s="203">
        <f t="shared" ref="U34:U36" si="66">T34*$B$4</f>
        <v>3808.3548387096776</v>
      </c>
      <c r="V34" s="203">
        <f t="shared" ref="V34:V36" si="67">SUM(T34)</f>
        <v>177</v>
      </c>
      <c r="W34" s="203">
        <f t="shared" ref="W34:W36" si="68">V34*$B$4</f>
        <v>3808.3548387096776</v>
      </c>
      <c r="X34" s="35">
        <f t="shared" ref="X34:X36" si="69">SUM(Y34/73370)</f>
        <v>0.57096774193548383</v>
      </c>
      <c r="Y34" s="36">
        <f t="shared" ref="Y34:Y36" si="70">SUM(C34+E34+G34+I34+K34+M34+O34+Q34+S34+U34+W34)</f>
        <v>41891.903225806447</v>
      </c>
      <c r="Z34" s="203">
        <f>'B5'!C33</f>
        <v>185</v>
      </c>
      <c r="AA34" s="203">
        <f t="shared" ref="AA34:AA36" si="71">SUM(Z34*$Z$4)</f>
        <v>1850</v>
      </c>
      <c r="AB34" s="203">
        <f t="shared" ref="AB34:AB36" si="72">SUM(Z34)</f>
        <v>185</v>
      </c>
      <c r="AC34" s="203">
        <f t="shared" ref="AC34:AC36" si="73">SUM(AB34*$Z$4)</f>
        <v>1850</v>
      </c>
      <c r="AD34" s="203">
        <f t="shared" ref="AD34:AD36" si="74">SUM(AB34)</f>
        <v>185</v>
      </c>
      <c r="AE34" s="203">
        <f t="shared" ref="AE34:AE36" si="75">SUM(AD34*$Z$4)</f>
        <v>1850</v>
      </c>
      <c r="AF34" s="203">
        <f t="shared" ref="AF34:AF36" si="76">SUM(AD34)</f>
        <v>185</v>
      </c>
      <c r="AG34" s="203">
        <f t="shared" ref="AG34:AG36" si="77">SUM(AF34*$Z$4)</f>
        <v>1850</v>
      </c>
      <c r="AH34" s="203">
        <f t="shared" ref="AH34:AH36" si="78">SUM(AF34)</f>
        <v>185</v>
      </c>
      <c r="AI34" s="203">
        <f t="shared" ref="AI34:AI36" si="79">SUM(AH34*$Z$4)</f>
        <v>1850</v>
      </c>
      <c r="AJ34" s="203">
        <f t="shared" ref="AJ34:AJ36" si="80">SUM(AH34)</f>
        <v>185</v>
      </c>
      <c r="AK34" s="203">
        <f t="shared" ref="AK34:AK36" si="81">SUM(AJ34*$Z$4)</f>
        <v>1850</v>
      </c>
      <c r="AL34" s="203">
        <f t="shared" ref="AL34:AL36" si="82">SUM(AJ34)</f>
        <v>185</v>
      </c>
      <c r="AM34" s="203">
        <f t="shared" ref="AM34:AM36" si="83">SUM(AL34*$Z$4)</f>
        <v>1850</v>
      </c>
      <c r="AN34" s="35">
        <f t="shared" ref="AN34:AN36" si="84">SUM(AO34/19600)</f>
        <v>0.6607142857142857</v>
      </c>
      <c r="AO34" s="36">
        <f t="shared" ref="AO34:AO36" si="85">SUM(AA34+AC34+AE34+AG34+AI34+AK34+AM34)</f>
        <v>12950</v>
      </c>
      <c r="AQ34" s="223">
        <f t="shared" ref="AQ34:AQ36" si="86">SUM(AR34/92970)</f>
        <v>0.58988817065511934</v>
      </c>
      <c r="AR34" s="38">
        <f t="shared" ref="AR34:AR36" si="87">Y34+AO34</f>
        <v>54841.903225806447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1.1000000000000001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177</v>
      </c>
      <c r="C35" s="203">
        <f t="shared" si="48"/>
        <v>3808.3548387096776</v>
      </c>
      <c r="D35">
        <f t="shared" si="49"/>
        <v>177</v>
      </c>
      <c r="E35" s="203">
        <f t="shared" si="50"/>
        <v>3808.3548387096776</v>
      </c>
      <c r="F35">
        <f t="shared" si="51"/>
        <v>177</v>
      </c>
      <c r="G35" s="203">
        <f t="shared" si="52"/>
        <v>3808.3548387096776</v>
      </c>
      <c r="H35" s="203">
        <f t="shared" si="53"/>
        <v>177</v>
      </c>
      <c r="I35" s="203">
        <f t="shared" si="54"/>
        <v>3808.3548387096776</v>
      </c>
      <c r="J35" s="203">
        <f t="shared" si="55"/>
        <v>177</v>
      </c>
      <c r="K35" s="203">
        <f t="shared" si="56"/>
        <v>3808.3548387096776</v>
      </c>
      <c r="L35" s="203">
        <f t="shared" si="57"/>
        <v>177</v>
      </c>
      <c r="M35" s="203">
        <f t="shared" si="58"/>
        <v>3808.3548387096776</v>
      </c>
      <c r="N35" s="203">
        <f t="shared" si="59"/>
        <v>177</v>
      </c>
      <c r="O35" s="203">
        <f t="shared" si="60"/>
        <v>3808.3548387096776</v>
      </c>
      <c r="P35" s="203">
        <f t="shared" si="61"/>
        <v>177</v>
      </c>
      <c r="Q35" s="203">
        <f t="shared" si="62"/>
        <v>3808.3548387096776</v>
      </c>
      <c r="R35" s="203">
        <f t="shared" si="63"/>
        <v>177</v>
      </c>
      <c r="S35" s="203">
        <f t="shared" si="64"/>
        <v>3808.3548387096776</v>
      </c>
      <c r="T35" s="203">
        <f t="shared" si="65"/>
        <v>177</v>
      </c>
      <c r="U35" s="203">
        <f t="shared" si="66"/>
        <v>3808.3548387096776</v>
      </c>
      <c r="V35" s="203">
        <f t="shared" si="67"/>
        <v>177</v>
      </c>
      <c r="W35" s="203">
        <f t="shared" si="68"/>
        <v>3808.3548387096776</v>
      </c>
      <c r="X35" s="35">
        <f t="shared" si="69"/>
        <v>0.57096774193548383</v>
      </c>
      <c r="Y35" s="36">
        <f t="shared" si="70"/>
        <v>41891.903225806447</v>
      </c>
      <c r="Z35" s="203">
        <f>'B5'!C34</f>
        <v>185</v>
      </c>
      <c r="AA35" s="203">
        <f t="shared" si="71"/>
        <v>1850</v>
      </c>
      <c r="AB35" s="203">
        <f t="shared" si="72"/>
        <v>185</v>
      </c>
      <c r="AC35" s="203">
        <f t="shared" si="73"/>
        <v>1850</v>
      </c>
      <c r="AD35" s="203">
        <f t="shared" si="74"/>
        <v>185</v>
      </c>
      <c r="AE35" s="203">
        <f t="shared" si="75"/>
        <v>1850</v>
      </c>
      <c r="AF35" s="203">
        <f t="shared" si="76"/>
        <v>185</v>
      </c>
      <c r="AG35" s="203">
        <f t="shared" si="77"/>
        <v>1850</v>
      </c>
      <c r="AH35" s="203">
        <f t="shared" si="78"/>
        <v>185</v>
      </c>
      <c r="AI35" s="203">
        <f t="shared" si="79"/>
        <v>1850</v>
      </c>
      <c r="AJ35" s="203">
        <f t="shared" si="80"/>
        <v>185</v>
      </c>
      <c r="AK35" s="203">
        <f t="shared" si="81"/>
        <v>1850</v>
      </c>
      <c r="AL35" s="203">
        <f t="shared" si="82"/>
        <v>185</v>
      </c>
      <c r="AM35" s="203">
        <f t="shared" si="83"/>
        <v>1850</v>
      </c>
      <c r="AN35" s="35">
        <f t="shared" si="84"/>
        <v>0.6607142857142857</v>
      </c>
      <c r="AO35" s="36">
        <f t="shared" si="85"/>
        <v>12950</v>
      </c>
      <c r="AQ35" s="223">
        <f t="shared" si="86"/>
        <v>0.58988817065511934</v>
      </c>
      <c r="AR35" s="38">
        <f t="shared" si="87"/>
        <v>54841.903225806447</v>
      </c>
      <c r="AS35" s="197">
        <f t="shared" si="88"/>
        <v>0</v>
      </c>
      <c r="AT35" s="340"/>
      <c r="AU35" s="548"/>
      <c r="AV35" s="485">
        <f t="shared" si="89"/>
        <v>1.1000000000000001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177</v>
      </c>
      <c r="C36" s="203">
        <f t="shared" si="48"/>
        <v>3808.3548387096776</v>
      </c>
      <c r="D36">
        <f t="shared" si="49"/>
        <v>177</v>
      </c>
      <c r="E36" s="203">
        <f t="shared" si="50"/>
        <v>3808.3548387096776</v>
      </c>
      <c r="F36">
        <f t="shared" si="51"/>
        <v>177</v>
      </c>
      <c r="G36" s="203">
        <f t="shared" si="52"/>
        <v>3808.3548387096776</v>
      </c>
      <c r="H36" s="203">
        <f t="shared" si="53"/>
        <v>177</v>
      </c>
      <c r="I36" s="203">
        <f t="shared" si="54"/>
        <v>3808.3548387096776</v>
      </c>
      <c r="J36" s="203">
        <f t="shared" si="55"/>
        <v>177</v>
      </c>
      <c r="K36" s="203">
        <f t="shared" si="56"/>
        <v>3808.3548387096776</v>
      </c>
      <c r="L36" s="203">
        <f t="shared" si="57"/>
        <v>177</v>
      </c>
      <c r="M36" s="203">
        <f t="shared" si="58"/>
        <v>3808.3548387096776</v>
      </c>
      <c r="N36" s="203">
        <f t="shared" si="59"/>
        <v>177</v>
      </c>
      <c r="O36" s="203">
        <f t="shared" si="60"/>
        <v>3808.3548387096776</v>
      </c>
      <c r="P36" s="203">
        <f t="shared" si="61"/>
        <v>177</v>
      </c>
      <c r="Q36" s="203">
        <f t="shared" si="62"/>
        <v>3808.3548387096776</v>
      </c>
      <c r="R36" s="203">
        <f t="shared" si="63"/>
        <v>177</v>
      </c>
      <c r="S36" s="203">
        <f t="shared" si="64"/>
        <v>3808.3548387096776</v>
      </c>
      <c r="T36" s="203">
        <f t="shared" si="65"/>
        <v>177</v>
      </c>
      <c r="U36" s="203">
        <f t="shared" si="66"/>
        <v>3808.3548387096776</v>
      </c>
      <c r="V36" s="203">
        <f t="shared" si="67"/>
        <v>177</v>
      </c>
      <c r="W36" s="203">
        <f t="shared" si="68"/>
        <v>3808.3548387096776</v>
      </c>
      <c r="X36" s="35">
        <f t="shared" si="69"/>
        <v>0.57096774193548383</v>
      </c>
      <c r="Y36" s="36">
        <f t="shared" si="70"/>
        <v>41891.903225806447</v>
      </c>
      <c r="Z36" s="203">
        <f>'B5'!C35</f>
        <v>185</v>
      </c>
      <c r="AA36" s="203">
        <f t="shared" si="71"/>
        <v>1850</v>
      </c>
      <c r="AB36" s="203">
        <f t="shared" si="72"/>
        <v>185</v>
      </c>
      <c r="AC36" s="203">
        <f t="shared" si="73"/>
        <v>1850</v>
      </c>
      <c r="AD36" s="203">
        <f t="shared" si="74"/>
        <v>185</v>
      </c>
      <c r="AE36" s="203">
        <f t="shared" si="75"/>
        <v>1850</v>
      </c>
      <c r="AF36" s="203">
        <f t="shared" si="76"/>
        <v>185</v>
      </c>
      <c r="AG36" s="203">
        <f t="shared" si="77"/>
        <v>1850</v>
      </c>
      <c r="AH36" s="203">
        <f t="shared" si="78"/>
        <v>185</v>
      </c>
      <c r="AI36" s="203">
        <f t="shared" si="79"/>
        <v>1850</v>
      </c>
      <c r="AJ36" s="203">
        <f t="shared" si="80"/>
        <v>185</v>
      </c>
      <c r="AK36" s="203">
        <f t="shared" si="81"/>
        <v>1850</v>
      </c>
      <c r="AL36" s="203">
        <f t="shared" si="82"/>
        <v>185</v>
      </c>
      <c r="AM36" s="203">
        <f t="shared" si="83"/>
        <v>1850</v>
      </c>
      <c r="AN36" s="35">
        <f t="shared" si="84"/>
        <v>0.6607142857142857</v>
      </c>
      <c r="AO36" s="36">
        <f t="shared" si="85"/>
        <v>12950</v>
      </c>
      <c r="AQ36" s="223">
        <f t="shared" si="86"/>
        <v>0.58988817065511934</v>
      </c>
      <c r="AR36" s="38">
        <f t="shared" si="87"/>
        <v>54841.903225806447</v>
      </c>
      <c r="AS36" s="197">
        <f t="shared" si="88"/>
        <v>0</v>
      </c>
      <c r="AT36" s="340"/>
      <c r="AU36" s="548"/>
      <c r="AV36" s="485">
        <f t="shared" si="89"/>
        <v>1.1000000000000001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18440</v>
      </c>
      <c r="AU37" s="544">
        <f>SUM(AU6:AU36)/AS37</f>
        <v>0.9285000000000001</v>
      </c>
      <c r="AX37" s="203">
        <f>SUM(AX6:AX36)</f>
        <v>-11472.548387096773</v>
      </c>
      <c r="AY37" s="203">
        <f>SUM(AY6:AY36)</f>
        <v>-13946.548387096773</v>
      </c>
    </row>
    <row r="38" spans="1:63">
      <c r="AS38" s="206"/>
      <c r="AT38" s="82">
        <f>+AT37*AU37</f>
        <v>17121.54</v>
      </c>
    </row>
    <row r="40" spans="1:63">
      <c r="AS40" s="165">
        <f>SUM(AS6:AS36)/'EDl log'!A35</f>
        <v>-2324.4247311827953</v>
      </c>
      <c r="AT40" s="203"/>
    </row>
    <row r="41" spans="1:63">
      <c r="AX41">
        <v>43309</v>
      </c>
    </row>
    <row r="42" spans="1:63">
      <c r="AR42" s="203">
        <f>AR36-22000</f>
        <v>32841.903225806447</v>
      </c>
      <c r="AU42" s="203"/>
      <c r="AX42">
        <f>AX37/AX41</f>
        <v>-0.26489986808969895</v>
      </c>
    </row>
    <row r="43" spans="1:63">
      <c r="AR43">
        <f>AR42/5500</f>
        <v>5.9712551319648082</v>
      </c>
    </row>
    <row r="44" spans="1:63">
      <c r="AR44">
        <f>AR43*2</f>
        <v>11.942510263929616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I11" sqref="I1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1322.90283870967</v>
      </c>
      <c r="R4" s="285">
        <f>SUM(P4:Q4)</f>
        <v>1485.2839867329942</v>
      </c>
      <c r="S4" s="287">
        <f>SUM(ELEC!N4)</f>
        <v>6721</v>
      </c>
      <c r="T4" s="321">
        <f>IF(S4&gt;0,R4/S4,0)</f>
        <v>0.22099151714521562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2168.1373548387005</v>
      </c>
      <c r="R5" s="285">
        <f t="shared" ref="R5:R30" si="13">SUM(P5:Q5)</f>
        <v>2322.9403934092884</v>
      </c>
      <c r="S5" s="287">
        <f>SUM(ELEC!N5)</f>
        <v>5888</v>
      </c>
      <c r="T5" s="321">
        <f>IF(S5&gt;0,R5/S5,0)</f>
        <v>0.39452112659804489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1900.1003709677577</v>
      </c>
      <c r="R6" s="285">
        <f t="shared" si="13"/>
        <v>2092.4861624405016</v>
      </c>
      <c r="S6" s="287">
        <f>SUM(ELEC!N6)</f>
        <v>5727</v>
      </c>
      <c r="T6" s="321">
        <f t="shared" ref="T6:T30" si="16">IF(S6&gt;0,R6/S6,0)</f>
        <v>0.36537212544796605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1787.7518709677443</v>
      </c>
      <c r="R9" s="285">
        <f>SUM(P9:Q9)</f>
        <v>1960.0567337506041</v>
      </c>
      <c r="S9" s="287">
        <f>SUM(ELEC!N9)</f>
        <v>6030</v>
      </c>
      <c r="T9" s="321">
        <f t="shared" si="16"/>
        <v>0.32505086795200733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1570.1534032257982</v>
      </c>
      <c r="R10" s="285">
        <f t="shared" si="13"/>
        <v>1738.1809857433182</v>
      </c>
      <c r="S10" s="287">
        <f>SUM(ELEC!N10)</f>
        <v>4353</v>
      </c>
      <c r="T10" s="321">
        <f t="shared" si="16"/>
        <v>0.39930645204303195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27">
        <v>1113166</v>
      </c>
      <c r="C11" s="254">
        <f t="shared" si="0"/>
        <v>274</v>
      </c>
      <c r="D11" s="295">
        <f t="shared" si="14"/>
        <v>274</v>
      </c>
      <c r="E11" s="295">
        <f t="shared" si="15"/>
        <v>1113166</v>
      </c>
      <c r="F11" s="604">
        <f t="shared" si="8"/>
        <v>161138</v>
      </c>
      <c r="G11" s="160">
        <f t="shared" si="1"/>
        <v>0</v>
      </c>
      <c r="H11" s="627">
        <v>550874</v>
      </c>
      <c r="I11" s="161">
        <f t="shared" si="2"/>
        <v>274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20.356882255389717</v>
      </c>
      <c r="N11" s="284">
        <f t="shared" si="5"/>
        <v>0</v>
      </c>
      <c r="O11" s="284">
        <f t="shared" si="6"/>
        <v>154.80303857058792</v>
      </c>
      <c r="P11" s="285">
        <f t="shared" si="12"/>
        <v>175.15992082597762</v>
      </c>
      <c r="Q11" s="285">
        <f>SUM(-tanks!AX13*tanks!$AU$37)</f>
        <v>1413.2369032258116</v>
      </c>
      <c r="R11" s="285">
        <f t="shared" si="13"/>
        <v>1588.3968240517893</v>
      </c>
      <c r="S11" s="287">
        <f>SUM(ELEC!N11)</f>
        <v>5098</v>
      </c>
      <c r="T11" s="321">
        <f t="shared" si="16"/>
        <v>0.31157254296818149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v>1113179</v>
      </c>
      <c r="C12" s="254">
        <f t="shared" si="0"/>
        <v>13</v>
      </c>
      <c r="D12" s="295">
        <f t="shared" si="14"/>
        <v>13</v>
      </c>
      <c r="E12" s="295">
        <f t="shared" si="15"/>
        <v>1113179</v>
      </c>
      <c r="F12" s="604">
        <f t="shared" si="8"/>
        <v>161138</v>
      </c>
      <c r="G12" s="160">
        <f t="shared" si="1"/>
        <v>0</v>
      </c>
      <c r="H12" s="604">
        <v>550887</v>
      </c>
      <c r="I12" s="161">
        <f t="shared" si="2"/>
        <v>13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0.96583747927031505</v>
      </c>
      <c r="N12" s="284">
        <f t="shared" si="5"/>
        <v>0</v>
      </c>
      <c r="O12" s="284">
        <f t="shared" si="6"/>
        <v>154.80303857058792</v>
      </c>
      <c r="P12" s="285">
        <f t="shared" si="12"/>
        <v>155.76887604985822</v>
      </c>
      <c r="Q12" s="285">
        <f>SUM(-tanks!AX14*tanks!$AU$37)</f>
        <v>489.97843548387209</v>
      </c>
      <c r="R12" s="285">
        <f t="shared" si="13"/>
        <v>645.74731153373034</v>
      </c>
      <c r="S12" s="287">
        <f>SUM(ELEC!N12)</f>
        <v>4939</v>
      </c>
      <c r="T12" s="321">
        <f t="shared" si="16"/>
        <v>0.13074454576508004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f t="shared" si="7"/>
        <v>1113179</v>
      </c>
      <c r="C13" s="254">
        <f t="shared" si="0"/>
        <v>0</v>
      </c>
      <c r="D13" s="295">
        <f t="shared" si="14"/>
        <v>0</v>
      </c>
      <c r="E13" s="295">
        <f t="shared" si="15"/>
        <v>1113179</v>
      </c>
      <c r="F13" s="604">
        <f t="shared" si="8"/>
        <v>161138</v>
      </c>
      <c r="G13" s="160">
        <f t="shared" si="1"/>
        <v>0</v>
      </c>
      <c r="H13" s="604">
        <f t="shared" si="9"/>
        <v>550887</v>
      </c>
      <c r="I13" s="161">
        <f t="shared" si="2"/>
        <v>0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1113179</v>
      </c>
      <c r="C14" s="254">
        <f t="shared" si="0"/>
        <v>0</v>
      </c>
      <c r="D14" s="295">
        <f t="shared" si="14"/>
        <v>0</v>
      </c>
      <c r="E14" s="295">
        <f t="shared" si="15"/>
        <v>1113179</v>
      </c>
      <c r="F14" s="604">
        <f t="shared" si="8"/>
        <v>161138</v>
      </c>
      <c r="G14" s="160">
        <f t="shared" si="1"/>
        <v>0</v>
      </c>
      <c r="H14" s="604">
        <f t="shared" si="9"/>
        <v>550887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1113179</v>
      </c>
      <c r="C15" s="254">
        <f t="shared" si="0"/>
        <v>0</v>
      </c>
      <c r="D15" s="295">
        <f t="shared" si="14"/>
        <v>0</v>
      </c>
      <c r="E15" s="295">
        <f t="shared" si="15"/>
        <v>1113179</v>
      </c>
      <c r="F15" s="604">
        <f t="shared" si="8"/>
        <v>161138</v>
      </c>
      <c r="G15" s="160">
        <f t="shared" si="1"/>
        <v>0</v>
      </c>
      <c r="H15" s="604">
        <f t="shared" si="9"/>
        <v>550887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f t="shared" si="7"/>
        <v>1113179</v>
      </c>
      <c r="C16" s="254">
        <f t="shared" si="0"/>
        <v>0</v>
      </c>
      <c r="D16" s="295">
        <f t="shared" si="14"/>
        <v>0</v>
      </c>
      <c r="E16" s="295">
        <f t="shared" si="15"/>
        <v>1113179</v>
      </c>
      <c r="F16" s="604">
        <f t="shared" si="8"/>
        <v>161138</v>
      </c>
      <c r="G16" s="160">
        <f t="shared" si="1"/>
        <v>0</v>
      </c>
      <c r="H16" s="604">
        <f t="shared" si="9"/>
        <v>550887</v>
      </c>
      <c r="I16" s="161">
        <f t="shared" si="2"/>
        <v>0</v>
      </c>
      <c r="J16" s="604">
        <f t="shared" si="10"/>
        <v>401154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1113179</v>
      </c>
      <c r="C17" s="254">
        <f t="shared" si="0"/>
        <v>0</v>
      </c>
      <c r="D17" s="295">
        <f t="shared" si="14"/>
        <v>0</v>
      </c>
      <c r="E17" s="295">
        <f t="shared" si="15"/>
        <v>1113179</v>
      </c>
      <c r="F17" s="604">
        <f t="shared" si="8"/>
        <v>161138</v>
      </c>
      <c r="G17" s="160">
        <f>F17-F16</f>
        <v>0</v>
      </c>
      <c r="H17" s="604">
        <f t="shared" si="9"/>
        <v>550887</v>
      </c>
      <c r="I17" s="161">
        <f t="shared" si="2"/>
        <v>0</v>
      </c>
      <c r="J17" s="604">
        <f t="shared" si="10"/>
        <v>401154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f t="shared" si="7"/>
        <v>1113179</v>
      </c>
      <c r="C18" s="254">
        <f>SUM(B18-B17)</f>
        <v>0</v>
      </c>
      <c r="D18" s="295">
        <f>SUM(G18+I18+K18)</f>
        <v>0</v>
      </c>
      <c r="E18" s="295">
        <f t="shared" si="15"/>
        <v>1113179</v>
      </c>
      <c r="F18" s="604">
        <f t="shared" si="8"/>
        <v>161138</v>
      </c>
      <c r="G18" s="160">
        <f t="shared" si="1"/>
        <v>0</v>
      </c>
      <c r="H18" s="604">
        <f t="shared" si="9"/>
        <v>550887</v>
      </c>
      <c r="I18" s="161">
        <f t="shared" si="2"/>
        <v>0</v>
      </c>
      <c r="J18" s="604">
        <f t="shared" si="10"/>
        <v>401154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1113179</v>
      </c>
      <c r="C19" s="254">
        <f t="shared" si="0"/>
        <v>0</v>
      </c>
      <c r="D19" s="295">
        <f t="shared" si="14"/>
        <v>0</v>
      </c>
      <c r="E19" s="295">
        <f t="shared" si="15"/>
        <v>1113179</v>
      </c>
      <c r="F19" s="604">
        <f t="shared" si="8"/>
        <v>161138</v>
      </c>
      <c r="G19" s="160">
        <f t="shared" si="1"/>
        <v>0</v>
      </c>
      <c r="H19" s="604">
        <f t="shared" si="9"/>
        <v>550887</v>
      </c>
      <c r="I19" s="161">
        <f t="shared" si="2"/>
        <v>0</v>
      </c>
      <c r="J19" s="604">
        <f t="shared" si="10"/>
        <v>401154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1113179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161138</v>
      </c>
      <c r="G20" s="160">
        <f t="shared" si="1"/>
        <v>0</v>
      </c>
      <c r="H20" s="604">
        <f t="shared" si="9"/>
        <v>550887</v>
      </c>
      <c r="I20" s="161">
        <f t="shared" si="2"/>
        <v>0</v>
      </c>
      <c r="J20" s="604">
        <f t="shared" si="10"/>
        <v>401154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1113179</v>
      </c>
      <c r="C21" s="254">
        <f t="shared" si="0"/>
        <v>0</v>
      </c>
      <c r="D21" s="295">
        <f t="shared" si="14"/>
        <v>0</v>
      </c>
      <c r="E21" s="295">
        <f t="shared" si="15"/>
        <v>1113179</v>
      </c>
      <c r="F21" s="604">
        <f t="shared" si="8"/>
        <v>161138</v>
      </c>
      <c r="G21" s="160">
        <f t="shared" si="1"/>
        <v>0</v>
      </c>
      <c r="H21" s="604">
        <f t="shared" si="9"/>
        <v>550887</v>
      </c>
      <c r="I21" s="161">
        <f t="shared" si="2"/>
        <v>0</v>
      </c>
      <c r="J21" s="604">
        <f t="shared" si="10"/>
        <v>401154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44639</v>
      </c>
      <c r="B22" s="604">
        <f t="shared" si="7"/>
        <v>1113179</v>
      </c>
      <c r="C22" s="254">
        <f t="shared" si="0"/>
        <v>0</v>
      </c>
      <c r="D22" s="295">
        <f t="shared" si="14"/>
        <v>0</v>
      </c>
      <c r="E22" s="295">
        <f t="shared" si="15"/>
        <v>1113179</v>
      </c>
      <c r="F22" s="604">
        <f t="shared" si="8"/>
        <v>161138</v>
      </c>
      <c r="G22" s="160">
        <f t="shared" si="1"/>
        <v>0</v>
      </c>
      <c r="H22" s="604">
        <f t="shared" si="9"/>
        <v>550887</v>
      </c>
      <c r="I22" s="161">
        <f t="shared" si="2"/>
        <v>0</v>
      </c>
      <c r="J22" s="604">
        <f t="shared" si="10"/>
        <v>401154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44640</v>
      </c>
      <c r="B23" s="604">
        <f t="shared" si="7"/>
        <v>1113179</v>
      </c>
      <c r="C23" s="254">
        <f t="shared" si="0"/>
        <v>0</v>
      </c>
      <c r="D23" s="295">
        <f t="shared" si="14"/>
        <v>0</v>
      </c>
      <c r="E23" s="295">
        <f t="shared" si="15"/>
        <v>1113179</v>
      </c>
      <c r="F23" s="604">
        <f t="shared" si="8"/>
        <v>161138</v>
      </c>
      <c r="G23" s="160">
        <f t="shared" si="1"/>
        <v>0</v>
      </c>
      <c r="H23" s="604">
        <f t="shared" si="9"/>
        <v>550887</v>
      </c>
      <c r="I23" s="161">
        <f t="shared" si="2"/>
        <v>0</v>
      </c>
      <c r="J23" s="604">
        <f t="shared" si="10"/>
        <v>401154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44641</v>
      </c>
      <c r="B24" s="604">
        <f t="shared" si="7"/>
        <v>1113179</v>
      </c>
      <c r="C24" s="254">
        <f t="shared" si="0"/>
        <v>0</v>
      </c>
      <c r="D24" s="295">
        <f t="shared" si="14"/>
        <v>0</v>
      </c>
      <c r="E24" s="295">
        <f t="shared" si="15"/>
        <v>1113179</v>
      </c>
      <c r="F24" s="604">
        <f t="shared" si="8"/>
        <v>161138</v>
      </c>
      <c r="G24" s="160">
        <f t="shared" si="1"/>
        <v>0</v>
      </c>
      <c r="H24" s="604">
        <f t="shared" si="9"/>
        <v>550887</v>
      </c>
      <c r="I24" s="161">
        <f t="shared" si="2"/>
        <v>0</v>
      </c>
      <c r="J24" s="604">
        <f t="shared" si="10"/>
        <v>401154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44642</v>
      </c>
      <c r="B25" s="604">
        <f t="shared" si="7"/>
        <v>1113179</v>
      </c>
      <c r="C25" s="254">
        <f t="shared" si="0"/>
        <v>0</v>
      </c>
      <c r="D25" s="295">
        <f t="shared" si="14"/>
        <v>0</v>
      </c>
      <c r="E25" s="295">
        <f t="shared" si="15"/>
        <v>1113179</v>
      </c>
      <c r="F25" s="604">
        <f t="shared" si="8"/>
        <v>161138</v>
      </c>
      <c r="G25" s="160">
        <f t="shared" si="1"/>
        <v>0</v>
      </c>
      <c r="H25" s="604">
        <f t="shared" si="9"/>
        <v>550887</v>
      </c>
      <c r="I25" s="161">
        <f t="shared" si="2"/>
        <v>0</v>
      </c>
      <c r="J25" s="604">
        <f t="shared" si="10"/>
        <v>401154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1113179</v>
      </c>
      <c r="C26" s="254">
        <f t="shared" si="0"/>
        <v>0</v>
      </c>
      <c r="D26" s="295">
        <f t="shared" si="14"/>
        <v>0</v>
      </c>
      <c r="E26" s="295">
        <f t="shared" si="15"/>
        <v>1113179</v>
      </c>
      <c r="F26" s="604">
        <f t="shared" si="8"/>
        <v>161138</v>
      </c>
      <c r="G26" s="160">
        <f t="shared" si="1"/>
        <v>0</v>
      </c>
      <c r="H26" s="604">
        <f t="shared" si="9"/>
        <v>550887</v>
      </c>
      <c r="I26" s="161">
        <f t="shared" si="2"/>
        <v>0</v>
      </c>
      <c r="J26" s="604">
        <f t="shared" si="10"/>
        <v>401154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401154</v>
      </c>
      <c r="X26" s="172" t="s">
        <v>199</v>
      </c>
      <c r="Y26" s="172">
        <v>80</v>
      </c>
      <c r="Z26" s="172">
        <v>1</v>
      </c>
      <c r="AA26" s="323">
        <f>(W26-V26)*Z26</f>
        <v>178</v>
      </c>
      <c r="AB26" s="323">
        <f>AA26*Y26</f>
        <v>14240</v>
      </c>
      <c r="AC26" s="244">
        <f>AC9</f>
        <v>1033333</v>
      </c>
      <c r="AD26" s="476">
        <f>SUM(K36)</f>
        <v>0.15239726027397263</v>
      </c>
    </row>
    <row r="27" spans="1:32" ht="20.100000000000001" customHeight="1">
      <c r="A27" s="163">
        <f>ELEC!C27</f>
        <v>44644</v>
      </c>
      <c r="B27" s="604">
        <f t="shared" si="7"/>
        <v>1113179</v>
      </c>
      <c r="C27" s="254">
        <f t="shared" si="0"/>
        <v>0</v>
      </c>
      <c r="D27" s="295">
        <f t="shared" si="14"/>
        <v>0</v>
      </c>
      <c r="E27" s="295">
        <f t="shared" si="15"/>
        <v>1113179</v>
      </c>
      <c r="F27" s="604">
        <f t="shared" si="8"/>
        <v>161138</v>
      </c>
      <c r="G27" s="160">
        <f t="shared" si="1"/>
        <v>0</v>
      </c>
      <c r="H27" s="604">
        <f t="shared" si="9"/>
        <v>550887</v>
      </c>
      <c r="I27" s="161">
        <f t="shared" si="2"/>
        <v>0</v>
      </c>
      <c r="J27" s="604">
        <f t="shared" si="10"/>
        <v>401154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550887</v>
      </c>
      <c r="X27" s="172" t="s">
        <v>212</v>
      </c>
      <c r="Y27" s="172">
        <v>112</v>
      </c>
      <c r="Z27" s="172">
        <v>1</v>
      </c>
      <c r="AA27" s="323">
        <f>(W27-V27)*Z27</f>
        <v>887</v>
      </c>
      <c r="AB27" s="323">
        <f>SUM(AA27*Y27)</f>
        <v>99344</v>
      </c>
      <c r="AC27" s="244">
        <f>AC10</f>
        <v>6200000</v>
      </c>
      <c r="AD27" s="476">
        <f>SUM(I36)</f>
        <v>0.75941780821917815</v>
      </c>
    </row>
    <row r="28" spans="1:32" ht="20.100000000000001" customHeight="1">
      <c r="A28" s="163">
        <f>ELEC!C28</f>
        <v>44645</v>
      </c>
      <c r="B28" s="604">
        <f t="shared" si="7"/>
        <v>1113179</v>
      </c>
      <c r="C28" s="254">
        <f t="shared" si="0"/>
        <v>0</v>
      </c>
      <c r="D28" s="295">
        <f t="shared" si="14"/>
        <v>0</v>
      </c>
      <c r="E28" s="295">
        <f>B27+D28</f>
        <v>1113179</v>
      </c>
      <c r="F28" s="604">
        <f t="shared" si="8"/>
        <v>161138</v>
      </c>
      <c r="G28" s="160">
        <f t="shared" si="1"/>
        <v>0</v>
      </c>
      <c r="H28" s="604">
        <f t="shared" si="9"/>
        <v>550887</v>
      </c>
      <c r="I28" s="161">
        <f t="shared" si="2"/>
        <v>0</v>
      </c>
      <c r="J28" s="604">
        <f t="shared" si="10"/>
        <v>401154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161138</v>
      </c>
      <c r="X28" s="172" t="s">
        <v>197</v>
      </c>
      <c r="Y28" s="172">
        <v>320</v>
      </c>
      <c r="Z28" s="172">
        <v>1</v>
      </c>
      <c r="AA28" s="323">
        <f>(W28-V28)*Z28</f>
        <v>103</v>
      </c>
      <c r="AB28" s="323">
        <f>SUM(AA28*Y28)</f>
        <v>32960</v>
      </c>
      <c r="AC28" s="244">
        <f>AC11</f>
        <v>1000</v>
      </c>
      <c r="AD28" s="476">
        <f>SUM(G36)</f>
        <v>8.8184931506849321E-2</v>
      </c>
      <c r="AE28" s="40">
        <f>SUM(AB28*5%)</f>
        <v>1648</v>
      </c>
      <c r="AF28" s="82">
        <f>SUM(AE28/7)*31</f>
        <v>7298.2857142857138</v>
      </c>
    </row>
    <row r="29" spans="1:32" ht="20.100000000000001" customHeight="1">
      <c r="A29" s="163">
        <f>ELEC!C29</f>
        <v>44646</v>
      </c>
      <c r="B29" s="604">
        <f t="shared" si="7"/>
        <v>1113179</v>
      </c>
      <c r="C29" s="254">
        <f t="shared" si="0"/>
        <v>0</v>
      </c>
      <c r="D29" s="295">
        <f t="shared" si="14"/>
        <v>0</v>
      </c>
      <c r="E29" s="295">
        <f>B28+D29</f>
        <v>1113179</v>
      </c>
      <c r="F29" s="604">
        <f t="shared" si="8"/>
        <v>161138</v>
      </c>
      <c r="G29" s="160">
        <f t="shared" si="1"/>
        <v>0</v>
      </c>
      <c r="H29" s="604">
        <f t="shared" si="9"/>
        <v>550887</v>
      </c>
      <c r="I29" s="161">
        <f t="shared" si="2"/>
        <v>0</v>
      </c>
      <c r="J29" s="604">
        <f t="shared" si="10"/>
        <v>401154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1168</v>
      </c>
      <c r="AB29" s="323">
        <f>SUM(AB26:AB28)</f>
        <v>146544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1113179</v>
      </c>
      <c r="C30" s="254">
        <f t="shared" si="0"/>
        <v>0</v>
      </c>
      <c r="D30" s="295">
        <f t="shared" si="14"/>
        <v>0</v>
      </c>
      <c r="E30" s="295">
        <f t="shared" si="15"/>
        <v>1113179</v>
      </c>
      <c r="F30" s="604">
        <f t="shared" si="8"/>
        <v>161138</v>
      </c>
      <c r="G30" s="160">
        <f t="shared" si="1"/>
        <v>0</v>
      </c>
      <c r="H30" s="604">
        <f t="shared" si="9"/>
        <v>550887</v>
      </c>
      <c r="I30" s="161">
        <f t="shared" si="2"/>
        <v>0</v>
      </c>
      <c r="J30" s="604">
        <f t="shared" si="10"/>
        <v>401154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7380877</v>
      </c>
      <c r="AC30" s="244"/>
    </row>
    <row r="31" spans="1:32" ht="20.100000000000001" customHeight="1">
      <c r="A31" s="163">
        <f>ELEC!C31</f>
        <v>44648</v>
      </c>
      <c r="B31" s="604">
        <f t="shared" si="7"/>
        <v>1113179</v>
      </c>
      <c r="C31" s="254">
        <f>SUM(B31-B30)</f>
        <v>0</v>
      </c>
      <c r="D31" s="295">
        <f t="shared" si="14"/>
        <v>0</v>
      </c>
      <c r="E31" s="295">
        <f>B30+D31</f>
        <v>1113179</v>
      </c>
      <c r="F31" s="604">
        <f t="shared" si="8"/>
        <v>161138</v>
      </c>
      <c r="G31" s="160">
        <f>F31-F30</f>
        <v>0</v>
      </c>
      <c r="H31" s="604">
        <f t="shared" si="9"/>
        <v>550887</v>
      </c>
      <c r="I31" s="161">
        <f>H31-H30</f>
        <v>0</v>
      </c>
      <c r="J31" s="604">
        <f t="shared" si="10"/>
        <v>401154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1113179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1113179</v>
      </c>
      <c r="F32" s="604">
        <f t="shared" si="8"/>
        <v>161138</v>
      </c>
      <c r="G32" s="160">
        <f t="shared" ref="G32:G34" si="23">F32-F31</f>
        <v>0</v>
      </c>
      <c r="H32" s="604">
        <f t="shared" si="9"/>
        <v>550887</v>
      </c>
      <c r="I32" s="161">
        <f t="shared" ref="I32:I34" si="24">H32-H31</f>
        <v>0</v>
      </c>
      <c r="J32" s="604">
        <f t="shared" si="10"/>
        <v>401154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73</v>
      </c>
      <c r="X32" s="222">
        <f>SUM(W32/A35)</f>
        <v>12.166666666666666</v>
      </c>
      <c r="Y32" s="250">
        <f>SUM(X32/1)</f>
        <v>12.166666666666666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1113179</v>
      </c>
      <c r="C33" s="254">
        <f t="shared" si="20"/>
        <v>0</v>
      </c>
      <c r="D33" s="295">
        <f t="shared" si="21"/>
        <v>0</v>
      </c>
      <c r="E33" s="295">
        <f t="shared" si="22"/>
        <v>1113179</v>
      </c>
      <c r="F33" s="604">
        <f t="shared" si="8"/>
        <v>161138</v>
      </c>
      <c r="G33" s="160">
        <f t="shared" si="23"/>
        <v>0</v>
      </c>
      <c r="H33" s="604">
        <f t="shared" si="9"/>
        <v>550887</v>
      </c>
      <c r="I33" s="161">
        <f t="shared" si="24"/>
        <v>0</v>
      </c>
      <c r="J33" s="604">
        <f t="shared" si="10"/>
        <v>401154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811896.47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1113179</v>
      </c>
      <c r="C34" s="254">
        <f t="shared" si="20"/>
        <v>0</v>
      </c>
      <c r="D34" s="295">
        <f t="shared" si="21"/>
        <v>0</v>
      </c>
      <c r="E34" s="295">
        <f t="shared" si="22"/>
        <v>1113179</v>
      </c>
      <c r="F34" s="604">
        <f t="shared" si="8"/>
        <v>161138</v>
      </c>
      <c r="G34" s="160">
        <f t="shared" si="23"/>
        <v>0</v>
      </c>
      <c r="H34" s="604">
        <f t="shared" si="9"/>
        <v>550887</v>
      </c>
      <c r="I34" s="161">
        <f t="shared" si="24"/>
        <v>0</v>
      </c>
      <c r="J34" s="604">
        <f t="shared" si="10"/>
        <v>401154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8192773.4699999997</v>
      </c>
      <c r="AC34" s="244">
        <f>SUM(AC30)</f>
        <v>0</v>
      </c>
    </row>
    <row r="35" spans="1:32" ht="15.75" thickBot="1">
      <c r="A35" s="501">
        <f>A37-COUNTIF(C4:C34,0)</f>
        <v>6</v>
      </c>
      <c r="C35" s="173">
        <f>SUM(C4:C34)/A35</f>
        <v>194.66666666666666</v>
      </c>
      <c r="D35" s="173"/>
      <c r="E35" s="173"/>
      <c r="F35" s="564"/>
      <c r="G35" s="564">
        <f>SUM(G4:G34)/A35</f>
        <v>17.166666666666668</v>
      </c>
      <c r="H35" s="173"/>
      <c r="I35" s="173">
        <f>SUM(I4:I34)/A35</f>
        <v>147.83333333333334</v>
      </c>
      <c r="K35" s="173">
        <f>SUM(K4:K34)/A35</f>
        <v>29.666666666666668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1.0000000000000002</v>
      </c>
      <c r="G36" s="225">
        <f>IF(C35&gt;0,G35/C35,0)</f>
        <v>8.8184931506849321E-2</v>
      </c>
      <c r="H36" s="212"/>
      <c r="I36" s="225">
        <f>SUM(I35/C35)</f>
        <v>0.75941780821917815</v>
      </c>
      <c r="J36" s="212"/>
      <c r="K36" s="225">
        <f>SUM(K35/C35)</f>
        <v>0.15239726027397263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4896.1041459369817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4896.1041459369817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1"/>
      <c r="AC45" s="671"/>
      <c r="AD45" s="542"/>
      <c r="AE45" s="17"/>
      <c r="AF45" s="17"/>
    </row>
    <row r="46" spans="1:32">
      <c r="V46" s="671"/>
      <c r="W46" s="671"/>
      <c r="X46" s="671"/>
      <c r="Y46" s="671"/>
      <c r="Z46" s="508"/>
      <c r="AA46" s="508"/>
      <c r="AB46" s="671"/>
      <c r="AC46" s="671"/>
      <c r="AD46" s="542"/>
      <c r="AE46" s="17"/>
      <c r="AF46" s="17"/>
    </row>
    <row r="47" spans="1:32">
      <c r="V47" s="671"/>
      <c r="W47" s="671"/>
      <c r="X47" s="671"/>
      <c r="Y47" s="671"/>
      <c r="Z47" s="671"/>
      <c r="AA47" s="671"/>
      <c r="AB47" s="671"/>
      <c r="AC47" s="671"/>
      <c r="AD47" s="542"/>
      <c r="AE47" s="17"/>
      <c r="AF47" s="17"/>
    </row>
    <row r="48" spans="1:32">
      <c r="V48" s="672"/>
      <c r="W48" s="672"/>
      <c r="X48" s="673"/>
      <c r="Y48" s="673"/>
      <c r="Z48" s="673"/>
      <c r="AA48" s="509"/>
      <c r="AB48" s="671"/>
      <c r="AC48" s="67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3" sqref="F1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>
        <v>16</v>
      </c>
      <c r="C13" s="37">
        <v>14</v>
      </c>
      <c r="D13" s="26">
        <f t="shared" ref="D13:D32" si="3">(C13+B13)/2</f>
        <v>15</v>
      </c>
      <c r="E13" s="378">
        <v>0.76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18.25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4939</v>
      </c>
      <c r="D10" s="3">
        <f t="shared" si="0"/>
        <v>307.99999999877764</v>
      </c>
      <c r="E10" s="3">
        <f>ELEC!Q12</f>
        <v>4631.0000000012224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-14.899999999999991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-5.7999999999999829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6"/>
      <c r="B1" s="684" t="s">
        <v>119</v>
      </c>
      <c r="C1" s="684" t="s">
        <v>118</v>
      </c>
      <c r="D1" s="688" t="s">
        <v>113</v>
      </c>
      <c r="E1" s="688" t="s">
        <v>114</v>
      </c>
      <c r="F1" s="689" t="s">
        <v>120</v>
      </c>
      <c r="G1" s="690" t="s">
        <v>75</v>
      </c>
      <c r="H1" s="681" t="s">
        <v>115</v>
      </c>
      <c r="I1" s="682" t="s">
        <v>116</v>
      </c>
      <c r="J1" s="681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7"/>
      <c r="B2" s="685"/>
      <c r="C2" s="685"/>
      <c r="D2" s="688"/>
      <c r="E2" s="688"/>
      <c r="F2" s="689"/>
      <c r="G2" s="690"/>
      <c r="H2" s="681"/>
      <c r="I2" s="683"/>
      <c r="J2" s="681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304</v>
      </c>
      <c r="C13" s="76">
        <f>'B5'!AH13</f>
        <v>0</v>
      </c>
      <c r="D13" s="76">
        <f>GEN!AI11</f>
        <v>1191.9451476796396</v>
      </c>
      <c r="E13" s="239">
        <f t="shared" si="0"/>
        <v>1495.9451476796396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4631.0000000012224</v>
      </c>
      <c r="J13" s="79">
        <f>ELEC!R12</f>
        <v>307.99999999877764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-5.7999999999999829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B13" sqref="B13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316</v>
      </c>
      <c r="C1" s="705"/>
      <c r="D1" s="707"/>
      <c r="E1" s="704" t="s">
        <v>317</v>
      </c>
      <c r="F1" s="705"/>
      <c r="G1" s="706"/>
      <c r="H1" s="701" t="s">
        <v>321</v>
      </c>
      <c r="I1" s="698" t="s">
        <v>322</v>
      </c>
      <c r="J1" s="695" t="s">
        <v>43</v>
      </c>
    </row>
    <row r="2" spans="1:18" ht="38.25" thickBot="1">
      <c r="A2" s="69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2"/>
      <c r="I2" s="699"/>
      <c r="J2" s="696"/>
    </row>
    <row r="3" spans="1:18" ht="24" customHeight="1" thickBot="1">
      <c r="A3" s="69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3"/>
      <c r="I3" s="700"/>
      <c r="J3" s="697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7023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404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14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16</v>
      </c>
      <c r="K18" s="261">
        <f>'General information '!C13</f>
        <v>14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0</v>
      </c>
      <c r="K19" s="261">
        <f>'General information '!C14</f>
        <v>0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0</v>
      </c>
      <c r="K20" s="261">
        <f>'General information '!C15</f>
        <v>0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0</v>
      </c>
      <c r="K22" s="261">
        <f>'General information '!C17</f>
        <v>0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0</v>
      </c>
      <c r="K23" s="261">
        <f>'General information '!C18</f>
        <v>0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0</v>
      </c>
      <c r="K24" s="261">
        <f>'General information '!C19</f>
        <v>0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23" sqref="H2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214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18440</v>
      </c>
      <c r="C8" s="466">
        <f>SUM(tanks!AU37)</f>
        <v>0.9285000000000001</v>
      </c>
      <c r="D8" s="191">
        <f>SUM(B8*C8)*D4</f>
        <v>25810721.550000001</v>
      </c>
      <c r="E8" s="192">
        <f>SUM(D8/D4/F4)</f>
        <v>552.30774193548393</v>
      </c>
      <c r="F8" s="192">
        <f>SUM(E8*F4)</f>
        <v>17121.54</v>
      </c>
      <c r="G8" s="570">
        <f>E8*$G$4</f>
        <v>4970.7696774193555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1168</v>
      </c>
      <c r="C10" s="181"/>
      <c r="D10" s="183">
        <f>'EDl log'!AB30</f>
        <v>7380877</v>
      </c>
      <c r="E10" s="182">
        <f>SUM(D10/D4/F4)</f>
        <v>157.93884341732198</v>
      </c>
      <c r="F10" s="182">
        <f>SUM(E10*F4)</f>
        <v>4896.1041459369817</v>
      </c>
      <c r="G10" s="478">
        <f>E10*$G$4</f>
        <v>1421.4495907558978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974.76271438506399</v>
      </c>
      <c r="F12" s="180">
        <f>SUM(F6:F10)</f>
        <v>30217.644145936982</v>
      </c>
      <c r="G12" s="179">
        <f>SUM(G6:G10)</f>
        <v>14592.219268175253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-65536.680731824745</v>
      </c>
      <c r="I14" s="406">
        <f>SUM(G12-I12)</f>
        <v>-36651.700452254852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18.25</v>
      </c>
      <c r="C16" s="415">
        <f>'[13]Utility Cost '!$B$16</f>
        <v>15.064516129032258</v>
      </c>
      <c r="D16" s="415"/>
      <c r="E16" s="576">
        <f>B16-C16</f>
        <v>3.185483870967742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73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-156</v>
      </c>
      <c r="F18" s="495">
        <f>B18-D18</f>
        <v>-129.66666666666666</v>
      </c>
    </row>
    <row r="19" spans="1:10">
      <c r="A19" s="489" t="s">
        <v>412</v>
      </c>
      <c r="B19" s="493">
        <f>GEN!AL34</f>
        <v>7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10.428571428571429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2022-03-10T13:56:42Z</dcterms:modified>
</cp:coreProperties>
</file>