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0" yWindow="0" windowWidth="2560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2" i="117" l="1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N38" i="119"/>
  <c r="M38" i="119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<sst xmlns="http://schemas.openxmlformats.org/spreadsheetml/2006/main" count="66" uniqueCount="32">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</sst>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8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9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9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標準" xfId="0" builtinId="0"/>
    <cellStyle name="表示済みのハイパーリンク" xfId="16" builtinId="9" hidden="1"/>
    <cellStyle name="表示済みのハイパーリンク" xfId="18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7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7エネルギー使用量"/>
    </sheetNames>
    <sheetDataSet>
      <sheetData sheetId="0"/>
      <sheetData sheetId="1"/>
      <sheetData sheetId="2">
        <row r="205">
          <cell r="AL205">
            <v>2500582.5000000005</v>
          </cell>
        </row>
      </sheetData>
      <sheetData sheetId="3"/>
      <sheetData sheetId="4">
        <row r="387">
          <cell r="G387">
            <v>88</v>
          </cell>
        </row>
      </sheetData>
      <sheetData sheetId="5"/>
      <sheetData sheetId="6"/>
      <sheetData sheetId="7">
        <row r="23">
          <cell r="G23">
            <v>173.1</v>
          </cell>
        </row>
      </sheetData>
      <sheetData sheetId="8">
        <row r="3">
          <cell r="G3">
            <v>29.86</v>
          </cell>
        </row>
        <row r="23">
          <cell r="M23">
            <v>146.95053925745586</v>
          </cell>
        </row>
      </sheetData>
      <sheetData sheetId="9"/>
      <sheetData sheetId="10"/>
      <sheetData sheetId="11">
        <row r="29">
          <cell r="C29">
            <v>413.92199999999997</v>
          </cell>
        </row>
      </sheetData>
      <sheetData sheetId="12">
        <row r="29">
          <cell r="C29">
            <v>413.92199999999997</v>
          </cell>
        </row>
      </sheetData>
      <sheetData sheetId="13">
        <row r="29">
          <cell r="C29">
            <v>413.92199999999997</v>
          </cell>
        </row>
      </sheetData>
      <sheetData sheetId="14">
        <row r="29">
          <cell r="C29">
            <v>413.64420000000001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413.92199999999997</v>
          </cell>
        </row>
      </sheetData>
      <sheetData sheetId="17">
        <row r="29">
          <cell r="C29">
            <v>413.92199999999997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413.92199999999997</v>
          </cell>
        </row>
      </sheetData>
      <sheetData sheetId="20">
        <row r="29">
          <cell r="C29">
            <v>413.3664</v>
          </cell>
        </row>
      </sheetData>
      <sheetData sheetId="21">
        <row r="29">
          <cell r="C29">
            <v>413.92199999999997</v>
          </cell>
        </row>
      </sheetData>
      <sheetData sheetId="22">
        <row r="29">
          <cell r="C29">
            <v>413.08859999999999</v>
          </cell>
        </row>
      </sheetData>
      <sheetData sheetId="23">
        <row r="29">
          <cell r="C29">
            <v>414.19979999999998</v>
          </cell>
        </row>
      </sheetData>
      <sheetData sheetId="24">
        <row r="29">
          <cell r="C29">
            <v>413.08859999999999</v>
          </cell>
        </row>
      </sheetData>
      <sheetData sheetId="25">
        <row r="29">
          <cell r="C29">
            <v>413.92199999999997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413.92199999999997</v>
          </cell>
        </row>
      </sheetData>
      <sheetData sheetId="29">
        <row r="29">
          <cell r="C29">
            <v>414.19979999999998</v>
          </cell>
        </row>
      </sheetData>
      <sheetData sheetId="30">
        <row r="29">
          <cell r="C29">
            <v>413.64420000000001</v>
          </cell>
        </row>
      </sheetData>
      <sheetData sheetId="31">
        <row r="29">
          <cell r="C29">
            <v>413.64420000000001</v>
          </cell>
        </row>
      </sheetData>
      <sheetData sheetId="32">
        <row r="29">
          <cell r="C29">
            <v>413.3664</v>
          </cell>
        </row>
      </sheetData>
      <sheetData sheetId="33">
        <row r="29">
          <cell r="C29">
            <v>414.19979999999998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413.64420000000001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413.64420000000001</v>
          </cell>
        </row>
      </sheetData>
      <sheetData sheetId="38">
        <row r="29">
          <cell r="C29">
            <v>413.92199999999997</v>
          </cell>
        </row>
      </sheetData>
      <sheetData sheetId="39">
        <row r="29">
          <cell r="C29">
            <v>413.64420000000001</v>
          </cell>
        </row>
      </sheetData>
      <sheetData sheetId="40">
        <row r="12">
          <cell r="C12">
            <v>17423</v>
          </cell>
        </row>
      </sheetData>
      <sheetData sheetId="41">
        <row r="29">
          <cell r="C29">
            <v>413.64420000000001</v>
          </cell>
        </row>
      </sheetData>
      <sheetData sheetId="4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0">
          <cell r="V30">
            <v>38.853099644041329</v>
          </cell>
          <cell r="AE30">
            <v>19.558598792240634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A5" workbookViewId="0">
      <selection activeCell="J2" sqref="J2:J32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7</v>
      </c>
      <c r="D2" s="7">
        <v>2022</v>
      </c>
      <c r="E2" s="9">
        <f>'Otemachi Daily'!D5</f>
        <v>16351</v>
      </c>
      <c r="F2" s="34">
        <f>[1]見込!$G$3</f>
        <v>29.86</v>
      </c>
      <c r="G2" s="9">
        <f>'Otemachi Daily'!F5</f>
        <v>173.1</v>
      </c>
      <c r="H2" s="34">
        <f>[1]見込!$M$23</f>
        <v>146.95053925745586</v>
      </c>
      <c r="I2" s="9">
        <f>'Otemachi Daily'!H5</f>
        <v>31961.445599999999</v>
      </c>
      <c r="J2" s="34">
        <f>[2]Sheet1!$V$30</f>
        <v>38.853099644041329</v>
      </c>
      <c r="K2" s="9">
        <f>'Otemachi Daily'!J5</f>
        <v>6281.6135999999997</v>
      </c>
      <c r="L2" s="34">
        <f>[2]Sheet1!$AE$30</f>
        <v>19.558598792240634</v>
      </c>
      <c r="M2" s="9">
        <f>'Otemachi Daily'!L5</f>
        <v>147</v>
      </c>
      <c r="N2" s="34">
        <v>741</v>
      </c>
      <c r="O2" s="9">
        <f>'Otemachi Daily'!M5</f>
        <v>88</v>
      </c>
      <c r="P2" s="9">
        <f>'Otemachi Daily'!N5</f>
        <v>155</v>
      </c>
    </row>
    <row r="3" spans="1:16" ht="17">
      <c r="A3" s="6" t="s">
        <v>22</v>
      </c>
      <c r="B3" s="7">
        <f>B2+1</f>
        <v>2</v>
      </c>
      <c r="C3" s="8">
        <v>7</v>
      </c>
      <c r="D3" s="7">
        <v>2022</v>
      </c>
      <c r="E3" s="9">
        <f>'Otemachi Daily'!D6</f>
        <v>17023</v>
      </c>
      <c r="F3" s="34">
        <f>[1]見込!$G$3</f>
        <v>29.86</v>
      </c>
      <c r="G3" s="9">
        <f>'Otemachi Daily'!F6</f>
        <v>178.3</v>
      </c>
      <c r="H3" s="34">
        <f>[1]見込!$M$23</f>
        <v>146.95053925745586</v>
      </c>
      <c r="I3" s="9">
        <f>'Otemachi Daily'!H6</f>
        <v>34156.065599999994</v>
      </c>
      <c r="J3" s="34">
        <f>[2]Sheet1!$V$30</f>
        <v>38.853099644041329</v>
      </c>
      <c r="K3" s="9">
        <f>'Otemachi Daily'!J6</f>
        <v>6574.4981400000006</v>
      </c>
      <c r="L3" s="34">
        <f>[2]Sheet1!$AE$30</f>
        <v>19.558598792240634</v>
      </c>
      <c r="M3" s="9">
        <f>'Otemachi Daily'!L6</f>
        <v>172</v>
      </c>
      <c r="N3" s="34">
        <v>741</v>
      </c>
      <c r="O3" s="9">
        <f>'Otemachi Daily'!M6</f>
        <v>158</v>
      </c>
      <c r="P3" s="9">
        <f>'Otemachi Daily'!N6</f>
        <v>300</v>
      </c>
    </row>
    <row r="4" spans="1:16" ht="17">
      <c r="A4" s="6" t="s">
        <v>22</v>
      </c>
      <c r="B4" s="7">
        <f t="shared" ref="B4:B32" si="0">B3+1</f>
        <v>3</v>
      </c>
      <c r="C4" s="8">
        <v>7</v>
      </c>
      <c r="D4" s="7">
        <v>2022</v>
      </c>
      <c r="E4" s="9">
        <f>'Otemachi Daily'!D7</f>
        <v>16581</v>
      </c>
      <c r="F4" s="34">
        <f>[1]見込!$G$3</f>
        <v>29.86</v>
      </c>
      <c r="G4" s="9">
        <f>'Otemachi Daily'!F7</f>
        <v>170.3</v>
      </c>
      <c r="H4" s="34">
        <f>[1]見込!$M$23</f>
        <v>146.95053925745586</v>
      </c>
      <c r="I4" s="9">
        <f>'Otemachi Daily'!H7</f>
        <v>31707.536399999997</v>
      </c>
      <c r="J4" s="34">
        <f>[2]Sheet1!$V$30</f>
        <v>38.853099644041329</v>
      </c>
      <c r="K4" s="9">
        <f>'Otemachi Daily'!J7</f>
        <v>7283.1937200000002</v>
      </c>
      <c r="L4" s="34">
        <f>[2]Sheet1!$AE$30</f>
        <v>19.558598792240634</v>
      </c>
      <c r="M4" s="9">
        <f>'Otemachi Daily'!L7</f>
        <v>186</v>
      </c>
      <c r="N4" s="34">
        <v>741</v>
      </c>
      <c r="O4" s="9">
        <f>'Otemachi Daily'!M7</f>
        <v>72</v>
      </c>
      <c r="P4" s="9">
        <f>'Otemachi Daily'!N7</f>
        <v>130</v>
      </c>
    </row>
    <row r="5" spans="1:16" ht="17">
      <c r="A5" s="6" t="s">
        <v>22</v>
      </c>
      <c r="B5" s="7">
        <f t="shared" si="0"/>
        <v>4</v>
      </c>
      <c r="C5" s="8">
        <v>7</v>
      </c>
      <c r="D5" s="7">
        <v>2022</v>
      </c>
      <c r="E5" s="9">
        <f>'Otemachi Daily'!D8</f>
        <v>15813</v>
      </c>
      <c r="F5" s="34">
        <f>[1]見込!$G$3</f>
        <v>29.86</v>
      </c>
      <c r="G5" s="9">
        <f>'Otemachi Daily'!F8</f>
        <v>166.4</v>
      </c>
      <c r="H5" s="34">
        <f>[1]見込!$M$23</f>
        <v>146.95053925745586</v>
      </c>
      <c r="I5" s="9">
        <f>'Otemachi Daily'!H8</f>
        <v>22994.061599999997</v>
      </c>
      <c r="J5" s="34">
        <f>[2]Sheet1!$V$30</f>
        <v>38.853099644041329</v>
      </c>
      <c r="K5" s="9">
        <f>'Otemachi Daily'!J8</f>
        <v>5775.5175600000002</v>
      </c>
      <c r="L5" s="34">
        <f>[2]Sheet1!$AE$30</f>
        <v>19.558598792240634</v>
      </c>
      <c r="M5" s="9">
        <f>'Otemachi Daily'!L8</f>
        <v>135</v>
      </c>
      <c r="N5" s="34">
        <v>741</v>
      </c>
      <c r="O5" s="9">
        <f>'Otemachi Daily'!M8</f>
        <v>66</v>
      </c>
      <c r="P5" s="9">
        <f>'Otemachi Daily'!N8</f>
        <v>118</v>
      </c>
    </row>
    <row r="6" spans="1:16" ht="17">
      <c r="A6" s="6" t="s">
        <v>22</v>
      </c>
      <c r="B6" s="7">
        <f t="shared" si="0"/>
        <v>5</v>
      </c>
      <c r="C6" s="8">
        <v>7</v>
      </c>
      <c r="D6" s="7">
        <v>2022</v>
      </c>
      <c r="E6" s="9">
        <f>'Otemachi Daily'!D9</f>
        <v>15975</v>
      </c>
      <c r="F6" s="34">
        <f>[1]見込!$G$3</f>
        <v>29.86</v>
      </c>
      <c r="G6" s="9">
        <f>'Otemachi Daily'!F9</f>
        <v>163.19999999999999</v>
      </c>
      <c r="H6" s="34">
        <f>[1]見込!$M$23</f>
        <v>146.95053925745586</v>
      </c>
      <c r="I6" s="9">
        <f>'Otemachi Daily'!H9</f>
        <v>22648.7562</v>
      </c>
      <c r="J6" s="34">
        <f>[2]Sheet1!$V$30</f>
        <v>38.853099644041329</v>
      </c>
      <c r="K6" s="9">
        <f>'Otemachi Daily'!J9</f>
        <v>6208.2466199999999</v>
      </c>
      <c r="L6" s="34">
        <f>[2]Sheet1!$AE$30</f>
        <v>19.558598792240634</v>
      </c>
      <c r="M6" s="9">
        <f>'Otemachi Daily'!L9</f>
        <v>124</v>
      </c>
      <c r="N6" s="34">
        <v>741</v>
      </c>
      <c r="O6" s="9">
        <f>'Otemachi Daily'!M9</f>
        <v>64</v>
      </c>
      <c r="P6" s="9">
        <f>'Otemachi Daily'!N9</f>
        <v>116</v>
      </c>
    </row>
    <row r="7" spans="1:16" ht="17">
      <c r="A7" s="6" t="s">
        <v>22</v>
      </c>
      <c r="B7" s="7">
        <f t="shared" si="0"/>
        <v>6</v>
      </c>
      <c r="C7" s="8">
        <v>7</v>
      </c>
      <c r="D7" s="7">
        <v>2022</v>
      </c>
      <c r="E7" s="9">
        <f>'Otemachi Daily'!D10</f>
        <v>16343</v>
      </c>
      <c r="F7" s="34">
        <f>[1]見込!$G$3</f>
        <v>29.86</v>
      </c>
      <c r="G7" s="9">
        <f>'Otemachi Daily'!F10</f>
        <v>193.6</v>
      </c>
      <c r="H7" s="34">
        <f>[1]見込!$M$23</f>
        <v>146.95053925745586</v>
      </c>
      <c r="I7" s="9">
        <f>'Otemachi Daily'!H10</f>
        <v>22560.971399999999</v>
      </c>
      <c r="J7" s="34">
        <f>[2]Sheet1!$V$30</f>
        <v>38.853099644041329</v>
      </c>
      <c r="K7" s="9">
        <f>'Otemachi Daily'!J10</f>
        <v>6137.26872</v>
      </c>
      <c r="L7" s="34">
        <f>[2]Sheet1!$AE$30</f>
        <v>19.558598792240634</v>
      </c>
      <c r="M7" s="9">
        <f>'Otemachi Daily'!L10</f>
        <v>124</v>
      </c>
      <c r="N7" s="34">
        <v>741</v>
      </c>
      <c r="O7" s="9">
        <f>'Otemachi Daily'!M10</f>
        <v>72</v>
      </c>
      <c r="P7" s="9">
        <f>'Otemachi Daily'!N10</f>
        <v>123</v>
      </c>
    </row>
    <row r="8" spans="1:16" ht="17">
      <c r="A8" s="6" t="s">
        <v>22</v>
      </c>
      <c r="B8" s="7">
        <f t="shared" si="0"/>
        <v>7</v>
      </c>
      <c r="C8" s="8">
        <v>7</v>
      </c>
      <c r="D8" s="7">
        <v>2022</v>
      </c>
      <c r="E8" s="9">
        <f>'Otemachi Daily'!D11</f>
        <v>15965</v>
      </c>
      <c r="F8" s="34">
        <f>[1]見込!$G$3</f>
        <v>29.86</v>
      </c>
      <c r="G8" s="9">
        <f>'Otemachi Daily'!F11</f>
        <v>167.3</v>
      </c>
      <c r="H8" s="34">
        <f>[1]見込!$M$23</f>
        <v>146.95053925745586</v>
      </c>
      <c r="I8" s="9">
        <f>'Otemachi Daily'!H11</f>
        <v>19591.567199999998</v>
      </c>
      <c r="J8" s="34">
        <f>[2]Sheet1!$V$30</f>
        <v>38.853099644041329</v>
      </c>
      <c r="K8" s="9">
        <f>'Otemachi Daily'!J11</f>
        <v>6695.5911599999999</v>
      </c>
      <c r="L8" s="34">
        <f>[2]Sheet1!$AE$30</f>
        <v>19.558598792240634</v>
      </c>
      <c r="M8" s="9">
        <f>'Otemachi Daily'!L11</f>
        <v>151</v>
      </c>
      <c r="N8" s="34">
        <v>741</v>
      </c>
      <c r="O8" s="9">
        <f>'Otemachi Daily'!M11</f>
        <v>84</v>
      </c>
      <c r="P8" s="9">
        <f>'Otemachi Daily'!N11</f>
        <v>137</v>
      </c>
    </row>
    <row r="9" spans="1:16" ht="17">
      <c r="A9" s="6" t="s">
        <v>22</v>
      </c>
      <c r="B9" s="7">
        <f t="shared" si="0"/>
        <v>8</v>
      </c>
      <c r="C9" s="8">
        <v>7</v>
      </c>
      <c r="D9" s="7">
        <v>2022</v>
      </c>
      <c r="E9" s="9">
        <f>'Otemachi Daily'!D12</f>
        <v>16443</v>
      </c>
      <c r="F9" s="34">
        <f>[1]見込!$G$3</f>
        <v>29.86</v>
      </c>
      <c r="G9" s="9">
        <f>'Otemachi Daily'!F12</f>
        <v>170.1</v>
      </c>
      <c r="H9" s="34">
        <f>[1]見込!$M$23</f>
        <v>146.95053925745586</v>
      </c>
      <c r="I9" s="9">
        <f>'Otemachi Daily'!H12</f>
        <v>19686.852599999998</v>
      </c>
      <c r="J9" s="34">
        <f>[2]Sheet1!$V$30</f>
        <v>38.853099644041329</v>
      </c>
      <c r="K9" s="9">
        <f>'Otemachi Daily'!J12</f>
        <v>7020.20046</v>
      </c>
      <c r="L9" s="34">
        <f>[2]Sheet1!$AE$30</f>
        <v>19.558598792240634</v>
      </c>
      <c r="M9" s="9">
        <f>'Otemachi Daily'!L12</f>
        <v>148</v>
      </c>
      <c r="N9" s="34">
        <v>741</v>
      </c>
      <c r="O9" s="9">
        <f>'Otemachi Daily'!M12</f>
        <v>122</v>
      </c>
      <c r="P9" s="9">
        <f>'Otemachi Daily'!N12</f>
        <v>232</v>
      </c>
    </row>
    <row r="10" spans="1:16" ht="17">
      <c r="A10" s="6" t="s">
        <v>22</v>
      </c>
      <c r="B10" s="7">
        <f t="shared" si="0"/>
        <v>9</v>
      </c>
      <c r="C10" s="8">
        <v>7</v>
      </c>
      <c r="D10" s="7">
        <v>2022</v>
      </c>
      <c r="E10" s="9">
        <f>'Otemachi Daily'!D13</f>
        <v>17060</v>
      </c>
      <c r="F10" s="34">
        <f>[1]見込!$G$3</f>
        <v>29.86</v>
      </c>
      <c r="G10" s="9">
        <f>'Otemachi Daily'!F13</f>
        <v>177</v>
      </c>
      <c r="H10" s="34">
        <f>[1]見込!$M$23</f>
        <v>146.95053925745586</v>
      </c>
      <c r="I10" s="9">
        <f>'Otemachi Daily'!H13</f>
        <v>23801.070599999999</v>
      </c>
      <c r="J10" s="34">
        <f>[2]Sheet1!$V$30</f>
        <v>38.853099644041329</v>
      </c>
      <c r="K10" s="9">
        <f>'Otemachi Daily'!J13</f>
        <v>7030.5068400000009</v>
      </c>
      <c r="L10" s="34">
        <f>[2]Sheet1!$AE$30</f>
        <v>19.558598792240634</v>
      </c>
      <c r="M10" s="9">
        <f>'Otemachi Daily'!L13</f>
        <v>210</v>
      </c>
      <c r="N10" s="34">
        <v>741</v>
      </c>
      <c r="O10" s="9">
        <f>'Otemachi Daily'!M13</f>
        <v>165</v>
      </c>
      <c r="P10" s="9">
        <f>'Otemachi Daily'!N13</f>
        <v>349</v>
      </c>
    </row>
    <row r="11" spans="1:16" ht="17">
      <c r="A11" s="6" t="s">
        <v>22</v>
      </c>
      <c r="B11" s="7">
        <f t="shared" si="0"/>
        <v>10</v>
      </c>
      <c r="C11" s="8">
        <v>7</v>
      </c>
      <c r="D11" s="7">
        <v>2022</v>
      </c>
      <c r="E11" s="9">
        <f>'Otemachi Daily'!D14</f>
        <v>16697</v>
      </c>
      <c r="F11" s="34">
        <f>[1]見込!$G$3</f>
        <v>29.86</v>
      </c>
      <c r="G11" s="9">
        <f>'Otemachi Daily'!F14</f>
        <v>163.69999999999999</v>
      </c>
      <c r="H11" s="34">
        <f>[1]見込!$M$23</f>
        <v>146.95053925745586</v>
      </c>
      <c r="I11" s="9">
        <f>'Otemachi Daily'!H14</f>
        <v>26853.259199999997</v>
      </c>
      <c r="J11" s="34">
        <f>[2]Sheet1!$V$30</f>
        <v>38.853099644041329</v>
      </c>
      <c r="K11" s="9">
        <f>'Otemachi Daily'!J14</f>
        <v>7672.5026400000006</v>
      </c>
      <c r="L11" s="34">
        <f>[2]Sheet1!$AE$30</f>
        <v>19.558598792240634</v>
      </c>
      <c r="M11" s="9">
        <f>'Otemachi Daily'!L14</f>
        <v>189</v>
      </c>
      <c r="N11" s="34">
        <v>741</v>
      </c>
      <c r="O11" s="9">
        <f>'Otemachi Daily'!M14</f>
        <v>116</v>
      </c>
      <c r="P11" s="9">
        <f>'Otemachi Daily'!N14</f>
        <v>183</v>
      </c>
    </row>
    <row r="12" spans="1:16" ht="17">
      <c r="A12" s="6" t="s">
        <v>22</v>
      </c>
      <c r="B12" s="7">
        <f t="shared" si="0"/>
        <v>11</v>
      </c>
      <c r="C12" s="8">
        <v>7</v>
      </c>
      <c r="D12" s="7">
        <v>2022</v>
      </c>
      <c r="E12" s="9">
        <f>'Otemachi Daily'!D15</f>
        <v>16509</v>
      </c>
      <c r="F12" s="34">
        <f>[1]見込!$G$3</f>
        <v>29.86</v>
      </c>
      <c r="G12" s="9">
        <f>'Otemachi Daily'!F15</f>
        <v>170.5</v>
      </c>
      <c r="H12" s="34">
        <f>[1]見込!$M$23</f>
        <v>146.95053925745586</v>
      </c>
      <c r="I12" s="9">
        <f>'Otemachi Daily'!H15</f>
        <v>28885.088399999997</v>
      </c>
      <c r="J12" s="34">
        <f>[2]Sheet1!$V$30</f>
        <v>38.853099644041329</v>
      </c>
      <c r="K12" s="9">
        <f>'Otemachi Daily'!J15</f>
        <v>6166.2710399999996</v>
      </c>
      <c r="L12" s="34">
        <f>[2]Sheet1!$AE$30</f>
        <v>19.558598792240634</v>
      </c>
      <c r="M12" s="9">
        <f>'Otemachi Daily'!L15</f>
        <v>138</v>
      </c>
      <c r="N12" s="34">
        <v>741</v>
      </c>
      <c r="O12" s="9">
        <f>'Otemachi Daily'!M15</f>
        <v>107</v>
      </c>
      <c r="P12" s="9">
        <f>'Otemachi Daily'!N15</f>
        <v>165</v>
      </c>
    </row>
    <row r="13" spans="1:16" ht="17">
      <c r="A13" s="6" t="s">
        <v>22</v>
      </c>
      <c r="B13" s="7">
        <f t="shared" si="0"/>
        <v>12</v>
      </c>
      <c r="C13" s="8">
        <v>7</v>
      </c>
      <c r="D13" s="7">
        <v>2022</v>
      </c>
      <c r="E13" s="9">
        <f>'Otemachi Daily'!D16</f>
        <v>16251</v>
      </c>
      <c r="F13" s="34">
        <f>[1]見込!$G$3</f>
        <v>29.86</v>
      </c>
      <c r="G13" s="9">
        <f>'Otemachi Daily'!F16</f>
        <v>166.2</v>
      </c>
      <c r="H13" s="34">
        <f>[1]見込!$M$23</f>
        <v>146.95053925745586</v>
      </c>
      <c r="I13" s="9">
        <f>'Otemachi Daily'!H16</f>
        <v>23438.263799999997</v>
      </c>
      <c r="J13" s="34">
        <f>[2]Sheet1!$V$30</f>
        <v>38.853099644041329</v>
      </c>
      <c r="K13" s="9">
        <f>'Otemachi Daily'!J16</f>
        <v>6124.85106</v>
      </c>
      <c r="L13" s="34">
        <f>[2]Sheet1!$AE$30</f>
        <v>19.558598792240634</v>
      </c>
      <c r="M13" s="9">
        <f>'Otemachi Daily'!L16</f>
        <v>139</v>
      </c>
      <c r="N13" s="34">
        <v>741</v>
      </c>
      <c r="O13" s="9">
        <f>'Otemachi Daily'!M16</f>
        <v>99</v>
      </c>
      <c r="P13" s="9">
        <f>'Otemachi Daily'!N16</f>
        <v>150</v>
      </c>
    </row>
    <row r="14" spans="1:16" ht="17">
      <c r="A14" s="6" t="s">
        <v>22</v>
      </c>
      <c r="B14" s="7">
        <f t="shared" si="0"/>
        <v>13</v>
      </c>
      <c r="C14" s="8">
        <v>7</v>
      </c>
      <c r="D14" s="7">
        <v>2022</v>
      </c>
      <c r="E14" s="9">
        <f>'Otemachi Daily'!D17</f>
        <v>16005</v>
      </c>
      <c r="F14" s="34">
        <f>[1]見込!$G$3</f>
        <v>29.86</v>
      </c>
      <c r="G14" s="9">
        <f>'Otemachi Daily'!F17</f>
        <v>143.4</v>
      </c>
      <c r="H14" s="34">
        <f>[1]見込!$M$23</f>
        <v>146.95053925745586</v>
      </c>
      <c r="I14" s="9">
        <f>'Otemachi Daily'!H17</f>
        <v>20091.051599999999</v>
      </c>
      <c r="J14" s="34">
        <f>[2]Sheet1!$V$30</f>
        <v>38.853099644041329</v>
      </c>
      <c r="K14" s="9">
        <f>'Otemachi Daily'!J17</f>
        <v>6722.4266399999997</v>
      </c>
      <c r="L14" s="34">
        <f>[2]Sheet1!$AE$30</f>
        <v>19.558598792240634</v>
      </c>
      <c r="M14" s="9">
        <f>'Otemachi Daily'!L17</f>
        <v>125</v>
      </c>
      <c r="N14" s="34">
        <v>741</v>
      </c>
      <c r="O14" s="9">
        <f>'Otemachi Daily'!M17</f>
        <v>87</v>
      </c>
      <c r="P14" s="9">
        <f>'Otemachi Daily'!N17</f>
        <v>133</v>
      </c>
    </row>
    <row r="15" spans="1:16" ht="17">
      <c r="A15" s="6" t="s">
        <v>22</v>
      </c>
      <c r="B15" s="7">
        <f t="shared" si="0"/>
        <v>14</v>
      </c>
      <c r="C15" s="8">
        <v>7</v>
      </c>
      <c r="D15" s="7">
        <v>2022</v>
      </c>
      <c r="E15" s="9">
        <f>'Otemachi Daily'!D18</f>
        <v>16089</v>
      </c>
      <c r="F15" s="34">
        <f>[1]見込!$G$3</f>
        <v>29.86</v>
      </c>
      <c r="G15" s="9">
        <f>'Otemachi Daily'!F18</f>
        <v>168.8</v>
      </c>
      <c r="H15" s="34">
        <f>[1]見込!$M$23</f>
        <v>146.95053925745586</v>
      </c>
      <c r="I15" s="9">
        <f>'Otemachi Daily'!H18</f>
        <v>18732.6096</v>
      </c>
      <c r="J15" s="34">
        <f>[2]Sheet1!$V$30</f>
        <v>38.853099644041329</v>
      </c>
      <c r="K15" s="9">
        <f>'Otemachi Daily'!J18</f>
        <v>6889.7733600000001</v>
      </c>
      <c r="L15" s="34">
        <f>[2]Sheet1!$AE$30</f>
        <v>19.558598792240634</v>
      </c>
      <c r="M15" s="9">
        <f>'Otemachi Daily'!L18</f>
        <v>138</v>
      </c>
      <c r="N15" s="34">
        <v>741</v>
      </c>
      <c r="O15" s="9">
        <f>'Otemachi Daily'!M18</f>
        <v>99</v>
      </c>
      <c r="P15" s="9">
        <f>'Otemachi Daily'!N18</f>
        <v>158</v>
      </c>
    </row>
    <row r="16" spans="1:16" ht="17">
      <c r="A16" s="6" t="s">
        <v>22</v>
      </c>
      <c r="B16" s="7">
        <f t="shared" si="0"/>
        <v>15</v>
      </c>
      <c r="C16" s="8">
        <v>7</v>
      </c>
      <c r="D16" s="7">
        <v>2022</v>
      </c>
      <c r="E16" s="9">
        <f>'Otemachi Daily'!D19</f>
        <v>16153</v>
      </c>
      <c r="F16" s="34">
        <f>[1]見込!$G$3</f>
        <v>29.86</v>
      </c>
      <c r="G16" s="9">
        <f>'Otemachi Daily'!F19</f>
        <v>173.5</v>
      </c>
      <c r="H16" s="34">
        <f>[1]見込!$M$23</f>
        <v>146.95053925745586</v>
      </c>
      <c r="I16" s="9">
        <f>'Otemachi Daily'!H19</f>
        <v>20109.941999999999</v>
      </c>
      <c r="J16" s="34">
        <f>[2]Sheet1!$V$30</f>
        <v>38.853099644041329</v>
      </c>
      <c r="K16" s="9">
        <f>'Otemachi Daily'!J19</f>
        <v>6711.6757800000005</v>
      </c>
      <c r="L16" s="34">
        <f>[2]Sheet1!$AE$30</f>
        <v>19.558598792240634</v>
      </c>
      <c r="M16" s="9">
        <f>'Otemachi Daily'!L19</f>
        <v>141</v>
      </c>
      <c r="N16" s="34">
        <v>741</v>
      </c>
      <c r="O16" s="9">
        <f>'Otemachi Daily'!M19</f>
        <v>114</v>
      </c>
      <c r="P16" s="9">
        <f>'Otemachi Daily'!N19</f>
        <v>234</v>
      </c>
    </row>
    <row r="17" spans="1:16" ht="17">
      <c r="A17" s="6" t="s">
        <v>22</v>
      </c>
      <c r="B17" s="7">
        <f t="shared" si="0"/>
        <v>16</v>
      </c>
      <c r="C17" s="8">
        <v>7</v>
      </c>
      <c r="D17" s="7">
        <v>2022</v>
      </c>
      <c r="E17" s="9">
        <f>'Otemachi Daily'!D20</f>
        <v>16851</v>
      </c>
      <c r="F17" s="34">
        <f>[1]見込!$G$3</f>
        <v>29.86</v>
      </c>
      <c r="G17" s="9">
        <f>'Otemachi Daily'!F20</f>
        <v>178.3</v>
      </c>
      <c r="H17" s="34">
        <f>[1]見込!$M$23</f>
        <v>146.95053925745586</v>
      </c>
      <c r="I17" s="9">
        <f>'Otemachi Daily'!H20</f>
        <v>20674.4316</v>
      </c>
      <c r="J17" s="34">
        <f>[2]Sheet1!$V$30</f>
        <v>38.853099644041329</v>
      </c>
      <c r="K17" s="9">
        <f>'Otemachi Daily'!J20</f>
        <v>7810.9581600000001</v>
      </c>
      <c r="L17" s="34">
        <f>[2]Sheet1!$AE$30</f>
        <v>19.558598792240634</v>
      </c>
      <c r="M17" s="9">
        <f>'Otemachi Daily'!L20</f>
        <v>186</v>
      </c>
      <c r="N17" s="34">
        <v>741</v>
      </c>
      <c r="O17" s="9">
        <f>'Otemachi Daily'!M20</f>
        <v>155</v>
      </c>
      <c r="P17" s="9">
        <f>'Otemachi Daily'!N20</f>
        <v>339</v>
      </c>
    </row>
    <row r="18" spans="1:16" ht="17">
      <c r="A18" s="6" t="s">
        <v>22</v>
      </c>
      <c r="B18" s="7">
        <f t="shared" si="0"/>
        <v>17</v>
      </c>
      <c r="C18" s="8">
        <v>7</v>
      </c>
      <c r="D18" s="7">
        <v>2022</v>
      </c>
      <c r="E18" s="9">
        <f>'Otemachi Daily'!D21</f>
        <v>17068</v>
      </c>
      <c r="F18" s="34">
        <f>[1]見込!$G$3</f>
        <v>29.86</v>
      </c>
      <c r="G18" s="9">
        <f>'Otemachi Daily'!F21</f>
        <v>176.8</v>
      </c>
      <c r="H18" s="34">
        <f>[1]見込!$M$23</f>
        <v>146.95053925745586</v>
      </c>
      <c r="I18" s="9">
        <f>'Otemachi Daily'!H21</f>
        <v>25979.300399999996</v>
      </c>
      <c r="J18" s="34">
        <f>[2]Sheet1!$V$30</f>
        <v>38.853099644041329</v>
      </c>
      <c r="K18" s="9">
        <f>'Otemachi Daily'!J21</f>
        <v>8680.6388400000014</v>
      </c>
      <c r="L18" s="34">
        <f>[2]Sheet1!$AE$30</f>
        <v>19.558598792240634</v>
      </c>
      <c r="M18" s="9">
        <f>'Otemachi Daily'!L21</f>
        <v>209</v>
      </c>
      <c r="N18" s="34">
        <v>741</v>
      </c>
      <c r="O18" s="9">
        <f>'Otemachi Daily'!M21</f>
        <v>143</v>
      </c>
      <c r="P18" s="9">
        <f>'Otemachi Daily'!N21</f>
        <v>275</v>
      </c>
    </row>
    <row r="19" spans="1:16" ht="17">
      <c r="A19" s="6" t="s">
        <v>22</v>
      </c>
      <c r="B19" s="7">
        <f t="shared" si="0"/>
        <v>18</v>
      </c>
      <c r="C19" s="8">
        <v>7</v>
      </c>
      <c r="D19" s="7">
        <v>2022</v>
      </c>
      <c r="E19" s="9">
        <f>'Otemachi Daily'!D22</f>
        <v>16787</v>
      </c>
      <c r="F19" s="34">
        <f>[1]見込!$G$3</f>
        <v>29.86</v>
      </c>
      <c r="G19" s="9">
        <f>'Otemachi Daily'!F22</f>
        <v>168</v>
      </c>
      <c r="H19" s="34">
        <f>[1]見込!$M$23</f>
        <v>146.95053925745586</v>
      </c>
      <c r="I19" s="9">
        <f>'Otemachi Daily'!H22</f>
        <v>28690.906199999998</v>
      </c>
      <c r="J19" s="34">
        <f>[2]Sheet1!$V$30</f>
        <v>38.853099644041329</v>
      </c>
      <c r="K19" s="9">
        <f>'Otemachi Daily'!J22</f>
        <v>6974.9468400000005</v>
      </c>
      <c r="L19" s="34">
        <f>[2]Sheet1!$AE$30</f>
        <v>19.558598792240634</v>
      </c>
      <c r="M19" s="9">
        <f>'Otemachi Daily'!L22</f>
        <v>175</v>
      </c>
      <c r="N19" s="34">
        <v>741</v>
      </c>
      <c r="O19" s="9">
        <f>'Otemachi Daily'!M22</f>
        <v>92</v>
      </c>
      <c r="P19" s="9">
        <f>'Otemachi Daily'!N22</f>
        <v>170</v>
      </c>
    </row>
    <row r="20" spans="1:16" ht="17">
      <c r="A20" s="6" t="s">
        <v>22</v>
      </c>
      <c r="B20" s="7">
        <f t="shared" si="0"/>
        <v>19</v>
      </c>
      <c r="C20" s="8">
        <v>7</v>
      </c>
      <c r="D20" s="7">
        <v>2022</v>
      </c>
      <c r="E20" s="9">
        <f>'Otemachi Daily'!D23</f>
        <v>16035</v>
      </c>
      <c r="F20" s="34">
        <f>[1]見込!$G$3</f>
        <v>29.86</v>
      </c>
      <c r="G20" s="9">
        <f>'Otemachi Daily'!F23</f>
        <v>155.5</v>
      </c>
      <c r="H20" s="34">
        <f>[1]見込!$M$23</f>
        <v>146.95053925745586</v>
      </c>
      <c r="I20" s="9">
        <f>'Otemachi Daily'!H23</f>
        <v>27607.763999999999</v>
      </c>
      <c r="J20" s="34">
        <f>[2]Sheet1!$V$30</f>
        <v>38.853099644041329</v>
      </c>
      <c r="K20" s="9">
        <f>'Otemachi Daily'!J23</f>
        <v>6461.655780000001</v>
      </c>
      <c r="L20" s="34">
        <f>[2]Sheet1!$AE$30</f>
        <v>19.558598792240634</v>
      </c>
      <c r="M20" s="9">
        <f>'Otemachi Daily'!L23</f>
        <v>140</v>
      </c>
      <c r="N20" s="34">
        <v>741</v>
      </c>
      <c r="O20" s="9">
        <f>'Otemachi Daily'!M23</f>
        <v>84</v>
      </c>
      <c r="P20" s="9">
        <f>'Otemachi Daily'!N23</f>
        <v>152</v>
      </c>
    </row>
    <row r="21" spans="1:16" ht="17">
      <c r="A21" s="6" t="s">
        <v>22</v>
      </c>
      <c r="B21" s="7">
        <f t="shared" si="0"/>
        <v>20</v>
      </c>
      <c r="C21" s="8">
        <v>7</v>
      </c>
      <c r="D21" s="7">
        <v>2022</v>
      </c>
      <c r="E21" s="9">
        <f>'Otemachi Daily'!D24</f>
        <v>15781</v>
      </c>
      <c r="F21" s="34">
        <f>[1]見込!$G$3</f>
        <v>29.86</v>
      </c>
      <c r="G21" s="9">
        <f>'Otemachi Daily'!F24</f>
        <v>161.6</v>
      </c>
      <c r="H21" s="34">
        <f>[1]見込!$M$23</f>
        <v>146.95053925745586</v>
      </c>
      <c r="I21" s="9">
        <f>'Otemachi Daily'!H24</f>
        <v>27190.508399999999</v>
      </c>
      <c r="J21" s="34">
        <f>[2]Sheet1!$V$30</f>
        <v>38.853099644041329</v>
      </c>
      <c r="K21" s="9">
        <f>'Otemachi Daily'!J24</f>
        <v>6305.7821999999996</v>
      </c>
      <c r="L21" s="34">
        <f>[2]Sheet1!$AE$30</f>
        <v>19.558598792240634</v>
      </c>
      <c r="M21" s="9">
        <f>'Otemachi Daily'!L24</f>
        <v>125</v>
      </c>
      <c r="N21" s="34">
        <v>741</v>
      </c>
      <c r="O21" s="9">
        <f>'Otemachi Daily'!M24</f>
        <v>85</v>
      </c>
      <c r="P21" s="9">
        <f>'Otemachi Daily'!N24</f>
        <v>136</v>
      </c>
    </row>
    <row r="22" spans="1:16" ht="17">
      <c r="A22" s="6" t="s">
        <v>22</v>
      </c>
      <c r="B22" s="7">
        <f t="shared" si="0"/>
        <v>21</v>
      </c>
      <c r="C22" s="8">
        <v>7</v>
      </c>
      <c r="D22" s="7">
        <v>2022</v>
      </c>
      <c r="E22" s="9">
        <f>'Otemachi Daily'!D25</f>
        <v>16105</v>
      </c>
      <c r="F22" s="34">
        <f>[1]見込!$G$3</f>
        <v>29.86</v>
      </c>
      <c r="G22" s="9">
        <f>'Otemachi Daily'!F25</f>
        <v>167</v>
      </c>
      <c r="H22" s="34">
        <f>[1]見込!$M$23</f>
        <v>146.95053925745586</v>
      </c>
      <c r="I22" s="9">
        <f>'Otemachi Daily'!H25</f>
        <v>27971.681999999997</v>
      </c>
      <c r="J22" s="34">
        <f>[2]Sheet1!$V$30</f>
        <v>38.853099644041329</v>
      </c>
      <c r="K22" s="9">
        <f>'Otemachi Daily'!J25</f>
        <v>6018.6759000000002</v>
      </c>
      <c r="L22" s="34">
        <f>[2]Sheet1!$AE$30</f>
        <v>19.558598792240634</v>
      </c>
      <c r="M22" s="9">
        <f>'Otemachi Daily'!L25</f>
        <v>138</v>
      </c>
      <c r="N22" s="34">
        <v>741</v>
      </c>
      <c r="O22" s="9">
        <f>'Otemachi Daily'!M25</f>
        <v>90</v>
      </c>
      <c r="P22" s="9">
        <f>'Otemachi Daily'!N25</f>
        <v>150</v>
      </c>
    </row>
    <row r="23" spans="1:16" ht="17">
      <c r="A23" s="6" t="s">
        <v>22</v>
      </c>
      <c r="B23" s="7">
        <f t="shared" si="0"/>
        <v>22</v>
      </c>
      <c r="C23" s="8">
        <v>7</v>
      </c>
      <c r="D23" s="7">
        <v>2022</v>
      </c>
      <c r="E23" s="9">
        <f>'Otemachi Daily'!D26</f>
        <v>16764</v>
      </c>
      <c r="F23" s="34">
        <f>[1]見込!$G$3</f>
        <v>29.86</v>
      </c>
      <c r="G23" s="9">
        <f>'Otemachi Daily'!F26</f>
        <v>175.8</v>
      </c>
      <c r="H23" s="34">
        <f>[1]見込!$M$23</f>
        <v>146.95053925745586</v>
      </c>
      <c r="I23" s="9">
        <f>'Otemachi Daily'!H26</f>
        <v>32829.570599999999</v>
      </c>
      <c r="J23" s="34">
        <f>[2]Sheet1!$V$30</f>
        <v>38.853099644041329</v>
      </c>
      <c r="K23" s="9">
        <f>'Otemachi Daily'!J26</f>
        <v>6208.2466199999999</v>
      </c>
      <c r="L23" s="34">
        <f>[2]Sheet1!$AE$30</f>
        <v>19.558598792240634</v>
      </c>
      <c r="M23" s="9">
        <f>'Otemachi Daily'!L26</f>
        <v>143</v>
      </c>
      <c r="N23" s="34">
        <v>741</v>
      </c>
      <c r="O23" s="9">
        <f>'Otemachi Daily'!M26</f>
        <v>99</v>
      </c>
      <c r="P23" s="9">
        <f>'Otemachi Daily'!N26</f>
        <v>187</v>
      </c>
    </row>
    <row r="24" spans="1:16" ht="17">
      <c r="A24" s="6" t="s">
        <v>22</v>
      </c>
      <c r="B24" s="7">
        <f t="shared" si="0"/>
        <v>23</v>
      </c>
      <c r="C24" s="8">
        <v>7</v>
      </c>
      <c r="D24" s="7">
        <v>2022</v>
      </c>
      <c r="E24" s="9">
        <f>'Otemachi Daily'!D27</f>
        <v>16811</v>
      </c>
      <c r="F24" s="34">
        <f>[1]見込!$G$3</f>
        <v>29.86</v>
      </c>
      <c r="G24" s="9">
        <f>'Otemachi Daily'!F27</f>
        <v>169</v>
      </c>
      <c r="H24" s="34">
        <f>[1]見込!$M$23</f>
        <v>146.95053925745586</v>
      </c>
      <c r="I24" s="9">
        <f>'Otemachi Daily'!H27</f>
        <v>30456.602999999999</v>
      </c>
      <c r="J24" s="34">
        <f>[2]Sheet1!$V$30</f>
        <v>38.853099644041329</v>
      </c>
      <c r="K24" s="9">
        <f>'Otemachi Daily'!J27</f>
        <v>6366.0648000000001</v>
      </c>
      <c r="L24" s="34">
        <f>[2]Sheet1!$AE$30</f>
        <v>19.558598792240634</v>
      </c>
      <c r="M24" s="9">
        <f>'Otemachi Daily'!L27</f>
        <v>168</v>
      </c>
      <c r="N24" s="34">
        <v>741</v>
      </c>
      <c r="O24" s="9">
        <f>'Otemachi Daily'!M27</f>
        <v>145</v>
      </c>
      <c r="P24" s="9">
        <f>'Otemachi Daily'!N27</f>
        <v>292</v>
      </c>
    </row>
    <row r="25" spans="1:16" ht="17">
      <c r="A25" s="6" t="s">
        <v>22</v>
      </c>
      <c r="B25" s="7">
        <f t="shared" si="0"/>
        <v>24</v>
      </c>
      <c r="C25" s="8">
        <v>7</v>
      </c>
      <c r="D25" s="7">
        <v>2022</v>
      </c>
      <c r="E25" s="9">
        <f>'Otemachi Daily'!D28</f>
        <v>16440</v>
      </c>
      <c r="F25" s="34">
        <f>[1]見込!$G$3</f>
        <v>29.86</v>
      </c>
      <c r="G25" s="9">
        <f>'Otemachi Daily'!F28</f>
        <v>157.19999999999999</v>
      </c>
      <c r="H25" s="34">
        <f>[1]見込!$M$23</f>
        <v>146.95053925745586</v>
      </c>
      <c r="I25" s="9">
        <f>'Otemachi Daily'!H28</f>
        <v>28852.307999999997</v>
      </c>
      <c r="J25" s="34">
        <f>[2]Sheet1!$V$30</f>
        <v>38.853099644041329</v>
      </c>
      <c r="K25" s="9">
        <f>'Otemachi Daily'!J28</f>
        <v>7267.5535799999998</v>
      </c>
      <c r="L25" s="34">
        <f>[2]Sheet1!$AE$30</f>
        <v>19.558598792240634</v>
      </c>
      <c r="M25" s="9">
        <f>'Otemachi Daily'!L28</f>
        <v>179</v>
      </c>
      <c r="N25" s="34">
        <v>741</v>
      </c>
      <c r="O25" s="9">
        <f>'Otemachi Daily'!M28</f>
        <v>102</v>
      </c>
      <c r="P25" s="9">
        <f>'Otemachi Daily'!N28</f>
        <v>166</v>
      </c>
    </row>
    <row r="26" spans="1:16" ht="17">
      <c r="A26" s="6" t="s">
        <v>22</v>
      </c>
      <c r="B26" s="7">
        <f>B25+1</f>
        <v>25</v>
      </c>
      <c r="C26" s="8">
        <v>7</v>
      </c>
      <c r="D26" s="7">
        <v>2022</v>
      </c>
      <c r="E26" s="9">
        <f>'Otemachi Daily'!D29</f>
        <v>16305</v>
      </c>
      <c r="F26" s="34">
        <f>[1]見込!$G$3</f>
        <v>29.86</v>
      </c>
      <c r="G26" s="9">
        <f>'Otemachi Daily'!F29</f>
        <v>151</v>
      </c>
      <c r="H26" s="34">
        <f>[1]見込!$M$23</f>
        <v>146.95053925745586</v>
      </c>
      <c r="I26" s="9">
        <f>'Otemachi Daily'!H29</f>
        <v>32121.4584</v>
      </c>
      <c r="J26" s="34">
        <f>[2]Sheet1!$V$30</f>
        <v>38.853099644041329</v>
      </c>
      <c r="K26" s="9">
        <f>'Otemachi Daily'!J29</f>
        <v>6278.0021999999999</v>
      </c>
      <c r="L26" s="34">
        <f>[2]Sheet1!$AE$30</f>
        <v>19.558598792240634</v>
      </c>
      <c r="M26" s="9">
        <f>'Otemachi Daily'!L29</f>
        <v>151</v>
      </c>
      <c r="N26" s="34">
        <v>741</v>
      </c>
      <c r="O26" s="9">
        <f>'Otemachi Daily'!M29</f>
        <v>91</v>
      </c>
      <c r="P26" s="9">
        <f>'Otemachi Daily'!N29</f>
        <v>138</v>
      </c>
    </row>
    <row r="27" spans="1:16" ht="17">
      <c r="A27" s="6" t="s">
        <v>22</v>
      </c>
      <c r="B27" s="7">
        <f t="shared" si="0"/>
        <v>26</v>
      </c>
      <c r="C27" s="8">
        <v>7</v>
      </c>
      <c r="D27" s="7">
        <v>2022</v>
      </c>
      <c r="E27" s="9">
        <f>'Otemachi Daily'!D30</f>
        <v>16183</v>
      </c>
      <c r="F27" s="34">
        <f>[1]見込!$G$3</f>
        <v>29.86</v>
      </c>
      <c r="G27" s="9">
        <f>'Otemachi Daily'!F30</f>
        <v>167.3</v>
      </c>
      <c r="H27" s="34">
        <f>[1]見込!$M$23</f>
        <v>146.95053925745586</v>
      </c>
      <c r="I27" s="9">
        <f>'Otemachi Daily'!H30</f>
        <v>30416.321999999996</v>
      </c>
      <c r="J27" s="34">
        <f>[2]Sheet1!$V$30</f>
        <v>38.853099644041329</v>
      </c>
      <c r="K27" s="9">
        <f>'Otemachi Daily'!J30</f>
        <v>5804.6865600000001</v>
      </c>
      <c r="L27" s="34">
        <f>[2]Sheet1!$AE$30</f>
        <v>19.558598792240634</v>
      </c>
      <c r="M27" s="9">
        <f>'Otemachi Daily'!L30</f>
        <v>150</v>
      </c>
      <c r="N27" s="34">
        <v>741</v>
      </c>
      <c r="O27" s="9">
        <f>'Otemachi Daily'!M30</f>
        <v>102</v>
      </c>
      <c r="P27" s="9">
        <f>'Otemachi Daily'!N30</f>
        <v>160</v>
      </c>
    </row>
    <row r="28" spans="1:16" ht="17">
      <c r="A28" s="6" t="s">
        <v>22</v>
      </c>
      <c r="B28" s="7">
        <f t="shared" si="0"/>
        <v>27</v>
      </c>
      <c r="C28" s="8">
        <v>7</v>
      </c>
      <c r="D28" s="7">
        <v>2022</v>
      </c>
      <c r="E28" s="9">
        <f>'Otemachi Daily'!D31</f>
        <v>16456</v>
      </c>
      <c r="F28" s="34">
        <f>[1]見込!$G$3</f>
        <v>29.86</v>
      </c>
      <c r="G28" s="9">
        <f>'Otemachi Daily'!F31</f>
        <v>162.19999999999999</v>
      </c>
      <c r="H28" s="34">
        <f>[1]見込!$M$23</f>
        <v>146.95053925745586</v>
      </c>
      <c r="I28" s="9">
        <f>'Otemachi Daily'!H31</f>
        <v>33179.876400000001</v>
      </c>
      <c r="J28" s="34">
        <f>[2]Sheet1!$V$30</f>
        <v>38.853099644041329</v>
      </c>
      <c r="K28" s="9">
        <f>'Otemachi Daily'!J31</f>
        <v>6291.58662</v>
      </c>
      <c r="L28" s="34">
        <f>[2]Sheet1!$AE$30</f>
        <v>19.558598792240634</v>
      </c>
      <c r="M28" s="9">
        <f>'Otemachi Daily'!L31</f>
        <v>132</v>
      </c>
      <c r="N28" s="34">
        <v>741</v>
      </c>
      <c r="O28" s="9">
        <f>'Otemachi Daily'!M31</f>
        <v>110</v>
      </c>
      <c r="P28" s="9">
        <f>'Otemachi Daily'!N31</f>
        <v>177</v>
      </c>
    </row>
    <row r="29" spans="1:16" ht="17">
      <c r="A29" s="6" t="s">
        <v>22</v>
      </c>
      <c r="B29" s="7">
        <f t="shared" si="0"/>
        <v>28</v>
      </c>
      <c r="C29" s="8">
        <v>7</v>
      </c>
      <c r="D29" s="7">
        <v>2022</v>
      </c>
      <c r="E29" s="9">
        <f>'Otemachi Daily'!D32</f>
        <v>16435</v>
      </c>
      <c r="F29" s="34">
        <f>[1]見込!$G$3</f>
        <v>29.86</v>
      </c>
      <c r="G29" s="9">
        <f>'Otemachi Daily'!F32</f>
        <v>181.8</v>
      </c>
      <c r="H29" s="34">
        <f>[1]見込!$M$23</f>
        <v>146.95053925745586</v>
      </c>
      <c r="I29" s="9">
        <f>'Otemachi Daily'!H32</f>
        <v>32278.970999999998</v>
      </c>
      <c r="J29" s="34">
        <f>[2]Sheet1!$V$30</f>
        <v>38.853099644041329</v>
      </c>
      <c r="K29" s="9">
        <f>'Otemachi Daily'!J32</f>
        <v>5984.7843000000003</v>
      </c>
      <c r="L29" s="34">
        <f>[2]Sheet1!$AE$30</f>
        <v>19.558598792240634</v>
      </c>
      <c r="M29" s="9">
        <f>'Otemachi Daily'!L32</f>
        <v>157</v>
      </c>
      <c r="N29" s="34">
        <v>741</v>
      </c>
      <c r="O29" s="9">
        <f>'Otemachi Daily'!M32</f>
        <v>110</v>
      </c>
      <c r="P29" s="9">
        <f>'Otemachi Daily'!N32</f>
        <v>171</v>
      </c>
    </row>
    <row r="30" spans="1:16" ht="17">
      <c r="A30" s="6" t="s">
        <v>22</v>
      </c>
      <c r="B30" s="7">
        <f t="shared" si="0"/>
        <v>29</v>
      </c>
      <c r="C30" s="8">
        <v>7</v>
      </c>
      <c r="D30" s="7">
        <v>2022</v>
      </c>
      <c r="E30" s="9">
        <f>'Otemachi Daily'!D33</f>
        <v>16932</v>
      </c>
      <c r="F30" s="34">
        <f>[1]見込!$G$3</f>
        <v>29.86</v>
      </c>
      <c r="G30" s="9">
        <f>'Otemachi Daily'!F33</f>
        <v>174</v>
      </c>
      <c r="H30" s="34">
        <f>[1]見込!$M$23</f>
        <v>146.95053925745586</v>
      </c>
      <c r="I30" s="9">
        <f>'Otemachi Daily'!H33</f>
        <v>33563.796000000002</v>
      </c>
      <c r="J30" s="34">
        <f>[2]Sheet1!$V$30</f>
        <v>38.853099644041329</v>
      </c>
      <c r="K30" s="9">
        <f>'Otemachi Daily'!J33</f>
        <v>6292.1422199999997</v>
      </c>
      <c r="L30" s="34">
        <f>[2]Sheet1!$AE$30</f>
        <v>19.558598792240634</v>
      </c>
      <c r="M30" s="9">
        <f>'Otemachi Daily'!L33</f>
        <v>151</v>
      </c>
      <c r="N30" s="34">
        <v>741</v>
      </c>
      <c r="O30" s="9">
        <f>'Otemachi Daily'!M33</f>
        <v>126</v>
      </c>
      <c r="P30" s="9">
        <f>'Otemachi Daily'!N33</f>
        <v>241</v>
      </c>
    </row>
    <row r="31" spans="1:16" ht="17">
      <c r="A31" s="6" t="s">
        <v>22</v>
      </c>
      <c r="B31" s="7">
        <f t="shared" si="0"/>
        <v>30</v>
      </c>
      <c r="C31" s="8">
        <v>7</v>
      </c>
      <c r="D31" s="7">
        <v>2022</v>
      </c>
      <c r="E31" s="9">
        <f>'Otemachi Daily'!D34</f>
        <v>17423</v>
      </c>
      <c r="F31" s="34">
        <f>[1]見込!$G$3</f>
        <v>29.86</v>
      </c>
      <c r="G31" s="9">
        <f>'Otemachi Daily'!F34</f>
        <v>196</v>
      </c>
      <c r="H31" s="34">
        <f>[1]見込!$M$23</f>
        <v>146.95053925745586</v>
      </c>
      <c r="I31" s="9">
        <f>'Otemachi Daily'!H34</f>
        <v>38390.015400000004</v>
      </c>
      <c r="J31" s="34">
        <f>[2]Sheet1!$V$30</f>
        <v>38.853099644041329</v>
      </c>
      <c r="K31" s="9">
        <f>'Otemachi Daily'!J34</f>
        <v>6828.5184600000002</v>
      </c>
      <c r="L31" s="34">
        <f>[2]Sheet1!$AE$30</f>
        <v>19.558598792240634</v>
      </c>
      <c r="M31" s="9">
        <f>'Otemachi Daily'!L34</f>
        <v>202</v>
      </c>
      <c r="N31" s="34">
        <v>741</v>
      </c>
      <c r="O31" s="9">
        <f>'Otemachi Daily'!M34</f>
        <v>148</v>
      </c>
      <c r="P31" s="9">
        <f>'Otemachi Daily'!N34</f>
        <v>289</v>
      </c>
    </row>
    <row r="32" spans="1:16" ht="17">
      <c r="A32" s="6" t="s">
        <v>22</v>
      </c>
      <c r="B32" s="7">
        <f t="shared" si="0"/>
        <v>31</v>
      </c>
      <c r="C32" s="8">
        <v>7</v>
      </c>
      <c r="D32" s="7">
        <v>2022</v>
      </c>
      <c r="E32" s="9">
        <f>'Otemachi Daily'!D35</f>
        <v>16958</v>
      </c>
      <c r="F32" s="34">
        <f>[1]見込!$G$3</f>
        <v>29.86</v>
      </c>
      <c r="G32" s="9">
        <f>'Otemachi Daily'!F35</f>
        <v>170.7</v>
      </c>
      <c r="H32" s="34">
        <f>[1]見込!$M$23</f>
        <v>146.95053925745586</v>
      </c>
      <c r="I32" s="9">
        <f>'Otemachi Daily'!H35</f>
        <v>38427.240600000005</v>
      </c>
      <c r="J32" s="34">
        <f>[2]Sheet1!$V$30</f>
        <v>38.853099644041329</v>
      </c>
      <c r="K32" s="9">
        <f>'Otemachi Daily'!J35</f>
        <v>6375.8155800000004</v>
      </c>
      <c r="L32" s="34">
        <f>[2]Sheet1!$AE$30</f>
        <v>19.558598792240634</v>
      </c>
      <c r="M32" s="9">
        <f>'Otemachi Daily'!L35</f>
        <v>177</v>
      </c>
      <c r="N32" s="34">
        <v>741</v>
      </c>
      <c r="O32" s="9">
        <f>'Otemachi Daily'!M35</f>
        <v>100</v>
      </c>
      <c r="P32" s="9">
        <f>'Otemachi Daily'!N35</f>
        <v>181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zoomScale="80" zoomScaleNormal="80" zoomScalePageLayoutView="80" workbookViewId="0">
      <pane xSplit="1" topLeftCell="B1" activePane="topRight" state="frozen"/>
      <selection pane="topRight" activeCell="R8" sqref="R8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44743</v>
      </c>
      <c r="B5" s="39"/>
      <c r="C5" s="35"/>
      <c r="D5" s="35">
        <v>16351</v>
      </c>
      <c r="E5" s="35"/>
      <c r="F5" s="35">
        <v>173.1</v>
      </c>
      <c r="G5" s="35"/>
      <c r="H5" s="35">
        <v>31961.445599999999</v>
      </c>
      <c r="I5" s="35"/>
      <c r="J5" s="35">
        <v>6281.6135999999997</v>
      </c>
      <c r="K5" s="35"/>
      <c r="L5" s="35">
        <v>147</v>
      </c>
      <c r="M5" s="35">
        <v>88</v>
      </c>
      <c r="N5" s="35">
        <v>155</v>
      </c>
      <c r="O5" s="26"/>
      <c r="P5" s="37"/>
      <c r="Q5" s="37"/>
    </row>
    <row r="6" spans="1:17" ht="45" customHeight="1">
      <c r="A6" s="28">
        <v>44744</v>
      </c>
      <c r="B6" s="39"/>
      <c r="C6" s="35"/>
      <c r="D6" s="35">
        <v>17023</v>
      </c>
      <c r="E6" s="35"/>
      <c r="F6" s="35">
        <v>178.3</v>
      </c>
      <c r="G6" s="35"/>
      <c r="H6" s="35">
        <v>34156.065599999994</v>
      </c>
      <c r="I6" s="35"/>
      <c r="J6" s="35">
        <v>6574.4981400000006</v>
      </c>
      <c r="K6" s="35"/>
      <c r="L6" s="35">
        <v>172</v>
      </c>
      <c r="M6" s="35">
        <v>158</v>
      </c>
      <c r="N6" s="35">
        <v>300</v>
      </c>
      <c r="O6" s="26"/>
      <c r="P6" s="37"/>
      <c r="Q6" s="37"/>
    </row>
    <row r="7" spans="1:17" ht="45" customHeight="1">
      <c r="A7" s="28">
        <v>44745</v>
      </c>
      <c r="B7" s="39"/>
      <c r="C7" s="35"/>
      <c r="D7" s="35">
        <v>16581</v>
      </c>
      <c r="E7" s="35"/>
      <c r="F7" s="35">
        <v>170.3</v>
      </c>
      <c r="G7" s="35"/>
      <c r="H7" s="35">
        <v>31707.536399999997</v>
      </c>
      <c r="I7" s="35"/>
      <c r="J7" s="35">
        <v>7283.1937200000002</v>
      </c>
      <c r="K7" s="35"/>
      <c r="L7" s="35">
        <v>186</v>
      </c>
      <c r="M7" s="35">
        <v>72</v>
      </c>
      <c r="N7" s="35">
        <v>130</v>
      </c>
      <c r="P7" s="37"/>
      <c r="Q7" s="37"/>
    </row>
    <row r="8" spans="1:17" ht="45" customHeight="1">
      <c r="A8" s="28">
        <v>44746</v>
      </c>
      <c r="B8" s="39"/>
      <c r="C8" s="35"/>
      <c r="D8" s="35">
        <v>15813</v>
      </c>
      <c r="E8" s="35"/>
      <c r="F8" s="35">
        <v>166.4</v>
      </c>
      <c r="G8" s="35"/>
      <c r="H8" s="35">
        <v>22994.061599999997</v>
      </c>
      <c r="I8" s="35"/>
      <c r="J8" s="35">
        <v>5775.5175600000002</v>
      </c>
      <c r="K8" s="35"/>
      <c r="L8" s="35">
        <v>135</v>
      </c>
      <c r="M8" s="35">
        <v>66</v>
      </c>
      <c r="N8" s="35">
        <v>118</v>
      </c>
      <c r="P8" s="37"/>
      <c r="Q8" s="37"/>
    </row>
    <row r="9" spans="1:17" ht="45" customHeight="1">
      <c r="A9" s="28">
        <v>44747</v>
      </c>
      <c r="B9" s="39"/>
      <c r="C9" s="35"/>
      <c r="D9" s="35">
        <v>15975</v>
      </c>
      <c r="E9" s="35"/>
      <c r="F9" s="35">
        <v>163.19999999999999</v>
      </c>
      <c r="G9" s="35"/>
      <c r="H9" s="35">
        <v>22648.7562</v>
      </c>
      <c r="I9" s="35"/>
      <c r="J9" s="35">
        <v>6208.2466199999999</v>
      </c>
      <c r="K9" s="35"/>
      <c r="L9" s="35">
        <v>124</v>
      </c>
      <c r="M9" s="35">
        <v>64</v>
      </c>
      <c r="N9" s="35">
        <v>116</v>
      </c>
      <c r="P9" s="37"/>
      <c r="Q9" s="37"/>
    </row>
    <row r="10" spans="1:17" ht="45" customHeight="1">
      <c r="A10" s="28">
        <v>44748</v>
      </c>
      <c r="B10" s="39"/>
      <c r="C10" s="35"/>
      <c r="D10" s="35">
        <v>16343</v>
      </c>
      <c r="E10" s="35"/>
      <c r="F10" s="35">
        <v>193.6</v>
      </c>
      <c r="G10" s="35"/>
      <c r="H10" s="35">
        <v>22560.971399999999</v>
      </c>
      <c r="I10" s="35"/>
      <c r="J10" s="35">
        <v>6137.26872</v>
      </c>
      <c r="K10" s="35"/>
      <c r="L10" s="35">
        <v>124</v>
      </c>
      <c r="M10" s="35">
        <v>72</v>
      </c>
      <c r="N10" s="35">
        <v>123</v>
      </c>
      <c r="P10" s="37"/>
      <c r="Q10" s="37"/>
    </row>
    <row r="11" spans="1:17" ht="45" customHeight="1">
      <c r="A11" s="28">
        <v>44749</v>
      </c>
      <c r="B11" s="39"/>
      <c r="C11" s="35"/>
      <c r="D11" s="35">
        <v>15965</v>
      </c>
      <c r="E11" s="35"/>
      <c r="F11" s="35">
        <v>167.3</v>
      </c>
      <c r="G11" s="35"/>
      <c r="H11" s="35">
        <v>19591.567199999998</v>
      </c>
      <c r="I11" s="35"/>
      <c r="J11" s="35">
        <v>6695.5911599999999</v>
      </c>
      <c r="K11" s="35"/>
      <c r="L11" s="35">
        <v>151</v>
      </c>
      <c r="M11" s="35">
        <v>84</v>
      </c>
      <c r="N11" s="35">
        <v>137</v>
      </c>
      <c r="P11" s="37"/>
      <c r="Q11" s="37"/>
    </row>
    <row r="12" spans="1:17" ht="45" customHeight="1">
      <c r="A12" s="28">
        <v>44750</v>
      </c>
      <c r="B12" s="39"/>
      <c r="C12" s="35"/>
      <c r="D12" s="35">
        <v>16443</v>
      </c>
      <c r="E12" s="35"/>
      <c r="F12" s="35">
        <v>170.1</v>
      </c>
      <c r="G12" s="35"/>
      <c r="H12" s="35">
        <v>19686.852599999998</v>
      </c>
      <c r="I12" s="35"/>
      <c r="J12" s="35">
        <v>7020.20046</v>
      </c>
      <c r="K12" s="35"/>
      <c r="L12" s="35">
        <v>148</v>
      </c>
      <c r="M12" s="35">
        <v>122</v>
      </c>
      <c r="N12" s="35">
        <v>232</v>
      </c>
      <c r="P12" s="37"/>
      <c r="Q12" s="37"/>
    </row>
    <row r="13" spans="1:17" ht="45" customHeight="1">
      <c r="A13" s="28">
        <v>44751</v>
      </c>
      <c r="B13" s="39"/>
      <c r="C13" s="35"/>
      <c r="D13" s="35">
        <v>17060</v>
      </c>
      <c r="E13" s="35"/>
      <c r="F13" s="35">
        <v>177</v>
      </c>
      <c r="G13" s="35"/>
      <c r="H13" s="35">
        <v>23801.070599999999</v>
      </c>
      <c r="I13" s="35"/>
      <c r="J13" s="35">
        <v>7030.5068400000009</v>
      </c>
      <c r="K13" s="35"/>
      <c r="L13" s="35">
        <v>210</v>
      </c>
      <c r="M13" s="35">
        <v>165</v>
      </c>
      <c r="N13" s="35">
        <v>349</v>
      </c>
      <c r="P13" s="37"/>
      <c r="Q13" s="37"/>
    </row>
    <row r="14" spans="1:17" ht="45" customHeight="1">
      <c r="A14" s="28">
        <v>44752</v>
      </c>
      <c r="B14" s="39"/>
      <c r="C14" s="35"/>
      <c r="D14" s="35">
        <v>16697</v>
      </c>
      <c r="E14" s="35"/>
      <c r="F14" s="35">
        <v>163.69999999999999</v>
      </c>
      <c r="G14" s="35"/>
      <c r="H14" s="35">
        <v>26853.259199999997</v>
      </c>
      <c r="I14" s="35"/>
      <c r="J14" s="35">
        <v>7672.5026400000006</v>
      </c>
      <c r="K14" s="35"/>
      <c r="L14" s="35">
        <v>189</v>
      </c>
      <c r="M14" s="35">
        <v>116</v>
      </c>
      <c r="N14" s="35">
        <v>183</v>
      </c>
      <c r="P14" s="37"/>
      <c r="Q14" s="37"/>
    </row>
    <row r="15" spans="1:17" ht="45" customHeight="1">
      <c r="A15" s="28">
        <v>44753</v>
      </c>
      <c r="B15" s="39"/>
      <c r="C15" s="35"/>
      <c r="D15" s="35">
        <v>16509</v>
      </c>
      <c r="E15" s="35"/>
      <c r="F15" s="35">
        <v>170.5</v>
      </c>
      <c r="G15" s="35"/>
      <c r="H15" s="35">
        <v>28885.088399999997</v>
      </c>
      <c r="I15" s="35"/>
      <c r="J15" s="35">
        <v>6166.2710399999996</v>
      </c>
      <c r="K15" s="35"/>
      <c r="L15" s="35">
        <v>138</v>
      </c>
      <c r="M15" s="35">
        <v>107</v>
      </c>
      <c r="N15" s="35">
        <v>165</v>
      </c>
      <c r="P15" s="37"/>
      <c r="Q15" s="37"/>
    </row>
    <row r="16" spans="1:17" ht="45" customHeight="1">
      <c r="A16" s="28">
        <v>44754</v>
      </c>
      <c r="B16" s="39"/>
      <c r="C16" s="35"/>
      <c r="D16" s="35">
        <v>16251</v>
      </c>
      <c r="E16" s="35"/>
      <c r="F16" s="35">
        <v>166.2</v>
      </c>
      <c r="G16" s="35"/>
      <c r="H16" s="35">
        <v>23438.263799999997</v>
      </c>
      <c r="I16" s="35"/>
      <c r="J16" s="35">
        <v>6124.85106</v>
      </c>
      <c r="K16" s="35"/>
      <c r="L16" s="35">
        <v>139</v>
      </c>
      <c r="M16" s="35">
        <v>99</v>
      </c>
      <c r="N16" s="35">
        <v>150</v>
      </c>
      <c r="P16" s="37"/>
      <c r="Q16" s="37"/>
    </row>
    <row r="17" spans="1:26" ht="45" customHeight="1">
      <c r="A17" s="28">
        <v>44755</v>
      </c>
      <c r="B17" s="39"/>
      <c r="C17" s="35"/>
      <c r="D17" s="35">
        <v>16005</v>
      </c>
      <c r="E17" s="35"/>
      <c r="F17" s="35">
        <v>143.4</v>
      </c>
      <c r="G17" s="35"/>
      <c r="H17" s="35">
        <v>20091.051599999999</v>
      </c>
      <c r="I17" s="35"/>
      <c r="J17" s="35">
        <v>6722.4266399999997</v>
      </c>
      <c r="K17" s="35"/>
      <c r="L17" s="35">
        <v>125</v>
      </c>
      <c r="M17" s="35">
        <v>87</v>
      </c>
      <c r="N17" s="35">
        <v>133</v>
      </c>
      <c r="P17" s="37"/>
      <c r="Q17" s="37"/>
    </row>
    <row r="18" spans="1:26" ht="45" customHeight="1">
      <c r="A18" s="28">
        <v>44756</v>
      </c>
      <c r="B18" s="39"/>
      <c r="C18" s="35"/>
      <c r="D18" s="35">
        <v>16089</v>
      </c>
      <c r="E18" s="35"/>
      <c r="F18" s="35">
        <v>168.8</v>
      </c>
      <c r="G18" s="35"/>
      <c r="H18" s="35">
        <v>18732.6096</v>
      </c>
      <c r="I18" s="35"/>
      <c r="J18" s="35">
        <v>6889.7733600000001</v>
      </c>
      <c r="K18" s="35"/>
      <c r="L18" s="35">
        <v>138</v>
      </c>
      <c r="M18" s="35">
        <v>99</v>
      </c>
      <c r="N18" s="35">
        <v>158</v>
      </c>
      <c r="P18" s="37"/>
      <c r="Q18" s="37"/>
      <c r="Z18" s="36"/>
    </row>
    <row r="19" spans="1:26" ht="45" customHeight="1">
      <c r="A19" s="28">
        <v>44757</v>
      </c>
      <c r="B19" s="39"/>
      <c r="C19" s="35"/>
      <c r="D19" s="35">
        <v>16153</v>
      </c>
      <c r="E19" s="35"/>
      <c r="F19" s="35">
        <v>173.5</v>
      </c>
      <c r="G19" s="35"/>
      <c r="H19" s="35">
        <v>20109.941999999999</v>
      </c>
      <c r="I19" s="35"/>
      <c r="J19" s="35">
        <v>6711.6757800000005</v>
      </c>
      <c r="K19" s="35"/>
      <c r="L19" s="35">
        <v>141</v>
      </c>
      <c r="M19" s="35">
        <v>114</v>
      </c>
      <c r="N19" s="35">
        <v>234</v>
      </c>
      <c r="P19" s="37"/>
      <c r="Q19" s="37"/>
    </row>
    <row r="20" spans="1:26" ht="45" customHeight="1">
      <c r="A20" s="28">
        <v>44758</v>
      </c>
      <c r="B20" s="39"/>
      <c r="C20" s="35"/>
      <c r="D20" s="35">
        <v>16851</v>
      </c>
      <c r="E20" s="35"/>
      <c r="F20" s="35">
        <v>178.3</v>
      </c>
      <c r="G20" s="35"/>
      <c r="H20" s="35">
        <v>20674.4316</v>
      </c>
      <c r="I20" s="35"/>
      <c r="J20" s="35">
        <v>7810.9581600000001</v>
      </c>
      <c r="K20" s="35"/>
      <c r="L20" s="35">
        <v>186</v>
      </c>
      <c r="M20" s="35">
        <v>155</v>
      </c>
      <c r="N20" s="35">
        <v>339</v>
      </c>
      <c r="P20" s="37"/>
      <c r="Q20" s="37"/>
    </row>
    <row r="21" spans="1:26" ht="45" customHeight="1">
      <c r="A21" s="28">
        <v>44759</v>
      </c>
      <c r="B21" s="39"/>
      <c r="C21" s="35"/>
      <c r="D21" s="35">
        <v>17068</v>
      </c>
      <c r="E21" s="35"/>
      <c r="F21" s="35">
        <v>176.8</v>
      </c>
      <c r="G21" s="35"/>
      <c r="H21" s="35">
        <v>25979.300399999996</v>
      </c>
      <c r="I21" s="35"/>
      <c r="J21" s="35">
        <v>8680.6388400000014</v>
      </c>
      <c r="K21" s="35"/>
      <c r="L21" s="35">
        <v>209</v>
      </c>
      <c r="M21" s="35">
        <v>143</v>
      </c>
      <c r="N21" s="35">
        <v>275</v>
      </c>
      <c r="P21" s="37"/>
      <c r="Q21" s="37"/>
    </row>
    <row r="22" spans="1:26" ht="45" customHeight="1">
      <c r="A22" s="28">
        <v>44760</v>
      </c>
      <c r="B22" s="39"/>
      <c r="C22" s="35"/>
      <c r="D22" s="35">
        <v>16787</v>
      </c>
      <c r="E22" s="35"/>
      <c r="F22" s="35">
        <v>168</v>
      </c>
      <c r="G22" s="35"/>
      <c r="H22" s="35">
        <v>28690.906199999998</v>
      </c>
      <c r="I22" s="35"/>
      <c r="J22" s="35">
        <v>6974.9468400000005</v>
      </c>
      <c r="K22" s="35"/>
      <c r="L22" s="35">
        <v>175</v>
      </c>
      <c r="M22" s="35">
        <v>92</v>
      </c>
      <c r="N22" s="35">
        <v>170</v>
      </c>
      <c r="P22" s="37"/>
      <c r="Q22" s="37"/>
    </row>
    <row r="23" spans="1:26" ht="45" customHeight="1">
      <c r="A23" s="28">
        <v>44761</v>
      </c>
      <c r="B23" s="39"/>
      <c r="C23" s="35"/>
      <c r="D23" s="35">
        <v>16035</v>
      </c>
      <c r="E23" s="35"/>
      <c r="F23" s="35">
        <v>155.5</v>
      </c>
      <c r="G23" s="35"/>
      <c r="H23" s="35">
        <v>27607.763999999999</v>
      </c>
      <c r="I23" s="35"/>
      <c r="J23" s="35">
        <v>6461.655780000001</v>
      </c>
      <c r="K23" s="35"/>
      <c r="L23" s="35">
        <v>140</v>
      </c>
      <c r="M23" s="35">
        <v>84</v>
      </c>
      <c r="N23" s="35">
        <v>152</v>
      </c>
      <c r="P23" s="37"/>
      <c r="Q23" s="37"/>
    </row>
    <row r="24" spans="1:26" ht="45" customHeight="1">
      <c r="A24" s="28">
        <v>44762</v>
      </c>
      <c r="B24" s="39"/>
      <c r="C24" s="35"/>
      <c r="D24" s="35">
        <v>15781</v>
      </c>
      <c r="E24" s="35"/>
      <c r="F24" s="35">
        <v>161.6</v>
      </c>
      <c r="G24" s="35"/>
      <c r="H24" s="35">
        <v>27190.508399999999</v>
      </c>
      <c r="I24" s="35"/>
      <c r="J24" s="35">
        <v>6305.7821999999996</v>
      </c>
      <c r="K24" s="35"/>
      <c r="L24" s="35">
        <v>125</v>
      </c>
      <c r="M24" s="35">
        <v>85</v>
      </c>
      <c r="N24" s="35">
        <v>136</v>
      </c>
      <c r="P24" s="37"/>
      <c r="Q24" s="37"/>
    </row>
    <row r="25" spans="1:26" ht="45" customHeight="1">
      <c r="A25" s="28">
        <v>44763</v>
      </c>
      <c r="B25" s="39"/>
      <c r="C25" s="35"/>
      <c r="D25" s="35">
        <v>16105</v>
      </c>
      <c r="E25" s="35"/>
      <c r="F25" s="35">
        <v>167</v>
      </c>
      <c r="G25" s="35"/>
      <c r="H25" s="35">
        <v>27971.681999999997</v>
      </c>
      <c r="I25" s="35"/>
      <c r="J25" s="35">
        <v>6018.6759000000002</v>
      </c>
      <c r="K25" s="35"/>
      <c r="L25" s="35">
        <v>138</v>
      </c>
      <c r="M25" s="35">
        <v>90</v>
      </c>
      <c r="N25" s="35">
        <v>150</v>
      </c>
      <c r="P25" s="37"/>
      <c r="Q25" s="37"/>
    </row>
    <row r="26" spans="1:26" ht="45" customHeight="1">
      <c r="A26" s="28">
        <v>44764</v>
      </c>
      <c r="B26" s="39"/>
      <c r="C26" s="35"/>
      <c r="D26" s="35">
        <v>16764</v>
      </c>
      <c r="E26" s="35"/>
      <c r="F26" s="35">
        <v>175.8</v>
      </c>
      <c r="G26" s="35"/>
      <c r="H26" s="35">
        <v>32829.570599999999</v>
      </c>
      <c r="I26" s="35"/>
      <c r="J26" s="35">
        <v>6208.2466199999999</v>
      </c>
      <c r="K26" s="35"/>
      <c r="L26" s="35">
        <v>143</v>
      </c>
      <c r="M26" s="35">
        <v>99</v>
      </c>
      <c r="N26" s="35">
        <v>187</v>
      </c>
      <c r="P26" s="37"/>
      <c r="Q26" s="37"/>
    </row>
    <row r="27" spans="1:26" ht="45" customHeight="1">
      <c r="A27" s="28">
        <v>44765</v>
      </c>
      <c r="B27" s="39"/>
      <c r="C27" s="35"/>
      <c r="D27" s="35">
        <v>16811</v>
      </c>
      <c r="E27" s="35"/>
      <c r="F27" s="35">
        <v>169</v>
      </c>
      <c r="G27" s="35"/>
      <c r="H27" s="35">
        <v>30456.602999999999</v>
      </c>
      <c r="I27" s="35"/>
      <c r="J27" s="35">
        <v>6366.0648000000001</v>
      </c>
      <c r="K27" s="35"/>
      <c r="L27" s="35">
        <v>168</v>
      </c>
      <c r="M27" s="35">
        <v>145</v>
      </c>
      <c r="N27" s="35">
        <v>292</v>
      </c>
      <c r="P27" s="37"/>
      <c r="Q27" s="37"/>
    </row>
    <row r="28" spans="1:26" ht="45" customHeight="1">
      <c r="A28" s="28">
        <v>44766</v>
      </c>
      <c r="B28" s="39"/>
      <c r="C28" s="35"/>
      <c r="D28" s="35">
        <v>16440</v>
      </c>
      <c r="E28" s="35"/>
      <c r="F28" s="35">
        <v>157.19999999999999</v>
      </c>
      <c r="G28" s="35"/>
      <c r="H28" s="35">
        <v>28852.307999999997</v>
      </c>
      <c r="I28" s="35"/>
      <c r="J28" s="35">
        <v>7267.5535799999998</v>
      </c>
      <c r="K28" s="35"/>
      <c r="L28" s="35">
        <v>179</v>
      </c>
      <c r="M28" s="35">
        <v>102</v>
      </c>
      <c r="N28" s="35">
        <v>166</v>
      </c>
      <c r="P28" s="37"/>
      <c r="Q28" s="37"/>
    </row>
    <row r="29" spans="1:26" ht="45" customHeight="1">
      <c r="A29" s="28">
        <v>44767</v>
      </c>
      <c r="B29" s="39"/>
      <c r="C29" s="35"/>
      <c r="D29" s="35">
        <v>16305</v>
      </c>
      <c r="E29" s="35"/>
      <c r="F29" s="35">
        <v>151</v>
      </c>
      <c r="G29" s="35"/>
      <c r="H29" s="35">
        <v>32121.4584</v>
      </c>
      <c r="I29" s="35"/>
      <c r="J29" s="35">
        <v>6278.0021999999999</v>
      </c>
      <c r="K29" s="35"/>
      <c r="L29" s="35">
        <v>151</v>
      </c>
      <c r="M29" s="35">
        <v>91</v>
      </c>
      <c r="N29" s="35">
        <v>138</v>
      </c>
      <c r="P29" s="37"/>
      <c r="Q29" s="37"/>
    </row>
    <row r="30" spans="1:26" ht="45" customHeight="1">
      <c r="A30" s="28">
        <v>44768</v>
      </c>
      <c r="B30" s="39"/>
      <c r="C30" s="35"/>
      <c r="D30" s="35">
        <v>16183</v>
      </c>
      <c r="E30" s="35"/>
      <c r="F30" s="35">
        <v>167.3</v>
      </c>
      <c r="G30" s="35"/>
      <c r="H30" s="35">
        <v>30416.321999999996</v>
      </c>
      <c r="I30" s="35"/>
      <c r="J30" s="35">
        <v>5804.6865600000001</v>
      </c>
      <c r="K30" s="35"/>
      <c r="L30" s="35">
        <v>150</v>
      </c>
      <c r="M30" s="35">
        <v>102</v>
      </c>
      <c r="N30" s="35">
        <v>160</v>
      </c>
      <c r="P30" s="37"/>
      <c r="Q30" s="37"/>
    </row>
    <row r="31" spans="1:26" ht="45" customHeight="1">
      <c r="A31" s="28">
        <v>44769</v>
      </c>
      <c r="B31" s="39"/>
      <c r="C31" s="35"/>
      <c r="D31" s="35">
        <v>16456</v>
      </c>
      <c r="E31" s="35"/>
      <c r="F31" s="35">
        <v>162.19999999999999</v>
      </c>
      <c r="G31" s="35"/>
      <c r="H31" s="35">
        <v>33179.876400000001</v>
      </c>
      <c r="I31" s="35"/>
      <c r="J31" s="35">
        <v>6291.58662</v>
      </c>
      <c r="K31" s="35"/>
      <c r="L31" s="35">
        <v>132</v>
      </c>
      <c r="M31" s="35">
        <v>110</v>
      </c>
      <c r="N31" s="35">
        <v>177</v>
      </c>
      <c r="P31" s="37"/>
      <c r="Q31" s="37"/>
    </row>
    <row r="32" spans="1:26" ht="45" customHeight="1">
      <c r="A32" s="28">
        <v>44770</v>
      </c>
      <c r="B32" s="39"/>
      <c r="C32" s="35"/>
      <c r="D32" s="35">
        <v>16435</v>
      </c>
      <c r="E32" s="35"/>
      <c r="F32" s="35">
        <v>181.8</v>
      </c>
      <c r="G32" s="35"/>
      <c r="H32" s="35">
        <v>32278.970999999998</v>
      </c>
      <c r="I32" s="35"/>
      <c r="J32" s="35">
        <v>5984.7843000000003</v>
      </c>
      <c r="K32" s="35"/>
      <c r="L32" s="35">
        <v>157</v>
      </c>
      <c r="M32" s="35">
        <v>110</v>
      </c>
      <c r="N32" s="35">
        <v>171</v>
      </c>
      <c r="P32" s="37"/>
      <c r="Q32" s="37"/>
    </row>
    <row r="33" spans="1:17" ht="36" customHeight="1">
      <c r="A33" s="28">
        <v>44771</v>
      </c>
      <c r="C33" s="35"/>
      <c r="D33" s="35">
        <v>16932</v>
      </c>
      <c r="E33" s="35"/>
      <c r="F33" s="35">
        <v>174</v>
      </c>
      <c r="G33" s="35"/>
      <c r="H33" s="35">
        <v>33563.796000000002</v>
      </c>
      <c r="I33" s="35"/>
      <c r="J33" s="35">
        <v>6292.1422199999997</v>
      </c>
      <c r="K33" s="35"/>
      <c r="L33" s="35">
        <v>151</v>
      </c>
      <c r="M33" s="35">
        <v>126</v>
      </c>
      <c r="N33" s="35">
        <v>241</v>
      </c>
      <c r="P33" s="37"/>
      <c r="Q33" s="37"/>
    </row>
    <row r="34" spans="1:17" ht="45.5" customHeight="1">
      <c r="A34" s="28">
        <v>44772</v>
      </c>
      <c r="C34" s="35"/>
      <c r="D34" s="35">
        <v>17423</v>
      </c>
      <c r="E34" s="35"/>
      <c r="F34" s="35">
        <v>196</v>
      </c>
      <c r="G34" s="35"/>
      <c r="H34" s="35">
        <v>38390.015400000004</v>
      </c>
      <c r="I34" s="35"/>
      <c r="J34" s="35">
        <v>6828.5184600000002</v>
      </c>
      <c r="K34" s="35"/>
      <c r="L34" s="35">
        <v>202</v>
      </c>
      <c r="M34" s="35">
        <v>148</v>
      </c>
      <c r="N34" s="35">
        <v>289</v>
      </c>
      <c r="P34" s="37"/>
      <c r="Q34" s="37"/>
    </row>
    <row r="35" spans="1:17" ht="47.5" customHeight="1">
      <c r="A35" s="28">
        <v>44773</v>
      </c>
      <c r="C35" s="35"/>
      <c r="D35" s="35">
        <v>16958</v>
      </c>
      <c r="E35" s="35"/>
      <c r="F35" s="35">
        <v>170.7</v>
      </c>
      <c r="G35" s="35"/>
      <c r="H35" s="35">
        <v>38427.240600000005</v>
      </c>
      <c r="I35" s="35"/>
      <c r="J35" s="35">
        <v>6375.8155800000004</v>
      </c>
      <c r="K35" s="35"/>
      <c r="L35" s="35">
        <v>177</v>
      </c>
      <c r="M35" s="35">
        <v>100</v>
      </c>
      <c r="N35" s="35">
        <v>181</v>
      </c>
      <c r="P35" s="37"/>
      <c r="Q35" s="37"/>
    </row>
    <row r="36" spans="1:17">
      <c r="D36" s="29"/>
      <c r="E36" s="29"/>
      <c r="K36" s="29"/>
    </row>
    <row r="37" spans="1:17">
      <c r="D37" s="29"/>
    </row>
    <row r="38" spans="1:17">
      <c r="C38" s="38">
        <f>SUM(C5:C37)</f>
        <v>0</v>
      </c>
      <c r="E38" s="38">
        <f>SUM(E5:E37)</f>
        <v>0</v>
      </c>
      <c r="G38" s="38">
        <f>SUM(G5:G37)</f>
        <v>0</v>
      </c>
      <c r="H38" s="38"/>
      <c r="I38" s="38">
        <f>SUM(I5:I37)</f>
        <v>0</v>
      </c>
      <c r="K38" s="38">
        <f>SUM(K5:K37)</f>
        <v>0</v>
      </c>
      <c r="M38" s="38">
        <f>SUM(M5:M37)</f>
        <v>3295</v>
      </c>
      <c r="N38" s="38">
        <f>SUM(N5:N37)</f>
        <v>5907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2023-02-24T15:56:41Z</dcterms:modified>
</cp:coreProperties>
</file>