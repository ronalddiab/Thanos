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70716FB5-33BB-44E3-90C5-C64086D4B2B2}" xr6:coauthVersionLast="47" xr6:coauthVersionMax="47" xr10:uidLastSave="{00000000-0000-0000-0000-000000000000}"/>
  <bookViews>
    <workbookView xWindow="-120" yWindow="-120" windowWidth="15600" windowHeight="11760" tabRatio="598" firstSheet="4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5" l="1"/>
  <c r="W4" i="5"/>
  <c r="U4" i="5"/>
  <c r="S4" i="5"/>
  <c r="O4" i="5"/>
  <c r="M4" i="5"/>
  <c r="I4" i="5"/>
  <c r="G4" i="5"/>
  <c r="E4" i="5"/>
  <c r="C4" i="5"/>
  <c r="K4" i="5"/>
  <c r="C5" i="3"/>
  <c r="C8" i="3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L15" i="8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6" i="4"/>
  <c r="Q6" i="4"/>
  <c r="O6" i="4"/>
  <c r="O36" i="4" s="1"/>
  <c r="M6" i="4"/>
  <c r="M36" i="4"/>
  <c r="K6" i="4"/>
  <c r="K29" i="9"/>
  <c r="K30" i="9"/>
  <c r="K31" i="9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L2" i="8"/>
  <c r="U29" i="8"/>
  <c r="X29" i="8"/>
  <c r="X30" i="8"/>
  <c r="W31" i="8"/>
  <c r="X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" i="9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J26" i="8"/>
  <c r="J20" i="8"/>
  <c r="J19" i="8"/>
  <c r="J18" i="8"/>
  <c r="J15" i="8"/>
  <c r="J14" i="8"/>
  <c r="J13" i="8"/>
  <c r="J11" i="8"/>
  <c r="J10" i="8"/>
  <c r="J9" i="8"/>
  <c r="J8" i="8"/>
  <c r="J7" i="8"/>
  <c r="J6" i="8"/>
  <c r="J4" i="8"/>
  <c r="J3" i="8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6" i="3"/>
  <c r="E3" i="8"/>
  <c r="C7" i="3"/>
  <c r="E4" i="8"/>
  <c r="I4" i="9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6" i="4"/>
  <c r="I27" i="4"/>
  <c r="F2" i="8"/>
  <c r="Q36" i="4"/>
  <c r="I7" i="4"/>
  <c r="I30" i="4"/>
  <c r="I32" i="4"/>
  <c r="Q31" i="8"/>
  <c r="I27" i="9"/>
  <c r="F4" i="8"/>
  <c r="I11" i="9"/>
  <c r="AD14" i="5"/>
  <c r="AD21" i="5"/>
  <c r="AD12" i="5"/>
  <c r="AD7" i="5"/>
  <c r="I15" i="9"/>
  <c r="I12" i="9"/>
  <c r="I8" i="9"/>
  <c r="C35" i="3"/>
  <c r="I20" i="4"/>
  <c r="I2" i="8"/>
  <c r="I19" i="4"/>
  <c r="I8" i="4"/>
  <c r="I23" i="4"/>
  <c r="E35" i="3"/>
  <c r="I7" i="9"/>
  <c r="I23" i="9"/>
  <c r="I16" i="9"/>
  <c r="I19" i="9"/>
  <c r="I3" i="9"/>
  <c r="AD20" i="5"/>
  <c r="AD30" i="5"/>
  <c r="AD33" i="5"/>
  <c r="AD25" i="5"/>
  <c r="R23" i="8"/>
  <c r="G23" i="9"/>
  <c r="AD15" i="5"/>
  <c r="AD6" i="5"/>
  <c r="AD27" i="5"/>
  <c r="G31" i="9"/>
  <c r="AD29" i="5"/>
  <c r="AD23" i="5"/>
  <c r="AD28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6" i="4"/>
  <c r="W36" i="4"/>
  <c r="I10" i="4"/>
  <c r="E2" i="9"/>
  <c r="I25" i="4"/>
  <c r="I24" i="4"/>
  <c r="F36" i="4"/>
  <c r="I15" i="4"/>
  <c r="I34" i="4"/>
  <c r="I18" i="4"/>
  <c r="G2" i="8"/>
  <c r="I13" i="4"/>
  <c r="D36" i="4"/>
  <c r="I17" i="4"/>
  <c r="I14" i="4"/>
  <c r="I9" i="4"/>
  <c r="I35" i="4"/>
  <c r="I22" i="4"/>
  <c r="G19" i="9"/>
  <c r="G20" i="9"/>
  <c r="H36" i="4"/>
  <c r="J12" i="8"/>
  <c r="G12" i="9"/>
  <c r="I36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I28" i="4"/>
  <c r="I33" i="4"/>
</calcChain>
</file>

<file path=xl/sharedStrings.xml><?xml version="1.0" encoding="utf-8"?>
<sst xmlns="http://schemas.openxmlformats.org/spreadsheetml/2006/main" count="184" uniqueCount="74">
  <si>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</si>
  <si>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</si>
  <si>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</si>
  <si>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</si>
  <si>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</si>
  <si>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</si>
  <si>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</si>
  <si>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</si>
  <si>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</si>
  <si>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</si>
  <si>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</si>
  <si>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</si>
  <si>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</si>
  <si>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</si>
  <si>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</si>
  <si>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</si>
  <si>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</si>
  <si>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</si>
  <si>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</si>
  <si>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</si>
  <si>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</si>
  <si>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</si>
  <si>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</si>
  <si>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</si>
  <si>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</si>
  <si>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</si>
  <si>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</si>
  <si>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</si>
  <si>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</si>
  <si>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</si>
  <si>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</si>
  <si>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</si>
  <si>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SEP 2021</t>
  </si>
  <si>
    <t>Main Reading</t>
  </si>
  <si>
    <t>Cons.</t>
  </si>
  <si>
    <t>Beach Water</t>
  </si>
  <si>
    <t>Last</t>
  </si>
  <si>
    <t>Total</t>
  </si>
  <si>
    <t>Feeders and transformers Electrity cons.  SEP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</si>
  <si>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</si>
  <si>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</si>
  <si>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</si>
  <si>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</si>
  <si>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</si>
  <si>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</si>
  <si>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</si>
  <si>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</si>
  <si>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</si>
  <si>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</si>
  <si>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</si>
  <si>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</si>
  <si>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</si>
  <si>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</si>
  <si>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</si>
  <si>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</si>
  <si>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</si>
  <si>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 SEP 2021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</si>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</sst>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"/>
    <numFmt numFmtId="166" formatCode="[$-409]d\-mmm\-yy;@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CFFFF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58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4" xfId="2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8" fillId="11" borderId="41" xfId="2" applyFont="1" applyFill="1" applyBorder="1" applyAlignment="1">
      <alignment horizontal="center" vertical="center"/>
    </xf>
    <xf numFmtId="0" fontId="32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3" fillId="11" borderId="39" xfId="2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6" fontId="28" fillId="8" borderId="9" xfId="0" applyNumberFormat="1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164" fontId="5" fillId="0" borderId="53" xfId="0" applyNumberFormat="1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6" fillId="12" borderId="59" xfId="0" applyFont="1" applyFill="1" applyBorder="1" applyAlignment="1"/>
    <xf numFmtId="0" fontId="34" fillId="12" borderId="59" xfId="0" applyFont="1" applyFill="1" applyBorder="1" applyAlignment="1"/>
    <xf numFmtId="0" fontId="34" fillId="13" borderId="60" xfId="0" applyFont="1" applyFill="1" applyBorder="1" applyAlignment="1"/>
    <xf numFmtId="0" fontId="35" fillId="0" borderId="59" xfId="0" applyFont="1" applyBorder="1" applyAlignment="1"/>
    <xf numFmtId="0" fontId="35" fillId="12" borderId="59" xfId="0" applyFont="1" applyFill="1" applyBorder="1" applyAlignment="1"/>
    <xf numFmtId="0" fontId="35" fillId="0" borderId="61" xfId="0" applyFont="1" applyBorder="1" applyAlignment="1"/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1"/>
  <sheetViews>
    <sheetView zoomScale="85" zoomScaleNormal="85" workbookViewId="0">
      <selection activeCell="C2" sqref="C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9</v>
      </c>
      <c r="D2" s="14">
        <v>2021</v>
      </c>
      <c r="E2" s="7">
        <f>ELECT.!D6+ELECT.!F6+ELECT.!H6</f>
        <v>18807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1491</v>
      </c>
      <c r="H2" s="20">
        <v>3.6</v>
      </c>
      <c r="I2" s="7">
        <f>Submetering!E2+Water!E5</f>
        <v>700</v>
      </c>
      <c r="J2" s="20">
        <v>9.1</v>
      </c>
      <c r="K2" s="7">
        <f>ELECT.!B6</f>
        <v>102</v>
      </c>
    </row>
    <row r="3" spans="1:11">
      <c r="A3" s="11" t="s">
        <v>11</v>
      </c>
      <c r="B3" s="14">
        <f>B2+1</f>
        <v>2</v>
      </c>
      <c r="C3" s="14">
        <v>9</v>
      </c>
      <c r="D3" s="14">
        <v>2021</v>
      </c>
      <c r="E3" s="7">
        <f>ELECT.!D7+ELECT.!F7+ELECT.!H7</f>
        <v>20620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1599</v>
      </c>
      <c r="H3" s="20">
        <v>3.6</v>
      </c>
      <c r="I3" s="7">
        <f>Submetering!E3+Water!E6</f>
        <v>744</v>
      </c>
      <c r="J3" s="20">
        <v>9.1</v>
      </c>
      <c r="K3" s="7">
        <f>ELECT.!B7</f>
        <v>114</v>
      </c>
    </row>
    <row r="4" spans="1:11">
      <c r="A4" s="11" t="s">
        <v>11</v>
      </c>
      <c r="B4" s="14">
        <f t="shared" ref="B4:B31" si="0">B3+1</f>
        <v>3</v>
      </c>
      <c r="C4" s="14">
        <v>9</v>
      </c>
      <c r="D4" s="14">
        <v>2021</v>
      </c>
      <c r="E4" s="7">
        <f>ELECT.!D8+ELECT.!F8+ELECT.!H8</f>
        <v>19681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1595</v>
      </c>
      <c r="H4" s="20">
        <v>3.6</v>
      </c>
      <c r="I4" s="7">
        <f>Submetering!E4+Water!E7</f>
        <v>784</v>
      </c>
      <c r="J4" s="20">
        <v>9.1</v>
      </c>
      <c r="K4" s="7">
        <f>ELECT.!B8</f>
        <v>103</v>
      </c>
    </row>
    <row r="5" spans="1:11">
      <c r="A5" s="11" t="s">
        <v>11</v>
      </c>
      <c r="B5" s="14">
        <f t="shared" si="0"/>
        <v>4</v>
      </c>
      <c r="C5" s="14">
        <v>9</v>
      </c>
      <c r="D5" s="14">
        <v>2021</v>
      </c>
      <c r="E5" s="7">
        <f>ELECT.!D9+ELECT.!F9+ELECT.!H9</f>
        <v>16703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1687</v>
      </c>
      <c r="H5" s="20">
        <v>3.6</v>
      </c>
      <c r="I5" s="7">
        <f>Submetering!E5+Water!E8</f>
        <v>720</v>
      </c>
      <c r="J5" s="20">
        <v>9.1</v>
      </c>
      <c r="K5" s="7">
        <f>ELECT.!B9</f>
        <v>80</v>
      </c>
    </row>
    <row r="6" spans="1:11">
      <c r="A6" s="11" t="s">
        <v>11</v>
      </c>
      <c r="B6" s="14">
        <f t="shared" si="0"/>
        <v>5</v>
      </c>
      <c r="C6" s="14">
        <v>9</v>
      </c>
      <c r="D6" s="14">
        <v>2021</v>
      </c>
      <c r="E6" s="7">
        <f>ELECT.!D10+ELECT.!F10+ELECT.!H10</f>
        <v>20926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1666</v>
      </c>
      <c r="H6" s="20">
        <v>3.6</v>
      </c>
      <c r="I6" s="7">
        <f>Submetering!E6+Water!E9</f>
        <v>802</v>
      </c>
      <c r="J6" s="20">
        <v>9.1</v>
      </c>
      <c r="K6" s="7">
        <f>ELECT.!B10</f>
        <v>96</v>
      </c>
    </row>
    <row r="7" spans="1:11">
      <c r="A7" s="11" t="s">
        <v>11</v>
      </c>
      <c r="B7" s="14">
        <f t="shared" si="0"/>
        <v>6</v>
      </c>
      <c r="C7" s="14">
        <v>9</v>
      </c>
      <c r="D7" s="14">
        <v>2021</v>
      </c>
      <c r="E7" s="7">
        <f>ELECT.!D11+ELECT.!F11+ELECT.!H11</f>
        <v>16807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1463</v>
      </c>
      <c r="H7" s="20">
        <v>3.6</v>
      </c>
      <c r="I7" s="7">
        <f>Submetering!E7+Water!E10</f>
        <v>729</v>
      </c>
      <c r="J7" s="20">
        <v>9.1</v>
      </c>
      <c r="K7" s="7">
        <f>ELECT.!B11</f>
        <v>114</v>
      </c>
    </row>
    <row r="8" spans="1:11">
      <c r="A8" s="11" t="s">
        <v>11</v>
      </c>
      <c r="B8" s="14">
        <f t="shared" si="0"/>
        <v>7</v>
      </c>
      <c r="C8" s="14">
        <v>9</v>
      </c>
      <c r="D8" s="14">
        <v>2021</v>
      </c>
      <c r="E8" s="7">
        <f>ELECT.!D12+ELECT.!F12+ELECT.!H12</f>
        <v>18597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1555</v>
      </c>
      <c r="H8" s="20">
        <v>3.6</v>
      </c>
      <c r="I8" s="7">
        <f>Submetering!E8+Water!E11</f>
        <v>796</v>
      </c>
      <c r="J8" s="20">
        <v>9.1</v>
      </c>
      <c r="K8" s="7">
        <f>ELECT.!B12</f>
        <v>113</v>
      </c>
    </row>
    <row r="9" spans="1:11">
      <c r="A9" s="11" t="s">
        <v>11</v>
      </c>
      <c r="B9" s="14">
        <f t="shared" si="0"/>
        <v>8</v>
      </c>
      <c r="C9" s="14">
        <v>9</v>
      </c>
      <c r="D9" s="14">
        <v>2021</v>
      </c>
      <c r="E9" s="7">
        <f>ELECT.!D13+ELECT.!F13+ELECT.!H13</f>
        <v>17890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1644</v>
      </c>
      <c r="H9" s="20">
        <v>3.6</v>
      </c>
      <c r="I9" s="7">
        <f>Submetering!E9+Water!E12</f>
        <v>668</v>
      </c>
      <c r="J9" s="20">
        <v>9.1</v>
      </c>
      <c r="K9" s="7">
        <f>ELECT.!B13</f>
        <v>114</v>
      </c>
    </row>
    <row r="10" spans="1:11">
      <c r="A10" s="11" t="s">
        <v>11</v>
      </c>
      <c r="B10" s="14">
        <f t="shared" si="0"/>
        <v>9</v>
      </c>
      <c r="C10" s="14">
        <v>9</v>
      </c>
      <c r="D10" s="14">
        <v>2021</v>
      </c>
      <c r="E10" s="7">
        <f>ELECT.!D14+ELECT.!F14+ELECT.!H14</f>
        <v>20035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1615</v>
      </c>
      <c r="H10" s="20">
        <v>3.6</v>
      </c>
      <c r="I10" s="7">
        <f>Submetering!E10+Water!E13</f>
        <v>846</v>
      </c>
      <c r="J10" s="20">
        <v>9.1</v>
      </c>
      <c r="K10" s="7">
        <f>ELECT.!B14</f>
        <v>114</v>
      </c>
    </row>
    <row r="11" spans="1:11">
      <c r="A11" s="11" t="s">
        <v>11</v>
      </c>
      <c r="B11" s="14">
        <f t="shared" si="0"/>
        <v>10</v>
      </c>
      <c r="C11" s="14">
        <v>9</v>
      </c>
      <c r="D11" s="14">
        <v>2021</v>
      </c>
      <c r="E11" s="7">
        <f>ELECT.!D15+ELECT.!F15+ELECT.!H15</f>
        <v>20343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1704</v>
      </c>
      <c r="H11" s="20">
        <v>3.6</v>
      </c>
      <c r="I11" s="7">
        <f>Submetering!E11+Water!E14</f>
        <v>715</v>
      </c>
      <c r="J11" s="20">
        <v>9.1</v>
      </c>
      <c r="K11" s="7">
        <f>ELECT.!B15</f>
        <v>114</v>
      </c>
    </row>
    <row r="12" spans="1:11">
      <c r="A12" s="11" t="s">
        <v>11</v>
      </c>
      <c r="B12" s="14">
        <f t="shared" si="0"/>
        <v>11</v>
      </c>
      <c r="C12" s="14">
        <v>9</v>
      </c>
      <c r="D12" s="14">
        <v>2021</v>
      </c>
      <c r="E12" s="7">
        <f>ELECT.!D16+ELECT.!F16+ELECT.!H16</f>
        <v>19762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1688</v>
      </c>
      <c r="H12" s="20">
        <v>3.6</v>
      </c>
      <c r="I12" s="7">
        <f>Submetering!E12+Water!E15</f>
        <v>729</v>
      </c>
      <c r="J12" s="20">
        <v>9.1</v>
      </c>
      <c r="K12" s="7">
        <f>ELECT.!B16</f>
        <v>87</v>
      </c>
    </row>
    <row r="13" spans="1:11">
      <c r="A13" s="11" t="s">
        <v>11</v>
      </c>
      <c r="B13" s="14">
        <f t="shared" si="0"/>
        <v>12</v>
      </c>
      <c r="C13" s="14">
        <v>9</v>
      </c>
      <c r="D13" s="14">
        <v>2021</v>
      </c>
      <c r="E13" s="7">
        <f>ELECT.!D17+ELECT.!F17+ELECT.!H17</f>
        <v>19225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1604</v>
      </c>
      <c r="H13" s="20">
        <v>3.6</v>
      </c>
      <c r="I13" s="7">
        <f>Submetering!E13+Water!E16</f>
        <v>643</v>
      </c>
      <c r="J13" s="20">
        <v>9.1</v>
      </c>
      <c r="K13" s="7">
        <f>ELECT.!B17</f>
        <v>88</v>
      </c>
    </row>
    <row r="14" spans="1:11">
      <c r="A14" s="11" t="s">
        <v>11</v>
      </c>
      <c r="B14" s="14">
        <f t="shared" si="0"/>
        <v>13</v>
      </c>
      <c r="C14" s="14">
        <v>9</v>
      </c>
      <c r="D14" s="14">
        <v>2021</v>
      </c>
      <c r="E14" s="7">
        <f>ELECT.!D18+ELECT.!F18+ELECT.!H18</f>
        <v>16371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1386</v>
      </c>
      <c r="H14" s="20">
        <v>3.6</v>
      </c>
      <c r="I14" s="7">
        <f>Submetering!E14+Water!E17</f>
        <v>655</v>
      </c>
      <c r="J14" s="20">
        <v>9.1</v>
      </c>
      <c r="K14" s="7">
        <f>ELECT.!B18</f>
        <v>70</v>
      </c>
    </row>
    <row r="15" spans="1:11">
      <c r="A15" s="11" t="s">
        <v>11</v>
      </c>
      <c r="B15" s="14">
        <f t="shared" si="0"/>
        <v>14</v>
      </c>
      <c r="C15" s="14">
        <v>9</v>
      </c>
      <c r="D15" s="14">
        <v>2021</v>
      </c>
      <c r="E15" s="7">
        <f>ELECT.!D19+ELECT.!F19+ELECT.!H19</f>
        <v>19061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1597</v>
      </c>
      <c r="H15" s="20">
        <v>3.6</v>
      </c>
      <c r="I15" s="7">
        <f>Submetering!E15+Water!E18</f>
        <v>652</v>
      </c>
      <c r="J15" s="20">
        <v>9.1</v>
      </c>
      <c r="K15" s="7">
        <f>ELECT.!B19</f>
        <v>85</v>
      </c>
    </row>
    <row r="16" spans="1:11">
      <c r="A16" s="11" t="s">
        <v>11</v>
      </c>
      <c r="B16" s="14">
        <f t="shared" si="0"/>
        <v>15</v>
      </c>
      <c r="C16" s="14">
        <v>9</v>
      </c>
      <c r="D16" s="14">
        <v>2021</v>
      </c>
      <c r="E16" s="7">
        <f>ELECT.!D20+ELECT.!F20+ELECT.!H20</f>
        <v>18894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1588</v>
      </c>
      <c r="H16" s="20">
        <v>3.6</v>
      </c>
      <c r="I16" s="7">
        <f>Submetering!E16+Water!E19</f>
        <v>733</v>
      </c>
      <c r="J16" s="20">
        <v>9.1</v>
      </c>
      <c r="K16" s="7">
        <f>ELECT.!B20</f>
        <v>114</v>
      </c>
    </row>
    <row r="17" spans="1:11">
      <c r="A17" s="11" t="s">
        <v>11</v>
      </c>
      <c r="B17" s="14">
        <f t="shared" si="0"/>
        <v>16</v>
      </c>
      <c r="C17" s="14">
        <v>9</v>
      </c>
      <c r="D17" s="14">
        <v>2021</v>
      </c>
      <c r="E17" s="7">
        <f>ELECT.!D21+ELECT.!F21+ELECT.!H21</f>
        <v>19869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1609</v>
      </c>
      <c r="H17" s="20">
        <v>3.6</v>
      </c>
      <c r="I17" s="7">
        <f>Submetering!E17+Water!E20</f>
        <v>776</v>
      </c>
      <c r="J17" s="20">
        <v>9.1</v>
      </c>
      <c r="K17" s="7">
        <f>ELECT.!B21</f>
        <v>114</v>
      </c>
    </row>
    <row r="18" spans="1:11">
      <c r="A18" s="11" t="s">
        <v>11</v>
      </c>
      <c r="B18" s="14">
        <f t="shared" si="0"/>
        <v>17</v>
      </c>
      <c r="C18" s="14">
        <v>9</v>
      </c>
      <c r="D18" s="14">
        <v>2021</v>
      </c>
      <c r="E18" s="7">
        <f>ELECT.!D22+ELECT.!F22+ELECT.!H22</f>
        <v>20532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1654</v>
      </c>
      <c r="H18" s="20">
        <v>3.6</v>
      </c>
      <c r="I18" s="7">
        <f>Submetering!E18+Water!E21</f>
        <v>678</v>
      </c>
      <c r="J18" s="20">
        <v>9.1</v>
      </c>
      <c r="K18" s="7">
        <f>ELECT.!B22</f>
        <v>113</v>
      </c>
    </row>
    <row r="19" spans="1:11">
      <c r="A19" s="11" t="s">
        <v>11</v>
      </c>
      <c r="B19" s="14">
        <f t="shared" si="0"/>
        <v>18</v>
      </c>
      <c r="C19" s="14">
        <v>9</v>
      </c>
      <c r="D19" s="14">
        <v>2021</v>
      </c>
      <c r="E19" s="7">
        <f>ELECT.!D23+ELECT.!F23+ELECT.!H23</f>
        <v>17774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1981</v>
      </c>
      <c r="H19" s="20">
        <v>3.6</v>
      </c>
      <c r="I19" s="7">
        <f>Submetering!E19+Water!E22</f>
        <v>690</v>
      </c>
      <c r="J19" s="20">
        <v>9.1</v>
      </c>
      <c r="K19" s="7">
        <f>ELECT.!B23</f>
        <v>94</v>
      </c>
    </row>
    <row r="20" spans="1:11">
      <c r="A20" s="11" t="s">
        <v>11</v>
      </c>
      <c r="B20" s="14">
        <f t="shared" si="0"/>
        <v>19</v>
      </c>
      <c r="C20" s="14">
        <v>9</v>
      </c>
      <c r="D20" s="14">
        <v>2021</v>
      </c>
      <c r="E20" s="7">
        <f>ELECT.!D24+ELECT.!F24+ELECT.!H24</f>
        <v>19025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1594</v>
      </c>
      <c r="H20" s="20">
        <v>3.6</v>
      </c>
      <c r="I20" s="7">
        <f>Submetering!E20+Water!E23</f>
        <v>651</v>
      </c>
      <c r="J20" s="20">
        <v>9.1</v>
      </c>
      <c r="K20" s="7">
        <f>ELECT.!B24</f>
        <v>98</v>
      </c>
    </row>
    <row r="21" spans="1:11">
      <c r="A21" s="11" t="s">
        <v>11</v>
      </c>
      <c r="B21" s="14">
        <f t="shared" si="0"/>
        <v>20</v>
      </c>
      <c r="C21" s="14">
        <v>9</v>
      </c>
      <c r="D21" s="14">
        <v>2021</v>
      </c>
      <c r="E21" s="7">
        <f>ELECT.!D25+ELECT.!F25+ELECT.!H25</f>
        <v>20312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1812</v>
      </c>
      <c r="H21" s="20">
        <v>3.6</v>
      </c>
      <c r="I21" s="7">
        <f>Submetering!E21+Water!E24</f>
        <v>811</v>
      </c>
      <c r="J21" s="20">
        <v>9.1</v>
      </c>
      <c r="K21" s="7">
        <f>ELECT.!B25</f>
        <v>100</v>
      </c>
    </row>
    <row r="22" spans="1:11">
      <c r="A22" s="11" t="s">
        <v>11</v>
      </c>
      <c r="B22" s="14">
        <f t="shared" si="0"/>
        <v>21</v>
      </c>
      <c r="C22" s="14">
        <v>9</v>
      </c>
      <c r="D22" s="14">
        <v>2021</v>
      </c>
      <c r="E22" s="7">
        <f>ELECT.!D26+ELECT.!F26+ELECT.!H26</f>
        <v>19626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1689</v>
      </c>
      <c r="H22" s="20">
        <v>3.6</v>
      </c>
      <c r="I22" s="7">
        <f>Submetering!E22+Water!E25</f>
        <v>716</v>
      </c>
      <c r="J22" s="20">
        <v>9.1</v>
      </c>
      <c r="K22" s="7">
        <f>ELECT.!B26</f>
        <v>114</v>
      </c>
    </row>
    <row r="23" spans="1:11">
      <c r="A23" s="11" t="s">
        <v>11</v>
      </c>
      <c r="B23" s="14">
        <f t="shared" si="0"/>
        <v>22</v>
      </c>
      <c r="C23" s="14">
        <v>9</v>
      </c>
      <c r="D23" s="14">
        <v>2021</v>
      </c>
      <c r="E23" s="7">
        <f>ELECT.!D27+ELECT.!F27+ELECT.!H27</f>
        <v>20123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1737</v>
      </c>
      <c r="H23" s="20">
        <v>3.6</v>
      </c>
      <c r="I23" s="7">
        <f>Submetering!E23+Water!E26</f>
        <v>685</v>
      </c>
      <c r="J23" s="20">
        <v>9.1</v>
      </c>
      <c r="K23" s="7">
        <f>ELECT.!B27</f>
        <v>114</v>
      </c>
    </row>
    <row r="24" spans="1:11">
      <c r="A24" s="11" t="s">
        <v>11</v>
      </c>
      <c r="B24" s="14">
        <f t="shared" si="0"/>
        <v>23</v>
      </c>
      <c r="C24" s="14">
        <v>9</v>
      </c>
      <c r="D24" s="14">
        <v>2021</v>
      </c>
      <c r="E24" s="7">
        <f>ELECT.!D28+ELECT.!F28+ELECT.!H28</f>
        <v>17270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1831</v>
      </c>
      <c r="H24" s="20">
        <v>3.6</v>
      </c>
      <c r="I24" s="7">
        <f>Submetering!E24+Water!E27</f>
        <v>748</v>
      </c>
      <c r="J24" s="20">
        <v>9.1</v>
      </c>
      <c r="K24" s="7">
        <f>ELECT.!B28</f>
        <v>114</v>
      </c>
    </row>
    <row r="25" spans="1:11">
      <c r="A25" s="11" t="s">
        <v>11</v>
      </c>
      <c r="B25" s="14">
        <f t="shared" si="0"/>
        <v>24</v>
      </c>
      <c r="C25" s="14">
        <v>9</v>
      </c>
      <c r="D25" s="14">
        <v>2021</v>
      </c>
      <c r="E25" s="7">
        <f>ELECT.!D29+ELECT.!F29+ELECT.!H29</f>
        <v>19799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1895</v>
      </c>
      <c r="H25" s="20">
        <v>3.6</v>
      </c>
      <c r="I25" s="7">
        <f>Submetering!E25+Water!E28</f>
        <v>789</v>
      </c>
      <c r="J25" s="20">
        <v>9.1</v>
      </c>
      <c r="K25" s="7">
        <f>ELECT.!B29</f>
        <v>114</v>
      </c>
    </row>
    <row r="26" spans="1:11">
      <c r="A26" s="11" t="s">
        <v>11</v>
      </c>
      <c r="B26" s="14">
        <f>B25+1</f>
        <v>25</v>
      </c>
      <c r="C26" s="14">
        <v>9</v>
      </c>
      <c r="D26" s="14">
        <v>2021</v>
      </c>
      <c r="E26" s="7">
        <f>ELECT.!D30+ELECT.!F30+ELECT.!H30</f>
        <v>18923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1884</v>
      </c>
      <c r="H26" s="20">
        <v>3.6</v>
      </c>
      <c r="I26" s="7">
        <f>Submetering!E26+Water!E29</f>
        <v>851</v>
      </c>
      <c r="J26" s="20">
        <v>9.1</v>
      </c>
      <c r="K26" s="7">
        <f>ELECT.!B30</f>
        <v>83</v>
      </c>
    </row>
    <row r="27" spans="1:11">
      <c r="A27" s="11" t="s">
        <v>11</v>
      </c>
      <c r="B27" s="14">
        <f t="shared" si="0"/>
        <v>26</v>
      </c>
      <c r="C27" s="14">
        <v>9</v>
      </c>
      <c r="D27" s="14">
        <v>2021</v>
      </c>
      <c r="E27" s="7">
        <f>ELECT.!D31+ELECT.!F31+ELECT.!H31</f>
        <v>20390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1760</v>
      </c>
      <c r="H27" s="20">
        <v>3.6</v>
      </c>
      <c r="I27" s="7">
        <f>Submetering!E27+Water!E30</f>
        <v>668</v>
      </c>
      <c r="J27" s="20">
        <v>9.1</v>
      </c>
      <c r="K27" s="7">
        <f>ELECT.!B31</f>
        <v>80</v>
      </c>
    </row>
    <row r="28" spans="1:11">
      <c r="A28" s="11" t="s">
        <v>11</v>
      </c>
      <c r="B28" s="14">
        <f t="shared" si="0"/>
        <v>27</v>
      </c>
      <c r="C28" s="14">
        <v>9</v>
      </c>
      <c r="D28" s="14">
        <v>2021</v>
      </c>
      <c r="E28" s="7">
        <f>ELECT.!D32+ELECT.!F32+ELECT.!H32</f>
        <v>17857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1700</v>
      </c>
      <c r="H28" s="20">
        <v>3.6</v>
      </c>
      <c r="I28" s="7">
        <f>Submetering!E28+Water!E31</f>
        <v>660</v>
      </c>
      <c r="J28" s="20">
        <v>9.1</v>
      </c>
      <c r="K28" s="7">
        <f>ELECT.!B32</f>
        <v>101</v>
      </c>
    </row>
    <row r="29" spans="1:11">
      <c r="A29" s="11" t="s">
        <v>11</v>
      </c>
      <c r="B29" s="14">
        <f t="shared" si="0"/>
        <v>28</v>
      </c>
      <c r="C29" s="14">
        <v>9</v>
      </c>
      <c r="D29" s="14">
        <v>2021</v>
      </c>
      <c r="E29" s="7">
        <f>ELECT.!D33+ELECT.!F33+ELECT.!H33</f>
        <v>27532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1717</v>
      </c>
      <c r="H29" s="20">
        <v>3.6</v>
      </c>
      <c r="I29" s="7">
        <f>Submetering!E29+Water!E32</f>
        <v>659</v>
      </c>
      <c r="J29" s="20">
        <v>9.1</v>
      </c>
      <c r="K29" s="7">
        <f>ELECT.!B33</f>
        <v>114</v>
      </c>
    </row>
    <row r="30" spans="1:11">
      <c r="A30" s="11" t="s">
        <v>11</v>
      </c>
      <c r="B30" s="14">
        <f t="shared" si="0"/>
        <v>29</v>
      </c>
      <c r="C30" s="14">
        <v>9</v>
      </c>
      <c r="D30" s="14">
        <v>2021</v>
      </c>
      <c r="E30" s="7">
        <f>ELECT.!D34+ELECT.!F34+ELECT.!H34</f>
        <v>26529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1928</v>
      </c>
      <c r="H30" s="20">
        <v>3.6</v>
      </c>
      <c r="I30" s="7">
        <f>Submetering!E30+Water!E33</f>
        <v>691</v>
      </c>
      <c r="J30" s="20">
        <v>9.1</v>
      </c>
      <c r="K30" s="7">
        <f>ELECT.!B34</f>
        <v>114</v>
      </c>
    </row>
    <row r="31" spans="1:11">
      <c r="A31" s="11" t="s">
        <v>11</v>
      </c>
      <c r="B31" s="14">
        <f t="shared" si="0"/>
        <v>30</v>
      </c>
      <c r="C31" s="14">
        <v>9</v>
      </c>
      <c r="D31" s="14">
        <v>2021</v>
      </c>
      <c r="E31" s="7">
        <f>ELECT.!D35+ELECT.!F35+ELECT.!H35</f>
        <v>26213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1780</v>
      </c>
      <c r="H31" s="20">
        <v>3.6</v>
      </c>
      <c r="I31" s="7">
        <f>Submetering!E31+Water!E34</f>
        <v>649</v>
      </c>
      <c r="J31" s="20">
        <v>9.1</v>
      </c>
      <c r="K31" s="7">
        <f>ELECT.!B35</f>
        <v>114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1"/>
  <sheetViews>
    <sheetView topLeftCell="B1" zoomScale="85" zoomScaleNormal="85" workbookViewId="0">
      <selection activeCell="E3" sqref="E3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9</v>
      </c>
      <c r="D2" s="14">
        <v>2021</v>
      </c>
      <c r="E2" s="7">
        <f>Water!C5</f>
        <v>260</v>
      </c>
      <c r="F2" s="7">
        <f>Water!E5</f>
        <v>440</v>
      </c>
      <c r="G2" s="7">
        <f>ELECT.!D6</f>
        <v>4609</v>
      </c>
      <c r="H2" s="7">
        <f>ELECT.!F6</f>
        <v>8236</v>
      </c>
      <c r="I2" s="7">
        <f>ELECT.!H6</f>
        <v>5962</v>
      </c>
      <c r="J2" s="8">
        <f>Gas!C4</f>
        <v>154</v>
      </c>
      <c r="K2" s="8">
        <f>Gas!E4</f>
        <v>630</v>
      </c>
      <c r="L2" s="8">
        <f>Gas!G4</f>
        <v>124</v>
      </c>
      <c r="M2" s="16">
        <f>Gas!I4</f>
        <v>22</v>
      </c>
      <c r="N2" s="16">
        <f>Gas!K4</f>
        <v>0</v>
      </c>
      <c r="O2" s="8">
        <f>Gas!M4</f>
        <v>63</v>
      </c>
      <c r="P2" s="8">
        <f>Gas!O4</f>
        <v>124</v>
      </c>
      <c r="Q2" s="8">
        <f>Gas!Q4</f>
        <v>0</v>
      </c>
      <c r="R2" s="8">
        <f>Gas!S4</f>
        <v>140</v>
      </c>
      <c r="S2" s="8">
        <f>Gas!U4</f>
        <v>20</v>
      </c>
      <c r="T2" s="8">
        <f>Gas!W4</f>
        <v>48</v>
      </c>
      <c r="U2" s="8">
        <f>Gas!Y4</f>
        <v>37</v>
      </c>
      <c r="V2" s="8">
        <f>Gas!AA4</f>
        <v>129</v>
      </c>
      <c r="W2" s="8">
        <f>Gas!AC4</f>
        <v>0</v>
      </c>
      <c r="X2" s="7">
        <f>ELECT.!B6</f>
        <v>102</v>
      </c>
    </row>
    <row r="3" spans="1:24">
      <c r="A3" s="11" t="s">
        <v>11</v>
      </c>
      <c r="B3" s="14">
        <f>B2+1</f>
        <v>2</v>
      </c>
      <c r="C3" s="14">
        <v>9</v>
      </c>
      <c r="D3" s="14">
        <v>2021</v>
      </c>
      <c r="E3" s="7">
        <f>Water!C6</f>
        <v>270</v>
      </c>
      <c r="F3" s="7">
        <f>Water!E6</f>
        <v>474</v>
      </c>
      <c r="G3" s="7">
        <f>ELECT.!D7</f>
        <v>4602</v>
      </c>
      <c r="H3" s="7">
        <f>ELECT.!F7</f>
        <v>8833</v>
      </c>
      <c r="I3" s="7">
        <f>ELECT.!H7</f>
        <v>7185</v>
      </c>
      <c r="J3" s="8">
        <f>Gas!C5</f>
        <v>220</v>
      </c>
      <c r="K3" s="8">
        <f>Gas!E5</f>
        <v>589</v>
      </c>
      <c r="L3" s="8">
        <f>Gas!G5</f>
        <v>135</v>
      </c>
      <c r="M3" s="16">
        <f>Gas!I5</f>
        <v>25</v>
      </c>
      <c r="N3" s="16">
        <f>Gas!K5</f>
        <v>4</v>
      </c>
      <c r="O3" s="8">
        <f>Gas!M5</f>
        <v>64</v>
      </c>
      <c r="P3" s="8">
        <f>Gas!O5</f>
        <v>163</v>
      </c>
      <c r="Q3" s="8">
        <f>Gas!Q5</f>
        <v>0</v>
      </c>
      <c r="R3" s="8">
        <f>Gas!S5</f>
        <v>172</v>
      </c>
      <c r="S3" s="8">
        <f>Gas!U5</f>
        <v>27</v>
      </c>
      <c r="T3" s="8">
        <f>Gas!W5</f>
        <v>50</v>
      </c>
      <c r="U3" s="8">
        <f>Gas!Y5</f>
        <v>31</v>
      </c>
      <c r="V3" s="8">
        <f>Gas!AA5</f>
        <v>119</v>
      </c>
      <c r="W3" s="8">
        <f>Gas!AC5</f>
        <v>0</v>
      </c>
      <c r="X3" s="7">
        <f>ELECT.!B7</f>
        <v>114</v>
      </c>
    </row>
    <row r="4" spans="1:24">
      <c r="A4" s="11" t="s">
        <v>11</v>
      </c>
      <c r="B4" s="14">
        <f t="shared" ref="B4:B31" si="0">B3+1</f>
        <v>3</v>
      </c>
      <c r="C4" s="14">
        <v>9</v>
      </c>
      <c r="D4" s="14">
        <v>2021</v>
      </c>
      <c r="E4" s="7">
        <f>Water!C7</f>
        <v>310</v>
      </c>
      <c r="F4" s="7">
        <f>Water!E7</f>
        <v>474</v>
      </c>
      <c r="G4" s="7">
        <f>ELECT.!D8</f>
        <v>4807</v>
      </c>
      <c r="H4" s="7">
        <f>ELECT.!F8</f>
        <v>8944</v>
      </c>
      <c r="I4" s="7">
        <f>ELECT.!H8</f>
        <v>5930</v>
      </c>
      <c r="J4" s="8">
        <f>Gas!C6</f>
        <v>237</v>
      </c>
      <c r="K4" s="8">
        <f>Gas!E6</f>
        <v>631</v>
      </c>
      <c r="L4" s="8">
        <f>Gas!G6</f>
        <v>121</v>
      </c>
      <c r="M4" s="16">
        <f>Gas!I6</f>
        <v>25</v>
      </c>
      <c r="N4" s="16">
        <f>Gas!K6</f>
        <v>0</v>
      </c>
      <c r="O4" s="8">
        <f>Gas!M6</f>
        <v>65</v>
      </c>
      <c r="P4" s="8">
        <f>Gas!O6</f>
        <v>31</v>
      </c>
      <c r="Q4" s="8">
        <f>Gas!Q6</f>
        <v>0</v>
      </c>
      <c r="R4" s="8">
        <f>Gas!S6</f>
        <v>235</v>
      </c>
      <c r="S4" s="8">
        <f>Gas!U6</f>
        <v>17</v>
      </c>
      <c r="T4" s="8">
        <f>Gas!W6</f>
        <v>47</v>
      </c>
      <c r="U4" s="8">
        <f>Gas!Y6</f>
        <v>65</v>
      </c>
      <c r="V4" s="8">
        <f>Gas!AA6</f>
        <v>121</v>
      </c>
      <c r="W4" s="8">
        <f>Gas!AC6</f>
        <v>0</v>
      </c>
      <c r="X4" s="7">
        <f>ELECT.!B8</f>
        <v>103</v>
      </c>
    </row>
    <row r="5" spans="1:24">
      <c r="A5" s="11" t="s">
        <v>11</v>
      </c>
      <c r="B5" s="14">
        <f t="shared" si="0"/>
        <v>4</v>
      </c>
      <c r="C5" s="14">
        <v>9</v>
      </c>
      <c r="D5" s="14">
        <v>2021</v>
      </c>
      <c r="E5" s="7">
        <f>Water!C8</f>
        <v>280</v>
      </c>
      <c r="F5" s="7">
        <f>Water!E8</f>
        <v>440</v>
      </c>
      <c r="G5" s="7">
        <f>ELECT.!D9</f>
        <v>4309</v>
      </c>
      <c r="H5" s="7">
        <f>ELECT.!F9</f>
        <v>7376</v>
      </c>
      <c r="I5" s="7">
        <f>ELECT.!H9</f>
        <v>5018</v>
      </c>
      <c r="J5" s="8">
        <f>Gas!C7</f>
        <v>237</v>
      </c>
      <c r="K5" s="8">
        <f>Gas!E7</f>
        <v>684</v>
      </c>
      <c r="L5" s="8">
        <f>Gas!G7</f>
        <v>131</v>
      </c>
      <c r="M5" s="16">
        <f>Gas!I7</f>
        <v>27</v>
      </c>
      <c r="N5" s="16">
        <f>Gas!K7</f>
        <v>0</v>
      </c>
      <c r="O5" s="8">
        <f>Gas!M7</f>
        <v>67</v>
      </c>
      <c r="P5" s="8">
        <f>Gas!O7</f>
        <v>83</v>
      </c>
      <c r="Q5" s="8">
        <f>Gas!Q7</f>
        <v>0</v>
      </c>
      <c r="R5" s="8">
        <f>Gas!S7</f>
        <v>210</v>
      </c>
      <c r="S5" s="8">
        <f>Gas!U7</f>
        <v>20</v>
      </c>
      <c r="T5" s="8">
        <f>Gas!W7</f>
        <v>54</v>
      </c>
      <c r="U5" s="8">
        <f>Gas!Y7</f>
        <v>37</v>
      </c>
      <c r="V5" s="8">
        <f>Gas!AA7</f>
        <v>137</v>
      </c>
      <c r="W5" s="8">
        <f>Gas!AC7</f>
        <v>0</v>
      </c>
      <c r="X5" s="7">
        <f>ELECT.!B9</f>
        <v>80</v>
      </c>
    </row>
    <row r="6" spans="1:24">
      <c r="A6" s="11" t="s">
        <v>11</v>
      </c>
      <c r="B6" s="14">
        <f t="shared" si="0"/>
        <v>5</v>
      </c>
      <c r="C6" s="14">
        <v>9</v>
      </c>
      <c r="D6" s="14">
        <v>2021</v>
      </c>
      <c r="E6" s="7">
        <f>Water!C9</f>
        <v>320</v>
      </c>
      <c r="F6" s="7">
        <f>Water!E9</f>
        <v>482</v>
      </c>
      <c r="G6" s="7">
        <f>ELECT.!D10</f>
        <v>5115</v>
      </c>
      <c r="H6" s="7">
        <f>ELECT.!F10</f>
        <v>9323</v>
      </c>
      <c r="I6" s="7">
        <f>ELECT.!H10</f>
        <v>6488</v>
      </c>
      <c r="J6" s="8">
        <f>Gas!C8</f>
        <v>263</v>
      </c>
      <c r="K6" s="8">
        <f>Gas!E8</f>
        <v>631</v>
      </c>
      <c r="L6" s="8">
        <f>Gas!G8</f>
        <v>132</v>
      </c>
      <c r="M6" s="16">
        <f>Gas!I8</f>
        <v>23</v>
      </c>
      <c r="N6" s="16">
        <f>Gas!K8</f>
        <v>0</v>
      </c>
      <c r="O6" s="8">
        <f>Gas!M8</f>
        <v>60</v>
      </c>
      <c r="P6" s="8">
        <f>Gas!O8</f>
        <v>77</v>
      </c>
      <c r="Q6" s="8">
        <f>Gas!Q8</f>
        <v>0</v>
      </c>
      <c r="R6" s="8">
        <f>Gas!S8</f>
        <v>235</v>
      </c>
      <c r="S6" s="8">
        <f>Gas!U8</f>
        <v>38</v>
      </c>
      <c r="T6" s="8">
        <f>Gas!W8</f>
        <v>50</v>
      </c>
      <c r="U6" s="8">
        <f>Gas!Y8</f>
        <v>34</v>
      </c>
      <c r="V6" s="8">
        <f>Gas!AA8</f>
        <v>123</v>
      </c>
      <c r="W6" s="8">
        <f>Gas!AC8</f>
        <v>0</v>
      </c>
      <c r="X6" s="7">
        <f>ELECT.!B10</f>
        <v>96</v>
      </c>
    </row>
    <row r="7" spans="1:24">
      <c r="A7" s="11" t="s">
        <v>11</v>
      </c>
      <c r="B7" s="14">
        <f t="shared" si="0"/>
        <v>6</v>
      </c>
      <c r="C7" s="14">
        <v>9</v>
      </c>
      <c r="D7" s="14">
        <v>2021</v>
      </c>
      <c r="E7" s="7">
        <f>Water!C10</f>
        <v>280</v>
      </c>
      <c r="F7" s="7">
        <f>Water!E10</f>
        <v>449</v>
      </c>
      <c r="G7" s="7">
        <f>ELECT.!D11</f>
        <v>4150</v>
      </c>
      <c r="H7" s="7">
        <f>ELECT.!F11</f>
        <v>7471</v>
      </c>
      <c r="I7" s="7">
        <f>ELECT.!H11</f>
        <v>5186</v>
      </c>
      <c r="J7" s="8">
        <f>Gas!C9</f>
        <v>211</v>
      </c>
      <c r="K7" s="8">
        <f>Gas!E9</f>
        <v>631</v>
      </c>
      <c r="L7" s="8">
        <f>Gas!G9</f>
        <v>106</v>
      </c>
      <c r="M7" s="16">
        <f>Gas!I9</f>
        <v>16</v>
      </c>
      <c r="N7" s="16">
        <f>Gas!K9</f>
        <v>3</v>
      </c>
      <c r="O7" s="8">
        <f>Gas!M9</f>
        <v>53</v>
      </c>
      <c r="P7" s="8">
        <f>Gas!O9</f>
        <v>68</v>
      </c>
      <c r="Q7" s="8">
        <f>Gas!Q9</f>
        <v>0</v>
      </c>
      <c r="R7" s="8">
        <f>Gas!S9</f>
        <v>183</v>
      </c>
      <c r="S7" s="8">
        <f>Gas!U9</f>
        <v>24</v>
      </c>
      <c r="T7" s="8">
        <f>Gas!W9</f>
        <v>50</v>
      </c>
      <c r="U7" s="8">
        <f>Gas!Y9</f>
        <v>7</v>
      </c>
      <c r="V7" s="8">
        <f>Gas!AA9</f>
        <v>111</v>
      </c>
      <c r="W7" s="8">
        <f>Gas!AC9</f>
        <v>0</v>
      </c>
      <c r="X7" s="7">
        <f>ELECT.!B11</f>
        <v>114</v>
      </c>
    </row>
    <row r="8" spans="1:24">
      <c r="A8" s="11" t="s">
        <v>11</v>
      </c>
      <c r="B8" s="14">
        <f t="shared" si="0"/>
        <v>7</v>
      </c>
      <c r="C8" s="14">
        <v>9</v>
      </c>
      <c r="D8" s="14">
        <v>2021</v>
      </c>
      <c r="E8" s="7">
        <f>Water!C11</f>
        <v>340</v>
      </c>
      <c r="F8" s="7">
        <f>Water!E11</f>
        <v>456</v>
      </c>
      <c r="G8" s="7">
        <f>ELECT.!D12</f>
        <v>4554</v>
      </c>
      <c r="H8" s="7">
        <f>ELECT.!F12</f>
        <v>8390</v>
      </c>
      <c r="I8" s="7">
        <f>ELECT.!H12</f>
        <v>5653</v>
      </c>
      <c r="J8" s="8">
        <f>Gas!C10</f>
        <v>232</v>
      </c>
      <c r="K8" s="8">
        <f>Gas!E10</f>
        <v>630</v>
      </c>
      <c r="L8" s="8">
        <f>Gas!G10</f>
        <v>127</v>
      </c>
      <c r="M8" s="16">
        <f>Gas!I10</f>
        <v>29</v>
      </c>
      <c r="N8" s="16">
        <f>Gas!K10</f>
        <v>1</v>
      </c>
      <c r="O8" s="8">
        <f>Gas!M10</f>
        <v>56</v>
      </c>
      <c r="P8" s="8">
        <f>Gas!O10</f>
        <v>75</v>
      </c>
      <c r="Q8" s="8">
        <f>Gas!Q10</f>
        <v>0</v>
      </c>
      <c r="R8" s="8">
        <f>Gas!S10</f>
        <v>189</v>
      </c>
      <c r="S8" s="8">
        <f>Gas!U10</f>
        <v>30</v>
      </c>
      <c r="T8" s="8">
        <f>Gas!W10</f>
        <v>44</v>
      </c>
      <c r="U8" s="8">
        <f>Gas!Y10</f>
        <v>28</v>
      </c>
      <c r="V8" s="8">
        <f>Gas!AA10</f>
        <v>114</v>
      </c>
      <c r="W8" s="8">
        <f>Gas!AC10</f>
        <v>0</v>
      </c>
      <c r="X8" s="7">
        <f>ELECT.!B12</f>
        <v>113</v>
      </c>
    </row>
    <row r="9" spans="1:24">
      <c r="A9" s="11" t="s">
        <v>11</v>
      </c>
      <c r="B9" s="14">
        <f t="shared" si="0"/>
        <v>8</v>
      </c>
      <c r="C9" s="14">
        <v>9</v>
      </c>
      <c r="D9" s="14">
        <v>2021</v>
      </c>
      <c r="E9" s="7">
        <f>Water!C12</f>
        <v>230</v>
      </c>
      <c r="F9" s="7">
        <f>Water!E12</f>
        <v>438</v>
      </c>
      <c r="G9" s="7">
        <f>ELECT.!D13</f>
        <v>4656</v>
      </c>
      <c r="H9" s="7">
        <f>ELECT.!F13</f>
        <v>7713</v>
      </c>
      <c r="I9" s="7">
        <f>ELECT.!H13</f>
        <v>5521</v>
      </c>
      <c r="J9" s="8">
        <f>Gas!C11</f>
        <v>234</v>
      </c>
      <c r="K9" s="8">
        <f>Gas!E11</f>
        <v>719</v>
      </c>
      <c r="L9" s="8">
        <f>Gas!G11</f>
        <v>132</v>
      </c>
      <c r="M9" s="16">
        <f>Gas!I11</f>
        <v>24</v>
      </c>
      <c r="N9" s="16">
        <f>Gas!K11</f>
        <v>1</v>
      </c>
      <c r="O9" s="8">
        <f>Gas!M11</f>
        <v>59</v>
      </c>
      <c r="P9" s="8">
        <f>Gas!O11</f>
        <v>61</v>
      </c>
      <c r="Q9" s="8">
        <f>Gas!Q11</f>
        <v>0</v>
      </c>
      <c r="R9" s="8">
        <f>Gas!S11</f>
        <v>212</v>
      </c>
      <c r="S9" s="8">
        <f>Gas!U11</f>
        <v>26</v>
      </c>
      <c r="T9" s="8">
        <f>Gas!W11</f>
        <v>51</v>
      </c>
      <c r="U9" s="8">
        <f>Gas!Y11</f>
        <v>22</v>
      </c>
      <c r="V9" s="8">
        <f>Gas!AA11</f>
        <v>103</v>
      </c>
      <c r="W9" s="8">
        <f>Gas!AC11</f>
        <v>0</v>
      </c>
      <c r="X9" s="7">
        <f>ELECT.!B13</f>
        <v>114</v>
      </c>
    </row>
    <row r="10" spans="1:24">
      <c r="A10" s="11" t="s">
        <v>11</v>
      </c>
      <c r="B10" s="14">
        <f t="shared" si="0"/>
        <v>9</v>
      </c>
      <c r="C10" s="14">
        <v>9</v>
      </c>
      <c r="D10" s="14">
        <v>2021</v>
      </c>
      <c r="E10" s="7">
        <f>Water!C13</f>
        <v>400</v>
      </c>
      <c r="F10" s="7">
        <f>Water!E13</f>
        <v>446</v>
      </c>
      <c r="G10" s="7">
        <f>ELECT.!D14</f>
        <v>4768</v>
      </c>
      <c r="H10" s="7">
        <f>ELECT.!F14</f>
        <v>8797</v>
      </c>
      <c r="I10" s="7">
        <f>ELECT.!H14</f>
        <v>6470</v>
      </c>
      <c r="J10" s="8">
        <f>Gas!C12</f>
        <v>217</v>
      </c>
      <c r="K10" s="8">
        <f>Gas!E12</f>
        <v>657</v>
      </c>
      <c r="L10" s="8">
        <f>Gas!G12</f>
        <v>119</v>
      </c>
      <c r="M10" s="16">
        <f>Gas!I12</f>
        <v>27</v>
      </c>
      <c r="N10" s="16">
        <f>Gas!K12</f>
        <v>2</v>
      </c>
      <c r="O10" s="8">
        <f>Gas!M12</f>
        <v>57</v>
      </c>
      <c r="P10" s="8">
        <f>Gas!O12</f>
        <v>101</v>
      </c>
      <c r="Q10" s="8">
        <f>Gas!Q12</f>
        <v>0</v>
      </c>
      <c r="R10" s="8">
        <f>Gas!S12</f>
        <v>221</v>
      </c>
      <c r="S10" s="8">
        <f>Gas!U12</f>
        <v>25</v>
      </c>
      <c r="T10" s="8">
        <f>Gas!W12</f>
        <v>49</v>
      </c>
      <c r="U10" s="8">
        <f>Gas!Y12</f>
        <v>36</v>
      </c>
      <c r="V10" s="8">
        <f>Gas!AA12</f>
        <v>104</v>
      </c>
      <c r="W10" s="8">
        <f>Gas!AC12</f>
        <v>0</v>
      </c>
      <c r="X10" s="7">
        <f>ELECT.!B14</f>
        <v>114</v>
      </c>
    </row>
    <row r="11" spans="1:24">
      <c r="A11" s="11" t="s">
        <v>11</v>
      </c>
      <c r="B11" s="14">
        <f t="shared" si="0"/>
        <v>10</v>
      </c>
      <c r="C11" s="14">
        <v>9</v>
      </c>
      <c r="D11" s="14">
        <v>2021</v>
      </c>
      <c r="E11" s="7">
        <f>Water!C14</f>
        <v>300</v>
      </c>
      <c r="F11" s="7">
        <f>Water!E14</f>
        <v>415</v>
      </c>
      <c r="G11" s="7">
        <f>ELECT.!D15</f>
        <v>4851</v>
      </c>
      <c r="H11" s="7">
        <f>ELECT.!F15</f>
        <v>9040</v>
      </c>
      <c r="I11" s="7">
        <f>ELECT.!H15</f>
        <v>6452</v>
      </c>
      <c r="J11" s="8">
        <f>Gas!C13</f>
        <v>259</v>
      </c>
      <c r="K11" s="8">
        <f>Gas!E13</f>
        <v>597</v>
      </c>
      <c r="L11" s="8">
        <f>Gas!G13</f>
        <v>124</v>
      </c>
      <c r="M11" s="16">
        <f>Gas!I13</f>
        <v>30</v>
      </c>
      <c r="N11" s="16">
        <f>Gas!K13</f>
        <v>1</v>
      </c>
      <c r="O11" s="8">
        <f>Gas!M13</f>
        <v>60</v>
      </c>
      <c r="P11" s="8">
        <f>Gas!O13</f>
        <v>140</v>
      </c>
      <c r="Q11" s="8">
        <f>Gas!Q13</f>
        <v>0</v>
      </c>
      <c r="R11" s="8">
        <f>Gas!S13</f>
        <v>272</v>
      </c>
      <c r="S11" s="8">
        <f>Gas!U13</f>
        <v>18</v>
      </c>
      <c r="T11" s="8">
        <f>Gas!W13</f>
        <v>47</v>
      </c>
      <c r="U11" s="8">
        <f>Gas!Y13</f>
        <v>44</v>
      </c>
      <c r="V11" s="8">
        <f>Gas!AA13</f>
        <v>112</v>
      </c>
      <c r="W11" s="8">
        <f>Gas!AC13</f>
        <v>0</v>
      </c>
      <c r="X11" s="7">
        <f>ELECT.!B15</f>
        <v>114</v>
      </c>
    </row>
    <row r="12" spans="1:24">
      <c r="A12" s="11" t="s">
        <v>11</v>
      </c>
      <c r="B12" s="14">
        <f t="shared" si="0"/>
        <v>11</v>
      </c>
      <c r="C12" s="14">
        <v>9</v>
      </c>
      <c r="D12" s="14">
        <v>2021</v>
      </c>
      <c r="E12" s="7">
        <f>Water!C15</f>
        <v>340</v>
      </c>
      <c r="F12" s="7">
        <f>Water!E15</f>
        <v>389</v>
      </c>
      <c r="G12" s="7">
        <f>ELECT.!D16</f>
        <v>4831</v>
      </c>
      <c r="H12" s="7">
        <f>ELECT.!F16</f>
        <v>8630</v>
      </c>
      <c r="I12" s="7">
        <f>ELECT.!H16</f>
        <v>6301</v>
      </c>
      <c r="J12" s="8">
        <f>Gas!C14</f>
        <v>243</v>
      </c>
      <c r="K12" s="8">
        <f>Gas!E14</f>
        <v>632</v>
      </c>
      <c r="L12" s="8">
        <f>Gas!G14</f>
        <v>135</v>
      </c>
      <c r="M12" s="16">
        <f>Gas!I14</f>
        <v>28</v>
      </c>
      <c r="N12" s="16">
        <f>Gas!K14</f>
        <v>0</v>
      </c>
      <c r="O12" s="8">
        <f>Gas!M14</f>
        <v>48</v>
      </c>
      <c r="P12" s="8">
        <f>Gas!O14</f>
        <v>87</v>
      </c>
      <c r="Q12" s="8">
        <f>Gas!Q14</f>
        <v>0</v>
      </c>
      <c r="R12" s="8">
        <f>Gas!S14</f>
        <v>279</v>
      </c>
      <c r="S12" s="8">
        <f>Gas!U14</f>
        <v>30</v>
      </c>
      <c r="T12" s="8">
        <f>Gas!W14</f>
        <v>50</v>
      </c>
      <c r="U12" s="8">
        <f>Gas!Y14</f>
        <v>45</v>
      </c>
      <c r="V12" s="8">
        <f>Gas!AA14</f>
        <v>111</v>
      </c>
      <c r="W12" s="8">
        <f>Gas!AC14</f>
        <v>0</v>
      </c>
      <c r="X12" s="7">
        <f>ELECT.!B16</f>
        <v>87</v>
      </c>
    </row>
    <row r="13" spans="1:24">
      <c r="A13" s="11" t="s">
        <v>11</v>
      </c>
      <c r="B13" s="14">
        <f t="shared" si="0"/>
        <v>12</v>
      </c>
      <c r="C13" s="14">
        <v>9</v>
      </c>
      <c r="D13" s="14">
        <v>2021</v>
      </c>
      <c r="E13" s="7">
        <f>Water!C16</f>
        <v>240</v>
      </c>
      <c r="F13" s="7">
        <f>Water!E16</f>
        <v>403</v>
      </c>
      <c r="G13" s="7">
        <f>ELECT.!D17</f>
        <v>4779</v>
      </c>
      <c r="H13" s="7">
        <f>ELECT.!F17</f>
        <v>8465</v>
      </c>
      <c r="I13" s="7">
        <f>ELECT.!H17</f>
        <v>5981</v>
      </c>
      <c r="J13" s="8">
        <f>Gas!C15</f>
        <v>289</v>
      </c>
      <c r="K13" s="8">
        <f>Gas!E15</f>
        <v>587</v>
      </c>
      <c r="L13" s="8">
        <f>Gas!G15</f>
        <v>129</v>
      </c>
      <c r="M13" s="16">
        <f>Gas!I15</f>
        <v>31</v>
      </c>
      <c r="N13" s="16">
        <f>Gas!K15</f>
        <v>4</v>
      </c>
      <c r="O13" s="8">
        <f>Gas!M15</f>
        <v>49</v>
      </c>
      <c r="P13" s="8">
        <f>Gas!O15</f>
        <v>17</v>
      </c>
      <c r="Q13" s="8">
        <f>Gas!Q15</f>
        <v>0</v>
      </c>
      <c r="R13" s="8">
        <f>Gas!S15</f>
        <v>281</v>
      </c>
      <c r="S13" s="8">
        <f>Gas!U15</f>
        <v>30</v>
      </c>
      <c r="T13" s="8">
        <f>Gas!W15</f>
        <v>52</v>
      </c>
      <c r="U13" s="8">
        <f>Gas!Y15</f>
        <v>33</v>
      </c>
      <c r="V13" s="8">
        <f>Gas!AA15</f>
        <v>102</v>
      </c>
      <c r="W13" s="8">
        <f>Gas!AC15</f>
        <v>0</v>
      </c>
      <c r="X13" s="7">
        <f>ELECT.!B17</f>
        <v>88</v>
      </c>
    </row>
    <row r="14" spans="1:24">
      <c r="A14" s="11" t="s">
        <v>11</v>
      </c>
      <c r="B14" s="14">
        <f t="shared" si="0"/>
        <v>13</v>
      </c>
      <c r="C14" s="14">
        <v>9</v>
      </c>
      <c r="D14" s="14">
        <v>2021</v>
      </c>
      <c r="E14" s="7">
        <f>Water!C17</f>
        <v>250</v>
      </c>
      <c r="F14" s="7">
        <f>Water!E17</f>
        <v>405</v>
      </c>
      <c r="G14" s="7">
        <f>ELECT.!D18</f>
        <v>4011</v>
      </c>
      <c r="H14" s="7">
        <f>ELECT.!F18</f>
        <v>7373</v>
      </c>
      <c r="I14" s="7">
        <f>ELECT.!H18</f>
        <v>4987</v>
      </c>
      <c r="J14" s="8">
        <f>Gas!C16</f>
        <v>240</v>
      </c>
      <c r="K14" s="8">
        <f>Gas!E16</f>
        <v>544</v>
      </c>
      <c r="L14" s="8">
        <f>Gas!G16</f>
        <v>86</v>
      </c>
      <c r="M14" s="16">
        <f>Gas!I16</f>
        <v>21</v>
      </c>
      <c r="N14" s="16">
        <f>Gas!K16</f>
        <v>13</v>
      </c>
      <c r="O14" s="8">
        <f>Gas!M16</f>
        <v>59</v>
      </c>
      <c r="P14" s="8">
        <f>Gas!O16</f>
        <v>19</v>
      </c>
      <c r="Q14" s="8">
        <f>Gas!Q16</f>
        <v>0</v>
      </c>
      <c r="R14" s="8">
        <f>Gas!S16</f>
        <v>165</v>
      </c>
      <c r="S14" s="8">
        <f>Gas!U16</f>
        <v>31</v>
      </c>
      <c r="T14" s="8">
        <f>Gas!W16</f>
        <v>50</v>
      </c>
      <c r="U14" s="8">
        <f>Gas!Y16</f>
        <v>39</v>
      </c>
      <c r="V14" s="8">
        <f>Gas!AA16</f>
        <v>119</v>
      </c>
      <c r="W14" s="8">
        <f>Gas!AC16</f>
        <v>0</v>
      </c>
      <c r="X14" s="7">
        <f>ELECT.!B18</f>
        <v>70</v>
      </c>
    </row>
    <row r="15" spans="1:24">
      <c r="A15" s="11" t="s">
        <v>11</v>
      </c>
      <c r="B15" s="14">
        <f t="shared" si="0"/>
        <v>14</v>
      </c>
      <c r="C15" s="14">
        <v>9</v>
      </c>
      <c r="D15" s="14">
        <v>2021</v>
      </c>
      <c r="E15" s="7">
        <f>Water!C18</f>
        <v>270</v>
      </c>
      <c r="F15" s="7">
        <f>Water!E18</f>
        <v>382</v>
      </c>
      <c r="G15" s="7">
        <f>ELECT.!D19</f>
        <v>4507</v>
      </c>
      <c r="H15" s="7">
        <f>ELECT.!F19</f>
        <v>8702</v>
      </c>
      <c r="I15" s="7">
        <f>ELECT.!H19</f>
        <v>5852</v>
      </c>
      <c r="J15" s="8">
        <f>Gas!C17</f>
        <v>215</v>
      </c>
      <c r="K15" s="8">
        <f>Gas!E17</f>
        <v>627</v>
      </c>
      <c r="L15" s="8">
        <f>Gas!G17</f>
        <v>121</v>
      </c>
      <c r="M15" s="16">
        <f>Gas!I17</f>
        <v>22</v>
      </c>
      <c r="N15" s="16">
        <f>Gas!K17</f>
        <v>11</v>
      </c>
      <c r="O15" s="8">
        <f>Gas!M17</f>
        <v>59</v>
      </c>
      <c r="P15" s="8">
        <f>Gas!O17</f>
        <v>103</v>
      </c>
      <c r="Q15" s="8">
        <f>Gas!Q17</f>
        <v>0</v>
      </c>
      <c r="R15" s="8">
        <f>Gas!S17</f>
        <v>240</v>
      </c>
      <c r="S15" s="8">
        <f>Gas!U17</f>
        <v>24</v>
      </c>
      <c r="T15" s="8">
        <f>Gas!W17</f>
        <v>46</v>
      </c>
      <c r="U15" s="8">
        <f>Gas!Y17</f>
        <v>29</v>
      </c>
      <c r="V15" s="8">
        <f>Gas!AA17</f>
        <v>100</v>
      </c>
      <c r="W15" s="8">
        <f>Gas!AC17</f>
        <v>0</v>
      </c>
      <c r="X15" s="7">
        <f>ELECT.!B19</f>
        <v>85</v>
      </c>
    </row>
    <row r="16" spans="1:24">
      <c r="A16" s="11" t="s">
        <v>11</v>
      </c>
      <c r="B16" s="14">
        <f t="shared" si="0"/>
        <v>15</v>
      </c>
      <c r="C16" s="14">
        <v>9</v>
      </c>
      <c r="D16" s="14">
        <v>2021</v>
      </c>
      <c r="E16" s="7">
        <f>Water!C19</f>
        <v>300</v>
      </c>
      <c r="F16" s="7">
        <f>Water!E19</f>
        <v>433</v>
      </c>
      <c r="G16" s="7">
        <f>ELECT.!D20</f>
        <v>4747</v>
      </c>
      <c r="H16" s="7">
        <f>ELECT.!F20</f>
        <v>8035</v>
      </c>
      <c r="I16" s="7">
        <f>ELECT.!H20</f>
        <v>6112</v>
      </c>
      <c r="J16" s="8">
        <f>Gas!C18</f>
        <v>347</v>
      </c>
      <c r="K16" s="8">
        <f>Gas!E18</f>
        <v>597</v>
      </c>
      <c r="L16" s="8">
        <f>Gas!G18</f>
        <v>118</v>
      </c>
      <c r="M16" s="16">
        <f>Gas!I18</f>
        <v>28</v>
      </c>
      <c r="N16" s="16">
        <f>Gas!K18</f>
        <v>1</v>
      </c>
      <c r="O16" s="8">
        <f>Gas!M18</f>
        <v>69</v>
      </c>
      <c r="P16" s="8">
        <f>Gas!O18</f>
        <v>94</v>
      </c>
      <c r="Q16" s="8">
        <f>Gas!Q18</f>
        <v>0</v>
      </c>
      <c r="R16" s="8">
        <f>Gas!S18</f>
        <v>156</v>
      </c>
      <c r="S16" s="8">
        <f>Gas!U18</f>
        <v>22</v>
      </c>
      <c r="T16" s="8">
        <f>Gas!W18</f>
        <v>46</v>
      </c>
      <c r="U16" s="8">
        <f>Gas!Y18</f>
        <v>29</v>
      </c>
      <c r="V16" s="8">
        <f>Gas!AA18</f>
        <v>81</v>
      </c>
      <c r="W16" s="8">
        <f>Gas!AC18</f>
        <v>0</v>
      </c>
      <c r="X16" s="7">
        <f>ELECT.!B20</f>
        <v>114</v>
      </c>
    </row>
    <row r="17" spans="1:24">
      <c r="A17" s="11" t="s">
        <v>11</v>
      </c>
      <c r="B17" s="14">
        <f t="shared" si="0"/>
        <v>16</v>
      </c>
      <c r="C17" s="14">
        <v>9</v>
      </c>
      <c r="D17" s="14">
        <v>2021</v>
      </c>
      <c r="E17" s="7">
        <f>Water!C20</f>
        <v>310</v>
      </c>
      <c r="F17" s="7">
        <f>Water!E20</f>
        <v>466</v>
      </c>
      <c r="G17" s="7">
        <f>ELECT.!D21</f>
        <v>4726</v>
      </c>
      <c r="H17" s="7">
        <f>ELECT.!F21</f>
        <v>8655</v>
      </c>
      <c r="I17" s="7">
        <f>ELECT.!H21</f>
        <v>6488</v>
      </c>
      <c r="J17" s="8">
        <f>Gas!C19</f>
        <v>192</v>
      </c>
      <c r="K17" s="8">
        <f>Gas!E19</f>
        <v>594</v>
      </c>
      <c r="L17" s="8">
        <f>Gas!G19</f>
        <v>104</v>
      </c>
      <c r="M17" s="16">
        <f>Gas!I19</f>
        <v>21</v>
      </c>
      <c r="N17" s="16">
        <f>Gas!K19</f>
        <v>3</v>
      </c>
      <c r="O17" s="8">
        <f>Gas!M19</f>
        <v>54</v>
      </c>
      <c r="P17" s="8">
        <f>Gas!O19</f>
        <v>144</v>
      </c>
      <c r="Q17" s="8">
        <f>Gas!Q19</f>
        <v>0</v>
      </c>
      <c r="R17" s="8">
        <f>Gas!S19</f>
        <v>206</v>
      </c>
      <c r="S17" s="8">
        <f>Gas!U19</f>
        <v>24</v>
      </c>
      <c r="T17" s="8">
        <f>Gas!W19</f>
        <v>72</v>
      </c>
      <c r="U17" s="8">
        <f>Gas!Y19</f>
        <v>48</v>
      </c>
      <c r="V17" s="8">
        <f>Gas!AA19</f>
        <v>147</v>
      </c>
      <c r="W17" s="8">
        <f>Gas!AC19</f>
        <v>0</v>
      </c>
      <c r="X17" s="7">
        <f>ELECT.!B21</f>
        <v>114</v>
      </c>
    </row>
    <row r="18" spans="1:24">
      <c r="A18" s="11" t="s">
        <v>11</v>
      </c>
      <c r="B18" s="14">
        <f t="shared" si="0"/>
        <v>17</v>
      </c>
      <c r="C18" s="14">
        <v>9</v>
      </c>
      <c r="D18" s="14">
        <v>2021</v>
      </c>
      <c r="E18" s="7">
        <f>Water!C21</f>
        <v>280</v>
      </c>
      <c r="F18" s="7">
        <f>Water!E21</f>
        <v>398</v>
      </c>
      <c r="G18" s="7">
        <f>ELECT.!D22</f>
        <v>4906</v>
      </c>
      <c r="H18" s="7">
        <f>ELECT.!F22</f>
        <v>9073</v>
      </c>
      <c r="I18" s="7">
        <f>ELECT.!H22</f>
        <v>6553</v>
      </c>
      <c r="J18" s="8">
        <f>Gas!C20</f>
        <v>206</v>
      </c>
      <c r="K18" s="8">
        <f>Gas!E20</f>
        <v>644</v>
      </c>
      <c r="L18" s="8">
        <f>Gas!G20</f>
        <v>129</v>
      </c>
      <c r="M18" s="16">
        <f>Gas!I20</f>
        <v>27</v>
      </c>
      <c r="N18" s="16">
        <f>Gas!K20</f>
        <v>0</v>
      </c>
      <c r="O18" s="8">
        <f>Gas!M20</f>
        <v>57</v>
      </c>
      <c r="P18" s="8">
        <f>Gas!O20</f>
        <v>63</v>
      </c>
      <c r="Q18" s="8">
        <f>Gas!Q20</f>
        <v>0</v>
      </c>
      <c r="R18" s="8">
        <f>Gas!S20</f>
        <v>214</v>
      </c>
      <c r="S18" s="8">
        <f>Gas!U20</f>
        <v>25</v>
      </c>
      <c r="T18" s="8">
        <f>Gas!W20</f>
        <v>26</v>
      </c>
      <c r="U18" s="8">
        <f>Gas!Y20</f>
        <v>43</v>
      </c>
      <c r="V18" s="8">
        <f>Gas!AA20</f>
        <v>220</v>
      </c>
      <c r="W18" s="8">
        <f>Gas!AC20</f>
        <v>0</v>
      </c>
      <c r="X18" s="7">
        <f>ELECT.!B22</f>
        <v>113</v>
      </c>
    </row>
    <row r="19" spans="1:24">
      <c r="A19" s="11" t="s">
        <v>11</v>
      </c>
      <c r="B19" s="14">
        <f t="shared" si="0"/>
        <v>18</v>
      </c>
      <c r="C19" s="14">
        <v>9</v>
      </c>
      <c r="D19" s="14">
        <v>2021</v>
      </c>
      <c r="E19" s="7">
        <f>Water!C22</f>
        <v>280</v>
      </c>
      <c r="F19" s="7">
        <f>Water!E22</f>
        <v>410</v>
      </c>
      <c r="G19" s="7">
        <f>ELECT.!D23</f>
        <v>4410</v>
      </c>
      <c r="H19" s="7">
        <f>ELECT.!F23</f>
        <v>7946</v>
      </c>
      <c r="I19" s="7">
        <f>ELECT.!H23</f>
        <v>5418</v>
      </c>
      <c r="J19" s="8">
        <f>Gas!C21</f>
        <v>309</v>
      </c>
      <c r="K19" s="8">
        <f>Gas!E21</f>
        <v>715</v>
      </c>
      <c r="L19" s="8">
        <f>Gas!G21</f>
        <v>120</v>
      </c>
      <c r="M19" s="16">
        <f>Gas!I21</f>
        <v>21</v>
      </c>
      <c r="N19" s="16">
        <f>Gas!K21</f>
        <v>0</v>
      </c>
      <c r="O19" s="8">
        <f>Gas!M21</f>
        <v>58</v>
      </c>
      <c r="P19" s="8">
        <f>Gas!O21</f>
        <v>62</v>
      </c>
      <c r="Q19" s="8">
        <f>Gas!Q21</f>
        <v>0</v>
      </c>
      <c r="R19" s="8">
        <f>Gas!S21</f>
        <v>293</v>
      </c>
      <c r="S19" s="8">
        <f>Gas!U21</f>
        <v>34</v>
      </c>
      <c r="T19" s="8">
        <f>Gas!W21</f>
        <v>53</v>
      </c>
      <c r="U19" s="8">
        <f>Gas!Y21</f>
        <v>40</v>
      </c>
      <c r="V19" s="8">
        <f>Gas!AA21</f>
        <v>276</v>
      </c>
      <c r="W19" s="8">
        <f>Gas!AC21</f>
        <v>0</v>
      </c>
      <c r="X19" s="7">
        <f>ELECT.!B23</f>
        <v>94</v>
      </c>
    </row>
    <row r="20" spans="1:24">
      <c r="A20" s="11" t="s">
        <v>11</v>
      </c>
      <c r="B20" s="14">
        <f t="shared" si="0"/>
        <v>19</v>
      </c>
      <c r="C20" s="14">
        <v>9</v>
      </c>
      <c r="D20" s="14">
        <v>2021</v>
      </c>
      <c r="E20" s="7">
        <f>Water!C23</f>
        <v>240</v>
      </c>
      <c r="F20" s="7">
        <f>Water!E23</f>
        <v>411</v>
      </c>
      <c r="G20" s="7">
        <f>ELECT.!D24</f>
        <v>4535</v>
      </c>
      <c r="H20" s="7">
        <f>ELECT.!F24</f>
        <v>8447</v>
      </c>
      <c r="I20" s="7">
        <f>ELECT.!H24</f>
        <v>6043</v>
      </c>
      <c r="J20" s="8">
        <f>Gas!C22</f>
        <v>278</v>
      </c>
      <c r="K20" s="8">
        <f>Gas!E22</f>
        <v>573</v>
      </c>
      <c r="L20" s="8">
        <f>Gas!G22</f>
        <v>106</v>
      </c>
      <c r="M20" s="16">
        <f>Gas!I22</f>
        <v>23</v>
      </c>
      <c r="N20" s="16">
        <f>Gas!K22</f>
        <v>0</v>
      </c>
      <c r="O20" s="8">
        <f>Gas!M22</f>
        <v>54</v>
      </c>
      <c r="P20" s="8">
        <f>Gas!O22</f>
        <v>87</v>
      </c>
      <c r="Q20" s="8">
        <f>Gas!Q22</f>
        <v>0</v>
      </c>
      <c r="R20" s="8">
        <f>Gas!S22</f>
        <v>170</v>
      </c>
      <c r="S20" s="8">
        <f>Gas!U22</f>
        <v>20</v>
      </c>
      <c r="T20" s="8">
        <f>Gas!W22</f>
        <v>47</v>
      </c>
      <c r="U20" s="8">
        <f>Gas!Y22</f>
        <v>26</v>
      </c>
      <c r="V20" s="8">
        <f>Gas!AA22</f>
        <v>210</v>
      </c>
      <c r="W20" s="8">
        <f>Gas!AC22</f>
        <v>0</v>
      </c>
      <c r="X20" s="7">
        <f>ELECT.!B24</f>
        <v>98</v>
      </c>
    </row>
    <row r="21" spans="1:24">
      <c r="A21" s="11" t="s">
        <v>11</v>
      </c>
      <c r="B21" s="14">
        <f t="shared" si="0"/>
        <v>20</v>
      </c>
      <c r="C21" s="14">
        <v>9</v>
      </c>
      <c r="D21" s="14">
        <v>2021</v>
      </c>
      <c r="E21" s="7">
        <f>Water!C24</f>
        <v>380</v>
      </c>
      <c r="F21" s="7">
        <f>Water!E24</f>
        <v>431</v>
      </c>
      <c r="G21" s="7">
        <f>ELECT.!D25</f>
        <v>4752</v>
      </c>
      <c r="H21" s="7">
        <f>ELECT.!F25</f>
        <v>8999</v>
      </c>
      <c r="I21" s="7">
        <f>ELECT.!H25</f>
        <v>6561</v>
      </c>
      <c r="J21" s="8">
        <f>Gas!C23</f>
        <v>204</v>
      </c>
      <c r="K21" s="8">
        <f>Gas!E23</f>
        <v>660</v>
      </c>
      <c r="L21" s="8">
        <f>Gas!G23</f>
        <v>138</v>
      </c>
      <c r="M21" s="16">
        <f>Gas!I23</f>
        <v>24</v>
      </c>
      <c r="N21" s="16">
        <f>Gas!K23</f>
        <v>0</v>
      </c>
      <c r="O21" s="8">
        <f>Gas!M23</f>
        <v>60</v>
      </c>
      <c r="P21" s="8">
        <f>Gas!O23</f>
        <v>156</v>
      </c>
      <c r="Q21" s="8">
        <f>Gas!Q23</f>
        <v>0</v>
      </c>
      <c r="R21" s="8">
        <f>Gas!S23</f>
        <v>209</v>
      </c>
      <c r="S21" s="8">
        <f>Gas!U23</f>
        <v>22</v>
      </c>
      <c r="T21" s="8">
        <f>Gas!W23</f>
        <v>46</v>
      </c>
      <c r="U21" s="8">
        <f>Gas!Y23</f>
        <v>44</v>
      </c>
      <c r="V21" s="8">
        <f>Gas!AA23</f>
        <v>249</v>
      </c>
      <c r="W21" s="8">
        <f>Gas!AC23</f>
        <v>0</v>
      </c>
      <c r="X21" s="7">
        <f>ELECT.!B25</f>
        <v>100</v>
      </c>
    </row>
    <row r="22" spans="1:24">
      <c r="A22" s="11" t="s">
        <v>11</v>
      </c>
      <c r="B22" s="14">
        <f t="shared" si="0"/>
        <v>21</v>
      </c>
      <c r="C22" s="14">
        <v>9</v>
      </c>
      <c r="D22" s="14">
        <v>2021</v>
      </c>
      <c r="E22" s="7">
        <f>Water!C25</f>
        <v>320</v>
      </c>
      <c r="F22" s="7">
        <f>Water!E25</f>
        <v>396</v>
      </c>
      <c r="G22" s="7">
        <f>ELECT.!D26</f>
        <v>4586</v>
      </c>
      <c r="H22" s="7">
        <f>ELECT.!F26</f>
        <v>8671</v>
      </c>
      <c r="I22" s="7">
        <f>ELECT.!H26</f>
        <v>6369</v>
      </c>
      <c r="J22" s="8">
        <f>Gas!C24</f>
        <v>281</v>
      </c>
      <c r="K22" s="8">
        <f>Gas!E24</f>
        <v>611</v>
      </c>
      <c r="L22" s="8">
        <f>Gas!G24</f>
        <v>121</v>
      </c>
      <c r="M22" s="16">
        <f>Gas!I24</f>
        <v>25</v>
      </c>
      <c r="N22" s="16">
        <f>Gas!K24</f>
        <v>0</v>
      </c>
      <c r="O22" s="8">
        <f>Gas!M24</f>
        <v>56</v>
      </c>
      <c r="P22" s="8">
        <f>Gas!O24</f>
        <v>73</v>
      </c>
      <c r="Q22" s="8">
        <f>Gas!Q24</f>
        <v>0</v>
      </c>
      <c r="R22" s="8">
        <f>Gas!S24</f>
        <v>225</v>
      </c>
      <c r="S22" s="8">
        <f>Gas!U24</f>
        <v>31</v>
      </c>
      <c r="T22" s="8">
        <f>Gas!W24</f>
        <v>45</v>
      </c>
      <c r="U22" s="8">
        <f>Gas!Y24</f>
        <v>36</v>
      </c>
      <c r="V22" s="8">
        <f>Gas!AA24</f>
        <v>185</v>
      </c>
      <c r="W22" s="8">
        <f>Gas!AC24</f>
        <v>0</v>
      </c>
      <c r="X22" s="7">
        <f>ELECT.!B26</f>
        <v>114</v>
      </c>
    </row>
    <row r="23" spans="1:24">
      <c r="A23" s="11" t="s">
        <v>11</v>
      </c>
      <c r="B23" s="14">
        <f t="shared" si="0"/>
        <v>22</v>
      </c>
      <c r="C23" s="14">
        <v>9</v>
      </c>
      <c r="D23" s="14">
        <v>2021</v>
      </c>
      <c r="E23" s="7">
        <f>Water!C26</f>
        <v>250</v>
      </c>
      <c r="F23" s="7">
        <f>Water!E26</f>
        <v>435</v>
      </c>
      <c r="G23" s="7">
        <f>ELECT.!D27</f>
        <v>4705</v>
      </c>
      <c r="H23" s="7">
        <f>ELECT.!F27</f>
        <v>8885</v>
      </c>
      <c r="I23" s="7">
        <f>ELECT.!H27</f>
        <v>6533</v>
      </c>
      <c r="J23" s="8">
        <f>Gas!C25</f>
        <v>242</v>
      </c>
      <c r="K23" s="8">
        <f>Gas!E25</f>
        <v>645</v>
      </c>
      <c r="L23" s="8">
        <f>Gas!G25</f>
        <v>139</v>
      </c>
      <c r="M23" s="16">
        <f>Gas!I25</f>
        <v>27</v>
      </c>
      <c r="N23" s="16">
        <f>Gas!K25</f>
        <v>0</v>
      </c>
      <c r="O23" s="8">
        <f>Gas!M25</f>
        <v>60</v>
      </c>
      <c r="P23" s="8">
        <f>Gas!O25</f>
        <v>143</v>
      </c>
      <c r="Q23" s="8">
        <f>Gas!Q25</f>
        <v>0</v>
      </c>
      <c r="R23" s="8">
        <f>Gas!S25</f>
        <v>219</v>
      </c>
      <c r="S23" s="8">
        <f>Gas!U25</f>
        <v>15</v>
      </c>
      <c r="T23" s="8">
        <f>Gas!W25</f>
        <v>44</v>
      </c>
      <c r="U23" s="8">
        <f>Gas!Y25</f>
        <v>29</v>
      </c>
      <c r="V23" s="8">
        <f>Gas!AA25</f>
        <v>174</v>
      </c>
      <c r="W23" s="8">
        <f>Gas!AC25</f>
        <v>0</v>
      </c>
      <c r="X23" s="7">
        <f>ELECT.!B27</f>
        <v>114</v>
      </c>
    </row>
    <row r="24" spans="1:24">
      <c r="A24" s="11" t="s">
        <v>11</v>
      </c>
      <c r="B24" s="14">
        <f t="shared" si="0"/>
        <v>23</v>
      </c>
      <c r="C24" s="14">
        <v>9</v>
      </c>
      <c r="D24" s="14">
        <v>2021</v>
      </c>
      <c r="E24" s="7">
        <f>Water!C27</f>
        <v>260</v>
      </c>
      <c r="F24" s="7">
        <f>Water!E27</f>
        <v>488</v>
      </c>
      <c r="G24" s="7">
        <f>ELECT.!D28</f>
        <v>4271</v>
      </c>
      <c r="H24" s="7">
        <f>ELECT.!F28</f>
        <v>7808</v>
      </c>
      <c r="I24" s="7">
        <f>ELECT.!H28</f>
        <v>5191</v>
      </c>
      <c r="J24" s="8">
        <f>Gas!C26</f>
        <v>229</v>
      </c>
      <c r="K24" s="8">
        <f>Gas!E26</f>
        <v>653</v>
      </c>
      <c r="L24" s="8">
        <f>Gas!G26</f>
        <v>127</v>
      </c>
      <c r="M24" s="16">
        <f>Gas!I26</f>
        <v>26</v>
      </c>
      <c r="N24" s="16">
        <f>Gas!K26</f>
        <v>2</v>
      </c>
      <c r="O24" s="8">
        <f>Gas!M26</f>
        <v>54</v>
      </c>
      <c r="P24" s="8">
        <f>Gas!O26</f>
        <v>138</v>
      </c>
      <c r="Q24" s="8">
        <f>Gas!Q26</f>
        <v>0</v>
      </c>
      <c r="R24" s="8">
        <f>Gas!S26</f>
        <v>219</v>
      </c>
      <c r="S24" s="8">
        <f>Gas!U26</f>
        <v>37</v>
      </c>
      <c r="T24" s="8">
        <f>Gas!W26</f>
        <v>53</v>
      </c>
      <c r="U24" s="8">
        <f>Gas!Y26</f>
        <v>51</v>
      </c>
      <c r="V24" s="8">
        <f>Gas!AA26</f>
        <v>242</v>
      </c>
      <c r="W24" s="8">
        <f>Gas!AC26</f>
        <v>0</v>
      </c>
      <c r="X24" s="7">
        <f>ELECT.!B28</f>
        <v>114</v>
      </c>
    </row>
    <row r="25" spans="1:24">
      <c r="A25" s="11" t="s">
        <v>11</v>
      </c>
      <c r="B25" s="14">
        <f t="shared" si="0"/>
        <v>24</v>
      </c>
      <c r="C25" s="14">
        <v>9</v>
      </c>
      <c r="D25" s="14">
        <v>2021</v>
      </c>
      <c r="E25" s="7">
        <f>Water!C28</f>
        <v>310</v>
      </c>
      <c r="F25" s="7">
        <f>Water!E28</f>
        <v>479</v>
      </c>
      <c r="G25" s="7">
        <f>ELECT.!D29</f>
        <v>4925</v>
      </c>
      <c r="H25" s="7">
        <f>ELECT.!F29</f>
        <v>8896</v>
      </c>
      <c r="I25" s="7">
        <f>ELECT.!H29</f>
        <v>5978</v>
      </c>
      <c r="J25" s="8">
        <f>Gas!C27</f>
        <v>291</v>
      </c>
      <c r="K25" s="8">
        <f>Gas!E27</f>
        <v>600</v>
      </c>
      <c r="L25" s="8">
        <f>Gas!G27</f>
        <v>82</v>
      </c>
      <c r="M25" s="16">
        <f>Gas!I27</f>
        <v>22</v>
      </c>
      <c r="N25" s="16">
        <f>Gas!K27</f>
        <v>12</v>
      </c>
      <c r="O25" s="8">
        <f>Gas!M27</f>
        <v>57</v>
      </c>
      <c r="P25" s="8">
        <f>Gas!O27</f>
        <v>144</v>
      </c>
      <c r="Q25" s="8">
        <f>Gas!Q27</f>
        <v>0</v>
      </c>
      <c r="R25" s="8">
        <f>Gas!S27</f>
        <v>234</v>
      </c>
      <c r="S25" s="8">
        <f>Gas!U27</f>
        <v>18</v>
      </c>
      <c r="T25" s="8">
        <f>Gas!W27</f>
        <v>44</v>
      </c>
      <c r="U25" s="8">
        <f>Gas!Y27</f>
        <v>32</v>
      </c>
      <c r="V25" s="8">
        <f>Gas!AA27</f>
        <v>359</v>
      </c>
      <c r="W25" s="8">
        <f>Gas!AC27</f>
        <v>0</v>
      </c>
      <c r="X25" s="7">
        <f>ELECT.!B29</f>
        <v>114</v>
      </c>
    </row>
    <row r="26" spans="1:24">
      <c r="A26" s="11" t="s">
        <v>11</v>
      </c>
      <c r="B26" s="14">
        <f>B25+1</f>
        <v>25</v>
      </c>
      <c r="C26" s="14">
        <v>9</v>
      </c>
      <c r="D26" s="14">
        <v>2021</v>
      </c>
      <c r="E26" s="7">
        <f>Water!C29</f>
        <v>270</v>
      </c>
      <c r="F26" s="7">
        <f>Water!E29</f>
        <v>581</v>
      </c>
      <c r="G26" s="7">
        <f>ELECT.!D30</f>
        <v>4478</v>
      </c>
      <c r="H26" s="7">
        <f>ELECT.!F30</f>
        <v>8649</v>
      </c>
      <c r="I26" s="7">
        <f>ELECT.!H30</f>
        <v>5796</v>
      </c>
      <c r="J26" s="8">
        <f>Gas!C28</f>
        <v>316</v>
      </c>
      <c r="K26" s="8">
        <f>Gas!E28</f>
        <v>644</v>
      </c>
      <c r="L26" s="8">
        <f>Gas!G28</f>
        <v>87</v>
      </c>
      <c r="M26" s="16">
        <f>Gas!I28</f>
        <v>28</v>
      </c>
      <c r="N26" s="16">
        <f>Gas!K28</f>
        <v>15</v>
      </c>
      <c r="O26" s="8">
        <f>Gas!M28</f>
        <v>52</v>
      </c>
      <c r="P26" s="8">
        <f>Gas!O28</f>
        <v>91</v>
      </c>
      <c r="Q26" s="8">
        <f>Gas!Q28</f>
        <v>0</v>
      </c>
      <c r="R26" s="8">
        <f>Gas!S28</f>
        <v>257</v>
      </c>
      <c r="S26" s="8">
        <f>Gas!U28</f>
        <v>33</v>
      </c>
      <c r="T26" s="8">
        <f>Gas!W28</f>
        <v>42</v>
      </c>
      <c r="U26" s="8">
        <f>Gas!Y28</f>
        <v>43</v>
      </c>
      <c r="V26" s="8">
        <f>Gas!AA28</f>
        <v>276</v>
      </c>
      <c r="W26" s="8">
        <f>Gas!AC28</f>
        <v>0</v>
      </c>
      <c r="X26" s="7">
        <f>ELECT.!B30</f>
        <v>83</v>
      </c>
    </row>
    <row r="27" spans="1:24">
      <c r="A27" s="11" t="s">
        <v>11</v>
      </c>
      <c r="B27" s="14">
        <f t="shared" si="0"/>
        <v>26</v>
      </c>
      <c r="C27" s="14">
        <v>9</v>
      </c>
      <c r="D27" s="14">
        <v>2021</v>
      </c>
      <c r="E27" s="7">
        <f>Water!C30</f>
        <v>240</v>
      </c>
      <c r="F27" s="7">
        <f>Water!E30</f>
        <v>428</v>
      </c>
      <c r="G27" s="7">
        <f>ELECT.!D31</f>
        <v>4547</v>
      </c>
      <c r="H27" s="7">
        <f>ELECT.!F31</f>
        <v>9353</v>
      </c>
      <c r="I27" s="7">
        <f>ELECT.!H31</f>
        <v>6490</v>
      </c>
      <c r="J27" s="8">
        <f>Gas!C29</f>
        <v>271</v>
      </c>
      <c r="K27" s="8">
        <f>Gas!E29</f>
        <v>567</v>
      </c>
      <c r="L27" s="8">
        <f>Gas!G29</f>
        <v>102</v>
      </c>
      <c r="M27" s="16">
        <f>Gas!I29</f>
        <v>19</v>
      </c>
      <c r="N27" s="16">
        <f>Gas!K29</f>
        <v>6</v>
      </c>
      <c r="O27" s="8">
        <f>Gas!M29</f>
        <v>51</v>
      </c>
      <c r="P27" s="8">
        <f>Gas!O29</f>
        <v>113</v>
      </c>
      <c r="Q27" s="8">
        <f>Gas!Q29</f>
        <v>0</v>
      </c>
      <c r="R27" s="8">
        <f>Gas!S29</f>
        <v>216</v>
      </c>
      <c r="S27" s="8">
        <f>Gas!U29</f>
        <v>28</v>
      </c>
      <c r="T27" s="8">
        <f>Gas!W29</f>
        <v>52</v>
      </c>
      <c r="U27" s="8">
        <f>Gas!Y29</f>
        <v>40</v>
      </c>
      <c r="V27" s="8">
        <f>Gas!AA29</f>
        <v>295</v>
      </c>
      <c r="W27" s="8">
        <f>Gas!AC29</f>
        <v>0</v>
      </c>
      <c r="X27" s="7">
        <f>ELECT.!B31</f>
        <v>80</v>
      </c>
    </row>
    <row r="28" spans="1:24">
      <c r="A28" s="11" t="s">
        <v>11</v>
      </c>
      <c r="B28" s="14">
        <f t="shared" si="0"/>
        <v>27</v>
      </c>
      <c r="C28" s="14">
        <v>9</v>
      </c>
      <c r="D28" s="14">
        <v>2021</v>
      </c>
      <c r="E28" s="7">
        <f>Water!C31</f>
        <v>250</v>
      </c>
      <c r="F28" s="7">
        <f>Water!E31</f>
        <v>410</v>
      </c>
      <c r="G28" s="7">
        <f>ELECT.!D32</f>
        <v>4387</v>
      </c>
      <c r="H28" s="7">
        <f>ELECT.!F32</f>
        <v>7998</v>
      </c>
      <c r="I28" s="7">
        <f>ELECT.!H32</f>
        <v>5472</v>
      </c>
      <c r="J28" s="8">
        <f>Gas!C30</f>
        <v>231</v>
      </c>
      <c r="K28" s="8">
        <f>Gas!E30</f>
        <v>642</v>
      </c>
      <c r="L28" s="8">
        <f>Gas!G30</f>
        <v>125</v>
      </c>
      <c r="M28" s="16">
        <f>Gas!I30</f>
        <v>22</v>
      </c>
      <c r="N28" s="16">
        <f>Gas!K30</f>
        <v>0</v>
      </c>
      <c r="O28" s="8">
        <f>Gas!M30</f>
        <v>51</v>
      </c>
      <c r="P28" s="8">
        <f>Gas!O30</f>
        <v>34</v>
      </c>
      <c r="Q28" s="8">
        <f>Gas!Q30</f>
        <v>0</v>
      </c>
      <c r="R28" s="8">
        <f>Gas!S30</f>
        <v>191</v>
      </c>
      <c r="S28" s="8">
        <f>Gas!U30</f>
        <v>15</v>
      </c>
      <c r="T28" s="8">
        <f>Gas!W30</f>
        <v>46</v>
      </c>
      <c r="U28" s="8">
        <f>Gas!Y30</f>
        <v>42</v>
      </c>
      <c r="V28" s="8">
        <f>Gas!AA30</f>
        <v>301</v>
      </c>
      <c r="W28" s="8">
        <f>Gas!AC30</f>
        <v>0</v>
      </c>
      <c r="X28" s="7">
        <f>ELECT.!B32</f>
        <v>101</v>
      </c>
    </row>
    <row r="29" spans="1:24">
      <c r="A29" s="11" t="s">
        <v>11</v>
      </c>
      <c r="B29" s="14">
        <f t="shared" si="0"/>
        <v>28</v>
      </c>
      <c r="C29" s="14">
        <v>9</v>
      </c>
      <c r="D29" s="14">
        <v>2021</v>
      </c>
      <c r="E29" s="7">
        <f>Water!C32</f>
        <v>230</v>
      </c>
      <c r="F29" s="7">
        <f>Water!E32</f>
        <v>429</v>
      </c>
      <c r="G29" s="7">
        <f>ELECT.!D33</f>
        <v>4877</v>
      </c>
      <c r="H29" s="7">
        <f>ELECT.!F33</f>
        <v>16663</v>
      </c>
      <c r="I29" s="7">
        <f>ELECT.!H33</f>
        <v>5992</v>
      </c>
      <c r="J29" s="8">
        <f>Gas!C31</f>
        <v>259</v>
      </c>
      <c r="K29" s="8">
        <f>Gas!E31</f>
        <v>607</v>
      </c>
      <c r="L29" s="8">
        <f>Gas!G31</f>
        <v>119</v>
      </c>
      <c r="M29" s="16">
        <f>Gas!I31</f>
        <v>18</v>
      </c>
      <c r="N29" s="16">
        <f>Gas!K31</f>
        <v>0</v>
      </c>
      <c r="O29" s="8">
        <f>Gas!M31</f>
        <v>72</v>
      </c>
      <c r="P29" s="8">
        <f>Gas!O31</f>
        <v>65</v>
      </c>
      <c r="Q29" s="8">
        <f>Gas!Q31</f>
        <v>0</v>
      </c>
      <c r="R29" s="8">
        <f>Gas!S31</f>
        <v>169</v>
      </c>
      <c r="S29" s="8">
        <f>Gas!U31</f>
        <v>27</v>
      </c>
      <c r="T29" s="8">
        <f>Gas!W31</f>
        <v>45</v>
      </c>
      <c r="U29" s="8">
        <f>Gas!Y31</f>
        <v>20</v>
      </c>
      <c r="V29" s="8">
        <f>Gas!AA31</f>
        <v>316</v>
      </c>
      <c r="W29" s="8">
        <f>Gas!AC31</f>
        <v>0</v>
      </c>
      <c r="X29" s="7">
        <f>ELECT.!B33</f>
        <v>114</v>
      </c>
    </row>
    <row r="30" spans="1:24">
      <c r="A30" s="11" t="s">
        <v>11</v>
      </c>
      <c r="B30" s="14">
        <f t="shared" si="0"/>
        <v>29</v>
      </c>
      <c r="C30" s="14">
        <v>9</v>
      </c>
      <c r="D30" s="14">
        <v>2021</v>
      </c>
      <c r="E30" s="7">
        <f>Water!C33</f>
        <v>260</v>
      </c>
      <c r="F30" s="7">
        <f>Water!E33</f>
        <v>431</v>
      </c>
      <c r="G30" s="7">
        <f>ELECT.!D34</f>
        <v>4142</v>
      </c>
      <c r="H30" s="7">
        <f>ELECT.!F34</f>
        <v>16677</v>
      </c>
      <c r="I30" s="7">
        <f>ELECT.!H34</f>
        <v>5710</v>
      </c>
      <c r="J30" s="8">
        <f>Gas!C32</f>
        <v>310</v>
      </c>
      <c r="K30" s="8">
        <f>Gas!E32</f>
        <v>671</v>
      </c>
      <c r="L30" s="8">
        <f>Gas!G32</f>
        <v>126</v>
      </c>
      <c r="M30" s="16">
        <f>Gas!I32</f>
        <v>32</v>
      </c>
      <c r="N30" s="16">
        <f>Gas!K32</f>
        <v>1</v>
      </c>
      <c r="O30" s="8">
        <f>Gas!M32</f>
        <v>51</v>
      </c>
      <c r="P30" s="8">
        <f>Gas!O32</f>
        <v>92</v>
      </c>
      <c r="Q30" s="8">
        <f>Gas!Q32</f>
        <v>0</v>
      </c>
      <c r="R30" s="8">
        <f>Gas!S32</f>
        <v>181</v>
      </c>
      <c r="S30" s="8">
        <f>Gas!U32</f>
        <v>29</v>
      </c>
      <c r="T30" s="8">
        <f>Gas!W32</f>
        <v>47</v>
      </c>
      <c r="U30" s="8">
        <f>Gas!Y32</f>
        <v>45</v>
      </c>
      <c r="V30" s="8">
        <f>Gas!AA32</f>
        <v>343</v>
      </c>
      <c r="W30" s="8">
        <f>Gas!AC32</f>
        <v>0</v>
      </c>
      <c r="X30" s="7">
        <f>ELECT.!B34</f>
        <v>114</v>
      </c>
    </row>
    <row r="31" spans="1:24">
      <c r="A31" s="11" t="s">
        <v>11</v>
      </c>
      <c r="B31" s="14">
        <f t="shared" si="0"/>
        <v>30</v>
      </c>
      <c r="C31" s="14">
        <v>9</v>
      </c>
      <c r="D31" s="14">
        <v>2021</v>
      </c>
      <c r="E31" s="7">
        <f>Water!C34</f>
        <v>230</v>
      </c>
      <c r="F31" s="7">
        <f>Water!E34</f>
        <v>419</v>
      </c>
      <c r="G31" s="7">
        <f>ELECT.!D35</f>
        <v>4206</v>
      </c>
      <c r="H31" s="7">
        <f>ELECT.!F35</f>
        <v>16065</v>
      </c>
      <c r="I31" s="7">
        <f>ELECT.!H35</f>
        <v>5942</v>
      </c>
      <c r="J31" s="8">
        <f>Gas!C33</f>
        <v>268</v>
      </c>
      <c r="K31" s="8">
        <f>Gas!E33</f>
        <v>651</v>
      </c>
      <c r="L31" s="8">
        <f>Gas!G33</f>
        <v>119</v>
      </c>
      <c r="M31" s="16">
        <f>Gas!I33</f>
        <v>24</v>
      </c>
      <c r="N31" s="16">
        <f>Gas!K33</f>
        <v>2</v>
      </c>
      <c r="O31" s="8">
        <f>Gas!M33</f>
        <v>47</v>
      </c>
      <c r="P31" s="8">
        <f>Gas!O33</f>
        <v>100</v>
      </c>
      <c r="Q31" s="8">
        <f>Gas!Q33</f>
        <v>0</v>
      </c>
      <c r="R31" s="8">
        <f>Gas!S33</f>
        <v>182</v>
      </c>
      <c r="S31" s="8">
        <f>Gas!U33</f>
        <v>26</v>
      </c>
      <c r="T31" s="8">
        <f>Gas!W33</f>
        <v>49</v>
      </c>
      <c r="U31" s="8">
        <f>Gas!Y33</f>
        <v>41</v>
      </c>
      <c r="V31" s="8">
        <f>Gas!AA33</f>
        <v>271</v>
      </c>
      <c r="W31" s="8">
        <f>Gas!AC33</f>
        <v>0</v>
      </c>
      <c r="X31" s="7">
        <f>ELECT.!B35</f>
        <v>114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5"/>
  <sheetViews>
    <sheetView zoomScale="70" zoomScaleNormal="70" workbookViewId="0">
      <selection activeCell="H5" sqref="H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14" t="s">
        <v>32</v>
      </c>
      <c r="B1" s="115"/>
      <c r="C1" s="115"/>
      <c r="D1" s="115"/>
      <c r="E1" s="116"/>
    </row>
    <row r="2" spans="1:5" ht="19.5" thickBot="1">
      <c r="A2" s="27" t="s">
        <v>1</v>
      </c>
      <c r="B2" s="117"/>
      <c r="C2" s="118"/>
      <c r="D2" s="118"/>
      <c r="E2" s="119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6.25">
      <c r="A4" s="46" t="s">
        <v>36</v>
      </c>
      <c r="B4" s="127">
        <v>61320</v>
      </c>
      <c r="C4" s="82">
        <v>0</v>
      </c>
      <c r="D4" s="128">
        <v>601550</v>
      </c>
      <c r="E4" s="87">
        <v>0</v>
      </c>
    </row>
    <row r="5" spans="1:5" ht="26.25">
      <c r="A5" s="113">
        <v>44440</v>
      </c>
      <c r="B5" s="127">
        <v>61346</v>
      </c>
      <c r="C5" s="83">
        <f>(IF((B5-B4)&lt;0,"0",(B5-B4)))*10</f>
        <v>260</v>
      </c>
      <c r="D5" s="128">
        <v>601900</v>
      </c>
      <c r="E5" s="87">
        <f>E8</f>
        <v>440</v>
      </c>
    </row>
    <row r="6" spans="1:5" ht="26.25">
      <c r="A6" s="113">
        <v>44441</v>
      </c>
      <c r="B6" s="127">
        <v>61373</v>
      </c>
      <c r="C6" s="83">
        <f t="shared" ref="C6:C34" si="0">(IF((B6-B5)&lt;0,"0",(B6-B5)))*10</f>
        <v>270</v>
      </c>
      <c r="D6" s="128">
        <v>602386</v>
      </c>
      <c r="E6" s="87">
        <f>E7</f>
        <v>474</v>
      </c>
    </row>
    <row r="7" spans="1:5" ht="26.25">
      <c r="A7" s="113">
        <v>44442</v>
      </c>
      <c r="B7" s="127">
        <v>61404</v>
      </c>
      <c r="C7" s="83">
        <f t="shared" si="0"/>
        <v>310</v>
      </c>
      <c r="D7" s="128">
        <v>602860</v>
      </c>
      <c r="E7" s="87">
        <f t="shared" ref="E7:E34" si="1">(IF((D7-D6)&lt;0,"0",(D7-D6)))</f>
        <v>474</v>
      </c>
    </row>
    <row r="8" spans="1:5" ht="26.25">
      <c r="A8" s="113">
        <v>44443</v>
      </c>
      <c r="B8" s="127">
        <v>61432</v>
      </c>
      <c r="C8" s="83">
        <f>(IF((B8-B7)&lt;0,"0",(B8-B7)))*10</f>
        <v>280</v>
      </c>
      <c r="D8" s="128">
        <v>603300</v>
      </c>
      <c r="E8" s="87">
        <f t="shared" si="1"/>
        <v>440</v>
      </c>
    </row>
    <row r="9" spans="1:5" ht="26.25">
      <c r="A9" s="113">
        <v>44444</v>
      </c>
      <c r="B9" s="127">
        <v>61464</v>
      </c>
      <c r="C9" s="83">
        <f t="shared" si="0"/>
        <v>320</v>
      </c>
      <c r="D9" s="128">
        <v>603782</v>
      </c>
      <c r="E9" s="87">
        <f t="shared" si="1"/>
        <v>482</v>
      </c>
    </row>
    <row r="10" spans="1:5" ht="26.25">
      <c r="A10" s="113">
        <v>44445</v>
      </c>
      <c r="B10" s="127">
        <v>61492</v>
      </c>
      <c r="C10" s="83">
        <f t="shared" si="0"/>
        <v>280</v>
      </c>
      <c r="D10" s="128">
        <v>604231</v>
      </c>
      <c r="E10" s="87">
        <f t="shared" si="1"/>
        <v>449</v>
      </c>
    </row>
    <row r="11" spans="1:5" ht="26.25">
      <c r="A11" s="113">
        <v>44446</v>
      </c>
      <c r="B11" s="127">
        <v>61526</v>
      </c>
      <c r="C11" s="83">
        <f t="shared" si="0"/>
        <v>340</v>
      </c>
      <c r="D11" s="128">
        <v>604687</v>
      </c>
      <c r="E11" s="87">
        <f t="shared" si="1"/>
        <v>456</v>
      </c>
    </row>
    <row r="12" spans="1:5" ht="26.25">
      <c r="A12" s="113">
        <v>44447</v>
      </c>
      <c r="B12" s="127">
        <v>61549</v>
      </c>
      <c r="C12" s="83">
        <f t="shared" si="0"/>
        <v>230</v>
      </c>
      <c r="D12" s="128">
        <v>605125</v>
      </c>
      <c r="E12" s="87">
        <f t="shared" si="1"/>
        <v>438</v>
      </c>
    </row>
    <row r="13" spans="1:5" ht="26.25">
      <c r="A13" s="113">
        <v>44448</v>
      </c>
      <c r="B13" s="127">
        <v>61589</v>
      </c>
      <c r="C13" s="83">
        <f t="shared" si="0"/>
        <v>400</v>
      </c>
      <c r="D13" s="128">
        <v>605571</v>
      </c>
      <c r="E13" s="87">
        <f t="shared" si="1"/>
        <v>446</v>
      </c>
    </row>
    <row r="14" spans="1:5" ht="26.25">
      <c r="A14" s="113">
        <v>44449</v>
      </c>
      <c r="B14" s="127">
        <v>61619</v>
      </c>
      <c r="C14" s="83">
        <f t="shared" si="0"/>
        <v>300</v>
      </c>
      <c r="D14" s="128">
        <v>605986</v>
      </c>
      <c r="E14" s="87">
        <f t="shared" si="1"/>
        <v>415</v>
      </c>
    </row>
    <row r="15" spans="1:5" ht="26.25">
      <c r="A15" s="113">
        <v>44450</v>
      </c>
      <c r="B15" s="127">
        <v>61653</v>
      </c>
      <c r="C15" s="83">
        <f t="shared" si="0"/>
        <v>340</v>
      </c>
      <c r="D15" s="128">
        <v>606375</v>
      </c>
      <c r="E15" s="87">
        <f t="shared" si="1"/>
        <v>389</v>
      </c>
    </row>
    <row r="16" spans="1:5" ht="26.25">
      <c r="A16" s="113">
        <v>44451</v>
      </c>
      <c r="B16" s="127">
        <v>61677</v>
      </c>
      <c r="C16" s="83">
        <f t="shared" si="0"/>
        <v>240</v>
      </c>
      <c r="D16" s="128">
        <v>606778</v>
      </c>
      <c r="E16" s="88">
        <f t="shared" si="1"/>
        <v>403</v>
      </c>
    </row>
    <row r="17" spans="1:11" ht="26.25">
      <c r="A17" s="113">
        <v>44452</v>
      </c>
      <c r="B17" s="127">
        <v>61702</v>
      </c>
      <c r="C17" s="83">
        <f t="shared" si="0"/>
        <v>250</v>
      </c>
      <c r="D17" s="128">
        <v>607183</v>
      </c>
      <c r="E17" s="90">
        <f t="shared" si="1"/>
        <v>405</v>
      </c>
    </row>
    <row r="18" spans="1:11" ht="26.25">
      <c r="A18" s="113">
        <v>44453</v>
      </c>
      <c r="B18" s="127">
        <v>61729</v>
      </c>
      <c r="C18" s="83">
        <f t="shared" si="0"/>
        <v>270</v>
      </c>
      <c r="D18" s="128">
        <v>607565</v>
      </c>
      <c r="E18" s="87">
        <f t="shared" si="1"/>
        <v>382</v>
      </c>
    </row>
    <row r="19" spans="1:11" ht="26.25">
      <c r="A19" s="113">
        <v>44454</v>
      </c>
      <c r="B19" s="127">
        <v>61759</v>
      </c>
      <c r="C19" s="83">
        <f t="shared" si="0"/>
        <v>300</v>
      </c>
      <c r="D19" s="128">
        <v>607998</v>
      </c>
      <c r="E19" s="87">
        <f t="shared" si="1"/>
        <v>433</v>
      </c>
    </row>
    <row r="20" spans="1:11" ht="26.25">
      <c r="A20" s="113">
        <v>44455</v>
      </c>
      <c r="B20" s="127">
        <v>61790</v>
      </c>
      <c r="C20" s="83">
        <f t="shared" si="0"/>
        <v>310</v>
      </c>
      <c r="D20" s="128">
        <v>608464</v>
      </c>
      <c r="E20" s="87">
        <f t="shared" si="1"/>
        <v>466</v>
      </c>
    </row>
    <row r="21" spans="1:11" ht="26.25">
      <c r="A21" s="113">
        <v>44456</v>
      </c>
      <c r="B21" s="127">
        <v>61818</v>
      </c>
      <c r="C21" s="83">
        <f t="shared" si="0"/>
        <v>280</v>
      </c>
      <c r="D21" s="128">
        <v>608862</v>
      </c>
      <c r="E21" s="87">
        <f t="shared" si="1"/>
        <v>398</v>
      </c>
    </row>
    <row r="22" spans="1:11" ht="26.25">
      <c r="A22" s="113">
        <v>44457</v>
      </c>
      <c r="B22" s="127">
        <v>61846</v>
      </c>
      <c r="C22" s="83">
        <f t="shared" si="0"/>
        <v>280</v>
      </c>
      <c r="D22" s="128">
        <v>609272</v>
      </c>
      <c r="E22" s="87">
        <f t="shared" si="1"/>
        <v>410</v>
      </c>
    </row>
    <row r="23" spans="1:11" ht="26.25">
      <c r="A23" s="113">
        <v>44458</v>
      </c>
      <c r="B23" s="127">
        <v>61870</v>
      </c>
      <c r="C23" s="83">
        <f t="shared" si="0"/>
        <v>240</v>
      </c>
      <c r="D23" s="128">
        <v>609683</v>
      </c>
      <c r="E23" s="87">
        <f t="shared" si="1"/>
        <v>411</v>
      </c>
    </row>
    <row r="24" spans="1:11" ht="26.25">
      <c r="A24" s="113">
        <v>44459</v>
      </c>
      <c r="B24" s="127">
        <v>61908</v>
      </c>
      <c r="C24" s="83">
        <f t="shared" si="0"/>
        <v>380</v>
      </c>
      <c r="D24" s="128">
        <v>610114</v>
      </c>
      <c r="E24" s="87">
        <f t="shared" si="1"/>
        <v>431</v>
      </c>
    </row>
    <row r="25" spans="1:11" ht="26.25">
      <c r="A25" s="113">
        <v>44460</v>
      </c>
      <c r="B25" s="127">
        <v>61940</v>
      </c>
      <c r="C25" s="83">
        <f t="shared" si="0"/>
        <v>320</v>
      </c>
      <c r="D25" s="128">
        <v>610510</v>
      </c>
      <c r="E25" s="87">
        <f t="shared" si="1"/>
        <v>396</v>
      </c>
    </row>
    <row r="26" spans="1:11" ht="26.25">
      <c r="A26" s="113">
        <v>44461</v>
      </c>
      <c r="B26" s="127">
        <v>61965</v>
      </c>
      <c r="C26" s="83">
        <f t="shared" si="0"/>
        <v>250</v>
      </c>
      <c r="D26" s="128">
        <v>610945</v>
      </c>
      <c r="E26" s="87">
        <f t="shared" si="1"/>
        <v>435</v>
      </c>
    </row>
    <row r="27" spans="1:11" ht="26.25">
      <c r="A27" s="113">
        <v>44462</v>
      </c>
      <c r="B27" s="127">
        <v>61991</v>
      </c>
      <c r="C27" s="83">
        <f t="shared" si="0"/>
        <v>260</v>
      </c>
      <c r="D27" s="128">
        <v>611433</v>
      </c>
      <c r="E27" s="87">
        <f t="shared" si="1"/>
        <v>488</v>
      </c>
      <c r="K27" s="23"/>
    </row>
    <row r="28" spans="1:11" ht="26.25">
      <c r="A28" s="113">
        <v>44463</v>
      </c>
      <c r="B28" s="127">
        <v>62022</v>
      </c>
      <c r="C28" s="83">
        <f t="shared" si="0"/>
        <v>310</v>
      </c>
      <c r="D28" s="128">
        <v>611912</v>
      </c>
      <c r="E28" s="87">
        <f t="shared" si="1"/>
        <v>479</v>
      </c>
    </row>
    <row r="29" spans="1:11" ht="26.25">
      <c r="A29" s="113">
        <v>44464</v>
      </c>
      <c r="B29" s="127">
        <v>62049</v>
      </c>
      <c r="C29" s="83">
        <f t="shared" si="0"/>
        <v>270</v>
      </c>
      <c r="D29" s="128">
        <v>612493</v>
      </c>
      <c r="E29" s="87">
        <f t="shared" si="1"/>
        <v>581</v>
      </c>
    </row>
    <row r="30" spans="1:11" ht="26.25">
      <c r="A30" s="113">
        <v>44465</v>
      </c>
      <c r="B30" s="127">
        <v>62073</v>
      </c>
      <c r="C30" s="83">
        <f t="shared" si="0"/>
        <v>240</v>
      </c>
      <c r="D30" s="128">
        <v>612921</v>
      </c>
      <c r="E30" s="87">
        <f t="shared" si="1"/>
        <v>428</v>
      </c>
    </row>
    <row r="31" spans="1:11" ht="26.25">
      <c r="A31" s="113">
        <v>44466</v>
      </c>
      <c r="B31" s="127">
        <v>62098</v>
      </c>
      <c r="C31" s="83">
        <f t="shared" si="0"/>
        <v>250</v>
      </c>
      <c r="D31" s="128">
        <v>613331</v>
      </c>
      <c r="E31" s="87">
        <f t="shared" si="1"/>
        <v>410</v>
      </c>
    </row>
    <row r="32" spans="1:11" ht="26.25">
      <c r="A32" s="113">
        <v>44467</v>
      </c>
      <c r="B32" s="127">
        <v>62121</v>
      </c>
      <c r="C32" s="83">
        <f t="shared" si="0"/>
        <v>230</v>
      </c>
      <c r="D32" s="128">
        <v>613760</v>
      </c>
      <c r="E32" s="87">
        <f t="shared" si="1"/>
        <v>429</v>
      </c>
    </row>
    <row r="33" spans="1:5" ht="26.25">
      <c r="A33" s="113">
        <v>44468</v>
      </c>
      <c r="B33" s="127">
        <v>62147</v>
      </c>
      <c r="C33" s="83">
        <f t="shared" si="0"/>
        <v>260</v>
      </c>
      <c r="D33" s="128">
        <v>614191</v>
      </c>
      <c r="E33" s="87">
        <f t="shared" si="1"/>
        <v>431</v>
      </c>
    </row>
    <row r="34" spans="1:5" ht="26.25">
      <c r="A34" s="113">
        <v>44469</v>
      </c>
      <c r="B34" s="127">
        <v>62170</v>
      </c>
      <c r="C34" s="83">
        <f t="shared" si="0"/>
        <v>230</v>
      </c>
      <c r="D34" s="128">
        <v>614610</v>
      </c>
      <c r="E34" s="88">
        <f t="shared" si="1"/>
        <v>419</v>
      </c>
    </row>
    <row r="35" spans="1:5" ht="27">
      <c r="A35" s="84" t="s">
        <v>37</v>
      </c>
      <c r="B35" s="85"/>
      <c r="C35" s="47">
        <f>SUM(C5:C34)</f>
        <v>8500</v>
      </c>
      <c r="D35" s="86"/>
      <c r="E35" s="89">
        <f>SUM(E5:E34)</f>
        <v>13138</v>
      </c>
    </row>
  </sheetData>
  <mergeCells count="2">
    <mergeCell ref="A1:E1"/>
    <mergeCell ref="B2:E2"/>
  </mergeCells>
  <phoneticPr fontId="0" type="noConversion"/>
  <conditionalFormatting sqref="B35 C4:C34 D35 E4:E34">
    <cfRule type="cellIs" dxfId="3" priority="111" stopIfTrue="1" operator="lessThan">
      <formula>0</formula>
    </cfRule>
  </conditionalFormatting>
  <conditionalFormatting sqref="D35">
    <cfRule type="cellIs" dxfId="2" priority="109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3"/>
  <sheetViews>
    <sheetView tabSelected="1" zoomScale="60" zoomScaleNormal="60" workbookViewId="0">
      <selection activeCell="E11" sqref="E11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0" t="s">
        <v>38</v>
      </c>
      <c r="B1" s="121"/>
      <c r="C1" s="121"/>
      <c r="D1" s="121"/>
      <c r="E1" s="121"/>
      <c r="F1" s="121"/>
      <c r="G1" s="121"/>
      <c r="H1" s="121"/>
      <c r="I1" s="122"/>
    </row>
    <row r="2" spans="1:23" ht="15.75" customHeight="1" thickTop="1" thickBot="1">
      <c r="A2" s="123" t="s">
        <v>39</v>
      </c>
      <c r="B2" s="124"/>
      <c r="C2" s="124"/>
      <c r="D2" s="124"/>
      <c r="E2" s="124"/>
      <c r="F2" s="124"/>
      <c r="G2" s="124"/>
      <c r="H2" s="124"/>
      <c r="I2" s="125"/>
      <c r="J2" s="102" t="s">
        <v>40</v>
      </c>
      <c r="K2" s="103"/>
      <c r="L2" s="103"/>
      <c r="M2" s="103"/>
      <c r="N2" s="103"/>
      <c r="O2" s="104"/>
      <c r="P2" s="102" t="s">
        <v>41</v>
      </c>
      <c r="Q2" s="103"/>
      <c r="R2" s="103"/>
      <c r="S2" s="103"/>
      <c r="T2" s="103"/>
      <c r="U2" s="103"/>
      <c r="V2" s="103"/>
      <c r="W2" s="104"/>
    </row>
    <row r="3" spans="1:23" ht="16.5" thickBot="1">
      <c r="A3" s="44" t="s">
        <v>1</v>
      </c>
      <c r="B3" s="45" t="s">
        <v>42</v>
      </c>
      <c r="C3" s="111" t="s">
        <v>43</v>
      </c>
      <c r="D3" s="38" t="s">
        <v>34</v>
      </c>
      <c r="E3" s="38" t="s">
        <v>44</v>
      </c>
      <c r="F3" s="112" t="s">
        <v>34</v>
      </c>
      <c r="G3" s="38" t="s">
        <v>45</v>
      </c>
      <c r="H3" s="31" t="s">
        <v>34</v>
      </c>
      <c r="I3" s="95" t="s">
        <v>37</v>
      </c>
      <c r="J3" s="105" t="s">
        <v>46</v>
      </c>
      <c r="K3" s="38"/>
      <c r="L3" s="38" t="s">
        <v>47</v>
      </c>
      <c r="M3" s="38"/>
      <c r="N3" s="38" t="s">
        <v>48</v>
      </c>
      <c r="O3" s="95"/>
      <c r="P3" s="105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5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6" t="s">
        <v>53</v>
      </c>
      <c r="J4" s="106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6" t="s">
        <v>55</v>
      </c>
      <c r="P4" s="106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6" t="s">
        <v>55</v>
      </c>
    </row>
    <row r="5" spans="1:23" ht="26.25">
      <c r="A5" s="35" t="s">
        <v>36</v>
      </c>
      <c r="B5" s="33">
        <v>81</v>
      </c>
      <c r="C5" s="129">
        <v>48904907</v>
      </c>
      <c r="D5" s="41">
        <v>0</v>
      </c>
      <c r="E5" s="129">
        <v>47665528</v>
      </c>
      <c r="F5" s="77">
        <v>0</v>
      </c>
      <c r="G5" s="129">
        <v>36134368</v>
      </c>
      <c r="H5" s="77">
        <v>0</v>
      </c>
      <c r="I5" s="98"/>
      <c r="J5" s="107"/>
      <c r="K5" s="107"/>
      <c r="L5" s="107"/>
      <c r="M5" s="107"/>
      <c r="N5" s="107"/>
      <c r="O5" s="97"/>
      <c r="P5" s="107"/>
      <c r="Q5" s="107"/>
      <c r="R5" s="107"/>
      <c r="S5" s="107"/>
      <c r="T5" s="107"/>
      <c r="U5" s="107"/>
      <c r="V5" s="107"/>
      <c r="W5" s="97"/>
    </row>
    <row r="6" spans="1:23" ht="26.25">
      <c r="A6" s="32">
        <v>44440</v>
      </c>
      <c r="B6" s="34">
        <v>102</v>
      </c>
      <c r="C6" s="129">
        <v>48909516</v>
      </c>
      <c r="D6" s="42">
        <f>IF((C6-C5)&lt;0,"0",(C6-C5))</f>
        <v>4609</v>
      </c>
      <c r="E6" s="129">
        <v>47673764</v>
      </c>
      <c r="F6" s="42">
        <f>IF((E6-E5)&lt;0,"0",(E6-E5))</f>
        <v>8236</v>
      </c>
      <c r="G6" s="129">
        <v>36140330</v>
      </c>
      <c r="H6" s="42">
        <f>IF((G6-G5)&lt;0,"0",(G6-G5))</f>
        <v>5962</v>
      </c>
      <c r="I6" s="99">
        <f>D6+F6+H6</f>
        <v>18807</v>
      </c>
      <c r="J6" s="107"/>
      <c r="K6" s="107">
        <f t="shared" ref="K6:K34" si="0">IF(J6-J5&lt;0,0,J6-J5)</f>
        <v>0</v>
      </c>
      <c r="L6" s="107"/>
      <c r="M6" s="107">
        <f t="shared" ref="M6:U21" si="1">IF(L6-L5&lt;0,0,L6-L5)</f>
        <v>0</v>
      </c>
      <c r="N6" s="107"/>
      <c r="O6" s="97">
        <f t="shared" si="1"/>
        <v>0</v>
      </c>
      <c r="P6" s="107"/>
      <c r="Q6" s="107">
        <f t="shared" si="1"/>
        <v>0</v>
      </c>
      <c r="R6" s="107"/>
      <c r="S6" s="107">
        <f t="shared" si="1"/>
        <v>0</v>
      </c>
      <c r="T6" s="107"/>
      <c r="U6" s="107">
        <f t="shared" si="1"/>
        <v>0</v>
      </c>
      <c r="V6" s="107"/>
      <c r="W6" s="97">
        <f t="shared" ref="W6:W27" si="2">IF(V6-V5&lt;0,0,V6-V5)</f>
        <v>0</v>
      </c>
    </row>
    <row r="7" spans="1:23" ht="26.25">
      <c r="A7" s="32">
        <v>44441</v>
      </c>
      <c r="B7" s="34">
        <v>114</v>
      </c>
      <c r="C7" s="129">
        <v>48914118</v>
      </c>
      <c r="D7" s="42">
        <f t="shared" ref="D7:D32" si="3">IF((C7-C6)&lt;0,"0",(C7-C6))</f>
        <v>4602</v>
      </c>
      <c r="E7" s="129">
        <v>47682597</v>
      </c>
      <c r="F7" s="42">
        <f t="shared" ref="F7:F32" si="4">IF((E7-E6)&lt;0,"0",(E7-E6))</f>
        <v>8833</v>
      </c>
      <c r="G7" s="129">
        <v>36147515</v>
      </c>
      <c r="H7" s="42">
        <f t="shared" ref="H7:H32" si="5">IF((G7-G6)&lt;0,"0",(G7-G6))</f>
        <v>7185</v>
      </c>
      <c r="I7" s="99">
        <f t="shared" ref="I7:I36" si="6">D7+F7+H7</f>
        <v>20620</v>
      </c>
      <c r="J7" s="107"/>
      <c r="K7" s="107">
        <f t="shared" si="0"/>
        <v>0</v>
      </c>
      <c r="L7" s="107"/>
      <c r="M7" s="107">
        <f t="shared" si="1"/>
        <v>0</v>
      </c>
      <c r="N7" s="107"/>
      <c r="O7" s="97">
        <f t="shared" si="1"/>
        <v>0</v>
      </c>
      <c r="P7" s="107"/>
      <c r="Q7" s="107">
        <f t="shared" si="1"/>
        <v>0</v>
      </c>
      <c r="R7" s="107"/>
      <c r="S7" s="107">
        <f t="shared" si="1"/>
        <v>0</v>
      </c>
      <c r="T7" s="107"/>
      <c r="U7" s="107">
        <f t="shared" si="1"/>
        <v>0</v>
      </c>
      <c r="V7" s="107"/>
      <c r="W7" s="97">
        <f t="shared" si="2"/>
        <v>0</v>
      </c>
    </row>
    <row r="8" spans="1:23" ht="26.25">
      <c r="A8" s="32">
        <v>44442</v>
      </c>
      <c r="B8" s="34">
        <v>103</v>
      </c>
      <c r="C8" s="129">
        <v>48918925</v>
      </c>
      <c r="D8" s="42">
        <f t="shared" si="3"/>
        <v>4807</v>
      </c>
      <c r="E8" s="129">
        <v>47691541</v>
      </c>
      <c r="F8" s="42">
        <f t="shared" si="4"/>
        <v>8944</v>
      </c>
      <c r="G8" s="129">
        <v>36153445</v>
      </c>
      <c r="H8" s="42">
        <f t="shared" si="5"/>
        <v>5930</v>
      </c>
      <c r="I8" s="99">
        <f t="shared" si="6"/>
        <v>19681</v>
      </c>
      <c r="J8" s="107"/>
      <c r="K8" s="107">
        <f t="shared" si="0"/>
        <v>0</v>
      </c>
      <c r="L8" s="107"/>
      <c r="M8" s="107">
        <f t="shared" si="1"/>
        <v>0</v>
      </c>
      <c r="N8" s="107"/>
      <c r="O8" s="97">
        <f t="shared" si="1"/>
        <v>0</v>
      </c>
      <c r="P8" s="107"/>
      <c r="Q8" s="107">
        <f t="shared" si="1"/>
        <v>0</v>
      </c>
      <c r="R8" s="107"/>
      <c r="S8" s="107">
        <f t="shared" si="1"/>
        <v>0</v>
      </c>
      <c r="T8" s="107"/>
      <c r="U8" s="107">
        <f t="shared" si="1"/>
        <v>0</v>
      </c>
      <c r="V8" s="107"/>
      <c r="W8" s="97">
        <f t="shared" si="2"/>
        <v>0</v>
      </c>
    </row>
    <row r="9" spans="1:23" ht="26.25">
      <c r="A9" s="32">
        <v>44443</v>
      </c>
      <c r="B9" s="34">
        <v>80</v>
      </c>
      <c r="C9" s="129">
        <v>48923234</v>
      </c>
      <c r="D9" s="42">
        <f t="shared" si="3"/>
        <v>4309</v>
      </c>
      <c r="E9" s="129">
        <v>47698917</v>
      </c>
      <c r="F9" s="42">
        <f t="shared" si="4"/>
        <v>7376</v>
      </c>
      <c r="G9" s="129">
        <v>36158463</v>
      </c>
      <c r="H9" s="42">
        <f t="shared" si="5"/>
        <v>5018</v>
      </c>
      <c r="I9" s="99">
        <f t="shared" si="6"/>
        <v>16703</v>
      </c>
      <c r="J9" s="107"/>
      <c r="K9" s="107">
        <f t="shared" si="0"/>
        <v>0</v>
      </c>
      <c r="L9" s="107"/>
      <c r="M9" s="107">
        <f t="shared" si="1"/>
        <v>0</v>
      </c>
      <c r="N9" s="107"/>
      <c r="O9" s="97">
        <f t="shared" si="1"/>
        <v>0</v>
      </c>
      <c r="P9" s="107"/>
      <c r="Q9" s="107">
        <f t="shared" si="1"/>
        <v>0</v>
      </c>
      <c r="R9" s="107"/>
      <c r="S9" s="107">
        <f t="shared" si="1"/>
        <v>0</v>
      </c>
      <c r="T9" s="107"/>
      <c r="U9" s="107">
        <f t="shared" si="1"/>
        <v>0</v>
      </c>
      <c r="V9" s="107"/>
      <c r="W9" s="97">
        <f t="shared" si="2"/>
        <v>0</v>
      </c>
    </row>
    <row r="10" spans="1:23" ht="26.25">
      <c r="A10" s="32">
        <v>44444</v>
      </c>
      <c r="B10" s="34">
        <v>96</v>
      </c>
      <c r="C10" s="129">
        <v>48928349</v>
      </c>
      <c r="D10" s="42">
        <f t="shared" si="3"/>
        <v>5115</v>
      </c>
      <c r="E10" s="129">
        <v>47708240</v>
      </c>
      <c r="F10" s="42">
        <f t="shared" si="4"/>
        <v>9323</v>
      </c>
      <c r="G10" s="129">
        <v>36164951</v>
      </c>
      <c r="H10" s="42">
        <f t="shared" si="5"/>
        <v>6488</v>
      </c>
      <c r="I10" s="99">
        <f t="shared" si="6"/>
        <v>20926</v>
      </c>
      <c r="J10" s="107"/>
      <c r="K10" s="107">
        <f t="shared" si="0"/>
        <v>0</v>
      </c>
      <c r="L10" s="107"/>
      <c r="M10" s="107">
        <f t="shared" si="1"/>
        <v>0</v>
      </c>
      <c r="N10" s="107"/>
      <c r="O10" s="97">
        <f t="shared" si="1"/>
        <v>0</v>
      </c>
      <c r="P10" s="107"/>
      <c r="Q10" s="107">
        <f t="shared" si="1"/>
        <v>0</v>
      </c>
      <c r="R10" s="107"/>
      <c r="S10" s="107">
        <f t="shared" si="1"/>
        <v>0</v>
      </c>
      <c r="T10" s="107"/>
      <c r="U10" s="107">
        <f t="shared" si="1"/>
        <v>0</v>
      </c>
      <c r="V10" s="107"/>
      <c r="W10" s="97">
        <f t="shared" si="2"/>
        <v>0</v>
      </c>
    </row>
    <row r="11" spans="1:23" ht="26.25">
      <c r="A11" s="32">
        <v>44445</v>
      </c>
      <c r="B11" s="34">
        <v>114</v>
      </c>
      <c r="C11" s="129">
        <v>48932499</v>
      </c>
      <c r="D11" s="42">
        <f t="shared" si="3"/>
        <v>4150</v>
      </c>
      <c r="E11" s="129">
        <v>47715711</v>
      </c>
      <c r="F11" s="42">
        <f t="shared" si="4"/>
        <v>7471</v>
      </c>
      <c r="G11" s="129">
        <v>36170137</v>
      </c>
      <c r="H11" s="42">
        <f t="shared" si="5"/>
        <v>5186</v>
      </c>
      <c r="I11" s="99">
        <f t="shared" si="6"/>
        <v>16807</v>
      </c>
      <c r="J11" s="107"/>
      <c r="K11" s="107">
        <f t="shared" si="0"/>
        <v>0</v>
      </c>
      <c r="L11" s="107"/>
      <c r="M11" s="107">
        <f t="shared" si="1"/>
        <v>0</v>
      </c>
      <c r="N11" s="107"/>
      <c r="O11" s="97">
        <f t="shared" si="1"/>
        <v>0</v>
      </c>
      <c r="P11" s="107"/>
      <c r="Q11" s="107">
        <f t="shared" si="1"/>
        <v>0</v>
      </c>
      <c r="R11" s="107"/>
      <c r="S11" s="107">
        <f t="shared" si="1"/>
        <v>0</v>
      </c>
      <c r="T11" s="107"/>
      <c r="U11" s="107">
        <f t="shared" si="1"/>
        <v>0</v>
      </c>
      <c r="V11" s="107"/>
      <c r="W11" s="97">
        <f t="shared" si="2"/>
        <v>0</v>
      </c>
    </row>
    <row r="12" spans="1:23" ht="26.25">
      <c r="A12" s="32">
        <v>44446</v>
      </c>
      <c r="B12" s="34">
        <v>113</v>
      </c>
      <c r="C12" s="129">
        <v>48937053</v>
      </c>
      <c r="D12" s="42">
        <f t="shared" si="3"/>
        <v>4554</v>
      </c>
      <c r="E12" s="129">
        <v>47724101</v>
      </c>
      <c r="F12" s="42">
        <f t="shared" si="4"/>
        <v>8390</v>
      </c>
      <c r="G12" s="129">
        <v>36175790</v>
      </c>
      <c r="H12" s="42">
        <f t="shared" si="5"/>
        <v>5653</v>
      </c>
      <c r="I12" s="99">
        <f t="shared" si="6"/>
        <v>18597</v>
      </c>
      <c r="J12" s="107"/>
      <c r="K12" s="107">
        <f t="shared" si="0"/>
        <v>0</v>
      </c>
      <c r="L12" s="107"/>
      <c r="M12" s="107">
        <f t="shared" si="1"/>
        <v>0</v>
      </c>
      <c r="N12" s="107"/>
      <c r="O12" s="97">
        <f t="shared" si="1"/>
        <v>0</v>
      </c>
      <c r="P12" s="107"/>
      <c r="Q12" s="107">
        <f t="shared" si="1"/>
        <v>0</v>
      </c>
      <c r="R12" s="107"/>
      <c r="S12" s="107">
        <f t="shared" si="1"/>
        <v>0</v>
      </c>
      <c r="T12" s="107"/>
      <c r="U12" s="107">
        <f t="shared" si="1"/>
        <v>0</v>
      </c>
      <c r="V12" s="107"/>
      <c r="W12" s="97">
        <f t="shared" si="2"/>
        <v>0</v>
      </c>
    </row>
    <row r="13" spans="1:23" ht="26.25">
      <c r="A13" s="32">
        <v>44447</v>
      </c>
      <c r="B13" s="34">
        <v>114</v>
      </c>
      <c r="C13" s="129">
        <v>48941709</v>
      </c>
      <c r="D13" s="42">
        <f t="shared" si="3"/>
        <v>4656</v>
      </c>
      <c r="E13" s="129">
        <v>47731814</v>
      </c>
      <c r="F13" s="42">
        <f t="shared" si="4"/>
        <v>7713</v>
      </c>
      <c r="G13" s="129">
        <v>36181311</v>
      </c>
      <c r="H13" s="42">
        <f t="shared" si="5"/>
        <v>5521</v>
      </c>
      <c r="I13" s="99">
        <f t="shared" si="6"/>
        <v>17890</v>
      </c>
      <c r="J13" s="107"/>
      <c r="K13" s="107">
        <f t="shared" si="0"/>
        <v>0</v>
      </c>
      <c r="L13" s="107"/>
      <c r="M13" s="107">
        <f t="shared" si="1"/>
        <v>0</v>
      </c>
      <c r="N13" s="107"/>
      <c r="O13" s="97">
        <f t="shared" si="1"/>
        <v>0</v>
      </c>
      <c r="P13" s="107"/>
      <c r="Q13" s="107">
        <f t="shared" si="1"/>
        <v>0</v>
      </c>
      <c r="R13" s="107"/>
      <c r="S13" s="107">
        <f t="shared" si="1"/>
        <v>0</v>
      </c>
      <c r="T13" s="107"/>
      <c r="U13" s="107">
        <f t="shared" si="1"/>
        <v>0</v>
      </c>
      <c r="V13" s="107"/>
      <c r="W13" s="97">
        <f t="shared" si="2"/>
        <v>0</v>
      </c>
    </row>
    <row r="14" spans="1:23" ht="26.25">
      <c r="A14" s="32">
        <v>44448</v>
      </c>
      <c r="B14" s="34">
        <v>114</v>
      </c>
      <c r="C14" s="129">
        <v>48946477</v>
      </c>
      <c r="D14" s="42">
        <f t="shared" si="3"/>
        <v>4768</v>
      </c>
      <c r="E14" s="129">
        <v>47740611</v>
      </c>
      <c r="F14" s="42">
        <f t="shared" si="4"/>
        <v>8797</v>
      </c>
      <c r="G14" s="129">
        <v>36187781</v>
      </c>
      <c r="H14" s="42">
        <f t="shared" si="5"/>
        <v>6470</v>
      </c>
      <c r="I14" s="99">
        <f t="shared" si="6"/>
        <v>20035</v>
      </c>
      <c r="J14" s="107"/>
      <c r="K14" s="107">
        <f t="shared" si="0"/>
        <v>0</v>
      </c>
      <c r="L14" s="107"/>
      <c r="M14" s="107">
        <f t="shared" si="1"/>
        <v>0</v>
      </c>
      <c r="N14" s="107"/>
      <c r="O14" s="97">
        <f t="shared" si="1"/>
        <v>0</v>
      </c>
      <c r="P14" s="107"/>
      <c r="Q14" s="107">
        <f t="shared" si="1"/>
        <v>0</v>
      </c>
      <c r="R14" s="107"/>
      <c r="S14" s="107">
        <f t="shared" si="1"/>
        <v>0</v>
      </c>
      <c r="T14" s="107"/>
      <c r="U14" s="107">
        <f t="shared" si="1"/>
        <v>0</v>
      </c>
      <c r="V14" s="107"/>
      <c r="W14" s="97">
        <f t="shared" si="2"/>
        <v>0</v>
      </c>
    </row>
    <row r="15" spans="1:23" ht="26.25">
      <c r="A15" s="32">
        <v>44449</v>
      </c>
      <c r="B15" s="34">
        <v>114</v>
      </c>
      <c r="C15" s="129">
        <v>48951328</v>
      </c>
      <c r="D15" s="42">
        <f t="shared" ref="D15:D27" si="7">IF((C15-C14)&lt;0,"0",(C15-C14))</f>
        <v>4851</v>
      </c>
      <c r="E15" s="129">
        <v>47749651</v>
      </c>
      <c r="F15" s="42">
        <f t="shared" si="4"/>
        <v>9040</v>
      </c>
      <c r="G15" s="129">
        <v>36194233</v>
      </c>
      <c r="H15" s="42">
        <f t="shared" si="5"/>
        <v>6452</v>
      </c>
      <c r="I15" s="99">
        <f t="shared" si="6"/>
        <v>20343</v>
      </c>
      <c r="J15" s="107"/>
      <c r="K15" s="107">
        <f t="shared" si="0"/>
        <v>0</v>
      </c>
      <c r="L15" s="107"/>
      <c r="M15" s="107">
        <f t="shared" si="1"/>
        <v>0</v>
      </c>
      <c r="N15" s="107"/>
      <c r="O15" s="97">
        <f t="shared" si="1"/>
        <v>0</v>
      </c>
      <c r="P15" s="107"/>
      <c r="Q15" s="107">
        <f t="shared" si="1"/>
        <v>0</v>
      </c>
      <c r="R15" s="107"/>
      <c r="S15" s="107">
        <f t="shared" si="1"/>
        <v>0</v>
      </c>
      <c r="T15" s="107"/>
      <c r="U15" s="107">
        <f t="shared" si="1"/>
        <v>0</v>
      </c>
      <c r="V15" s="107"/>
      <c r="W15" s="97">
        <f t="shared" si="2"/>
        <v>0</v>
      </c>
    </row>
    <row r="16" spans="1:23" ht="26.25">
      <c r="A16" s="32">
        <v>44450</v>
      </c>
      <c r="B16" s="34">
        <v>87</v>
      </c>
      <c r="C16" s="129">
        <v>48956159</v>
      </c>
      <c r="D16" s="42">
        <f t="shared" si="7"/>
        <v>4831</v>
      </c>
      <c r="E16" s="129">
        <v>47758281</v>
      </c>
      <c r="F16" s="42">
        <f t="shared" si="4"/>
        <v>8630</v>
      </c>
      <c r="G16" s="129">
        <v>36200534</v>
      </c>
      <c r="H16" s="42">
        <f t="shared" si="5"/>
        <v>6301</v>
      </c>
      <c r="I16" s="99">
        <f t="shared" si="6"/>
        <v>19762</v>
      </c>
      <c r="J16" s="107"/>
      <c r="K16" s="107">
        <f t="shared" si="0"/>
        <v>0</v>
      </c>
      <c r="L16" s="107"/>
      <c r="M16" s="107">
        <f t="shared" si="1"/>
        <v>0</v>
      </c>
      <c r="N16" s="107"/>
      <c r="O16" s="97">
        <f t="shared" si="1"/>
        <v>0</v>
      </c>
      <c r="P16" s="107"/>
      <c r="Q16" s="107">
        <f t="shared" si="1"/>
        <v>0</v>
      </c>
      <c r="R16" s="107"/>
      <c r="S16" s="107">
        <f t="shared" si="1"/>
        <v>0</v>
      </c>
      <c r="T16" s="107"/>
      <c r="U16" s="107">
        <f t="shared" si="1"/>
        <v>0</v>
      </c>
      <c r="V16" s="107"/>
      <c r="W16" s="97">
        <f t="shared" si="2"/>
        <v>0</v>
      </c>
    </row>
    <row r="17" spans="1:23" ht="26.25">
      <c r="A17" s="32">
        <v>44451</v>
      </c>
      <c r="B17" s="34">
        <v>88</v>
      </c>
      <c r="C17" s="129">
        <v>48960938</v>
      </c>
      <c r="D17" s="42">
        <f t="shared" si="7"/>
        <v>4779</v>
      </c>
      <c r="E17" s="129">
        <v>47766746</v>
      </c>
      <c r="F17" s="42">
        <f t="shared" si="4"/>
        <v>8465</v>
      </c>
      <c r="G17" s="129">
        <v>36206515</v>
      </c>
      <c r="H17" s="42">
        <f t="shared" si="5"/>
        <v>5981</v>
      </c>
      <c r="I17" s="99">
        <f t="shared" si="6"/>
        <v>19225</v>
      </c>
      <c r="J17" s="107"/>
      <c r="K17" s="107">
        <f t="shared" si="0"/>
        <v>0</v>
      </c>
      <c r="L17" s="107"/>
      <c r="M17" s="107">
        <f t="shared" si="1"/>
        <v>0</v>
      </c>
      <c r="N17" s="107"/>
      <c r="O17" s="97">
        <f t="shared" si="1"/>
        <v>0</v>
      </c>
      <c r="P17" s="107"/>
      <c r="Q17" s="107">
        <f t="shared" si="1"/>
        <v>0</v>
      </c>
      <c r="R17" s="107"/>
      <c r="S17" s="107">
        <f t="shared" si="1"/>
        <v>0</v>
      </c>
      <c r="T17" s="107"/>
      <c r="U17" s="107">
        <f t="shared" si="1"/>
        <v>0</v>
      </c>
      <c r="V17" s="107"/>
      <c r="W17" s="97">
        <f t="shared" si="2"/>
        <v>0</v>
      </c>
    </row>
    <row r="18" spans="1:23" ht="26.25">
      <c r="A18" s="32">
        <v>44452</v>
      </c>
      <c r="B18" s="34">
        <v>70</v>
      </c>
      <c r="C18" s="129">
        <v>48964949</v>
      </c>
      <c r="D18" s="42">
        <f t="shared" si="7"/>
        <v>4011</v>
      </c>
      <c r="E18" s="129">
        <v>47774119</v>
      </c>
      <c r="F18" s="42">
        <f t="shared" si="4"/>
        <v>7373</v>
      </c>
      <c r="G18" s="129">
        <v>36211502</v>
      </c>
      <c r="H18" s="42">
        <f t="shared" si="5"/>
        <v>4987</v>
      </c>
      <c r="I18" s="99">
        <f t="shared" si="6"/>
        <v>16371</v>
      </c>
      <c r="J18" s="107"/>
      <c r="K18" s="107">
        <f t="shared" si="0"/>
        <v>0</v>
      </c>
      <c r="L18" s="107"/>
      <c r="M18" s="107">
        <f t="shared" si="1"/>
        <v>0</v>
      </c>
      <c r="N18" s="107"/>
      <c r="O18" s="97">
        <f t="shared" si="1"/>
        <v>0</v>
      </c>
      <c r="P18" s="107"/>
      <c r="Q18" s="107">
        <f t="shared" si="1"/>
        <v>0</v>
      </c>
      <c r="R18" s="107"/>
      <c r="S18" s="107">
        <f t="shared" si="1"/>
        <v>0</v>
      </c>
      <c r="T18" s="107"/>
      <c r="U18" s="107">
        <f t="shared" si="1"/>
        <v>0</v>
      </c>
      <c r="V18" s="107"/>
      <c r="W18" s="97">
        <f t="shared" si="2"/>
        <v>0</v>
      </c>
    </row>
    <row r="19" spans="1:23" ht="26.25">
      <c r="A19" s="32">
        <v>44453</v>
      </c>
      <c r="B19" s="34">
        <v>85</v>
      </c>
      <c r="C19" s="129">
        <v>48969456</v>
      </c>
      <c r="D19" s="42">
        <f t="shared" si="7"/>
        <v>4507</v>
      </c>
      <c r="E19" s="129">
        <v>47782821</v>
      </c>
      <c r="F19" s="42">
        <f t="shared" si="4"/>
        <v>8702</v>
      </c>
      <c r="G19" s="129">
        <v>36217354</v>
      </c>
      <c r="H19" s="42">
        <f t="shared" si="5"/>
        <v>5852</v>
      </c>
      <c r="I19" s="99">
        <f t="shared" si="6"/>
        <v>19061</v>
      </c>
      <c r="J19" s="107"/>
      <c r="K19" s="107">
        <f t="shared" si="0"/>
        <v>0</v>
      </c>
      <c r="L19" s="107"/>
      <c r="M19" s="107">
        <f t="shared" si="1"/>
        <v>0</v>
      </c>
      <c r="N19" s="107"/>
      <c r="O19" s="97">
        <f t="shared" si="1"/>
        <v>0</v>
      </c>
      <c r="P19" s="107"/>
      <c r="Q19" s="107">
        <f t="shared" si="1"/>
        <v>0</v>
      </c>
      <c r="R19" s="107"/>
      <c r="S19" s="107">
        <f t="shared" si="1"/>
        <v>0</v>
      </c>
      <c r="T19" s="107"/>
      <c r="U19" s="107">
        <f t="shared" si="1"/>
        <v>0</v>
      </c>
      <c r="V19" s="107"/>
      <c r="W19" s="97">
        <f t="shared" si="2"/>
        <v>0</v>
      </c>
    </row>
    <row r="20" spans="1:23" ht="26.25">
      <c r="A20" s="32">
        <v>44454</v>
      </c>
      <c r="B20" s="34">
        <v>114</v>
      </c>
      <c r="C20" s="129">
        <v>48974203</v>
      </c>
      <c r="D20" s="42">
        <f t="shared" si="7"/>
        <v>4747</v>
      </c>
      <c r="E20" s="129">
        <v>47790856</v>
      </c>
      <c r="F20" s="42">
        <f t="shared" si="4"/>
        <v>8035</v>
      </c>
      <c r="G20" s="129">
        <v>36223466</v>
      </c>
      <c r="H20" s="42">
        <f t="shared" si="5"/>
        <v>6112</v>
      </c>
      <c r="I20" s="99">
        <f t="shared" si="6"/>
        <v>18894</v>
      </c>
      <c r="J20" s="107"/>
      <c r="K20" s="107">
        <f t="shared" si="0"/>
        <v>0</v>
      </c>
      <c r="L20" s="107"/>
      <c r="M20" s="107">
        <f t="shared" si="1"/>
        <v>0</v>
      </c>
      <c r="N20" s="107"/>
      <c r="O20" s="97">
        <f t="shared" si="1"/>
        <v>0</v>
      </c>
      <c r="P20" s="107"/>
      <c r="Q20" s="107">
        <f t="shared" si="1"/>
        <v>0</v>
      </c>
      <c r="R20" s="107"/>
      <c r="S20" s="107">
        <f t="shared" si="1"/>
        <v>0</v>
      </c>
      <c r="T20" s="107"/>
      <c r="U20" s="107">
        <f t="shared" si="1"/>
        <v>0</v>
      </c>
      <c r="V20" s="107"/>
      <c r="W20" s="97">
        <f t="shared" si="2"/>
        <v>0</v>
      </c>
    </row>
    <row r="21" spans="1:23" ht="26.25">
      <c r="A21" s="32">
        <v>44455</v>
      </c>
      <c r="B21" s="34">
        <v>114</v>
      </c>
      <c r="C21" s="129">
        <v>48978929</v>
      </c>
      <c r="D21" s="42">
        <f t="shared" si="7"/>
        <v>4726</v>
      </c>
      <c r="E21" s="129">
        <v>47799511</v>
      </c>
      <c r="F21" s="42">
        <f t="shared" si="4"/>
        <v>8655</v>
      </c>
      <c r="G21" s="129">
        <v>36229954</v>
      </c>
      <c r="H21" s="42">
        <f t="shared" si="5"/>
        <v>6488</v>
      </c>
      <c r="I21" s="99">
        <f t="shared" si="6"/>
        <v>19869</v>
      </c>
      <c r="J21" s="107"/>
      <c r="K21" s="107">
        <f t="shared" si="0"/>
        <v>0</v>
      </c>
      <c r="L21" s="107"/>
      <c r="M21" s="107">
        <f t="shared" si="1"/>
        <v>0</v>
      </c>
      <c r="N21" s="107"/>
      <c r="O21" s="97">
        <f t="shared" si="1"/>
        <v>0</v>
      </c>
      <c r="P21" s="107"/>
      <c r="Q21" s="107">
        <f t="shared" si="1"/>
        <v>0</v>
      </c>
      <c r="R21" s="107"/>
      <c r="S21" s="107">
        <f t="shared" si="1"/>
        <v>0</v>
      </c>
      <c r="T21" s="107"/>
      <c r="U21" s="107">
        <f t="shared" si="1"/>
        <v>0</v>
      </c>
      <c r="V21" s="107"/>
      <c r="W21" s="97">
        <f t="shared" si="2"/>
        <v>0</v>
      </c>
    </row>
    <row r="22" spans="1:23" ht="26.25">
      <c r="A22" s="32">
        <v>44456</v>
      </c>
      <c r="B22" s="34">
        <v>113</v>
      </c>
      <c r="C22" s="129">
        <v>48983835</v>
      </c>
      <c r="D22" s="42">
        <f t="shared" si="7"/>
        <v>4906</v>
      </c>
      <c r="E22" s="129">
        <v>47808584</v>
      </c>
      <c r="F22" s="42">
        <f t="shared" si="4"/>
        <v>9073</v>
      </c>
      <c r="G22" s="129">
        <v>36236507</v>
      </c>
      <c r="H22" s="42">
        <f t="shared" si="5"/>
        <v>6553</v>
      </c>
      <c r="I22" s="99">
        <f t="shared" si="6"/>
        <v>20532</v>
      </c>
      <c r="J22" s="107"/>
      <c r="K22" s="107">
        <f t="shared" si="0"/>
        <v>0</v>
      </c>
      <c r="L22" s="107"/>
      <c r="M22" s="107">
        <f t="shared" ref="M22:M27" si="8">IF(L22-L21&lt;0,0,L22-L21)</f>
        <v>0</v>
      </c>
      <c r="N22" s="107"/>
      <c r="O22" s="97">
        <f t="shared" ref="O22:O27" si="9">IF(N22-N21&lt;0,0,N22-N21)</f>
        <v>0</v>
      </c>
      <c r="P22" s="107"/>
      <c r="Q22" s="107">
        <f t="shared" ref="Q22:Q27" si="10">IF(P22-P21&lt;0,0,P22-P21)</f>
        <v>0</v>
      </c>
      <c r="R22" s="107"/>
      <c r="S22" s="107">
        <f t="shared" ref="S22:S27" si="11">IF(R22-R21&lt;0,0,R22-R21)</f>
        <v>0</v>
      </c>
      <c r="T22" s="107"/>
      <c r="U22" s="107">
        <f t="shared" ref="U22:U27" si="12">IF(T22-T21&lt;0,0,T22-T21)</f>
        <v>0</v>
      </c>
      <c r="V22" s="107"/>
      <c r="W22" s="97">
        <f t="shared" si="2"/>
        <v>0</v>
      </c>
    </row>
    <row r="23" spans="1:23" ht="26.25">
      <c r="A23" s="32">
        <v>44457</v>
      </c>
      <c r="B23" s="34">
        <v>94</v>
      </c>
      <c r="C23" s="129">
        <v>48988245</v>
      </c>
      <c r="D23" s="42">
        <f t="shared" si="7"/>
        <v>4410</v>
      </c>
      <c r="E23" s="129">
        <v>47816530</v>
      </c>
      <c r="F23" s="42">
        <f t="shared" si="4"/>
        <v>7946</v>
      </c>
      <c r="G23" s="129">
        <v>36241925</v>
      </c>
      <c r="H23" s="42">
        <f t="shared" si="5"/>
        <v>5418</v>
      </c>
      <c r="I23" s="99">
        <f t="shared" si="6"/>
        <v>17774</v>
      </c>
      <c r="J23" s="107"/>
      <c r="K23" s="107">
        <f t="shared" si="0"/>
        <v>0</v>
      </c>
      <c r="L23" s="107"/>
      <c r="M23" s="107">
        <f t="shared" si="8"/>
        <v>0</v>
      </c>
      <c r="N23" s="107"/>
      <c r="O23" s="97">
        <f t="shared" si="9"/>
        <v>0</v>
      </c>
      <c r="P23" s="107"/>
      <c r="Q23" s="107">
        <f t="shared" si="10"/>
        <v>0</v>
      </c>
      <c r="R23" s="107"/>
      <c r="S23" s="107">
        <f t="shared" si="11"/>
        <v>0</v>
      </c>
      <c r="T23" s="107"/>
      <c r="U23" s="107">
        <f t="shared" si="12"/>
        <v>0</v>
      </c>
      <c r="V23" s="107"/>
      <c r="W23" s="97">
        <f t="shared" si="2"/>
        <v>0</v>
      </c>
    </row>
    <row r="24" spans="1:23" ht="26.25">
      <c r="A24" s="32">
        <v>44458</v>
      </c>
      <c r="B24" s="34">
        <v>98</v>
      </c>
      <c r="C24" s="129">
        <v>48992780</v>
      </c>
      <c r="D24" s="42">
        <f t="shared" si="7"/>
        <v>4535</v>
      </c>
      <c r="E24" s="129">
        <v>47824977</v>
      </c>
      <c r="F24" s="42">
        <f t="shared" si="4"/>
        <v>8447</v>
      </c>
      <c r="G24" s="129">
        <v>36247968</v>
      </c>
      <c r="H24" s="42">
        <f t="shared" si="5"/>
        <v>6043</v>
      </c>
      <c r="I24" s="99">
        <f t="shared" si="6"/>
        <v>19025</v>
      </c>
      <c r="J24" s="107"/>
      <c r="K24" s="107">
        <f t="shared" si="0"/>
        <v>0</v>
      </c>
      <c r="L24" s="107"/>
      <c r="M24" s="107">
        <f t="shared" si="8"/>
        <v>0</v>
      </c>
      <c r="N24" s="107"/>
      <c r="O24" s="97">
        <f t="shared" si="9"/>
        <v>0</v>
      </c>
      <c r="P24" s="107"/>
      <c r="Q24" s="107">
        <f t="shared" si="10"/>
        <v>0</v>
      </c>
      <c r="R24" s="107"/>
      <c r="S24" s="107">
        <f t="shared" si="11"/>
        <v>0</v>
      </c>
      <c r="T24" s="107"/>
      <c r="U24" s="107">
        <f t="shared" si="12"/>
        <v>0</v>
      </c>
      <c r="V24" s="107"/>
      <c r="W24" s="97">
        <f t="shared" si="2"/>
        <v>0</v>
      </c>
    </row>
    <row r="25" spans="1:23" ht="26.25">
      <c r="A25" s="32">
        <v>44459</v>
      </c>
      <c r="B25" s="34">
        <v>100</v>
      </c>
      <c r="C25" s="129">
        <v>48997532</v>
      </c>
      <c r="D25" s="42">
        <f t="shared" si="7"/>
        <v>4752</v>
      </c>
      <c r="E25" s="129">
        <v>47833976</v>
      </c>
      <c r="F25" s="42">
        <f t="shared" si="4"/>
        <v>8999</v>
      </c>
      <c r="G25" s="129">
        <v>36254529</v>
      </c>
      <c r="H25" s="42">
        <f t="shared" si="5"/>
        <v>6561</v>
      </c>
      <c r="I25" s="99">
        <f t="shared" si="6"/>
        <v>20312</v>
      </c>
      <c r="J25" s="107"/>
      <c r="K25" s="107">
        <f t="shared" si="0"/>
        <v>0</v>
      </c>
      <c r="L25" s="107"/>
      <c r="M25" s="107">
        <f t="shared" si="8"/>
        <v>0</v>
      </c>
      <c r="N25" s="107"/>
      <c r="O25" s="97">
        <f t="shared" si="9"/>
        <v>0</v>
      </c>
      <c r="P25" s="107"/>
      <c r="Q25" s="107">
        <f t="shared" si="10"/>
        <v>0</v>
      </c>
      <c r="R25" s="107"/>
      <c r="S25" s="107">
        <f t="shared" si="11"/>
        <v>0</v>
      </c>
      <c r="T25" s="107"/>
      <c r="U25" s="107">
        <f t="shared" si="12"/>
        <v>0</v>
      </c>
      <c r="V25" s="107"/>
      <c r="W25" s="97">
        <f t="shared" si="2"/>
        <v>0</v>
      </c>
    </row>
    <row r="26" spans="1:23" ht="26.25">
      <c r="A26" s="32">
        <v>44460</v>
      </c>
      <c r="B26" s="34">
        <v>114</v>
      </c>
      <c r="C26" s="129">
        <v>49002118</v>
      </c>
      <c r="D26" s="42">
        <f t="shared" si="7"/>
        <v>4586</v>
      </c>
      <c r="E26" s="129">
        <v>47842647</v>
      </c>
      <c r="F26" s="42">
        <f t="shared" si="4"/>
        <v>8671</v>
      </c>
      <c r="G26" s="129">
        <v>36260898</v>
      </c>
      <c r="H26" s="42">
        <f t="shared" si="5"/>
        <v>6369</v>
      </c>
      <c r="I26" s="99">
        <f t="shared" si="6"/>
        <v>19626</v>
      </c>
      <c r="J26" s="107"/>
      <c r="K26" s="107">
        <f t="shared" si="0"/>
        <v>0</v>
      </c>
      <c r="L26" s="107"/>
      <c r="M26" s="107">
        <f t="shared" si="8"/>
        <v>0</v>
      </c>
      <c r="N26" s="107"/>
      <c r="O26" s="97">
        <f t="shared" si="9"/>
        <v>0</v>
      </c>
      <c r="P26" s="107"/>
      <c r="Q26" s="107">
        <f t="shared" si="10"/>
        <v>0</v>
      </c>
      <c r="R26" s="107"/>
      <c r="S26" s="107">
        <f t="shared" si="11"/>
        <v>0</v>
      </c>
      <c r="T26" s="107"/>
      <c r="U26" s="107">
        <f t="shared" si="12"/>
        <v>0</v>
      </c>
      <c r="V26" s="107"/>
      <c r="W26" s="97">
        <f t="shared" si="2"/>
        <v>0</v>
      </c>
    </row>
    <row r="27" spans="1:23" ht="26.25">
      <c r="A27" s="32">
        <v>44461</v>
      </c>
      <c r="B27" s="34">
        <v>114</v>
      </c>
      <c r="C27" s="129">
        <v>49006823</v>
      </c>
      <c r="D27" s="42">
        <f t="shared" si="7"/>
        <v>4705</v>
      </c>
      <c r="E27" s="129">
        <v>47851532</v>
      </c>
      <c r="F27" s="42">
        <f t="shared" si="4"/>
        <v>8885</v>
      </c>
      <c r="G27" s="129">
        <v>36267431</v>
      </c>
      <c r="H27" s="42">
        <f t="shared" si="5"/>
        <v>6533</v>
      </c>
      <c r="I27" s="99">
        <f t="shared" si="6"/>
        <v>20123</v>
      </c>
      <c r="J27" s="107"/>
      <c r="K27" s="107">
        <f t="shared" si="0"/>
        <v>0</v>
      </c>
      <c r="L27" s="107"/>
      <c r="M27" s="107">
        <f t="shared" si="8"/>
        <v>0</v>
      </c>
      <c r="N27" s="107"/>
      <c r="O27" s="97">
        <f t="shared" si="9"/>
        <v>0</v>
      </c>
      <c r="P27" s="107"/>
      <c r="Q27" s="107">
        <f t="shared" si="10"/>
        <v>0</v>
      </c>
      <c r="R27" s="107"/>
      <c r="S27" s="107">
        <f t="shared" si="11"/>
        <v>0</v>
      </c>
      <c r="T27" s="107"/>
      <c r="U27" s="107">
        <f t="shared" si="12"/>
        <v>0</v>
      </c>
      <c r="V27" s="107"/>
      <c r="W27" s="97">
        <f t="shared" si="2"/>
        <v>0</v>
      </c>
    </row>
    <row r="28" spans="1:23" ht="26.25">
      <c r="A28" s="32">
        <v>44462</v>
      </c>
      <c r="B28" s="34">
        <v>114</v>
      </c>
      <c r="C28" s="129">
        <v>49011094</v>
      </c>
      <c r="D28" s="42">
        <f t="shared" si="3"/>
        <v>4271</v>
      </c>
      <c r="E28" s="129">
        <v>47859340</v>
      </c>
      <c r="F28" s="42">
        <f t="shared" si="4"/>
        <v>7808</v>
      </c>
      <c r="G28" s="129">
        <v>36272622</v>
      </c>
      <c r="H28" s="42">
        <f t="shared" si="5"/>
        <v>5191</v>
      </c>
      <c r="I28" s="99">
        <f t="shared" si="6"/>
        <v>17270</v>
      </c>
      <c r="J28" s="107"/>
      <c r="K28" s="107">
        <f t="shared" si="0"/>
        <v>0</v>
      </c>
      <c r="L28" s="107"/>
      <c r="M28" s="107">
        <f>IF(L28-L27&lt;0,0,L28-L27)</f>
        <v>0</v>
      </c>
      <c r="N28" s="107"/>
      <c r="O28" s="97">
        <f>IF(N28-N27&lt;0,0,N28-N27)</f>
        <v>0</v>
      </c>
      <c r="P28" s="107"/>
      <c r="Q28" s="107">
        <f>IF(P28-P27&lt;0,0,P28-P27)</f>
        <v>0</v>
      </c>
      <c r="R28" s="107"/>
      <c r="S28" s="107">
        <f>IF(R28-R27&lt;0,0,R28-R27)</f>
        <v>0</v>
      </c>
      <c r="T28" s="107"/>
      <c r="U28" s="107">
        <f>IF(T28-T27&lt;0,0,T28-T27)</f>
        <v>0</v>
      </c>
      <c r="V28" s="107"/>
      <c r="W28" s="97">
        <f t="shared" ref="W28:W35" si="13">IF(V28-V27&lt;0,0,V28-V27)</f>
        <v>0</v>
      </c>
    </row>
    <row r="29" spans="1:23" ht="26.25">
      <c r="A29" s="32">
        <v>44463</v>
      </c>
      <c r="B29" s="34">
        <v>114</v>
      </c>
      <c r="C29" s="129">
        <v>49016019</v>
      </c>
      <c r="D29" s="42">
        <f t="shared" si="3"/>
        <v>4925</v>
      </c>
      <c r="E29" s="129">
        <v>47868236</v>
      </c>
      <c r="F29" s="42">
        <f t="shared" si="4"/>
        <v>8896</v>
      </c>
      <c r="G29" s="129">
        <v>36278600</v>
      </c>
      <c r="H29" s="42">
        <f t="shared" si="5"/>
        <v>5978</v>
      </c>
      <c r="I29" s="99">
        <f t="shared" si="6"/>
        <v>19799</v>
      </c>
      <c r="J29" s="107"/>
      <c r="K29" s="107">
        <f t="shared" si="0"/>
        <v>0</v>
      </c>
      <c r="L29" s="107"/>
      <c r="M29" s="107">
        <f>IF(L29-L28&lt;0,0,L29-L28)</f>
        <v>0</v>
      </c>
      <c r="N29" s="107"/>
      <c r="O29" s="97">
        <f>IF(N29-N28&lt;0,0,N29-N28)</f>
        <v>0</v>
      </c>
      <c r="P29" s="107"/>
      <c r="Q29" s="107">
        <f>IF(P29-P28&lt;0,0,P29-P28)</f>
        <v>0</v>
      </c>
      <c r="R29" s="107"/>
      <c r="S29" s="107">
        <f>IF(R29-R28&lt;0,0,R29-R28)</f>
        <v>0</v>
      </c>
      <c r="T29" s="107"/>
      <c r="U29" s="107">
        <f>IF(T29-T28&lt;0,0,T29-T28)</f>
        <v>0</v>
      </c>
      <c r="V29" s="107"/>
      <c r="W29" s="97">
        <f t="shared" si="13"/>
        <v>0</v>
      </c>
    </row>
    <row r="30" spans="1:23" ht="26.25">
      <c r="A30" s="32">
        <v>44464</v>
      </c>
      <c r="B30" s="34">
        <v>83</v>
      </c>
      <c r="C30" s="129">
        <v>49020497</v>
      </c>
      <c r="D30" s="42">
        <f t="shared" si="3"/>
        <v>4478</v>
      </c>
      <c r="E30" s="129">
        <v>47876885</v>
      </c>
      <c r="F30" s="42">
        <f t="shared" si="4"/>
        <v>8649</v>
      </c>
      <c r="G30" s="129">
        <v>36284396</v>
      </c>
      <c r="H30" s="42">
        <f t="shared" si="5"/>
        <v>5796</v>
      </c>
      <c r="I30" s="99">
        <f t="shared" si="6"/>
        <v>18923</v>
      </c>
      <c r="J30" s="107"/>
      <c r="K30" s="107">
        <f t="shared" si="0"/>
        <v>0</v>
      </c>
      <c r="L30" s="107"/>
      <c r="M30" s="107">
        <f>IF(L30-L29&lt;0,0,L30-L29)</f>
        <v>0</v>
      </c>
      <c r="N30" s="107"/>
      <c r="O30" s="97">
        <f>IF(N30-N29&lt;0,0,N30-N29)</f>
        <v>0</v>
      </c>
      <c r="P30" s="107"/>
      <c r="Q30" s="107">
        <f>IF(P30-P29&lt;0,0,P30-P29)</f>
        <v>0</v>
      </c>
      <c r="R30" s="107"/>
      <c r="S30" s="107">
        <f>IF(R30-R29&lt;0,0,R30-R29)</f>
        <v>0</v>
      </c>
      <c r="T30" s="107"/>
      <c r="U30" s="107">
        <f>IF(T30-T29&lt;0,0,T30-T29)</f>
        <v>0</v>
      </c>
      <c r="V30" s="107"/>
      <c r="W30" s="97">
        <f t="shared" si="13"/>
        <v>0</v>
      </c>
    </row>
    <row r="31" spans="1:23" ht="26.25">
      <c r="A31" s="32">
        <v>44465</v>
      </c>
      <c r="B31" s="34">
        <v>80</v>
      </c>
      <c r="C31" s="129">
        <v>49025044</v>
      </c>
      <c r="D31" s="42">
        <f t="shared" si="3"/>
        <v>4547</v>
      </c>
      <c r="E31" s="129">
        <v>47886238</v>
      </c>
      <c r="F31" s="42">
        <f t="shared" si="4"/>
        <v>9353</v>
      </c>
      <c r="G31" s="129">
        <v>36290886</v>
      </c>
      <c r="H31" s="42">
        <f t="shared" si="5"/>
        <v>6490</v>
      </c>
      <c r="I31" s="99">
        <f t="shared" si="6"/>
        <v>20390</v>
      </c>
      <c r="J31" s="107"/>
      <c r="K31" s="107">
        <f t="shared" si="0"/>
        <v>0</v>
      </c>
      <c r="L31" s="107"/>
      <c r="M31" s="107">
        <f t="shared" ref="M31:U31" si="14">IF(L31-L30&lt;0,0,L31-L30)</f>
        <v>0</v>
      </c>
      <c r="N31" s="107"/>
      <c r="O31" s="97">
        <f t="shared" si="14"/>
        <v>0</v>
      </c>
      <c r="P31" s="107"/>
      <c r="Q31" s="107">
        <f t="shared" si="14"/>
        <v>0</v>
      </c>
      <c r="R31" s="107"/>
      <c r="S31" s="107">
        <f t="shared" si="14"/>
        <v>0</v>
      </c>
      <c r="T31" s="107"/>
      <c r="U31" s="107">
        <f t="shared" si="14"/>
        <v>0</v>
      </c>
      <c r="V31" s="107"/>
      <c r="W31" s="97">
        <f t="shared" si="13"/>
        <v>0</v>
      </c>
    </row>
    <row r="32" spans="1:23" ht="26.25">
      <c r="A32" s="32">
        <v>44466</v>
      </c>
      <c r="B32" s="34">
        <v>101</v>
      </c>
      <c r="C32" s="129">
        <v>49029431</v>
      </c>
      <c r="D32" s="42">
        <f t="shared" si="3"/>
        <v>4387</v>
      </c>
      <c r="E32" s="129">
        <v>47894236</v>
      </c>
      <c r="F32" s="42">
        <f t="shared" si="4"/>
        <v>7998</v>
      </c>
      <c r="G32" s="129">
        <v>36296358</v>
      </c>
      <c r="H32" s="42">
        <f t="shared" si="5"/>
        <v>5472</v>
      </c>
      <c r="I32" s="99">
        <f t="shared" si="6"/>
        <v>17857</v>
      </c>
      <c r="J32" s="107"/>
      <c r="K32" s="107">
        <f>IF(J32-J31&lt;0,0,J32-J31)</f>
        <v>0</v>
      </c>
      <c r="L32" s="107"/>
      <c r="M32" s="107">
        <f>IF(L32-L31&lt;0,0,L32-L31)</f>
        <v>0</v>
      </c>
      <c r="N32" s="107"/>
      <c r="O32" s="97">
        <f>IF(N32-N31&lt;0,0,N32-N31)</f>
        <v>0</v>
      </c>
      <c r="P32" s="107"/>
      <c r="Q32" s="107">
        <f>IF(P32-P31&lt;0,0,P32-P31)</f>
        <v>0</v>
      </c>
      <c r="R32" s="107"/>
      <c r="S32" s="107">
        <f>IF(R32-R31&lt;0,0,R32-R31)</f>
        <v>0</v>
      </c>
      <c r="T32" s="107"/>
      <c r="U32" s="107">
        <f>IF(T32-T31&lt;0,0,T32-T31)</f>
        <v>0</v>
      </c>
      <c r="V32" s="107"/>
      <c r="W32" s="97">
        <f t="shared" si="13"/>
        <v>0</v>
      </c>
    </row>
    <row r="33" spans="1:23" ht="26.25">
      <c r="A33" s="32">
        <v>44467</v>
      </c>
      <c r="B33" s="34">
        <v>114</v>
      </c>
      <c r="C33" s="129">
        <v>49034308</v>
      </c>
      <c r="D33" s="42">
        <f>C33-C32</f>
        <v>4877</v>
      </c>
      <c r="E33" s="129">
        <v>47902901</v>
      </c>
      <c r="F33" s="42">
        <f>IF((E33-E31)&lt;0,"0",(E33-E31))</f>
        <v>16663</v>
      </c>
      <c r="G33" s="129">
        <v>36302350</v>
      </c>
      <c r="H33" s="42">
        <f>G33-G32</f>
        <v>5992</v>
      </c>
      <c r="I33" s="99">
        <f>D33+F33+H33</f>
        <v>27532</v>
      </c>
      <c r="J33" s="107"/>
      <c r="K33" s="107">
        <f t="shared" si="0"/>
        <v>0</v>
      </c>
      <c r="L33" s="107"/>
      <c r="M33" s="107">
        <f>IF(L33-L32&lt;0,0,L33-L32)</f>
        <v>0</v>
      </c>
      <c r="N33" s="107"/>
      <c r="O33" s="97">
        <f>IF(N33-N32&lt;0,0,N33-N32)</f>
        <v>0</v>
      </c>
      <c r="P33" s="107"/>
      <c r="Q33" s="107">
        <f>IF(P33-P32&lt;0,0,P33-P32)</f>
        <v>0</v>
      </c>
      <c r="R33" s="107"/>
      <c r="S33" s="107">
        <f>IF(R33-R32&lt;0,0,R33-R32)</f>
        <v>0</v>
      </c>
      <c r="T33" s="107"/>
      <c r="U33" s="107">
        <f>IF(T33-T32&lt;0,0,T33-T32)</f>
        <v>0</v>
      </c>
      <c r="V33" s="107"/>
      <c r="W33" s="97">
        <f t="shared" si="13"/>
        <v>0</v>
      </c>
    </row>
    <row r="34" spans="1:23" ht="26.25">
      <c r="A34" s="32">
        <v>44468</v>
      </c>
      <c r="B34" s="34">
        <v>114</v>
      </c>
      <c r="C34" s="129">
        <v>49038450</v>
      </c>
      <c r="D34" s="42">
        <f>C34-C33</f>
        <v>4142</v>
      </c>
      <c r="E34" s="129">
        <v>47910913</v>
      </c>
      <c r="F34" s="42">
        <f>IF((E34-E32)&lt;0,"0",(E34-E32))</f>
        <v>16677</v>
      </c>
      <c r="G34" s="129">
        <v>36308060</v>
      </c>
      <c r="H34" s="42">
        <f>G34-G33</f>
        <v>5710</v>
      </c>
      <c r="I34" s="99">
        <f t="shared" si="6"/>
        <v>26529</v>
      </c>
      <c r="J34" s="107"/>
      <c r="K34" s="107">
        <f t="shared" si="0"/>
        <v>0</v>
      </c>
      <c r="L34" s="107"/>
      <c r="M34" s="107">
        <f>IF(L34-L33&lt;0,0,L34-L33)</f>
        <v>0</v>
      </c>
      <c r="N34" s="107"/>
      <c r="O34" s="97">
        <f>IF(N34-N33&lt;0,0,N34-N33)</f>
        <v>0</v>
      </c>
      <c r="P34" s="107"/>
      <c r="Q34" s="107">
        <f>IF(P34-P33&lt;0,0,P34-P33)</f>
        <v>0</v>
      </c>
      <c r="R34" s="107"/>
      <c r="S34" s="107">
        <f>IF(R34-R33&lt;0,0,R34-R33)</f>
        <v>0</v>
      </c>
      <c r="T34" s="107"/>
      <c r="U34" s="107">
        <f>IF(T34-T33&lt;0,0,T34-T33)</f>
        <v>0</v>
      </c>
      <c r="V34" s="107"/>
      <c r="W34" s="97">
        <f t="shared" si="13"/>
        <v>0</v>
      </c>
    </row>
    <row r="35" spans="1:23" ht="26.25">
      <c r="A35" s="32">
        <v>44469</v>
      </c>
      <c r="B35" s="34">
        <v>114</v>
      </c>
      <c r="C35" s="129">
        <v>49042656</v>
      </c>
      <c r="D35" s="74">
        <f>C35-C34</f>
        <v>4206</v>
      </c>
      <c r="E35" s="129">
        <v>47918966</v>
      </c>
      <c r="F35" s="78">
        <f>IF((E35-E33)&lt;0,"0",(E35-E33))</f>
        <v>16065</v>
      </c>
      <c r="G35" s="129">
        <v>36314002</v>
      </c>
      <c r="H35" s="74">
        <f>G35-G34</f>
        <v>5942</v>
      </c>
      <c r="I35" s="100">
        <f t="shared" si="6"/>
        <v>26213</v>
      </c>
      <c r="J35" s="107"/>
      <c r="K35" s="107">
        <f>IF(J35-J34&lt;0,0,J35-J34)</f>
        <v>0</v>
      </c>
      <c r="L35" s="107"/>
      <c r="M35" s="107">
        <f>IF(L35-L34&lt;0,0,L35-L34)</f>
        <v>0</v>
      </c>
      <c r="N35" s="107"/>
      <c r="O35" s="97">
        <f>IF(N35-N34&lt;0,0,N35-N34)</f>
        <v>0</v>
      </c>
      <c r="P35" s="107"/>
      <c r="Q35" s="107">
        <f>IF(P35-P34&lt;0,0,P35-P34)</f>
        <v>0</v>
      </c>
      <c r="R35" s="107"/>
      <c r="S35" s="107">
        <f>IF(R35-R34&lt;0,0,R35-R34)</f>
        <v>0</v>
      </c>
      <c r="T35" s="107"/>
      <c r="U35" s="107">
        <f>IF(T35-T34&lt;0,0,T35-T34)</f>
        <v>0</v>
      </c>
      <c r="V35" s="107"/>
      <c r="W35" s="97">
        <f t="shared" si="13"/>
        <v>0</v>
      </c>
    </row>
    <row r="36" spans="1:23" s="21" customFormat="1" ht="27.75" thickBot="1">
      <c r="A36" s="44" t="s">
        <v>37</v>
      </c>
      <c r="B36" s="45"/>
      <c r="C36" s="80"/>
      <c r="D36" s="75">
        <f>SUM(D5:D35)</f>
        <v>137749</v>
      </c>
      <c r="E36" s="81"/>
      <c r="F36" s="75">
        <f>SUM(F5:F34)</f>
        <v>262048</v>
      </c>
      <c r="G36" s="79"/>
      <c r="H36" s="75">
        <f>SUM(H5:H35)</f>
        <v>179634</v>
      </c>
      <c r="I36" s="101">
        <f t="shared" si="6"/>
        <v>579431</v>
      </c>
      <c r="J36" s="108"/>
      <c r="K36" s="109">
        <f>SUM(K5:K34)</f>
        <v>0</v>
      </c>
      <c r="L36" s="109"/>
      <c r="M36" s="109">
        <f>SUM(M5:M34)</f>
        <v>0</v>
      </c>
      <c r="N36" s="109"/>
      <c r="O36" s="110">
        <f>SUM(O5:O34)</f>
        <v>0</v>
      </c>
      <c r="P36" s="108"/>
      <c r="Q36" s="109">
        <f>SUM(Q5:Q34)</f>
        <v>0</v>
      </c>
      <c r="R36" s="109"/>
      <c r="S36" s="109">
        <f>SUM(S5:S34)</f>
        <v>0</v>
      </c>
      <c r="T36" s="109"/>
      <c r="U36" s="109">
        <f>SUM(U5:U34)</f>
        <v>0</v>
      </c>
      <c r="V36" s="109"/>
      <c r="W36" s="110">
        <f>SUM(W5:W34)</f>
        <v>0</v>
      </c>
    </row>
    <row r="37" spans="1:23" ht="37.5">
      <c r="J37" s="92"/>
      <c r="K37" s="92"/>
      <c r="L37" s="92"/>
      <c r="M37" s="92"/>
      <c r="N37" s="92"/>
      <c r="O37" s="92"/>
      <c r="P37" s="92"/>
      <c r="Q37" s="92"/>
      <c r="R37"/>
      <c r="S37" s="93"/>
      <c r="T37"/>
      <c r="U37" s="93"/>
      <c r="V37"/>
      <c r="W37" s="93"/>
    </row>
    <row r="38" spans="1:23" ht="26.25">
      <c r="A38" s="3"/>
      <c r="B38" s="25"/>
      <c r="J38"/>
      <c r="K38" s="93"/>
      <c r="L38"/>
      <c r="M38" s="93"/>
      <c r="N38"/>
      <c r="O38" s="93"/>
      <c r="P38"/>
      <c r="Q38" s="93"/>
      <c r="R38" s="93"/>
      <c r="S38" s="93"/>
      <c r="T38" s="94"/>
      <c r="U38" s="93"/>
      <c r="V38" s="93"/>
      <c r="W38" s="93"/>
    </row>
    <row r="53" spans="1:2" ht="15">
      <c r="A53" s="3"/>
      <c r="B53" s="25"/>
    </row>
  </sheetData>
  <mergeCells count="2">
    <mergeCell ref="A1:I1"/>
    <mergeCell ref="A2:I2"/>
  </mergeCells>
  <phoneticPr fontId="0" type="noConversion"/>
  <conditionalFormatting sqref="D5:D35 D36:G36 F5:F35 H5:W36 A3:B36">
    <cfRule type="cellIs" dxfId="1" priority="21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4"/>
  <sheetViews>
    <sheetView view="pageBreakPreview" topLeftCell="L1" zoomScale="50" zoomScaleNormal="55" zoomScaleSheetLayoutView="50" workbookViewId="0">
      <selection activeCell="AG4" sqref="AG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26" t="s">
        <v>56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9" t="s">
        <v>71</v>
      </c>
      <c r="AE2" s="71" t="s">
        <v>72</v>
      </c>
      <c r="AF2" s="55" t="s">
        <v>34</v>
      </c>
    </row>
    <row r="3" spans="1:38">
      <c r="A3" s="54" t="s">
        <v>36</v>
      </c>
      <c r="B3" s="130">
        <v>1509508</v>
      </c>
      <c r="C3" s="62"/>
      <c r="D3" s="130">
        <v>33363360</v>
      </c>
      <c r="E3" s="60"/>
      <c r="F3" s="130">
        <v>28146</v>
      </c>
      <c r="G3" s="60"/>
      <c r="H3" s="130">
        <v>90528</v>
      </c>
      <c r="I3" s="59"/>
      <c r="J3" s="131">
        <v>180730</v>
      </c>
      <c r="K3" s="62"/>
      <c r="L3" s="130">
        <v>94824</v>
      </c>
      <c r="M3" s="60"/>
      <c r="N3" s="130">
        <v>620439</v>
      </c>
      <c r="O3" s="62"/>
      <c r="P3" s="130">
        <v>162263</v>
      </c>
      <c r="Q3" s="60"/>
      <c r="R3" s="130">
        <v>913616</v>
      </c>
      <c r="S3" s="62"/>
      <c r="T3" s="130">
        <v>72628</v>
      </c>
      <c r="U3" s="60"/>
      <c r="V3" s="130">
        <v>294074</v>
      </c>
      <c r="W3" s="62"/>
      <c r="X3" s="131">
        <v>25238</v>
      </c>
      <c r="Y3" s="60"/>
      <c r="Z3" s="131">
        <v>696974</v>
      </c>
      <c r="AA3" s="62"/>
      <c r="AB3" s="76">
        <v>1410</v>
      </c>
      <c r="AC3" s="60"/>
      <c r="AD3" s="67"/>
      <c r="AE3" s="72"/>
      <c r="AF3" s="53"/>
    </row>
    <row r="4" spans="1:38">
      <c r="A4" s="52">
        <v>44440</v>
      </c>
      <c r="B4" s="130">
        <v>1509662</v>
      </c>
      <c r="C4" s="63">
        <f>IF((B4-B3)&lt;0,"0",(B4-B3))</f>
        <v>154</v>
      </c>
      <c r="D4" s="130">
        <v>33363990</v>
      </c>
      <c r="E4" s="60">
        <f>IF((D4-D3)&lt;0,"0",(D4-D3))</f>
        <v>630</v>
      </c>
      <c r="F4" s="130">
        <v>28270</v>
      </c>
      <c r="G4" s="60">
        <f>IF((F4-F3)&lt;0,"0",(F4-F3))</f>
        <v>124</v>
      </c>
      <c r="H4" s="130">
        <v>90550</v>
      </c>
      <c r="I4" s="60">
        <f>IF((H4-H3)&lt;0,"0",(H4-H3))</f>
        <v>22</v>
      </c>
      <c r="J4" s="131">
        <v>180730</v>
      </c>
      <c r="K4" s="63">
        <f>IF((J4-J3)&lt;0,"0",(J4-J3))</f>
        <v>0</v>
      </c>
      <c r="L4" s="132">
        <v>94887</v>
      </c>
      <c r="M4" s="60">
        <f>IF((L4-L3)&lt;0,"0",(L4-L3))</f>
        <v>63</v>
      </c>
      <c r="N4" s="130">
        <v>620563</v>
      </c>
      <c r="O4" s="63">
        <f>IF((N4-N3)&lt;0,"0",(N4-N3))</f>
        <v>124</v>
      </c>
      <c r="P4" s="130">
        <v>162263</v>
      </c>
      <c r="Q4" s="60">
        <v>0</v>
      </c>
      <c r="R4" s="130">
        <v>913756</v>
      </c>
      <c r="S4" s="63">
        <f>IF((R4-R3)&lt;0,"0",(R4-R3))</f>
        <v>140</v>
      </c>
      <c r="T4" s="130">
        <v>72648</v>
      </c>
      <c r="U4" s="60">
        <f>IF((T4-T3)&lt;0,"0",(T4-T3))</f>
        <v>20</v>
      </c>
      <c r="V4" s="130">
        <v>294122</v>
      </c>
      <c r="W4" s="63">
        <f>IF((V4-V3)&lt;0,"0",(V4-V3))</f>
        <v>48</v>
      </c>
      <c r="X4" s="131">
        <v>25275</v>
      </c>
      <c r="Y4" s="60">
        <f>IF((X4-X3)&lt;0,"0",(X4-X3))</f>
        <v>37</v>
      </c>
      <c r="Z4" s="131">
        <v>697103</v>
      </c>
      <c r="AA4" s="63">
        <f>IF((Z4-Z3)&lt;0,"0",(Z4-Z3))</f>
        <v>129</v>
      </c>
      <c r="AB4" s="76">
        <v>1410</v>
      </c>
      <c r="AC4" s="60">
        <f>IF((AB4-AB3)&lt;0,"0",(AB4-AB3))</f>
        <v>0</v>
      </c>
      <c r="AD4" s="68">
        <f>C4+E4+G4+I4+K4+M4+O4+Q4+S4+U4+W4+Y4+AA4+AC4</f>
        <v>1491</v>
      </c>
      <c r="AE4" s="18">
        <v>0</v>
      </c>
      <c r="AF4" s="53">
        <f>IF((AE4-AE3)&lt;0,"0",(AE4-AE3))</f>
        <v>0</v>
      </c>
    </row>
    <row r="5" spans="1:38">
      <c r="A5" s="52">
        <v>44441</v>
      </c>
      <c r="B5" s="130">
        <v>1509882</v>
      </c>
      <c r="C5" s="63">
        <f t="shared" ref="C5:C33" si="0">IF((B5-B4)&lt;0,"0",(B5-B4))</f>
        <v>220</v>
      </c>
      <c r="D5" s="130">
        <v>33364579</v>
      </c>
      <c r="E5" s="60">
        <f t="shared" ref="E5:E33" si="1">IF((D5-D4)&lt;0,"0",(D5-D4))</f>
        <v>589</v>
      </c>
      <c r="F5" s="130">
        <v>28405</v>
      </c>
      <c r="G5" s="60">
        <f t="shared" ref="G5:G33" si="2">IF((F5-F4)&lt;0,"0",(F5-F4))</f>
        <v>135</v>
      </c>
      <c r="H5" s="130">
        <v>90575</v>
      </c>
      <c r="I5" s="60">
        <f t="shared" ref="I5:I33" si="3">IF((H5-H4)&lt;0,"0",(H5-H4))</f>
        <v>25</v>
      </c>
      <c r="J5" s="131">
        <v>180734</v>
      </c>
      <c r="K5" s="63">
        <f t="shared" ref="K5:K33" si="4">IF((J5-J4)&lt;0,"0",(J5-J4))</f>
        <v>4</v>
      </c>
      <c r="L5" s="132">
        <v>94951</v>
      </c>
      <c r="M5" s="60">
        <f t="shared" ref="M5:M33" si="5">IF((L5-L4)&lt;0,"0",(L5-L4))</f>
        <v>64</v>
      </c>
      <c r="N5" s="130">
        <v>620726</v>
      </c>
      <c r="O5" s="63">
        <f t="shared" ref="O5:O33" si="6">IF((N5-N4)&lt;0,"0",(N5-N4))</f>
        <v>163</v>
      </c>
      <c r="P5" s="130">
        <v>162263</v>
      </c>
      <c r="Q5" s="60">
        <f t="shared" ref="Q5:Q33" si="7">IF((P5-P4)&lt;0,"0",(P5-P4))</f>
        <v>0</v>
      </c>
      <c r="R5" s="130">
        <v>913928</v>
      </c>
      <c r="S5" s="63">
        <f t="shared" ref="S5:S33" si="8">IF((R5-R4)&lt;0,"0",(R5-R4))</f>
        <v>172</v>
      </c>
      <c r="T5" s="130">
        <v>72675</v>
      </c>
      <c r="U5" s="60">
        <f t="shared" ref="U5:U33" si="9">IF((T5-T4)&lt;0,"0",(T5-T4))</f>
        <v>27</v>
      </c>
      <c r="V5" s="130">
        <v>294172</v>
      </c>
      <c r="W5" s="63">
        <f t="shared" ref="W5:W33" si="10">IF((V5-V4)&lt;0,"0",(V5-V4))</f>
        <v>50</v>
      </c>
      <c r="X5" s="131">
        <v>25306</v>
      </c>
      <c r="Y5" s="60">
        <f t="shared" ref="Y5:Y33" si="11">IF((X5-X4)&lt;0,"0",(X5-X4))</f>
        <v>31</v>
      </c>
      <c r="Z5" s="131">
        <v>697222</v>
      </c>
      <c r="AA5" s="63">
        <f t="shared" ref="AA5:AA33" si="12">IF((Z5-Z4)&lt;0,"0",(Z5-Z4))</f>
        <v>119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1599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44442</v>
      </c>
      <c r="B6" s="130">
        <v>1510119</v>
      </c>
      <c r="C6" s="63">
        <f t="shared" si="0"/>
        <v>237</v>
      </c>
      <c r="D6" s="130">
        <v>33365210</v>
      </c>
      <c r="E6" s="60">
        <f t="shared" si="1"/>
        <v>631</v>
      </c>
      <c r="F6" s="130">
        <v>28526</v>
      </c>
      <c r="G6" s="60">
        <f t="shared" si="2"/>
        <v>121</v>
      </c>
      <c r="H6" s="130">
        <v>90600</v>
      </c>
      <c r="I6" s="60">
        <f t="shared" si="3"/>
        <v>25</v>
      </c>
      <c r="J6" s="131">
        <v>180734</v>
      </c>
      <c r="K6" s="63">
        <f t="shared" si="4"/>
        <v>0</v>
      </c>
      <c r="L6" s="132">
        <v>95016</v>
      </c>
      <c r="M6" s="60">
        <f t="shared" si="5"/>
        <v>65</v>
      </c>
      <c r="N6" s="130">
        <v>620757</v>
      </c>
      <c r="O6" s="63">
        <f t="shared" si="6"/>
        <v>31</v>
      </c>
      <c r="P6" s="130">
        <v>162263</v>
      </c>
      <c r="Q6" s="60">
        <f t="shared" si="7"/>
        <v>0</v>
      </c>
      <c r="R6" s="130">
        <v>914163</v>
      </c>
      <c r="S6" s="63">
        <f t="shared" si="8"/>
        <v>235</v>
      </c>
      <c r="T6" s="130">
        <v>72692</v>
      </c>
      <c r="U6" s="60">
        <f t="shared" si="9"/>
        <v>17</v>
      </c>
      <c r="V6" s="130">
        <v>294219</v>
      </c>
      <c r="W6" s="63">
        <f t="shared" si="10"/>
        <v>47</v>
      </c>
      <c r="X6" s="131">
        <v>25371</v>
      </c>
      <c r="Y6" s="60">
        <f t="shared" si="11"/>
        <v>65</v>
      </c>
      <c r="Z6" s="131">
        <v>697343</v>
      </c>
      <c r="AA6" s="63">
        <f t="shared" si="12"/>
        <v>121</v>
      </c>
      <c r="AB6" s="76">
        <v>1410</v>
      </c>
      <c r="AC6" s="60">
        <f t="shared" si="13"/>
        <v>0</v>
      </c>
      <c r="AD6" s="70">
        <f t="shared" si="14"/>
        <v>1595</v>
      </c>
      <c r="AE6" s="18">
        <v>0</v>
      </c>
      <c r="AF6" s="53">
        <f t="shared" si="15"/>
        <v>0</v>
      </c>
    </row>
    <row r="7" spans="1:38">
      <c r="A7" s="52">
        <v>44443</v>
      </c>
      <c r="B7" s="130">
        <v>1510356</v>
      </c>
      <c r="C7" s="63">
        <f t="shared" si="0"/>
        <v>237</v>
      </c>
      <c r="D7" s="130">
        <v>33365894</v>
      </c>
      <c r="E7" s="60">
        <f t="shared" si="1"/>
        <v>684</v>
      </c>
      <c r="F7" s="130">
        <v>28657</v>
      </c>
      <c r="G7" s="60">
        <f t="shared" si="2"/>
        <v>131</v>
      </c>
      <c r="H7" s="130">
        <v>90627</v>
      </c>
      <c r="I7" s="60">
        <f t="shared" si="3"/>
        <v>27</v>
      </c>
      <c r="J7" s="131">
        <v>180734</v>
      </c>
      <c r="K7" s="63">
        <f t="shared" si="4"/>
        <v>0</v>
      </c>
      <c r="L7" s="132">
        <v>95083</v>
      </c>
      <c r="M7" s="60">
        <f t="shared" si="5"/>
        <v>67</v>
      </c>
      <c r="N7" s="130">
        <v>620840</v>
      </c>
      <c r="O7" s="63">
        <f t="shared" si="6"/>
        <v>83</v>
      </c>
      <c r="P7" s="130">
        <v>162263</v>
      </c>
      <c r="Q7" s="60">
        <f t="shared" si="7"/>
        <v>0</v>
      </c>
      <c r="R7" s="130">
        <v>914373</v>
      </c>
      <c r="S7" s="63">
        <f t="shared" si="8"/>
        <v>210</v>
      </c>
      <c r="T7" s="130">
        <v>72712</v>
      </c>
      <c r="U7" s="60">
        <f t="shared" si="9"/>
        <v>20</v>
      </c>
      <c r="V7" s="130">
        <v>294273</v>
      </c>
      <c r="W7" s="63">
        <f t="shared" si="10"/>
        <v>54</v>
      </c>
      <c r="X7" s="131">
        <v>25408</v>
      </c>
      <c r="Y7" s="60">
        <f t="shared" si="11"/>
        <v>37</v>
      </c>
      <c r="Z7" s="131">
        <v>697480</v>
      </c>
      <c r="AA7" s="63">
        <f t="shared" si="12"/>
        <v>137</v>
      </c>
      <c r="AB7" s="76">
        <v>1410</v>
      </c>
      <c r="AC7" s="60">
        <f t="shared" si="13"/>
        <v>0</v>
      </c>
      <c r="AD7" s="70">
        <f t="shared" si="14"/>
        <v>1687</v>
      </c>
      <c r="AE7" s="18">
        <v>0</v>
      </c>
      <c r="AF7" s="53">
        <f t="shared" si="15"/>
        <v>0</v>
      </c>
    </row>
    <row r="8" spans="1:38">
      <c r="A8" s="52">
        <v>44444</v>
      </c>
      <c r="B8" s="130">
        <v>1510619</v>
      </c>
      <c r="C8" s="63">
        <f t="shared" si="0"/>
        <v>263</v>
      </c>
      <c r="D8" s="130">
        <v>33366525</v>
      </c>
      <c r="E8" s="60">
        <f t="shared" si="1"/>
        <v>631</v>
      </c>
      <c r="F8" s="130">
        <v>28789</v>
      </c>
      <c r="G8" s="60">
        <f t="shared" si="2"/>
        <v>132</v>
      </c>
      <c r="H8" s="130">
        <v>90650</v>
      </c>
      <c r="I8" s="60">
        <f t="shared" si="3"/>
        <v>23</v>
      </c>
      <c r="J8" s="131">
        <v>180734</v>
      </c>
      <c r="K8" s="63">
        <f t="shared" si="4"/>
        <v>0</v>
      </c>
      <c r="L8" s="132">
        <v>95143</v>
      </c>
      <c r="M8" s="60">
        <f t="shared" si="5"/>
        <v>60</v>
      </c>
      <c r="N8" s="130">
        <v>620917</v>
      </c>
      <c r="O8" s="63">
        <f t="shared" si="6"/>
        <v>77</v>
      </c>
      <c r="P8" s="130">
        <v>162263</v>
      </c>
      <c r="Q8" s="60">
        <f t="shared" si="7"/>
        <v>0</v>
      </c>
      <c r="R8" s="130">
        <v>914608</v>
      </c>
      <c r="S8" s="63">
        <f t="shared" si="8"/>
        <v>235</v>
      </c>
      <c r="T8" s="130">
        <v>72750</v>
      </c>
      <c r="U8" s="60">
        <f t="shared" si="9"/>
        <v>38</v>
      </c>
      <c r="V8" s="130">
        <v>294323</v>
      </c>
      <c r="W8" s="63">
        <f t="shared" si="10"/>
        <v>50</v>
      </c>
      <c r="X8" s="131">
        <v>25442</v>
      </c>
      <c r="Y8" s="60">
        <f t="shared" si="11"/>
        <v>34</v>
      </c>
      <c r="Z8" s="131">
        <v>697603</v>
      </c>
      <c r="AA8" s="63">
        <f t="shared" si="12"/>
        <v>123</v>
      </c>
      <c r="AB8" s="76">
        <v>1410</v>
      </c>
      <c r="AC8" s="60">
        <f t="shared" si="13"/>
        <v>0</v>
      </c>
      <c r="AD8" s="70">
        <f t="shared" si="14"/>
        <v>1666</v>
      </c>
      <c r="AE8" s="18">
        <v>0</v>
      </c>
      <c r="AF8" s="53">
        <f t="shared" si="15"/>
        <v>0</v>
      </c>
    </row>
    <row r="9" spans="1:38">
      <c r="A9" s="52">
        <v>44445</v>
      </c>
      <c r="B9" s="130">
        <v>1510830</v>
      </c>
      <c r="C9" s="63">
        <f t="shared" si="0"/>
        <v>211</v>
      </c>
      <c r="D9" s="130">
        <v>33367156</v>
      </c>
      <c r="E9" s="60">
        <f t="shared" si="1"/>
        <v>631</v>
      </c>
      <c r="F9" s="130">
        <v>28895</v>
      </c>
      <c r="G9" s="60">
        <f t="shared" si="2"/>
        <v>106</v>
      </c>
      <c r="H9" s="130">
        <v>90666</v>
      </c>
      <c r="I9" s="60">
        <f t="shared" si="3"/>
        <v>16</v>
      </c>
      <c r="J9" s="131">
        <v>180737</v>
      </c>
      <c r="K9" s="63">
        <f t="shared" si="4"/>
        <v>3</v>
      </c>
      <c r="L9" s="132">
        <v>95196</v>
      </c>
      <c r="M9" s="60">
        <f t="shared" si="5"/>
        <v>53</v>
      </c>
      <c r="N9" s="130">
        <v>620985</v>
      </c>
      <c r="O9" s="63">
        <f t="shared" si="6"/>
        <v>68</v>
      </c>
      <c r="P9" s="130">
        <v>162263</v>
      </c>
      <c r="Q9" s="60">
        <f t="shared" si="7"/>
        <v>0</v>
      </c>
      <c r="R9" s="130">
        <v>914791</v>
      </c>
      <c r="S9" s="63">
        <f t="shared" si="8"/>
        <v>183</v>
      </c>
      <c r="T9" s="130">
        <v>72774</v>
      </c>
      <c r="U9" s="60">
        <f t="shared" si="9"/>
        <v>24</v>
      </c>
      <c r="V9" s="130">
        <v>294373</v>
      </c>
      <c r="W9" s="63">
        <f t="shared" si="10"/>
        <v>50</v>
      </c>
      <c r="X9" s="131">
        <v>25449</v>
      </c>
      <c r="Y9" s="60">
        <f t="shared" si="11"/>
        <v>7</v>
      </c>
      <c r="Z9" s="131">
        <v>697714</v>
      </c>
      <c r="AA9" s="63">
        <f t="shared" si="12"/>
        <v>111</v>
      </c>
      <c r="AB9" s="76">
        <v>1410</v>
      </c>
      <c r="AC9" s="60">
        <f t="shared" si="13"/>
        <v>0</v>
      </c>
      <c r="AD9" s="70">
        <f t="shared" si="14"/>
        <v>1463</v>
      </c>
      <c r="AE9" s="18">
        <v>0</v>
      </c>
      <c r="AF9" s="53">
        <f t="shared" si="15"/>
        <v>0</v>
      </c>
    </row>
    <row r="10" spans="1:38">
      <c r="A10" s="52">
        <v>44446</v>
      </c>
      <c r="B10" s="130">
        <v>1511062</v>
      </c>
      <c r="C10" s="63">
        <f t="shared" si="0"/>
        <v>232</v>
      </c>
      <c r="D10" s="130">
        <v>33367786</v>
      </c>
      <c r="E10" s="60">
        <f t="shared" si="1"/>
        <v>630</v>
      </c>
      <c r="F10" s="130">
        <v>29022</v>
      </c>
      <c r="G10" s="60">
        <f t="shared" si="2"/>
        <v>127</v>
      </c>
      <c r="H10" s="130">
        <v>90695</v>
      </c>
      <c r="I10" s="60">
        <f t="shared" si="3"/>
        <v>29</v>
      </c>
      <c r="J10" s="131">
        <v>180738</v>
      </c>
      <c r="K10" s="63">
        <f t="shared" si="4"/>
        <v>1</v>
      </c>
      <c r="L10" s="132">
        <v>95252</v>
      </c>
      <c r="M10" s="60">
        <f t="shared" si="5"/>
        <v>56</v>
      </c>
      <c r="N10" s="130">
        <v>621060</v>
      </c>
      <c r="O10" s="63">
        <f t="shared" si="6"/>
        <v>75</v>
      </c>
      <c r="P10" s="130">
        <v>162263</v>
      </c>
      <c r="Q10" s="60">
        <f t="shared" si="7"/>
        <v>0</v>
      </c>
      <c r="R10" s="130">
        <v>914980</v>
      </c>
      <c r="S10" s="63">
        <f t="shared" si="8"/>
        <v>189</v>
      </c>
      <c r="T10" s="130">
        <v>72804</v>
      </c>
      <c r="U10" s="60">
        <f t="shared" si="9"/>
        <v>30</v>
      </c>
      <c r="V10" s="130">
        <v>294417</v>
      </c>
      <c r="W10" s="63">
        <f t="shared" si="10"/>
        <v>44</v>
      </c>
      <c r="X10" s="131">
        <v>25477</v>
      </c>
      <c r="Y10" s="60">
        <f t="shared" si="11"/>
        <v>28</v>
      </c>
      <c r="Z10" s="131">
        <v>697828</v>
      </c>
      <c r="AA10" s="63">
        <f t="shared" si="12"/>
        <v>114</v>
      </c>
      <c r="AB10" s="76">
        <v>1410</v>
      </c>
      <c r="AC10" s="60">
        <f t="shared" si="13"/>
        <v>0</v>
      </c>
      <c r="AD10" s="70">
        <f t="shared" si="14"/>
        <v>1555</v>
      </c>
      <c r="AE10" s="18">
        <v>0</v>
      </c>
      <c r="AF10" s="53">
        <f t="shared" si="15"/>
        <v>0</v>
      </c>
    </row>
    <row r="11" spans="1:38">
      <c r="A11" s="52">
        <v>44447</v>
      </c>
      <c r="B11" s="130">
        <v>1511296</v>
      </c>
      <c r="C11" s="63">
        <f t="shared" si="0"/>
        <v>234</v>
      </c>
      <c r="D11" s="130">
        <v>33368505</v>
      </c>
      <c r="E11" s="60">
        <f>IF((D11-D10)&lt;0,"0",(D11-D10))</f>
        <v>719</v>
      </c>
      <c r="F11" s="130">
        <v>29154</v>
      </c>
      <c r="G11" s="60">
        <f t="shared" si="2"/>
        <v>132</v>
      </c>
      <c r="H11" s="130">
        <v>90719</v>
      </c>
      <c r="I11" s="60">
        <f t="shared" si="3"/>
        <v>24</v>
      </c>
      <c r="J11" s="131">
        <v>180739</v>
      </c>
      <c r="K11" s="63">
        <f t="shared" si="4"/>
        <v>1</v>
      </c>
      <c r="L11" s="132">
        <v>95311</v>
      </c>
      <c r="M11" s="60">
        <f t="shared" si="5"/>
        <v>59</v>
      </c>
      <c r="N11" s="130">
        <v>621121</v>
      </c>
      <c r="O11" s="63">
        <f t="shared" si="6"/>
        <v>61</v>
      </c>
      <c r="P11" s="130">
        <v>162263</v>
      </c>
      <c r="Q11" s="60">
        <f t="shared" si="7"/>
        <v>0</v>
      </c>
      <c r="R11" s="130">
        <v>915192</v>
      </c>
      <c r="S11" s="63">
        <f t="shared" si="8"/>
        <v>212</v>
      </c>
      <c r="T11" s="130">
        <v>72830</v>
      </c>
      <c r="U11" s="60">
        <f t="shared" si="9"/>
        <v>26</v>
      </c>
      <c r="V11" s="130">
        <v>294468</v>
      </c>
      <c r="W11" s="63">
        <f t="shared" si="10"/>
        <v>51</v>
      </c>
      <c r="X11" s="131">
        <v>25499</v>
      </c>
      <c r="Y11" s="60">
        <f t="shared" si="11"/>
        <v>22</v>
      </c>
      <c r="Z11" s="131">
        <v>697931</v>
      </c>
      <c r="AA11" s="63">
        <f t="shared" si="12"/>
        <v>103</v>
      </c>
      <c r="AB11" s="76">
        <v>1410</v>
      </c>
      <c r="AC11" s="60">
        <f t="shared" si="13"/>
        <v>0</v>
      </c>
      <c r="AD11" s="70">
        <f t="shared" si="14"/>
        <v>1644</v>
      </c>
      <c r="AE11" s="18">
        <v>0</v>
      </c>
      <c r="AF11" s="53">
        <f t="shared" si="15"/>
        <v>0</v>
      </c>
    </row>
    <row r="12" spans="1:38">
      <c r="A12" s="52">
        <v>44448</v>
      </c>
      <c r="B12" s="130">
        <v>1511513</v>
      </c>
      <c r="C12" s="63">
        <f t="shared" si="0"/>
        <v>217</v>
      </c>
      <c r="D12" s="130">
        <v>33369162</v>
      </c>
      <c r="E12" s="60">
        <f>IF((D12-D11)&lt;0,"0",(D12-D11))</f>
        <v>657</v>
      </c>
      <c r="F12" s="130">
        <v>29273</v>
      </c>
      <c r="G12" s="60">
        <f t="shared" si="2"/>
        <v>119</v>
      </c>
      <c r="H12" s="130">
        <v>90746</v>
      </c>
      <c r="I12" s="60">
        <f t="shared" si="3"/>
        <v>27</v>
      </c>
      <c r="J12" s="131">
        <v>180741</v>
      </c>
      <c r="K12" s="63">
        <f t="shared" si="4"/>
        <v>2</v>
      </c>
      <c r="L12" s="132">
        <v>95368</v>
      </c>
      <c r="M12" s="60">
        <f t="shared" si="5"/>
        <v>57</v>
      </c>
      <c r="N12" s="130">
        <v>621222</v>
      </c>
      <c r="O12" s="63">
        <f t="shared" si="6"/>
        <v>101</v>
      </c>
      <c r="P12" s="130">
        <v>162263</v>
      </c>
      <c r="Q12" s="60">
        <f t="shared" si="7"/>
        <v>0</v>
      </c>
      <c r="R12" s="130">
        <v>915413</v>
      </c>
      <c r="S12" s="63">
        <f t="shared" si="8"/>
        <v>221</v>
      </c>
      <c r="T12" s="130">
        <v>72855</v>
      </c>
      <c r="U12" s="60">
        <f t="shared" si="9"/>
        <v>25</v>
      </c>
      <c r="V12" s="130">
        <v>294517</v>
      </c>
      <c r="W12" s="63">
        <f t="shared" si="10"/>
        <v>49</v>
      </c>
      <c r="X12" s="131">
        <v>25535</v>
      </c>
      <c r="Y12" s="60">
        <f t="shared" si="11"/>
        <v>36</v>
      </c>
      <c r="Z12" s="131">
        <v>698035</v>
      </c>
      <c r="AA12" s="63">
        <f t="shared" si="12"/>
        <v>104</v>
      </c>
      <c r="AB12" s="76">
        <v>1410</v>
      </c>
      <c r="AC12" s="60">
        <f t="shared" si="13"/>
        <v>0</v>
      </c>
      <c r="AD12" s="70">
        <f t="shared" si="14"/>
        <v>1615</v>
      </c>
      <c r="AE12" s="18">
        <v>0</v>
      </c>
      <c r="AF12" s="53">
        <f t="shared" si="15"/>
        <v>0</v>
      </c>
    </row>
    <row r="13" spans="1:38">
      <c r="A13" s="52">
        <v>44449</v>
      </c>
      <c r="B13" s="130">
        <v>1511772</v>
      </c>
      <c r="C13" s="63">
        <f t="shared" si="0"/>
        <v>259</v>
      </c>
      <c r="D13" s="130">
        <v>33369759</v>
      </c>
      <c r="E13" s="60">
        <f>IF((D13-D12)&lt;0,"0",(D13-D12))</f>
        <v>597</v>
      </c>
      <c r="F13" s="130">
        <v>29397</v>
      </c>
      <c r="G13" s="60">
        <f t="shared" si="2"/>
        <v>124</v>
      </c>
      <c r="H13" s="130">
        <v>90776</v>
      </c>
      <c r="I13" s="60">
        <f t="shared" si="3"/>
        <v>30</v>
      </c>
      <c r="J13" s="131">
        <v>180742</v>
      </c>
      <c r="K13" s="63">
        <f t="shared" si="4"/>
        <v>1</v>
      </c>
      <c r="L13" s="132">
        <v>95428</v>
      </c>
      <c r="M13" s="60">
        <f t="shared" si="5"/>
        <v>60</v>
      </c>
      <c r="N13" s="130">
        <v>621362</v>
      </c>
      <c r="O13" s="63">
        <f t="shared" si="6"/>
        <v>140</v>
      </c>
      <c r="P13" s="130">
        <v>162263</v>
      </c>
      <c r="Q13" s="60">
        <f t="shared" si="7"/>
        <v>0</v>
      </c>
      <c r="R13" s="130">
        <v>915685</v>
      </c>
      <c r="S13" s="63">
        <f t="shared" si="8"/>
        <v>272</v>
      </c>
      <c r="T13" s="130">
        <v>72873</v>
      </c>
      <c r="U13" s="60">
        <f t="shared" si="9"/>
        <v>18</v>
      </c>
      <c r="V13" s="130">
        <v>294564</v>
      </c>
      <c r="W13" s="63">
        <f t="shared" si="10"/>
        <v>47</v>
      </c>
      <c r="X13" s="131">
        <v>25579</v>
      </c>
      <c r="Y13" s="60">
        <f t="shared" si="11"/>
        <v>44</v>
      </c>
      <c r="Z13" s="131">
        <v>698147</v>
      </c>
      <c r="AA13" s="63">
        <f t="shared" si="12"/>
        <v>112</v>
      </c>
      <c r="AB13" s="76">
        <v>1410</v>
      </c>
      <c r="AC13" s="60">
        <f t="shared" si="13"/>
        <v>0</v>
      </c>
      <c r="AD13" s="70">
        <f t="shared" si="14"/>
        <v>1704</v>
      </c>
      <c r="AE13" s="18">
        <v>0</v>
      </c>
      <c r="AF13" s="53">
        <f t="shared" si="15"/>
        <v>0</v>
      </c>
    </row>
    <row r="14" spans="1:38">
      <c r="A14" s="52">
        <v>44450</v>
      </c>
      <c r="B14" s="130">
        <v>1512015</v>
      </c>
      <c r="C14" s="63">
        <f t="shared" si="0"/>
        <v>243</v>
      </c>
      <c r="D14" s="130">
        <v>33370391</v>
      </c>
      <c r="E14" s="60">
        <f t="shared" si="1"/>
        <v>632</v>
      </c>
      <c r="F14" s="130">
        <v>29532</v>
      </c>
      <c r="G14" s="60">
        <f t="shared" si="2"/>
        <v>135</v>
      </c>
      <c r="H14" s="130">
        <v>90804</v>
      </c>
      <c r="I14" s="60">
        <f t="shared" si="3"/>
        <v>28</v>
      </c>
      <c r="J14" s="131">
        <v>180742</v>
      </c>
      <c r="K14" s="63">
        <f t="shared" si="4"/>
        <v>0</v>
      </c>
      <c r="L14" s="132">
        <v>95476</v>
      </c>
      <c r="M14" s="60">
        <f t="shared" si="5"/>
        <v>48</v>
      </c>
      <c r="N14" s="130">
        <v>621449</v>
      </c>
      <c r="O14" s="63">
        <f t="shared" si="6"/>
        <v>87</v>
      </c>
      <c r="P14" s="130">
        <v>162263</v>
      </c>
      <c r="Q14" s="60">
        <f t="shared" si="7"/>
        <v>0</v>
      </c>
      <c r="R14" s="130">
        <v>915964</v>
      </c>
      <c r="S14" s="63">
        <f t="shared" si="8"/>
        <v>279</v>
      </c>
      <c r="T14" s="130">
        <v>72903</v>
      </c>
      <c r="U14" s="60">
        <f t="shared" si="9"/>
        <v>30</v>
      </c>
      <c r="V14" s="130">
        <v>294614</v>
      </c>
      <c r="W14" s="63">
        <f t="shared" si="10"/>
        <v>50</v>
      </c>
      <c r="X14" s="131">
        <v>25624</v>
      </c>
      <c r="Y14" s="60">
        <f t="shared" si="11"/>
        <v>45</v>
      </c>
      <c r="Z14" s="131">
        <v>698258</v>
      </c>
      <c r="AA14" s="63">
        <f t="shared" si="12"/>
        <v>111</v>
      </c>
      <c r="AB14" s="76">
        <v>1410</v>
      </c>
      <c r="AC14" s="60">
        <f t="shared" si="13"/>
        <v>0</v>
      </c>
      <c r="AD14" s="70">
        <f t="shared" si="14"/>
        <v>1688</v>
      </c>
      <c r="AE14" s="18">
        <v>0</v>
      </c>
      <c r="AF14" s="53">
        <f t="shared" si="15"/>
        <v>0</v>
      </c>
    </row>
    <row r="15" spans="1:38">
      <c r="A15" s="52">
        <v>44451</v>
      </c>
      <c r="B15" s="130">
        <v>1512304</v>
      </c>
      <c r="C15" s="63">
        <f t="shared" si="0"/>
        <v>289</v>
      </c>
      <c r="D15" s="130">
        <v>33370978</v>
      </c>
      <c r="E15" s="60">
        <f t="shared" si="1"/>
        <v>587</v>
      </c>
      <c r="F15" s="130">
        <v>29661</v>
      </c>
      <c r="G15" s="60">
        <f t="shared" si="2"/>
        <v>129</v>
      </c>
      <c r="H15" s="130">
        <v>90835</v>
      </c>
      <c r="I15" s="60">
        <f t="shared" si="3"/>
        <v>31</v>
      </c>
      <c r="J15" s="131">
        <v>180746</v>
      </c>
      <c r="K15" s="63">
        <f t="shared" si="4"/>
        <v>4</v>
      </c>
      <c r="L15" s="132">
        <v>95525</v>
      </c>
      <c r="M15" s="60">
        <f t="shared" si="5"/>
        <v>49</v>
      </c>
      <c r="N15" s="130">
        <v>621466</v>
      </c>
      <c r="O15" s="63">
        <f t="shared" si="6"/>
        <v>17</v>
      </c>
      <c r="P15" s="130">
        <v>162263</v>
      </c>
      <c r="Q15" s="60">
        <f t="shared" si="7"/>
        <v>0</v>
      </c>
      <c r="R15" s="130">
        <v>916245</v>
      </c>
      <c r="S15" s="63">
        <f t="shared" si="8"/>
        <v>281</v>
      </c>
      <c r="T15" s="130">
        <v>72933</v>
      </c>
      <c r="U15" s="60">
        <f t="shared" si="9"/>
        <v>30</v>
      </c>
      <c r="V15" s="130">
        <v>294666</v>
      </c>
      <c r="W15" s="63">
        <f t="shared" si="10"/>
        <v>52</v>
      </c>
      <c r="X15" s="131">
        <v>25657</v>
      </c>
      <c r="Y15" s="60">
        <f t="shared" si="11"/>
        <v>33</v>
      </c>
      <c r="Z15" s="131">
        <v>698360</v>
      </c>
      <c r="AA15" s="63">
        <f t="shared" si="12"/>
        <v>102</v>
      </c>
      <c r="AB15" s="76">
        <v>1410</v>
      </c>
      <c r="AC15" s="60">
        <f t="shared" si="13"/>
        <v>0</v>
      </c>
      <c r="AD15" s="70">
        <f t="shared" si="14"/>
        <v>1604</v>
      </c>
      <c r="AE15" s="18">
        <v>0</v>
      </c>
      <c r="AF15" s="53">
        <f t="shared" si="15"/>
        <v>0</v>
      </c>
    </row>
    <row r="16" spans="1:38">
      <c r="A16" s="52">
        <v>44452</v>
      </c>
      <c r="B16" s="130">
        <v>1512544</v>
      </c>
      <c r="C16" s="63">
        <f t="shared" si="0"/>
        <v>240</v>
      </c>
      <c r="D16" s="130">
        <v>33371522</v>
      </c>
      <c r="E16" s="60">
        <f t="shared" si="1"/>
        <v>544</v>
      </c>
      <c r="F16" s="130">
        <v>29747</v>
      </c>
      <c r="G16" s="60">
        <f t="shared" si="2"/>
        <v>86</v>
      </c>
      <c r="H16" s="130">
        <v>90856</v>
      </c>
      <c r="I16" s="60">
        <f t="shared" si="3"/>
        <v>21</v>
      </c>
      <c r="J16" s="131">
        <v>180759</v>
      </c>
      <c r="K16" s="63">
        <f t="shared" si="4"/>
        <v>13</v>
      </c>
      <c r="L16" s="132">
        <v>95584</v>
      </c>
      <c r="M16" s="60">
        <f t="shared" si="5"/>
        <v>59</v>
      </c>
      <c r="N16" s="130">
        <v>621485</v>
      </c>
      <c r="O16" s="63">
        <f t="shared" si="6"/>
        <v>19</v>
      </c>
      <c r="P16" s="130">
        <v>162263</v>
      </c>
      <c r="Q16" s="60">
        <f t="shared" si="7"/>
        <v>0</v>
      </c>
      <c r="R16" s="130">
        <v>916410</v>
      </c>
      <c r="S16" s="63">
        <f t="shared" si="8"/>
        <v>165</v>
      </c>
      <c r="T16" s="130">
        <v>72964</v>
      </c>
      <c r="U16" s="60">
        <f t="shared" si="9"/>
        <v>31</v>
      </c>
      <c r="V16" s="130">
        <v>294716</v>
      </c>
      <c r="W16" s="63">
        <f t="shared" si="10"/>
        <v>50</v>
      </c>
      <c r="X16" s="131">
        <v>25696</v>
      </c>
      <c r="Y16" s="60">
        <f t="shared" si="11"/>
        <v>39</v>
      </c>
      <c r="Z16" s="131">
        <v>698479</v>
      </c>
      <c r="AA16" s="63">
        <f t="shared" si="12"/>
        <v>119</v>
      </c>
      <c r="AB16" s="76">
        <v>1410</v>
      </c>
      <c r="AC16" s="60">
        <f t="shared" si="13"/>
        <v>0</v>
      </c>
      <c r="AD16" s="70">
        <f t="shared" si="14"/>
        <v>1386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44453</v>
      </c>
      <c r="B17" s="130">
        <v>1512759</v>
      </c>
      <c r="C17" s="63">
        <f t="shared" si="0"/>
        <v>215</v>
      </c>
      <c r="D17" s="130">
        <v>33372149</v>
      </c>
      <c r="E17" s="60">
        <f t="shared" si="1"/>
        <v>627</v>
      </c>
      <c r="F17" s="130">
        <v>29868</v>
      </c>
      <c r="G17" s="60">
        <f t="shared" si="2"/>
        <v>121</v>
      </c>
      <c r="H17" s="130">
        <v>90878</v>
      </c>
      <c r="I17" s="60">
        <f t="shared" si="3"/>
        <v>22</v>
      </c>
      <c r="J17" s="131">
        <v>180770</v>
      </c>
      <c r="K17" s="63">
        <f t="shared" si="4"/>
        <v>11</v>
      </c>
      <c r="L17" s="132">
        <v>95643</v>
      </c>
      <c r="M17" s="60">
        <f t="shared" si="5"/>
        <v>59</v>
      </c>
      <c r="N17" s="130">
        <v>621588</v>
      </c>
      <c r="O17" s="63">
        <f t="shared" si="6"/>
        <v>103</v>
      </c>
      <c r="P17" s="130">
        <v>162263</v>
      </c>
      <c r="Q17" s="60">
        <f t="shared" si="7"/>
        <v>0</v>
      </c>
      <c r="R17" s="130">
        <v>916650</v>
      </c>
      <c r="S17" s="63">
        <f t="shared" si="8"/>
        <v>240</v>
      </c>
      <c r="T17" s="130">
        <v>72988</v>
      </c>
      <c r="U17" s="60">
        <f t="shared" si="9"/>
        <v>24</v>
      </c>
      <c r="V17" s="130">
        <v>294762</v>
      </c>
      <c r="W17" s="63">
        <f t="shared" si="10"/>
        <v>46</v>
      </c>
      <c r="X17" s="131">
        <v>25725</v>
      </c>
      <c r="Y17" s="60">
        <f t="shared" si="11"/>
        <v>29</v>
      </c>
      <c r="Z17" s="131">
        <v>698579</v>
      </c>
      <c r="AA17" s="63">
        <f t="shared" si="12"/>
        <v>100</v>
      </c>
      <c r="AB17" s="76">
        <v>1410</v>
      </c>
      <c r="AC17" s="60">
        <f t="shared" si="13"/>
        <v>0</v>
      </c>
      <c r="AD17" s="70">
        <f t="shared" si="14"/>
        <v>1597</v>
      </c>
      <c r="AE17" s="18">
        <v>0</v>
      </c>
      <c r="AF17" s="53">
        <f t="shared" si="15"/>
        <v>0</v>
      </c>
    </row>
    <row r="18" spans="1:38">
      <c r="A18" s="52">
        <v>44454</v>
      </c>
      <c r="B18" s="130">
        <v>1513106</v>
      </c>
      <c r="C18" s="63">
        <f t="shared" si="0"/>
        <v>347</v>
      </c>
      <c r="D18" s="130">
        <v>33372746</v>
      </c>
      <c r="E18" s="60">
        <f t="shared" si="1"/>
        <v>597</v>
      </c>
      <c r="F18" s="130">
        <v>29986</v>
      </c>
      <c r="G18" s="60">
        <f t="shared" si="2"/>
        <v>118</v>
      </c>
      <c r="H18" s="130">
        <v>90906</v>
      </c>
      <c r="I18" s="60">
        <f t="shared" si="3"/>
        <v>28</v>
      </c>
      <c r="J18" s="131">
        <v>180771</v>
      </c>
      <c r="K18" s="63">
        <f t="shared" si="4"/>
        <v>1</v>
      </c>
      <c r="L18" s="132">
        <v>95712</v>
      </c>
      <c r="M18" s="60">
        <f t="shared" si="5"/>
        <v>69</v>
      </c>
      <c r="N18" s="130">
        <v>621682</v>
      </c>
      <c r="O18" s="63">
        <f t="shared" si="6"/>
        <v>94</v>
      </c>
      <c r="P18" s="130">
        <v>162263</v>
      </c>
      <c r="Q18" s="60">
        <f t="shared" si="7"/>
        <v>0</v>
      </c>
      <c r="R18" s="130">
        <v>916806</v>
      </c>
      <c r="S18" s="63">
        <f t="shared" si="8"/>
        <v>156</v>
      </c>
      <c r="T18" s="130">
        <v>73010</v>
      </c>
      <c r="U18" s="60">
        <f t="shared" si="9"/>
        <v>22</v>
      </c>
      <c r="V18" s="130">
        <v>294808</v>
      </c>
      <c r="W18" s="63">
        <f t="shared" si="10"/>
        <v>46</v>
      </c>
      <c r="X18" s="131">
        <v>25754</v>
      </c>
      <c r="Y18" s="60">
        <f t="shared" si="11"/>
        <v>29</v>
      </c>
      <c r="Z18" s="131">
        <v>698660</v>
      </c>
      <c r="AA18" s="63">
        <f t="shared" si="12"/>
        <v>81</v>
      </c>
      <c r="AB18" s="76">
        <v>1410</v>
      </c>
      <c r="AC18" s="60">
        <f t="shared" si="13"/>
        <v>0</v>
      </c>
      <c r="AD18" s="70">
        <f t="shared" si="14"/>
        <v>1588</v>
      </c>
      <c r="AE18" s="18">
        <v>0</v>
      </c>
      <c r="AF18" s="53">
        <f t="shared" si="15"/>
        <v>0</v>
      </c>
    </row>
    <row r="19" spans="1:38">
      <c r="A19" s="52">
        <v>44455</v>
      </c>
      <c r="B19" s="130">
        <v>1513298</v>
      </c>
      <c r="C19" s="63">
        <f t="shared" si="0"/>
        <v>192</v>
      </c>
      <c r="D19" s="130">
        <v>33373340</v>
      </c>
      <c r="E19" s="60">
        <f t="shared" si="1"/>
        <v>594</v>
      </c>
      <c r="F19" s="130">
        <v>30090</v>
      </c>
      <c r="G19" s="60">
        <f t="shared" si="2"/>
        <v>104</v>
      </c>
      <c r="H19" s="130">
        <v>90927</v>
      </c>
      <c r="I19" s="60">
        <f t="shared" si="3"/>
        <v>21</v>
      </c>
      <c r="J19" s="131">
        <v>180774</v>
      </c>
      <c r="K19" s="63">
        <f t="shared" si="4"/>
        <v>3</v>
      </c>
      <c r="L19" s="132">
        <v>95766</v>
      </c>
      <c r="M19" s="60">
        <f t="shared" si="5"/>
        <v>54</v>
      </c>
      <c r="N19" s="130">
        <v>621826</v>
      </c>
      <c r="O19" s="63">
        <f t="shared" si="6"/>
        <v>144</v>
      </c>
      <c r="P19" s="130">
        <v>162263</v>
      </c>
      <c r="Q19" s="60">
        <f t="shared" si="7"/>
        <v>0</v>
      </c>
      <c r="R19" s="130">
        <v>917012</v>
      </c>
      <c r="S19" s="63">
        <f t="shared" si="8"/>
        <v>206</v>
      </c>
      <c r="T19" s="130">
        <v>73034</v>
      </c>
      <c r="U19" s="60">
        <f t="shared" si="9"/>
        <v>24</v>
      </c>
      <c r="V19" s="130">
        <v>294880</v>
      </c>
      <c r="W19" s="63">
        <f t="shared" si="10"/>
        <v>72</v>
      </c>
      <c r="X19" s="131">
        <v>25802</v>
      </c>
      <c r="Y19" s="60">
        <f t="shared" si="11"/>
        <v>48</v>
      </c>
      <c r="Z19" s="131">
        <v>698807</v>
      </c>
      <c r="AA19" s="63">
        <f t="shared" si="12"/>
        <v>147</v>
      </c>
      <c r="AB19" s="76">
        <v>1410</v>
      </c>
      <c r="AC19" s="60">
        <f t="shared" si="13"/>
        <v>0</v>
      </c>
      <c r="AD19" s="70">
        <f t="shared" si="14"/>
        <v>1609</v>
      </c>
      <c r="AE19" s="18">
        <v>0</v>
      </c>
      <c r="AF19" s="53">
        <f t="shared" si="15"/>
        <v>0</v>
      </c>
    </row>
    <row r="20" spans="1:38">
      <c r="A20" s="52">
        <v>44456</v>
      </c>
      <c r="B20" s="130">
        <v>1513504</v>
      </c>
      <c r="C20" s="63">
        <f t="shared" si="0"/>
        <v>206</v>
      </c>
      <c r="D20" s="130">
        <v>33373984</v>
      </c>
      <c r="E20" s="60">
        <f t="shared" si="1"/>
        <v>644</v>
      </c>
      <c r="F20" s="130">
        <v>30219</v>
      </c>
      <c r="G20" s="60">
        <f t="shared" si="2"/>
        <v>129</v>
      </c>
      <c r="H20" s="130">
        <v>90954</v>
      </c>
      <c r="I20" s="60">
        <f t="shared" si="3"/>
        <v>27</v>
      </c>
      <c r="J20" s="131">
        <v>180774</v>
      </c>
      <c r="K20" s="63">
        <f t="shared" si="4"/>
        <v>0</v>
      </c>
      <c r="L20" s="132">
        <v>95823</v>
      </c>
      <c r="M20" s="60">
        <f t="shared" si="5"/>
        <v>57</v>
      </c>
      <c r="N20" s="130">
        <v>621889</v>
      </c>
      <c r="O20" s="63">
        <f t="shared" si="6"/>
        <v>63</v>
      </c>
      <c r="P20" s="130">
        <v>162263</v>
      </c>
      <c r="Q20" s="60">
        <f t="shared" si="7"/>
        <v>0</v>
      </c>
      <c r="R20" s="130">
        <v>917226</v>
      </c>
      <c r="S20" s="63">
        <f t="shared" si="8"/>
        <v>214</v>
      </c>
      <c r="T20" s="130">
        <v>73059</v>
      </c>
      <c r="U20" s="60">
        <f t="shared" si="9"/>
        <v>25</v>
      </c>
      <c r="V20" s="130">
        <v>294906</v>
      </c>
      <c r="W20" s="63">
        <f t="shared" si="10"/>
        <v>26</v>
      </c>
      <c r="X20" s="131">
        <v>25845</v>
      </c>
      <c r="Y20" s="60">
        <f t="shared" si="11"/>
        <v>43</v>
      </c>
      <c r="Z20" s="131">
        <v>699027</v>
      </c>
      <c r="AA20" s="63">
        <f t="shared" si="12"/>
        <v>220</v>
      </c>
      <c r="AB20" s="76">
        <v>1410</v>
      </c>
      <c r="AC20" s="60">
        <f t="shared" si="13"/>
        <v>0</v>
      </c>
      <c r="AD20" s="70">
        <f t="shared" si="14"/>
        <v>1654</v>
      </c>
      <c r="AE20" s="18">
        <v>0</v>
      </c>
      <c r="AF20" s="53">
        <f t="shared" si="15"/>
        <v>0</v>
      </c>
    </row>
    <row r="21" spans="1:38">
      <c r="A21" s="52">
        <v>44457</v>
      </c>
      <c r="B21" s="130">
        <v>1513813</v>
      </c>
      <c r="C21" s="63">
        <f t="shared" si="0"/>
        <v>309</v>
      </c>
      <c r="D21" s="130">
        <v>33374699</v>
      </c>
      <c r="E21" s="60">
        <f t="shared" si="1"/>
        <v>715</v>
      </c>
      <c r="F21" s="130">
        <v>30339</v>
      </c>
      <c r="G21" s="60">
        <f t="shared" si="2"/>
        <v>120</v>
      </c>
      <c r="H21" s="130">
        <v>90975</v>
      </c>
      <c r="I21" s="60">
        <f t="shared" si="3"/>
        <v>21</v>
      </c>
      <c r="J21" s="131">
        <v>180774</v>
      </c>
      <c r="K21" s="63">
        <f t="shared" si="4"/>
        <v>0</v>
      </c>
      <c r="L21" s="132">
        <v>95881</v>
      </c>
      <c r="M21" s="60">
        <f t="shared" si="5"/>
        <v>58</v>
      </c>
      <c r="N21" s="130">
        <v>621951</v>
      </c>
      <c r="O21" s="63">
        <f t="shared" si="6"/>
        <v>62</v>
      </c>
      <c r="P21" s="130">
        <v>162263</v>
      </c>
      <c r="Q21" s="60">
        <f t="shared" si="7"/>
        <v>0</v>
      </c>
      <c r="R21" s="130">
        <v>917519</v>
      </c>
      <c r="S21" s="63">
        <f t="shared" si="8"/>
        <v>293</v>
      </c>
      <c r="T21" s="130">
        <v>73093</v>
      </c>
      <c r="U21" s="60">
        <f t="shared" si="9"/>
        <v>34</v>
      </c>
      <c r="V21" s="130">
        <v>294959</v>
      </c>
      <c r="W21" s="63">
        <f t="shared" si="10"/>
        <v>53</v>
      </c>
      <c r="X21" s="131">
        <v>25885</v>
      </c>
      <c r="Y21" s="60">
        <f t="shared" si="11"/>
        <v>40</v>
      </c>
      <c r="Z21" s="131">
        <v>699303</v>
      </c>
      <c r="AA21" s="63">
        <f t="shared" si="12"/>
        <v>276</v>
      </c>
      <c r="AB21" s="76">
        <v>1410</v>
      </c>
      <c r="AC21" s="60">
        <f t="shared" si="13"/>
        <v>0</v>
      </c>
      <c r="AD21" s="70">
        <f t="shared" si="14"/>
        <v>1981</v>
      </c>
      <c r="AE21" s="18">
        <v>0</v>
      </c>
      <c r="AF21" s="53">
        <f t="shared" si="15"/>
        <v>0</v>
      </c>
    </row>
    <row r="22" spans="1:38">
      <c r="A22" s="52">
        <v>44458</v>
      </c>
      <c r="B22" s="130">
        <v>1514091</v>
      </c>
      <c r="C22" s="63">
        <f t="shared" si="0"/>
        <v>278</v>
      </c>
      <c r="D22" s="130">
        <v>33375272</v>
      </c>
      <c r="E22" s="60">
        <f t="shared" si="1"/>
        <v>573</v>
      </c>
      <c r="F22" s="130">
        <v>30445</v>
      </c>
      <c r="G22" s="60">
        <f t="shared" si="2"/>
        <v>106</v>
      </c>
      <c r="H22" s="130">
        <v>90998</v>
      </c>
      <c r="I22" s="60">
        <f t="shared" si="3"/>
        <v>23</v>
      </c>
      <c r="J22" s="131">
        <v>180774</v>
      </c>
      <c r="K22" s="63">
        <f t="shared" si="4"/>
        <v>0</v>
      </c>
      <c r="L22" s="132">
        <v>95935</v>
      </c>
      <c r="M22" s="60">
        <f t="shared" si="5"/>
        <v>54</v>
      </c>
      <c r="N22" s="130">
        <v>622038</v>
      </c>
      <c r="O22" s="63">
        <f t="shared" si="6"/>
        <v>87</v>
      </c>
      <c r="P22" s="130">
        <v>162263</v>
      </c>
      <c r="Q22" s="60">
        <f t="shared" si="7"/>
        <v>0</v>
      </c>
      <c r="R22" s="130">
        <v>917689</v>
      </c>
      <c r="S22" s="63">
        <f t="shared" si="8"/>
        <v>170</v>
      </c>
      <c r="T22" s="130">
        <v>73113</v>
      </c>
      <c r="U22" s="60">
        <f t="shared" si="9"/>
        <v>20</v>
      </c>
      <c r="V22" s="130">
        <v>295006</v>
      </c>
      <c r="W22" s="63">
        <f t="shared" si="10"/>
        <v>47</v>
      </c>
      <c r="X22" s="131">
        <v>25911</v>
      </c>
      <c r="Y22" s="60">
        <f t="shared" si="11"/>
        <v>26</v>
      </c>
      <c r="Z22" s="131">
        <v>699513</v>
      </c>
      <c r="AA22" s="63">
        <f t="shared" si="12"/>
        <v>210</v>
      </c>
      <c r="AB22" s="76">
        <v>1410</v>
      </c>
      <c r="AC22" s="60">
        <f t="shared" si="13"/>
        <v>0</v>
      </c>
      <c r="AD22" s="70">
        <f t="shared" si="14"/>
        <v>1594</v>
      </c>
      <c r="AE22" s="18">
        <v>0</v>
      </c>
      <c r="AF22" s="53">
        <f t="shared" si="15"/>
        <v>0</v>
      </c>
    </row>
    <row r="23" spans="1:38">
      <c r="A23" s="52">
        <v>44459</v>
      </c>
      <c r="B23" s="130">
        <v>1514295</v>
      </c>
      <c r="C23" s="63">
        <f t="shared" si="0"/>
        <v>204</v>
      </c>
      <c r="D23" s="130">
        <v>33375932</v>
      </c>
      <c r="E23" s="60">
        <f t="shared" si="1"/>
        <v>660</v>
      </c>
      <c r="F23" s="130">
        <v>30583</v>
      </c>
      <c r="G23" s="60">
        <f t="shared" si="2"/>
        <v>138</v>
      </c>
      <c r="H23" s="130">
        <v>91022</v>
      </c>
      <c r="I23" s="60">
        <f t="shared" si="3"/>
        <v>24</v>
      </c>
      <c r="J23" s="131">
        <v>180774</v>
      </c>
      <c r="K23" s="63">
        <f t="shared" si="4"/>
        <v>0</v>
      </c>
      <c r="L23" s="132">
        <v>95995</v>
      </c>
      <c r="M23" s="60">
        <f t="shared" si="5"/>
        <v>60</v>
      </c>
      <c r="N23" s="130">
        <v>622194</v>
      </c>
      <c r="O23" s="63">
        <f t="shared" si="6"/>
        <v>156</v>
      </c>
      <c r="P23" s="130">
        <v>162263</v>
      </c>
      <c r="Q23" s="60">
        <f t="shared" si="7"/>
        <v>0</v>
      </c>
      <c r="R23" s="130">
        <v>917898</v>
      </c>
      <c r="S23" s="63">
        <f t="shared" si="8"/>
        <v>209</v>
      </c>
      <c r="T23" s="130">
        <v>73135</v>
      </c>
      <c r="U23" s="60">
        <f t="shared" si="9"/>
        <v>22</v>
      </c>
      <c r="V23" s="130">
        <v>295052</v>
      </c>
      <c r="W23" s="63">
        <f t="shared" si="10"/>
        <v>46</v>
      </c>
      <c r="X23" s="131">
        <v>25955</v>
      </c>
      <c r="Y23" s="60">
        <f t="shared" si="11"/>
        <v>44</v>
      </c>
      <c r="Z23" s="131">
        <v>699762</v>
      </c>
      <c r="AA23" s="63">
        <f t="shared" si="12"/>
        <v>249</v>
      </c>
      <c r="AB23" s="76">
        <v>1410</v>
      </c>
      <c r="AC23" s="60">
        <f t="shared" si="13"/>
        <v>0</v>
      </c>
      <c r="AD23" s="70">
        <f t="shared" si="14"/>
        <v>1812</v>
      </c>
      <c r="AE23" s="18">
        <v>0</v>
      </c>
      <c r="AF23" s="53">
        <f t="shared" si="15"/>
        <v>0</v>
      </c>
    </row>
    <row r="24" spans="1:38">
      <c r="A24" s="52">
        <v>44460</v>
      </c>
      <c r="B24" s="130">
        <v>1514576</v>
      </c>
      <c r="C24" s="63">
        <f t="shared" si="0"/>
        <v>281</v>
      </c>
      <c r="D24" s="130">
        <v>33376543</v>
      </c>
      <c r="E24" s="60">
        <f t="shared" si="1"/>
        <v>611</v>
      </c>
      <c r="F24" s="130">
        <v>30704</v>
      </c>
      <c r="G24" s="60">
        <f t="shared" si="2"/>
        <v>121</v>
      </c>
      <c r="H24" s="130">
        <v>91047</v>
      </c>
      <c r="I24" s="60">
        <f t="shared" si="3"/>
        <v>25</v>
      </c>
      <c r="J24" s="131">
        <v>180774</v>
      </c>
      <c r="K24" s="63">
        <f t="shared" si="4"/>
        <v>0</v>
      </c>
      <c r="L24" s="132">
        <v>96051</v>
      </c>
      <c r="M24" s="60">
        <f t="shared" si="5"/>
        <v>56</v>
      </c>
      <c r="N24" s="130">
        <v>622267</v>
      </c>
      <c r="O24" s="63">
        <f t="shared" si="6"/>
        <v>73</v>
      </c>
      <c r="P24" s="130">
        <v>162263</v>
      </c>
      <c r="Q24" s="60">
        <f t="shared" si="7"/>
        <v>0</v>
      </c>
      <c r="R24" s="130">
        <v>918123</v>
      </c>
      <c r="S24" s="63">
        <f t="shared" si="8"/>
        <v>225</v>
      </c>
      <c r="T24" s="130">
        <v>73166</v>
      </c>
      <c r="U24" s="60">
        <f t="shared" si="9"/>
        <v>31</v>
      </c>
      <c r="V24" s="130">
        <v>295097</v>
      </c>
      <c r="W24" s="63">
        <f t="shared" si="10"/>
        <v>45</v>
      </c>
      <c r="X24" s="131">
        <v>25991</v>
      </c>
      <c r="Y24" s="60">
        <f t="shared" si="11"/>
        <v>36</v>
      </c>
      <c r="Z24" s="131">
        <v>699947</v>
      </c>
      <c r="AA24" s="63">
        <f t="shared" si="12"/>
        <v>185</v>
      </c>
      <c r="AB24" s="76">
        <v>1410</v>
      </c>
      <c r="AC24" s="60">
        <f t="shared" si="13"/>
        <v>0</v>
      </c>
      <c r="AD24" s="70">
        <f t="shared" si="14"/>
        <v>1689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44461</v>
      </c>
      <c r="B25" s="130">
        <v>1514818</v>
      </c>
      <c r="C25" s="63">
        <f t="shared" si="0"/>
        <v>242</v>
      </c>
      <c r="D25" s="130">
        <v>33377188</v>
      </c>
      <c r="E25" s="60">
        <f t="shared" si="1"/>
        <v>645</v>
      </c>
      <c r="F25" s="130">
        <v>30843</v>
      </c>
      <c r="G25" s="60">
        <f t="shared" si="2"/>
        <v>139</v>
      </c>
      <c r="H25" s="130">
        <v>91074</v>
      </c>
      <c r="I25" s="60">
        <f t="shared" si="3"/>
        <v>27</v>
      </c>
      <c r="J25" s="131">
        <v>180774</v>
      </c>
      <c r="K25" s="63">
        <f t="shared" si="4"/>
        <v>0</v>
      </c>
      <c r="L25" s="132">
        <v>96111</v>
      </c>
      <c r="M25" s="60">
        <f t="shared" si="5"/>
        <v>60</v>
      </c>
      <c r="N25" s="130">
        <v>622410</v>
      </c>
      <c r="O25" s="63">
        <f t="shared" si="6"/>
        <v>143</v>
      </c>
      <c r="P25" s="130">
        <v>162263</v>
      </c>
      <c r="Q25" s="60">
        <f t="shared" si="7"/>
        <v>0</v>
      </c>
      <c r="R25" s="130">
        <v>918342</v>
      </c>
      <c r="S25" s="63">
        <f t="shared" si="8"/>
        <v>219</v>
      </c>
      <c r="T25" s="130">
        <v>73181</v>
      </c>
      <c r="U25" s="60">
        <f t="shared" si="9"/>
        <v>15</v>
      </c>
      <c r="V25" s="130">
        <v>295141</v>
      </c>
      <c r="W25" s="63">
        <f t="shared" si="10"/>
        <v>44</v>
      </c>
      <c r="X25" s="131">
        <v>26020</v>
      </c>
      <c r="Y25" s="60">
        <f t="shared" si="11"/>
        <v>29</v>
      </c>
      <c r="Z25" s="131">
        <v>700121</v>
      </c>
      <c r="AA25" s="63">
        <f t="shared" si="12"/>
        <v>174</v>
      </c>
      <c r="AB25" s="76">
        <v>1410</v>
      </c>
      <c r="AC25" s="60">
        <f t="shared" si="13"/>
        <v>0</v>
      </c>
      <c r="AD25" s="70">
        <f t="shared" si="14"/>
        <v>1737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44462</v>
      </c>
      <c r="B26" s="130">
        <v>1515047</v>
      </c>
      <c r="C26" s="63">
        <f t="shared" si="0"/>
        <v>229</v>
      </c>
      <c r="D26" s="130">
        <v>33377841</v>
      </c>
      <c r="E26" s="60">
        <f t="shared" si="1"/>
        <v>653</v>
      </c>
      <c r="F26" s="130">
        <v>30970</v>
      </c>
      <c r="G26" s="60">
        <f t="shared" si="2"/>
        <v>127</v>
      </c>
      <c r="H26" s="130">
        <v>91100</v>
      </c>
      <c r="I26" s="60">
        <f t="shared" si="3"/>
        <v>26</v>
      </c>
      <c r="J26" s="131">
        <v>180776</v>
      </c>
      <c r="K26" s="63">
        <f t="shared" si="4"/>
        <v>2</v>
      </c>
      <c r="L26" s="132">
        <v>96165</v>
      </c>
      <c r="M26" s="60">
        <f t="shared" si="5"/>
        <v>54</v>
      </c>
      <c r="N26" s="130">
        <v>622548</v>
      </c>
      <c r="O26" s="63">
        <f t="shared" si="6"/>
        <v>138</v>
      </c>
      <c r="P26" s="130">
        <v>162263</v>
      </c>
      <c r="Q26" s="60">
        <f t="shared" si="7"/>
        <v>0</v>
      </c>
      <c r="R26" s="130">
        <v>918561</v>
      </c>
      <c r="S26" s="63">
        <f t="shared" si="8"/>
        <v>219</v>
      </c>
      <c r="T26" s="130">
        <v>73218</v>
      </c>
      <c r="U26" s="60">
        <f t="shared" si="9"/>
        <v>37</v>
      </c>
      <c r="V26" s="130">
        <v>295194</v>
      </c>
      <c r="W26" s="63">
        <f t="shared" si="10"/>
        <v>53</v>
      </c>
      <c r="X26" s="131">
        <v>26071</v>
      </c>
      <c r="Y26" s="60">
        <f t="shared" si="11"/>
        <v>51</v>
      </c>
      <c r="Z26" s="131">
        <v>700363</v>
      </c>
      <c r="AA26" s="63">
        <f t="shared" si="12"/>
        <v>242</v>
      </c>
      <c r="AB26" s="76">
        <v>1410</v>
      </c>
      <c r="AC26" s="60">
        <f t="shared" si="13"/>
        <v>0</v>
      </c>
      <c r="AD26" s="70">
        <f t="shared" si="14"/>
        <v>1831</v>
      </c>
      <c r="AE26" s="18">
        <v>0</v>
      </c>
      <c r="AF26" s="53">
        <f t="shared" si="15"/>
        <v>0</v>
      </c>
    </row>
    <row r="27" spans="1:38">
      <c r="A27" s="52">
        <v>44463</v>
      </c>
      <c r="B27" s="130">
        <v>1515338</v>
      </c>
      <c r="C27" s="63">
        <f t="shared" si="0"/>
        <v>291</v>
      </c>
      <c r="D27" s="130">
        <v>33378441</v>
      </c>
      <c r="E27" s="60">
        <f t="shared" si="1"/>
        <v>600</v>
      </c>
      <c r="F27" s="130">
        <v>31052</v>
      </c>
      <c r="G27" s="60">
        <f t="shared" si="2"/>
        <v>82</v>
      </c>
      <c r="H27" s="130">
        <v>91122</v>
      </c>
      <c r="I27" s="60">
        <f t="shared" si="3"/>
        <v>22</v>
      </c>
      <c r="J27" s="131">
        <v>180788</v>
      </c>
      <c r="K27" s="63">
        <f t="shared" si="4"/>
        <v>12</v>
      </c>
      <c r="L27" s="132">
        <v>96222</v>
      </c>
      <c r="M27" s="60">
        <f t="shared" si="5"/>
        <v>57</v>
      </c>
      <c r="N27" s="130">
        <v>622692</v>
      </c>
      <c r="O27" s="63">
        <f t="shared" si="6"/>
        <v>144</v>
      </c>
      <c r="P27" s="130">
        <v>162263</v>
      </c>
      <c r="Q27" s="60">
        <f t="shared" si="7"/>
        <v>0</v>
      </c>
      <c r="R27" s="130">
        <v>918795</v>
      </c>
      <c r="S27" s="63">
        <f t="shared" si="8"/>
        <v>234</v>
      </c>
      <c r="T27" s="130">
        <v>73236</v>
      </c>
      <c r="U27" s="60">
        <f t="shared" si="9"/>
        <v>18</v>
      </c>
      <c r="V27" s="130">
        <v>295238</v>
      </c>
      <c r="W27" s="63">
        <f t="shared" si="10"/>
        <v>44</v>
      </c>
      <c r="X27" s="131">
        <v>26103</v>
      </c>
      <c r="Y27" s="60">
        <f t="shared" si="11"/>
        <v>32</v>
      </c>
      <c r="Z27" s="131">
        <v>700722</v>
      </c>
      <c r="AA27" s="63">
        <f t="shared" si="12"/>
        <v>359</v>
      </c>
      <c r="AB27" s="76">
        <v>1410</v>
      </c>
      <c r="AC27" s="60">
        <f t="shared" si="13"/>
        <v>0</v>
      </c>
      <c r="AD27" s="70">
        <f t="shared" si="14"/>
        <v>1895</v>
      </c>
      <c r="AE27" s="18">
        <v>0</v>
      </c>
      <c r="AF27" s="53">
        <f t="shared" si="15"/>
        <v>0</v>
      </c>
    </row>
    <row r="28" spans="1:38">
      <c r="A28" s="52">
        <v>44464</v>
      </c>
      <c r="B28" s="130">
        <v>1515654</v>
      </c>
      <c r="C28" s="63">
        <f t="shared" si="0"/>
        <v>316</v>
      </c>
      <c r="D28" s="130">
        <v>33379085</v>
      </c>
      <c r="E28" s="60">
        <f t="shared" si="1"/>
        <v>644</v>
      </c>
      <c r="F28" s="130">
        <v>31139</v>
      </c>
      <c r="G28" s="60">
        <f t="shared" si="2"/>
        <v>87</v>
      </c>
      <c r="H28" s="130">
        <v>91150</v>
      </c>
      <c r="I28" s="60">
        <f t="shared" si="3"/>
        <v>28</v>
      </c>
      <c r="J28" s="131">
        <v>180803</v>
      </c>
      <c r="K28" s="63">
        <f t="shared" si="4"/>
        <v>15</v>
      </c>
      <c r="L28" s="132">
        <v>96274</v>
      </c>
      <c r="M28" s="60">
        <f t="shared" si="5"/>
        <v>52</v>
      </c>
      <c r="N28" s="130">
        <v>622783</v>
      </c>
      <c r="O28" s="63">
        <f t="shared" si="6"/>
        <v>91</v>
      </c>
      <c r="P28" s="130">
        <v>162263</v>
      </c>
      <c r="Q28" s="60">
        <f t="shared" si="7"/>
        <v>0</v>
      </c>
      <c r="R28" s="130">
        <v>919052</v>
      </c>
      <c r="S28" s="63">
        <f t="shared" si="8"/>
        <v>257</v>
      </c>
      <c r="T28" s="130">
        <v>73269</v>
      </c>
      <c r="U28" s="60">
        <f t="shared" si="9"/>
        <v>33</v>
      </c>
      <c r="V28" s="130">
        <v>295280</v>
      </c>
      <c r="W28" s="63">
        <f t="shared" si="10"/>
        <v>42</v>
      </c>
      <c r="X28" s="131">
        <v>26146</v>
      </c>
      <c r="Y28" s="60">
        <f t="shared" si="11"/>
        <v>43</v>
      </c>
      <c r="Z28" s="131">
        <v>700998</v>
      </c>
      <c r="AA28" s="63">
        <f t="shared" si="12"/>
        <v>276</v>
      </c>
      <c r="AB28" s="76">
        <v>1410</v>
      </c>
      <c r="AC28" s="60">
        <f t="shared" si="13"/>
        <v>0</v>
      </c>
      <c r="AD28" s="70">
        <f t="shared" si="14"/>
        <v>1884</v>
      </c>
      <c r="AE28" s="18">
        <v>0</v>
      </c>
      <c r="AF28" s="53">
        <f t="shared" si="15"/>
        <v>0</v>
      </c>
    </row>
    <row r="29" spans="1:38">
      <c r="A29" s="52">
        <v>44465</v>
      </c>
      <c r="B29" s="130">
        <v>1515925</v>
      </c>
      <c r="C29" s="63">
        <f t="shared" si="0"/>
        <v>271</v>
      </c>
      <c r="D29" s="130">
        <v>33379652</v>
      </c>
      <c r="E29" s="60">
        <f t="shared" si="1"/>
        <v>567</v>
      </c>
      <c r="F29" s="130">
        <v>31241</v>
      </c>
      <c r="G29" s="60">
        <f t="shared" si="2"/>
        <v>102</v>
      </c>
      <c r="H29" s="130">
        <v>91169</v>
      </c>
      <c r="I29" s="60">
        <f t="shared" si="3"/>
        <v>19</v>
      </c>
      <c r="J29" s="131">
        <v>180809</v>
      </c>
      <c r="K29" s="63">
        <f t="shared" si="4"/>
        <v>6</v>
      </c>
      <c r="L29" s="132">
        <v>96325</v>
      </c>
      <c r="M29" s="60">
        <f t="shared" si="5"/>
        <v>51</v>
      </c>
      <c r="N29" s="130">
        <v>622896</v>
      </c>
      <c r="O29" s="63">
        <f t="shared" si="6"/>
        <v>113</v>
      </c>
      <c r="P29" s="130">
        <v>162263</v>
      </c>
      <c r="Q29" s="60">
        <f t="shared" si="7"/>
        <v>0</v>
      </c>
      <c r="R29" s="130">
        <v>919268</v>
      </c>
      <c r="S29" s="63">
        <f t="shared" si="8"/>
        <v>216</v>
      </c>
      <c r="T29" s="130">
        <v>73297</v>
      </c>
      <c r="U29" s="60">
        <f t="shared" si="9"/>
        <v>28</v>
      </c>
      <c r="V29" s="130">
        <v>295332</v>
      </c>
      <c r="W29" s="63">
        <f t="shared" si="10"/>
        <v>52</v>
      </c>
      <c r="X29" s="131">
        <v>26186</v>
      </c>
      <c r="Y29" s="60">
        <f t="shared" si="11"/>
        <v>40</v>
      </c>
      <c r="Z29" s="131">
        <v>701293</v>
      </c>
      <c r="AA29" s="63">
        <f t="shared" si="12"/>
        <v>295</v>
      </c>
      <c r="AB29" s="76">
        <v>1410</v>
      </c>
      <c r="AC29" s="60">
        <f t="shared" si="13"/>
        <v>0</v>
      </c>
      <c r="AD29" s="70">
        <f t="shared" si="14"/>
        <v>1760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44466</v>
      </c>
      <c r="B30" s="130">
        <v>1516156</v>
      </c>
      <c r="C30" s="63">
        <f t="shared" si="0"/>
        <v>231</v>
      </c>
      <c r="D30" s="130">
        <v>33380294</v>
      </c>
      <c r="E30" s="60">
        <f t="shared" si="1"/>
        <v>642</v>
      </c>
      <c r="F30" s="130">
        <v>31366</v>
      </c>
      <c r="G30" s="60">
        <f t="shared" si="2"/>
        <v>125</v>
      </c>
      <c r="H30" s="130">
        <v>91191</v>
      </c>
      <c r="I30" s="60">
        <f t="shared" si="3"/>
        <v>22</v>
      </c>
      <c r="J30" s="131">
        <v>180809</v>
      </c>
      <c r="K30" s="63">
        <f t="shared" si="4"/>
        <v>0</v>
      </c>
      <c r="L30" s="132">
        <v>96376</v>
      </c>
      <c r="M30" s="60">
        <f t="shared" si="5"/>
        <v>51</v>
      </c>
      <c r="N30" s="130">
        <v>622930</v>
      </c>
      <c r="O30" s="63">
        <f t="shared" si="6"/>
        <v>34</v>
      </c>
      <c r="P30" s="130">
        <v>162263</v>
      </c>
      <c r="Q30" s="60">
        <f t="shared" si="7"/>
        <v>0</v>
      </c>
      <c r="R30" s="130">
        <v>919459</v>
      </c>
      <c r="S30" s="63">
        <f t="shared" si="8"/>
        <v>191</v>
      </c>
      <c r="T30" s="130">
        <v>73312</v>
      </c>
      <c r="U30" s="60">
        <f t="shared" si="9"/>
        <v>15</v>
      </c>
      <c r="V30" s="130">
        <v>295378</v>
      </c>
      <c r="W30" s="63">
        <f t="shared" si="10"/>
        <v>46</v>
      </c>
      <c r="X30" s="131">
        <v>26228</v>
      </c>
      <c r="Y30" s="60">
        <f t="shared" si="11"/>
        <v>42</v>
      </c>
      <c r="Z30" s="131">
        <v>701594</v>
      </c>
      <c r="AA30" s="63">
        <f t="shared" si="12"/>
        <v>301</v>
      </c>
      <c r="AB30" s="76">
        <v>1410</v>
      </c>
      <c r="AC30" s="60">
        <f t="shared" si="13"/>
        <v>0</v>
      </c>
      <c r="AD30" s="70">
        <f t="shared" si="14"/>
        <v>1700</v>
      </c>
      <c r="AE30" s="18">
        <v>0</v>
      </c>
      <c r="AF30" s="53">
        <f t="shared" si="15"/>
        <v>0</v>
      </c>
    </row>
    <row r="31" spans="1:38">
      <c r="A31" s="52">
        <v>44467</v>
      </c>
      <c r="B31" s="130">
        <v>1516415</v>
      </c>
      <c r="C31" s="63">
        <f t="shared" si="0"/>
        <v>259</v>
      </c>
      <c r="D31" s="130">
        <v>33380901</v>
      </c>
      <c r="E31" s="60">
        <f t="shared" si="1"/>
        <v>607</v>
      </c>
      <c r="F31" s="130">
        <v>31485</v>
      </c>
      <c r="G31" s="60">
        <f t="shared" si="2"/>
        <v>119</v>
      </c>
      <c r="H31" s="130">
        <v>91209</v>
      </c>
      <c r="I31" s="60">
        <f t="shared" si="3"/>
        <v>18</v>
      </c>
      <c r="J31" s="131">
        <v>180809</v>
      </c>
      <c r="K31" s="63">
        <f t="shared" si="4"/>
        <v>0</v>
      </c>
      <c r="L31" s="132">
        <v>96448</v>
      </c>
      <c r="M31" s="60">
        <f t="shared" si="5"/>
        <v>72</v>
      </c>
      <c r="N31" s="130">
        <v>622995</v>
      </c>
      <c r="O31" s="63">
        <f t="shared" si="6"/>
        <v>65</v>
      </c>
      <c r="P31" s="130">
        <v>162263</v>
      </c>
      <c r="Q31" s="60">
        <f t="shared" si="7"/>
        <v>0</v>
      </c>
      <c r="R31" s="130">
        <v>919628</v>
      </c>
      <c r="S31" s="63">
        <f t="shared" si="8"/>
        <v>169</v>
      </c>
      <c r="T31" s="130">
        <v>73339</v>
      </c>
      <c r="U31" s="60">
        <f t="shared" si="9"/>
        <v>27</v>
      </c>
      <c r="V31" s="130">
        <v>295423</v>
      </c>
      <c r="W31" s="63">
        <f t="shared" si="10"/>
        <v>45</v>
      </c>
      <c r="X31" s="131">
        <v>26248</v>
      </c>
      <c r="Y31" s="60">
        <f t="shared" si="11"/>
        <v>20</v>
      </c>
      <c r="Z31" s="131">
        <v>701910</v>
      </c>
      <c r="AA31" s="63">
        <f t="shared" si="12"/>
        <v>316</v>
      </c>
      <c r="AB31" s="76">
        <v>1410</v>
      </c>
      <c r="AC31" s="60">
        <f t="shared" si="13"/>
        <v>0</v>
      </c>
      <c r="AD31" s="70">
        <f>AC31+AA31+Y31+W31+U31+S31+Q31+O31+M31+K31+I31+G31+E31+C31</f>
        <v>1717</v>
      </c>
      <c r="AE31" s="18">
        <v>0</v>
      </c>
      <c r="AF31" s="53">
        <f t="shared" si="15"/>
        <v>0</v>
      </c>
    </row>
    <row r="32" spans="1:38">
      <c r="A32" s="52">
        <v>44468</v>
      </c>
      <c r="B32" s="130">
        <v>1516725</v>
      </c>
      <c r="C32" s="64">
        <f t="shared" si="0"/>
        <v>310</v>
      </c>
      <c r="D32" s="130">
        <v>33381572</v>
      </c>
      <c r="E32" s="60">
        <f t="shared" si="1"/>
        <v>671</v>
      </c>
      <c r="F32" s="130">
        <v>31611</v>
      </c>
      <c r="G32" s="60">
        <f t="shared" si="2"/>
        <v>126</v>
      </c>
      <c r="H32" s="130">
        <v>91241</v>
      </c>
      <c r="I32" s="60">
        <f t="shared" si="3"/>
        <v>32</v>
      </c>
      <c r="J32" s="131">
        <v>180810</v>
      </c>
      <c r="K32" s="63">
        <f t="shared" si="4"/>
        <v>1</v>
      </c>
      <c r="L32" s="132">
        <v>96499</v>
      </c>
      <c r="M32" s="60">
        <f t="shared" si="5"/>
        <v>51</v>
      </c>
      <c r="N32" s="130">
        <v>623087</v>
      </c>
      <c r="O32" s="63">
        <f t="shared" si="6"/>
        <v>92</v>
      </c>
      <c r="P32" s="130">
        <v>162263</v>
      </c>
      <c r="Q32" s="60">
        <f t="shared" si="7"/>
        <v>0</v>
      </c>
      <c r="R32" s="130">
        <v>919809</v>
      </c>
      <c r="S32" s="63">
        <f t="shared" si="8"/>
        <v>181</v>
      </c>
      <c r="T32" s="130">
        <v>73368</v>
      </c>
      <c r="U32" s="60">
        <f t="shared" si="9"/>
        <v>29</v>
      </c>
      <c r="V32" s="130">
        <v>295470</v>
      </c>
      <c r="W32" s="63">
        <f t="shared" si="10"/>
        <v>47</v>
      </c>
      <c r="X32" s="131">
        <v>26293</v>
      </c>
      <c r="Y32" s="60">
        <f t="shared" si="11"/>
        <v>45</v>
      </c>
      <c r="Z32" s="131">
        <v>702253</v>
      </c>
      <c r="AA32" s="63">
        <f t="shared" si="12"/>
        <v>343</v>
      </c>
      <c r="AB32" s="76">
        <v>1410</v>
      </c>
      <c r="AC32" s="60">
        <f t="shared" si="13"/>
        <v>0</v>
      </c>
      <c r="AD32" s="70">
        <f>AC32+AA32+Y32+W32+U32+S32+Q32+O32+M32+K32+I32+G32+E32+C32</f>
        <v>1928</v>
      </c>
      <c r="AE32" s="18">
        <v>0</v>
      </c>
      <c r="AF32" s="53">
        <f t="shared" si="15"/>
        <v>0</v>
      </c>
    </row>
    <row r="33" spans="1:32">
      <c r="A33" s="52">
        <v>44469</v>
      </c>
      <c r="B33" s="130">
        <v>1516993</v>
      </c>
      <c r="C33" s="65">
        <f t="shared" si="0"/>
        <v>268</v>
      </c>
      <c r="D33" s="130">
        <v>33382223</v>
      </c>
      <c r="E33" s="61">
        <f t="shared" si="1"/>
        <v>651</v>
      </c>
      <c r="F33" s="130">
        <v>31730</v>
      </c>
      <c r="G33" s="60">
        <f t="shared" si="2"/>
        <v>119</v>
      </c>
      <c r="H33" s="130">
        <v>91265</v>
      </c>
      <c r="I33" s="61">
        <f t="shared" si="3"/>
        <v>24</v>
      </c>
      <c r="J33" s="131">
        <v>180812</v>
      </c>
      <c r="K33" s="64">
        <f t="shared" si="4"/>
        <v>2</v>
      </c>
      <c r="L33" s="132">
        <v>96546</v>
      </c>
      <c r="M33" s="61">
        <f t="shared" si="5"/>
        <v>47</v>
      </c>
      <c r="N33" s="130">
        <v>623187</v>
      </c>
      <c r="O33" s="64">
        <f t="shared" si="6"/>
        <v>100</v>
      </c>
      <c r="P33" s="130">
        <v>162263</v>
      </c>
      <c r="Q33" s="61">
        <f t="shared" si="7"/>
        <v>0</v>
      </c>
      <c r="R33" s="130">
        <v>919991</v>
      </c>
      <c r="S33" s="63">
        <f t="shared" si="8"/>
        <v>182</v>
      </c>
      <c r="T33" s="130">
        <v>73394</v>
      </c>
      <c r="U33" s="60">
        <f t="shared" si="9"/>
        <v>26</v>
      </c>
      <c r="V33" s="130">
        <v>295519</v>
      </c>
      <c r="W33" s="63">
        <f t="shared" si="10"/>
        <v>49</v>
      </c>
      <c r="X33" s="131">
        <v>26334</v>
      </c>
      <c r="Y33" s="60">
        <f t="shared" si="11"/>
        <v>41</v>
      </c>
      <c r="Z33" s="131">
        <v>702524</v>
      </c>
      <c r="AA33" s="63">
        <f t="shared" si="12"/>
        <v>271</v>
      </c>
      <c r="AB33" s="76">
        <v>1410</v>
      </c>
      <c r="AC33" s="60">
        <f t="shared" si="13"/>
        <v>0</v>
      </c>
      <c r="AD33" s="73">
        <f>AC33+AA33+Y33+W33+U33+S33+Q33+O33+M33+K33+I33+G33+E33+C33</f>
        <v>1780</v>
      </c>
      <c r="AE33" s="66">
        <v>0</v>
      </c>
      <c r="AF33" s="53">
        <f t="shared" si="15"/>
        <v>0</v>
      </c>
    </row>
    <row r="34" spans="1:32">
      <c r="C34" s="17"/>
      <c r="E34" s="17"/>
      <c r="G34" s="17"/>
      <c r="I34" s="17"/>
      <c r="K34" s="17"/>
      <c r="M34" s="17"/>
      <c r="O34" s="17"/>
      <c r="Q34" s="17"/>
      <c r="S34" s="17"/>
      <c r="U34" s="17"/>
      <c r="W34" s="17"/>
      <c r="Y34" s="17"/>
      <c r="AA34" s="17"/>
      <c r="AC34" s="17"/>
      <c r="AF34" s="17"/>
    </row>
  </sheetData>
  <mergeCells count="1">
    <mergeCell ref="A1:AF1"/>
  </mergeCells>
  <phoneticPr fontId="0" type="noConversion"/>
  <conditionalFormatting sqref="C3:C33 I3:I33 K3:K33 M3:M33 O3:O33 Q3:Q33 S3:S33 U3:U33 G3:G33 E3:E33 W3:W33 AA4:AE33 A2:A33 Y3:Y33 AA3:AD3">
    <cfRule type="cellIs" dxfId="0" priority="344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2021-10-06T13:40:41Z</dcterms:modified>
  <cp:category/>
  <cp:contentStatus/>
</cp:coreProperties>
</file>