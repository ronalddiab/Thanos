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31" documentId="8_{9B439D3B-B023-4087-B27B-CB56FE35C246}" xr6:coauthVersionLast="47" xr6:coauthVersionMax="47" xr10:uidLastSave="{7F429FB4-3827-4013-853A-A8F9C7B6FD2C}"/>
  <bookViews>
    <workbookView xWindow="-108" yWindow="-108" windowWidth="23256" windowHeight="12456" tabRatio="193" xr2:uid="{00000000-000D-0000-FFFF-FFFF00000000}"/>
  </bookViews>
  <sheets>
    <sheet name="Bali at Sayan_HEP_Daily (Total)" sheetId="5" r:id="rId1"/>
    <sheet name="May 18" sheetId="10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" l="1"/>
  <c r="I33" i="5"/>
  <c r="K33" i="5"/>
  <c r="M33" i="5"/>
  <c r="N33" i="5"/>
  <c r="E3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C9" i="10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H2" i="5"/>
  <c r="Z10" i="10"/>
  <c r="G3" i="5" s="1"/>
  <c r="Z11" i="10"/>
  <c r="G4" i="5" s="1"/>
  <c r="Z12" i="10"/>
  <c r="G5" i="5" s="1"/>
  <c r="Z13" i="10"/>
  <c r="G6" i="5" s="1"/>
  <c r="Z14" i="10"/>
  <c r="G7" i="5" s="1"/>
  <c r="Z15" i="10"/>
  <c r="G8" i="5" s="1"/>
  <c r="Z16" i="10"/>
  <c r="G9" i="5" s="1"/>
  <c r="Z17" i="10"/>
  <c r="G10" i="5" s="1"/>
  <c r="Z18" i="10"/>
  <c r="G11" i="5" s="1"/>
  <c r="Z19" i="10"/>
  <c r="G12" i="5" s="1"/>
  <c r="Z20" i="10"/>
  <c r="G13" i="5" s="1"/>
  <c r="Z21" i="10"/>
  <c r="G14" i="5" s="1"/>
  <c r="Z22" i="10"/>
  <c r="G15" i="5" s="1"/>
  <c r="Z23" i="10"/>
  <c r="G16" i="5" s="1"/>
  <c r="Z24" i="10"/>
  <c r="G17" i="5" s="1"/>
  <c r="Z25" i="10"/>
  <c r="G18" i="5" s="1"/>
  <c r="Z26" i="10"/>
  <c r="G19" i="5" s="1"/>
  <c r="Z27" i="10"/>
  <c r="G20" i="5" s="1"/>
  <c r="Z28" i="10"/>
  <c r="G21" i="5" s="1"/>
  <c r="Z29" i="10"/>
  <c r="G22" i="5" s="1"/>
  <c r="Z30" i="10"/>
  <c r="G23" i="5" s="1"/>
  <c r="Z31" i="10"/>
  <c r="G24" i="5" s="1"/>
  <c r="Z32" i="10"/>
  <c r="G25" i="5" s="1"/>
  <c r="Z33" i="10"/>
  <c r="G26" i="5" s="1"/>
  <c r="Z34" i="10"/>
  <c r="G27" i="5" s="1"/>
  <c r="Z35" i="10"/>
  <c r="G28" i="5" s="1"/>
  <c r="Z36" i="10"/>
  <c r="G29" i="5" s="1"/>
  <c r="Z37" i="10"/>
  <c r="G30" i="5" s="1"/>
  <c r="Z38" i="10"/>
  <c r="G31" i="5" s="1"/>
  <c r="Z39" i="10"/>
  <c r="G32" i="5" s="1"/>
  <c r="H40" i="10"/>
  <c r="AP39" i="10"/>
  <c r="K32" i="5" s="1"/>
  <c r="AM39" i="10"/>
  <c r="AK39" i="10"/>
  <c r="AI39" i="10"/>
  <c r="AO39" i="10" s="1"/>
  <c r="AL40" i="10"/>
  <c r="AH40" i="10"/>
  <c r="AJ40" i="10"/>
  <c r="E40" i="10"/>
  <c r="Y39" i="10"/>
  <c r="V39" i="10"/>
  <c r="P39" i="10"/>
  <c r="I39" i="10"/>
  <c r="J39" i="10" s="1"/>
  <c r="F39" i="10"/>
  <c r="S39" i="10"/>
  <c r="N8" i="10"/>
  <c r="AQ39" i="10"/>
  <c r="AQ40" i="10" s="1"/>
  <c r="AN39" i="10"/>
  <c r="AN40" i="10" s="1"/>
  <c r="AG39" i="10"/>
  <c r="AG40" i="10" s="1"/>
  <c r="AF39" i="10"/>
  <c r="AF40" i="10" s="1"/>
  <c r="AE40" i="10"/>
  <c r="AD39" i="10"/>
  <c r="AD40" i="10" s="1"/>
  <c r="AC40" i="10"/>
  <c r="AB39" i="10"/>
  <c r="AB40" i="10" s="1"/>
  <c r="AP38" i="10"/>
  <c r="K31" i="5" s="1"/>
  <c r="AM38" i="10"/>
  <c r="AK38" i="10"/>
  <c r="AI38" i="10"/>
  <c r="AO38" i="10" s="1"/>
  <c r="Y38" i="10"/>
  <c r="V38" i="10"/>
  <c r="S38" i="10"/>
  <c r="P38" i="10"/>
  <c r="AA38" i="10" s="1"/>
  <c r="I38" i="10"/>
  <c r="J38" i="10" s="1"/>
  <c r="F38" i="10"/>
  <c r="AP37" i="10"/>
  <c r="K30" i="5" s="1"/>
  <c r="AM37" i="10"/>
  <c r="AK37" i="10"/>
  <c r="AI37" i="10"/>
  <c r="AO37" i="10" s="1"/>
  <c r="Y37" i="10"/>
  <c r="V37" i="10"/>
  <c r="S37" i="10"/>
  <c r="P37" i="10"/>
  <c r="AA37" i="10" s="1"/>
  <c r="I37" i="10"/>
  <c r="J37" i="10" s="1"/>
  <c r="F37" i="10"/>
  <c r="AP36" i="10"/>
  <c r="K29" i="5" s="1"/>
  <c r="AM36" i="10"/>
  <c r="AK36" i="10"/>
  <c r="AI36" i="10"/>
  <c r="AO36" i="10" s="1"/>
  <c r="Y36" i="10"/>
  <c r="V36" i="10"/>
  <c r="S36" i="10"/>
  <c r="P36" i="10"/>
  <c r="AA36" i="10" s="1"/>
  <c r="I36" i="10"/>
  <c r="J36" i="10" s="1"/>
  <c r="F36" i="10"/>
  <c r="AP35" i="10"/>
  <c r="K28" i="5" s="1"/>
  <c r="AM35" i="10"/>
  <c r="AK35" i="10"/>
  <c r="AI35" i="10"/>
  <c r="AO35" i="10" s="1"/>
  <c r="Y35" i="10"/>
  <c r="V35" i="10"/>
  <c r="S35" i="10"/>
  <c r="P35" i="10"/>
  <c r="AA35" i="10" s="1"/>
  <c r="I35" i="10"/>
  <c r="J35" i="10" s="1"/>
  <c r="F35" i="10"/>
  <c r="AP34" i="10"/>
  <c r="K27" i="5" s="1"/>
  <c r="AM34" i="10"/>
  <c r="AK34" i="10"/>
  <c r="AI34" i="10"/>
  <c r="AO34" i="10" s="1"/>
  <c r="Y34" i="10"/>
  <c r="V34" i="10"/>
  <c r="S34" i="10"/>
  <c r="P34" i="10"/>
  <c r="AA34" i="10" s="1"/>
  <c r="I34" i="10"/>
  <c r="J34" i="10" s="1"/>
  <c r="F34" i="10"/>
  <c r="AP33" i="10"/>
  <c r="K26" i="5" s="1"/>
  <c r="AM33" i="10"/>
  <c r="AK33" i="10"/>
  <c r="AI33" i="10"/>
  <c r="AO33" i="10" s="1"/>
  <c r="Y33" i="10"/>
  <c r="V33" i="10"/>
  <c r="S33" i="10"/>
  <c r="P33" i="10"/>
  <c r="AA33" i="10" s="1"/>
  <c r="I33" i="10"/>
  <c r="J33" i="10" s="1"/>
  <c r="F33" i="10"/>
  <c r="AP32" i="10"/>
  <c r="K25" i="5" s="1"/>
  <c r="AM32" i="10"/>
  <c r="AK32" i="10"/>
  <c r="AI32" i="10"/>
  <c r="AO32" i="10" s="1"/>
  <c r="Y32" i="10"/>
  <c r="V32" i="10"/>
  <c r="S32" i="10"/>
  <c r="P32" i="10"/>
  <c r="AA32" i="10" s="1"/>
  <c r="I32" i="10"/>
  <c r="J32" i="10" s="1"/>
  <c r="F32" i="10"/>
  <c r="AP31" i="10"/>
  <c r="K24" i="5" s="1"/>
  <c r="AM31" i="10"/>
  <c r="AK31" i="10"/>
  <c r="AI31" i="10"/>
  <c r="AO31" i="10" s="1"/>
  <c r="Y31" i="10"/>
  <c r="V31" i="10"/>
  <c r="S31" i="10"/>
  <c r="P31" i="10"/>
  <c r="AA31" i="10" s="1"/>
  <c r="I31" i="10"/>
  <c r="J31" i="10" s="1"/>
  <c r="F31" i="10"/>
  <c r="AP30" i="10"/>
  <c r="K23" i="5" s="1"/>
  <c r="AM30" i="10"/>
  <c r="AK30" i="10"/>
  <c r="AI30" i="10"/>
  <c r="AO30" i="10" s="1"/>
  <c r="Y30" i="10"/>
  <c r="V30" i="10"/>
  <c r="S30" i="10"/>
  <c r="P30" i="10"/>
  <c r="AA30" i="10" s="1"/>
  <c r="I30" i="10"/>
  <c r="J30" i="10" s="1"/>
  <c r="F30" i="10"/>
  <c r="AP29" i="10"/>
  <c r="K22" i="5" s="1"/>
  <c r="AM29" i="10"/>
  <c r="AK29" i="10"/>
  <c r="AI29" i="10"/>
  <c r="AO29" i="10" s="1"/>
  <c r="Y29" i="10"/>
  <c r="V29" i="10"/>
  <c r="S29" i="10"/>
  <c r="P29" i="10"/>
  <c r="AA29" i="10" s="1"/>
  <c r="I29" i="10"/>
  <c r="J29" i="10" s="1"/>
  <c r="F29" i="10"/>
  <c r="AP28" i="10"/>
  <c r="K21" i="5" s="1"/>
  <c r="AM28" i="10"/>
  <c r="AK28" i="10"/>
  <c r="AI28" i="10"/>
  <c r="AO28" i="10" s="1"/>
  <c r="Y28" i="10"/>
  <c r="V28" i="10"/>
  <c r="S28" i="10"/>
  <c r="P28" i="10"/>
  <c r="AA28" i="10" s="1"/>
  <c r="I28" i="10"/>
  <c r="J28" i="10" s="1"/>
  <c r="F28" i="10"/>
  <c r="AP27" i="10"/>
  <c r="K20" i="5" s="1"/>
  <c r="AM27" i="10"/>
  <c r="AK27" i="10"/>
  <c r="AI27" i="10"/>
  <c r="AO27" i="10" s="1"/>
  <c r="Y27" i="10"/>
  <c r="V27" i="10"/>
  <c r="S27" i="10"/>
  <c r="P27" i="10"/>
  <c r="AA27" i="10" s="1"/>
  <c r="I27" i="10"/>
  <c r="J27" i="10" s="1"/>
  <c r="F27" i="10"/>
  <c r="AP26" i="10"/>
  <c r="K19" i="5" s="1"/>
  <c r="AM26" i="10"/>
  <c r="AK26" i="10"/>
  <c r="AI26" i="10"/>
  <c r="AO26" i="10" s="1"/>
  <c r="Y26" i="10"/>
  <c r="V26" i="10"/>
  <c r="S26" i="10"/>
  <c r="P26" i="10"/>
  <c r="AA26" i="10" s="1"/>
  <c r="I26" i="10"/>
  <c r="J26" i="10" s="1"/>
  <c r="F26" i="10"/>
  <c r="AP25" i="10"/>
  <c r="K18" i="5" s="1"/>
  <c r="AM25" i="10"/>
  <c r="AK25" i="10"/>
  <c r="AI25" i="10"/>
  <c r="AO25" i="10" s="1"/>
  <c r="Y25" i="10"/>
  <c r="V25" i="10"/>
  <c r="S25" i="10"/>
  <c r="P25" i="10"/>
  <c r="AA25" i="10" s="1"/>
  <c r="I25" i="10"/>
  <c r="J25" i="10" s="1"/>
  <c r="F25" i="10"/>
  <c r="AP24" i="10"/>
  <c r="K17" i="5" s="1"/>
  <c r="AM24" i="10"/>
  <c r="AK24" i="10"/>
  <c r="AI24" i="10"/>
  <c r="AO24" i="10" s="1"/>
  <c r="Y24" i="10"/>
  <c r="V24" i="10"/>
  <c r="S24" i="10"/>
  <c r="P24" i="10"/>
  <c r="AA24" i="10" s="1"/>
  <c r="I24" i="10"/>
  <c r="J24" i="10" s="1"/>
  <c r="F24" i="10"/>
  <c r="AP23" i="10"/>
  <c r="K16" i="5" s="1"/>
  <c r="AM23" i="10"/>
  <c r="AK23" i="10"/>
  <c r="AI23" i="10"/>
  <c r="AO23" i="10" s="1"/>
  <c r="Y23" i="10"/>
  <c r="V23" i="10"/>
  <c r="S23" i="10"/>
  <c r="P23" i="10"/>
  <c r="AA23" i="10" s="1"/>
  <c r="I23" i="10"/>
  <c r="J23" i="10" s="1"/>
  <c r="F23" i="10"/>
  <c r="AP22" i="10"/>
  <c r="K15" i="5" s="1"/>
  <c r="AM22" i="10"/>
  <c r="AK22" i="10"/>
  <c r="AI22" i="10"/>
  <c r="AO22" i="10" s="1"/>
  <c r="Y22" i="10"/>
  <c r="V22" i="10"/>
  <c r="S22" i="10"/>
  <c r="P22" i="10"/>
  <c r="AA22" i="10" s="1"/>
  <c r="I22" i="10"/>
  <c r="J22" i="10" s="1"/>
  <c r="F22" i="10"/>
  <c r="AP21" i="10"/>
  <c r="K14" i="5" s="1"/>
  <c r="AM21" i="10"/>
  <c r="AK21" i="10"/>
  <c r="AI21" i="10"/>
  <c r="AO21" i="10" s="1"/>
  <c r="Y21" i="10"/>
  <c r="V21" i="10"/>
  <c r="S21" i="10"/>
  <c r="P21" i="10"/>
  <c r="AA21" i="10" s="1"/>
  <c r="I21" i="10"/>
  <c r="J21" i="10" s="1"/>
  <c r="F21" i="10"/>
  <c r="AP20" i="10"/>
  <c r="K13" i="5" s="1"/>
  <c r="AM20" i="10"/>
  <c r="AK20" i="10"/>
  <c r="AI20" i="10"/>
  <c r="AO20" i="10" s="1"/>
  <c r="Y20" i="10"/>
  <c r="V20" i="10"/>
  <c r="S20" i="10"/>
  <c r="P20" i="10"/>
  <c r="AA20" i="10" s="1"/>
  <c r="I20" i="10"/>
  <c r="J20" i="10" s="1"/>
  <c r="F20" i="10"/>
  <c r="AP19" i="10"/>
  <c r="K12" i="5" s="1"/>
  <c r="AM19" i="10"/>
  <c r="AK19" i="10"/>
  <c r="AI19" i="10"/>
  <c r="AO19" i="10" s="1"/>
  <c r="Y19" i="10"/>
  <c r="V19" i="10"/>
  <c r="S19" i="10"/>
  <c r="P19" i="10"/>
  <c r="AA19" i="10" s="1"/>
  <c r="I19" i="10"/>
  <c r="J19" i="10" s="1"/>
  <c r="F19" i="10"/>
  <c r="AP18" i="10"/>
  <c r="K11" i="5" s="1"/>
  <c r="AM18" i="10"/>
  <c r="AK18" i="10"/>
  <c r="AI18" i="10"/>
  <c r="AO18" i="10" s="1"/>
  <c r="Y18" i="10"/>
  <c r="V18" i="10"/>
  <c r="S18" i="10"/>
  <c r="P18" i="10"/>
  <c r="AA18" i="10" s="1"/>
  <c r="I18" i="10"/>
  <c r="J18" i="10" s="1"/>
  <c r="F18" i="10"/>
  <c r="AP17" i="10"/>
  <c r="K10" i="5" s="1"/>
  <c r="AM17" i="10"/>
  <c r="AK17" i="10"/>
  <c r="AI17" i="10"/>
  <c r="AO17" i="10" s="1"/>
  <c r="Y17" i="10"/>
  <c r="V17" i="10"/>
  <c r="S17" i="10"/>
  <c r="P17" i="10"/>
  <c r="AA17" i="10" s="1"/>
  <c r="I17" i="10"/>
  <c r="J17" i="10" s="1"/>
  <c r="F17" i="10"/>
  <c r="AP16" i="10"/>
  <c r="K9" i="5" s="1"/>
  <c r="AM16" i="10"/>
  <c r="AK16" i="10"/>
  <c r="AI16" i="10"/>
  <c r="AO16" i="10" s="1"/>
  <c r="Y16" i="10"/>
  <c r="V16" i="10"/>
  <c r="S16" i="10"/>
  <c r="P16" i="10"/>
  <c r="AA16" i="10" s="1"/>
  <c r="I16" i="10"/>
  <c r="J16" i="10" s="1"/>
  <c r="F16" i="10"/>
  <c r="AP15" i="10"/>
  <c r="K8" i="5" s="1"/>
  <c r="AM15" i="10"/>
  <c r="AK15" i="10"/>
  <c r="AI15" i="10"/>
  <c r="AO15" i="10" s="1"/>
  <c r="Y15" i="10"/>
  <c r="V15" i="10"/>
  <c r="S15" i="10"/>
  <c r="P15" i="10"/>
  <c r="AA15" i="10" s="1"/>
  <c r="I15" i="10"/>
  <c r="J15" i="10" s="1"/>
  <c r="F15" i="10"/>
  <c r="AP14" i="10"/>
  <c r="K7" i="5" s="1"/>
  <c r="AM14" i="10"/>
  <c r="AK14" i="10"/>
  <c r="AI14" i="10"/>
  <c r="AO14" i="10" s="1"/>
  <c r="Y14" i="10"/>
  <c r="V14" i="10"/>
  <c r="S14" i="10"/>
  <c r="P14" i="10"/>
  <c r="AA14" i="10" s="1"/>
  <c r="I14" i="10"/>
  <c r="J14" i="10" s="1"/>
  <c r="F14" i="10"/>
  <c r="AP13" i="10"/>
  <c r="K6" i="5" s="1"/>
  <c r="AM13" i="10"/>
  <c r="AK13" i="10"/>
  <c r="AI13" i="10"/>
  <c r="AO13" i="10" s="1"/>
  <c r="Y13" i="10"/>
  <c r="V13" i="10"/>
  <c r="S13" i="10"/>
  <c r="P13" i="10"/>
  <c r="AA13" i="10" s="1"/>
  <c r="I13" i="10"/>
  <c r="J13" i="10" s="1"/>
  <c r="F13" i="10"/>
  <c r="AP12" i="10"/>
  <c r="K5" i="5" s="1"/>
  <c r="AM12" i="10"/>
  <c r="AK12" i="10"/>
  <c r="AI12" i="10"/>
  <c r="AO12" i="10" s="1"/>
  <c r="Y12" i="10"/>
  <c r="V12" i="10"/>
  <c r="S12" i="10"/>
  <c r="P12" i="10"/>
  <c r="AA12" i="10" s="1"/>
  <c r="I12" i="10"/>
  <c r="J12" i="10" s="1"/>
  <c r="F12" i="10"/>
  <c r="AP11" i="10"/>
  <c r="K4" i="5" s="1"/>
  <c r="AM11" i="10"/>
  <c r="AK11" i="10"/>
  <c r="AI11" i="10"/>
  <c r="AO11" i="10" s="1"/>
  <c r="Y11" i="10"/>
  <c r="V11" i="10"/>
  <c r="S11" i="10"/>
  <c r="P11" i="10"/>
  <c r="AA11" i="10" s="1"/>
  <c r="I11" i="10"/>
  <c r="J11" i="10" s="1"/>
  <c r="F11" i="10"/>
  <c r="AP10" i="10"/>
  <c r="K3" i="5" s="1"/>
  <c r="AM10" i="10"/>
  <c r="AK10" i="10"/>
  <c r="AI10" i="10"/>
  <c r="AO10" i="10" s="1"/>
  <c r="Y10" i="10"/>
  <c r="V10" i="10"/>
  <c r="S10" i="10"/>
  <c r="P10" i="10"/>
  <c r="AA10" i="10" s="1"/>
  <c r="I10" i="10"/>
  <c r="J10" i="10" s="1"/>
  <c r="F10" i="10"/>
  <c r="AP9" i="10"/>
  <c r="K2" i="5" s="1"/>
  <c r="AM9" i="10"/>
  <c r="AK9" i="10"/>
  <c r="AI9" i="10"/>
  <c r="I9" i="10"/>
  <c r="I40" i="10" s="1"/>
  <c r="F9" i="10"/>
  <c r="N2" i="10"/>
  <c r="F40" i="10" l="1"/>
  <c r="M40" i="10" s="1"/>
  <c r="M9" i="10"/>
  <c r="E2" i="5" s="1"/>
  <c r="G10" i="10"/>
  <c r="M10" i="10"/>
  <c r="E3" i="5" s="1"/>
  <c r="G11" i="10"/>
  <c r="M11" i="10"/>
  <c r="E4" i="5" s="1"/>
  <c r="G12" i="10"/>
  <c r="M12" i="10"/>
  <c r="E5" i="5" s="1"/>
  <c r="G13" i="10"/>
  <c r="M13" i="10"/>
  <c r="E6" i="5" s="1"/>
  <c r="G14" i="10"/>
  <c r="M14" i="10"/>
  <c r="E7" i="5" s="1"/>
  <c r="G15" i="10"/>
  <c r="M15" i="10"/>
  <c r="E8" i="5" s="1"/>
  <c r="G16" i="10"/>
  <c r="M16" i="10"/>
  <c r="E9" i="5" s="1"/>
  <c r="G17" i="10"/>
  <c r="M17" i="10"/>
  <c r="E10" i="5" s="1"/>
  <c r="G18" i="10"/>
  <c r="M18" i="10"/>
  <c r="E11" i="5" s="1"/>
  <c r="G19" i="10"/>
  <c r="M19" i="10"/>
  <c r="E12" i="5" s="1"/>
  <c r="G20" i="10"/>
  <c r="M20" i="10"/>
  <c r="E13" i="5" s="1"/>
  <c r="G21" i="10"/>
  <c r="M21" i="10"/>
  <c r="E14" i="5" s="1"/>
  <c r="G22" i="10"/>
  <c r="M22" i="10"/>
  <c r="E15" i="5" s="1"/>
  <c r="G23" i="10"/>
  <c r="M23" i="10"/>
  <c r="E16" i="5" s="1"/>
  <c r="G24" i="10"/>
  <c r="M24" i="10"/>
  <c r="E17" i="5" s="1"/>
  <c r="G25" i="10"/>
  <c r="M25" i="10"/>
  <c r="E18" i="5" s="1"/>
  <c r="G26" i="10"/>
  <c r="M26" i="10"/>
  <c r="E19" i="5" s="1"/>
  <c r="G27" i="10"/>
  <c r="M27" i="10"/>
  <c r="E20" i="5" s="1"/>
  <c r="G28" i="10"/>
  <c r="M28" i="10"/>
  <c r="E21" i="5" s="1"/>
  <c r="G29" i="10"/>
  <c r="M29" i="10"/>
  <c r="E22" i="5" s="1"/>
  <c r="G30" i="10"/>
  <c r="M30" i="10"/>
  <c r="E23" i="5" s="1"/>
  <c r="G31" i="10"/>
  <c r="M31" i="10"/>
  <c r="E24" i="5" s="1"/>
  <c r="G32" i="10"/>
  <c r="M32" i="10"/>
  <c r="E25" i="5" s="1"/>
  <c r="G33" i="10"/>
  <c r="M33" i="10"/>
  <c r="E26" i="5" s="1"/>
  <c r="G34" i="10"/>
  <c r="M34" i="10"/>
  <c r="E27" i="5" s="1"/>
  <c r="G35" i="10"/>
  <c r="M35" i="10"/>
  <c r="E28" i="5" s="1"/>
  <c r="G36" i="10"/>
  <c r="M36" i="10"/>
  <c r="E29" i="5" s="1"/>
  <c r="G37" i="10"/>
  <c r="M37" i="10"/>
  <c r="E30" i="5" s="1"/>
  <c r="G38" i="10"/>
  <c r="M38" i="10"/>
  <c r="E31" i="5" s="1"/>
  <c r="G39" i="10"/>
  <c r="M39" i="10"/>
  <c r="E32" i="5" s="1"/>
  <c r="K38" i="10"/>
  <c r="T9" i="10"/>
  <c r="W9" i="10"/>
  <c r="K39" i="10"/>
  <c r="L39" i="10" s="1"/>
  <c r="AA39" i="10"/>
  <c r="AM40" i="10"/>
  <c r="AK40" i="10"/>
  <c r="AP40" i="10"/>
  <c r="Q9" i="10"/>
  <c r="N9" i="10"/>
  <c r="G9" i="10"/>
  <c r="G40" i="10" s="1"/>
  <c r="J9" i="10"/>
  <c r="J40" i="10" s="1"/>
  <c r="AI40" i="10"/>
  <c r="AO9" i="10"/>
  <c r="K10" i="10"/>
  <c r="L10" i="10" s="1"/>
  <c r="K11" i="10"/>
  <c r="L11" i="10" s="1"/>
  <c r="K12" i="10"/>
  <c r="L12" i="10" s="1"/>
  <c r="K13" i="10"/>
  <c r="L13" i="10" s="1"/>
  <c r="K14" i="10"/>
  <c r="L14" i="10" s="1"/>
  <c r="K15" i="10"/>
  <c r="L15" i="10" s="1"/>
  <c r="K16" i="10"/>
  <c r="L16" i="10" s="1"/>
  <c r="K17" i="10"/>
  <c r="L17" i="10" s="1"/>
  <c r="K18" i="10"/>
  <c r="L18" i="10" s="1"/>
  <c r="K19" i="10"/>
  <c r="L19" i="10" s="1"/>
  <c r="K20" i="10"/>
  <c r="L20" i="10" s="1"/>
  <c r="K21" i="10"/>
  <c r="L21" i="10" s="1"/>
  <c r="K22" i="10"/>
  <c r="L22" i="10" s="1"/>
  <c r="K23" i="10"/>
  <c r="L23" i="10" s="1"/>
  <c r="K24" i="10"/>
  <c r="L24" i="10" s="1"/>
  <c r="K25" i="10"/>
  <c r="L25" i="10" s="1"/>
  <c r="K26" i="10"/>
  <c r="L26" i="10" s="1"/>
  <c r="K27" i="10"/>
  <c r="L27" i="10" s="1"/>
  <c r="K28" i="10"/>
  <c r="L28" i="10" s="1"/>
  <c r="K29" i="10"/>
  <c r="L29" i="10" s="1"/>
  <c r="K30" i="10"/>
  <c r="L30" i="10" s="1"/>
  <c r="K31" i="10"/>
  <c r="L31" i="10" s="1"/>
  <c r="K32" i="10"/>
  <c r="L32" i="10" s="1"/>
  <c r="K33" i="10"/>
  <c r="L33" i="10" s="1"/>
  <c r="K34" i="10"/>
  <c r="L34" i="10" s="1"/>
  <c r="K35" i="10"/>
  <c r="L35" i="10" s="1"/>
  <c r="K36" i="10"/>
  <c r="L36" i="10" s="1"/>
  <c r="K37" i="10"/>
  <c r="L37" i="10" s="1"/>
  <c r="L38" i="10"/>
  <c r="Q40" i="10" l="1"/>
  <c r="R9" i="10"/>
  <c r="W40" i="10"/>
  <c r="X9" i="10"/>
  <c r="X40" i="10" s="1"/>
  <c r="T40" i="10"/>
  <c r="U9" i="10"/>
  <c r="U40" i="10" s="1"/>
  <c r="AO40" i="10"/>
  <c r="AO41" i="10" s="1"/>
  <c r="K9" i="10"/>
  <c r="K40" i="10" s="1"/>
  <c r="N40" i="10"/>
  <c r="O40" i="10"/>
  <c r="R40" i="10" l="1"/>
  <c r="Z40" i="10" s="1"/>
  <c r="Z9" i="10"/>
  <c r="G2" i="5" s="1"/>
  <c r="Y9" i="10"/>
  <c r="Y40" i="10" s="1"/>
  <c r="V9" i="10"/>
  <c r="V40" i="10" s="1"/>
  <c r="S9" i="10"/>
  <c r="S40" i="10" s="1"/>
  <c r="P9" i="10"/>
  <c r="P40" i="10" s="1"/>
  <c r="L9" i="10"/>
  <c r="L40" i="10" s="1"/>
  <c r="L41" i="10" s="1"/>
  <c r="AA9" i="10" l="1"/>
  <c r="AA4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C13143FE-ED09-4299-B348-7D0B05C9BB0D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<sst xmlns="http://schemas.openxmlformats.org/spreadsheetml/2006/main" count="159" uniqueCount="60">
  <si>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</si>
  <si>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</si>
  <si>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</si>
  <si>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</si>
  <si>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</si>
  <si>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</si>
  <si>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</si>
  <si>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</si>
  <si>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</si>
  <si>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</si>
  <si>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</si>
  <si>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</si>
  <si>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</si>
  <si>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</si>
  <si>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</si>
  <si>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</si>
  <si>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</si>
  <si>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</si>
  <si>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May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</si>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</sst>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10" xfId="0" applyFont="1" applyBorder="1"/>
    <xf numFmtId="0" fontId="4" fillId="0" borderId="10" xfId="0" applyFont="1" applyBorder="1"/>
    <xf numFmtId="0" fontId="5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11" xfId="0" applyNumberFormat="1" applyFont="1" applyBorder="1"/>
    <xf numFmtId="43" fontId="9" fillId="0" borderId="23" xfId="0" applyNumberFormat="1" applyFont="1" applyBorder="1"/>
    <xf numFmtId="14" fontId="9" fillId="4" borderId="11" xfId="0" applyNumberFormat="1" applyFont="1" applyFill="1" applyBorder="1"/>
    <xf numFmtId="43" fontId="9" fillId="0" borderId="26" xfId="0" applyNumberFormat="1" applyFont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9" fillId="2" borderId="20" xfId="0" applyNumberFormat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0" borderId="11" xfId="0" applyNumberFormat="1" applyFont="1" applyBorder="1" applyAlignment="1">
      <alignment horizontal="center" vertical="center"/>
    </xf>
    <xf numFmtId="43" fontId="8" fillId="0" borderId="11" xfId="0" applyNumberFormat="1" applyFont="1" applyBorder="1"/>
    <xf numFmtId="43" fontId="9" fillId="4" borderId="11" xfId="0" applyNumberFormat="1" applyFont="1" applyFill="1" applyBorder="1" applyAlignment="1">
      <alignment horizontal="center" vertical="center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25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vertical="center" wrapText="1"/>
    </xf>
    <xf numFmtId="43" fontId="9" fillId="6" borderId="6" xfId="0" applyNumberFormat="1" applyFont="1" applyFill="1" applyBorder="1" applyAlignment="1">
      <alignment vertical="center" wrapText="1"/>
    </xf>
    <xf numFmtId="43" fontId="9" fillId="2" borderId="16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vertical="center" wrapText="1"/>
    </xf>
    <xf numFmtId="43" fontId="9" fillId="2" borderId="0" xfId="0" applyNumberFormat="1" applyFont="1" applyFill="1" applyAlignment="1">
      <alignment horizontal="center" vertical="center"/>
    </xf>
    <xf numFmtId="43" fontId="9" fillId="7" borderId="0" xfId="0" applyNumberFormat="1" applyFont="1" applyFill="1" applyAlignment="1">
      <alignment horizontal="center" vertical="center" wrapText="1"/>
    </xf>
    <xf numFmtId="43" fontId="9" fillId="0" borderId="16" xfId="0" applyNumberFormat="1" applyFont="1" applyBorder="1" applyAlignment="1">
      <alignment horizontal="center" vertical="center"/>
    </xf>
    <xf numFmtId="43" fontId="9" fillId="2" borderId="18" xfId="0" applyNumberFormat="1" applyFont="1" applyFill="1" applyBorder="1" applyAlignment="1">
      <alignment horizontal="center" vertical="center" wrapText="1"/>
    </xf>
    <xf numFmtId="14" fontId="8" fillId="4" borderId="0" xfId="0" applyNumberFormat="1" applyFont="1" applyFill="1"/>
    <xf numFmtId="14" fontId="9" fillId="5" borderId="9" xfId="0" applyNumberFormat="1" applyFont="1" applyFill="1" applyBorder="1" applyAlignment="1">
      <alignment horizontal="center" vertical="center" wrapText="1"/>
    </xf>
    <xf numFmtId="14" fontId="9" fillId="0" borderId="0" xfId="0" applyNumberFormat="1" applyFont="1"/>
    <xf numFmtId="14" fontId="9" fillId="0" borderId="11" xfId="0" applyNumberFormat="1" applyFont="1" applyBorder="1"/>
    <xf numFmtId="43" fontId="9" fillId="5" borderId="4" xfId="0" applyNumberFormat="1" applyFont="1" applyFill="1" applyBorder="1" applyAlignment="1">
      <alignment horizontal="center" vertical="center" wrapText="1"/>
    </xf>
    <xf numFmtId="43" fontId="9" fillId="3" borderId="4" xfId="0" applyNumberFormat="1" applyFont="1" applyFill="1" applyBorder="1" applyAlignment="1">
      <alignment vertical="center" wrapText="1"/>
    </xf>
    <xf numFmtId="43" fontId="9" fillId="3" borderId="4" xfId="0" applyNumberFormat="1" applyFont="1" applyFill="1" applyBorder="1" applyAlignment="1">
      <alignment wrapText="1"/>
    </xf>
    <xf numFmtId="43" fontId="9" fillId="3" borderId="0" xfId="0" applyNumberFormat="1" applyFont="1" applyFill="1" applyAlignment="1">
      <alignment wrapText="1"/>
    </xf>
    <xf numFmtId="43" fontId="9" fillId="6" borderId="4" xfId="0" applyNumberFormat="1" applyFont="1" applyFill="1" applyBorder="1" applyAlignment="1">
      <alignment vertical="center" wrapText="1"/>
    </xf>
    <xf numFmtId="43" fontId="8" fillId="6" borderId="4" xfId="0" applyNumberFormat="1" applyFont="1" applyFill="1" applyBorder="1" applyAlignment="1">
      <alignment horizontal="center" vertical="center" wrapText="1"/>
    </xf>
    <xf numFmtId="43" fontId="9" fillId="6" borderId="4" xfId="0" applyNumberFormat="1" applyFont="1" applyFill="1" applyBorder="1" applyAlignment="1">
      <alignment wrapText="1"/>
    </xf>
    <xf numFmtId="0" fontId="7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43" fontId="9" fillId="0" borderId="26" xfId="0" applyNumberFormat="1" applyFont="1" applyBorder="1" applyAlignment="1">
      <alignment horizontal="center" vertical="center"/>
    </xf>
    <xf numFmtId="43" fontId="9" fillId="0" borderId="14" xfId="0" applyNumberFormat="1" applyFont="1" applyBorder="1"/>
    <xf numFmtId="0" fontId="0" fillId="0" borderId="11" xfId="0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43" fontId="9" fillId="6" borderId="2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wrapText="1"/>
    </xf>
    <xf numFmtId="43" fontId="9" fillId="6" borderId="7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vertical="center" wrapText="1"/>
    </xf>
    <xf numFmtId="43" fontId="9" fillId="6" borderId="7" xfId="0" applyNumberFormat="1" applyFont="1" applyFill="1" applyBorder="1" applyAlignment="1">
      <alignment vertical="center" wrapText="1"/>
    </xf>
    <xf numFmtId="43" fontId="9" fillId="3" borderId="2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horizontal="center" vertical="center" wrapText="1"/>
    </xf>
    <xf numFmtId="43" fontId="9" fillId="3" borderId="7" xfId="0" applyNumberFormat="1" applyFont="1" applyFill="1" applyBorder="1" applyAlignment="1">
      <alignment horizontal="center" vertical="center" wrapText="1"/>
    </xf>
    <xf numFmtId="43" fontId="9" fillId="6" borderId="22" xfId="0" applyNumberFormat="1" applyFont="1" applyFill="1" applyBorder="1" applyAlignment="1">
      <alignment wrapText="1"/>
    </xf>
    <xf numFmtId="43" fontId="9" fillId="6" borderId="12" xfId="0" applyNumberFormat="1" applyFont="1" applyFill="1" applyBorder="1" applyAlignment="1">
      <alignment wrapText="1"/>
    </xf>
    <xf numFmtId="43" fontId="9" fillId="6" borderId="1" xfId="0" applyNumberFormat="1" applyFont="1" applyFill="1" applyBorder="1" applyAlignment="1">
      <alignment wrapText="1"/>
    </xf>
    <xf numFmtId="43" fontId="9" fillId="6" borderId="6" xfId="0" applyNumberFormat="1" applyFont="1" applyFill="1" applyBorder="1" applyAlignment="1">
      <alignment wrapText="1"/>
    </xf>
    <xf numFmtId="43" fontId="8" fillId="6" borderId="2" xfId="0" applyNumberFormat="1" applyFont="1" applyFill="1" applyBorder="1" applyAlignment="1">
      <alignment horizontal="center" vertical="center" wrapText="1"/>
    </xf>
    <xf numFmtId="43" fontId="8" fillId="6" borderId="9" xfId="0" applyNumberFormat="1" applyFont="1" applyFill="1" applyBorder="1" applyAlignment="1">
      <alignment horizontal="center" vertical="center" wrapText="1"/>
    </xf>
    <xf numFmtId="43" fontId="8" fillId="6" borderId="7" xfId="0" applyNumberFormat="1" applyFont="1" applyFill="1" applyBorder="1" applyAlignment="1">
      <alignment horizontal="center" vertical="center" wrapText="1"/>
    </xf>
    <xf numFmtId="43" fontId="9" fillId="7" borderId="16" xfId="0" applyNumberFormat="1" applyFont="1" applyFill="1" applyBorder="1" applyAlignment="1">
      <alignment horizontal="center" vertical="center" wrapText="1"/>
    </xf>
    <xf numFmtId="43" fontId="9" fillId="7" borderId="25" xfId="0" applyNumberFormat="1" applyFont="1" applyFill="1" applyBorder="1" applyAlignment="1">
      <alignment horizontal="center" vertical="center" wrapText="1"/>
    </xf>
    <xf numFmtId="43" fontId="9" fillId="7" borderId="14" xfId="0" applyNumberFormat="1" applyFont="1" applyFill="1" applyBorder="1" applyAlignment="1">
      <alignment horizontal="center" vertical="center" wrapText="1"/>
    </xf>
    <xf numFmtId="43" fontId="9" fillId="7" borderId="24" xfId="0" applyNumberFormat="1" applyFont="1" applyFill="1" applyBorder="1" applyAlignment="1">
      <alignment horizontal="center" vertical="center"/>
    </xf>
    <xf numFmtId="43" fontId="9" fillId="7" borderId="23" xfId="0" applyNumberFormat="1" applyFont="1" applyFill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 wrapText="1"/>
    </xf>
    <xf numFmtId="14" fontId="9" fillId="5" borderId="9" xfId="0" applyNumberFormat="1" applyFont="1" applyFill="1" applyBorder="1" applyAlignment="1">
      <alignment horizontal="center" vertical="center" wrapText="1"/>
    </xf>
    <xf numFmtId="14" fontId="9" fillId="5" borderId="7" xfId="0" applyNumberFormat="1" applyFont="1" applyFill="1" applyBorder="1" applyAlignment="1">
      <alignment horizontal="center" vertical="center" wrapText="1"/>
    </xf>
    <xf numFmtId="43" fontId="9" fillId="5" borderId="2" xfId="0" applyNumberFormat="1" applyFont="1" applyFill="1" applyBorder="1" applyAlignment="1">
      <alignment horizontal="center" vertical="center" wrapText="1"/>
    </xf>
    <xf numFmtId="43" fontId="9" fillId="5" borderId="9" xfId="0" applyNumberFormat="1" applyFont="1" applyFill="1" applyBorder="1" applyAlignment="1">
      <alignment horizontal="center" vertical="center" wrapText="1"/>
    </xf>
    <xf numFmtId="43" fontId="9" fillId="5" borderId="7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vertical="center" wrapText="1"/>
    </xf>
    <xf numFmtId="43" fontId="9" fillId="3" borderId="7" xfId="0" applyNumberFormat="1" applyFont="1" applyFill="1" applyBorder="1" applyAlignment="1">
      <alignment vertical="center" wrapText="1"/>
    </xf>
    <xf numFmtId="43" fontId="9" fillId="2" borderId="11" xfId="0" applyNumberFormat="1" applyFont="1" applyFill="1" applyBorder="1" applyAlignment="1">
      <alignment horizontal="center" vertical="center"/>
    </xf>
    <xf numFmtId="43" fontId="9" fillId="2" borderId="26" xfId="0" applyNumberFormat="1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 wrapText="1"/>
    </xf>
    <xf numFmtId="43" fontId="9" fillId="2" borderId="18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5" xfId="0" applyNumberFormat="1" applyFont="1" applyFill="1" applyBorder="1" applyAlignment="1">
      <alignment horizontal="center" vertical="center" wrapText="1"/>
    </xf>
    <xf numFmtId="43" fontId="9" fillId="2" borderId="19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3" borderId="3" xfId="0" applyNumberFormat="1" applyFont="1" applyFill="1" applyBorder="1" applyAlignment="1">
      <alignment horizontal="center" vertical="center" wrapText="1"/>
    </xf>
    <xf numFmtId="43" fontId="9" fillId="3" borderId="27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3" fontId="9" fillId="4" borderId="0" xfId="0" applyNumberFormat="1" applyFont="1" applyFill="1" applyAlignment="1"/>
    <xf numFmtId="43" fontId="9" fillId="3" borderId="13" xfId="0" applyNumberFormat="1" applyFont="1" applyFill="1" applyBorder="1" applyAlignment="1"/>
    <xf numFmtId="43" fontId="9" fillId="3" borderId="8" xfId="0" applyNumberFormat="1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3"/>
  <sheetViews>
    <sheetView tabSelected="1" topLeftCell="A7" workbookViewId="0">
      <selection activeCell="M33" sqref="M33: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0" max="10" width="12.28515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14">
        <v>1</v>
      </c>
      <c r="C2" s="15">
        <v>5</v>
      </c>
      <c r="D2" s="14">
        <v>2018</v>
      </c>
      <c r="E2" s="16">
        <f>'May 18'!M9</f>
        <v>9959.9999999995816</v>
      </c>
      <c r="F2" s="17">
        <v>1240.0422301479691</v>
      </c>
      <c r="G2" s="16">
        <f>'May 18'!Z9</f>
        <v>146.7741935483871</v>
      </c>
      <c r="H2" s="17">
        <f>'May 18'!Y7</f>
        <v>11650</v>
      </c>
      <c r="I2" s="16">
        <f>'May 18'!AC9</f>
        <v>40</v>
      </c>
      <c r="J2" s="66">
        <f>'May 18'!AE9</f>
        <v>10700</v>
      </c>
      <c r="K2" s="16">
        <f>'May 18'!AP9</f>
        <v>205</v>
      </c>
      <c r="L2" s="17">
        <v>9268.0443852640929</v>
      </c>
      <c r="M2" s="16">
        <f>'May 18'!C9</f>
        <v>47</v>
      </c>
      <c r="N2" s="16">
        <f>'May 18'!D9</f>
        <v>297</v>
      </c>
    </row>
    <row r="3" spans="1:14" ht="15">
      <c r="A3" s="13" t="s">
        <v>14</v>
      </c>
      <c r="B3" s="14">
        <v>2</v>
      </c>
      <c r="C3" s="15">
        <v>5</v>
      </c>
      <c r="D3" s="14">
        <v>2018</v>
      </c>
      <c r="E3" s="16">
        <f>'May 18'!M10</f>
        <v>12260.000000000218</v>
      </c>
      <c r="F3" s="17">
        <v>1240.0422301479691</v>
      </c>
      <c r="G3" s="16">
        <f>'May 18'!Z10</f>
        <v>146.7741935483871</v>
      </c>
      <c r="H3" s="17">
        <v>11650</v>
      </c>
      <c r="I3" s="16">
        <f>'May 18'!AC10</f>
        <v>0</v>
      </c>
      <c r="J3" s="66">
        <f>'May 18'!AE10</f>
        <v>10700</v>
      </c>
      <c r="K3" s="16">
        <f>'May 18'!AP10</f>
        <v>222</v>
      </c>
      <c r="L3" s="17">
        <v>9268.0443852640929</v>
      </c>
      <c r="M3" s="16">
        <f>'May 18'!C10</f>
        <v>52</v>
      </c>
      <c r="N3" s="16">
        <f>'May 18'!D10</f>
        <v>289</v>
      </c>
    </row>
    <row r="4" spans="1:14" ht="15">
      <c r="A4" s="13" t="s">
        <v>14</v>
      </c>
      <c r="B4" s="14">
        <v>3</v>
      </c>
      <c r="C4" s="15">
        <v>5</v>
      </c>
      <c r="D4" s="14">
        <v>2018</v>
      </c>
      <c r="E4" s="16">
        <f>'May 18'!M11</f>
        <v>11000.000000000455</v>
      </c>
      <c r="F4" s="17">
        <v>1240.0422301479691</v>
      </c>
      <c r="G4" s="16">
        <f>'May 18'!Z11</f>
        <v>146.7741935483871</v>
      </c>
      <c r="H4" s="17">
        <v>11650</v>
      </c>
      <c r="I4" s="16">
        <f>'May 18'!AC11</f>
        <v>0</v>
      </c>
      <c r="J4" s="66">
        <f>'May 18'!AE11</f>
        <v>10700</v>
      </c>
      <c r="K4" s="16">
        <f>'May 18'!AP11</f>
        <v>208</v>
      </c>
      <c r="L4" s="17">
        <v>9268.0443852640929</v>
      </c>
      <c r="M4" s="16">
        <f>'May 18'!C11</f>
        <v>48</v>
      </c>
      <c r="N4" s="16">
        <f>'May 18'!D11</f>
        <v>268</v>
      </c>
    </row>
    <row r="5" spans="1:14" ht="15">
      <c r="A5" s="13" t="s">
        <v>14</v>
      </c>
      <c r="B5" s="14">
        <v>4</v>
      </c>
      <c r="C5" s="15">
        <v>5</v>
      </c>
      <c r="D5" s="14">
        <v>2018</v>
      </c>
      <c r="E5" s="16">
        <f>'May 18'!M12</f>
        <v>11019.999999999982</v>
      </c>
      <c r="F5" s="17">
        <v>1240.0422301479691</v>
      </c>
      <c r="G5" s="16">
        <f>'May 18'!Z12</f>
        <v>146.7741935483871</v>
      </c>
      <c r="H5" s="17">
        <v>11650</v>
      </c>
      <c r="I5" s="16">
        <f>'May 18'!AC12</f>
        <v>0</v>
      </c>
      <c r="J5" s="66">
        <f>'May 18'!AE12</f>
        <v>10700</v>
      </c>
      <c r="K5" s="16">
        <f>'May 18'!AP12</f>
        <v>219</v>
      </c>
      <c r="L5" s="17">
        <v>9268.0443852640929</v>
      </c>
      <c r="M5" s="16">
        <f>'May 18'!C12</f>
        <v>42</v>
      </c>
      <c r="N5" s="16">
        <f>'May 18'!D12</f>
        <v>293</v>
      </c>
    </row>
    <row r="6" spans="1:14" ht="15">
      <c r="A6" s="13" t="s">
        <v>14</v>
      </c>
      <c r="B6" s="14">
        <v>5</v>
      </c>
      <c r="C6" s="15">
        <v>5</v>
      </c>
      <c r="D6" s="14">
        <v>2018</v>
      </c>
      <c r="E6" s="16">
        <f>'May 18'!M13</f>
        <v>11559.999999999491</v>
      </c>
      <c r="F6" s="17">
        <v>1240.0422301479691</v>
      </c>
      <c r="G6" s="16">
        <f>'May 18'!Z13</f>
        <v>146.7741935483871</v>
      </c>
      <c r="H6" s="17">
        <v>11650</v>
      </c>
      <c r="I6" s="16">
        <f>'May 18'!AC13</f>
        <v>0</v>
      </c>
      <c r="J6" s="66">
        <f>'May 18'!AE13</f>
        <v>10700</v>
      </c>
      <c r="K6" s="16">
        <f>'May 18'!AP13</f>
        <v>224</v>
      </c>
      <c r="L6" s="17">
        <v>9268.0443852640929</v>
      </c>
      <c r="M6" s="16">
        <f>'May 18'!C13</f>
        <v>41</v>
      </c>
      <c r="N6" s="16">
        <f>'May 18'!D13</f>
        <v>265</v>
      </c>
    </row>
    <row r="7" spans="1:14" ht="15">
      <c r="A7" s="13" t="s">
        <v>14</v>
      </c>
      <c r="B7" s="14">
        <v>6</v>
      </c>
      <c r="C7" s="15">
        <v>5</v>
      </c>
      <c r="D7" s="14">
        <v>2018</v>
      </c>
      <c r="E7" s="16">
        <f>'May 18'!M14</f>
        <v>11119.999999999891</v>
      </c>
      <c r="F7" s="17">
        <v>1240.0422301479691</v>
      </c>
      <c r="G7" s="16">
        <f>'May 18'!Z14</f>
        <v>146.7741935483871</v>
      </c>
      <c r="H7" s="17">
        <v>11650</v>
      </c>
      <c r="I7" s="16">
        <f>'May 18'!AC14</f>
        <v>40</v>
      </c>
      <c r="J7" s="66">
        <f>'May 18'!AE14</f>
        <v>10700</v>
      </c>
      <c r="K7" s="16">
        <f>'May 18'!AP14</f>
        <v>254</v>
      </c>
      <c r="L7" s="17">
        <v>9268.0443852640929</v>
      </c>
      <c r="M7" s="16">
        <f>'May 18'!C14</f>
        <v>37</v>
      </c>
      <c r="N7" s="16">
        <f>'May 18'!D14</f>
        <v>261</v>
      </c>
    </row>
    <row r="8" spans="1:14" ht="15">
      <c r="A8" s="13" t="s">
        <v>14</v>
      </c>
      <c r="B8" s="14">
        <v>7</v>
      </c>
      <c r="C8" s="15">
        <v>5</v>
      </c>
      <c r="D8" s="14">
        <v>2018</v>
      </c>
      <c r="E8" s="16">
        <f>'May 18'!M15</f>
        <v>11300.000000000182</v>
      </c>
      <c r="F8" s="17">
        <v>1240.0422301479691</v>
      </c>
      <c r="G8" s="16">
        <f>'May 18'!Z15</f>
        <v>146.7741935483871</v>
      </c>
      <c r="H8" s="17">
        <v>11650</v>
      </c>
      <c r="I8" s="16">
        <f>'May 18'!AC15</f>
        <v>0</v>
      </c>
      <c r="J8" s="66">
        <f>'May 18'!AE15</f>
        <v>10700</v>
      </c>
      <c r="K8" s="16">
        <f>'May 18'!AP15</f>
        <v>227</v>
      </c>
      <c r="L8" s="17">
        <v>9268.0443852640929</v>
      </c>
      <c r="M8" s="16">
        <f>'May 18'!C15</f>
        <v>38</v>
      </c>
      <c r="N8" s="16">
        <f>'May 18'!D15</f>
        <v>276</v>
      </c>
    </row>
    <row r="9" spans="1:14" ht="15">
      <c r="A9" s="13" t="s">
        <v>14</v>
      </c>
      <c r="B9" s="14">
        <v>8</v>
      </c>
      <c r="C9" s="15">
        <v>5</v>
      </c>
      <c r="D9" s="14">
        <v>2018</v>
      </c>
      <c r="E9" s="16">
        <f>'May 18'!M16</f>
        <v>11060.000000000628</v>
      </c>
      <c r="F9" s="17">
        <v>1240.0422301479691</v>
      </c>
      <c r="G9" s="16">
        <f>'May 18'!Z16</f>
        <v>146.7741935483871</v>
      </c>
      <c r="H9" s="17">
        <v>11650</v>
      </c>
      <c r="I9" s="16">
        <f>'May 18'!AC16</f>
        <v>0</v>
      </c>
      <c r="J9" s="66">
        <f>'May 18'!AE16</f>
        <v>10700</v>
      </c>
      <c r="K9" s="16">
        <f>'May 18'!AP16</f>
        <v>256</v>
      </c>
      <c r="L9" s="17">
        <v>9268.0443852640929</v>
      </c>
      <c r="M9" s="16">
        <f>'May 18'!C16</f>
        <v>39</v>
      </c>
      <c r="N9" s="16">
        <f>'May 18'!D16</f>
        <v>244</v>
      </c>
    </row>
    <row r="10" spans="1:14" ht="15">
      <c r="A10" s="13" t="s">
        <v>14</v>
      </c>
      <c r="B10" s="14">
        <v>9</v>
      </c>
      <c r="C10" s="15">
        <v>5</v>
      </c>
      <c r="D10" s="14">
        <v>2018</v>
      </c>
      <c r="E10" s="16">
        <f>'May 18'!M17</f>
        <v>11119.999999999209</v>
      </c>
      <c r="F10" s="17">
        <v>1240.0422301479691</v>
      </c>
      <c r="G10" s="16">
        <f>'May 18'!Z17</f>
        <v>146.7741935483871</v>
      </c>
      <c r="H10" s="17">
        <v>11650</v>
      </c>
      <c r="I10" s="16">
        <f>'May 18'!AC17</f>
        <v>0</v>
      </c>
      <c r="J10" s="66">
        <f>'May 18'!AE17</f>
        <v>10700</v>
      </c>
      <c r="K10" s="16">
        <f>'May 18'!AP17</f>
        <v>229</v>
      </c>
      <c r="L10" s="17">
        <v>9268.0443852640929</v>
      </c>
      <c r="M10" s="16">
        <f>'May 18'!C17</f>
        <v>37</v>
      </c>
      <c r="N10" s="16">
        <f>'May 18'!D17</f>
        <v>292</v>
      </c>
    </row>
    <row r="11" spans="1:14" ht="15">
      <c r="A11" s="13" t="s">
        <v>14</v>
      </c>
      <c r="B11" s="14">
        <v>10</v>
      </c>
      <c r="C11" s="15">
        <v>5</v>
      </c>
      <c r="D11" s="14">
        <v>2018</v>
      </c>
      <c r="E11" s="16">
        <f>'May 18'!M18</f>
        <v>10900.000000000546</v>
      </c>
      <c r="F11" s="17">
        <v>1240.0422301479691</v>
      </c>
      <c r="G11" s="16">
        <f>'May 18'!Z18</f>
        <v>146.7741935483871</v>
      </c>
      <c r="H11" s="17">
        <v>11650</v>
      </c>
      <c r="I11" s="16">
        <f>'May 18'!AC18</f>
        <v>0</v>
      </c>
      <c r="J11" s="66">
        <f>'May 18'!AE18</f>
        <v>10700</v>
      </c>
      <c r="K11" s="16">
        <f>'May 18'!AP18</f>
        <v>216</v>
      </c>
      <c r="L11" s="17">
        <v>9268.0443852640929</v>
      </c>
      <c r="M11" s="16">
        <f>'May 18'!C18</f>
        <v>33</v>
      </c>
      <c r="N11" s="16">
        <f>'May 18'!D18</f>
        <v>276</v>
      </c>
    </row>
    <row r="12" spans="1:14" ht="15">
      <c r="A12" s="13" t="s">
        <v>14</v>
      </c>
      <c r="B12" s="14">
        <v>11</v>
      </c>
      <c r="C12" s="15">
        <v>5</v>
      </c>
      <c r="D12" s="14">
        <v>2018</v>
      </c>
      <c r="E12" s="16">
        <f>'May 18'!M19</f>
        <v>11839.999999999463</v>
      </c>
      <c r="F12" s="17">
        <v>1240.0422301479691</v>
      </c>
      <c r="G12" s="16">
        <f>'May 18'!Z19</f>
        <v>146.7741935483871</v>
      </c>
      <c r="H12" s="17">
        <v>11650</v>
      </c>
      <c r="I12" s="16">
        <f>'May 18'!AC19</f>
        <v>0</v>
      </c>
      <c r="J12" s="66">
        <f>'May 18'!AE19</f>
        <v>10700</v>
      </c>
      <c r="K12" s="16">
        <f>'May 18'!AP19</f>
        <v>246</v>
      </c>
      <c r="L12" s="17">
        <v>9268.0443852640929</v>
      </c>
      <c r="M12" s="16">
        <f>'May 18'!C19</f>
        <v>39</v>
      </c>
      <c r="N12" s="16">
        <f>'May 18'!D19</f>
        <v>220</v>
      </c>
    </row>
    <row r="13" spans="1:14" ht="15">
      <c r="A13" s="13" t="s">
        <v>14</v>
      </c>
      <c r="B13" s="14">
        <v>12</v>
      </c>
      <c r="C13" s="15">
        <v>5</v>
      </c>
      <c r="D13" s="14">
        <v>2018</v>
      </c>
      <c r="E13" s="16">
        <f>'May 18'!M20</f>
        <v>11140.000000000782</v>
      </c>
      <c r="F13" s="17">
        <v>1240.0422301479691</v>
      </c>
      <c r="G13" s="16">
        <f>'May 18'!Z20</f>
        <v>146.7741935483871</v>
      </c>
      <c r="H13" s="17">
        <v>11650</v>
      </c>
      <c r="I13" s="16">
        <f>'May 18'!AC20</f>
        <v>40</v>
      </c>
      <c r="J13" s="66">
        <f>'May 18'!AE20</f>
        <v>10700</v>
      </c>
      <c r="K13" s="16">
        <f>'May 18'!AP20</f>
        <v>221</v>
      </c>
      <c r="L13" s="17">
        <v>9268.0443852640929</v>
      </c>
      <c r="M13" s="16">
        <f>'May 18'!C20</f>
        <v>36</v>
      </c>
      <c r="N13" s="16">
        <f>'May 18'!D20</f>
        <v>269</v>
      </c>
    </row>
    <row r="14" spans="1:14" ht="15">
      <c r="A14" s="13" t="s">
        <v>14</v>
      </c>
      <c r="B14" s="14">
        <v>13</v>
      </c>
      <c r="C14" s="15">
        <v>5</v>
      </c>
      <c r="D14" s="14">
        <v>2018</v>
      </c>
      <c r="E14" s="16">
        <f>'May 18'!M21</f>
        <v>11039.999999999281</v>
      </c>
      <c r="F14" s="17">
        <v>1240.0422301479691</v>
      </c>
      <c r="G14" s="16">
        <f>'May 18'!Z21</f>
        <v>146.7741935483871</v>
      </c>
      <c r="H14" s="17">
        <v>11650</v>
      </c>
      <c r="I14" s="16">
        <f>'May 18'!AC21</f>
        <v>0</v>
      </c>
      <c r="J14" s="66">
        <f>'May 18'!AE21</f>
        <v>10700</v>
      </c>
      <c r="K14" s="16">
        <f>'May 18'!AP21</f>
        <v>215</v>
      </c>
      <c r="L14" s="17">
        <v>9268.0443852640929</v>
      </c>
      <c r="M14" s="16">
        <f>'May 18'!C21</f>
        <v>38</v>
      </c>
      <c r="N14" s="16">
        <f>'May 18'!D21</f>
        <v>280</v>
      </c>
    </row>
    <row r="15" spans="1:14" ht="15">
      <c r="A15" s="13" t="s">
        <v>14</v>
      </c>
      <c r="B15" s="14">
        <v>14</v>
      </c>
      <c r="C15" s="15">
        <v>5</v>
      </c>
      <c r="D15" s="14">
        <v>2018</v>
      </c>
      <c r="E15" s="16">
        <f>'May 18'!M22</f>
        <v>11440.000000000509</v>
      </c>
      <c r="F15" s="17">
        <v>1240.0422301479691</v>
      </c>
      <c r="G15" s="16">
        <f>'May 18'!Z22</f>
        <v>146.7741935483871</v>
      </c>
      <c r="H15" s="17">
        <v>11650</v>
      </c>
      <c r="I15" s="16">
        <f>'May 18'!AC22</f>
        <v>0</v>
      </c>
      <c r="J15" s="66">
        <f>'May 18'!AE22</f>
        <v>10700</v>
      </c>
      <c r="K15" s="16">
        <f>'May 18'!AP22</f>
        <v>209</v>
      </c>
      <c r="L15" s="17">
        <v>9268.0443852640929</v>
      </c>
      <c r="M15" s="16">
        <f>'May 18'!C22</f>
        <v>33</v>
      </c>
      <c r="N15" s="16">
        <f>'May 18'!D22</f>
        <v>238</v>
      </c>
    </row>
    <row r="16" spans="1:14" ht="15">
      <c r="A16" s="13" t="s">
        <v>14</v>
      </c>
      <c r="B16" s="14">
        <v>15</v>
      </c>
      <c r="C16" s="15">
        <v>5</v>
      </c>
      <c r="D16" s="14">
        <v>2018</v>
      </c>
      <c r="E16" s="16">
        <f>'May 18'!M23</f>
        <v>11239.999999999782</v>
      </c>
      <c r="F16" s="17">
        <v>1240.0422301479691</v>
      </c>
      <c r="G16" s="16">
        <f>'May 18'!Z23</f>
        <v>146.7741935483871</v>
      </c>
      <c r="H16" s="17">
        <v>11650</v>
      </c>
      <c r="I16" s="16">
        <f>'May 18'!AC23</f>
        <v>0</v>
      </c>
      <c r="J16" s="66">
        <f>'May 18'!AE23</f>
        <v>10700</v>
      </c>
      <c r="K16" s="16">
        <f>'May 18'!AP23</f>
        <v>180</v>
      </c>
      <c r="L16" s="17">
        <v>9268.0443852640929</v>
      </c>
      <c r="M16" s="16">
        <f>'May 18'!C23</f>
        <v>36</v>
      </c>
      <c r="N16" s="16">
        <f>'May 18'!D23</f>
        <v>241</v>
      </c>
    </row>
    <row r="17" spans="1:14" ht="15">
      <c r="A17" s="13" t="s">
        <v>14</v>
      </c>
      <c r="B17" s="14">
        <v>16</v>
      </c>
      <c r="C17" s="15">
        <v>5</v>
      </c>
      <c r="D17" s="14">
        <v>2018</v>
      </c>
      <c r="E17" s="16">
        <f>'May 18'!M24</f>
        <v>10620.000000000346</v>
      </c>
      <c r="F17" s="17">
        <v>1240.0422301479691</v>
      </c>
      <c r="G17" s="16">
        <f>'May 18'!Z24</f>
        <v>146.7741935483871</v>
      </c>
      <c r="H17" s="17">
        <v>11650</v>
      </c>
      <c r="I17" s="16">
        <f>'May 18'!AC24</f>
        <v>0</v>
      </c>
      <c r="J17" s="66">
        <f>'May 18'!AE24</f>
        <v>10700</v>
      </c>
      <c r="K17" s="16">
        <f>'May 18'!AP24</f>
        <v>208</v>
      </c>
      <c r="L17" s="17">
        <v>9268.0443852640929</v>
      </c>
      <c r="M17" s="16">
        <f>'May 18'!C24</f>
        <v>34</v>
      </c>
      <c r="N17" s="16">
        <f>'May 18'!D24</f>
        <v>187</v>
      </c>
    </row>
    <row r="18" spans="1:14" ht="15">
      <c r="A18" s="13" t="s">
        <v>14</v>
      </c>
      <c r="B18" s="14">
        <v>17</v>
      </c>
      <c r="C18" s="15">
        <v>5</v>
      </c>
      <c r="D18" s="14">
        <v>2018</v>
      </c>
      <c r="E18" s="16">
        <f>'May 18'!M25</f>
        <v>10619.999999999436</v>
      </c>
      <c r="F18" s="17">
        <v>1240.0422301479691</v>
      </c>
      <c r="G18" s="16">
        <f>'May 18'!Z25</f>
        <v>146.7741935483871</v>
      </c>
      <c r="H18" s="17">
        <v>11650</v>
      </c>
      <c r="I18" s="16">
        <f>'May 18'!AC25</f>
        <v>0</v>
      </c>
      <c r="J18" s="66">
        <f>'May 18'!AE25</f>
        <v>10700</v>
      </c>
      <c r="K18" s="16">
        <f>'May 18'!AP25</f>
        <v>185</v>
      </c>
      <c r="L18" s="17">
        <v>9268.0443852640929</v>
      </c>
      <c r="M18" s="16">
        <f>'May 18'!C25</f>
        <v>26</v>
      </c>
      <c r="N18" s="16">
        <f>'May 18'!D25</f>
        <v>217</v>
      </c>
    </row>
    <row r="19" spans="1:14" ht="15">
      <c r="A19" s="13" t="s">
        <v>14</v>
      </c>
      <c r="B19" s="14">
        <v>18</v>
      </c>
      <c r="C19" s="15">
        <v>5</v>
      </c>
      <c r="D19" s="14">
        <v>2018</v>
      </c>
      <c r="E19" s="16">
        <f>'May 18'!M26</f>
        <v>10740.000000000464</v>
      </c>
      <c r="F19" s="17">
        <v>1240.0422301479691</v>
      </c>
      <c r="G19" s="16">
        <f>'May 18'!Z26</f>
        <v>146.7741935483871</v>
      </c>
      <c r="H19" s="17">
        <v>11650</v>
      </c>
      <c r="I19" s="16">
        <f>'May 18'!AC26</f>
        <v>0</v>
      </c>
      <c r="J19" s="66">
        <f>'May 18'!AE26</f>
        <v>10700</v>
      </c>
      <c r="K19" s="16">
        <f>'May 18'!AP26</f>
        <v>216</v>
      </c>
      <c r="L19" s="17">
        <v>9268.0443852640929</v>
      </c>
      <c r="M19" s="16">
        <f>'May 18'!C26</f>
        <v>31</v>
      </c>
      <c r="N19" s="16">
        <f>'May 18'!D26</f>
        <v>238</v>
      </c>
    </row>
    <row r="20" spans="1:14" ht="15">
      <c r="A20" s="13" t="s">
        <v>14</v>
      </c>
      <c r="B20" s="14">
        <v>19</v>
      </c>
      <c r="C20" s="15">
        <v>5</v>
      </c>
      <c r="D20" s="14">
        <v>2018</v>
      </c>
      <c r="E20" s="16">
        <f>'May 18'!M27</f>
        <v>10459.999999999354</v>
      </c>
      <c r="F20" s="17">
        <v>1240.0422301479691</v>
      </c>
      <c r="G20" s="16">
        <f>'May 18'!Z27</f>
        <v>146.7741935483871</v>
      </c>
      <c r="H20" s="17">
        <v>11650</v>
      </c>
      <c r="I20" s="16">
        <f>'May 18'!AC27</f>
        <v>0</v>
      </c>
      <c r="J20" s="66">
        <f>'May 18'!AE27</f>
        <v>10700</v>
      </c>
      <c r="K20" s="16">
        <f>'May 18'!AP27</f>
        <v>188</v>
      </c>
      <c r="L20" s="17">
        <v>9268.0443852640929</v>
      </c>
      <c r="M20" s="16">
        <f>'May 18'!C27</f>
        <v>31</v>
      </c>
      <c r="N20" s="16">
        <f>'May 18'!D27</f>
        <v>215</v>
      </c>
    </row>
    <row r="21" spans="1:14" ht="15">
      <c r="A21" s="13" t="s">
        <v>14</v>
      </c>
      <c r="B21" s="14">
        <v>20</v>
      </c>
      <c r="C21" s="15">
        <v>5</v>
      </c>
      <c r="D21" s="14">
        <v>2018</v>
      </c>
      <c r="E21" s="16">
        <f>'May 18'!M28</f>
        <v>10440.000000000509</v>
      </c>
      <c r="F21" s="17">
        <v>1240.0422301479691</v>
      </c>
      <c r="G21" s="16">
        <f>'May 18'!Z28</f>
        <v>146.7741935483871</v>
      </c>
      <c r="H21" s="17">
        <v>11650</v>
      </c>
      <c r="I21" s="16">
        <f>'May 18'!AC28</f>
        <v>40</v>
      </c>
      <c r="J21" s="66">
        <f>'May 18'!AE28</f>
        <v>10700</v>
      </c>
      <c r="K21" s="16">
        <f>'May 18'!AP28</f>
        <v>207</v>
      </c>
      <c r="L21" s="17">
        <v>9268.0443852640929</v>
      </c>
      <c r="M21" s="16">
        <f>'May 18'!C28</f>
        <v>26</v>
      </c>
      <c r="N21" s="16">
        <f>'May 18'!D28</f>
        <v>183</v>
      </c>
    </row>
    <row r="22" spans="1:14" ht="15">
      <c r="A22" s="13" t="s">
        <v>14</v>
      </c>
      <c r="B22" s="14">
        <v>21</v>
      </c>
      <c r="C22" s="15">
        <v>5</v>
      </c>
      <c r="D22" s="14">
        <v>2018</v>
      </c>
      <c r="E22" s="16">
        <f>'May 18'!M29</f>
        <v>10819.999999999482</v>
      </c>
      <c r="F22" s="17">
        <v>1240.0422301479691</v>
      </c>
      <c r="G22" s="16">
        <f>'May 18'!Z29</f>
        <v>146.7741935483871</v>
      </c>
      <c r="H22" s="17">
        <v>11650</v>
      </c>
      <c r="I22" s="16">
        <f>'May 18'!AC29</f>
        <v>0</v>
      </c>
      <c r="J22" s="66">
        <f>'May 18'!AE29</f>
        <v>10700</v>
      </c>
      <c r="K22" s="16">
        <f>'May 18'!AP29</f>
        <v>227</v>
      </c>
      <c r="L22" s="17">
        <v>9268.0443852640929</v>
      </c>
      <c r="M22" s="16">
        <f>'May 18'!C29</f>
        <v>22</v>
      </c>
      <c r="N22" s="16">
        <f>'May 18'!D29</f>
        <v>181</v>
      </c>
    </row>
    <row r="23" spans="1:14" ht="15">
      <c r="A23" s="13" t="s">
        <v>14</v>
      </c>
      <c r="B23" s="14">
        <v>22</v>
      </c>
      <c r="C23" s="15">
        <v>5</v>
      </c>
      <c r="D23" s="14">
        <v>2018</v>
      </c>
      <c r="E23" s="16">
        <f>'May 18'!M30</f>
        <v>10700.000000000728</v>
      </c>
      <c r="F23" s="17">
        <v>1240.0422301479691</v>
      </c>
      <c r="G23" s="16">
        <f>'May 18'!Z30</f>
        <v>146.7741935483871</v>
      </c>
      <c r="H23" s="17">
        <v>11650</v>
      </c>
      <c r="I23" s="16">
        <f>'May 18'!AC30</f>
        <v>0</v>
      </c>
      <c r="J23" s="66">
        <f>'May 18'!AE30</f>
        <v>10700</v>
      </c>
      <c r="K23" s="16">
        <f>'May 18'!AP30</f>
        <v>233</v>
      </c>
      <c r="L23" s="17">
        <v>9268.0443852640929</v>
      </c>
      <c r="M23" s="16">
        <f>'May 18'!C30</f>
        <v>28</v>
      </c>
      <c r="N23" s="16">
        <f>'May 18'!D30</f>
        <v>192</v>
      </c>
    </row>
    <row r="24" spans="1:14" ht="15">
      <c r="A24" s="13" t="s">
        <v>14</v>
      </c>
      <c r="B24" s="14">
        <v>23</v>
      </c>
      <c r="C24" s="15">
        <v>5</v>
      </c>
      <c r="D24" s="14">
        <v>2018</v>
      </c>
      <c r="E24" s="16">
        <f>'May 18'!M31</f>
        <v>11000</v>
      </c>
      <c r="F24" s="17">
        <v>1240.0422301479691</v>
      </c>
      <c r="G24" s="16">
        <f>'May 18'!Z31</f>
        <v>146.7741935483871</v>
      </c>
      <c r="H24" s="17">
        <v>11650</v>
      </c>
      <c r="I24" s="16">
        <f>'May 18'!AC31</f>
        <v>0</v>
      </c>
      <c r="J24" s="66">
        <f>'May 18'!AE31</f>
        <v>10700</v>
      </c>
      <c r="K24" s="16">
        <f>'May 18'!AP31</f>
        <v>257</v>
      </c>
      <c r="L24" s="17">
        <v>9268.0443852640929</v>
      </c>
      <c r="M24" s="16">
        <f>'May 18'!C31</f>
        <v>30</v>
      </c>
      <c r="N24" s="16">
        <f>'May 18'!D31</f>
        <v>212</v>
      </c>
    </row>
    <row r="25" spans="1:14" ht="15">
      <c r="A25" s="13" t="s">
        <v>14</v>
      </c>
      <c r="B25" s="14">
        <v>24</v>
      </c>
      <c r="C25" s="15">
        <v>5</v>
      </c>
      <c r="D25" s="14">
        <v>2018</v>
      </c>
      <c r="E25" s="16">
        <f>'May 18'!M32</f>
        <v>10919.999999999391</v>
      </c>
      <c r="F25" s="17">
        <v>1240.0422301479691</v>
      </c>
      <c r="G25" s="16">
        <f>'May 18'!Z32</f>
        <v>146.7741935483871</v>
      </c>
      <c r="H25" s="17">
        <v>11650</v>
      </c>
      <c r="I25" s="16">
        <f>'May 18'!AC32</f>
        <v>0</v>
      </c>
      <c r="J25" s="66">
        <f>'May 18'!AE32</f>
        <v>10700</v>
      </c>
      <c r="K25" s="16">
        <f>'May 18'!AP32</f>
        <v>246</v>
      </c>
      <c r="L25" s="17">
        <v>9268.0443852640929</v>
      </c>
      <c r="M25" s="16">
        <f>'May 18'!C32</f>
        <v>31</v>
      </c>
      <c r="N25" s="16">
        <f>'May 18'!D32</f>
        <v>209</v>
      </c>
    </row>
    <row r="26" spans="1:14" ht="15">
      <c r="A26" s="13" t="s">
        <v>14</v>
      </c>
      <c r="B26" s="14">
        <v>25</v>
      </c>
      <c r="C26" s="15">
        <v>5</v>
      </c>
      <c r="D26" s="14">
        <v>2018</v>
      </c>
      <c r="E26" s="16">
        <f>'May 18'!M33</f>
        <v>11139.999999999873</v>
      </c>
      <c r="F26" s="17">
        <v>1240.0422301479691</v>
      </c>
      <c r="G26" s="16">
        <f>'May 18'!Z33</f>
        <v>146.7741935483871</v>
      </c>
      <c r="H26" s="17">
        <v>11650</v>
      </c>
      <c r="I26" s="16">
        <f>'May 18'!AC33</f>
        <v>0</v>
      </c>
      <c r="J26" s="66">
        <f>'May 18'!AE33</f>
        <v>10700</v>
      </c>
      <c r="K26" s="16">
        <f>'May 18'!AP33</f>
        <v>181</v>
      </c>
      <c r="L26" s="17">
        <v>9268.0443852640929</v>
      </c>
      <c r="M26" s="16">
        <f>'May 18'!C33</f>
        <v>36</v>
      </c>
      <c r="N26" s="16">
        <f>'May 18'!D33</f>
        <v>229</v>
      </c>
    </row>
    <row r="27" spans="1:14" ht="15">
      <c r="A27" s="13" t="s">
        <v>14</v>
      </c>
      <c r="B27" s="14">
        <v>26</v>
      </c>
      <c r="C27" s="15">
        <v>5</v>
      </c>
      <c r="D27" s="14">
        <v>2018</v>
      </c>
      <c r="E27" s="16">
        <f>'May 18'!M34</f>
        <v>11400.000000000091</v>
      </c>
      <c r="F27" s="17">
        <v>1240.0422301479691</v>
      </c>
      <c r="G27" s="16">
        <f>'May 18'!Z34</f>
        <v>146.7741935483871</v>
      </c>
      <c r="H27" s="17">
        <v>11650</v>
      </c>
      <c r="I27" s="16">
        <f>'May 18'!AC34</f>
        <v>40</v>
      </c>
      <c r="J27" s="66">
        <f>'May 18'!AE34</f>
        <v>10700</v>
      </c>
      <c r="K27" s="16">
        <f>'May 18'!AP34</f>
        <v>212</v>
      </c>
      <c r="L27" s="17">
        <v>9268.0443852640929</v>
      </c>
      <c r="M27" s="16">
        <f>'May 18'!C34</f>
        <v>32</v>
      </c>
      <c r="N27" s="16">
        <f>'May 18'!D34</f>
        <v>237</v>
      </c>
    </row>
    <row r="28" spans="1:14" ht="15">
      <c r="A28" s="13" t="s">
        <v>14</v>
      </c>
      <c r="B28" s="14">
        <v>27</v>
      </c>
      <c r="C28" s="15">
        <v>5</v>
      </c>
      <c r="D28" s="14">
        <v>2018</v>
      </c>
      <c r="E28" s="16">
        <f>'May 18'!M35</f>
        <v>11180.000000000291</v>
      </c>
      <c r="F28" s="17">
        <v>1240.0422301479691</v>
      </c>
      <c r="G28" s="16">
        <f>'May 18'!Z35</f>
        <v>146.7741935483871</v>
      </c>
      <c r="H28" s="17">
        <v>11650</v>
      </c>
      <c r="I28" s="16">
        <f>'May 18'!AC35</f>
        <v>0</v>
      </c>
      <c r="J28" s="66">
        <f>'May 18'!AE35</f>
        <v>10700</v>
      </c>
      <c r="K28" s="16">
        <f>'May 18'!AP35</f>
        <v>234</v>
      </c>
      <c r="L28" s="17">
        <v>9268.0443852640929</v>
      </c>
      <c r="M28" s="16">
        <f>'May 18'!C35</f>
        <v>31</v>
      </c>
      <c r="N28" s="16">
        <f>'May 18'!D35</f>
        <v>168</v>
      </c>
    </row>
    <row r="29" spans="1:14" ht="15">
      <c r="A29" s="13" t="s">
        <v>14</v>
      </c>
      <c r="B29" s="14">
        <v>28</v>
      </c>
      <c r="C29" s="15">
        <v>5</v>
      </c>
      <c r="D29" s="14">
        <v>2018</v>
      </c>
      <c r="E29" s="16">
        <f>'May 18'!M36</f>
        <v>10680.000000000064</v>
      </c>
      <c r="F29" s="17">
        <v>1240.0422301479691</v>
      </c>
      <c r="G29" s="16">
        <f>'May 18'!Z36</f>
        <v>146.7741935483871</v>
      </c>
      <c r="H29" s="17">
        <v>11650</v>
      </c>
      <c r="I29" s="16">
        <f>'May 18'!AC36</f>
        <v>0</v>
      </c>
      <c r="J29" s="66">
        <f>'May 18'!AE36</f>
        <v>10700</v>
      </c>
      <c r="K29" s="16">
        <f>'May 18'!AP36</f>
        <v>250</v>
      </c>
      <c r="L29" s="17">
        <v>9268.0443852640929</v>
      </c>
      <c r="M29" s="16">
        <f>'May 18'!C36</f>
        <v>23</v>
      </c>
      <c r="N29" s="16">
        <f>'May 18'!D36</f>
        <v>222</v>
      </c>
    </row>
    <row r="30" spans="1:14" ht="15">
      <c r="A30" s="60" t="s">
        <v>14</v>
      </c>
      <c r="B30" s="61">
        <v>29</v>
      </c>
      <c r="C30" s="15">
        <v>5</v>
      </c>
      <c r="D30" s="14">
        <v>2018</v>
      </c>
      <c r="E30" s="16">
        <f>'May 18'!M37</f>
        <v>10360.000000000127</v>
      </c>
      <c r="F30" s="17">
        <v>1240.0422301479691</v>
      </c>
      <c r="G30" s="16">
        <f>'May 18'!Z37</f>
        <v>146.7741935483871</v>
      </c>
      <c r="H30" s="62">
        <v>11650</v>
      </c>
      <c r="I30" s="16">
        <f>'May 18'!AC37</f>
        <v>0</v>
      </c>
      <c r="J30" s="66">
        <f>'May 18'!AE37</f>
        <v>10700</v>
      </c>
      <c r="K30" s="16">
        <f>'May 18'!AP37</f>
        <v>203</v>
      </c>
      <c r="L30" s="17">
        <v>9268.0443852640929</v>
      </c>
      <c r="M30" s="16">
        <f>'May 18'!C37</f>
        <v>25</v>
      </c>
      <c r="N30" s="16">
        <f>'May 18'!D37</f>
        <v>180</v>
      </c>
    </row>
    <row r="31" spans="1:14" ht="15">
      <c r="A31" s="57" t="s">
        <v>14</v>
      </c>
      <c r="B31" s="58">
        <v>30</v>
      </c>
      <c r="C31" s="15">
        <v>5</v>
      </c>
      <c r="D31" s="14">
        <v>2018</v>
      </c>
      <c r="E31" s="16">
        <f>'May 18'!M38</f>
        <v>10159.999999999627</v>
      </c>
      <c r="F31" s="17">
        <v>1240.0422301479691</v>
      </c>
      <c r="G31" s="16">
        <f>'May 18'!Z38</f>
        <v>146.7741935483871</v>
      </c>
      <c r="H31" s="59">
        <v>11650</v>
      </c>
      <c r="I31" s="16">
        <f>'May 18'!AC38</f>
        <v>0</v>
      </c>
      <c r="J31" s="66">
        <f>'May 18'!AE38</f>
        <v>10700</v>
      </c>
      <c r="K31" s="16">
        <f>'May 18'!AP38</f>
        <v>193</v>
      </c>
      <c r="L31" s="17">
        <v>9268.0443852640929</v>
      </c>
      <c r="M31" s="16">
        <f>'May 18'!C38</f>
        <v>30</v>
      </c>
      <c r="N31" s="16">
        <f>'May 18'!D38</f>
        <v>193</v>
      </c>
    </row>
    <row r="32" spans="1:14" ht="15">
      <c r="A32" s="57" t="s">
        <v>14</v>
      </c>
      <c r="B32" s="58">
        <v>31</v>
      </c>
      <c r="C32" s="15">
        <v>5</v>
      </c>
      <c r="D32" s="14">
        <v>2018</v>
      </c>
      <c r="E32" s="16">
        <f>'May 18'!M39</f>
        <v>10019.999999999754</v>
      </c>
      <c r="F32" s="17">
        <v>1240.0422301479691</v>
      </c>
      <c r="G32" s="16">
        <f>'May 18'!Z39</f>
        <v>146.7741935483871</v>
      </c>
      <c r="H32" s="65">
        <v>11650</v>
      </c>
      <c r="I32" s="16">
        <f>'May 18'!AC39</f>
        <v>0</v>
      </c>
      <c r="J32" s="66">
        <f>'May 18'!AE39</f>
        <v>10700</v>
      </c>
      <c r="K32" s="16">
        <f>'May 18'!AP39</f>
        <v>188</v>
      </c>
      <c r="L32" s="17">
        <v>9268.0443852640929</v>
      </c>
      <c r="M32" s="16">
        <f>'May 18'!C39</f>
        <v>29</v>
      </c>
      <c r="N32" s="16">
        <f>'May 18'!D39</f>
        <v>226</v>
      </c>
    </row>
    <row r="33" spans="5:14" ht="15">
      <c r="E33" s="106">
        <f>SUM(E2:E32)</f>
        <v>339259.99999999953</v>
      </c>
      <c r="F33" s="106">
        <v>1240.0422301479691</v>
      </c>
      <c r="G33" s="106">
        <f t="shared" ref="F33:N33" si="0">SUM(G2:G32)</f>
        <v>4550.0000000000036</v>
      </c>
      <c r="H33" s="65">
        <v>11650</v>
      </c>
      <c r="I33" s="106">
        <f t="shared" si="0"/>
        <v>200</v>
      </c>
      <c r="J33" s="66">
        <v>10700</v>
      </c>
      <c r="K33" s="106">
        <f t="shared" si="0"/>
        <v>6759</v>
      </c>
      <c r="L33" s="106">
        <v>9268.0443852640929</v>
      </c>
      <c r="M33" s="106">
        <f t="shared" si="0"/>
        <v>1061</v>
      </c>
      <c r="N33" s="106">
        <f t="shared" si="0"/>
        <v>7298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E862-03B4-4722-8C3D-ADE33FD727A5}">
  <dimension ref="A1:AQ41"/>
  <sheetViews>
    <sheetView topLeftCell="Y1" workbookViewId="0">
      <selection activeCell="AE9" sqref="AE9:AE39"/>
    </sheetView>
  </sheetViews>
  <sheetFormatPr defaultRowHeight="15"/>
  <cols>
    <col min="2" max="2" width="10.85546875" style="48" bestFit="1" customWidth="1"/>
    <col min="3" max="5" width="9.140625" style="19"/>
    <col min="6" max="6" width="11.85546875" style="19" bestFit="1" customWidth="1"/>
    <col min="7" max="7" width="15.85546875" style="19" bestFit="1" customWidth="1"/>
    <col min="8" max="8" width="9.140625" style="19"/>
    <col min="9" max="9" width="10.85546875" style="19" bestFit="1" customWidth="1"/>
    <col min="10" max="10" width="14.7109375" style="19" bestFit="1" customWidth="1"/>
    <col min="11" max="11" width="18.42578125" style="19" customWidth="1"/>
    <col min="12" max="12" width="16.140625" style="19" customWidth="1"/>
    <col min="13" max="13" width="11.7109375" style="19" customWidth="1"/>
    <col min="14" max="15" width="9.7109375" style="27" bestFit="1" customWidth="1"/>
    <col min="16" max="16" width="16.140625" style="27" customWidth="1"/>
    <col min="17" max="17" width="9.140625" style="27"/>
    <col min="18" max="18" width="9.28515625" style="27" bestFit="1" customWidth="1"/>
    <col min="19" max="19" width="13.85546875" style="27" customWidth="1"/>
    <col min="20" max="20" width="13" style="27" bestFit="1" customWidth="1"/>
    <col min="21" max="21" width="9.140625" style="27"/>
    <col min="22" max="22" width="14.85546875" style="27" customWidth="1"/>
    <col min="23" max="23" width="9.140625" style="27"/>
    <col min="24" max="24" width="9.140625" style="19"/>
    <col min="25" max="25" width="15.5703125" style="19" customWidth="1"/>
    <col min="26" max="26" width="9.7109375" style="19" bestFit="1" customWidth="1"/>
    <col min="27" max="27" width="13.7109375" style="19" customWidth="1"/>
    <col min="28" max="30" width="9.140625" style="19"/>
    <col min="31" max="31" width="12" style="19" customWidth="1"/>
    <col min="32" max="33" width="9.140625" style="19"/>
    <col min="34" max="34" width="9.7109375" style="19" bestFit="1" customWidth="1"/>
    <col min="35" max="41" width="15.140625" style="19" customWidth="1"/>
    <col min="42" max="42" width="9.7109375" style="19" bestFit="1" customWidth="1"/>
    <col min="43" max="43" width="9.140625" style="19"/>
  </cols>
  <sheetData>
    <row r="1" spans="1:43" ht="12.75" customHeight="1">
      <c r="A1" s="1"/>
      <c r="B1" s="107" t="s">
        <v>15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24" t="s">
        <v>16</v>
      </c>
      <c r="N1" s="107" t="s">
        <v>16</v>
      </c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</row>
    <row r="2" spans="1:43" ht="12.75" customHeight="1">
      <c r="A2" s="1"/>
      <c r="B2" s="107" t="s">
        <v>17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24" t="s">
        <v>16</v>
      </c>
      <c r="N2" s="107">
        <f>582500/50</f>
        <v>11650</v>
      </c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1"/>
      <c r="B3" s="46" t="s">
        <v>16</v>
      </c>
      <c r="C3" s="26" t="s">
        <v>16</v>
      </c>
      <c r="D3" s="26" t="s">
        <v>16</v>
      </c>
      <c r="E3" s="26" t="s">
        <v>16</v>
      </c>
      <c r="F3" s="26" t="s">
        <v>16</v>
      </c>
      <c r="G3" s="26" t="s">
        <v>16</v>
      </c>
      <c r="H3" s="26" t="s">
        <v>16</v>
      </c>
      <c r="I3" s="26" t="s">
        <v>16</v>
      </c>
      <c r="J3" s="26" t="s">
        <v>16</v>
      </c>
      <c r="K3" s="26" t="s">
        <v>16</v>
      </c>
      <c r="L3" s="26" t="s">
        <v>16</v>
      </c>
      <c r="M3" s="24" t="s">
        <v>16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>
      <c r="A4" s="2" t="s">
        <v>16</v>
      </c>
      <c r="B4" s="107" t="s">
        <v>18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95" t="s">
        <v>19</v>
      </c>
      <c r="O4" s="95"/>
      <c r="P4" s="95"/>
      <c r="Q4" s="95" t="s">
        <v>20</v>
      </c>
      <c r="R4" s="95"/>
      <c r="S4" s="96"/>
      <c r="T4" s="95" t="s">
        <v>21</v>
      </c>
      <c r="U4" s="95"/>
      <c r="V4" s="96"/>
      <c r="W4" s="95" t="s">
        <v>22</v>
      </c>
      <c r="X4" s="95"/>
      <c r="Y4" s="95"/>
      <c r="Z4" s="97" t="s">
        <v>23</v>
      </c>
      <c r="AA4" s="97"/>
      <c r="AB4" s="98"/>
      <c r="AC4" s="75" t="s">
        <v>24</v>
      </c>
      <c r="AD4" s="75"/>
      <c r="AE4" s="76"/>
      <c r="AF4" s="79" t="s">
        <v>25</v>
      </c>
      <c r="AG4" s="67" t="s">
        <v>26</v>
      </c>
      <c r="AH4" s="85" t="s">
        <v>27</v>
      </c>
      <c r="AI4" s="86"/>
      <c r="AJ4" s="85" t="s">
        <v>28</v>
      </c>
      <c r="AK4" s="85"/>
      <c r="AL4" s="85"/>
      <c r="AM4" s="86"/>
      <c r="AN4" s="82" t="s">
        <v>29</v>
      </c>
      <c r="AO4" s="82" t="s">
        <v>30</v>
      </c>
      <c r="AP4" s="82" t="s">
        <v>31</v>
      </c>
      <c r="AQ4" s="82" t="s">
        <v>32</v>
      </c>
    </row>
    <row r="5" spans="1:43">
      <c r="A5" s="3" t="s">
        <v>16</v>
      </c>
      <c r="B5" s="87" t="s">
        <v>33</v>
      </c>
      <c r="C5" s="90" t="s">
        <v>34</v>
      </c>
      <c r="D5" s="90" t="s">
        <v>13</v>
      </c>
      <c r="E5" s="108" t="s">
        <v>35</v>
      </c>
      <c r="F5" s="108"/>
      <c r="G5" s="109"/>
      <c r="H5" s="108" t="s">
        <v>36</v>
      </c>
      <c r="I5" s="108"/>
      <c r="J5" s="109"/>
      <c r="K5" s="72" t="s">
        <v>37</v>
      </c>
      <c r="L5" s="72" t="s">
        <v>38</v>
      </c>
      <c r="M5" s="104" t="s">
        <v>39</v>
      </c>
      <c r="N5" s="95" t="s">
        <v>40</v>
      </c>
      <c r="O5" s="95"/>
      <c r="P5" s="95"/>
      <c r="Q5" s="95"/>
      <c r="R5" s="95"/>
      <c r="S5" s="96"/>
      <c r="T5" s="95"/>
      <c r="U5" s="95"/>
      <c r="V5" s="96"/>
      <c r="W5" s="95"/>
      <c r="X5" s="95"/>
      <c r="Y5" s="95"/>
      <c r="Z5" s="99"/>
      <c r="AA5" s="99"/>
      <c r="AB5" s="100"/>
      <c r="AC5" s="77"/>
      <c r="AD5" s="77"/>
      <c r="AE5" s="78"/>
      <c r="AF5" s="80"/>
      <c r="AG5" s="68"/>
      <c r="AH5" s="83" t="s">
        <v>41</v>
      </c>
      <c r="AI5" s="83" t="s">
        <v>42</v>
      </c>
      <c r="AJ5" s="83" t="s">
        <v>41</v>
      </c>
      <c r="AK5" s="83" t="s">
        <v>43</v>
      </c>
      <c r="AL5" s="83" t="s">
        <v>41</v>
      </c>
      <c r="AM5" s="83" t="s">
        <v>44</v>
      </c>
      <c r="AN5" s="83"/>
      <c r="AO5" s="83"/>
      <c r="AP5" s="83"/>
      <c r="AQ5" s="83"/>
    </row>
    <row r="6" spans="1:43" s="6" customFormat="1" ht="37.5" customHeight="1">
      <c r="A6" s="5" t="s">
        <v>16</v>
      </c>
      <c r="B6" s="88"/>
      <c r="C6" s="91"/>
      <c r="D6" s="91"/>
      <c r="E6" s="93" t="s">
        <v>45</v>
      </c>
      <c r="F6" s="93" t="s">
        <v>46</v>
      </c>
      <c r="G6" s="93" t="s">
        <v>47</v>
      </c>
      <c r="H6" s="93" t="s">
        <v>45</v>
      </c>
      <c r="I6" s="93" t="s">
        <v>46</v>
      </c>
      <c r="J6" s="93" t="s">
        <v>48</v>
      </c>
      <c r="K6" s="73"/>
      <c r="L6" s="73"/>
      <c r="M6" s="73"/>
      <c r="N6" s="36" t="s">
        <v>49</v>
      </c>
      <c r="O6" s="36" t="s">
        <v>50</v>
      </c>
      <c r="P6" s="29" t="s">
        <v>51</v>
      </c>
      <c r="Q6" s="37" t="s">
        <v>52</v>
      </c>
      <c r="R6" s="30" t="s">
        <v>50</v>
      </c>
      <c r="S6" s="30" t="s">
        <v>51</v>
      </c>
      <c r="T6" s="32" t="s">
        <v>49</v>
      </c>
      <c r="U6" s="32" t="s">
        <v>50</v>
      </c>
      <c r="V6" s="32" t="s">
        <v>53</v>
      </c>
      <c r="W6" s="32" t="s">
        <v>54</v>
      </c>
      <c r="X6" s="38" t="s">
        <v>50</v>
      </c>
      <c r="Y6" s="38" t="s">
        <v>53</v>
      </c>
      <c r="Z6" s="101"/>
      <c r="AA6" s="102"/>
      <c r="AB6" s="103"/>
      <c r="AC6" s="39" t="s">
        <v>49</v>
      </c>
      <c r="AD6" s="70" t="s">
        <v>55</v>
      </c>
      <c r="AE6" s="39" t="s">
        <v>56</v>
      </c>
      <c r="AF6" s="80"/>
      <c r="AG6" s="68"/>
      <c r="AH6" s="83"/>
      <c r="AI6" s="83"/>
      <c r="AJ6" s="83"/>
      <c r="AK6" s="83"/>
      <c r="AL6" s="83"/>
      <c r="AM6" s="83"/>
      <c r="AN6" s="83"/>
      <c r="AO6" s="83"/>
      <c r="AP6" s="83"/>
      <c r="AQ6" s="83"/>
    </row>
    <row r="7" spans="1:43" s="6" customFormat="1" ht="47.25" customHeight="1">
      <c r="A7" s="7" t="s">
        <v>16</v>
      </c>
      <c r="B7" s="89"/>
      <c r="C7" s="92"/>
      <c r="D7" s="92"/>
      <c r="E7" s="94"/>
      <c r="F7" s="94"/>
      <c r="G7" s="94"/>
      <c r="H7" s="94"/>
      <c r="I7" s="94"/>
      <c r="J7" s="94"/>
      <c r="K7" s="74"/>
      <c r="L7" s="74"/>
      <c r="M7" s="105"/>
      <c r="N7" s="40" t="s">
        <v>16</v>
      </c>
      <c r="O7" s="31" t="s">
        <v>16</v>
      </c>
      <c r="P7" s="31">
        <v>11650</v>
      </c>
      <c r="Q7" s="31" t="s">
        <v>16</v>
      </c>
      <c r="R7" s="31" t="s">
        <v>16</v>
      </c>
      <c r="S7" s="31">
        <v>11650</v>
      </c>
      <c r="T7" s="32" t="s">
        <v>16</v>
      </c>
      <c r="U7" s="32" t="s">
        <v>16</v>
      </c>
      <c r="V7" s="31">
        <v>11650</v>
      </c>
      <c r="W7" s="32" t="s">
        <v>16</v>
      </c>
      <c r="X7" s="38" t="s">
        <v>16</v>
      </c>
      <c r="Y7" s="31">
        <v>11650</v>
      </c>
      <c r="Z7" s="32" t="s">
        <v>57</v>
      </c>
      <c r="AA7" s="28" t="s">
        <v>58</v>
      </c>
      <c r="AB7" s="32" t="s">
        <v>26</v>
      </c>
      <c r="AC7" s="39"/>
      <c r="AD7" s="71"/>
      <c r="AE7" s="39" t="s">
        <v>59</v>
      </c>
      <c r="AF7" s="81"/>
      <c r="AG7" s="69"/>
      <c r="AH7" s="84"/>
      <c r="AI7" s="84"/>
      <c r="AJ7" s="84"/>
      <c r="AK7" s="84"/>
      <c r="AL7" s="84"/>
      <c r="AM7" s="84"/>
      <c r="AN7" s="84"/>
      <c r="AO7" s="84"/>
      <c r="AP7" s="84"/>
      <c r="AQ7" s="84"/>
    </row>
    <row r="8" spans="1:43" s="6" customFormat="1" ht="20.25" customHeight="1">
      <c r="A8" s="7"/>
      <c r="B8" s="47"/>
      <c r="C8" s="50"/>
      <c r="D8" s="50"/>
      <c r="E8" s="51"/>
      <c r="F8" s="51"/>
      <c r="G8" s="51"/>
      <c r="H8" s="51"/>
      <c r="I8" s="51"/>
      <c r="J8" s="51"/>
      <c r="K8" s="52"/>
      <c r="L8" s="52">
        <v>0</v>
      </c>
      <c r="M8" s="53"/>
      <c r="N8" s="44">
        <f>91*50</f>
        <v>4550</v>
      </c>
      <c r="O8" s="45"/>
      <c r="P8" s="40"/>
      <c r="Q8" s="40"/>
      <c r="R8" s="40"/>
      <c r="S8" s="40"/>
      <c r="T8" s="29"/>
      <c r="U8" s="29"/>
      <c r="V8" s="29"/>
      <c r="W8" s="29"/>
      <c r="X8" s="41"/>
      <c r="Y8" s="41"/>
      <c r="Z8" s="29"/>
      <c r="AA8" s="42"/>
      <c r="AB8" s="29"/>
      <c r="AC8" s="54">
        <v>200</v>
      </c>
      <c r="AD8" s="54"/>
      <c r="AE8" s="54"/>
      <c r="AF8" s="55"/>
      <c r="AG8" s="56"/>
      <c r="AH8" s="43"/>
      <c r="AI8" s="43"/>
      <c r="AJ8" s="43"/>
      <c r="AK8" s="43"/>
      <c r="AL8" s="43"/>
      <c r="AM8" s="43"/>
      <c r="AN8" s="43"/>
      <c r="AO8" s="43"/>
      <c r="AP8" s="43"/>
      <c r="AQ8" s="43"/>
    </row>
    <row r="9" spans="1:43">
      <c r="A9" s="4" t="s">
        <v>16</v>
      </c>
      <c r="B9" s="22">
        <v>43221</v>
      </c>
      <c r="C9" s="23">
        <v>47</v>
      </c>
      <c r="D9" s="20">
        <v>297</v>
      </c>
      <c r="E9" s="21">
        <v>4.0299999999997453</v>
      </c>
      <c r="F9" s="20">
        <f>E9*2000</f>
        <v>8059.9999999994907</v>
      </c>
      <c r="G9" s="20">
        <f>F9*1035.5</f>
        <v>8346129.9999994729</v>
      </c>
      <c r="H9" s="20">
        <v>0.95000000000004547</v>
      </c>
      <c r="I9" s="20">
        <f>H9*2000</f>
        <v>1900.0000000000909</v>
      </c>
      <c r="J9" s="20">
        <f>I9*1553.25</f>
        <v>2951175.0000001411</v>
      </c>
      <c r="K9" s="20">
        <f>J9+G9</f>
        <v>11297304.999999614</v>
      </c>
      <c r="L9" s="20">
        <f>K9*1.1</f>
        <v>12427035.499999577</v>
      </c>
      <c r="M9" s="34">
        <f>F9+I9</f>
        <v>9959.9999999995816</v>
      </c>
      <c r="N9" s="33">
        <f>N8*70%</f>
        <v>3185</v>
      </c>
      <c r="O9" s="33">
        <v>102.74193548387096</v>
      </c>
      <c r="P9" s="33">
        <f>O9*11650</f>
        <v>1196943.5483870967</v>
      </c>
      <c r="Q9" s="33">
        <f>N8*20%</f>
        <v>910</v>
      </c>
      <c r="R9" s="33">
        <f>Q9/31</f>
        <v>29.35483870967742</v>
      </c>
      <c r="S9" s="33">
        <f>R9*11650</f>
        <v>341983.87096774194</v>
      </c>
      <c r="T9" s="33">
        <f>N8*7%</f>
        <v>318.50000000000006</v>
      </c>
      <c r="U9" s="33">
        <f>T9/31</f>
        <v>10.274193548387098</v>
      </c>
      <c r="V9" s="33">
        <f>U9*11650</f>
        <v>119694.3548387097</v>
      </c>
      <c r="W9" s="33">
        <f>N8*3%</f>
        <v>136.5</v>
      </c>
      <c r="X9" s="20">
        <f>W9/31</f>
        <v>4.403225806451613</v>
      </c>
      <c r="Y9" s="20">
        <f>X9*11650</f>
        <v>51297.580645161288</v>
      </c>
      <c r="Z9" s="20">
        <f>O9+R9+U9+X9</f>
        <v>146.7741935483871</v>
      </c>
      <c r="AA9" s="20">
        <f>P9+S9+V9+Y9</f>
        <v>1709919.3548387098</v>
      </c>
      <c r="AB9" s="20"/>
      <c r="AC9" s="34">
        <f>AC8/5</f>
        <v>40</v>
      </c>
      <c r="AD9" s="34"/>
      <c r="AE9" s="34">
        <v>10700</v>
      </c>
      <c r="AF9" s="34"/>
      <c r="AG9" s="20"/>
      <c r="AH9" s="20">
        <v>155</v>
      </c>
      <c r="AI9" s="20">
        <f>AH9*13582</f>
        <v>2105210</v>
      </c>
      <c r="AJ9" s="20">
        <v>46</v>
      </c>
      <c r="AK9" s="20">
        <f>AJ9*4000</f>
        <v>184000</v>
      </c>
      <c r="AL9" s="20">
        <v>4</v>
      </c>
      <c r="AM9" s="20">
        <f>AL9*4000</f>
        <v>16000</v>
      </c>
      <c r="AN9" s="20">
        <v>10</v>
      </c>
      <c r="AO9" s="20">
        <f>AI9+AK9+AM9</f>
        <v>2305210</v>
      </c>
      <c r="AP9" s="20">
        <f>AH9+AJ9+AL9</f>
        <v>205</v>
      </c>
      <c r="AQ9" s="34"/>
    </row>
    <row r="10" spans="1:43">
      <c r="A10" s="4" t="s">
        <v>16</v>
      </c>
      <c r="B10" s="22">
        <v>43222</v>
      </c>
      <c r="C10" s="23">
        <v>52</v>
      </c>
      <c r="D10" s="20">
        <v>289</v>
      </c>
      <c r="E10" s="21">
        <v>5.0900000000001455</v>
      </c>
      <c r="F10" s="20">
        <f t="shared" ref="F10:F39" si="0">E10*2000</f>
        <v>10180.000000000291</v>
      </c>
      <c r="G10" s="20">
        <f t="shared" ref="G10:G39" si="1">F10*1035.5</f>
        <v>10541390.000000302</v>
      </c>
      <c r="H10" s="20">
        <v>1.0399999999999636</v>
      </c>
      <c r="I10" s="20">
        <f t="shared" ref="I10:I39" si="2">H10*2000</f>
        <v>2079.9999999999272</v>
      </c>
      <c r="J10" s="20">
        <f t="shared" ref="J10:K39" si="3">I10*1553.25</f>
        <v>3230759.9999998868</v>
      </c>
      <c r="K10" s="20">
        <f t="shared" ref="K10:K39" si="4">J10+G10</f>
        <v>13772150.000000188</v>
      </c>
      <c r="L10" s="20">
        <f t="shared" ref="L10:L39" si="5">K10*1.1</f>
        <v>15149365.000000209</v>
      </c>
      <c r="M10" s="34">
        <f t="shared" ref="M10:M40" si="6">F10+I10</f>
        <v>12260.000000000218</v>
      </c>
      <c r="N10" s="33"/>
      <c r="O10" s="33">
        <v>102.74193548387096</v>
      </c>
      <c r="P10" s="33">
        <f t="shared" ref="P10:P39" si="7">O10*11650</f>
        <v>1196943.5483870967</v>
      </c>
      <c r="Q10" s="33"/>
      <c r="R10" s="33">
        <v>29.35483870967742</v>
      </c>
      <c r="S10" s="33">
        <f t="shared" ref="S10:S39" si="8">R10*11650</f>
        <v>341983.87096774194</v>
      </c>
      <c r="T10" s="33"/>
      <c r="U10" s="33">
        <v>10.274193548387098</v>
      </c>
      <c r="V10" s="33">
        <f t="shared" ref="V10:V39" si="9">U10*11650</f>
        <v>119694.3548387097</v>
      </c>
      <c r="W10" s="33"/>
      <c r="X10" s="20">
        <v>4.403225806451613</v>
      </c>
      <c r="Y10" s="20">
        <f t="shared" ref="Y10:Y39" si="10">X10*11650</f>
        <v>51297.580645161288</v>
      </c>
      <c r="Z10" s="20">
        <f t="shared" ref="Z10:Z40" si="11">O10+R10+U10+X10</f>
        <v>146.7741935483871</v>
      </c>
      <c r="AA10" s="20">
        <f t="shared" ref="AA10:AA39" si="12">P10+S10+V10+Y10</f>
        <v>1709919.3548387098</v>
      </c>
      <c r="AB10" s="20"/>
      <c r="AC10" s="34"/>
      <c r="AD10" s="34"/>
      <c r="AE10" s="34">
        <v>10700</v>
      </c>
      <c r="AF10" s="34"/>
      <c r="AG10" s="20"/>
      <c r="AH10" s="20">
        <v>140</v>
      </c>
      <c r="AI10" s="20">
        <f t="shared" ref="AI10:AJ39" si="13">AH10*13582</f>
        <v>1901480</v>
      </c>
      <c r="AJ10" s="20">
        <v>44</v>
      </c>
      <c r="AK10" s="20">
        <f t="shared" ref="AK10:AK39" si="14">AJ10*4000</f>
        <v>176000</v>
      </c>
      <c r="AL10" s="20">
        <v>38</v>
      </c>
      <c r="AM10" s="20">
        <f t="shared" ref="AM10:AM39" si="15">AL10*4000</f>
        <v>152000</v>
      </c>
      <c r="AN10" s="20">
        <v>10</v>
      </c>
      <c r="AO10" s="20">
        <f t="shared" ref="AO10:AO39" si="16">AI10+AK10+AM10</f>
        <v>2229480</v>
      </c>
      <c r="AP10" s="20">
        <f t="shared" ref="AP10:AP39" si="17">AH10+AJ10+AL10</f>
        <v>222</v>
      </c>
      <c r="AQ10" s="34"/>
    </row>
    <row r="11" spans="1:43">
      <c r="A11" s="4" t="s">
        <v>16</v>
      </c>
      <c r="B11" s="22">
        <v>43223</v>
      </c>
      <c r="C11" s="23">
        <v>48</v>
      </c>
      <c r="D11" s="20">
        <v>268</v>
      </c>
      <c r="E11" s="21">
        <v>4.5100000000002183</v>
      </c>
      <c r="F11" s="20">
        <f t="shared" si="0"/>
        <v>9020.0000000004366</v>
      </c>
      <c r="G11" s="20">
        <f t="shared" si="1"/>
        <v>9340210.0000004526</v>
      </c>
      <c r="H11" s="20">
        <v>0.99000000000000909</v>
      </c>
      <c r="I11" s="20">
        <f t="shared" si="2"/>
        <v>1980.0000000000182</v>
      </c>
      <c r="J11" s="20">
        <f t="shared" si="3"/>
        <v>3075435.0000000284</v>
      </c>
      <c r="K11" s="20">
        <f t="shared" si="4"/>
        <v>12415645.000000481</v>
      </c>
      <c r="L11" s="20">
        <f t="shared" si="5"/>
        <v>13657209.500000529</v>
      </c>
      <c r="M11" s="34">
        <f t="shared" si="6"/>
        <v>11000.000000000455</v>
      </c>
      <c r="N11" s="33"/>
      <c r="O11" s="33">
        <v>102.74193548387096</v>
      </c>
      <c r="P11" s="33">
        <f t="shared" si="7"/>
        <v>1196943.5483870967</v>
      </c>
      <c r="Q11" s="33"/>
      <c r="R11" s="33">
        <v>29.35483870967742</v>
      </c>
      <c r="S11" s="33">
        <f t="shared" si="8"/>
        <v>341983.87096774194</v>
      </c>
      <c r="T11" s="33"/>
      <c r="U11" s="33">
        <v>10.274193548387098</v>
      </c>
      <c r="V11" s="33">
        <f t="shared" si="9"/>
        <v>119694.3548387097</v>
      </c>
      <c r="W11" s="33"/>
      <c r="X11" s="20">
        <v>4.403225806451613</v>
      </c>
      <c r="Y11" s="20">
        <f t="shared" si="10"/>
        <v>51297.580645161288</v>
      </c>
      <c r="Z11" s="20">
        <f t="shared" si="11"/>
        <v>146.7741935483871</v>
      </c>
      <c r="AA11" s="20">
        <f t="shared" si="12"/>
        <v>1709919.3548387098</v>
      </c>
      <c r="AB11" s="20"/>
      <c r="AC11" s="34"/>
      <c r="AD11" s="34"/>
      <c r="AE11" s="34">
        <v>10700</v>
      </c>
      <c r="AF11" s="34"/>
      <c r="AG11" s="20"/>
      <c r="AH11" s="20">
        <v>139</v>
      </c>
      <c r="AI11" s="20">
        <f t="shared" si="13"/>
        <v>1887898</v>
      </c>
      <c r="AJ11" s="20">
        <v>35</v>
      </c>
      <c r="AK11" s="20">
        <f t="shared" si="14"/>
        <v>140000</v>
      </c>
      <c r="AL11" s="20">
        <v>34</v>
      </c>
      <c r="AM11" s="20">
        <f t="shared" si="15"/>
        <v>136000</v>
      </c>
      <c r="AN11" s="20">
        <v>10</v>
      </c>
      <c r="AO11" s="20">
        <f t="shared" si="16"/>
        <v>2163898</v>
      </c>
      <c r="AP11" s="20">
        <f t="shared" si="17"/>
        <v>208</v>
      </c>
      <c r="AQ11" s="34"/>
    </row>
    <row r="12" spans="1:43">
      <c r="A12" s="4" t="s">
        <v>16</v>
      </c>
      <c r="B12" s="22">
        <v>43224</v>
      </c>
      <c r="C12" s="23">
        <v>42</v>
      </c>
      <c r="D12" s="20">
        <v>293</v>
      </c>
      <c r="E12" s="21">
        <v>4.5</v>
      </c>
      <c r="F12" s="20">
        <f t="shared" si="0"/>
        <v>9000</v>
      </c>
      <c r="G12" s="20">
        <f t="shared" si="1"/>
        <v>9319500</v>
      </c>
      <c r="H12" s="20">
        <v>1.0099999999999909</v>
      </c>
      <c r="I12" s="20">
        <f t="shared" si="2"/>
        <v>2019.9999999999818</v>
      </c>
      <c r="J12" s="20">
        <f t="shared" si="3"/>
        <v>3137564.9999999716</v>
      </c>
      <c r="K12" s="20">
        <f t="shared" si="4"/>
        <v>12457064.999999972</v>
      </c>
      <c r="L12" s="20">
        <f t="shared" si="5"/>
        <v>13702771.49999997</v>
      </c>
      <c r="M12" s="34">
        <f t="shared" si="6"/>
        <v>11019.999999999982</v>
      </c>
      <c r="N12" s="33"/>
      <c r="O12" s="33">
        <v>102.74193548387096</v>
      </c>
      <c r="P12" s="33">
        <f t="shared" si="7"/>
        <v>1196943.5483870967</v>
      </c>
      <c r="Q12" s="33"/>
      <c r="R12" s="33">
        <v>29.35483870967742</v>
      </c>
      <c r="S12" s="33">
        <f t="shared" si="8"/>
        <v>341983.87096774194</v>
      </c>
      <c r="T12" s="33"/>
      <c r="U12" s="33">
        <v>10.274193548387098</v>
      </c>
      <c r="V12" s="33">
        <f t="shared" si="9"/>
        <v>119694.3548387097</v>
      </c>
      <c r="W12" s="33"/>
      <c r="X12" s="20">
        <v>4.403225806451613</v>
      </c>
      <c r="Y12" s="20">
        <f t="shared" si="10"/>
        <v>51297.580645161288</v>
      </c>
      <c r="Z12" s="20">
        <f t="shared" si="11"/>
        <v>146.7741935483871</v>
      </c>
      <c r="AA12" s="20">
        <f t="shared" si="12"/>
        <v>1709919.3548387098</v>
      </c>
      <c r="AB12" s="20"/>
      <c r="AC12" s="34"/>
      <c r="AD12" s="34"/>
      <c r="AE12" s="34">
        <v>10700</v>
      </c>
      <c r="AF12" s="34"/>
      <c r="AG12" s="20"/>
      <c r="AH12" s="20">
        <v>158</v>
      </c>
      <c r="AI12" s="20">
        <f t="shared" si="13"/>
        <v>2145956</v>
      </c>
      <c r="AJ12" s="20">
        <v>42</v>
      </c>
      <c r="AK12" s="20">
        <f t="shared" si="14"/>
        <v>168000</v>
      </c>
      <c r="AL12" s="20">
        <v>19</v>
      </c>
      <c r="AM12" s="20">
        <f t="shared" si="15"/>
        <v>76000</v>
      </c>
      <c r="AN12" s="20">
        <v>10</v>
      </c>
      <c r="AO12" s="20">
        <f t="shared" si="16"/>
        <v>2389956</v>
      </c>
      <c r="AP12" s="20">
        <f t="shared" si="17"/>
        <v>219</v>
      </c>
      <c r="AQ12" s="34"/>
    </row>
    <row r="13" spans="1:43">
      <c r="A13" s="4" t="s">
        <v>16</v>
      </c>
      <c r="B13" s="22">
        <v>43225</v>
      </c>
      <c r="C13" s="23">
        <v>41</v>
      </c>
      <c r="D13" s="20">
        <v>265</v>
      </c>
      <c r="E13" s="21">
        <v>4.7599999999997635</v>
      </c>
      <c r="F13" s="20">
        <f t="shared" si="0"/>
        <v>9519.9999999995271</v>
      </c>
      <c r="G13" s="20">
        <f t="shared" si="1"/>
        <v>9857959.9999995101</v>
      </c>
      <c r="H13" s="20">
        <v>1.0199999999999818</v>
      </c>
      <c r="I13" s="20">
        <f t="shared" si="2"/>
        <v>2039.9999999999636</v>
      </c>
      <c r="J13" s="20">
        <f t="shared" si="3"/>
        <v>3168629.9999999437</v>
      </c>
      <c r="K13" s="20">
        <f t="shared" si="4"/>
        <v>13026589.999999454</v>
      </c>
      <c r="L13" s="20">
        <f t="shared" si="5"/>
        <v>14329248.9999994</v>
      </c>
      <c r="M13" s="34">
        <f t="shared" si="6"/>
        <v>11559.999999999491</v>
      </c>
      <c r="N13" s="33"/>
      <c r="O13" s="33">
        <v>102.74193548387096</v>
      </c>
      <c r="P13" s="33">
        <f t="shared" si="7"/>
        <v>1196943.5483870967</v>
      </c>
      <c r="Q13" s="33"/>
      <c r="R13" s="33">
        <v>29.35483870967742</v>
      </c>
      <c r="S13" s="33">
        <f t="shared" si="8"/>
        <v>341983.87096774194</v>
      </c>
      <c r="T13" s="33"/>
      <c r="U13" s="33">
        <v>10.274193548387098</v>
      </c>
      <c r="V13" s="33">
        <f t="shared" si="9"/>
        <v>119694.3548387097</v>
      </c>
      <c r="W13" s="33"/>
      <c r="X13" s="20">
        <v>4.403225806451613</v>
      </c>
      <c r="Y13" s="20">
        <f t="shared" si="10"/>
        <v>51297.580645161288</v>
      </c>
      <c r="Z13" s="20">
        <f t="shared" si="11"/>
        <v>146.7741935483871</v>
      </c>
      <c r="AA13" s="20">
        <f t="shared" si="12"/>
        <v>1709919.3548387098</v>
      </c>
      <c r="AB13" s="20"/>
      <c r="AC13" s="34"/>
      <c r="AD13" s="34"/>
      <c r="AE13" s="34">
        <v>10700</v>
      </c>
      <c r="AF13" s="34"/>
      <c r="AG13" s="20"/>
      <c r="AH13" s="20">
        <v>161</v>
      </c>
      <c r="AI13" s="20">
        <f t="shared" si="13"/>
        <v>2186702</v>
      </c>
      <c r="AJ13" s="20">
        <v>49</v>
      </c>
      <c r="AK13" s="20">
        <f t="shared" si="14"/>
        <v>196000</v>
      </c>
      <c r="AL13" s="20">
        <v>14</v>
      </c>
      <c r="AM13" s="20">
        <f t="shared" si="15"/>
        <v>56000</v>
      </c>
      <c r="AN13" s="20">
        <v>10</v>
      </c>
      <c r="AO13" s="20">
        <f t="shared" si="16"/>
        <v>2438702</v>
      </c>
      <c r="AP13" s="20">
        <f t="shared" si="17"/>
        <v>224</v>
      </c>
      <c r="AQ13" s="34"/>
    </row>
    <row r="14" spans="1:43">
      <c r="A14" s="4" t="s">
        <v>16</v>
      </c>
      <c r="B14" s="22">
        <v>43226</v>
      </c>
      <c r="C14" s="63">
        <v>37</v>
      </c>
      <c r="D14" s="20">
        <v>261</v>
      </c>
      <c r="E14" s="21">
        <v>4.5399999999999636</v>
      </c>
      <c r="F14" s="20">
        <f t="shared" si="0"/>
        <v>9079.9999999999272</v>
      </c>
      <c r="G14" s="20">
        <f t="shared" si="1"/>
        <v>9402339.9999999255</v>
      </c>
      <c r="H14" s="20">
        <v>1.0199999999999818</v>
      </c>
      <c r="I14" s="20">
        <f t="shared" si="2"/>
        <v>2039.9999999999636</v>
      </c>
      <c r="J14" s="20">
        <f t="shared" si="3"/>
        <v>3168629.9999999437</v>
      </c>
      <c r="K14" s="20">
        <f t="shared" si="4"/>
        <v>12570969.99999987</v>
      </c>
      <c r="L14" s="20">
        <f t="shared" si="5"/>
        <v>13828066.999999858</v>
      </c>
      <c r="M14" s="34">
        <f t="shared" si="6"/>
        <v>11119.999999999891</v>
      </c>
      <c r="N14" s="33"/>
      <c r="O14" s="33">
        <v>102.74193548387096</v>
      </c>
      <c r="P14" s="33">
        <f t="shared" si="7"/>
        <v>1196943.5483870967</v>
      </c>
      <c r="Q14" s="33"/>
      <c r="R14" s="33">
        <v>29.35483870967742</v>
      </c>
      <c r="S14" s="33">
        <f t="shared" si="8"/>
        <v>341983.87096774194</v>
      </c>
      <c r="T14" s="33"/>
      <c r="U14" s="33">
        <v>10.274193548387098</v>
      </c>
      <c r="V14" s="33">
        <f t="shared" si="9"/>
        <v>119694.3548387097</v>
      </c>
      <c r="W14" s="33"/>
      <c r="X14" s="20">
        <v>4.403225806451613</v>
      </c>
      <c r="Y14" s="20">
        <f t="shared" si="10"/>
        <v>51297.580645161288</v>
      </c>
      <c r="Z14" s="20">
        <f t="shared" si="11"/>
        <v>146.7741935483871</v>
      </c>
      <c r="AA14" s="20">
        <f t="shared" si="12"/>
        <v>1709919.3548387098</v>
      </c>
      <c r="AB14" s="20"/>
      <c r="AC14" s="34">
        <v>40</v>
      </c>
      <c r="AD14" s="34"/>
      <c r="AE14" s="34">
        <v>10700</v>
      </c>
      <c r="AF14" s="34"/>
      <c r="AG14" s="20"/>
      <c r="AH14" s="20">
        <v>156</v>
      </c>
      <c r="AI14" s="20">
        <f t="shared" si="13"/>
        <v>2118792</v>
      </c>
      <c r="AJ14" s="20">
        <v>52</v>
      </c>
      <c r="AK14" s="20">
        <f t="shared" si="14"/>
        <v>208000</v>
      </c>
      <c r="AL14" s="20">
        <v>46</v>
      </c>
      <c r="AM14" s="20">
        <f t="shared" si="15"/>
        <v>184000</v>
      </c>
      <c r="AN14" s="20">
        <v>10</v>
      </c>
      <c r="AO14" s="20">
        <f t="shared" si="16"/>
        <v>2510792</v>
      </c>
      <c r="AP14" s="20">
        <f t="shared" si="17"/>
        <v>254</v>
      </c>
      <c r="AQ14" s="34"/>
    </row>
    <row r="15" spans="1:43">
      <c r="A15" s="4" t="s">
        <v>16</v>
      </c>
      <c r="B15" s="22">
        <v>43227</v>
      </c>
      <c r="C15" s="63">
        <v>38</v>
      </c>
      <c r="D15" s="20">
        <v>276</v>
      </c>
      <c r="E15" s="21">
        <v>4.6500000000000909</v>
      </c>
      <c r="F15" s="20">
        <f t="shared" si="0"/>
        <v>9300.0000000001819</v>
      </c>
      <c r="G15" s="20">
        <f t="shared" si="1"/>
        <v>9630150.0000001881</v>
      </c>
      <c r="H15" s="20">
        <v>1</v>
      </c>
      <c r="I15" s="20">
        <f t="shared" si="2"/>
        <v>2000</v>
      </c>
      <c r="J15" s="20">
        <f t="shared" si="3"/>
        <v>3106500</v>
      </c>
      <c r="K15" s="20">
        <f t="shared" si="4"/>
        <v>12736650.000000188</v>
      </c>
      <c r="L15" s="20">
        <f t="shared" si="5"/>
        <v>14010315.000000209</v>
      </c>
      <c r="M15" s="34">
        <f t="shared" si="6"/>
        <v>11300.000000000182</v>
      </c>
      <c r="N15" s="33"/>
      <c r="O15" s="33">
        <v>102.74193548387096</v>
      </c>
      <c r="P15" s="33">
        <f t="shared" si="7"/>
        <v>1196943.5483870967</v>
      </c>
      <c r="Q15" s="33"/>
      <c r="R15" s="33">
        <v>29.35483870967742</v>
      </c>
      <c r="S15" s="33">
        <f t="shared" si="8"/>
        <v>341983.87096774194</v>
      </c>
      <c r="T15" s="33"/>
      <c r="U15" s="33">
        <v>10.274193548387098</v>
      </c>
      <c r="V15" s="33">
        <f t="shared" si="9"/>
        <v>119694.3548387097</v>
      </c>
      <c r="W15" s="33"/>
      <c r="X15" s="20">
        <v>4.403225806451613</v>
      </c>
      <c r="Y15" s="20">
        <f t="shared" si="10"/>
        <v>51297.580645161288</v>
      </c>
      <c r="Z15" s="20">
        <f t="shared" si="11"/>
        <v>146.7741935483871</v>
      </c>
      <c r="AA15" s="20">
        <f t="shared" si="12"/>
        <v>1709919.3548387098</v>
      </c>
      <c r="AB15" s="20"/>
      <c r="AC15" s="34"/>
      <c r="AD15" s="34"/>
      <c r="AE15" s="34">
        <v>10700</v>
      </c>
      <c r="AF15" s="34"/>
      <c r="AG15" s="20"/>
      <c r="AH15" s="20">
        <v>130</v>
      </c>
      <c r="AI15" s="20">
        <f t="shared" si="13"/>
        <v>1765660</v>
      </c>
      <c r="AJ15" s="20">
        <v>39</v>
      </c>
      <c r="AK15" s="20">
        <f t="shared" si="14"/>
        <v>156000</v>
      </c>
      <c r="AL15" s="20">
        <v>58</v>
      </c>
      <c r="AM15" s="20">
        <f t="shared" si="15"/>
        <v>232000</v>
      </c>
      <c r="AN15" s="20">
        <v>10</v>
      </c>
      <c r="AO15" s="20">
        <f t="shared" si="16"/>
        <v>2153660</v>
      </c>
      <c r="AP15" s="20">
        <f t="shared" si="17"/>
        <v>227</v>
      </c>
      <c r="AQ15" s="34"/>
    </row>
    <row r="16" spans="1:43">
      <c r="A16" s="4" t="s">
        <v>16</v>
      </c>
      <c r="B16" s="22">
        <v>43228</v>
      </c>
      <c r="C16" s="63">
        <v>39</v>
      </c>
      <c r="D16" s="20">
        <v>244</v>
      </c>
      <c r="E16" s="21">
        <v>4.5100000000002183</v>
      </c>
      <c r="F16" s="20">
        <f t="shared" si="0"/>
        <v>9020.0000000004366</v>
      </c>
      <c r="G16" s="20">
        <f t="shared" si="1"/>
        <v>9340210.0000004526</v>
      </c>
      <c r="H16" s="20">
        <v>1.0200000000000955</v>
      </c>
      <c r="I16" s="20">
        <f t="shared" si="2"/>
        <v>2040.000000000191</v>
      </c>
      <c r="J16" s="20">
        <f t="shared" si="3"/>
        <v>3168630.0000002966</v>
      </c>
      <c r="K16" s="20">
        <f t="shared" si="4"/>
        <v>12508840.000000749</v>
      </c>
      <c r="L16" s="20">
        <f t="shared" si="5"/>
        <v>13759724.000000825</v>
      </c>
      <c r="M16" s="34">
        <f t="shared" si="6"/>
        <v>11060.000000000628</v>
      </c>
      <c r="N16" s="33"/>
      <c r="O16" s="33">
        <v>102.74193548387096</v>
      </c>
      <c r="P16" s="33">
        <f t="shared" si="7"/>
        <v>1196943.5483870967</v>
      </c>
      <c r="Q16" s="33"/>
      <c r="R16" s="33">
        <v>29.35483870967742</v>
      </c>
      <c r="S16" s="33">
        <f t="shared" si="8"/>
        <v>341983.87096774194</v>
      </c>
      <c r="T16" s="33"/>
      <c r="U16" s="33">
        <v>10.274193548387098</v>
      </c>
      <c r="V16" s="33">
        <f t="shared" si="9"/>
        <v>119694.3548387097</v>
      </c>
      <c r="W16" s="33"/>
      <c r="X16" s="20">
        <v>4.403225806451613</v>
      </c>
      <c r="Y16" s="20">
        <f t="shared" si="10"/>
        <v>51297.580645161288</v>
      </c>
      <c r="Z16" s="20">
        <f t="shared" si="11"/>
        <v>146.7741935483871</v>
      </c>
      <c r="AA16" s="20">
        <f t="shared" si="12"/>
        <v>1709919.3548387098</v>
      </c>
      <c r="AB16" s="20"/>
      <c r="AC16" s="34"/>
      <c r="AD16" s="34"/>
      <c r="AE16" s="34">
        <v>10700</v>
      </c>
      <c r="AF16" s="34"/>
      <c r="AG16" s="20"/>
      <c r="AH16" s="20">
        <v>120</v>
      </c>
      <c r="AI16" s="20">
        <f t="shared" si="13"/>
        <v>1629840</v>
      </c>
      <c r="AJ16" s="20">
        <v>79</v>
      </c>
      <c r="AK16" s="20">
        <f t="shared" si="14"/>
        <v>316000</v>
      </c>
      <c r="AL16" s="20">
        <v>57</v>
      </c>
      <c r="AM16" s="20">
        <f t="shared" si="15"/>
        <v>228000</v>
      </c>
      <c r="AN16" s="20">
        <v>10</v>
      </c>
      <c r="AO16" s="20">
        <f t="shared" si="16"/>
        <v>2173840</v>
      </c>
      <c r="AP16" s="20">
        <f t="shared" si="17"/>
        <v>256</v>
      </c>
      <c r="AQ16" s="34"/>
    </row>
    <row r="17" spans="1:43">
      <c r="A17" s="4" t="s">
        <v>16</v>
      </c>
      <c r="B17" s="22">
        <v>43229</v>
      </c>
      <c r="C17" s="63">
        <v>37</v>
      </c>
      <c r="D17" s="33">
        <v>292</v>
      </c>
      <c r="E17" s="21">
        <v>4.569999999999709</v>
      </c>
      <c r="F17" s="20">
        <f t="shared" si="0"/>
        <v>9139.9999999994179</v>
      </c>
      <c r="G17" s="20">
        <f t="shared" si="1"/>
        <v>9464469.9999993965</v>
      </c>
      <c r="H17" s="20">
        <v>0.98999999999989541</v>
      </c>
      <c r="I17" s="20">
        <f t="shared" si="2"/>
        <v>1979.9999999997908</v>
      </c>
      <c r="J17" s="20">
        <f t="shared" si="3"/>
        <v>3075434.999999675</v>
      </c>
      <c r="K17" s="20">
        <f t="shared" si="4"/>
        <v>12539904.999999072</v>
      </c>
      <c r="L17" s="20">
        <f t="shared" si="5"/>
        <v>13793895.499998981</v>
      </c>
      <c r="M17" s="34">
        <f t="shared" si="6"/>
        <v>11119.999999999209</v>
      </c>
      <c r="N17" s="33"/>
      <c r="O17" s="33">
        <v>102.74193548387096</v>
      </c>
      <c r="P17" s="33">
        <f t="shared" si="7"/>
        <v>1196943.5483870967</v>
      </c>
      <c r="Q17" s="33"/>
      <c r="R17" s="33">
        <v>29.35483870967742</v>
      </c>
      <c r="S17" s="33">
        <f t="shared" si="8"/>
        <v>341983.87096774194</v>
      </c>
      <c r="T17" s="33"/>
      <c r="U17" s="33">
        <v>10.274193548387098</v>
      </c>
      <c r="V17" s="33">
        <f t="shared" si="9"/>
        <v>119694.3548387097</v>
      </c>
      <c r="W17" s="33"/>
      <c r="X17" s="20">
        <v>4.403225806451613</v>
      </c>
      <c r="Y17" s="20">
        <f t="shared" si="10"/>
        <v>51297.580645161288</v>
      </c>
      <c r="Z17" s="20">
        <f t="shared" si="11"/>
        <v>146.7741935483871</v>
      </c>
      <c r="AA17" s="20">
        <f t="shared" si="12"/>
        <v>1709919.3548387098</v>
      </c>
      <c r="AB17" s="20"/>
      <c r="AC17" s="34"/>
      <c r="AD17" s="34"/>
      <c r="AE17" s="34">
        <v>10700</v>
      </c>
      <c r="AF17" s="34"/>
      <c r="AG17" s="20"/>
      <c r="AH17" s="20">
        <v>128</v>
      </c>
      <c r="AI17" s="20">
        <f t="shared" si="13"/>
        <v>1738496</v>
      </c>
      <c r="AJ17" s="20">
        <v>48</v>
      </c>
      <c r="AK17" s="20">
        <f t="shared" si="14"/>
        <v>192000</v>
      </c>
      <c r="AL17" s="20">
        <v>53</v>
      </c>
      <c r="AM17" s="20">
        <f t="shared" si="15"/>
        <v>212000</v>
      </c>
      <c r="AN17" s="20">
        <v>10</v>
      </c>
      <c r="AO17" s="20">
        <f t="shared" si="16"/>
        <v>2142496</v>
      </c>
      <c r="AP17" s="20">
        <f t="shared" si="17"/>
        <v>229</v>
      </c>
      <c r="AQ17" s="34"/>
    </row>
    <row r="18" spans="1:43">
      <c r="A18" s="4" t="s">
        <v>16</v>
      </c>
      <c r="B18" s="22">
        <v>43230</v>
      </c>
      <c r="C18" s="63">
        <v>33</v>
      </c>
      <c r="D18" s="33">
        <v>276</v>
      </c>
      <c r="E18" s="21">
        <v>4.5700000000001637</v>
      </c>
      <c r="F18" s="20">
        <f t="shared" si="0"/>
        <v>9140.0000000003274</v>
      </c>
      <c r="G18" s="20">
        <f t="shared" si="1"/>
        <v>9464470.000000339</v>
      </c>
      <c r="H18" s="20">
        <v>0.88000000000010914</v>
      </c>
      <c r="I18" s="20">
        <f t="shared" si="2"/>
        <v>1760.0000000002183</v>
      </c>
      <c r="J18" s="20">
        <f t="shared" si="3"/>
        <v>2733720.000000339</v>
      </c>
      <c r="K18" s="20">
        <f t="shared" si="4"/>
        <v>12198190.000000678</v>
      </c>
      <c r="L18" s="20">
        <f t="shared" si="5"/>
        <v>13418009.000000747</v>
      </c>
      <c r="M18" s="34">
        <f t="shared" si="6"/>
        <v>10900.000000000546</v>
      </c>
      <c r="N18" s="33"/>
      <c r="O18" s="33">
        <v>102.74193548387096</v>
      </c>
      <c r="P18" s="33">
        <f t="shared" si="7"/>
        <v>1196943.5483870967</v>
      </c>
      <c r="Q18" s="33"/>
      <c r="R18" s="33">
        <v>29.35483870967742</v>
      </c>
      <c r="S18" s="33">
        <f t="shared" si="8"/>
        <v>341983.87096774194</v>
      </c>
      <c r="T18" s="33"/>
      <c r="U18" s="33">
        <v>10.274193548387098</v>
      </c>
      <c r="V18" s="33">
        <f t="shared" si="9"/>
        <v>119694.3548387097</v>
      </c>
      <c r="W18" s="33"/>
      <c r="X18" s="20">
        <v>4.403225806451613</v>
      </c>
      <c r="Y18" s="20">
        <f t="shared" si="10"/>
        <v>51297.580645161288</v>
      </c>
      <c r="Z18" s="20">
        <f t="shared" si="11"/>
        <v>146.7741935483871</v>
      </c>
      <c r="AA18" s="20">
        <f t="shared" si="12"/>
        <v>1709919.3548387098</v>
      </c>
      <c r="AB18" s="20"/>
      <c r="AC18" s="34"/>
      <c r="AD18" s="34"/>
      <c r="AE18" s="34">
        <v>10700</v>
      </c>
      <c r="AF18" s="34"/>
      <c r="AG18" s="20"/>
      <c r="AH18" s="20">
        <v>131</v>
      </c>
      <c r="AI18" s="20">
        <f t="shared" si="13"/>
        <v>1779242</v>
      </c>
      <c r="AJ18" s="20">
        <v>40</v>
      </c>
      <c r="AK18" s="20">
        <f t="shared" si="14"/>
        <v>160000</v>
      </c>
      <c r="AL18" s="20">
        <v>45</v>
      </c>
      <c r="AM18" s="20">
        <f t="shared" si="15"/>
        <v>180000</v>
      </c>
      <c r="AN18" s="20">
        <v>10</v>
      </c>
      <c r="AO18" s="20">
        <f t="shared" si="16"/>
        <v>2119242</v>
      </c>
      <c r="AP18" s="20">
        <f t="shared" si="17"/>
        <v>216</v>
      </c>
      <c r="AQ18" s="34"/>
    </row>
    <row r="19" spans="1:43">
      <c r="A19" s="4" t="s">
        <v>16</v>
      </c>
      <c r="B19" s="22">
        <v>43231</v>
      </c>
      <c r="C19" s="63">
        <v>39</v>
      </c>
      <c r="D19" s="33">
        <v>220</v>
      </c>
      <c r="E19" s="21">
        <v>4.7799999999997453</v>
      </c>
      <c r="F19" s="20">
        <f t="shared" si="0"/>
        <v>9559.9999999994907</v>
      </c>
      <c r="G19" s="20">
        <f t="shared" si="1"/>
        <v>9899379.9999994729</v>
      </c>
      <c r="H19" s="20">
        <v>1.1399999999999864</v>
      </c>
      <c r="I19" s="20">
        <f t="shared" si="2"/>
        <v>2279.9999999999727</v>
      </c>
      <c r="J19" s="20">
        <f t="shared" si="3"/>
        <v>3541409.9999999576</v>
      </c>
      <c r="K19" s="20">
        <f t="shared" si="4"/>
        <v>13440789.99999943</v>
      </c>
      <c r="L19" s="20">
        <f t="shared" si="5"/>
        <v>14784868.999999374</v>
      </c>
      <c r="M19" s="34">
        <f t="shared" si="6"/>
        <v>11839.999999999463</v>
      </c>
      <c r="N19" s="33"/>
      <c r="O19" s="33">
        <v>102.74193548387096</v>
      </c>
      <c r="P19" s="33">
        <f t="shared" si="7"/>
        <v>1196943.5483870967</v>
      </c>
      <c r="Q19" s="33"/>
      <c r="R19" s="33">
        <v>29.35483870967742</v>
      </c>
      <c r="S19" s="33">
        <f t="shared" si="8"/>
        <v>341983.87096774194</v>
      </c>
      <c r="T19" s="33"/>
      <c r="U19" s="33">
        <v>10.274193548387098</v>
      </c>
      <c r="V19" s="33">
        <f t="shared" si="9"/>
        <v>119694.3548387097</v>
      </c>
      <c r="W19" s="33"/>
      <c r="X19" s="20">
        <v>4.403225806451613</v>
      </c>
      <c r="Y19" s="20">
        <f t="shared" si="10"/>
        <v>51297.580645161288</v>
      </c>
      <c r="Z19" s="20">
        <f t="shared" si="11"/>
        <v>146.7741935483871</v>
      </c>
      <c r="AA19" s="20">
        <f t="shared" si="12"/>
        <v>1709919.3548387098</v>
      </c>
      <c r="AB19" s="20"/>
      <c r="AC19" s="34"/>
      <c r="AD19" s="34"/>
      <c r="AE19" s="34">
        <v>10700</v>
      </c>
      <c r="AF19" s="34"/>
      <c r="AG19" s="20"/>
      <c r="AH19" s="20">
        <v>134</v>
      </c>
      <c r="AI19" s="20">
        <f t="shared" si="13"/>
        <v>1819988</v>
      </c>
      <c r="AJ19" s="20">
        <v>54</v>
      </c>
      <c r="AK19" s="20">
        <f t="shared" si="14"/>
        <v>216000</v>
      </c>
      <c r="AL19" s="20">
        <v>58</v>
      </c>
      <c r="AM19" s="20">
        <f t="shared" si="15"/>
        <v>232000</v>
      </c>
      <c r="AN19" s="20">
        <v>10</v>
      </c>
      <c r="AO19" s="20">
        <f t="shared" si="16"/>
        <v>2267988</v>
      </c>
      <c r="AP19" s="20">
        <f t="shared" si="17"/>
        <v>246</v>
      </c>
      <c r="AQ19" s="34"/>
    </row>
    <row r="20" spans="1:43">
      <c r="A20" s="4" t="s">
        <v>16</v>
      </c>
      <c r="B20" s="22">
        <v>43232</v>
      </c>
      <c r="C20" s="63">
        <v>36</v>
      </c>
      <c r="D20" s="33">
        <v>269</v>
      </c>
      <c r="E20" s="21">
        <v>4.580000000000382</v>
      </c>
      <c r="F20" s="20">
        <f t="shared" si="0"/>
        <v>9160.000000000764</v>
      </c>
      <c r="G20" s="20">
        <f t="shared" si="1"/>
        <v>9485180.0000007916</v>
      </c>
      <c r="H20" s="20">
        <v>0.99000000000000909</v>
      </c>
      <c r="I20" s="20">
        <f t="shared" si="2"/>
        <v>1980.0000000000182</v>
      </c>
      <c r="J20" s="20">
        <f t="shared" si="3"/>
        <v>3075435.0000000284</v>
      </c>
      <c r="K20" s="20">
        <f t="shared" si="4"/>
        <v>12560615.00000082</v>
      </c>
      <c r="L20" s="20">
        <f t="shared" si="5"/>
        <v>13816676.500000903</v>
      </c>
      <c r="M20" s="34">
        <f t="shared" si="6"/>
        <v>11140.000000000782</v>
      </c>
      <c r="N20" s="33"/>
      <c r="O20" s="33">
        <v>102.74193548387096</v>
      </c>
      <c r="P20" s="33">
        <f t="shared" si="7"/>
        <v>1196943.5483870967</v>
      </c>
      <c r="Q20" s="33"/>
      <c r="R20" s="33">
        <v>29.35483870967742</v>
      </c>
      <c r="S20" s="33">
        <f t="shared" si="8"/>
        <v>341983.87096774194</v>
      </c>
      <c r="T20" s="33"/>
      <c r="U20" s="33">
        <v>10.274193548387098</v>
      </c>
      <c r="V20" s="33">
        <f t="shared" si="9"/>
        <v>119694.3548387097</v>
      </c>
      <c r="W20" s="33"/>
      <c r="X20" s="20">
        <v>4.403225806451613</v>
      </c>
      <c r="Y20" s="20">
        <f t="shared" si="10"/>
        <v>51297.580645161288</v>
      </c>
      <c r="Z20" s="20">
        <f t="shared" si="11"/>
        <v>146.7741935483871</v>
      </c>
      <c r="AA20" s="20">
        <f t="shared" si="12"/>
        <v>1709919.3548387098</v>
      </c>
      <c r="AB20" s="20"/>
      <c r="AC20" s="34">
        <v>40</v>
      </c>
      <c r="AD20" s="34"/>
      <c r="AE20" s="34">
        <v>10700</v>
      </c>
      <c r="AF20" s="34"/>
      <c r="AG20" s="20"/>
      <c r="AH20" s="20">
        <v>121</v>
      </c>
      <c r="AI20" s="20">
        <f t="shared" si="13"/>
        <v>1643422</v>
      </c>
      <c r="AJ20" s="20">
        <v>46</v>
      </c>
      <c r="AK20" s="20">
        <f t="shared" si="14"/>
        <v>184000</v>
      </c>
      <c r="AL20" s="20">
        <v>54</v>
      </c>
      <c r="AM20" s="20">
        <f t="shared" si="15"/>
        <v>216000</v>
      </c>
      <c r="AN20" s="20">
        <v>10</v>
      </c>
      <c r="AO20" s="20">
        <f t="shared" si="16"/>
        <v>2043422</v>
      </c>
      <c r="AP20" s="20">
        <f t="shared" si="17"/>
        <v>221</v>
      </c>
      <c r="AQ20" s="34"/>
    </row>
    <row r="21" spans="1:43">
      <c r="A21" s="4" t="s">
        <v>16</v>
      </c>
      <c r="B21" s="22">
        <v>43233</v>
      </c>
      <c r="C21" s="63">
        <v>38</v>
      </c>
      <c r="D21" s="33">
        <v>280</v>
      </c>
      <c r="E21" s="21">
        <v>4.5899999999996908</v>
      </c>
      <c r="F21" s="20">
        <f t="shared" si="0"/>
        <v>9179.9999999993815</v>
      </c>
      <c r="G21" s="20">
        <f t="shared" si="1"/>
        <v>9505889.9999993593</v>
      </c>
      <c r="H21" s="20">
        <v>0.92999999999994998</v>
      </c>
      <c r="I21" s="20">
        <f t="shared" si="2"/>
        <v>1859.9999999999</v>
      </c>
      <c r="J21" s="20">
        <f t="shared" si="3"/>
        <v>2889044.9999998445</v>
      </c>
      <c r="K21" s="20">
        <f t="shared" si="4"/>
        <v>12394934.999999203</v>
      </c>
      <c r="L21" s="20">
        <f t="shared" si="5"/>
        <v>13634428.499999125</v>
      </c>
      <c r="M21" s="34">
        <f t="shared" si="6"/>
        <v>11039.999999999281</v>
      </c>
      <c r="N21" s="33"/>
      <c r="O21" s="33">
        <v>102.74193548387096</v>
      </c>
      <c r="P21" s="33">
        <f t="shared" si="7"/>
        <v>1196943.5483870967</v>
      </c>
      <c r="Q21" s="33"/>
      <c r="R21" s="33">
        <v>29.35483870967742</v>
      </c>
      <c r="S21" s="33">
        <f t="shared" si="8"/>
        <v>341983.87096774194</v>
      </c>
      <c r="T21" s="33"/>
      <c r="U21" s="33">
        <v>10.274193548387098</v>
      </c>
      <c r="V21" s="33">
        <f t="shared" si="9"/>
        <v>119694.3548387097</v>
      </c>
      <c r="W21" s="33"/>
      <c r="X21" s="20">
        <v>4.403225806451613</v>
      </c>
      <c r="Y21" s="20">
        <f t="shared" si="10"/>
        <v>51297.580645161288</v>
      </c>
      <c r="Z21" s="20">
        <f t="shared" si="11"/>
        <v>146.7741935483871</v>
      </c>
      <c r="AA21" s="20">
        <f t="shared" si="12"/>
        <v>1709919.3548387098</v>
      </c>
      <c r="AB21" s="20"/>
      <c r="AC21" s="34"/>
      <c r="AD21" s="34"/>
      <c r="AE21" s="34">
        <v>10700</v>
      </c>
      <c r="AF21" s="34"/>
      <c r="AG21" s="20"/>
      <c r="AH21" s="20">
        <v>116</v>
      </c>
      <c r="AI21" s="20">
        <f t="shared" si="13"/>
        <v>1575512</v>
      </c>
      <c r="AJ21" s="20">
        <v>48</v>
      </c>
      <c r="AK21" s="20">
        <f t="shared" si="14"/>
        <v>192000</v>
      </c>
      <c r="AL21" s="20">
        <v>51</v>
      </c>
      <c r="AM21" s="20">
        <f t="shared" si="15"/>
        <v>204000</v>
      </c>
      <c r="AN21" s="20">
        <v>10</v>
      </c>
      <c r="AO21" s="20">
        <f t="shared" si="16"/>
        <v>1971512</v>
      </c>
      <c r="AP21" s="20">
        <f t="shared" si="17"/>
        <v>215</v>
      </c>
      <c r="AQ21" s="34"/>
    </row>
    <row r="22" spans="1:43">
      <c r="A22" s="4" t="s">
        <v>16</v>
      </c>
      <c r="B22" s="22">
        <v>43234</v>
      </c>
      <c r="C22" s="63">
        <v>33</v>
      </c>
      <c r="D22" s="33">
        <v>238</v>
      </c>
      <c r="E22" s="21">
        <v>4.680000000000291</v>
      </c>
      <c r="F22" s="20">
        <f t="shared" si="0"/>
        <v>9360.0000000005821</v>
      </c>
      <c r="G22" s="20">
        <f t="shared" si="1"/>
        <v>9692280.0000006035</v>
      </c>
      <c r="H22" s="20">
        <v>1.0399999999999636</v>
      </c>
      <c r="I22" s="20">
        <f t="shared" si="2"/>
        <v>2079.9999999999272</v>
      </c>
      <c r="J22" s="20">
        <f t="shared" si="3"/>
        <v>3230759.9999998868</v>
      </c>
      <c r="K22" s="20">
        <f t="shared" si="4"/>
        <v>12923040.00000049</v>
      </c>
      <c r="L22" s="20">
        <f t="shared" si="5"/>
        <v>14215344.00000054</v>
      </c>
      <c r="M22" s="34">
        <f t="shared" si="6"/>
        <v>11440.000000000509</v>
      </c>
      <c r="N22" s="33"/>
      <c r="O22" s="33">
        <v>102.74193548387096</v>
      </c>
      <c r="P22" s="33">
        <f t="shared" si="7"/>
        <v>1196943.5483870967</v>
      </c>
      <c r="Q22" s="33"/>
      <c r="R22" s="33">
        <v>29.35483870967742</v>
      </c>
      <c r="S22" s="33">
        <f t="shared" si="8"/>
        <v>341983.87096774194</v>
      </c>
      <c r="T22" s="33"/>
      <c r="U22" s="33">
        <v>10.274193548387098</v>
      </c>
      <c r="V22" s="33">
        <f t="shared" si="9"/>
        <v>119694.3548387097</v>
      </c>
      <c r="W22" s="33"/>
      <c r="X22" s="20">
        <v>4.403225806451613</v>
      </c>
      <c r="Y22" s="20">
        <f t="shared" si="10"/>
        <v>51297.580645161288</v>
      </c>
      <c r="Z22" s="20">
        <f t="shared" si="11"/>
        <v>146.7741935483871</v>
      </c>
      <c r="AA22" s="20">
        <f t="shared" si="12"/>
        <v>1709919.3548387098</v>
      </c>
      <c r="AB22" s="20"/>
      <c r="AC22" s="34"/>
      <c r="AD22" s="34"/>
      <c r="AE22" s="34">
        <v>10700</v>
      </c>
      <c r="AF22" s="34"/>
      <c r="AG22" s="20"/>
      <c r="AH22" s="20">
        <v>108</v>
      </c>
      <c r="AI22" s="20">
        <f t="shared" si="13"/>
        <v>1466856</v>
      </c>
      <c r="AJ22" s="20">
        <v>49</v>
      </c>
      <c r="AK22" s="20">
        <f t="shared" si="14"/>
        <v>196000</v>
      </c>
      <c r="AL22" s="20">
        <v>52</v>
      </c>
      <c r="AM22" s="20">
        <f t="shared" si="15"/>
        <v>208000</v>
      </c>
      <c r="AN22" s="20">
        <v>10</v>
      </c>
      <c r="AO22" s="20">
        <f t="shared" si="16"/>
        <v>1870856</v>
      </c>
      <c r="AP22" s="20">
        <f t="shared" si="17"/>
        <v>209</v>
      </c>
      <c r="AQ22" s="34"/>
    </row>
    <row r="23" spans="1:43">
      <c r="A23" s="4" t="s">
        <v>16</v>
      </c>
      <c r="B23" s="22">
        <v>43235</v>
      </c>
      <c r="C23" s="63">
        <v>36</v>
      </c>
      <c r="D23" s="33">
        <v>241</v>
      </c>
      <c r="E23" s="21">
        <v>4.6199999999998909</v>
      </c>
      <c r="F23" s="20">
        <f t="shared" si="0"/>
        <v>9239.9999999997817</v>
      </c>
      <c r="G23" s="20">
        <f t="shared" si="1"/>
        <v>9568019.9999997746</v>
      </c>
      <c r="H23" s="20">
        <v>1</v>
      </c>
      <c r="I23" s="20">
        <f t="shared" si="2"/>
        <v>2000</v>
      </c>
      <c r="J23" s="20">
        <f t="shared" si="3"/>
        <v>3106500</v>
      </c>
      <c r="K23" s="20">
        <f t="shared" si="4"/>
        <v>12674519.999999775</v>
      </c>
      <c r="L23" s="20">
        <f t="shared" si="5"/>
        <v>13941971.999999754</v>
      </c>
      <c r="M23" s="34">
        <f t="shared" si="6"/>
        <v>11239.999999999782</v>
      </c>
      <c r="N23" s="33"/>
      <c r="O23" s="33">
        <v>102.74193548387096</v>
      </c>
      <c r="P23" s="33">
        <f t="shared" si="7"/>
        <v>1196943.5483870967</v>
      </c>
      <c r="Q23" s="33"/>
      <c r="R23" s="33">
        <v>29.35483870967742</v>
      </c>
      <c r="S23" s="33">
        <f t="shared" si="8"/>
        <v>341983.87096774194</v>
      </c>
      <c r="T23" s="33"/>
      <c r="U23" s="33">
        <v>10.274193548387098</v>
      </c>
      <c r="V23" s="33">
        <f t="shared" si="9"/>
        <v>119694.3548387097</v>
      </c>
      <c r="W23" s="33"/>
      <c r="X23" s="20">
        <v>4.403225806451613</v>
      </c>
      <c r="Y23" s="20">
        <f t="shared" si="10"/>
        <v>51297.580645161288</v>
      </c>
      <c r="Z23" s="20">
        <f t="shared" si="11"/>
        <v>146.7741935483871</v>
      </c>
      <c r="AA23" s="20">
        <f t="shared" si="12"/>
        <v>1709919.3548387098</v>
      </c>
      <c r="AB23" s="20"/>
      <c r="AC23" s="34"/>
      <c r="AD23" s="34"/>
      <c r="AE23" s="34">
        <v>10700</v>
      </c>
      <c r="AF23" s="34"/>
      <c r="AG23" s="20"/>
      <c r="AH23" s="20">
        <v>95</v>
      </c>
      <c r="AI23" s="20">
        <f t="shared" si="13"/>
        <v>1290290</v>
      </c>
      <c r="AJ23" s="20">
        <v>40</v>
      </c>
      <c r="AK23" s="20">
        <f t="shared" si="14"/>
        <v>160000</v>
      </c>
      <c r="AL23" s="20">
        <v>45</v>
      </c>
      <c r="AM23" s="20">
        <f t="shared" si="15"/>
        <v>180000</v>
      </c>
      <c r="AN23" s="20">
        <v>10</v>
      </c>
      <c r="AO23" s="20">
        <f t="shared" si="16"/>
        <v>1630290</v>
      </c>
      <c r="AP23" s="20">
        <f t="shared" si="17"/>
        <v>180</v>
      </c>
      <c r="AQ23" s="34"/>
    </row>
    <row r="24" spans="1:43">
      <c r="A24" s="4" t="s">
        <v>16</v>
      </c>
      <c r="B24" s="22">
        <v>43236</v>
      </c>
      <c r="C24" s="23">
        <v>34</v>
      </c>
      <c r="D24" s="33">
        <v>187</v>
      </c>
      <c r="E24" s="21">
        <v>4.3400000000001455</v>
      </c>
      <c r="F24" s="20">
        <f t="shared" si="0"/>
        <v>8680.000000000291</v>
      </c>
      <c r="G24" s="20">
        <f t="shared" si="1"/>
        <v>8988140.0000003017</v>
      </c>
      <c r="H24" s="20">
        <v>0.97000000000002728</v>
      </c>
      <c r="I24" s="20">
        <f t="shared" si="2"/>
        <v>1940.0000000000546</v>
      </c>
      <c r="J24" s="20">
        <f t="shared" si="3"/>
        <v>3013305.0000000848</v>
      </c>
      <c r="K24" s="20">
        <f t="shared" si="4"/>
        <v>12001445.000000387</v>
      </c>
      <c r="L24" s="20">
        <f t="shared" si="5"/>
        <v>13201589.500000427</v>
      </c>
      <c r="M24" s="34">
        <f t="shared" si="6"/>
        <v>10620.000000000346</v>
      </c>
      <c r="N24" s="33"/>
      <c r="O24" s="33">
        <v>102.74193548387096</v>
      </c>
      <c r="P24" s="33">
        <f t="shared" si="7"/>
        <v>1196943.5483870967</v>
      </c>
      <c r="Q24" s="33"/>
      <c r="R24" s="33">
        <v>29.35483870967742</v>
      </c>
      <c r="S24" s="33">
        <f t="shared" si="8"/>
        <v>341983.87096774194</v>
      </c>
      <c r="T24" s="33"/>
      <c r="U24" s="33">
        <v>10.274193548387098</v>
      </c>
      <c r="V24" s="33">
        <f t="shared" si="9"/>
        <v>119694.3548387097</v>
      </c>
      <c r="W24" s="33"/>
      <c r="X24" s="20">
        <v>4.403225806451613</v>
      </c>
      <c r="Y24" s="20">
        <f t="shared" si="10"/>
        <v>51297.580645161288</v>
      </c>
      <c r="Z24" s="20">
        <f t="shared" si="11"/>
        <v>146.7741935483871</v>
      </c>
      <c r="AA24" s="20">
        <f t="shared" si="12"/>
        <v>1709919.3548387098</v>
      </c>
      <c r="AB24" s="20"/>
      <c r="AC24" s="34"/>
      <c r="AD24" s="34"/>
      <c r="AE24" s="34">
        <v>10700</v>
      </c>
      <c r="AF24" s="34"/>
      <c r="AG24" s="20"/>
      <c r="AH24" s="20">
        <v>107</v>
      </c>
      <c r="AI24" s="20">
        <f t="shared" si="13"/>
        <v>1453274</v>
      </c>
      <c r="AJ24" s="20">
        <v>49</v>
      </c>
      <c r="AK24" s="20">
        <f t="shared" si="14"/>
        <v>196000</v>
      </c>
      <c r="AL24" s="20">
        <v>52</v>
      </c>
      <c r="AM24" s="20">
        <f t="shared" si="15"/>
        <v>208000</v>
      </c>
      <c r="AN24" s="20">
        <v>10</v>
      </c>
      <c r="AO24" s="20">
        <f t="shared" si="16"/>
        <v>1857274</v>
      </c>
      <c r="AP24" s="20">
        <f t="shared" si="17"/>
        <v>208</v>
      </c>
      <c r="AQ24" s="34"/>
    </row>
    <row r="25" spans="1:43">
      <c r="A25" s="4" t="s">
        <v>16</v>
      </c>
      <c r="B25" s="22">
        <v>43237</v>
      </c>
      <c r="C25" s="23">
        <v>26</v>
      </c>
      <c r="D25" s="33">
        <v>217</v>
      </c>
      <c r="E25" s="21">
        <v>4.3799999999996544</v>
      </c>
      <c r="F25" s="20">
        <f t="shared" si="0"/>
        <v>8759.9999999993088</v>
      </c>
      <c r="G25" s="20">
        <f t="shared" si="1"/>
        <v>9070979.9999992847</v>
      </c>
      <c r="H25" s="20">
        <v>0.93000000000006366</v>
      </c>
      <c r="I25" s="20">
        <f t="shared" si="2"/>
        <v>1860.0000000001273</v>
      </c>
      <c r="J25" s="20">
        <f t="shared" si="3"/>
        <v>2889045.0000001979</v>
      </c>
      <c r="K25" s="20">
        <f t="shared" si="4"/>
        <v>11960024.999999482</v>
      </c>
      <c r="L25" s="20">
        <f t="shared" si="5"/>
        <v>13156027.499999432</v>
      </c>
      <c r="M25" s="34">
        <f t="shared" si="6"/>
        <v>10619.999999999436</v>
      </c>
      <c r="N25" s="33"/>
      <c r="O25" s="33">
        <v>102.74193548387096</v>
      </c>
      <c r="P25" s="33">
        <f t="shared" si="7"/>
        <v>1196943.5483870967</v>
      </c>
      <c r="Q25" s="33"/>
      <c r="R25" s="33">
        <v>29.35483870967742</v>
      </c>
      <c r="S25" s="33">
        <f t="shared" si="8"/>
        <v>341983.87096774194</v>
      </c>
      <c r="T25" s="33"/>
      <c r="U25" s="33">
        <v>10.274193548387098</v>
      </c>
      <c r="V25" s="33">
        <f t="shared" si="9"/>
        <v>119694.3548387097</v>
      </c>
      <c r="W25" s="33"/>
      <c r="X25" s="20">
        <v>4.403225806451613</v>
      </c>
      <c r="Y25" s="20">
        <f t="shared" si="10"/>
        <v>51297.580645161288</v>
      </c>
      <c r="Z25" s="20">
        <f t="shared" si="11"/>
        <v>146.7741935483871</v>
      </c>
      <c r="AA25" s="20">
        <f t="shared" si="12"/>
        <v>1709919.3548387098</v>
      </c>
      <c r="AB25" s="20"/>
      <c r="AC25" s="34"/>
      <c r="AD25" s="34"/>
      <c r="AE25" s="34">
        <v>10700</v>
      </c>
      <c r="AF25" s="34"/>
      <c r="AG25" s="20"/>
      <c r="AH25" s="20">
        <v>92</v>
      </c>
      <c r="AI25" s="20">
        <f t="shared" si="13"/>
        <v>1249544</v>
      </c>
      <c r="AJ25" s="20">
        <v>44</v>
      </c>
      <c r="AK25" s="20">
        <f t="shared" si="14"/>
        <v>176000</v>
      </c>
      <c r="AL25" s="20">
        <v>49</v>
      </c>
      <c r="AM25" s="20">
        <f t="shared" si="15"/>
        <v>196000</v>
      </c>
      <c r="AN25" s="20">
        <v>10</v>
      </c>
      <c r="AO25" s="20">
        <f t="shared" si="16"/>
        <v>1621544</v>
      </c>
      <c r="AP25" s="20">
        <f t="shared" si="17"/>
        <v>185</v>
      </c>
      <c r="AQ25" s="34"/>
    </row>
    <row r="26" spans="1:43">
      <c r="A26" s="4" t="s">
        <v>16</v>
      </c>
      <c r="B26" s="22">
        <v>43238</v>
      </c>
      <c r="C26" s="23">
        <v>31</v>
      </c>
      <c r="D26" s="33">
        <v>238</v>
      </c>
      <c r="E26" s="21">
        <v>4.4700000000002547</v>
      </c>
      <c r="F26" s="20">
        <f t="shared" si="0"/>
        <v>8940.0000000005093</v>
      </c>
      <c r="G26" s="20">
        <f t="shared" si="1"/>
        <v>9257370.0000005271</v>
      </c>
      <c r="H26" s="20">
        <v>0.89999999999997726</v>
      </c>
      <c r="I26" s="20">
        <f t="shared" si="2"/>
        <v>1799.9999999999545</v>
      </c>
      <c r="J26" s="20">
        <f t="shared" si="3"/>
        <v>2795849.9999999292</v>
      </c>
      <c r="K26" s="20">
        <f t="shared" si="4"/>
        <v>12053220.000000456</v>
      </c>
      <c r="L26" s="20">
        <f t="shared" si="5"/>
        <v>13258542.000000503</v>
      </c>
      <c r="M26" s="34">
        <f t="shared" si="6"/>
        <v>10740.000000000464</v>
      </c>
      <c r="N26" s="33"/>
      <c r="O26" s="33">
        <v>102.74193548387096</v>
      </c>
      <c r="P26" s="33">
        <f t="shared" si="7"/>
        <v>1196943.5483870967</v>
      </c>
      <c r="Q26" s="33"/>
      <c r="R26" s="33">
        <v>29.35483870967742</v>
      </c>
      <c r="S26" s="33">
        <f t="shared" si="8"/>
        <v>341983.87096774194</v>
      </c>
      <c r="T26" s="33"/>
      <c r="U26" s="33">
        <v>10.274193548387098</v>
      </c>
      <c r="V26" s="33">
        <f t="shared" si="9"/>
        <v>119694.3548387097</v>
      </c>
      <c r="W26" s="33"/>
      <c r="X26" s="20">
        <v>4.403225806451613</v>
      </c>
      <c r="Y26" s="20">
        <f t="shared" si="10"/>
        <v>51297.580645161288</v>
      </c>
      <c r="Z26" s="20">
        <f t="shared" si="11"/>
        <v>146.7741935483871</v>
      </c>
      <c r="AA26" s="20">
        <f t="shared" si="12"/>
        <v>1709919.3548387098</v>
      </c>
      <c r="AB26" s="20"/>
      <c r="AC26" s="34"/>
      <c r="AD26" s="34"/>
      <c r="AE26" s="34">
        <v>10700</v>
      </c>
      <c r="AF26" s="34"/>
      <c r="AG26" s="20"/>
      <c r="AH26" s="20">
        <v>115</v>
      </c>
      <c r="AI26" s="20">
        <f t="shared" si="13"/>
        <v>1561930</v>
      </c>
      <c r="AJ26" s="20">
        <v>48</v>
      </c>
      <c r="AK26" s="20">
        <f t="shared" si="14"/>
        <v>192000</v>
      </c>
      <c r="AL26" s="20">
        <v>53</v>
      </c>
      <c r="AM26" s="20">
        <f t="shared" si="15"/>
        <v>212000</v>
      </c>
      <c r="AN26" s="20">
        <v>10</v>
      </c>
      <c r="AO26" s="20">
        <f t="shared" si="16"/>
        <v>1965930</v>
      </c>
      <c r="AP26" s="20">
        <f t="shared" si="17"/>
        <v>216</v>
      </c>
      <c r="AQ26" s="34"/>
    </row>
    <row r="27" spans="1:43">
      <c r="A27" s="4" t="s">
        <v>16</v>
      </c>
      <c r="B27" s="22">
        <v>43239</v>
      </c>
      <c r="C27" s="23">
        <v>31</v>
      </c>
      <c r="D27" s="20">
        <v>215</v>
      </c>
      <c r="E27" s="21">
        <v>4.2799999999997453</v>
      </c>
      <c r="F27" s="20">
        <f t="shared" si="0"/>
        <v>8559.9999999994907</v>
      </c>
      <c r="G27" s="20">
        <f t="shared" si="1"/>
        <v>8863879.9999994729</v>
      </c>
      <c r="H27" s="20">
        <v>0.94999999999993179</v>
      </c>
      <c r="I27" s="20">
        <f t="shared" si="2"/>
        <v>1899.9999999998636</v>
      </c>
      <c r="J27" s="20">
        <f t="shared" si="3"/>
        <v>2951174.9999997881</v>
      </c>
      <c r="K27" s="20">
        <f t="shared" si="4"/>
        <v>11815054.999999261</v>
      </c>
      <c r="L27" s="20">
        <f t="shared" si="5"/>
        <v>12996560.499999188</v>
      </c>
      <c r="M27" s="34">
        <f t="shared" si="6"/>
        <v>10459.999999999354</v>
      </c>
      <c r="N27" s="33"/>
      <c r="O27" s="33">
        <v>102.74193548387096</v>
      </c>
      <c r="P27" s="33">
        <f t="shared" si="7"/>
        <v>1196943.5483870967</v>
      </c>
      <c r="Q27" s="33"/>
      <c r="R27" s="33">
        <v>29.35483870967742</v>
      </c>
      <c r="S27" s="33">
        <f t="shared" si="8"/>
        <v>341983.87096774194</v>
      </c>
      <c r="T27" s="33"/>
      <c r="U27" s="33">
        <v>10.274193548387098</v>
      </c>
      <c r="V27" s="33">
        <f t="shared" si="9"/>
        <v>119694.3548387097</v>
      </c>
      <c r="W27" s="33"/>
      <c r="X27" s="20">
        <v>4.403225806451613</v>
      </c>
      <c r="Y27" s="20">
        <f t="shared" si="10"/>
        <v>51297.580645161288</v>
      </c>
      <c r="Z27" s="20">
        <f t="shared" si="11"/>
        <v>146.7741935483871</v>
      </c>
      <c r="AA27" s="20">
        <f t="shared" si="12"/>
        <v>1709919.3548387098</v>
      </c>
      <c r="AB27" s="20"/>
      <c r="AC27" s="34"/>
      <c r="AD27" s="34"/>
      <c r="AE27" s="34">
        <v>10700</v>
      </c>
      <c r="AF27" s="34"/>
      <c r="AG27" s="20"/>
      <c r="AH27" s="20">
        <v>97</v>
      </c>
      <c r="AI27" s="20">
        <f t="shared" si="13"/>
        <v>1317454</v>
      </c>
      <c r="AJ27" s="20">
        <v>40</v>
      </c>
      <c r="AK27" s="20">
        <f t="shared" si="14"/>
        <v>160000</v>
      </c>
      <c r="AL27" s="20">
        <v>51</v>
      </c>
      <c r="AM27" s="20">
        <f t="shared" si="15"/>
        <v>204000</v>
      </c>
      <c r="AN27" s="20">
        <v>10</v>
      </c>
      <c r="AO27" s="20">
        <f t="shared" si="16"/>
        <v>1681454</v>
      </c>
      <c r="AP27" s="20">
        <f t="shared" si="17"/>
        <v>188</v>
      </c>
      <c r="AQ27" s="34"/>
    </row>
    <row r="28" spans="1:43">
      <c r="A28" s="4" t="s">
        <v>16</v>
      </c>
      <c r="B28" s="22">
        <v>43240</v>
      </c>
      <c r="C28" s="23">
        <v>26</v>
      </c>
      <c r="D28" s="20">
        <v>183</v>
      </c>
      <c r="E28" s="21">
        <v>4.2600000000002183</v>
      </c>
      <c r="F28" s="20">
        <f t="shared" si="0"/>
        <v>8520.0000000004366</v>
      </c>
      <c r="G28" s="20">
        <f t="shared" si="1"/>
        <v>8822460.0000004526</v>
      </c>
      <c r="H28" s="20">
        <v>0.96000000000003638</v>
      </c>
      <c r="I28" s="20">
        <f t="shared" si="2"/>
        <v>1920.0000000000728</v>
      </c>
      <c r="J28" s="20">
        <f t="shared" si="3"/>
        <v>2982240.0000001132</v>
      </c>
      <c r="K28" s="20">
        <f t="shared" si="4"/>
        <v>11804700.000000566</v>
      </c>
      <c r="L28" s="20">
        <f t="shared" si="5"/>
        <v>12985170.000000624</v>
      </c>
      <c r="M28" s="34">
        <f t="shared" si="6"/>
        <v>10440.000000000509</v>
      </c>
      <c r="N28" s="33"/>
      <c r="O28" s="33">
        <v>102.74193548387096</v>
      </c>
      <c r="P28" s="33">
        <f t="shared" si="7"/>
        <v>1196943.5483870967</v>
      </c>
      <c r="Q28" s="33"/>
      <c r="R28" s="33">
        <v>29.35483870967742</v>
      </c>
      <c r="S28" s="33">
        <f t="shared" si="8"/>
        <v>341983.87096774194</v>
      </c>
      <c r="T28" s="33"/>
      <c r="U28" s="33">
        <v>10.274193548387098</v>
      </c>
      <c r="V28" s="33">
        <f t="shared" si="9"/>
        <v>119694.3548387097</v>
      </c>
      <c r="W28" s="33"/>
      <c r="X28" s="20">
        <v>4.403225806451613</v>
      </c>
      <c r="Y28" s="20">
        <f t="shared" si="10"/>
        <v>51297.580645161288</v>
      </c>
      <c r="Z28" s="20">
        <f t="shared" si="11"/>
        <v>146.7741935483871</v>
      </c>
      <c r="AA28" s="20">
        <f t="shared" si="12"/>
        <v>1709919.3548387098</v>
      </c>
      <c r="AB28" s="20"/>
      <c r="AC28" s="34">
        <v>40</v>
      </c>
      <c r="AD28" s="34"/>
      <c r="AE28" s="34">
        <v>10700</v>
      </c>
      <c r="AF28" s="34"/>
      <c r="AG28" s="20"/>
      <c r="AH28" s="20">
        <v>106</v>
      </c>
      <c r="AI28" s="20">
        <f t="shared" si="13"/>
        <v>1439692</v>
      </c>
      <c r="AJ28" s="20">
        <v>52</v>
      </c>
      <c r="AK28" s="20">
        <f t="shared" si="14"/>
        <v>208000</v>
      </c>
      <c r="AL28" s="20">
        <v>49</v>
      </c>
      <c r="AM28" s="20">
        <f t="shared" si="15"/>
        <v>196000</v>
      </c>
      <c r="AN28" s="20">
        <v>10</v>
      </c>
      <c r="AO28" s="20">
        <f t="shared" si="16"/>
        <v>1843692</v>
      </c>
      <c r="AP28" s="20">
        <f t="shared" si="17"/>
        <v>207</v>
      </c>
      <c r="AQ28" s="34"/>
    </row>
    <row r="29" spans="1:43">
      <c r="A29" s="4" t="s">
        <v>16</v>
      </c>
      <c r="B29" s="22">
        <v>43241</v>
      </c>
      <c r="C29" s="23">
        <v>22</v>
      </c>
      <c r="D29" s="20">
        <v>181</v>
      </c>
      <c r="E29" s="21">
        <v>4.5099999999997635</v>
      </c>
      <c r="F29" s="20">
        <f t="shared" si="0"/>
        <v>9019.9999999995271</v>
      </c>
      <c r="G29" s="20">
        <f t="shared" si="1"/>
        <v>9340209.9999995101</v>
      </c>
      <c r="H29" s="20">
        <v>0.89999999999997726</v>
      </c>
      <c r="I29" s="20">
        <f t="shared" si="2"/>
        <v>1799.9999999999545</v>
      </c>
      <c r="J29" s="20">
        <f t="shared" si="3"/>
        <v>2795849.9999999292</v>
      </c>
      <c r="K29" s="20">
        <f t="shared" si="4"/>
        <v>12136059.999999439</v>
      </c>
      <c r="L29" s="20">
        <f t="shared" si="5"/>
        <v>13349665.999999383</v>
      </c>
      <c r="M29" s="34">
        <f t="shared" si="6"/>
        <v>10819.999999999482</v>
      </c>
      <c r="N29" s="33"/>
      <c r="O29" s="33">
        <v>102.74193548387096</v>
      </c>
      <c r="P29" s="33">
        <f t="shared" si="7"/>
        <v>1196943.5483870967</v>
      </c>
      <c r="Q29" s="33"/>
      <c r="R29" s="33">
        <v>29.35483870967742</v>
      </c>
      <c r="S29" s="33">
        <f t="shared" si="8"/>
        <v>341983.87096774194</v>
      </c>
      <c r="T29" s="33"/>
      <c r="U29" s="33">
        <v>10.274193548387098</v>
      </c>
      <c r="V29" s="33">
        <f t="shared" si="9"/>
        <v>119694.3548387097</v>
      </c>
      <c r="W29" s="33"/>
      <c r="X29" s="20">
        <v>4.403225806451613</v>
      </c>
      <c r="Y29" s="20">
        <f t="shared" si="10"/>
        <v>51297.580645161288</v>
      </c>
      <c r="Z29" s="20">
        <f t="shared" si="11"/>
        <v>146.7741935483871</v>
      </c>
      <c r="AA29" s="20">
        <f t="shared" si="12"/>
        <v>1709919.3548387098</v>
      </c>
      <c r="AB29" s="20"/>
      <c r="AC29" s="34"/>
      <c r="AD29" s="34"/>
      <c r="AE29" s="34">
        <v>10700</v>
      </c>
      <c r="AF29" s="34"/>
      <c r="AG29" s="20"/>
      <c r="AH29" s="20">
        <v>117</v>
      </c>
      <c r="AI29" s="20">
        <f t="shared" si="13"/>
        <v>1589094</v>
      </c>
      <c r="AJ29" s="20">
        <v>52</v>
      </c>
      <c r="AK29" s="20">
        <f t="shared" si="14"/>
        <v>208000</v>
      </c>
      <c r="AL29" s="20">
        <v>58</v>
      </c>
      <c r="AM29" s="20">
        <f t="shared" si="15"/>
        <v>232000</v>
      </c>
      <c r="AN29" s="20">
        <v>10</v>
      </c>
      <c r="AO29" s="20">
        <f t="shared" si="16"/>
        <v>2029094</v>
      </c>
      <c r="AP29" s="20">
        <f t="shared" si="17"/>
        <v>227</v>
      </c>
      <c r="AQ29" s="34"/>
    </row>
    <row r="30" spans="1:43">
      <c r="A30" s="4" t="s">
        <v>16</v>
      </c>
      <c r="B30" s="22">
        <v>43242</v>
      </c>
      <c r="C30" s="23">
        <v>28</v>
      </c>
      <c r="D30" s="20">
        <v>192</v>
      </c>
      <c r="E30" s="21">
        <v>4.4100000000003092</v>
      </c>
      <c r="F30" s="20">
        <f t="shared" si="0"/>
        <v>8820.0000000006185</v>
      </c>
      <c r="G30" s="20">
        <f t="shared" si="1"/>
        <v>9133110.0000006407</v>
      </c>
      <c r="H30" s="20">
        <v>0.94000000000005457</v>
      </c>
      <c r="I30" s="20">
        <f t="shared" si="2"/>
        <v>1880.0000000001091</v>
      </c>
      <c r="J30" s="20">
        <f t="shared" si="3"/>
        <v>2920110.0000001695</v>
      </c>
      <c r="K30" s="20">
        <f t="shared" si="4"/>
        <v>12053220.00000081</v>
      </c>
      <c r="L30" s="20">
        <f t="shared" si="5"/>
        <v>13258542.000000892</v>
      </c>
      <c r="M30" s="34">
        <f t="shared" si="6"/>
        <v>10700.000000000728</v>
      </c>
      <c r="N30" s="33"/>
      <c r="O30" s="33">
        <v>102.74193548387096</v>
      </c>
      <c r="P30" s="33">
        <f t="shared" si="7"/>
        <v>1196943.5483870967</v>
      </c>
      <c r="Q30" s="33"/>
      <c r="R30" s="33">
        <v>29.35483870967742</v>
      </c>
      <c r="S30" s="33">
        <f t="shared" si="8"/>
        <v>341983.87096774194</v>
      </c>
      <c r="T30" s="33"/>
      <c r="U30" s="33">
        <v>10.274193548387098</v>
      </c>
      <c r="V30" s="33">
        <f t="shared" si="9"/>
        <v>119694.3548387097</v>
      </c>
      <c r="W30" s="33"/>
      <c r="X30" s="20">
        <v>4.403225806451613</v>
      </c>
      <c r="Y30" s="20">
        <f t="shared" si="10"/>
        <v>51297.580645161288</v>
      </c>
      <c r="Z30" s="20">
        <f t="shared" si="11"/>
        <v>146.7741935483871</v>
      </c>
      <c r="AA30" s="20">
        <f t="shared" si="12"/>
        <v>1709919.3548387098</v>
      </c>
      <c r="AB30" s="20"/>
      <c r="AC30" s="34"/>
      <c r="AD30" s="34"/>
      <c r="AE30" s="34">
        <v>10700</v>
      </c>
      <c r="AF30" s="34"/>
      <c r="AG30" s="20"/>
      <c r="AH30" s="20">
        <v>123</v>
      </c>
      <c r="AI30" s="20">
        <f t="shared" si="13"/>
        <v>1670586</v>
      </c>
      <c r="AJ30" s="20">
        <v>53</v>
      </c>
      <c r="AK30" s="20">
        <f t="shared" si="14"/>
        <v>212000</v>
      </c>
      <c r="AL30" s="20">
        <v>57</v>
      </c>
      <c r="AM30" s="20">
        <f t="shared" si="15"/>
        <v>228000</v>
      </c>
      <c r="AN30" s="20">
        <v>10</v>
      </c>
      <c r="AO30" s="20">
        <f t="shared" si="16"/>
        <v>2110586</v>
      </c>
      <c r="AP30" s="20">
        <f t="shared" si="17"/>
        <v>233</v>
      </c>
      <c r="AQ30" s="34"/>
    </row>
    <row r="31" spans="1:43">
      <c r="A31" s="4" t="s">
        <v>16</v>
      </c>
      <c r="B31" s="22">
        <v>43243</v>
      </c>
      <c r="C31" s="23">
        <v>30</v>
      </c>
      <c r="D31" s="20">
        <v>212</v>
      </c>
      <c r="E31" s="21">
        <v>4.5199999999999818</v>
      </c>
      <c r="F31" s="20">
        <f t="shared" si="0"/>
        <v>9039.9999999999636</v>
      </c>
      <c r="G31" s="20">
        <f t="shared" si="1"/>
        <v>9360919.9999999627</v>
      </c>
      <c r="H31" s="20">
        <v>0.98000000000001819</v>
      </c>
      <c r="I31" s="20">
        <f t="shared" si="2"/>
        <v>1960.0000000000364</v>
      </c>
      <c r="J31" s="20">
        <f t="shared" si="3"/>
        <v>3044370.0000000563</v>
      </c>
      <c r="K31" s="20">
        <f t="shared" si="4"/>
        <v>12405290.000000019</v>
      </c>
      <c r="L31" s="20">
        <f t="shared" si="5"/>
        <v>13645819.000000022</v>
      </c>
      <c r="M31" s="34">
        <f t="shared" si="6"/>
        <v>11000</v>
      </c>
      <c r="N31" s="33"/>
      <c r="O31" s="33">
        <v>102.74193548387096</v>
      </c>
      <c r="P31" s="33">
        <f t="shared" si="7"/>
        <v>1196943.5483870967</v>
      </c>
      <c r="Q31" s="33"/>
      <c r="R31" s="33">
        <v>29.35483870967742</v>
      </c>
      <c r="S31" s="33">
        <f t="shared" si="8"/>
        <v>341983.87096774194</v>
      </c>
      <c r="T31" s="33"/>
      <c r="U31" s="33">
        <v>10.274193548387098</v>
      </c>
      <c r="V31" s="33">
        <f t="shared" si="9"/>
        <v>119694.3548387097</v>
      </c>
      <c r="W31" s="33"/>
      <c r="X31" s="20">
        <v>4.403225806451613</v>
      </c>
      <c r="Y31" s="20">
        <f t="shared" si="10"/>
        <v>51297.580645161288</v>
      </c>
      <c r="Z31" s="20">
        <f t="shared" si="11"/>
        <v>146.7741935483871</v>
      </c>
      <c r="AA31" s="20">
        <f t="shared" si="12"/>
        <v>1709919.3548387098</v>
      </c>
      <c r="AB31" s="20"/>
      <c r="AC31" s="34"/>
      <c r="AD31" s="34"/>
      <c r="AE31" s="34">
        <v>10700</v>
      </c>
      <c r="AF31" s="34"/>
      <c r="AG31" s="20"/>
      <c r="AH31" s="20">
        <v>134</v>
      </c>
      <c r="AI31" s="20">
        <f t="shared" si="13"/>
        <v>1819988</v>
      </c>
      <c r="AJ31" s="20">
        <v>56</v>
      </c>
      <c r="AK31" s="20">
        <f t="shared" si="14"/>
        <v>224000</v>
      </c>
      <c r="AL31" s="20">
        <v>67</v>
      </c>
      <c r="AM31" s="20">
        <f t="shared" si="15"/>
        <v>268000</v>
      </c>
      <c r="AN31" s="20">
        <v>10</v>
      </c>
      <c r="AO31" s="20">
        <f t="shared" si="16"/>
        <v>2311988</v>
      </c>
      <c r="AP31" s="20">
        <f t="shared" si="17"/>
        <v>257</v>
      </c>
      <c r="AQ31" s="34"/>
    </row>
    <row r="32" spans="1:43">
      <c r="A32" s="4" t="s">
        <v>16</v>
      </c>
      <c r="B32" s="22">
        <v>43244</v>
      </c>
      <c r="C32" s="23">
        <v>31</v>
      </c>
      <c r="D32" s="20">
        <v>209</v>
      </c>
      <c r="E32" s="21">
        <v>4.5299999999997453</v>
      </c>
      <c r="F32" s="20">
        <f t="shared" si="0"/>
        <v>9059.9999999994907</v>
      </c>
      <c r="G32" s="20">
        <f t="shared" si="1"/>
        <v>9381629.9999994729</v>
      </c>
      <c r="H32" s="20">
        <v>0.92999999999994998</v>
      </c>
      <c r="I32" s="20">
        <f t="shared" si="2"/>
        <v>1859.9999999999</v>
      </c>
      <c r="J32" s="20">
        <f t="shared" si="3"/>
        <v>2889044.9999998445</v>
      </c>
      <c r="K32" s="20">
        <f t="shared" si="4"/>
        <v>12270674.999999318</v>
      </c>
      <c r="L32" s="20">
        <f t="shared" si="5"/>
        <v>13497742.499999251</v>
      </c>
      <c r="M32" s="34">
        <f t="shared" si="6"/>
        <v>10919.999999999391</v>
      </c>
      <c r="N32" s="33"/>
      <c r="O32" s="33">
        <v>102.74193548387096</v>
      </c>
      <c r="P32" s="33">
        <f t="shared" si="7"/>
        <v>1196943.5483870967</v>
      </c>
      <c r="Q32" s="33"/>
      <c r="R32" s="33">
        <v>29.35483870967742</v>
      </c>
      <c r="S32" s="33">
        <f t="shared" si="8"/>
        <v>341983.87096774194</v>
      </c>
      <c r="T32" s="33"/>
      <c r="U32" s="33">
        <v>10.274193548387098</v>
      </c>
      <c r="V32" s="33">
        <f t="shared" si="9"/>
        <v>119694.3548387097</v>
      </c>
      <c r="W32" s="33"/>
      <c r="X32" s="20">
        <v>4.403225806451613</v>
      </c>
      <c r="Y32" s="20">
        <f t="shared" si="10"/>
        <v>51297.580645161288</v>
      </c>
      <c r="Z32" s="20">
        <f t="shared" si="11"/>
        <v>146.7741935483871</v>
      </c>
      <c r="AA32" s="20">
        <f t="shared" si="12"/>
        <v>1709919.3548387098</v>
      </c>
      <c r="AB32" s="20"/>
      <c r="AC32" s="34"/>
      <c r="AD32" s="34"/>
      <c r="AE32" s="34">
        <v>10700</v>
      </c>
      <c r="AF32" s="34"/>
      <c r="AG32" s="20"/>
      <c r="AH32" s="20">
        <v>117</v>
      </c>
      <c r="AI32" s="20">
        <f t="shared" si="13"/>
        <v>1589094</v>
      </c>
      <c r="AJ32" s="20">
        <v>64</v>
      </c>
      <c r="AK32" s="20">
        <f t="shared" si="14"/>
        <v>256000</v>
      </c>
      <c r="AL32" s="20">
        <v>65</v>
      </c>
      <c r="AM32" s="20">
        <f t="shared" si="15"/>
        <v>260000</v>
      </c>
      <c r="AN32" s="20">
        <v>10</v>
      </c>
      <c r="AO32" s="20">
        <f t="shared" si="16"/>
        <v>2105094</v>
      </c>
      <c r="AP32" s="20">
        <f t="shared" si="17"/>
        <v>246</v>
      </c>
      <c r="AQ32" s="34"/>
    </row>
    <row r="33" spans="1:43">
      <c r="A33" s="4" t="s">
        <v>16</v>
      </c>
      <c r="B33" s="22">
        <v>43245</v>
      </c>
      <c r="C33" s="23">
        <v>36</v>
      </c>
      <c r="D33" s="20">
        <v>229</v>
      </c>
      <c r="E33" s="21">
        <v>4.5599999999999454</v>
      </c>
      <c r="F33" s="20">
        <f t="shared" si="0"/>
        <v>9119.9999999998909</v>
      </c>
      <c r="G33" s="20">
        <f t="shared" si="1"/>
        <v>9443759.9999998864</v>
      </c>
      <c r="H33" s="20">
        <v>1.0099999999999909</v>
      </c>
      <c r="I33" s="20">
        <f t="shared" si="2"/>
        <v>2019.9999999999818</v>
      </c>
      <c r="J33" s="20">
        <f t="shared" si="3"/>
        <v>3137564.9999999716</v>
      </c>
      <c r="K33" s="20">
        <f t="shared" si="4"/>
        <v>12581324.999999858</v>
      </c>
      <c r="L33" s="20">
        <f t="shared" si="5"/>
        <v>13839457.499999845</v>
      </c>
      <c r="M33" s="34">
        <f t="shared" si="6"/>
        <v>11139.999999999873</v>
      </c>
      <c r="N33" s="33"/>
      <c r="O33" s="33">
        <v>102.74193548387096</v>
      </c>
      <c r="P33" s="33">
        <f t="shared" si="7"/>
        <v>1196943.5483870967</v>
      </c>
      <c r="Q33" s="33"/>
      <c r="R33" s="33">
        <v>29.35483870967742</v>
      </c>
      <c r="S33" s="33">
        <f t="shared" si="8"/>
        <v>341983.87096774194</v>
      </c>
      <c r="T33" s="33"/>
      <c r="U33" s="33">
        <v>10.274193548387098</v>
      </c>
      <c r="V33" s="33">
        <f t="shared" si="9"/>
        <v>119694.3548387097</v>
      </c>
      <c r="W33" s="33"/>
      <c r="X33" s="20">
        <v>4.403225806451613</v>
      </c>
      <c r="Y33" s="20">
        <f t="shared" si="10"/>
        <v>51297.580645161288</v>
      </c>
      <c r="Z33" s="20">
        <f t="shared" si="11"/>
        <v>146.7741935483871</v>
      </c>
      <c r="AA33" s="20">
        <f t="shared" si="12"/>
        <v>1709919.3548387098</v>
      </c>
      <c r="AB33" s="20"/>
      <c r="AC33" s="34"/>
      <c r="AD33" s="34"/>
      <c r="AE33" s="34">
        <v>10700</v>
      </c>
      <c r="AF33" s="34"/>
      <c r="AG33" s="20"/>
      <c r="AH33" s="20">
        <v>52</v>
      </c>
      <c r="AI33" s="20">
        <f t="shared" si="13"/>
        <v>706264</v>
      </c>
      <c r="AJ33" s="20">
        <v>66</v>
      </c>
      <c r="AK33" s="20">
        <f t="shared" si="14"/>
        <v>264000</v>
      </c>
      <c r="AL33" s="20">
        <v>63</v>
      </c>
      <c r="AM33" s="20">
        <f t="shared" si="15"/>
        <v>252000</v>
      </c>
      <c r="AN33" s="20">
        <v>10</v>
      </c>
      <c r="AO33" s="20">
        <f t="shared" si="16"/>
        <v>1222264</v>
      </c>
      <c r="AP33" s="20">
        <f t="shared" si="17"/>
        <v>181</v>
      </c>
      <c r="AQ33" s="34"/>
    </row>
    <row r="34" spans="1:43">
      <c r="A34" s="4" t="s">
        <v>16</v>
      </c>
      <c r="B34" s="22">
        <v>43246</v>
      </c>
      <c r="C34" s="23">
        <v>32</v>
      </c>
      <c r="D34" s="20">
        <v>237</v>
      </c>
      <c r="E34" s="21">
        <v>4.7300000000000182</v>
      </c>
      <c r="F34" s="20">
        <f t="shared" si="0"/>
        <v>9460.0000000000364</v>
      </c>
      <c r="G34" s="20">
        <f t="shared" si="1"/>
        <v>9795830.0000000373</v>
      </c>
      <c r="H34" s="20">
        <v>0.97000000000002728</v>
      </c>
      <c r="I34" s="20">
        <f t="shared" si="2"/>
        <v>1940.0000000000546</v>
      </c>
      <c r="J34" s="20">
        <f t="shared" si="3"/>
        <v>3013305.0000000848</v>
      </c>
      <c r="K34" s="20">
        <f t="shared" si="4"/>
        <v>12809135.000000123</v>
      </c>
      <c r="L34" s="20">
        <f t="shared" si="5"/>
        <v>14090048.500000136</v>
      </c>
      <c r="M34" s="34">
        <f t="shared" si="6"/>
        <v>11400.000000000091</v>
      </c>
      <c r="N34" s="33"/>
      <c r="O34" s="33">
        <v>102.74193548387096</v>
      </c>
      <c r="P34" s="33">
        <f t="shared" si="7"/>
        <v>1196943.5483870967</v>
      </c>
      <c r="Q34" s="33"/>
      <c r="R34" s="33">
        <v>29.35483870967742</v>
      </c>
      <c r="S34" s="33">
        <f t="shared" si="8"/>
        <v>341983.87096774194</v>
      </c>
      <c r="T34" s="33"/>
      <c r="U34" s="33">
        <v>10.274193548387098</v>
      </c>
      <c r="V34" s="33">
        <f t="shared" si="9"/>
        <v>119694.3548387097</v>
      </c>
      <c r="W34" s="33"/>
      <c r="X34" s="20">
        <v>4.403225806451613</v>
      </c>
      <c r="Y34" s="20">
        <f t="shared" si="10"/>
        <v>51297.580645161288</v>
      </c>
      <c r="Z34" s="20">
        <f t="shared" si="11"/>
        <v>146.7741935483871</v>
      </c>
      <c r="AA34" s="20">
        <f t="shared" si="12"/>
        <v>1709919.3548387098</v>
      </c>
      <c r="AB34" s="20"/>
      <c r="AC34" s="34">
        <v>40</v>
      </c>
      <c r="AD34" s="34"/>
      <c r="AE34" s="34">
        <v>10700</v>
      </c>
      <c r="AF34" s="34"/>
      <c r="AG34" s="20"/>
      <c r="AH34" s="20">
        <v>83</v>
      </c>
      <c r="AI34" s="20">
        <f t="shared" si="13"/>
        <v>1127306</v>
      </c>
      <c r="AJ34" s="20">
        <v>65</v>
      </c>
      <c r="AK34" s="20">
        <f t="shared" si="14"/>
        <v>260000</v>
      </c>
      <c r="AL34" s="20">
        <v>64</v>
      </c>
      <c r="AM34" s="20">
        <f t="shared" si="15"/>
        <v>256000</v>
      </c>
      <c r="AN34" s="20">
        <v>10</v>
      </c>
      <c r="AO34" s="20">
        <f t="shared" si="16"/>
        <v>1643306</v>
      </c>
      <c r="AP34" s="20">
        <f t="shared" si="17"/>
        <v>212</v>
      </c>
      <c r="AQ34" s="34"/>
    </row>
    <row r="35" spans="1:43">
      <c r="A35" s="4" t="s">
        <v>16</v>
      </c>
      <c r="B35" s="22">
        <v>43247</v>
      </c>
      <c r="C35" s="23">
        <v>31</v>
      </c>
      <c r="D35" s="20">
        <v>168</v>
      </c>
      <c r="E35" s="21">
        <v>4.6100000000001273</v>
      </c>
      <c r="F35" s="20">
        <f t="shared" si="0"/>
        <v>9220.0000000002547</v>
      </c>
      <c r="G35" s="20">
        <f t="shared" si="1"/>
        <v>9547310.0000002645</v>
      </c>
      <c r="H35" s="20">
        <v>0.98000000000001819</v>
      </c>
      <c r="I35" s="20">
        <f t="shared" si="2"/>
        <v>1960.0000000000364</v>
      </c>
      <c r="J35" s="20">
        <f t="shared" si="3"/>
        <v>3044370.0000000563</v>
      </c>
      <c r="K35" s="20">
        <f t="shared" si="4"/>
        <v>12591680.00000032</v>
      </c>
      <c r="L35" s="20">
        <f t="shared" si="5"/>
        <v>13850848.000000354</v>
      </c>
      <c r="M35" s="34">
        <f t="shared" si="6"/>
        <v>11180.000000000291</v>
      </c>
      <c r="N35" s="33"/>
      <c r="O35" s="33">
        <v>102.74193548387096</v>
      </c>
      <c r="P35" s="33">
        <f t="shared" si="7"/>
        <v>1196943.5483870967</v>
      </c>
      <c r="Q35" s="33"/>
      <c r="R35" s="33">
        <v>29.35483870967742</v>
      </c>
      <c r="S35" s="33">
        <f t="shared" si="8"/>
        <v>341983.87096774194</v>
      </c>
      <c r="T35" s="33"/>
      <c r="U35" s="33">
        <v>10.274193548387098</v>
      </c>
      <c r="V35" s="33">
        <f t="shared" si="9"/>
        <v>119694.3548387097</v>
      </c>
      <c r="W35" s="33"/>
      <c r="X35" s="20">
        <v>4.403225806451613</v>
      </c>
      <c r="Y35" s="20">
        <f t="shared" si="10"/>
        <v>51297.580645161288</v>
      </c>
      <c r="Z35" s="20">
        <f t="shared" si="11"/>
        <v>146.7741935483871</v>
      </c>
      <c r="AA35" s="20">
        <f t="shared" si="12"/>
        <v>1709919.3548387098</v>
      </c>
      <c r="AB35" s="20"/>
      <c r="AC35" s="34"/>
      <c r="AD35" s="34"/>
      <c r="AE35" s="34">
        <v>10700</v>
      </c>
      <c r="AF35" s="34"/>
      <c r="AG35" s="20"/>
      <c r="AH35" s="20">
        <v>114</v>
      </c>
      <c r="AI35" s="20">
        <f t="shared" si="13"/>
        <v>1548348</v>
      </c>
      <c r="AJ35" s="20">
        <v>59</v>
      </c>
      <c r="AK35" s="20">
        <f t="shared" si="14"/>
        <v>236000</v>
      </c>
      <c r="AL35" s="20">
        <v>61</v>
      </c>
      <c r="AM35" s="20">
        <f t="shared" si="15"/>
        <v>244000</v>
      </c>
      <c r="AN35" s="20">
        <v>10</v>
      </c>
      <c r="AO35" s="20">
        <f t="shared" si="16"/>
        <v>2028348</v>
      </c>
      <c r="AP35" s="20">
        <f t="shared" si="17"/>
        <v>234</v>
      </c>
      <c r="AQ35" s="34"/>
    </row>
    <row r="36" spans="1:43">
      <c r="A36" s="4" t="s">
        <v>16</v>
      </c>
      <c r="B36" s="22">
        <v>43248</v>
      </c>
      <c r="C36" s="23">
        <v>23</v>
      </c>
      <c r="D36" s="20">
        <v>222</v>
      </c>
      <c r="E36" s="21">
        <v>4.4000000000000909</v>
      </c>
      <c r="F36" s="20">
        <f t="shared" si="0"/>
        <v>8800.0000000001819</v>
      </c>
      <c r="G36" s="20">
        <f t="shared" si="1"/>
        <v>9112400.0000001881</v>
      </c>
      <c r="H36" s="20">
        <v>0.93999999999994088</v>
      </c>
      <c r="I36" s="20">
        <f t="shared" si="2"/>
        <v>1879.9999999998818</v>
      </c>
      <c r="J36" s="20">
        <f t="shared" si="3"/>
        <v>2920109.9999998165</v>
      </c>
      <c r="K36" s="20">
        <f t="shared" si="4"/>
        <v>12032510.000000004</v>
      </c>
      <c r="L36" s="20">
        <f t="shared" si="5"/>
        <v>13235761.000000006</v>
      </c>
      <c r="M36" s="34">
        <f t="shared" si="6"/>
        <v>10680.000000000064</v>
      </c>
      <c r="N36" s="33"/>
      <c r="O36" s="33">
        <v>102.74193548387096</v>
      </c>
      <c r="P36" s="33">
        <f t="shared" si="7"/>
        <v>1196943.5483870967</v>
      </c>
      <c r="Q36" s="33"/>
      <c r="R36" s="33">
        <v>29.35483870967742</v>
      </c>
      <c r="S36" s="33">
        <f t="shared" si="8"/>
        <v>341983.87096774194</v>
      </c>
      <c r="T36" s="33"/>
      <c r="U36" s="33">
        <v>10.274193548387098</v>
      </c>
      <c r="V36" s="33">
        <f t="shared" si="9"/>
        <v>119694.3548387097</v>
      </c>
      <c r="W36" s="33"/>
      <c r="X36" s="20">
        <v>4.403225806451613</v>
      </c>
      <c r="Y36" s="20">
        <f t="shared" si="10"/>
        <v>51297.580645161288</v>
      </c>
      <c r="Z36" s="20">
        <f t="shared" si="11"/>
        <v>146.7741935483871</v>
      </c>
      <c r="AA36" s="20">
        <f t="shared" si="12"/>
        <v>1709919.3548387098</v>
      </c>
      <c r="AB36" s="20"/>
      <c r="AC36" s="34"/>
      <c r="AD36" s="34"/>
      <c r="AE36" s="34">
        <v>10700</v>
      </c>
      <c r="AF36" s="34"/>
      <c r="AG36" s="20"/>
      <c r="AH36" s="20">
        <v>129</v>
      </c>
      <c r="AI36" s="20">
        <f t="shared" si="13"/>
        <v>1752078</v>
      </c>
      <c r="AJ36" s="20">
        <v>59</v>
      </c>
      <c r="AK36" s="20">
        <f t="shared" si="14"/>
        <v>236000</v>
      </c>
      <c r="AL36" s="20">
        <v>62</v>
      </c>
      <c r="AM36" s="20">
        <f t="shared" si="15"/>
        <v>248000</v>
      </c>
      <c r="AN36" s="20">
        <v>10</v>
      </c>
      <c r="AO36" s="20">
        <f t="shared" si="16"/>
        <v>2236078</v>
      </c>
      <c r="AP36" s="20">
        <f t="shared" si="17"/>
        <v>250</v>
      </c>
      <c r="AQ36" s="34"/>
    </row>
    <row r="37" spans="1:43">
      <c r="A37" s="4" t="s">
        <v>16</v>
      </c>
      <c r="B37" s="22">
        <v>43249</v>
      </c>
      <c r="C37" s="23">
        <v>25</v>
      </c>
      <c r="D37" s="20">
        <v>180</v>
      </c>
      <c r="E37" s="21">
        <v>4.25</v>
      </c>
      <c r="F37" s="20">
        <f t="shared" si="0"/>
        <v>8500</v>
      </c>
      <c r="G37" s="20">
        <f t="shared" si="1"/>
        <v>8801750</v>
      </c>
      <c r="H37" s="20">
        <v>0.93000000000006366</v>
      </c>
      <c r="I37" s="20">
        <f t="shared" si="2"/>
        <v>1860.0000000001273</v>
      </c>
      <c r="J37" s="20">
        <f t="shared" si="3"/>
        <v>2889045.0000001979</v>
      </c>
      <c r="K37" s="20">
        <f t="shared" si="4"/>
        <v>11690795.000000197</v>
      </c>
      <c r="L37" s="20">
        <f t="shared" si="5"/>
        <v>12859874.500000218</v>
      </c>
      <c r="M37" s="34">
        <f t="shared" si="6"/>
        <v>10360.000000000127</v>
      </c>
      <c r="N37" s="35"/>
      <c r="O37" s="33">
        <v>102.74193548387096</v>
      </c>
      <c r="P37" s="33">
        <f t="shared" si="7"/>
        <v>1196943.5483870967</v>
      </c>
      <c r="Q37" s="33"/>
      <c r="R37" s="33">
        <v>29.35483870967742</v>
      </c>
      <c r="S37" s="33">
        <f t="shared" si="8"/>
        <v>341983.87096774194</v>
      </c>
      <c r="T37" s="33"/>
      <c r="U37" s="33">
        <v>10.274193548387098</v>
      </c>
      <c r="V37" s="33">
        <f t="shared" si="9"/>
        <v>119694.3548387097</v>
      </c>
      <c r="W37" s="33"/>
      <c r="X37" s="20">
        <v>4.403225806451613</v>
      </c>
      <c r="Y37" s="20">
        <f t="shared" si="10"/>
        <v>51297.580645161288</v>
      </c>
      <c r="Z37" s="20">
        <f t="shared" si="11"/>
        <v>146.7741935483871</v>
      </c>
      <c r="AA37" s="20">
        <f t="shared" si="12"/>
        <v>1709919.3548387098</v>
      </c>
      <c r="AB37" s="20"/>
      <c r="AC37" s="34"/>
      <c r="AD37" s="34"/>
      <c r="AE37" s="34">
        <v>10700</v>
      </c>
      <c r="AF37" s="34"/>
      <c r="AG37" s="20"/>
      <c r="AH37" s="20">
        <v>122</v>
      </c>
      <c r="AI37" s="20">
        <f t="shared" si="13"/>
        <v>1657004</v>
      </c>
      <c r="AJ37" s="20">
        <v>42</v>
      </c>
      <c r="AK37" s="20">
        <f t="shared" si="14"/>
        <v>168000</v>
      </c>
      <c r="AL37" s="20">
        <v>39</v>
      </c>
      <c r="AM37" s="20">
        <f t="shared" si="15"/>
        <v>156000</v>
      </c>
      <c r="AN37" s="20">
        <v>10</v>
      </c>
      <c r="AO37" s="20">
        <f t="shared" si="16"/>
        <v>1981004</v>
      </c>
      <c r="AP37" s="20">
        <f t="shared" si="17"/>
        <v>203</v>
      </c>
      <c r="AQ37" s="34"/>
    </row>
    <row r="38" spans="1:43">
      <c r="A38" s="4" t="s">
        <v>16</v>
      </c>
      <c r="B38" s="22">
        <v>43250</v>
      </c>
      <c r="C38" s="23">
        <v>30</v>
      </c>
      <c r="D38" s="20">
        <v>193</v>
      </c>
      <c r="E38" s="21">
        <v>4.1799999999998363</v>
      </c>
      <c r="F38" s="20">
        <f t="shared" si="0"/>
        <v>8359.9999999996726</v>
      </c>
      <c r="G38" s="20">
        <f t="shared" si="1"/>
        <v>8656779.999999661</v>
      </c>
      <c r="H38" s="20">
        <v>0.89999999999997726</v>
      </c>
      <c r="I38" s="20">
        <f t="shared" si="2"/>
        <v>1799.9999999999545</v>
      </c>
      <c r="J38" s="20">
        <f t="shared" si="3"/>
        <v>2795849.9999999292</v>
      </c>
      <c r="K38" s="20">
        <f t="shared" si="4"/>
        <v>11452629.99999959</v>
      </c>
      <c r="L38" s="20">
        <f t="shared" si="5"/>
        <v>12597892.999999551</v>
      </c>
      <c r="M38" s="34">
        <f t="shared" si="6"/>
        <v>10159.999999999627</v>
      </c>
      <c r="N38" s="35"/>
      <c r="O38" s="33">
        <v>102.74193548387096</v>
      </c>
      <c r="P38" s="33">
        <f t="shared" si="7"/>
        <v>1196943.5483870967</v>
      </c>
      <c r="Q38" s="33"/>
      <c r="R38" s="33">
        <v>29.35483870967742</v>
      </c>
      <c r="S38" s="33">
        <f t="shared" si="8"/>
        <v>341983.87096774194</v>
      </c>
      <c r="T38" s="33"/>
      <c r="U38" s="33">
        <v>10.274193548387098</v>
      </c>
      <c r="V38" s="33">
        <f t="shared" si="9"/>
        <v>119694.3548387097</v>
      </c>
      <c r="W38" s="33"/>
      <c r="X38" s="20">
        <v>4.403225806451613</v>
      </c>
      <c r="Y38" s="20">
        <f t="shared" si="10"/>
        <v>51297.580645161288</v>
      </c>
      <c r="Z38" s="20">
        <f t="shared" si="11"/>
        <v>146.7741935483871</v>
      </c>
      <c r="AA38" s="20">
        <f t="shared" si="12"/>
        <v>1709919.3548387098</v>
      </c>
      <c r="AB38" s="20"/>
      <c r="AC38" s="34"/>
      <c r="AD38" s="34"/>
      <c r="AE38" s="34">
        <v>10700</v>
      </c>
      <c r="AF38" s="34"/>
      <c r="AG38" s="20"/>
      <c r="AH38" s="20">
        <v>120</v>
      </c>
      <c r="AI38" s="20">
        <f t="shared" si="13"/>
        <v>1629840</v>
      </c>
      <c r="AJ38" s="20">
        <v>35</v>
      </c>
      <c r="AK38" s="20">
        <f t="shared" si="14"/>
        <v>140000</v>
      </c>
      <c r="AL38" s="20">
        <v>38</v>
      </c>
      <c r="AM38" s="20">
        <f t="shared" si="15"/>
        <v>152000</v>
      </c>
      <c r="AN38" s="20">
        <v>10</v>
      </c>
      <c r="AO38" s="20">
        <f t="shared" si="16"/>
        <v>1921840</v>
      </c>
      <c r="AP38" s="20">
        <f t="shared" si="17"/>
        <v>193</v>
      </c>
      <c r="AQ38" s="34"/>
    </row>
    <row r="39" spans="1:43" s="18" customFormat="1">
      <c r="B39" s="22">
        <v>43251</v>
      </c>
      <c r="C39" s="23">
        <v>29</v>
      </c>
      <c r="D39" s="20">
        <v>226</v>
      </c>
      <c r="E39" s="21">
        <v>4.1399999999998727</v>
      </c>
      <c r="F39" s="20">
        <f t="shared" si="0"/>
        <v>8279.9999999997453</v>
      </c>
      <c r="G39" s="20">
        <f t="shared" si="1"/>
        <v>8573939.9999997355</v>
      </c>
      <c r="H39" s="20">
        <v>0.87000000000000455</v>
      </c>
      <c r="I39" s="20">
        <f t="shared" si="2"/>
        <v>1740.0000000000091</v>
      </c>
      <c r="J39" s="20">
        <f t="shared" si="3"/>
        <v>2702655.000000014</v>
      </c>
      <c r="K39" s="20">
        <f t="shared" si="4"/>
        <v>11276594.99999975</v>
      </c>
      <c r="L39" s="20">
        <f t="shared" si="5"/>
        <v>12404254.499999726</v>
      </c>
      <c r="M39" s="34">
        <f t="shared" si="6"/>
        <v>10019.999999999754</v>
      </c>
      <c r="N39" s="20"/>
      <c r="O39" s="33">
        <v>102.74193548387096</v>
      </c>
      <c r="P39" s="33">
        <f t="shared" si="7"/>
        <v>1196943.5483870967</v>
      </c>
      <c r="Q39" s="33"/>
      <c r="R39" s="33">
        <v>29.35483870967742</v>
      </c>
      <c r="S39" s="33">
        <f t="shared" si="8"/>
        <v>341983.87096774194</v>
      </c>
      <c r="T39" s="20"/>
      <c r="U39" s="20">
        <v>10.274193548387098</v>
      </c>
      <c r="V39" s="33">
        <f t="shared" si="9"/>
        <v>119694.3548387097</v>
      </c>
      <c r="W39" s="20"/>
      <c r="X39" s="20">
        <v>4.4032258064516103</v>
      </c>
      <c r="Y39" s="20">
        <f t="shared" si="10"/>
        <v>51297.580645161259</v>
      </c>
      <c r="Z39" s="20">
        <f t="shared" si="11"/>
        <v>146.7741935483871</v>
      </c>
      <c r="AA39" s="20">
        <f t="shared" si="12"/>
        <v>1709919.3548387098</v>
      </c>
      <c r="AB39" s="20">
        <f>SUM(AB9:AB38)</f>
        <v>0</v>
      </c>
      <c r="AC39" s="20"/>
      <c r="AD39" s="20">
        <f>SUM(AD9:AD38)</f>
        <v>0</v>
      </c>
      <c r="AE39" s="34">
        <v>10700</v>
      </c>
      <c r="AF39" s="20">
        <f>SUM(AF9:AF38)</f>
        <v>0</v>
      </c>
      <c r="AG39" s="20">
        <f>SUM(AG9:AG38)</f>
        <v>0</v>
      </c>
      <c r="AH39" s="20">
        <v>96</v>
      </c>
      <c r="AI39" s="20">
        <f t="shared" si="13"/>
        <v>1303872</v>
      </c>
      <c r="AJ39" s="20">
        <v>47</v>
      </c>
      <c r="AK39" s="20">
        <f t="shared" si="14"/>
        <v>188000</v>
      </c>
      <c r="AL39" s="20">
        <v>45</v>
      </c>
      <c r="AM39" s="20">
        <f t="shared" si="15"/>
        <v>180000</v>
      </c>
      <c r="AN39" s="20">
        <f>SUM(AN9:AN38)</f>
        <v>300</v>
      </c>
      <c r="AO39" s="20">
        <f t="shared" si="16"/>
        <v>1671872</v>
      </c>
      <c r="AP39" s="20">
        <f t="shared" si="17"/>
        <v>188</v>
      </c>
      <c r="AQ39" s="20">
        <f>SUM(AQ9:AQ38)</f>
        <v>0</v>
      </c>
    </row>
    <row r="40" spans="1:43">
      <c r="B40" s="49"/>
      <c r="C40" s="20"/>
      <c r="D40" s="64"/>
      <c r="E40" s="20">
        <f t="shared" ref="E40:W40" si="18">SUM(E9:E39)</f>
        <v>139.54999999999973</v>
      </c>
      <c r="F40" s="20">
        <f t="shared" si="18"/>
        <v>279099.99999999948</v>
      </c>
      <c r="G40" s="20">
        <f t="shared" si="18"/>
        <v>289008049.9999994</v>
      </c>
      <c r="H40" s="20">
        <f t="shared" si="18"/>
        <v>30.080000000000041</v>
      </c>
      <c r="I40" s="20">
        <f t="shared" si="18"/>
        <v>60160.00000000008</v>
      </c>
      <c r="J40" s="20">
        <f t="shared" si="18"/>
        <v>93443520.000000149</v>
      </c>
      <c r="K40" s="20">
        <f t="shared" si="18"/>
        <v>382451569.99999952</v>
      </c>
      <c r="L40" s="20">
        <f t="shared" si="18"/>
        <v>420696726.99999946</v>
      </c>
      <c r="M40" s="34">
        <f t="shared" si="6"/>
        <v>339259.99999999953</v>
      </c>
      <c r="N40" s="20">
        <f t="shared" si="18"/>
        <v>3185</v>
      </c>
      <c r="O40" s="20">
        <f t="shared" si="18"/>
        <v>3184.9999999999973</v>
      </c>
      <c r="P40" s="20">
        <f t="shared" si="18"/>
        <v>37105249.999999985</v>
      </c>
      <c r="Q40" s="20">
        <f t="shared" si="18"/>
        <v>910</v>
      </c>
      <c r="R40" s="20">
        <f t="shared" si="18"/>
        <v>910.00000000000034</v>
      </c>
      <c r="S40" s="20">
        <f t="shared" si="18"/>
        <v>10601500.000000002</v>
      </c>
      <c r="T40" s="20">
        <f t="shared" si="18"/>
        <v>318.50000000000006</v>
      </c>
      <c r="U40" s="20">
        <f t="shared" si="18"/>
        <v>318.49999999999994</v>
      </c>
      <c r="V40" s="20">
        <f t="shared" si="18"/>
        <v>3710525.0000000033</v>
      </c>
      <c r="W40" s="20">
        <f t="shared" si="18"/>
        <v>136.5</v>
      </c>
      <c r="X40" s="20">
        <f>SUM(X9:X39)</f>
        <v>136.50000000000006</v>
      </c>
      <c r="Y40" s="20">
        <f>SUM(Y9:Y39)</f>
        <v>1590224.9999999995</v>
      </c>
      <c r="Z40" s="20">
        <f t="shared" si="11"/>
        <v>4549.9999999999973</v>
      </c>
      <c r="AA40" s="20">
        <f t="shared" ref="Z40:AL40" si="19">SUM(AA9:AA39)</f>
        <v>53007499.99999997</v>
      </c>
      <c r="AB40" s="20">
        <f t="shared" si="19"/>
        <v>0</v>
      </c>
      <c r="AC40" s="20">
        <f t="shared" si="19"/>
        <v>200</v>
      </c>
      <c r="AD40" s="20">
        <f t="shared" si="19"/>
        <v>0</v>
      </c>
      <c r="AE40" s="20">
        <f t="shared" si="19"/>
        <v>331700</v>
      </c>
      <c r="AF40" s="20">
        <f t="shared" si="19"/>
        <v>0</v>
      </c>
      <c r="AG40" s="20">
        <f t="shared" si="19"/>
        <v>0</v>
      </c>
      <c r="AH40" s="20">
        <f t="shared" si="19"/>
        <v>3716</v>
      </c>
      <c r="AI40" s="20">
        <f t="shared" si="19"/>
        <v>50470712</v>
      </c>
      <c r="AJ40" s="20">
        <f t="shared" si="19"/>
        <v>1542</v>
      </c>
      <c r="AK40" s="20">
        <f t="shared" si="19"/>
        <v>6168000</v>
      </c>
      <c r="AL40" s="20">
        <f>SUM(AL9:AL39)</f>
        <v>1501</v>
      </c>
      <c r="AM40" s="20">
        <f t="shared" ref="AM40" si="20">SUM(AM9:AM39)</f>
        <v>6004000</v>
      </c>
      <c r="AN40" s="20">
        <f t="shared" ref="AN40" si="21">SUM(AN9:AN39)</f>
        <v>600</v>
      </c>
      <c r="AO40" s="20">
        <f t="shared" ref="AO40" si="22">SUM(AO9:AO39)</f>
        <v>62642712</v>
      </c>
      <c r="AP40" s="20">
        <f t="shared" ref="AP40" si="23">SUM(AP9:AP39)</f>
        <v>6759</v>
      </c>
      <c r="AQ40" s="20">
        <f t="shared" ref="AQ40" si="24">SUM(AQ9:AQ39)</f>
        <v>0</v>
      </c>
    </row>
    <row r="41" spans="1:43">
      <c r="L41" s="19">
        <f>L40/M40</f>
        <v>1240.0422301479691</v>
      </c>
      <c r="AO41" s="19">
        <f>AO40/AP40</f>
        <v>9268.0443852640929</v>
      </c>
    </row>
  </sheetData>
  <mergeCells count="41"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  <mergeCell ref="B5:B7"/>
    <mergeCell ref="C5:C7"/>
    <mergeCell ref="D5:D7"/>
    <mergeCell ref="E5:G5"/>
    <mergeCell ref="H5:J5"/>
    <mergeCell ref="H6:H7"/>
    <mergeCell ref="I6:I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AG4:AG7"/>
    <mergeCell ref="AD6:AD7"/>
    <mergeCell ref="K5:K7"/>
    <mergeCell ref="L5:L7"/>
    <mergeCell ref="AC4:AE5"/>
    <mergeCell ref="AF4:AF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25168-4589-4EEA-9165-E2C2134D79FC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