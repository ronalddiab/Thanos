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30" documentId="8_{823994CA-9784-40F1-A679-2845C45D5AA0}" xr6:coauthVersionLast="47" xr6:coauthVersionMax="47" xr10:uidLastSave="{2F135D80-255F-43D6-B270-0600DCC3354C}"/>
  <bookViews>
    <workbookView xWindow="-98" yWindow="-98" windowWidth="19396" windowHeight="10276" tabRatio="338" xr2:uid="{00000000-000D-0000-FFFF-FFFF00000000}"/>
  </bookViews>
  <sheets>
    <sheet name="Total" sheetId="3" r:id="rId1"/>
    <sheet name="Monthl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U22" i="2" l="1"/>
  <c r="U23" i="2"/>
  <c r="U24" i="2"/>
  <c r="U25" i="2"/>
  <c r="U26" i="2"/>
  <c r="U27" i="2"/>
  <c r="U28" i="2"/>
  <c r="U29" i="2"/>
  <c r="U30" i="2"/>
  <c r="U31" i="2"/>
  <c r="U3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H31" i="2" s="1"/>
  <c r="I31" i="2" s="1"/>
  <c r="Y30" i="2"/>
  <c r="S30" i="2"/>
  <c r="K30" i="2"/>
  <c r="G30" i="2"/>
  <c r="E30" i="2"/>
  <c r="C30" i="2"/>
  <c r="Y29" i="2"/>
  <c r="S29" i="2"/>
  <c r="K29" i="2"/>
  <c r="G29" i="2"/>
  <c r="E29" i="2"/>
  <c r="C29" i="2"/>
  <c r="H29" i="2" s="1"/>
  <c r="Y28" i="2"/>
  <c r="S28" i="2"/>
  <c r="K28" i="2"/>
  <c r="G28" i="2"/>
  <c r="E28" i="2"/>
  <c r="C28" i="2"/>
  <c r="Y27" i="2"/>
  <c r="S27" i="2"/>
  <c r="K27" i="2"/>
  <c r="G27" i="2"/>
  <c r="E27" i="2"/>
  <c r="C27" i="2"/>
  <c r="H27" i="2" s="1"/>
  <c r="I27" i="2" s="1"/>
  <c r="Y26" i="2"/>
  <c r="S26" i="2"/>
  <c r="K26" i="2"/>
  <c r="G26" i="2"/>
  <c r="E26" i="2"/>
  <c r="C26" i="2"/>
  <c r="Y25" i="2"/>
  <c r="S25" i="2"/>
  <c r="K25" i="2"/>
  <c r="G25" i="2"/>
  <c r="E25" i="2"/>
  <c r="C25" i="2"/>
  <c r="H25" i="2" s="1"/>
  <c r="Y24" i="2"/>
  <c r="S24" i="2"/>
  <c r="K24" i="2"/>
  <c r="G24" i="2"/>
  <c r="E24" i="2"/>
  <c r="C24" i="2"/>
  <c r="Y23" i="2"/>
  <c r="S23" i="2"/>
  <c r="K23" i="2"/>
  <c r="G23" i="2"/>
  <c r="E23" i="2"/>
  <c r="C23" i="2"/>
  <c r="H23" i="2" s="1"/>
  <c r="I23" i="2" s="1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H10" i="2" s="1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H21" i="2" l="1"/>
  <c r="H19" i="2"/>
  <c r="I19" i="2" s="1"/>
  <c r="H15" i="2"/>
  <c r="H11" i="2"/>
  <c r="I11" i="2" s="1"/>
  <c r="H9" i="2"/>
  <c r="H7" i="2"/>
  <c r="H6" i="2"/>
  <c r="H5" i="2"/>
  <c r="H3" i="2"/>
  <c r="I3" i="2" s="1"/>
  <c r="AB34" i="2"/>
  <c r="Y34" i="2"/>
  <c r="W34" i="2"/>
  <c r="H2" i="2"/>
  <c r="H32" i="2"/>
  <c r="I32" i="2" s="1"/>
  <c r="J32" i="2" s="1"/>
  <c r="H30" i="2"/>
  <c r="H20" i="2"/>
  <c r="H24" i="2"/>
  <c r="H28" i="2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30" i="2"/>
  <c r="J30" i="2" s="1"/>
  <c r="I29" i="2"/>
  <c r="I28" i="2"/>
  <c r="J27" i="2" s="1"/>
  <c r="I26" i="2"/>
  <c r="J26" i="2" s="1"/>
  <c r="I25" i="2"/>
  <c r="I24" i="2"/>
  <c r="I21" i="2"/>
  <c r="I20" i="2"/>
  <c r="J20" i="2" s="1"/>
  <c r="I16" i="2"/>
  <c r="I15" i="2"/>
  <c r="I13" i="2"/>
  <c r="I10" i="2"/>
  <c r="J10" i="2" s="1"/>
  <c r="I9" i="2"/>
  <c r="I7" i="2"/>
  <c r="I6" i="2"/>
  <c r="I5" i="2"/>
  <c r="J23" i="2"/>
  <c r="I2" i="2"/>
  <c r="C34" i="2"/>
  <c r="J13" i="2" l="1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<sst xmlns="http://schemas.openxmlformats.org/spreadsheetml/2006/main" count="77" uniqueCount="40">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</sst>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abSelected="1" workbookViewId="0">
      <selection activeCell="D11" sqref="D11"/>
    </sheetView>
  </sheetViews>
  <sheetFormatPr defaultColWidth="8.86328125" defaultRowHeight="12.75" x14ac:dyDescent="0.35"/>
  <cols>
    <col min="1" max="1" width="23" style="5" customWidth="1"/>
    <col min="2" max="2" width="11.53125" style="5" customWidth="1"/>
    <col min="3" max="3" width="8.86328125" style="5"/>
    <col min="4" max="4" width="13.46484375" style="5" customWidth="1"/>
    <col min="5" max="5" width="12.53125" style="104" customWidth="1"/>
    <col min="6" max="6" width="12.53125" style="119" customWidth="1"/>
    <col min="7" max="7" width="8.86328125" style="105"/>
    <col min="8" max="8" width="8.86328125" style="122"/>
    <col min="9" max="10" width="8.86328125" style="111"/>
    <col min="11" max="11" width="8.86328125" style="106"/>
    <col min="12" max="12" width="8.86328125" style="125"/>
    <col min="13" max="13" width="12.33203125" style="116" bestFit="1" customWidth="1"/>
    <col min="14" max="14" width="12.33203125" style="128" bestFit="1" customWidth="1"/>
    <col min="15" max="15" width="8.86328125" style="112"/>
    <col min="16" max="16" width="11.53125" style="112" customWidth="1"/>
    <col min="17" max="16384" width="8.86328125" style="5"/>
  </cols>
  <sheetData>
    <row r="1" spans="1:16" ht="71.650000000000006" thickBot="1" x14ac:dyDescent="0.4">
      <c r="A1" s="97" t="s">
        <v>24</v>
      </c>
      <c r="B1" s="97" t="s">
        <v>25</v>
      </c>
      <c r="C1" s="97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4.65" thickTop="1" x14ac:dyDescent="0.45">
      <c r="A2" s="103" t="s">
        <v>37</v>
      </c>
      <c r="B2" s="5">
        <v>1</v>
      </c>
      <c r="C2" s="5">
        <v>8</v>
      </c>
      <c r="D2" s="4">
        <v>2024</v>
      </c>
      <c r="E2" s="104">
        <f>IF(Monthly!C2&lt;0,"0",Monthly!C2)+(IF(Monthly!E2&lt;0,"0",Monthly!E2)-(IF(Monthly!G2&lt;0,"0",Monthly!G2)))</f>
        <v>11605</v>
      </c>
      <c r="F2" s="118">
        <f>(Monthly!C2*0.27)/(Monthly!C2+Monthly!E2)</f>
        <v>0.23593881947436451</v>
      </c>
      <c r="G2" s="105">
        <f>Monthly!U2</f>
        <v>85</v>
      </c>
      <c r="H2" s="121">
        <v>0.62</v>
      </c>
      <c r="I2" s="106">
        <f>Monthly!W2</f>
        <v>131</v>
      </c>
      <c r="J2" s="107">
        <v>2.42</v>
      </c>
      <c r="K2" s="114">
        <f>Monthly!AB2*5.04</f>
        <v>1058.4000000000001</v>
      </c>
      <c r="L2" s="124">
        <v>0.11509999999999999</v>
      </c>
      <c r="M2" s="115">
        <f>Monthly!M2</f>
        <v>0</v>
      </c>
      <c r="N2" s="127">
        <v>0.88</v>
      </c>
      <c r="O2" s="108">
        <f>Monthly!AC2</f>
        <v>179</v>
      </c>
      <c r="P2" s="108">
        <f>Monthly!AD2</f>
        <v>375</v>
      </c>
    </row>
    <row r="3" spans="1:16" ht="14.25" x14ac:dyDescent="0.45">
      <c r="A3" s="103" t="s">
        <v>37</v>
      </c>
      <c r="B3" s="5">
        <f>B2+1</f>
        <v>2</v>
      </c>
      <c r="C3" s="5">
        <v>8</v>
      </c>
      <c r="D3" s="4">
        <v>2024</v>
      </c>
      <c r="E3" s="104">
        <f>IF(Monthly!C3&lt;0,"0",Monthly!C3)+(IF(Monthly!E3&lt;0,"0",Monthly!E3)-(IF(Monthly!G3&lt;0,"0",Monthly!G3)))</f>
        <v>11011</v>
      </c>
      <c r="F3" s="118">
        <f>(Monthly!C3*0.27)/(Monthly!C3+Monthly!E3)</f>
        <v>0.23346380891835439</v>
      </c>
      <c r="G3" s="105">
        <f>Monthly!U3</f>
        <v>125</v>
      </c>
      <c r="H3" s="121">
        <v>0.62</v>
      </c>
      <c r="I3" s="106">
        <f>Monthly!W3</f>
        <v>111</v>
      </c>
      <c r="J3" s="107">
        <v>2.42</v>
      </c>
      <c r="K3" s="114">
        <f>Monthly!AB3*5.04</f>
        <v>932.4</v>
      </c>
      <c r="L3" s="124">
        <v>0.11509999999999999</v>
      </c>
      <c r="M3" s="115">
        <f>Monthly!M3</f>
        <v>0</v>
      </c>
      <c r="N3" s="127">
        <v>0.88</v>
      </c>
      <c r="O3" s="108">
        <f>Monthly!AC3</f>
        <v>212</v>
      </c>
      <c r="P3" s="108">
        <f>Monthly!AD3</f>
        <v>442</v>
      </c>
    </row>
    <row r="4" spans="1:16" ht="14.25" x14ac:dyDescent="0.45">
      <c r="A4" s="103" t="s">
        <v>37</v>
      </c>
      <c r="B4" s="5">
        <f t="shared" ref="B4:B32" si="0">B3+1</f>
        <v>3</v>
      </c>
      <c r="C4" s="5">
        <v>8</v>
      </c>
      <c r="D4" s="4">
        <v>2024</v>
      </c>
      <c r="E4" s="104">
        <f>IF(Monthly!C4&lt;0,"0",Monthly!C4)+(IF(Monthly!E4&lt;0,"0",Monthly!E4)-(IF(Monthly!G4&lt;0,"0",Monthly!G4)))</f>
        <v>10750</v>
      </c>
      <c r="F4" s="118">
        <f>(Monthly!C4*0.27)/(Monthly!C4+Monthly!E4)</f>
        <v>0.2352139534883721</v>
      </c>
      <c r="G4" s="105">
        <f>Monthly!U4</f>
        <v>90</v>
      </c>
      <c r="H4" s="121">
        <v>0.62</v>
      </c>
      <c r="I4" s="106">
        <f>Monthly!W4</f>
        <v>138</v>
      </c>
      <c r="J4" s="107">
        <v>2.42</v>
      </c>
      <c r="K4" s="114">
        <f>Monthly!AB4*5.04</f>
        <v>957.6</v>
      </c>
      <c r="L4" s="124">
        <v>0.11509999999999999</v>
      </c>
      <c r="M4" s="115">
        <f>Monthly!M4</f>
        <v>0</v>
      </c>
      <c r="N4" s="127">
        <v>0.88</v>
      </c>
      <c r="O4" s="108">
        <f>Monthly!AC4</f>
        <v>222</v>
      </c>
      <c r="P4" s="108">
        <f>Monthly!AD4</f>
        <v>467</v>
      </c>
    </row>
    <row r="5" spans="1:16" ht="14.25" x14ac:dyDescent="0.45">
      <c r="A5" s="103" t="s">
        <v>37</v>
      </c>
      <c r="B5" s="5">
        <f t="shared" si="0"/>
        <v>4</v>
      </c>
      <c r="C5" s="5">
        <v>8</v>
      </c>
      <c r="D5" s="4">
        <v>2024</v>
      </c>
      <c r="E5" s="104">
        <f>IF(Monthly!C5&lt;0,"0",Monthly!C5)+(IF(Monthly!E5&lt;0,"0",Monthly!E5)-(IF(Monthly!G5&lt;0,"0",Monthly!G5)))</f>
        <v>11208</v>
      </c>
      <c r="F5" s="118">
        <f>(Monthly!C5*0.27)/(Monthly!C5+Monthly!E5)</f>
        <v>0.23521413276231265</v>
      </c>
      <c r="G5" s="105">
        <f>Monthly!U5</f>
        <v>150</v>
      </c>
      <c r="H5" s="121">
        <v>0.62</v>
      </c>
      <c r="I5" s="106">
        <f>Monthly!W5</f>
        <v>126</v>
      </c>
      <c r="J5" s="107">
        <v>2.42</v>
      </c>
      <c r="K5" s="114">
        <f>Monthly!AB5*5.04</f>
        <v>1108.8</v>
      </c>
      <c r="L5" s="124">
        <v>0.11509999999999999</v>
      </c>
      <c r="M5" s="115">
        <f>Monthly!M5</f>
        <v>0</v>
      </c>
      <c r="N5" s="127">
        <v>0.88</v>
      </c>
      <c r="O5" s="108">
        <f>Monthly!AC5</f>
        <v>202</v>
      </c>
      <c r="P5" s="108">
        <f>Monthly!AD5</f>
        <v>431</v>
      </c>
    </row>
    <row r="6" spans="1:16" ht="14.25" x14ac:dyDescent="0.45">
      <c r="A6" s="103" t="s">
        <v>37</v>
      </c>
      <c r="B6" s="5">
        <f t="shared" si="0"/>
        <v>5</v>
      </c>
      <c r="C6" s="5">
        <v>8</v>
      </c>
      <c r="D6" s="4">
        <v>2024</v>
      </c>
      <c r="E6" s="104">
        <f>IF(Monthly!C6&lt;0,"0",Monthly!C6)+(IF(Monthly!E6&lt;0,"0",Monthly!E6)-(IF(Monthly!G6&lt;0,"0",Monthly!G6)))</f>
        <v>11213</v>
      </c>
      <c r="F6" s="118">
        <f>(Monthly!C6*0.27)/(Monthly!C6+Monthly!E6)</f>
        <v>0.23402568447337913</v>
      </c>
      <c r="G6" s="105">
        <f>Monthly!U6</f>
        <v>74</v>
      </c>
      <c r="H6" s="121">
        <v>0.62</v>
      </c>
      <c r="I6" s="106">
        <f>Monthly!W6</f>
        <v>134</v>
      </c>
      <c r="J6" s="107">
        <v>2.42</v>
      </c>
      <c r="K6" s="114">
        <f>Monthly!AB6*5.04</f>
        <v>1108.8</v>
      </c>
      <c r="L6" s="124">
        <v>0.11509999999999999</v>
      </c>
      <c r="M6" s="115">
        <f>Monthly!M6</f>
        <v>0</v>
      </c>
      <c r="N6" s="127">
        <v>0.88</v>
      </c>
      <c r="O6" s="108">
        <f>Monthly!AC6</f>
        <v>223</v>
      </c>
      <c r="P6" s="108">
        <f>Monthly!AD6</f>
        <v>483</v>
      </c>
    </row>
    <row r="7" spans="1:16" ht="14.25" x14ac:dyDescent="0.45">
      <c r="A7" s="103" t="s">
        <v>37</v>
      </c>
      <c r="B7" s="5">
        <f t="shared" si="0"/>
        <v>6</v>
      </c>
      <c r="C7" s="5">
        <v>8</v>
      </c>
      <c r="D7" s="4">
        <v>2024</v>
      </c>
      <c r="E7" s="104">
        <f>IF(Monthly!C7&lt;0,"0",Monthly!C7)+(IF(Monthly!E7&lt;0,"0",Monthly!E7)-(IF(Monthly!G7&lt;0,"0",Monthly!G7)))</f>
        <v>10781</v>
      </c>
      <c r="F7" s="118">
        <f>(Monthly!C7*0.27)/(Monthly!C7+Monthly!E7)</f>
        <v>0.23303496892681572</v>
      </c>
      <c r="G7" s="105" t="str">
        <f>Monthly!U7</f>
        <v>0</v>
      </c>
      <c r="H7" s="121">
        <v>0.62</v>
      </c>
      <c r="I7" s="106">
        <f>Monthly!W7</f>
        <v>135</v>
      </c>
      <c r="J7" s="107">
        <v>2.42</v>
      </c>
      <c r="K7" s="114">
        <f>Monthly!AB7*5.04</f>
        <v>1209.5999999999999</v>
      </c>
      <c r="L7" s="124">
        <v>0.11509999999999999</v>
      </c>
      <c r="M7" s="115">
        <f>Monthly!M7</f>
        <v>0</v>
      </c>
      <c r="N7" s="127">
        <v>0.88</v>
      </c>
      <c r="O7" s="108">
        <f>Monthly!AC7</f>
        <v>212</v>
      </c>
      <c r="P7" s="108">
        <f>Monthly!AD7</f>
        <v>464</v>
      </c>
    </row>
    <row r="8" spans="1:16" ht="14.25" x14ac:dyDescent="0.45">
      <c r="A8" s="103" t="s">
        <v>37</v>
      </c>
      <c r="B8" s="5">
        <f t="shared" si="0"/>
        <v>7</v>
      </c>
      <c r="C8" s="5">
        <v>8</v>
      </c>
      <c r="D8" s="4">
        <v>2024</v>
      </c>
      <c r="E8" s="104">
        <f>IF(Monthly!C8&lt;0,"0",Monthly!C8)+(IF(Monthly!E8&lt;0,"0",Monthly!E8)-(IF(Monthly!G8&lt;0,"0",Monthly!G8)))</f>
        <v>11430</v>
      </c>
      <c r="F8" s="118">
        <f>(Monthly!C8*0.27)/(Monthly!C8+Monthly!E8)</f>
        <v>0.23558267716535433</v>
      </c>
      <c r="G8" s="105">
        <f>Monthly!U8</f>
        <v>85</v>
      </c>
      <c r="H8" s="121">
        <v>0.62</v>
      </c>
      <c r="I8" s="106">
        <f>Monthly!W8</f>
        <v>126</v>
      </c>
      <c r="J8" s="107">
        <v>2.42</v>
      </c>
      <c r="K8" s="114">
        <f>Monthly!AB8*5.04</f>
        <v>1134</v>
      </c>
      <c r="L8" s="124">
        <v>0.11509999999999999</v>
      </c>
      <c r="M8" s="115">
        <f>Monthly!M8</f>
        <v>0</v>
      </c>
      <c r="N8" s="127">
        <v>0.88</v>
      </c>
      <c r="O8" s="108">
        <f>Monthly!AC8</f>
        <v>205</v>
      </c>
      <c r="P8" s="108">
        <f>Monthly!AD8</f>
        <v>467</v>
      </c>
    </row>
    <row r="9" spans="1:16" ht="14.25" x14ac:dyDescent="0.45">
      <c r="A9" s="103" t="s">
        <v>37</v>
      </c>
      <c r="B9" s="5">
        <f t="shared" si="0"/>
        <v>8</v>
      </c>
      <c r="C9" s="5">
        <v>8</v>
      </c>
      <c r="D9" s="4">
        <v>2024</v>
      </c>
      <c r="E9" s="104">
        <f>IF(Monthly!C9&lt;0,"0",Monthly!C9)+(IF(Monthly!E9&lt;0,"0",Monthly!E9)-(IF(Monthly!G9&lt;0,"0",Monthly!G9)))</f>
        <v>11251</v>
      </c>
      <c r="F9" s="118">
        <f>(Monthly!C9*0.27)/(Monthly!C9+Monthly!E9)</f>
        <v>0.23472313572126924</v>
      </c>
      <c r="G9" s="105">
        <f>Monthly!U9</f>
        <v>45</v>
      </c>
      <c r="H9" s="121">
        <v>0.62</v>
      </c>
      <c r="I9" s="106">
        <f>Monthly!W9</f>
        <v>137</v>
      </c>
      <c r="J9" s="107">
        <v>2.42</v>
      </c>
      <c r="K9" s="114">
        <f>Monthly!AB9*5.04</f>
        <v>1134</v>
      </c>
      <c r="L9" s="124">
        <v>0.11509999999999999</v>
      </c>
      <c r="M9" s="115">
        <f>Monthly!M9</f>
        <v>0</v>
      </c>
      <c r="N9" s="127">
        <v>0.88</v>
      </c>
      <c r="O9" s="108">
        <f>Monthly!AC9</f>
        <v>215</v>
      </c>
      <c r="P9" s="108">
        <f>Monthly!AD9</f>
        <v>461</v>
      </c>
    </row>
    <row r="10" spans="1:16" ht="14.25" x14ac:dyDescent="0.45">
      <c r="A10" s="103" t="s">
        <v>37</v>
      </c>
      <c r="B10" s="5">
        <f t="shared" si="0"/>
        <v>9</v>
      </c>
      <c r="C10" s="5">
        <v>8</v>
      </c>
      <c r="D10" s="4">
        <v>2024</v>
      </c>
      <c r="E10" s="104">
        <f>IF(Monthly!C10&lt;0,"0",Monthly!C10)+(IF(Monthly!E10&lt;0,"0",Monthly!E10)-(IF(Monthly!G10&lt;0,"0",Monthly!G10)))</f>
        <v>11156</v>
      </c>
      <c r="F10" s="118">
        <f>(Monthly!C10*0.27)/(Monthly!C10+Monthly!E10)</f>
        <v>0.23524560774471137</v>
      </c>
      <c r="G10" s="105">
        <f>Monthly!U10</f>
        <v>190</v>
      </c>
      <c r="H10" s="121">
        <v>0.62</v>
      </c>
      <c r="I10" s="106">
        <f>Monthly!W10</f>
        <v>130</v>
      </c>
      <c r="J10" s="107">
        <v>2.42</v>
      </c>
      <c r="K10" s="114">
        <f>Monthly!AB10*5.04</f>
        <v>1209.5999999999999</v>
      </c>
      <c r="L10" s="124">
        <v>0.11509999999999999</v>
      </c>
      <c r="M10" s="115">
        <f>Monthly!M10</f>
        <v>0</v>
      </c>
      <c r="N10" s="127">
        <v>0.88</v>
      </c>
      <c r="O10" s="108">
        <f>Monthly!AC10</f>
        <v>215</v>
      </c>
      <c r="P10" s="108">
        <f>Monthly!AD10</f>
        <v>489</v>
      </c>
    </row>
    <row r="11" spans="1:16" ht="14.25" x14ac:dyDescent="0.45">
      <c r="A11" s="103" t="s">
        <v>37</v>
      </c>
      <c r="B11" s="5">
        <f t="shared" si="0"/>
        <v>10</v>
      </c>
      <c r="C11" s="5">
        <v>8</v>
      </c>
      <c r="D11" s="4">
        <v>2024</v>
      </c>
      <c r="E11" s="104">
        <f>IF(Monthly!C11&lt;0,"0",Monthly!C11)+(IF(Monthly!E11&lt;0,"0",Monthly!E11)-(IF(Monthly!G11&lt;0,"0",Monthly!G11)))</f>
        <v>10988</v>
      </c>
      <c r="F11" s="118">
        <f>(Monthly!C11*0.27)/(Monthly!C11+Monthly!E11)</f>
        <v>0.23500910083727705</v>
      </c>
      <c r="G11" s="105">
        <f>Monthly!U11</f>
        <v>130</v>
      </c>
      <c r="H11" s="121">
        <v>0.62</v>
      </c>
      <c r="I11" s="106">
        <f>Monthly!W11</f>
        <v>143</v>
      </c>
      <c r="J11" s="107">
        <v>2.42</v>
      </c>
      <c r="K11" s="114">
        <f>Monthly!AB11*5.04</f>
        <v>1159.2</v>
      </c>
      <c r="L11" s="124">
        <v>0.11509999999999999</v>
      </c>
      <c r="M11" s="115">
        <f>Monthly!M11</f>
        <v>0</v>
      </c>
      <c r="N11" s="127">
        <v>0.88</v>
      </c>
      <c r="O11" s="108">
        <f>Monthly!AC11</f>
        <v>221</v>
      </c>
      <c r="P11" s="108">
        <f>Monthly!AD11</f>
        <v>504</v>
      </c>
    </row>
    <row r="12" spans="1:16" ht="14.25" x14ac:dyDescent="0.45">
      <c r="A12" s="103" t="s">
        <v>37</v>
      </c>
      <c r="B12" s="5">
        <f t="shared" si="0"/>
        <v>11</v>
      </c>
      <c r="C12" s="5">
        <v>8</v>
      </c>
      <c r="D12" s="4">
        <v>2024</v>
      </c>
      <c r="E12" s="104">
        <f>IF(Monthly!C12&lt;0,"0",Monthly!C12)+(IF(Monthly!E12&lt;0,"0",Monthly!E12)-(IF(Monthly!G12&lt;0,"0",Monthly!G12)))</f>
        <v>11975</v>
      </c>
      <c r="F12" s="118">
        <f>(Monthly!C12*0.27)/(Monthly!C12+Monthly!E12)</f>
        <v>0.2384116910229645</v>
      </c>
      <c r="G12" s="105">
        <f>Monthly!U12</f>
        <v>95</v>
      </c>
      <c r="H12" s="121">
        <v>0.62</v>
      </c>
      <c r="I12" s="106">
        <f>Monthly!W12</f>
        <v>134</v>
      </c>
      <c r="J12" s="107">
        <v>2.42</v>
      </c>
      <c r="K12" s="114">
        <f>Monthly!AB12*5.04</f>
        <v>1260</v>
      </c>
      <c r="L12" s="124">
        <v>0.11509999999999999</v>
      </c>
      <c r="M12" s="115">
        <f>Monthly!M12</f>
        <v>0</v>
      </c>
      <c r="N12" s="127">
        <v>0.88</v>
      </c>
      <c r="O12" s="108">
        <f>Monthly!AC12</f>
        <v>225</v>
      </c>
      <c r="P12" s="108">
        <f>Monthly!AD12</f>
        <v>517</v>
      </c>
    </row>
    <row r="13" spans="1:16" ht="14.25" x14ac:dyDescent="0.45">
      <c r="A13" s="103" t="s">
        <v>37</v>
      </c>
      <c r="B13" s="5">
        <f t="shared" si="0"/>
        <v>12</v>
      </c>
      <c r="C13" s="5">
        <v>8</v>
      </c>
      <c r="D13" s="4">
        <v>2024</v>
      </c>
      <c r="E13" s="104">
        <f>IF(Monthly!C13&lt;0,"0",Monthly!C13)+(IF(Monthly!E13&lt;0,"0",Monthly!E13)-(IF(Monthly!G13&lt;0,"0",Monthly!G13)))</f>
        <v>11735</v>
      </c>
      <c r="F13" s="118">
        <f>(Monthly!C13*0.27)/(Monthly!C13+Monthly!E13)</f>
        <v>0.23762760971452923</v>
      </c>
      <c r="G13" s="105">
        <f>Monthly!U13</f>
        <v>136</v>
      </c>
      <c r="H13" s="121">
        <v>0.62</v>
      </c>
      <c r="I13" s="106">
        <f>Monthly!W13</f>
        <v>158</v>
      </c>
      <c r="J13" s="107">
        <v>2.42</v>
      </c>
      <c r="K13" s="114">
        <f>Monthly!AB13*5.04</f>
        <v>1108.8</v>
      </c>
      <c r="L13" s="124">
        <v>0.11509999999999999</v>
      </c>
      <c r="M13" s="115">
        <f>Monthly!M13</f>
        <v>0</v>
      </c>
      <c r="N13" s="127">
        <v>0.88</v>
      </c>
      <c r="O13" s="108">
        <f>Monthly!AC13</f>
        <v>235</v>
      </c>
      <c r="P13" s="108">
        <f>Monthly!AD13</f>
        <v>557</v>
      </c>
    </row>
    <row r="14" spans="1:16" ht="14.25" x14ac:dyDescent="0.45">
      <c r="A14" s="103" t="s">
        <v>37</v>
      </c>
      <c r="B14" s="5">
        <f t="shared" si="0"/>
        <v>13</v>
      </c>
      <c r="C14" s="5">
        <v>8</v>
      </c>
      <c r="D14" s="4">
        <v>2024</v>
      </c>
      <c r="E14" s="104">
        <f>IF(Monthly!C14&lt;0,"0",Monthly!C14)+(IF(Monthly!E14&lt;0,"0",Monthly!E14)-(IF(Monthly!G14&lt;0,"0",Monthly!G14)))</f>
        <v>12848</v>
      </c>
      <c r="F14" s="118">
        <f>(Monthly!C14*0.27)/(Monthly!C14+Monthly!E14)</f>
        <v>0.24038994396014945</v>
      </c>
      <c r="G14" s="105" t="str">
        <f>Monthly!U14</f>
        <v>0</v>
      </c>
      <c r="H14" s="121">
        <v>0.62</v>
      </c>
      <c r="I14" s="106">
        <f>Monthly!W14</f>
        <v>134</v>
      </c>
      <c r="J14" s="107">
        <v>2.42</v>
      </c>
      <c r="K14" s="114">
        <f>Monthly!AB14*5.04</f>
        <v>1058.4000000000001</v>
      </c>
      <c r="L14" s="124">
        <v>0.11509999999999999</v>
      </c>
      <c r="M14" s="115">
        <f>Monthly!M14</f>
        <v>0</v>
      </c>
      <c r="N14" s="127">
        <v>0.88</v>
      </c>
      <c r="O14" s="108">
        <f>Monthly!AC14</f>
        <v>223</v>
      </c>
      <c r="P14" s="108">
        <f>Monthly!AD14</f>
        <v>516</v>
      </c>
    </row>
    <row r="15" spans="1:16" ht="14.25" x14ac:dyDescent="0.45">
      <c r="A15" s="103" t="s">
        <v>37</v>
      </c>
      <c r="B15" s="5">
        <f t="shared" si="0"/>
        <v>14</v>
      </c>
      <c r="C15" s="5">
        <v>8</v>
      </c>
      <c r="D15" s="4">
        <v>2024</v>
      </c>
      <c r="E15" s="104">
        <f>IF(Monthly!C15&lt;0,"0",Monthly!C15)+(IF(Monthly!E15&lt;0,"0",Monthly!E15)-(IF(Monthly!G15&lt;0,"0",Monthly!G15)))</f>
        <v>12491</v>
      </c>
      <c r="F15" s="118">
        <f>(Monthly!C15*0.27)/(Monthly!C15+Monthly!E15)</f>
        <v>0.24019213833960454</v>
      </c>
      <c r="G15" s="105">
        <f>Monthly!U15</f>
        <v>105</v>
      </c>
      <c r="H15" s="121">
        <v>0.62</v>
      </c>
      <c r="I15" s="106">
        <f>Monthly!W15</f>
        <v>139</v>
      </c>
      <c r="J15" s="107">
        <v>2.42</v>
      </c>
      <c r="K15" s="114">
        <f>Monthly!AB15*5.04</f>
        <v>1134</v>
      </c>
      <c r="L15" s="124">
        <v>0.11509999999999999</v>
      </c>
      <c r="M15" s="115">
        <f>Monthly!M15</f>
        <v>0</v>
      </c>
      <c r="N15" s="127">
        <v>0.88</v>
      </c>
      <c r="O15" s="108">
        <f>Monthly!AC15</f>
        <v>225</v>
      </c>
      <c r="P15" s="108">
        <f>Monthly!AD15</f>
        <v>518</v>
      </c>
    </row>
    <row r="16" spans="1:16" ht="14.25" x14ac:dyDescent="0.45">
      <c r="A16" s="103" t="s">
        <v>37</v>
      </c>
      <c r="B16" s="5">
        <f t="shared" si="0"/>
        <v>15</v>
      </c>
      <c r="C16" s="5">
        <v>8</v>
      </c>
      <c r="D16" s="4">
        <v>2024</v>
      </c>
      <c r="E16" s="104">
        <f>IF(Monthly!C16&lt;0,"0",Monthly!C16)+(IF(Monthly!E16&lt;0,"0",Monthly!E16)-(IF(Monthly!G16&lt;0,"0",Monthly!G16)))</f>
        <v>13017</v>
      </c>
      <c r="F16" s="118">
        <f>(Monthly!C16*0.27)/(Monthly!C16+Monthly!E16)</f>
        <v>0.24120995621110858</v>
      </c>
      <c r="G16" s="105">
        <f>Monthly!U16</f>
        <v>75</v>
      </c>
      <c r="H16" s="121">
        <v>0.62</v>
      </c>
      <c r="I16" s="106">
        <f>Monthly!W16</f>
        <v>170</v>
      </c>
      <c r="J16" s="107">
        <v>2.42</v>
      </c>
      <c r="K16" s="114">
        <f>Monthly!AB16*5.04</f>
        <v>1108.8</v>
      </c>
      <c r="L16" s="124">
        <v>0.11509999999999999</v>
      </c>
      <c r="M16" s="115">
        <f>Monthly!M16</f>
        <v>0</v>
      </c>
      <c r="N16" s="127">
        <v>0.88</v>
      </c>
      <c r="O16" s="108">
        <f>Monthly!AC16</f>
        <v>234</v>
      </c>
      <c r="P16" s="108">
        <f>Monthly!AD16</f>
        <v>551</v>
      </c>
    </row>
    <row r="17" spans="1:16" ht="14.25" x14ac:dyDescent="0.45">
      <c r="A17" s="103" t="s">
        <v>37</v>
      </c>
      <c r="B17" s="5">
        <f t="shared" si="0"/>
        <v>16</v>
      </c>
      <c r="C17" s="5">
        <v>8</v>
      </c>
      <c r="D17" s="4">
        <v>2024</v>
      </c>
      <c r="E17" s="104">
        <f>IF(Monthly!C17&lt;0,"0",Monthly!C17)+(IF(Monthly!E17&lt;0,"0",Monthly!E17)-(IF(Monthly!G17&lt;0,"0",Monthly!G17)))</f>
        <v>13068</v>
      </c>
      <c r="F17" s="118">
        <f>(Monthly!C17*0.27)/(Monthly!C17+Monthly!E17)</f>
        <v>0.24159090909090911</v>
      </c>
      <c r="G17" s="105">
        <f>Monthly!U17</f>
        <v>285</v>
      </c>
      <c r="H17" s="121">
        <v>0.62</v>
      </c>
      <c r="I17" s="106">
        <f>Monthly!W17</f>
        <v>137</v>
      </c>
      <c r="J17" s="107">
        <v>2.42</v>
      </c>
      <c r="K17" s="114">
        <f>Monthly!AB17*5.04</f>
        <v>1184.4000000000001</v>
      </c>
      <c r="L17" s="124">
        <v>0.11509999999999999</v>
      </c>
      <c r="M17" s="115">
        <f>Monthly!M17</f>
        <v>0</v>
      </c>
      <c r="N17" s="127">
        <v>0.88</v>
      </c>
      <c r="O17" s="108">
        <f>Monthly!AC17</f>
        <v>242</v>
      </c>
      <c r="P17" s="108">
        <f>Monthly!AD17</f>
        <v>567</v>
      </c>
    </row>
    <row r="18" spans="1:16" ht="14.25" x14ac:dyDescent="0.45">
      <c r="A18" s="103" t="s">
        <v>37</v>
      </c>
      <c r="B18" s="5">
        <f t="shared" si="0"/>
        <v>17</v>
      </c>
      <c r="C18" s="5">
        <v>8</v>
      </c>
      <c r="D18" s="4">
        <v>2024</v>
      </c>
      <c r="E18" s="104">
        <f>IF(Monthly!C18&lt;0,"0",Monthly!C18)+(IF(Monthly!E18&lt;0,"0",Monthly!E18)-(IF(Monthly!G18&lt;0,"0",Monthly!G18)))</f>
        <v>13217</v>
      </c>
      <c r="F18" s="118">
        <f>(Monthly!C18*0.27)/(Monthly!C18+Monthly!E18)</f>
        <v>0.24154346674737082</v>
      </c>
      <c r="G18" s="105">
        <f>Monthly!U18</f>
        <v>90</v>
      </c>
      <c r="H18" s="121">
        <v>0.62</v>
      </c>
      <c r="I18" s="106">
        <f>Monthly!W18</f>
        <v>157</v>
      </c>
      <c r="J18" s="107">
        <v>2.42</v>
      </c>
      <c r="K18" s="114">
        <f>Monthly!AB18*5.04</f>
        <v>1184.4000000000001</v>
      </c>
      <c r="L18" s="124">
        <v>0.11509999999999999</v>
      </c>
      <c r="M18" s="115">
        <f>Monthly!M18</f>
        <v>0</v>
      </c>
      <c r="N18" s="127">
        <v>0.88</v>
      </c>
      <c r="O18" s="108">
        <f>Monthly!AC18</f>
        <v>229</v>
      </c>
      <c r="P18" s="108">
        <f>Monthly!AD18</f>
        <v>544</v>
      </c>
    </row>
    <row r="19" spans="1:16" ht="14.25" x14ac:dyDescent="0.45">
      <c r="A19" s="103" t="s">
        <v>37</v>
      </c>
      <c r="B19" s="5">
        <f t="shared" si="0"/>
        <v>18</v>
      </c>
      <c r="C19" s="5">
        <v>8</v>
      </c>
      <c r="D19" s="4">
        <v>2024</v>
      </c>
      <c r="E19" s="104">
        <f>IF(Monthly!C19&lt;0,"0",Monthly!C19)+(IF(Monthly!E19&lt;0,"0",Monthly!E19)-(IF(Monthly!G19&lt;0,"0",Monthly!G19)))</f>
        <v>12230</v>
      </c>
      <c r="F19" s="118">
        <f>(Monthly!C19*0.27)/(Monthly!C19+Monthly!E19)</f>
        <v>0.23867293540474246</v>
      </c>
      <c r="G19" s="105">
        <f>Monthly!U19</f>
        <v>145</v>
      </c>
      <c r="H19" s="121">
        <v>0.62</v>
      </c>
      <c r="I19" s="106">
        <f>Monthly!W19</f>
        <v>137</v>
      </c>
      <c r="J19" s="107">
        <v>2.42</v>
      </c>
      <c r="K19" s="114">
        <f>Monthly!AB19*5.04</f>
        <v>1108.8</v>
      </c>
      <c r="L19" s="124">
        <v>0.11509999999999999</v>
      </c>
      <c r="M19" s="115">
        <f>Monthly!M19</f>
        <v>0</v>
      </c>
      <c r="N19" s="127">
        <v>0.88</v>
      </c>
      <c r="O19" s="108">
        <f>Monthly!AC19</f>
        <v>218</v>
      </c>
      <c r="P19" s="108">
        <f>Monthly!AD19</f>
        <v>501</v>
      </c>
    </row>
    <row r="20" spans="1:16" ht="14.25" x14ac:dyDescent="0.45">
      <c r="A20" s="103" t="s">
        <v>37</v>
      </c>
      <c r="B20" s="5">
        <f t="shared" si="0"/>
        <v>19</v>
      </c>
      <c r="C20" s="5">
        <v>8</v>
      </c>
      <c r="D20" s="4">
        <v>2024</v>
      </c>
      <c r="E20" s="104">
        <f>IF(Monthly!C20&lt;0,"0",Monthly!C20)+(IF(Monthly!E20&lt;0,"0",Monthly!E20)-(IF(Monthly!G20&lt;0,"0",Monthly!G20)))</f>
        <v>11895</v>
      </c>
      <c r="F20" s="118">
        <f>(Monthly!C20*0.27)/(Monthly!C20+Monthly!E20)</f>
        <v>0.23779066834804541</v>
      </c>
      <c r="G20" s="105" t="str">
        <f>Monthly!U20</f>
        <v>0</v>
      </c>
      <c r="H20" s="121">
        <v>0.62</v>
      </c>
      <c r="I20" s="106">
        <f>Monthly!W20</f>
        <v>142</v>
      </c>
      <c r="J20" s="107">
        <v>2.42</v>
      </c>
      <c r="K20" s="114">
        <f>Monthly!AB20*5.04</f>
        <v>1234.8</v>
      </c>
      <c r="L20" s="124">
        <v>0.11509999999999999</v>
      </c>
      <c r="M20" s="115">
        <f>Monthly!M20</f>
        <v>0</v>
      </c>
      <c r="N20" s="127">
        <v>0.88</v>
      </c>
      <c r="O20" s="108">
        <f>Monthly!AC20</f>
        <v>221</v>
      </c>
      <c r="P20" s="108">
        <f>Monthly!AD20</f>
        <v>510</v>
      </c>
    </row>
    <row r="21" spans="1:16" ht="14.25" x14ac:dyDescent="0.45">
      <c r="A21" s="103" t="s">
        <v>37</v>
      </c>
      <c r="B21" s="5">
        <f t="shared" si="0"/>
        <v>20</v>
      </c>
      <c r="C21" s="5">
        <v>8</v>
      </c>
      <c r="D21" s="4">
        <v>2024</v>
      </c>
      <c r="E21" s="104">
        <f>IF(Monthly!C21&lt;0,"0",Monthly!C21)+(IF(Monthly!E21&lt;0,"0",Monthly!E21)-(IF(Monthly!G21&lt;0,"0",Monthly!G21)))</f>
        <v>0</v>
      </c>
      <c r="F21" s="118">
        <f>(Monthly!C21*0.27)/(Monthly!C21+Monthly!E21)</f>
        <v>0.25954647219683369</v>
      </c>
      <c r="G21" s="105" t="str">
        <f>Monthly!U21</f>
        <v>0</v>
      </c>
      <c r="H21" s="121">
        <v>0.62</v>
      </c>
      <c r="I21" s="106" t="str">
        <f>Monthly!W21</f>
        <v>0</v>
      </c>
      <c r="J21" s="107">
        <v>2.42</v>
      </c>
      <c r="K21" s="114">
        <f>Monthly!AB21*5.04</f>
        <v>0</v>
      </c>
      <c r="L21" s="124">
        <v>0.11509999999999999</v>
      </c>
      <c r="M21" s="115">
        <f>Monthly!M21</f>
        <v>0</v>
      </c>
      <c r="N21" s="127">
        <v>0.88</v>
      </c>
      <c r="O21" s="108">
        <f>Monthly!AC21</f>
        <v>226</v>
      </c>
      <c r="P21" s="108">
        <f>Monthly!AD21</f>
        <v>525</v>
      </c>
    </row>
    <row r="22" spans="1:16" ht="14.25" x14ac:dyDescent="0.45">
      <c r="A22" s="103" t="s">
        <v>37</v>
      </c>
      <c r="B22" s="5">
        <f t="shared" si="0"/>
        <v>21</v>
      </c>
      <c r="C22" s="5">
        <v>8</v>
      </c>
      <c r="D22" s="4">
        <v>2024</v>
      </c>
      <c r="E22" s="104">
        <f>IF(Monthly!C22&lt;0,"0",Monthly!C22)+(IF(Monthly!E22&lt;0,"0",Monthly!E22)-(IF(Monthly!G22&lt;0,"0",Monthly!G22)))</f>
        <v>0</v>
      </c>
      <c r="F22" s="118" t="e">
        <f>(Monthly!C22*0.27)/(Monthly!C22+Monthly!E22)</f>
        <v>#DIV/0!</v>
      </c>
      <c r="G22" s="105">
        <f>Monthly!U22</f>
        <v>0</v>
      </c>
      <c r="H22" s="121">
        <v>0.62</v>
      </c>
      <c r="I22" s="106">
        <f>Monthly!W22</f>
        <v>0</v>
      </c>
      <c r="J22" s="107">
        <v>2.42</v>
      </c>
      <c r="K22" s="114">
        <f>Monthly!AB22*5.04</f>
        <v>0</v>
      </c>
      <c r="L22" s="124">
        <v>0.11509999999999999</v>
      </c>
      <c r="M22" s="115">
        <f>Monthly!M22</f>
        <v>0</v>
      </c>
      <c r="N22" s="127">
        <v>0.88</v>
      </c>
      <c r="O22" s="108">
        <f>Monthly!AC22</f>
        <v>0</v>
      </c>
      <c r="P22" s="108">
        <f>Monthly!AD22</f>
        <v>0</v>
      </c>
    </row>
    <row r="23" spans="1:16" ht="14.25" x14ac:dyDescent="0.45">
      <c r="A23" s="103" t="s">
        <v>37</v>
      </c>
      <c r="B23" s="5">
        <f t="shared" si="0"/>
        <v>22</v>
      </c>
      <c r="C23" s="5">
        <v>8</v>
      </c>
      <c r="D23" s="4">
        <v>2024</v>
      </c>
      <c r="E23" s="104">
        <f>IF(Monthly!C23&lt;0,"0",Monthly!C23)+(IF(Monthly!E23&lt;0,"0",Monthly!E23)-(IF(Monthly!G23&lt;0,"0",Monthly!G23)))</f>
        <v>0</v>
      </c>
      <c r="F23" s="118" t="e">
        <f>(Monthly!C23*0.27)/(Monthly!C23+Monthly!E23)</f>
        <v>#DIV/0!</v>
      </c>
      <c r="G23" s="105">
        <f>Monthly!U23</f>
        <v>0</v>
      </c>
      <c r="H23" s="121">
        <v>0.62</v>
      </c>
      <c r="I23" s="106">
        <f>Monthly!W23</f>
        <v>0</v>
      </c>
      <c r="J23" s="107">
        <v>2.42</v>
      </c>
      <c r="K23" s="114">
        <f>Monthly!AB23*5.04</f>
        <v>0</v>
      </c>
      <c r="L23" s="124">
        <v>0.11509999999999999</v>
      </c>
      <c r="M23" s="115">
        <f>Monthly!M23</f>
        <v>0</v>
      </c>
      <c r="N23" s="127">
        <v>0.88</v>
      </c>
      <c r="O23" s="108">
        <f>Monthly!AC23</f>
        <v>0</v>
      </c>
      <c r="P23" s="108">
        <f>Monthly!AD23</f>
        <v>0</v>
      </c>
    </row>
    <row r="24" spans="1:16" ht="14.25" x14ac:dyDescent="0.45">
      <c r="A24" s="103" t="s">
        <v>37</v>
      </c>
      <c r="B24" s="5">
        <f t="shared" si="0"/>
        <v>23</v>
      </c>
      <c r="C24" s="5">
        <v>8</v>
      </c>
      <c r="D24" s="4">
        <v>2024</v>
      </c>
      <c r="E24" s="104">
        <f>IF(Monthly!C24&lt;0,"0",Monthly!C24)+(IF(Monthly!E24&lt;0,"0",Monthly!E24)-(IF(Monthly!G24&lt;0,"0",Monthly!G24)))</f>
        <v>0</v>
      </c>
      <c r="F24" s="118" t="e">
        <f>(Monthly!C24*0.27)/(Monthly!C24+Monthly!E24)</f>
        <v>#DIV/0!</v>
      </c>
      <c r="G24" s="105">
        <f>Monthly!U24</f>
        <v>0</v>
      </c>
      <c r="H24" s="121">
        <v>0.62</v>
      </c>
      <c r="I24" s="106">
        <f>Monthly!W24</f>
        <v>0</v>
      </c>
      <c r="J24" s="107">
        <v>2.42</v>
      </c>
      <c r="K24" s="114">
        <f>Monthly!AB24*5.04</f>
        <v>0</v>
      </c>
      <c r="L24" s="124">
        <v>0.11509999999999999</v>
      </c>
      <c r="M24" s="115">
        <f>Monthly!M24</f>
        <v>0</v>
      </c>
      <c r="N24" s="127">
        <v>0.88</v>
      </c>
      <c r="O24" s="108">
        <f>Monthly!AC24</f>
        <v>0</v>
      </c>
      <c r="P24" s="108">
        <f>Monthly!AD24</f>
        <v>0</v>
      </c>
    </row>
    <row r="25" spans="1:16" ht="14.25" x14ac:dyDescent="0.45">
      <c r="A25" s="103" t="s">
        <v>37</v>
      </c>
      <c r="B25" s="5">
        <f t="shared" si="0"/>
        <v>24</v>
      </c>
      <c r="C25" s="5">
        <v>8</v>
      </c>
      <c r="D25" s="4">
        <v>2024</v>
      </c>
      <c r="E25" s="104">
        <f>IF(Monthly!C25&lt;0,"0",Monthly!C25)+(IF(Monthly!E25&lt;0,"0",Monthly!E25)-(IF(Monthly!G25&lt;0,"0",Monthly!G25)))</f>
        <v>0</v>
      </c>
      <c r="F25" s="118" t="e">
        <f>(Monthly!C25*0.27)/(Monthly!C25+Monthly!E25)</f>
        <v>#DIV/0!</v>
      </c>
      <c r="G25" s="105">
        <f>Monthly!U25</f>
        <v>0</v>
      </c>
      <c r="H25" s="121">
        <v>0.62</v>
      </c>
      <c r="I25" s="106">
        <f>Monthly!W25</f>
        <v>0</v>
      </c>
      <c r="J25" s="107">
        <v>2.42</v>
      </c>
      <c r="K25" s="114">
        <f>Monthly!AB25*5.04</f>
        <v>0</v>
      </c>
      <c r="L25" s="124">
        <v>0.11509999999999999</v>
      </c>
      <c r="M25" s="115">
        <f>Monthly!M25</f>
        <v>0</v>
      </c>
      <c r="N25" s="127">
        <v>0.88</v>
      </c>
      <c r="O25" s="108">
        <f>Monthly!AC25</f>
        <v>0</v>
      </c>
      <c r="P25" s="108">
        <f>Monthly!AD25</f>
        <v>0</v>
      </c>
    </row>
    <row r="26" spans="1:16" ht="14.25" x14ac:dyDescent="0.45">
      <c r="A26" s="103" t="s">
        <v>37</v>
      </c>
      <c r="B26" s="5">
        <f>B25+1</f>
        <v>25</v>
      </c>
      <c r="C26" s="5">
        <v>8</v>
      </c>
      <c r="D26" s="4">
        <v>2024</v>
      </c>
      <c r="E26" s="104">
        <f>IF(Monthly!C26&lt;0,"0",Monthly!C26)+(IF(Monthly!E26&lt;0,"0",Monthly!E26)-(IF(Monthly!G26&lt;0,"0",Monthly!G26)))</f>
        <v>0</v>
      </c>
      <c r="F26" s="118" t="e">
        <f>(Monthly!C26*0.27)/(Monthly!C26+Monthly!E26)</f>
        <v>#DIV/0!</v>
      </c>
      <c r="G26" s="105">
        <f>Monthly!U26</f>
        <v>0</v>
      </c>
      <c r="H26" s="121">
        <v>0.62</v>
      </c>
      <c r="I26" s="106">
        <f>Monthly!W26</f>
        <v>0</v>
      </c>
      <c r="J26" s="107">
        <v>2.42</v>
      </c>
      <c r="K26" s="114">
        <f>Monthly!AB26*5.04</f>
        <v>0</v>
      </c>
      <c r="L26" s="124">
        <v>0.11509999999999999</v>
      </c>
      <c r="M26" s="115">
        <f>Monthly!M26</f>
        <v>0</v>
      </c>
      <c r="N26" s="127">
        <v>0.88</v>
      </c>
      <c r="O26" s="108">
        <f>Monthly!AC26</f>
        <v>0</v>
      </c>
      <c r="P26" s="108">
        <f>Monthly!AD26</f>
        <v>0</v>
      </c>
    </row>
    <row r="27" spans="1:16" ht="14.25" x14ac:dyDescent="0.45">
      <c r="A27" s="103" t="s">
        <v>37</v>
      </c>
      <c r="B27" s="5">
        <f t="shared" si="0"/>
        <v>26</v>
      </c>
      <c r="C27" s="5">
        <v>8</v>
      </c>
      <c r="D27" s="4">
        <v>2024</v>
      </c>
      <c r="E27" s="104">
        <f>IF(Monthly!C27&lt;0,"0",Monthly!C27)+(IF(Monthly!E27&lt;0,"0",Monthly!E27)-(IF(Monthly!G27&lt;0,"0",Monthly!G27)))</f>
        <v>0</v>
      </c>
      <c r="F27" s="118" t="e">
        <f>(Monthly!C27*0.27)/(Monthly!C27+Monthly!E27)</f>
        <v>#DIV/0!</v>
      </c>
      <c r="G27" s="105">
        <f>Monthly!U27</f>
        <v>0</v>
      </c>
      <c r="H27" s="121">
        <v>0.62</v>
      </c>
      <c r="I27" s="106">
        <f>Monthly!W27</f>
        <v>0</v>
      </c>
      <c r="J27" s="107">
        <v>2.42</v>
      </c>
      <c r="K27" s="114">
        <f>Monthly!AB27*5.04</f>
        <v>0</v>
      </c>
      <c r="L27" s="124">
        <v>0.11509999999999999</v>
      </c>
      <c r="M27" s="115">
        <f>Monthly!M27</f>
        <v>0</v>
      </c>
      <c r="N27" s="127">
        <v>0.88</v>
      </c>
      <c r="O27" s="108">
        <f>Monthly!AC27</f>
        <v>0</v>
      </c>
      <c r="P27" s="108">
        <f>Monthly!AD27</f>
        <v>0</v>
      </c>
    </row>
    <row r="28" spans="1:16" ht="14.25" x14ac:dyDescent="0.45">
      <c r="A28" s="103" t="s">
        <v>37</v>
      </c>
      <c r="B28" s="5">
        <f t="shared" si="0"/>
        <v>27</v>
      </c>
      <c r="C28" s="5">
        <v>8</v>
      </c>
      <c r="D28" s="4">
        <v>2024</v>
      </c>
      <c r="E28" s="104">
        <f>IF(Monthly!C28&lt;0,"0",Monthly!C28)+(IF(Monthly!E28&lt;0,"0",Monthly!E28)-(IF(Monthly!G28&lt;0,"0",Monthly!G28)))</f>
        <v>0</v>
      </c>
      <c r="F28" s="118" t="e">
        <f>(Monthly!C28*0.27)/(Monthly!C28+Monthly!E28)</f>
        <v>#DIV/0!</v>
      </c>
      <c r="G28" s="105">
        <f>Monthly!U28</f>
        <v>0</v>
      </c>
      <c r="H28" s="121">
        <v>0.62</v>
      </c>
      <c r="I28" s="106">
        <f>Monthly!W28</f>
        <v>0</v>
      </c>
      <c r="J28" s="107">
        <v>2.42</v>
      </c>
      <c r="K28" s="114">
        <f>Monthly!AB28*5.04</f>
        <v>0</v>
      </c>
      <c r="L28" s="124">
        <v>0.11509999999999999</v>
      </c>
      <c r="M28" s="115">
        <f>Monthly!M28</f>
        <v>0</v>
      </c>
      <c r="N28" s="127">
        <v>0.88</v>
      </c>
      <c r="O28" s="108">
        <f>Monthly!AC28</f>
        <v>0</v>
      </c>
      <c r="P28" s="108">
        <f>Monthly!AD28</f>
        <v>0</v>
      </c>
    </row>
    <row r="29" spans="1:16" ht="14.25" x14ac:dyDescent="0.45">
      <c r="A29" s="103" t="s">
        <v>37</v>
      </c>
      <c r="B29" s="5">
        <f t="shared" si="0"/>
        <v>28</v>
      </c>
      <c r="C29" s="5">
        <v>8</v>
      </c>
      <c r="D29" s="4">
        <v>2024</v>
      </c>
      <c r="E29" s="104">
        <f>IF(Monthly!C29&lt;0,"0",Monthly!C29)+(IF(Monthly!E29&lt;0,"0",Monthly!E29)-(IF(Monthly!G29&lt;0,"0",Monthly!G29)))</f>
        <v>0</v>
      </c>
      <c r="F29" s="118" t="e">
        <f>(Monthly!C29*0.27)/(Monthly!C29+Monthly!E29)</f>
        <v>#DIV/0!</v>
      </c>
      <c r="G29" s="105">
        <f>Monthly!U29</f>
        <v>0</v>
      </c>
      <c r="H29" s="121">
        <v>0.62</v>
      </c>
      <c r="I29" s="106">
        <f>Monthly!W29</f>
        <v>0</v>
      </c>
      <c r="J29" s="107">
        <v>2.42</v>
      </c>
      <c r="K29" s="114">
        <f>Monthly!AB29*5.04</f>
        <v>0</v>
      </c>
      <c r="L29" s="124">
        <v>0.11509999999999999</v>
      </c>
      <c r="M29" s="115">
        <f>Monthly!M29</f>
        <v>0</v>
      </c>
      <c r="N29" s="127">
        <v>0.88</v>
      </c>
      <c r="O29" s="108">
        <f>Monthly!AC29</f>
        <v>0</v>
      </c>
      <c r="P29" s="108">
        <f>Monthly!AD29</f>
        <v>0</v>
      </c>
    </row>
    <row r="30" spans="1:16" ht="14.25" x14ac:dyDescent="0.45">
      <c r="A30" s="103" t="s">
        <v>37</v>
      </c>
      <c r="B30" s="5">
        <f t="shared" si="0"/>
        <v>29</v>
      </c>
      <c r="C30" s="5">
        <v>8</v>
      </c>
      <c r="D30" s="4">
        <v>2024</v>
      </c>
      <c r="E30" s="104">
        <f>IF(Monthly!C30&lt;0,"0",Monthly!C30)+(IF(Monthly!E30&lt;0,"0",Monthly!E30)-(IF(Monthly!G30&lt;0,"0",Monthly!G30)))</f>
        <v>0</v>
      </c>
      <c r="F30" s="118" t="e">
        <f>(Monthly!C30*0.27)/(Monthly!C30+Monthly!E30)</f>
        <v>#DIV/0!</v>
      </c>
      <c r="G30" s="105">
        <f>Monthly!U30</f>
        <v>0</v>
      </c>
      <c r="H30" s="121">
        <v>0.62</v>
      </c>
      <c r="I30" s="106">
        <f>Monthly!W30</f>
        <v>0</v>
      </c>
      <c r="J30" s="107">
        <v>2.42</v>
      </c>
      <c r="K30" s="114">
        <f>Monthly!AB30*5.04</f>
        <v>0</v>
      </c>
      <c r="L30" s="124">
        <v>0.11509999999999999</v>
      </c>
      <c r="M30" s="115">
        <f>Monthly!M30</f>
        <v>0</v>
      </c>
      <c r="N30" s="127">
        <v>0.88</v>
      </c>
      <c r="O30" s="108">
        <f>Monthly!AC30</f>
        <v>0</v>
      </c>
      <c r="P30" s="108">
        <f>Monthly!AD30</f>
        <v>0</v>
      </c>
    </row>
    <row r="31" spans="1:16" ht="14.25" x14ac:dyDescent="0.45">
      <c r="A31" s="103" t="s">
        <v>37</v>
      </c>
      <c r="B31" s="5">
        <f t="shared" si="0"/>
        <v>30</v>
      </c>
      <c r="C31" s="5">
        <v>8</v>
      </c>
      <c r="D31" s="4">
        <v>2024</v>
      </c>
      <c r="E31" s="104">
        <f>IF(Monthly!C31&lt;0,"0",Monthly!C31)+(IF(Monthly!E31&lt;0,"0",Monthly!E31)-(IF(Monthly!G31&lt;0,"0",Monthly!G31)))</f>
        <v>0</v>
      </c>
      <c r="F31" s="118" t="e">
        <f>(Monthly!C31*0.27)/(Monthly!C31+Monthly!E31)</f>
        <v>#DIV/0!</v>
      </c>
      <c r="G31" s="105">
        <f>Monthly!U31</f>
        <v>0</v>
      </c>
      <c r="H31" s="121">
        <v>0.62</v>
      </c>
      <c r="I31" s="106">
        <f>Monthly!W31</f>
        <v>0</v>
      </c>
      <c r="J31" s="107">
        <v>2.42</v>
      </c>
      <c r="K31" s="114">
        <f>Monthly!AB31*5.04</f>
        <v>0</v>
      </c>
      <c r="L31" s="124">
        <v>0.11509999999999999</v>
      </c>
      <c r="M31" s="115">
        <f>Monthly!M31</f>
        <v>0</v>
      </c>
      <c r="N31" s="127">
        <v>0.88</v>
      </c>
      <c r="O31" s="108">
        <f>Monthly!AC31</f>
        <v>0</v>
      </c>
      <c r="P31" s="108">
        <f>Monthly!AD31</f>
        <v>0</v>
      </c>
    </row>
    <row r="32" spans="1:16" ht="14.25" x14ac:dyDescent="0.45">
      <c r="A32" s="103" t="s">
        <v>37</v>
      </c>
      <c r="B32" s="5">
        <f t="shared" si="0"/>
        <v>31</v>
      </c>
      <c r="C32" s="5">
        <v>8</v>
      </c>
      <c r="D32" s="4">
        <v>2024</v>
      </c>
      <c r="E32" s="104">
        <f>IF(Monthly!C32&lt;0,"0",Monthly!C32)+(IF(Monthly!E32&lt;0,"0",Monthly!E32)-(IF(Monthly!G32&lt;0,"0",Monthly!G32)))</f>
        <v>0</v>
      </c>
      <c r="F32" s="118" t="e">
        <f>(Monthly!C32*0.27)/(Monthly!C32+Monthly!E32)</f>
        <v>#DIV/0!</v>
      </c>
      <c r="G32" s="105">
        <f>Monthly!U32</f>
        <v>0</v>
      </c>
      <c r="H32" s="121">
        <v>0.62</v>
      </c>
      <c r="I32" s="106">
        <f>Monthly!W32</f>
        <v>0</v>
      </c>
      <c r="J32" s="107">
        <v>2.42</v>
      </c>
      <c r="K32" s="114">
        <f>Monthly!AB32*5.04</f>
        <v>0</v>
      </c>
      <c r="L32" s="124"/>
      <c r="M32" s="115">
        <f>Monthly!M32</f>
        <v>0</v>
      </c>
      <c r="N32" s="127">
        <v>0.88</v>
      </c>
      <c r="O32" s="108">
        <f>Monthly!AC32</f>
        <v>0</v>
      </c>
      <c r="P32" s="108">
        <f>Monthly!AD32</f>
        <v>0</v>
      </c>
    </row>
    <row r="33" spans="4:16" x14ac:dyDescent="0.35">
      <c r="D33" s="109"/>
      <c r="F33" s="118"/>
      <c r="I33" s="107"/>
      <c r="J33" s="107"/>
      <c r="K33" s="114"/>
      <c r="L33" s="124"/>
      <c r="O33" s="110"/>
      <c r="P33" s="110"/>
    </row>
    <row r="34" spans="4:16" x14ac:dyDescent="0.35">
      <c r="D34" s="109"/>
      <c r="F34" s="118"/>
      <c r="I34" s="107"/>
      <c r="J34" s="107"/>
      <c r="K34" s="114"/>
      <c r="L34" s="124"/>
      <c r="O34" s="110"/>
      <c r="P34" s="110"/>
    </row>
    <row r="35" spans="4:16" x14ac:dyDescent="0.35">
      <c r="D35" s="109"/>
      <c r="F35" s="118"/>
      <c r="I35" s="107"/>
      <c r="J35" s="107"/>
      <c r="K35" s="114"/>
      <c r="L35" s="124"/>
      <c r="O35" s="110"/>
      <c r="P35" s="110"/>
    </row>
    <row r="36" spans="4:16" x14ac:dyDescent="0.35">
      <c r="D36" s="109"/>
      <c r="F36" s="118"/>
      <c r="I36" s="107"/>
      <c r="J36" s="107"/>
      <c r="K36" s="114"/>
      <c r="L36" s="124"/>
      <c r="O36" s="110"/>
      <c r="P36" s="110"/>
    </row>
    <row r="37" spans="4:16" x14ac:dyDescent="0.35">
      <c r="D37" s="109"/>
      <c r="F37" s="118"/>
      <c r="I37" s="107"/>
      <c r="J37" s="107"/>
      <c r="K37" s="114"/>
      <c r="L37" s="124"/>
      <c r="O37" s="110"/>
      <c r="P37" s="110"/>
    </row>
    <row r="38" spans="4:16" x14ac:dyDescent="0.35">
      <c r="D38" s="109"/>
      <c r="F38" s="118"/>
      <c r="I38" s="107"/>
      <c r="J38" s="107"/>
      <c r="K38" s="114"/>
      <c r="L38" s="124"/>
      <c r="O38" s="110"/>
      <c r="P38" s="110"/>
    </row>
    <row r="39" spans="4:16" x14ac:dyDescent="0.35">
      <c r="D39" s="109"/>
      <c r="F39" s="118"/>
      <c r="I39" s="107"/>
      <c r="J39" s="107"/>
      <c r="K39" s="114"/>
      <c r="L39" s="124"/>
      <c r="O39" s="110"/>
      <c r="P39" s="110"/>
    </row>
    <row r="40" spans="4:16" x14ac:dyDescent="0.35">
      <c r="F40" s="118"/>
      <c r="K40" s="114"/>
      <c r="L40" s="124"/>
    </row>
    <row r="41" spans="4:16" x14ac:dyDescent="0.35">
      <c r="F41" s="118"/>
      <c r="K41" s="114"/>
      <c r="L41" s="124"/>
    </row>
    <row r="42" spans="4:16" x14ac:dyDescent="0.35">
      <c r="F42" s="118"/>
      <c r="K42" s="114"/>
      <c r="L42" s="124"/>
    </row>
    <row r="43" spans="4:16" x14ac:dyDescent="0.35">
      <c r="F43" s="118"/>
      <c r="K43" s="114"/>
      <c r="L43" s="124"/>
    </row>
    <row r="44" spans="4:16" x14ac:dyDescent="0.35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I2" zoomScale="85" zoomScaleNormal="85" workbookViewId="0">
      <selection activeCell="V5" sqref="V5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6.59765625" style="15" customWidth="1"/>
    <col min="29" max="29" width="6.3984375" customWidth="1"/>
    <col min="30" max="30" width="7" customWidth="1"/>
    <col min="32" max="36" width="15.265625" customWidth="1"/>
  </cols>
  <sheetData>
    <row r="1" spans="1:30" s="3" customFormat="1" ht="72" customHeight="1" thickTop="1" x14ac:dyDescent="0.35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5" customHeight="1" x14ac:dyDescent="0.35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 t="shared" ref="U2:U16" si="2">IF(OR((S2+T2-S3)&lt;0,S2&gt;S1),"0",(S2+T2-S3))</f>
        <v>85</v>
      </c>
      <c r="V2" s="44">
        <v>109792</v>
      </c>
      <c r="W2" s="33">
        <f>IF(V3-V2&lt;0,"0",V3-V2)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IF((Z2-Z3-AA2)=Z2,"0",(Z2-Z3-AA2))</f>
        <v>210</v>
      </c>
      <c r="AC2" s="12">
        <v>179</v>
      </c>
      <c r="AD2" s="17">
        <v>375</v>
      </c>
    </row>
    <row r="3" spans="1:30" ht="20.75" customHeight="1" x14ac:dyDescent="0.35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 t="shared" si="2"/>
        <v>125</v>
      </c>
      <c r="V3" s="45">
        <v>109923</v>
      </c>
      <c r="W3" s="33">
        <f t="shared" ref="W3:W32" si="9">IF(V4-V3&lt;0,"0",V4-V3)</f>
        <v>111</v>
      </c>
      <c r="X3" s="48">
        <v>60140</v>
      </c>
      <c r="Y3" s="33">
        <f t="shared" ref="Y3:Y32" si="10">X4-X3</f>
        <v>16</v>
      </c>
      <c r="Z3" s="51">
        <v>7850</v>
      </c>
      <c r="AA3" s="57">
        <v>0</v>
      </c>
      <c r="AB3" s="33">
        <f t="shared" ref="AB3:AB32" si="11">IF((Z3-Z4-AA3)=Z3,"0",(Z3-Z4-AA3))</f>
        <v>185</v>
      </c>
      <c r="AC3" s="13">
        <v>212</v>
      </c>
      <c r="AD3" s="18">
        <v>442</v>
      </c>
    </row>
    <row r="4" spans="1:30" ht="20.75" customHeight="1" x14ac:dyDescent="0.35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si="2"/>
        <v>90</v>
      </c>
      <c r="V4" s="45">
        <v>110034</v>
      </c>
      <c r="W4" s="33">
        <f t="shared" si="9"/>
        <v>138</v>
      </c>
      <c r="X4" s="48">
        <v>60156</v>
      </c>
      <c r="Y4" s="33">
        <f t="shared" si="10"/>
        <v>26</v>
      </c>
      <c r="Z4" s="51">
        <v>7665</v>
      </c>
      <c r="AA4" s="57">
        <v>0</v>
      </c>
      <c r="AB4" s="33">
        <f t="shared" si="11"/>
        <v>190</v>
      </c>
      <c r="AC4" s="13">
        <v>222</v>
      </c>
      <c r="AD4" s="18">
        <v>467</v>
      </c>
    </row>
    <row r="5" spans="1:30" ht="20.75" customHeight="1" x14ac:dyDescent="0.35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2"/>
        <v>150</v>
      </c>
      <c r="V5" s="45">
        <v>110172</v>
      </c>
      <c r="W5" s="33">
        <f t="shared" si="9"/>
        <v>126</v>
      </c>
      <c r="X5" s="48">
        <v>60182</v>
      </c>
      <c r="Y5" s="33">
        <f t="shared" si="10"/>
        <v>7</v>
      </c>
      <c r="Z5" s="51">
        <v>7475</v>
      </c>
      <c r="AA5" s="57">
        <v>0</v>
      </c>
      <c r="AB5" s="33">
        <f t="shared" si="11"/>
        <v>220</v>
      </c>
      <c r="AC5" s="13">
        <v>202</v>
      </c>
      <c r="AD5" s="18">
        <v>431</v>
      </c>
    </row>
    <row r="6" spans="1:30" ht="20.75" customHeight="1" x14ac:dyDescent="0.35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2"/>
        <v>74</v>
      </c>
      <c r="V6" s="45">
        <v>110298</v>
      </c>
      <c r="W6" s="33">
        <f t="shared" si="9"/>
        <v>134</v>
      </c>
      <c r="X6" s="48">
        <v>60189</v>
      </c>
      <c r="Y6" s="33">
        <f t="shared" si="10"/>
        <v>-30</v>
      </c>
      <c r="Z6" s="51">
        <v>7255</v>
      </c>
      <c r="AA6" s="57">
        <v>0</v>
      </c>
      <c r="AB6" s="33">
        <f t="shared" si="11"/>
        <v>220</v>
      </c>
      <c r="AC6" s="13">
        <v>223</v>
      </c>
      <c r="AD6" s="18">
        <v>483</v>
      </c>
    </row>
    <row r="7" spans="1:30" ht="20.75" customHeight="1" x14ac:dyDescent="0.35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 t="str">
        <f t="shared" si="2"/>
        <v>0</v>
      </c>
      <c r="V7" s="45">
        <v>110432</v>
      </c>
      <c r="W7" s="33">
        <f t="shared" si="9"/>
        <v>135</v>
      </c>
      <c r="X7" s="48">
        <v>60159</v>
      </c>
      <c r="Y7" s="33">
        <f t="shared" si="10"/>
        <v>46</v>
      </c>
      <c r="Z7" s="51">
        <v>7035</v>
      </c>
      <c r="AA7" s="57">
        <v>0</v>
      </c>
      <c r="AB7" s="33">
        <f t="shared" si="11"/>
        <v>240</v>
      </c>
      <c r="AC7" s="13">
        <v>212</v>
      </c>
      <c r="AD7" s="18">
        <v>464</v>
      </c>
    </row>
    <row r="8" spans="1:30" ht="20.75" customHeight="1" x14ac:dyDescent="0.35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2"/>
        <v>85</v>
      </c>
      <c r="V8" s="45">
        <v>110567</v>
      </c>
      <c r="W8" s="33">
        <f t="shared" si="9"/>
        <v>126</v>
      </c>
      <c r="X8" s="48">
        <v>60205</v>
      </c>
      <c r="Y8" s="33">
        <f t="shared" si="10"/>
        <v>11</v>
      </c>
      <c r="Z8" s="51">
        <v>6795</v>
      </c>
      <c r="AA8" s="57">
        <v>0</v>
      </c>
      <c r="AB8" s="33">
        <f t="shared" si="11"/>
        <v>225</v>
      </c>
      <c r="AC8" s="13">
        <v>205</v>
      </c>
      <c r="AD8" s="18">
        <v>467</v>
      </c>
    </row>
    <row r="9" spans="1:30" ht="20.75" customHeight="1" x14ac:dyDescent="0.35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2"/>
        <v>45</v>
      </c>
      <c r="V9" s="45">
        <v>110693</v>
      </c>
      <c r="W9" s="33">
        <f t="shared" si="9"/>
        <v>137</v>
      </c>
      <c r="X9" s="48">
        <v>60216</v>
      </c>
      <c r="Y9" s="33">
        <f t="shared" si="10"/>
        <v>10</v>
      </c>
      <c r="Z9" s="51">
        <v>6570</v>
      </c>
      <c r="AA9" s="57">
        <v>0</v>
      </c>
      <c r="AB9" s="33">
        <f t="shared" si="11"/>
        <v>225</v>
      </c>
      <c r="AC9" s="13">
        <v>215</v>
      </c>
      <c r="AD9" s="18">
        <v>461</v>
      </c>
    </row>
    <row r="10" spans="1:30" ht="20.75" customHeight="1" x14ac:dyDescent="0.35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2"/>
        <v>190</v>
      </c>
      <c r="V10" s="45">
        <v>110830</v>
      </c>
      <c r="W10" s="33">
        <f t="shared" si="9"/>
        <v>130</v>
      </c>
      <c r="X10" s="48">
        <v>60226</v>
      </c>
      <c r="Y10" s="33">
        <f t="shared" si="10"/>
        <v>16</v>
      </c>
      <c r="Z10" s="51">
        <v>6345</v>
      </c>
      <c r="AA10" s="57">
        <v>0</v>
      </c>
      <c r="AB10" s="33">
        <f t="shared" si="11"/>
        <v>240</v>
      </c>
      <c r="AC10" s="13">
        <v>215</v>
      </c>
      <c r="AD10" s="18">
        <v>489</v>
      </c>
    </row>
    <row r="11" spans="1:30" ht="20.75" customHeight="1" x14ac:dyDescent="0.35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2"/>
        <v>130</v>
      </c>
      <c r="V11" s="45">
        <v>110960</v>
      </c>
      <c r="W11" s="33">
        <f t="shared" si="9"/>
        <v>143</v>
      </c>
      <c r="X11" s="48">
        <v>60242</v>
      </c>
      <c r="Y11" s="33">
        <f t="shared" si="10"/>
        <v>9</v>
      </c>
      <c r="Z11" s="51">
        <v>6105</v>
      </c>
      <c r="AA11" s="57">
        <v>0</v>
      </c>
      <c r="AB11" s="33">
        <f t="shared" si="11"/>
        <v>230</v>
      </c>
      <c r="AC11" s="13">
        <v>221</v>
      </c>
      <c r="AD11" s="18">
        <v>504</v>
      </c>
    </row>
    <row r="12" spans="1:30" ht="20.75" customHeight="1" x14ac:dyDescent="0.35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2"/>
        <v>95</v>
      </c>
      <c r="V12" s="45">
        <v>111103</v>
      </c>
      <c r="W12" s="33">
        <f t="shared" si="9"/>
        <v>134</v>
      </c>
      <c r="X12" s="48">
        <v>60251</v>
      </c>
      <c r="Y12" s="33">
        <f t="shared" si="10"/>
        <v>6</v>
      </c>
      <c r="Z12" s="51">
        <v>5875</v>
      </c>
      <c r="AA12" s="57">
        <v>0</v>
      </c>
      <c r="AB12" s="33">
        <f t="shared" si="11"/>
        <v>250</v>
      </c>
      <c r="AC12" s="13">
        <v>225</v>
      </c>
      <c r="AD12" s="18">
        <v>517</v>
      </c>
    </row>
    <row r="13" spans="1:30" ht="20.75" customHeight="1" x14ac:dyDescent="0.35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2"/>
        <v>136</v>
      </c>
      <c r="V13" s="45">
        <v>111237</v>
      </c>
      <c r="W13" s="33">
        <f t="shared" si="9"/>
        <v>158</v>
      </c>
      <c r="X13" s="48">
        <v>60257</v>
      </c>
      <c r="Y13" s="33">
        <f t="shared" si="10"/>
        <v>13</v>
      </c>
      <c r="Z13" s="51">
        <v>5625</v>
      </c>
      <c r="AA13" s="57">
        <v>0</v>
      </c>
      <c r="AB13" s="33">
        <f t="shared" si="11"/>
        <v>220</v>
      </c>
      <c r="AC13" s="13">
        <v>235</v>
      </c>
      <c r="AD13" s="18">
        <v>557</v>
      </c>
    </row>
    <row r="14" spans="1:30" ht="20.75" customHeight="1" x14ac:dyDescent="0.35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 t="str">
        <f t="shared" si="2"/>
        <v>0</v>
      </c>
      <c r="V14" s="45">
        <v>111395</v>
      </c>
      <c r="W14" s="33">
        <f t="shared" si="9"/>
        <v>134</v>
      </c>
      <c r="X14" s="48">
        <v>60270</v>
      </c>
      <c r="Y14" s="33">
        <f t="shared" si="10"/>
        <v>14</v>
      </c>
      <c r="Z14" s="51">
        <v>5405</v>
      </c>
      <c r="AA14" s="57">
        <v>0</v>
      </c>
      <c r="AB14" s="33">
        <f t="shared" si="11"/>
        <v>210</v>
      </c>
      <c r="AC14" s="13">
        <v>223</v>
      </c>
      <c r="AD14" s="18">
        <v>516</v>
      </c>
    </row>
    <row r="15" spans="1:30" ht="20.75" customHeight="1" x14ac:dyDescent="0.35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2"/>
        <v>105</v>
      </c>
      <c r="V15" s="45">
        <v>111529</v>
      </c>
      <c r="W15" s="33">
        <f t="shared" si="9"/>
        <v>139</v>
      </c>
      <c r="X15" s="48">
        <v>60284</v>
      </c>
      <c r="Y15" s="33">
        <f t="shared" si="10"/>
        <v>8</v>
      </c>
      <c r="Z15" s="51">
        <v>5195</v>
      </c>
      <c r="AA15" s="57">
        <v>0</v>
      </c>
      <c r="AB15" s="33">
        <f t="shared" si="11"/>
        <v>225</v>
      </c>
      <c r="AC15" s="13">
        <v>225</v>
      </c>
      <c r="AD15" s="18">
        <v>518</v>
      </c>
    </row>
    <row r="16" spans="1:30" ht="20.75" customHeight="1" x14ac:dyDescent="0.35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2"/>
        <v>75</v>
      </c>
      <c r="V16" s="45">
        <v>111668</v>
      </c>
      <c r="W16" s="33">
        <f t="shared" si="9"/>
        <v>170</v>
      </c>
      <c r="X16" s="48">
        <v>60292</v>
      </c>
      <c r="Y16" s="33">
        <f t="shared" si="10"/>
        <v>3</v>
      </c>
      <c r="Z16" s="51">
        <v>4970</v>
      </c>
      <c r="AA16" s="57">
        <v>0</v>
      </c>
      <c r="AB16" s="33">
        <f t="shared" si="11"/>
        <v>220</v>
      </c>
      <c r="AC16" s="13">
        <v>234</v>
      </c>
      <c r="AD16" s="18">
        <v>551</v>
      </c>
    </row>
    <row r="17" spans="1:30" ht="20.75" customHeight="1" x14ac:dyDescent="0.35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ref="U17:U20" si="12">IF(OR((S17+T17-S18)&lt;0,S17&gt;S16),"0",(S17+T17-S18))</f>
        <v>285</v>
      </c>
      <c r="V17" s="45">
        <v>111838</v>
      </c>
      <c r="W17" s="33">
        <f t="shared" si="9"/>
        <v>137</v>
      </c>
      <c r="X17" s="48">
        <v>60295</v>
      </c>
      <c r="Y17" s="33">
        <f t="shared" si="10"/>
        <v>11</v>
      </c>
      <c r="Z17" s="51">
        <v>4750</v>
      </c>
      <c r="AA17" s="57">
        <v>0</v>
      </c>
      <c r="AB17" s="33">
        <f t="shared" si="11"/>
        <v>235</v>
      </c>
      <c r="AC17" s="13">
        <v>242</v>
      </c>
      <c r="AD17" s="18">
        <v>567</v>
      </c>
    </row>
    <row r="18" spans="1:30" ht="20.75" customHeight="1" x14ac:dyDescent="0.35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2"/>
        <v>90</v>
      </c>
      <c r="V18" s="45">
        <v>111975</v>
      </c>
      <c r="W18" s="33">
        <f t="shared" si="9"/>
        <v>157</v>
      </c>
      <c r="X18" s="48">
        <v>60306</v>
      </c>
      <c r="Y18" s="33">
        <f t="shared" si="10"/>
        <v>13</v>
      </c>
      <c r="Z18" s="51">
        <v>4515</v>
      </c>
      <c r="AA18" s="57">
        <v>0</v>
      </c>
      <c r="AB18" s="33">
        <f t="shared" si="11"/>
        <v>235</v>
      </c>
      <c r="AC18" s="13">
        <v>229</v>
      </c>
      <c r="AD18" s="18">
        <v>544</v>
      </c>
    </row>
    <row r="19" spans="1:30" ht="20.75" customHeight="1" x14ac:dyDescent="0.35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2"/>
        <v>145</v>
      </c>
      <c r="V19" s="45">
        <v>112132</v>
      </c>
      <c r="W19" s="33">
        <f t="shared" si="9"/>
        <v>137</v>
      </c>
      <c r="X19" s="48">
        <v>60319</v>
      </c>
      <c r="Y19" s="33">
        <f t="shared" si="10"/>
        <v>2</v>
      </c>
      <c r="Z19" s="51">
        <v>4280</v>
      </c>
      <c r="AA19" s="57">
        <v>0</v>
      </c>
      <c r="AB19" s="33">
        <f t="shared" si="11"/>
        <v>220</v>
      </c>
      <c r="AC19" s="13">
        <v>218</v>
      </c>
      <c r="AD19" s="18">
        <v>501</v>
      </c>
    </row>
    <row r="20" spans="1:30" ht="20.75" customHeight="1" x14ac:dyDescent="0.35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-13082098.209999999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/>
      <c r="U20" s="33" t="str">
        <f t="shared" si="12"/>
        <v>0</v>
      </c>
      <c r="V20" s="45">
        <v>112269</v>
      </c>
      <c r="W20" s="33">
        <f t="shared" si="9"/>
        <v>142</v>
      </c>
      <c r="X20" s="48">
        <v>60321</v>
      </c>
      <c r="Y20" s="33">
        <f t="shared" si="10"/>
        <v>28</v>
      </c>
      <c r="Z20" s="51">
        <v>4060</v>
      </c>
      <c r="AA20" s="57">
        <v>0</v>
      </c>
      <c r="AB20" s="33">
        <f t="shared" si="11"/>
        <v>245</v>
      </c>
      <c r="AC20" s="13">
        <v>221</v>
      </c>
      <c r="AD20" s="18">
        <v>510</v>
      </c>
    </row>
    <row r="21" spans="1:30" ht="20.75" customHeight="1" x14ac:dyDescent="0.35">
      <c r="A21" s="20">
        <v>45524</v>
      </c>
      <c r="B21" s="10">
        <v>12564166</v>
      </c>
      <c r="C21" s="14">
        <f t="shared" si="3"/>
        <v>-12564166</v>
      </c>
      <c r="D21" s="11">
        <v>506036</v>
      </c>
      <c r="E21" s="14">
        <f t="shared" si="4"/>
        <v>-506036</v>
      </c>
      <c r="F21" s="28">
        <v>1704</v>
      </c>
      <c r="G21" s="75">
        <f t="shared" si="5"/>
        <v>0</v>
      </c>
      <c r="H21" s="77">
        <f t="shared" si="6"/>
        <v>-13070202</v>
      </c>
      <c r="I21" s="81">
        <f t="shared" si="7"/>
        <v>-13115727.42</v>
      </c>
      <c r="J21" s="33">
        <f t="shared" si="0"/>
        <v>13070202.42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 t="str">
        <f>IF(OR((S21+T21-S22)&lt;0,S21&gt;S20),"0",(S21+T21-S22))</f>
        <v>0</v>
      </c>
      <c r="V21" s="45">
        <v>112411</v>
      </c>
      <c r="W21" s="33" t="str">
        <f t="shared" si="9"/>
        <v>0</v>
      </c>
      <c r="X21" s="48">
        <v>60349</v>
      </c>
      <c r="Y21" s="33">
        <f t="shared" si="10"/>
        <v>-60349</v>
      </c>
      <c r="Z21" s="51">
        <v>3815</v>
      </c>
      <c r="AA21" s="57">
        <v>0</v>
      </c>
      <c r="AB21" s="33" t="str">
        <f t="shared" si="11"/>
        <v>0</v>
      </c>
      <c r="AC21" s="13">
        <v>226</v>
      </c>
      <c r="AD21" s="18">
        <v>525</v>
      </c>
    </row>
    <row r="22" spans="1:30" ht="20.75" customHeight="1" x14ac:dyDescent="0.35">
      <c r="A22" s="20">
        <v>45525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-45525</v>
      </c>
      <c r="J22" s="33">
        <f t="shared" si="0"/>
        <v>-1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>
        <f t="shared" si="8"/>
        <v>0</v>
      </c>
      <c r="T22" s="39"/>
      <c r="U22" s="33">
        <f t="shared" ref="U3:U32" si="13">IF((S22+T22-S23)&lt;0,"0",(S22+T22-S23))</f>
        <v>0</v>
      </c>
      <c r="V22" s="45"/>
      <c r="W22" s="33">
        <f t="shared" si="9"/>
        <v>0</v>
      </c>
      <c r="X22" s="48"/>
      <c r="Y22" s="33">
        <f t="shared" si="10"/>
        <v>0</v>
      </c>
      <c r="Z22" s="51"/>
      <c r="AA22" s="57">
        <v>0</v>
      </c>
      <c r="AB22" s="33" t="str">
        <f t="shared" si="11"/>
        <v>0</v>
      </c>
      <c r="AC22" s="13"/>
      <c r="AD22" s="18"/>
    </row>
    <row r="23" spans="1:30" ht="20.75" customHeight="1" x14ac:dyDescent="0.35">
      <c r="A23" s="20">
        <v>45526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-45526</v>
      </c>
      <c r="J23" s="33">
        <f t="shared" si="0"/>
        <v>-1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>
        <f t="shared" si="8"/>
        <v>0</v>
      </c>
      <c r="T23" s="39"/>
      <c r="U23" s="33">
        <f t="shared" si="13"/>
        <v>0</v>
      </c>
      <c r="V23" s="45"/>
      <c r="W23" s="33">
        <f t="shared" si="9"/>
        <v>0</v>
      </c>
      <c r="X23" s="48"/>
      <c r="Y23" s="33">
        <f t="shared" si="10"/>
        <v>0</v>
      </c>
      <c r="Z23" s="51"/>
      <c r="AA23" s="57">
        <v>0</v>
      </c>
      <c r="AB23" s="33" t="str">
        <f t="shared" si="11"/>
        <v>0</v>
      </c>
      <c r="AC23" s="13"/>
      <c r="AD23" s="18"/>
    </row>
    <row r="24" spans="1:30" ht="20.75" customHeight="1" x14ac:dyDescent="0.35">
      <c r="A24" s="20">
        <v>45527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-45527</v>
      </c>
      <c r="J24" s="33">
        <f t="shared" si="0"/>
        <v>-1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>
        <f t="shared" si="8"/>
        <v>0</v>
      </c>
      <c r="T24" s="39"/>
      <c r="U24" s="33">
        <f t="shared" si="13"/>
        <v>0</v>
      </c>
      <c r="V24" s="45"/>
      <c r="W24" s="33">
        <f t="shared" si="9"/>
        <v>0</v>
      </c>
      <c r="X24" s="48"/>
      <c r="Y24" s="33">
        <f t="shared" si="10"/>
        <v>0</v>
      </c>
      <c r="Z24" s="51"/>
      <c r="AA24" s="57">
        <v>0</v>
      </c>
      <c r="AB24" s="33" t="str">
        <f t="shared" si="11"/>
        <v>0</v>
      </c>
      <c r="AC24" s="13"/>
      <c r="AD24" s="18"/>
    </row>
    <row r="25" spans="1:30" ht="20.75" customHeight="1" x14ac:dyDescent="0.35">
      <c r="A25" s="20">
        <v>45528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-45528</v>
      </c>
      <c r="J25" s="33">
        <f t="shared" si="0"/>
        <v>-1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>
        <f t="shared" si="8"/>
        <v>0</v>
      </c>
      <c r="T25" s="39"/>
      <c r="U25" s="33">
        <f t="shared" si="13"/>
        <v>0</v>
      </c>
      <c r="V25" s="45"/>
      <c r="W25" s="33">
        <f t="shared" si="9"/>
        <v>0</v>
      </c>
      <c r="X25" s="48"/>
      <c r="Y25" s="33">
        <f t="shared" si="10"/>
        <v>0</v>
      </c>
      <c r="Z25" s="51"/>
      <c r="AA25" s="57">
        <v>0</v>
      </c>
      <c r="AB25" s="33" t="str">
        <f t="shared" si="11"/>
        <v>0</v>
      </c>
      <c r="AC25" s="13"/>
      <c r="AD25" s="18"/>
    </row>
    <row r="26" spans="1:30" ht="20.75" customHeight="1" x14ac:dyDescent="0.35">
      <c r="A26" s="20">
        <v>45529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-45529</v>
      </c>
      <c r="J26" s="33">
        <f t="shared" si="0"/>
        <v>-1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>
        <f t="shared" si="8"/>
        <v>0</v>
      </c>
      <c r="T26" s="39"/>
      <c r="U26" s="33">
        <f t="shared" si="13"/>
        <v>0</v>
      </c>
      <c r="V26" s="45"/>
      <c r="W26" s="33">
        <f t="shared" si="9"/>
        <v>0</v>
      </c>
      <c r="X26" s="48"/>
      <c r="Y26" s="33">
        <f t="shared" si="10"/>
        <v>0</v>
      </c>
      <c r="Z26" s="51"/>
      <c r="AA26" s="57">
        <v>0</v>
      </c>
      <c r="AB26" s="33" t="str">
        <f t="shared" si="11"/>
        <v>0</v>
      </c>
      <c r="AC26" s="13"/>
      <c r="AD26" s="18"/>
    </row>
    <row r="27" spans="1:30" ht="20.75" customHeight="1" x14ac:dyDescent="0.35">
      <c r="A27" s="20">
        <v>45530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-45530</v>
      </c>
      <c r="J27" s="33">
        <f t="shared" si="0"/>
        <v>-1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>
        <f t="shared" si="8"/>
        <v>0</v>
      </c>
      <c r="T27" s="39"/>
      <c r="U27" s="33">
        <f t="shared" si="13"/>
        <v>0</v>
      </c>
      <c r="V27" s="45"/>
      <c r="W27" s="33">
        <f t="shared" si="9"/>
        <v>0</v>
      </c>
      <c r="X27" s="48"/>
      <c r="Y27" s="33">
        <f t="shared" si="10"/>
        <v>0</v>
      </c>
      <c r="Z27" s="51"/>
      <c r="AA27" s="57">
        <v>0</v>
      </c>
      <c r="AB27" s="33" t="str">
        <f t="shared" si="11"/>
        <v>0</v>
      </c>
      <c r="AC27" s="13"/>
      <c r="AD27" s="18"/>
    </row>
    <row r="28" spans="1:30" ht="20.75" customHeight="1" x14ac:dyDescent="0.35">
      <c r="A28" s="20">
        <v>45531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-45531</v>
      </c>
      <c r="J28" s="33">
        <f t="shared" si="0"/>
        <v>-1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>
        <f t="shared" si="8"/>
        <v>0</v>
      </c>
      <c r="T28" s="39"/>
      <c r="U28" s="33">
        <f t="shared" si="13"/>
        <v>0</v>
      </c>
      <c r="V28" s="45"/>
      <c r="W28" s="33">
        <f t="shared" si="9"/>
        <v>0</v>
      </c>
      <c r="X28" s="48"/>
      <c r="Y28" s="33">
        <f t="shared" si="10"/>
        <v>0</v>
      </c>
      <c r="Z28" s="51"/>
      <c r="AA28" s="57">
        <v>0</v>
      </c>
      <c r="AB28" s="33" t="str">
        <f t="shared" si="11"/>
        <v>0</v>
      </c>
      <c r="AC28" s="13"/>
      <c r="AD28" s="18"/>
    </row>
    <row r="29" spans="1:30" ht="20.75" customHeight="1" x14ac:dyDescent="0.35">
      <c r="A29" s="20">
        <v>45532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-45532</v>
      </c>
      <c r="J29" s="33">
        <f t="shared" si="0"/>
        <v>-1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>
        <f t="shared" si="8"/>
        <v>0</v>
      </c>
      <c r="T29" s="39"/>
      <c r="U29" s="33">
        <f t="shared" si="13"/>
        <v>0</v>
      </c>
      <c r="V29" s="45"/>
      <c r="W29" s="33">
        <f t="shared" si="9"/>
        <v>0</v>
      </c>
      <c r="X29" s="48"/>
      <c r="Y29" s="33">
        <f t="shared" si="10"/>
        <v>0</v>
      </c>
      <c r="Z29" s="51"/>
      <c r="AA29" s="57">
        <v>0</v>
      </c>
      <c r="AB29" s="33" t="str">
        <f t="shared" si="11"/>
        <v>0</v>
      </c>
      <c r="AC29" s="13"/>
      <c r="AD29" s="18"/>
    </row>
    <row r="30" spans="1:30" ht="20.75" customHeight="1" x14ac:dyDescent="0.35">
      <c r="A30" s="20">
        <v>45533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-45533</v>
      </c>
      <c r="J30" s="33">
        <f t="shared" si="0"/>
        <v>-1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>
        <f t="shared" si="8"/>
        <v>0</v>
      </c>
      <c r="T30" s="39"/>
      <c r="U30" s="33">
        <f t="shared" si="13"/>
        <v>0</v>
      </c>
      <c r="V30" s="45"/>
      <c r="W30" s="33">
        <f t="shared" si="9"/>
        <v>0</v>
      </c>
      <c r="X30" s="48"/>
      <c r="Y30" s="33">
        <f t="shared" si="10"/>
        <v>0</v>
      </c>
      <c r="Z30" s="51"/>
      <c r="AA30" s="57">
        <v>0</v>
      </c>
      <c r="AB30" s="33" t="str">
        <f t="shared" si="11"/>
        <v>0</v>
      </c>
      <c r="AC30" s="13"/>
      <c r="AD30" s="18"/>
    </row>
    <row r="31" spans="1:30" ht="20.75" customHeight="1" x14ac:dyDescent="0.35">
      <c r="A31" s="20">
        <v>45534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-45534</v>
      </c>
      <c r="J31" s="33">
        <f t="shared" si="0"/>
        <v>-1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>
        <f t="shared" si="8"/>
        <v>0</v>
      </c>
      <c r="T31" s="39"/>
      <c r="U31" s="33">
        <f t="shared" si="13"/>
        <v>0</v>
      </c>
      <c r="V31" s="45"/>
      <c r="W31" s="33">
        <f t="shared" si="9"/>
        <v>0</v>
      </c>
      <c r="X31" s="48"/>
      <c r="Y31" s="33">
        <f t="shared" si="10"/>
        <v>0</v>
      </c>
      <c r="Z31" s="51"/>
      <c r="AA31" s="57">
        <v>0</v>
      </c>
      <c r="AB31" s="33" t="str">
        <f t="shared" si="11"/>
        <v>0</v>
      </c>
      <c r="AC31" s="13"/>
      <c r="AD31" s="18"/>
    </row>
    <row r="32" spans="1:30" ht="20.75" customHeight="1" thickBot="1" x14ac:dyDescent="0.4">
      <c r="A32" s="20">
        <v>45535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-45535</v>
      </c>
      <c r="J32" s="33">
        <f t="shared" si="0"/>
        <v>45535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>
        <f t="shared" si="8"/>
        <v>0</v>
      </c>
      <c r="T32" s="39"/>
      <c r="U32" s="33">
        <f t="shared" si="13"/>
        <v>0</v>
      </c>
      <c r="V32" s="45"/>
      <c r="W32" s="33">
        <f t="shared" si="9"/>
        <v>0</v>
      </c>
      <c r="X32" s="48"/>
      <c r="Y32" s="33">
        <f t="shared" si="10"/>
        <v>0</v>
      </c>
      <c r="Z32" s="51"/>
      <c r="AA32" s="57">
        <v>0</v>
      </c>
      <c r="AB32" s="33" t="str">
        <f t="shared" si="11"/>
        <v>0</v>
      </c>
      <c r="AC32" s="61"/>
      <c r="AD32" s="62"/>
    </row>
    <row r="33" spans="1:30" ht="20.75" customHeight="1" thickTop="1" thickBot="1" x14ac:dyDescent="0.45">
      <c r="A33" s="21">
        <v>45536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/>
      <c r="P33" s="96"/>
      <c r="Q33" s="95"/>
      <c r="R33" s="96"/>
      <c r="S33" s="42">
        <f t="shared" si="8"/>
        <v>0</v>
      </c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9.4" thickTop="1" x14ac:dyDescent="0.25">
      <c r="A34" s="83"/>
      <c r="B34" s="83"/>
      <c r="C34" s="84">
        <f>SUM(C2:C33)</f>
        <v>-12367427</v>
      </c>
      <c r="D34" s="85"/>
      <c r="E34" s="84">
        <f>SUM(E2:E33)</f>
        <v>-478906</v>
      </c>
      <c r="F34" s="86"/>
      <c r="G34" s="84">
        <f>SUM(G2:G33)</f>
        <v>0</v>
      </c>
      <c r="H34" s="85">
        <f>SUM(H2:H33)</f>
        <v>-12846333</v>
      </c>
      <c r="I34" s="84">
        <f>SUM(I2:I32)</f>
        <v>-14257481.52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1610</v>
      </c>
      <c r="U34" s="84">
        <f>SUM(U2:U33)</f>
        <v>1905</v>
      </c>
      <c r="V34" s="83"/>
      <c r="W34" s="84">
        <f>SUM(W2:W33)</f>
        <v>2619</v>
      </c>
      <c r="X34" s="83"/>
      <c r="Y34" s="84">
        <f>SUM(Y2:Y33)</f>
        <v>-60127</v>
      </c>
      <c r="Z34" s="83"/>
      <c r="AA34" s="83">
        <f>SUM(AA2:AA33)</f>
        <v>0</v>
      </c>
      <c r="AB34" s="84">
        <f>SUM(AB2:AB33)</f>
        <v>4245</v>
      </c>
      <c r="AC34" s="87">
        <f>SUM(AC2:AC33)</f>
        <v>4558</v>
      </c>
      <c r="AD34" s="88">
        <f>SUM(AD2:AD33)</f>
        <v>10259</v>
      </c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35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2024-08-22T13:45:51Z</dcterms:modified>
  <cp:category/>
  <cp:contentStatus/>
</cp:coreProperties>
</file>