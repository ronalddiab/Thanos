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2" windowHeight="6852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32" i="3" l="1"/>
  <c r="L32" i="1"/>
  <c r="K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<sst xmlns="http://schemas.openxmlformats.org/spreadsheetml/2006/main" count="108" uniqueCount="33">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</sst>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E29" sqref="E29:K29"/>
    </sheetView>
  </sheetViews>
  <sheetFormatPr defaultColWidth="11.5546875" defaultRowHeight="14.4" x14ac:dyDescent="0.3"/>
  <cols>
    <col min="1" max="1" width="18.109375" style="17" customWidth="1"/>
    <col min="2" max="3" width="11.5546875" style="9"/>
    <col min="4" max="4" width="13.44140625" style="9" customWidth="1"/>
    <col min="5" max="5" width="12.5546875" style="6" customWidth="1"/>
    <col min="6" max="6" width="12.5546875" style="16" customWidth="1"/>
    <col min="7" max="7" width="11.5546875" style="6"/>
    <col min="8" max="8" width="11.5546875" style="16"/>
    <col min="9" max="24" width="11.5546875" style="6"/>
  </cols>
  <sheetData>
    <row r="1" spans="1:24" s="17" customFormat="1" ht="43.2" x14ac:dyDescent="0.3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17" t="s">
        <v>32</v>
      </c>
      <c r="B2" s="9">
        <v>1</v>
      </c>
      <c r="C2" s="6">
        <v>12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3">
      <c r="A3" s="17" t="s">
        <v>32</v>
      </c>
      <c r="B3" s="9">
        <f>B2+1</f>
        <v>2</v>
      </c>
      <c r="C3" s="6">
        <f>C2</f>
        <v>12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91</v>
      </c>
      <c r="L3" s="20">
        <f>Submetering!L3</f>
        <v>0</v>
      </c>
    </row>
    <row r="4" spans="1:24" x14ac:dyDescent="0.3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v>2021</v>
      </c>
      <c r="E4" s="20">
        <f>Submetering!E4</f>
        <v>7620.15</v>
      </c>
      <c r="F4" s="16">
        <v>0.12</v>
      </c>
      <c r="G4" s="20">
        <f>Submetering!F4+Submetering!G4</f>
        <v>785.62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3">
      <c r="A5" s="17" t="s">
        <v>32</v>
      </c>
      <c r="B5" s="9">
        <f t="shared" si="0"/>
        <v>4</v>
      </c>
      <c r="C5" s="6">
        <f t="shared" si="1"/>
        <v>12</v>
      </c>
      <c r="D5" s="9">
        <v>2021</v>
      </c>
      <c r="E5" s="20">
        <f>Submetering!E5</f>
        <v>7669.09</v>
      </c>
      <c r="F5" s="16">
        <v>0.12</v>
      </c>
      <c r="G5" s="20">
        <f>Submetering!F5+Submetering!G5</f>
        <v>704.49</v>
      </c>
      <c r="H5" s="16">
        <v>0.71</v>
      </c>
      <c r="I5" s="20">
        <f>Submetering!J5+Submetering!I5+Submetering!H5</f>
        <v>99.87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3">
      <c r="A6" s="17" t="s">
        <v>32</v>
      </c>
      <c r="B6" s="9">
        <f t="shared" si="0"/>
        <v>5</v>
      </c>
      <c r="C6" s="6">
        <f t="shared" si="1"/>
        <v>12</v>
      </c>
      <c r="D6" s="9">
        <v>2021</v>
      </c>
      <c r="E6" s="20">
        <f>Submetering!E6</f>
        <v>7244.1</v>
      </c>
      <c r="F6" s="16">
        <v>0.12</v>
      </c>
      <c r="G6" s="20">
        <f>Submetering!F6+Submetering!G6</f>
        <v>797.45</v>
      </c>
      <c r="H6" s="16">
        <v>0.71</v>
      </c>
      <c r="I6" s="20">
        <f>Submetering!J6+Submetering!I6+Submetering!H6</f>
        <v>86.37</v>
      </c>
      <c r="J6" s="16">
        <v>2.3196172978505634</v>
      </c>
      <c r="K6" s="20">
        <f>Submetering!K6</f>
        <v>87</v>
      </c>
      <c r="L6" s="20">
        <f>Submetering!L6</f>
        <v>0</v>
      </c>
    </row>
    <row r="7" spans="1:24" x14ac:dyDescent="0.3">
      <c r="A7" s="17" t="s">
        <v>32</v>
      </c>
      <c r="B7" s="9">
        <f t="shared" si="0"/>
        <v>6</v>
      </c>
      <c r="C7" s="6">
        <f t="shared" si="1"/>
        <v>12</v>
      </c>
      <c r="D7" s="9">
        <v>2021</v>
      </c>
      <c r="E7" s="20">
        <f>Submetering!E7</f>
        <v>6930.38</v>
      </c>
      <c r="F7" s="16">
        <v>0.12</v>
      </c>
      <c r="G7" s="20">
        <f>Submetering!F7+Submetering!G7</f>
        <v>806.81</v>
      </c>
      <c r="H7" s="16">
        <v>0.71</v>
      </c>
      <c r="I7" s="20">
        <f>Submetering!J7+Submetering!I7+Submetering!H7</f>
        <v>90.46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3">
      <c r="A8" s="17" t="s">
        <v>32</v>
      </c>
      <c r="B8" s="9">
        <f t="shared" si="0"/>
        <v>7</v>
      </c>
      <c r="C8" s="6">
        <f t="shared" si="1"/>
        <v>12</v>
      </c>
      <c r="D8" s="9">
        <v>2021</v>
      </c>
      <c r="E8" s="20">
        <f>Submetering!E8</f>
        <v>7250.21</v>
      </c>
      <c r="F8" s="16">
        <v>0.12</v>
      </c>
      <c r="G8" s="20">
        <f>Submetering!F8+Submetering!G8</f>
        <v>773.34</v>
      </c>
      <c r="H8" s="16">
        <v>0.71</v>
      </c>
      <c r="I8" s="20">
        <f>Submetering!J8+Submetering!I8+Submetering!H8</f>
        <v>91.6</v>
      </c>
      <c r="J8" s="16">
        <v>2.3196172978505634</v>
      </c>
      <c r="K8" s="20">
        <f>Submetering!K8</f>
        <v>80</v>
      </c>
      <c r="L8" s="20">
        <f>Submetering!L8</f>
        <v>0</v>
      </c>
    </row>
    <row r="9" spans="1:24" x14ac:dyDescent="0.3">
      <c r="A9" s="17" t="s">
        <v>32</v>
      </c>
      <c r="B9" s="9">
        <f t="shared" si="0"/>
        <v>8</v>
      </c>
      <c r="C9" s="6">
        <f t="shared" si="1"/>
        <v>12</v>
      </c>
      <c r="D9" s="9">
        <v>2021</v>
      </c>
      <c r="E9" s="20">
        <f>Submetering!E9</f>
        <v>7354.01</v>
      </c>
      <c r="F9" s="16">
        <v>0.12</v>
      </c>
      <c r="G9" s="20">
        <f>Submetering!F9+Submetering!G9</f>
        <v>778.18</v>
      </c>
      <c r="H9" s="16">
        <v>0.71</v>
      </c>
      <c r="I9" s="20">
        <f>Submetering!J9+Submetering!I9+Submetering!H9</f>
        <v>92.13</v>
      </c>
      <c r="J9" s="16">
        <v>2.3196172978505634</v>
      </c>
      <c r="K9" s="20">
        <f>Submetering!K9</f>
        <v>79</v>
      </c>
      <c r="L9" s="20">
        <f>Submetering!L9</f>
        <v>0</v>
      </c>
    </row>
    <row r="10" spans="1:24" x14ac:dyDescent="0.3">
      <c r="A10" s="17" t="s">
        <v>32</v>
      </c>
      <c r="B10" s="9">
        <f t="shared" si="0"/>
        <v>9</v>
      </c>
      <c r="C10" s="6">
        <f t="shared" si="1"/>
        <v>12</v>
      </c>
      <c r="D10" s="9">
        <v>2021</v>
      </c>
      <c r="E10" s="20">
        <f>Submetering!E10</f>
        <v>7264.28</v>
      </c>
      <c r="F10" s="16">
        <v>0.12</v>
      </c>
      <c r="G10" s="20">
        <f>Submetering!F10+Submetering!G10</f>
        <v>739.03000000000009</v>
      </c>
      <c r="H10" s="16">
        <v>0.71</v>
      </c>
      <c r="I10" s="20">
        <f>Submetering!J10+Submetering!I10+Submetering!H10</f>
        <v>81</v>
      </c>
      <c r="J10" s="16">
        <v>2.3196172978505634</v>
      </c>
      <c r="K10" s="20">
        <f>Submetering!K10</f>
        <v>83</v>
      </c>
      <c r="L10" s="20">
        <f>Submetering!L10</f>
        <v>0</v>
      </c>
    </row>
    <row r="11" spans="1:24" x14ac:dyDescent="0.3">
      <c r="A11" s="17" t="s">
        <v>32</v>
      </c>
      <c r="B11" s="9">
        <f t="shared" si="0"/>
        <v>10</v>
      </c>
      <c r="C11" s="6">
        <f t="shared" si="1"/>
        <v>12</v>
      </c>
      <c r="D11" s="9">
        <v>2021</v>
      </c>
      <c r="E11" s="20">
        <f>Submetering!E11</f>
        <v>7511.81</v>
      </c>
      <c r="F11" s="16">
        <v>0.12</v>
      </c>
      <c r="G11" s="20">
        <f>Submetering!F11+Submetering!G11</f>
        <v>804.95999999999992</v>
      </c>
      <c r="H11" s="16">
        <v>0.71</v>
      </c>
      <c r="I11" s="20">
        <f>Submetering!J11+Submetering!I11+Submetering!H11</f>
        <v>93.53</v>
      </c>
      <c r="J11" s="16">
        <v>2.3196172978505634</v>
      </c>
      <c r="K11" s="20">
        <f>Submetering!K11</f>
        <v>67</v>
      </c>
      <c r="L11" s="20">
        <f>Submetering!L11</f>
        <v>0</v>
      </c>
    </row>
    <row r="12" spans="1:24" x14ac:dyDescent="0.3">
      <c r="A12" s="17" t="s">
        <v>32</v>
      </c>
      <c r="B12" s="9">
        <f t="shared" si="0"/>
        <v>11</v>
      </c>
      <c r="C12" s="6">
        <f t="shared" si="1"/>
        <v>12</v>
      </c>
      <c r="D12" s="9">
        <v>2021</v>
      </c>
      <c r="E12" s="20">
        <f>Submetering!E12</f>
        <v>7444.61</v>
      </c>
      <c r="F12" s="16">
        <v>0.12</v>
      </c>
      <c r="G12" s="20">
        <f>Submetering!F12+Submetering!G12</f>
        <v>763.74</v>
      </c>
      <c r="H12" s="16">
        <v>0.71</v>
      </c>
      <c r="I12" s="20">
        <f>Submetering!J12+Submetering!I12+Submetering!H12</f>
        <v>96.46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3">
      <c r="A13" s="17" t="s">
        <v>32</v>
      </c>
      <c r="B13" s="9">
        <f t="shared" si="0"/>
        <v>12</v>
      </c>
      <c r="C13" s="6">
        <f t="shared" si="1"/>
        <v>12</v>
      </c>
      <c r="D13" s="9">
        <v>2021</v>
      </c>
      <c r="E13" s="20">
        <f>Submetering!E13</f>
        <v>7016.29</v>
      </c>
      <c r="F13" s="16">
        <v>0.12</v>
      </c>
      <c r="G13" s="20">
        <f>Submetering!F13+Submetering!G13</f>
        <v>779.6</v>
      </c>
      <c r="H13" s="16">
        <v>0.71</v>
      </c>
      <c r="I13" s="20">
        <f>Submetering!J13+Submetering!I13+Submetering!H13</f>
        <v>70.94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3">
      <c r="A14" s="17" t="s">
        <v>32</v>
      </c>
      <c r="B14" s="9">
        <f t="shared" si="0"/>
        <v>13</v>
      </c>
      <c r="C14" s="6">
        <f t="shared" si="1"/>
        <v>12</v>
      </c>
      <c r="D14" s="9">
        <v>2021</v>
      </c>
      <c r="E14" s="20">
        <f>Submetering!E14</f>
        <v>7131.41</v>
      </c>
      <c r="F14" s="16">
        <v>0.12</v>
      </c>
      <c r="G14" s="20">
        <f>Submetering!F14+Submetering!G14</f>
        <v>799.56000000000006</v>
      </c>
      <c r="H14" s="16">
        <v>0.71</v>
      </c>
      <c r="I14" s="20">
        <f>Submetering!J14+Submetering!I14+Submetering!H14</f>
        <v>89.23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3">
      <c r="A15" s="17" t="s">
        <v>32</v>
      </c>
      <c r="B15" s="9">
        <f t="shared" si="0"/>
        <v>14</v>
      </c>
      <c r="C15" s="6">
        <f t="shared" si="1"/>
        <v>12</v>
      </c>
      <c r="D15" s="9">
        <v>2021</v>
      </c>
      <c r="E15" s="20">
        <f>Submetering!E15</f>
        <v>6869.48</v>
      </c>
      <c r="F15" s="16">
        <v>0.12</v>
      </c>
      <c r="G15" s="20">
        <f>Submetering!F15+Submetering!G15</f>
        <v>833.67000000000007</v>
      </c>
      <c r="H15" s="16">
        <v>0.71</v>
      </c>
      <c r="I15" s="20">
        <f>Submetering!J15+Submetering!I15+Submetering!H15</f>
        <v>88.04</v>
      </c>
      <c r="J15" s="16">
        <v>2.3196172978505634</v>
      </c>
      <c r="K15" s="20">
        <f>Submetering!K15</f>
        <v>74</v>
      </c>
      <c r="L15" s="20">
        <f>Submetering!L15</f>
        <v>0</v>
      </c>
    </row>
    <row r="16" spans="1:24" x14ac:dyDescent="0.3">
      <c r="A16" s="17" t="s">
        <v>32</v>
      </c>
      <c r="B16" s="9">
        <f t="shared" si="0"/>
        <v>15</v>
      </c>
      <c r="C16" s="6">
        <f t="shared" si="1"/>
        <v>12</v>
      </c>
      <c r="D16" s="9">
        <v>2021</v>
      </c>
      <c r="E16" s="20">
        <f>Submetering!E16</f>
        <v>6671.51</v>
      </c>
      <c r="F16" s="16">
        <v>0.12</v>
      </c>
      <c r="G16" s="20">
        <f>Submetering!F16+Submetering!G16</f>
        <v>914.12</v>
      </c>
      <c r="H16" s="16">
        <v>0.71</v>
      </c>
      <c r="I16" s="20">
        <f>Submetering!J16+Submetering!I16+Submetering!H16</f>
        <v>86.39</v>
      </c>
      <c r="J16" s="16">
        <v>2.3196172978505634</v>
      </c>
      <c r="K16" s="20">
        <f>Submetering!K16</f>
        <v>78</v>
      </c>
      <c r="L16" s="20">
        <f>Submetering!L16</f>
        <v>0</v>
      </c>
    </row>
    <row r="17" spans="1:12" x14ac:dyDescent="0.3">
      <c r="A17" s="17" t="s">
        <v>32</v>
      </c>
      <c r="B17" s="9">
        <f t="shared" si="0"/>
        <v>16</v>
      </c>
      <c r="C17" s="6">
        <f t="shared" si="1"/>
        <v>12</v>
      </c>
      <c r="D17" s="9">
        <v>2021</v>
      </c>
      <c r="E17" s="20">
        <f>Submetering!E17</f>
        <v>7362.38</v>
      </c>
      <c r="F17" s="16">
        <v>0.12</v>
      </c>
      <c r="G17" s="20">
        <f>Submetering!F17+Submetering!G17</f>
        <v>858.41000000000008</v>
      </c>
      <c r="H17" s="16">
        <v>0.71</v>
      </c>
      <c r="I17" s="20">
        <f>Submetering!J17+Submetering!I17+Submetering!H17</f>
        <v>86.1</v>
      </c>
      <c r="J17" s="16">
        <v>2.3196172978505634</v>
      </c>
      <c r="K17" s="20">
        <f>Submetering!K17</f>
        <v>75</v>
      </c>
      <c r="L17" s="20">
        <f>Submetering!L17</f>
        <v>0</v>
      </c>
    </row>
    <row r="18" spans="1:12" x14ac:dyDescent="0.3">
      <c r="A18" s="17" t="s">
        <v>32</v>
      </c>
      <c r="B18" s="9">
        <f t="shared" si="0"/>
        <v>17</v>
      </c>
      <c r="C18" s="6">
        <f t="shared" si="1"/>
        <v>12</v>
      </c>
      <c r="D18" s="9">
        <v>2021</v>
      </c>
      <c r="E18" s="20">
        <f>Submetering!E18</f>
        <v>6981.83</v>
      </c>
      <c r="F18" s="16">
        <v>0.12</v>
      </c>
      <c r="G18" s="20">
        <f>Submetering!F18+Submetering!G18</f>
        <v>754.37</v>
      </c>
      <c r="H18" s="16">
        <v>0.71</v>
      </c>
      <c r="I18" s="20">
        <f>Submetering!J18+Submetering!I18+Submetering!H18</f>
        <v>89.68</v>
      </c>
      <c r="J18" s="16">
        <v>2.3196172978505634</v>
      </c>
      <c r="K18" s="20">
        <f>Submetering!K18</f>
        <v>83</v>
      </c>
      <c r="L18" s="20">
        <f>Submetering!L18</f>
        <v>0</v>
      </c>
    </row>
    <row r="19" spans="1:12" x14ac:dyDescent="0.3">
      <c r="A19" s="17" t="s">
        <v>32</v>
      </c>
      <c r="B19" s="9">
        <f t="shared" si="0"/>
        <v>18</v>
      </c>
      <c r="C19" s="6">
        <f t="shared" si="1"/>
        <v>12</v>
      </c>
      <c r="D19" s="9">
        <v>2021</v>
      </c>
      <c r="E19" s="20">
        <f>Submetering!E19</f>
        <v>6889.99</v>
      </c>
      <c r="F19" s="16">
        <v>0.12</v>
      </c>
      <c r="G19" s="20">
        <f>Submetering!F19+Submetering!G19</f>
        <v>891</v>
      </c>
      <c r="H19" s="16">
        <v>0.71</v>
      </c>
      <c r="I19" s="20">
        <f>Submetering!J19+Submetering!I19+Submetering!H19</f>
        <v>93.51</v>
      </c>
      <c r="J19" s="16">
        <v>2.3196172978505634</v>
      </c>
      <c r="K19" s="20">
        <f>Submetering!K19</f>
        <v>70</v>
      </c>
      <c r="L19" s="20">
        <f>Submetering!L19</f>
        <v>0</v>
      </c>
    </row>
    <row r="20" spans="1:12" x14ac:dyDescent="0.3">
      <c r="A20" s="17" t="s">
        <v>32</v>
      </c>
      <c r="B20" s="9">
        <f t="shared" si="0"/>
        <v>19</v>
      </c>
      <c r="C20" s="6">
        <f t="shared" si="1"/>
        <v>12</v>
      </c>
      <c r="D20" s="9">
        <v>2021</v>
      </c>
      <c r="E20" s="20">
        <f>Submetering!E20</f>
        <v>6829.28</v>
      </c>
      <c r="F20" s="16">
        <v>0.12</v>
      </c>
      <c r="G20" s="20">
        <f>Submetering!F20+Submetering!G20</f>
        <v>838.97</v>
      </c>
      <c r="H20" s="16">
        <v>0.71</v>
      </c>
      <c r="I20" s="20">
        <f>Submetering!J20+Submetering!I20+Submetering!H20</f>
        <v>71.010000000000005</v>
      </c>
      <c r="J20" s="16">
        <v>2.3196172978505634</v>
      </c>
      <c r="K20" s="20">
        <f>Submetering!K20</f>
        <v>74</v>
      </c>
      <c r="L20" s="20">
        <f>Submetering!L20</f>
        <v>0</v>
      </c>
    </row>
    <row r="21" spans="1:12" x14ac:dyDescent="0.3">
      <c r="A21" s="17" t="s">
        <v>32</v>
      </c>
      <c r="B21" s="9">
        <f t="shared" si="0"/>
        <v>20</v>
      </c>
      <c r="C21" s="6">
        <f t="shared" si="1"/>
        <v>12</v>
      </c>
      <c r="D21" s="9">
        <v>2021</v>
      </c>
      <c r="E21" s="20">
        <f>Submetering!E21</f>
        <v>6977.78</v>
      </c>
      <c r="F21" s="16">
        <v>0.12</v>
      </c>
      <c r="G21" s="20">
        <f>Submetering!F21+Submetering!G21</f>
        <v>853.45999999999992</v>
      </c>
      <c r="H21" s="16">
        <v>0.71</v>
      </c>
      <c r="I21" s="20">
        <f>Submetering!J21+Submetering!I21+Submetering!H21</f>
        <v>84.82</v>
      </c>
      <c r="J21" s="16">
        <v>2.3196172978505634</v>
      </c>
      <c r="K21" s="20">
        <f>Submetering!K21</f>
        <v>70</v>
      </c>
      <c r="L21" s="20">
        <f>Submetering!L21</f>
        <v>0</v>
      </c>
    </row>
    <row r="22" spans="1:12" x14ac:dyDescent="0.3">
      <c r="A22" s="17" t="s">
        <v>32</v>
      </c>
      <c r="B22" s="9">
        <f t="shared" si="0"/>
        <v>21</v>
      </c>
      <c r="C22" s="6">
        <f t="shared" si="1"/>
        <v>12</v>
      </c>
      <c r="D22" s="9">
        <v>2021</v>
      </c>
      <c r="E22" s="20">
        <f>Submetering!E22</f>
        <v>6789.45</v>
      </c>
      <c r="F22" s="16">
        <v>0.12</v>
      </c>
      <c r="G22" s="20">
        <f>Submetering!F22+Submetering!G22</f>
        <v>839.75</v>
      </c>
      <c r="H22" s="16">
        <v>0.71</v>
      </c>
      <c r="I22" s="20">
        <f>Submetering!J22+Submetering!I22+Submetering!H22</f>
        <v>34.4</v>
      </c>
      <c r="J22" s="16">
        <v>2.3196172978505634</v>
      </c>
      <c r="K22" s="20">
        <f>Submetering!K23</f>
        <v>79</v>
      </c>
      <c r="L22" s="20">
        <f>Submetering!L22</f>
        <v>0</v>
      </c>
    </row>
    <row r="23" spans="1:12" x14ac:dyDescent="0.3">
      <c r="A23" s="17" t="s">
        <v>32</v>
      </c>
      <c r="B23" s="9">
        <f t="shared" si="0"/>
        <v>22</v>
      </c>
      <c r="C23" s="6">
        <f t="shared" si="1"/>
        <v>12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3">
      <c r="A24" s="17" t="s">
        <v>32</v>
      </c>
      <c r="B24" s="9">
        <f t="shared" si="0"/>
        <v>23</v>
      </c>
      <c r="C24" s="6">
        <f t="shared" si="1"/>
        <v>12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3">
      <c r="A25" s="17" t="s">
        <v>32</v>
      </c>
      <c r="B25" s="9">
        <f t="shared" si="0"/>
        <v>24</v>
      </c>
      <c r="C25" s="6">
        <f t="shared" si="1"/>
        <v>12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3">
      <c r="A26" s="17" t="s">
        <v>32</v>
      </c>
      <c r="B26" s="9">
        <f>B25+1</f>
        <v>25</v>
      </c>
      <c r="C26" s="6">
        <f t="shared" si="1"/>
        <v>12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3">
      <c r="A27" s="17" t="s">
        <v>32</v>
      </c>
      <c r="B27" s="9">
        <f t="shared" si="0"/>
        <v>26</v>
      </c>
      <c r="C27" s="6">
        <f t="shared" si="1"/>
        <v>12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3">
      <c r="A28" s="17" t="s">
        <v>32</v>
      </c>
      <c r="B28" s="9">
        <f t="shared" si="0"/>
        <v>27</v>
      </c>
      <c r="C28" s="6">
        <f t="shared" si="1"/>
        <v>12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3">
      <c r="A29" s="17" t="s">
        <v>32</v>
      </c>
      <c r="B29" s="9">
        <f t="shared" si="0"/>
        <v>28</v>
      </c>
      <c r="C29" s="6">
        <f t="shared" si="1"/>
        <v>12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3">
      <c r="A30" s="17" t="s">
        <v>32</v>
      </c>
      <c r="B30" s="9">
        <f t="shared" si="0"/>
        <v>29</v>
      </c>
      <c r="C30" s="6">
        <f t="shared" si="1"/>
        <v>12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3">
      <c r="A31" s="17" t="s">
        <v>32</v>
      </c>
      <c r="B31" s="9">
        <f t="shared" si="0"/>
        <v>30</v>
      </c>
      <c r="C31" s="6">
        <f t="shared" si="1"/>
        <v>12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3">
      <c r="A32" s="17" t="s">
        <v>32</v>
      </c>
      <c r="B32" s="9">
        <f t="shared" si="0"/>
        <v>31</v>
      </c>
      <c r="C32" s="6">
        <f t="shared" si="1"/>
        <v>12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D10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defaultColWidth="11.5546875" defaultRowHeight="14.4" x14ac:dyDescent="0.3"/>
  <cols>
    <col min="1" max="1" width="8.33203125" style="17" customWidth="1"/>
    <col min="2" max="3" width="11.5546875" style="6" customWidth="1"/>
    <col min="4" max="4" width="13.44140625" style="6" customWidth="1"/>
    <col min="5" max="10" width="12.5546875" style="20" customWidth="1"/>
    <col min="11" max="11" width="11.5546875" style="32"/>
    <col min="12" max="12" width="11.5546875" style="20"/>
  </cols>
  <sheetData>
    <row r="1" spans="1:12" s="17" customFormat="1" ht="45" x14ac:dyDescent="0.3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3">
      <c r="A2" s="17" t="s">
        <v>32</v>
      </c>
      <c r="B2" s="6">
        <v>1</v>
      </c>
      <c r="C2" s="6">
        <v>12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 s="32">
        <v>66</v>
      </c>
    </row>
    <row r="3" spans="1:12" x14ac:dyDescent="0.3">
      <c r="A3" s="17" t="s">
        <v>32</v>
      </c>
      <c r="B3" s="6">
        <f>B2+1</f>
        <v>2</v>
      </c>
      <c r="C3" s="6">
        <f>C2</f>
        <v>12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32">
        <v>91</v>
      </c>
    </row>
    <row r="4" spans="1:12" x14ac:dyDescent="0.3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6">
        <v>2021</v>
      </c>
      <c r="E4" s="20">
        <v>7620.15</v>
      </c>
      <c r="F4" s="36">
        <v>773.25</v>
      </c>
      <c r="G4" s="36">
        <v>12.37</v>
      </c>
      <c r="H4" s="35">
        <v>2.02</v>
      </c>
      <c r="I4" s="35">
        <v>36</v>
      </c>
      <c r="J4" s="35">
        <v>53</v>
      </c>
      <c r="K4" s="32">
        <v>101</v>
      </c>
    </row>
    <row r="5" spans="1:12" x14ac:dyDescent="0.3">
      <c r="A5" s="17" t="s">
        <v>32</v>
      </c>
      <c r="B5" s="6">
        <f t="shared" si="0"/>
        <v>4</v>
      </c>
      <c r="C5" s="6">
        <f t="shared" si="1"/>
        <v>12</v>
      </c>
      <c r="D5" s="6">
        <v>2021</v>
      </c>
      <c r="E5" s="20">
        <v>7669.09</v>
      </c>
      <c r="F5" s="36">
        <v>689.38</v>
      </c>
      <c r="G5" s="36">
        <v>15.11</v>
      </c>
      <c r="H5" s="35">
        <v>1.87</v>
      </c>
      <c r="I5" s="35">
        <v>36</v>
      </c>
      <c r="J5" s="35">
        <v>62</v>
      </c>
      <c r="K5" s="32">
        <v>94</v>
      </c>
    </row>
    <row r="6" spans="1:12" x14ac:dyDescent="0.3">
      <c r="A6" s="17" t="s">
        <v>32</v>
      </c>
      <c r="B6" s="6">
        <f t="shared" si="0"/>
        <v>5</v>
      </c>
      <c r="C6" s="6">
        <f t="shared" si="1"/>
        <v>12</v>
      </c>
      <c r="D6" s="6">
        <v>2021</v>
      </c>
      <c r="E6" s="20">
        <v>7244.1</v>
      </c>
      <c r="F6" s="36">
        <v>781.85</v>
      </c>
      <c r="G6" s="36">
        <v>15.6</v>
      </c>
      <c r="H6" s="35">
        <v>1.87</v>
      </c>
      <c r="I6" s="35">
        <v>30</v>
      </c>
      <c r="J6" s="35">
        <v>54.5</v>
      </c>
      <c r="K6" s="32">
        <v>87</v>
      </c>
    </row>
    <row r="7" spans="1:12" x14ac:dyDescent="0.3">
      <c r="A7" s="17" t="s">
        <v>32</v>
      </c>
      <c r="B7" s="6">
        <f t="shared" si="0"/>
        <v>6</v>
      </c>
      <c r="C7" s="6">
        <f t="shared" si="1"/>
        <v>12</v>
      </c>
      <c r="D7" s="6">
        <v>2021</v>
      </c>
      <c r="E7" s="20">
        <v>6930.38</v>
      </c>
      <c r="F7" s="36">
        <v>784.9</v>
      </c>
      <c r="G7" s="36">
        <v>21.91</v>
      </c>
      <c r="H7" s="35">
        <v>5.96</v>
      </c>
      <c r="I7" s="35">
        <v>32.5</v>
      </c>
      <c r="J7" s="35">
        <v>52</v>
      </c>
      <c r="K7" s="32">
        <v>91</v>
      </c>
    </row>
    <row r="8" spans="1:12" x14ac:dyDescent="0.3">
      <c r="A8" s="17" t="s">
        <v>32</v>
      </c>
      <c r="B8" s="6">
        <f t="shared" si="0"/>
        <v>7</v>
      </c>
      <c r="C8" s="6">
        <f t="shared" si="1"/>
        <v>12</v>
      </c>
      <c r="D8" s="6">
        <v>2021</v>
      </c>
      <c r="E8" s="20">
        <v>7250.21</v>
      </c>
      <c r="F8" s="36">
        <v>758.4</v>
      </c>
      <c r="G8" s="36">
        <v>14.94</v>
      </c>
      <c r="H8" s="35">
        <v>5.0999999999999996</v>
      </c>
      <c r="I8" s="35">
        <v>31.5</v>
      </c>
      <c r="J8" s="35">
        <v>55</v>
      </c>
      <c r="K8" s="32">
        <v>80</v>
      </c>
    </row>
    <row r="9" spans="1:12" x14ac:dyDescent="0.3">
      <c r="A9" s="17" t="s">
        <v>32</v>
      </c>
      <c r="B9" s="6">
        <f t="shared" si="0"/>
        <v>8</v>
      </c>
      <c r="C9" s="6">
        <f t="shared" si="1"/>
        <v>12</v>
      </c>
      <c r="D9" s="6">
        <v>2021</v>
      </c>
      <c r="E9" s="20">
        <v>7354.01</v>
      </c>
      <c r="F9" s="36">
        <v>752.78</v>
      </c>
      <c r="G9" s="36">
        <v>25.4</v>
      </c>
      <c r="H9" s="35">
        <v>1.63</v>
      </c>
      <c r="I9" s="35">
        <v>34</v>
      </c>
      <c r="J9" s="35">
        <v>56.5</v>
      </c>
      <c r="K9" s="32">
        <v>79</v>
      </c>
    </row>
    <row r="10" spans="1:12" x14ac:dyDescent="0.3">
      <c r="A10" s="17" t="s">
        <v>32</v>
      </c>
      <c r="B10" s="6">
        <f t="shared" si="0"/>
        <v>9</v>
      </c>
      <c r="C10" s="6">
        <f t="shared" si="1"/>
        <v>12</v>
      </c>
      <c r="D10" s="6">
        <v>2021</v>
      </c>
      <c r="E10" s="20">
        <v>7264.28</v>
      </c>
      <c r="F10" s="35">
        <v>724.09</v>
      </c>
      <c r="G10" s="35">
        <v>14.94</v>
      </c>
      <c r="H10" s="35">
        <v>1.5</v>
      </c>
      <c r="I10" s="35">
        <v>31</v>
      </c>
      <c r="J10" s="35">
        <v>48.5</v>
      </c>
      <c r="K10" s="32">
        <v>83</v>
      </c>
      <c r="L10" s="31"/>
    </row>
    <row r="11" spans="1:12" x14ac:dyDescent="0.3">
      <c r="A11" s="17" t="s">
        <v>32</v>
      </c>
      <c r="B11" s="6">
        <f t="shared" si="0"/>
        <v>10</v>
      </c>
      <c r="C11" s="6">
        <f t="shared" si="1"/>
        <v>12</v>
      </c>
      <c r="D11" s="6">
        <v>2021</v>
      </c>
      <c r="E11" s="20">
        <v>7511.81</v>
      </c>
      <c r="F11" s="35">
        <v>782.55</v>
      </c>
      <c r="G11" s="35">
        <v>22.41</v>
      </c>
      <c r="H11" s="35">
        <v>1.47</v>
      </c>
      <c r="I11" s="35">
        <v>36.06</v>
      </c>
      <c r="J11" s="35">
        <v>56</v>
      </c>
      <c r="K11" s="32">
        <v>67</v>
      </c>
      <c r="L11" s="31"/>
    </row>
    <row r="12" spans="1:12" x14ac:dyDescent="0.3">
      <c r="A12" s="17" t="s">
        <v>32</v>
      </c>
      <c r="B12" s="6">
        <f t="shared" si="0"/>
        <v>11</v>
      </c>
      <c r="C12" s="6">
        <f t="shared" si="1"/>
        <v>12</v>
      </c>
      <c r="D12" s="6">
        <v>2021</v>
      </c>
      <c r="E12" s="20">
        <v>7444.61</v>
      </c>
      <c r="F12" s="35">
        <v>742.32</v>
      </c>
      <c r="G12" s="35">
        <v>21.42</v>
      </c>
      <c r="H12" s="35">
        <v>1.52</v>
      </c>
      <c r="I12" s="35">
        <v>36.94</v>
      </c>
      <c r="J12" s="35">
        <v>58</v>
      </c>
      <c r="K12" s="32">
        <v>67</v>
      </c>
      <c r="L12" s="31"/>
    </row>
    <row r="13" spans="1:12" x14ac:dyDescent="0.3">
      <c r="A13" s="17" t="s">
        <v>32</v>
      </c>
      <c r="B13" s="6">
        <f t="shared" si="0"/>
        <v>12</v>
      </c>
      <c r="C13" s="6">
        <f t="shared" si="1"/>
        <v>12</v>
      </c>
      <c r="D13" s="6">
        <v>2021</v>
      </c>
      <c r="E13" s="35">
        <v>7016.29</v>
      </c>
      <c r="F13" s="35">
        <v>765.82</v>
      </c>
      <c r="G13" s="35">
        <v>13.78</v>
      </c>
      <c r="H13" s="35">
        <v>1.44</v>
      </c>
      <c r="I13" s="35">
        <v>29.5</v>
      </c>
      <c r="J13" s="35">
        <v>40</v>
      </c>
      <c r="K13" s="32">
        <v>92</v>
      </c>
      <c r="L13" s="31"/>
    </row>
    <row r="14" spans="1:12" x14ac:dyDescent="0.3">
      <c r="A14" s="17" t="s">
        <v>32</v>
      </c>
      <c r="B14" s="6">
        <f t="shared" si="0"/>
        <v>13</v>
      </c>
      <c r="C14" s="6">
        <f t="shared" si="1"/>
        <v>12</v>
      </c>
      <c r="D14" s="6">
        <v>2021</v>
      </c>
      <c r="E14" s="35">
        <v>7131.41</v>
      </c>
      <c r="F14" s="35">
        <v>785.45</v>
      </c>
      <c r="G14" s="35">
        <v>14.11</v>
      </c>
      <c r="H14" s="35">
        <v>5.73</v>
      </c>
      <c r="I14" s="35">
        <v>35.5</v>
      </c>
      <c r="J14" s="35">
        <v>48</v>
      </c>
      <c r="K14" s="32">
        <v>86</v>
      </c>
      <c r="L14" s="31"/>
    </row>
    <row r="15" spans="1:12" x14ac:dyDescent="0.3">
      <c r="A15" s="17" t="s">
        <v>32</v>
      </c>
      <c r="B15" s="6">
        <f t="shared" si="0"/>
        <v>14</v>
      </c>
      <c r="C15" s="6">
        <f t="shared" si="1"/>
        <v>12</v>
      </c>
      <c r="D15" s="6">
        <v>2021</v>
      </c>
      <c r="E15" s="35">
        <v>6869.48</v>
      </c>
      <c r="F15" s="35">
        <v>817.07</v>
      </c>
      <c r="G15" s="35">
        <v>16.600000000000001</v>
      </c>
      <c r="H15" s="35">
        <v>1.54</v>
      </c>
      <c r="I15" s="35">
        <v>33.5</v>
      </c>
      <c r="J15" s="35">
        <v>53</v>
      </c>
      <c r="K15" s="32">
        <v>74</v>
      </c>
      <c r="L15" s="31"/>
    </row>
    <row r="16" spans="1:12" x14ac:dyDescent="0.3">
      <c r="A16" s="17" t="s">
        <v>32</v>
      </c>
      <c r="B16" s="6">
        <f t="shared" si="0"/>
        <v>15</v>
      </c>
      <c r="C16" s="6">
        <f t="shared" si="1"/>
        <v>12</v>
      </c>
      <c r="D16" s="6">
        <v>2021</v>
      </c>
      <c r="E16" s="35">
        <v>6671.51</v>
      </c>
      <c r="F16" s="35">
        <v>902.83</v>
      </c>
      <c r="G16" s="35">
        <v>11.29</v>
      </c>
      <c r="H16" s="35">
        <v>1.39</v>
      </c>
      <c r="I16" s="35">
        <v>33.5</v>
      </c>
      <c r="J16" s="35">
        <v>51.5</v>
      </c>
      <c r="K16" s="32">
        <v>78</v>
      </c>
      <c r="L16" s="31"/>
    </row>
    <row r="17" spans="1:12" x14ac:dyDescent="0.3">
      <c r="A17" s="17" t="s">
        <v>32</v>
      </c>
      <c r="B17" s="6">
        <f t="shared" si="0"/>
        <v>16</v>
      </c>
      <c r="C17" s="6">
        <f t="shared" si="1"/>
        <v>12</v>
      </c>
      <c r="D17" s="6">
        <v>2021</v>
      </c>
      <c r="E17" s="35">
        <v>7362.38</v>
      </c>
      <c r="F17" s="35">
        <v>844.96</v>
      </c>
      <c r="G17" s="35">
        <v>13.45</v>
      </c>
      <c r="H17" s="35">
        <v>1.6</v>
      </c>
      <c r="I17" s="35">
        <v>33</v>
      </c>
      <c r="J17" s="35">
        <v>51.5</v>
      </c>
      <c r="K17" s="32">
        <v>75</v>
      </c>
      <c r="L17" s="31"/>
    </row>
    <row r="18" spans="1:12" x14ac:dyDescent="0.3">
      <c r="A18" s="17" t="s">
        <v>32</v>
      </c>
      <c r="B18" s="6">
        <f t="shared" si="0"/>
        <v>17</v>
      </c>
      <c r="C18" s="6">
        <f t="shared" si="1"/>
        <v>12</v>
      </c>
      <c r="D18" s="6">
        <v>2021</v>
      </c>
      <c r="E18" s="35">
        <v>6981.83</v>
      </c>
      <c r="F18" s="35">
        <v>746.9</v>
      </c>
      <c r="G18" s="35">
        <v>7.47</v>
      </c>
      <c r="H18" s="35">
        <v>1.68</v>
      </c>
      <c r="I18" s="35">
        <v>38</v>
      </c>
      <c r="J18" s="35">
        <v>50</v>
      </c>
      <c r="K18" s="6">
        <v>83</v>
      </c>
      <c r="L18" s="31"/>
    </row>
    <row r="19" spans="1:12" x14ac:dyDescent="0.3">
      <c r="A19" s="17" t="s">
        <v>32</v>
      </c>
      <c r="B19" s="6">
        <f t="shared" si="0"/>
        <v>18</v>
      </c>
      <c r="C19" s="6">
        <f t="shared" si="1"/>
        <v>12</v>
      </c>
      <c r="D19" s="6">
        <v>2021</v>
      </c>
      <c r="E19" s="36">
        <v>6889.99</v>
      </c>
      <c r="F19" s="35">
        <v>876.89</v>
      </c>
      <c r="G19" s="35">
        <v>14.11</v>
      </c>
      <c r="H19" s="35">
        <v>1.51</v>
      </c>
      <c r="I19" s="35">
        <v>34</v>
      </c>
      <c r="J19" s="35">
        <v>58</v>
      </c>
      <c r="K19" s="32">
        <v>70</v>
      </c>
      <c r="L19" s="31"/>
    </row>
    <row r="20" spans="1:12" x14ac:dyDescent="0.3">
      <c r="A20" s="17" t="s">
        <v>32</v>
      </c>
      <c r="B20" s="6">
        <f t="shared" si="0"/>
        <v>19</v>
      </c>
      <c r="C20" s="6">
        <f t="shared" si="1"/>
        <v>12</v>
      </c>
      <c r="D20" s="6">
        <v>2021</v>
      </c>
      <c r="E20" s="36">
        <v>6829.28</v>
      </c>
      <c r="F20" s="35">
        <v>825.94</v>
      </c>
      <c r="G20" s="35">
        <v>13.03</v>
      </c>
      <c r="H20" s="35">
        <v>1.51</v>
      </c>
      <c r="I20" s="35">
        <v>29.5</v>
      </c>
      <c r="J20" s="36">
        <v>40</v>
      </c>
      <c r="K20" s="6">
        <v>74</v>
      </c>
      <c r="L20" s="31"/>
    </row>
    <row r="21" spans="1:12" x14ac:dyDescent="0.3">
      <c r="A21" s="17" t="s">
        <v>32</v>
      </c>
      <c r="B21" s="6">
        <f t="shared" si="0"/>
        <v>20</v>
      </c>
      <c r="C21" s="6">
        <f t="shared" si="1"/>
        <v>12</v>
      </c>
      <c r="D21" s="6">
        <v>2021</v>
      </c>
      <c r="E21" s="36">
        <v>6977.78</v>
      </c>
      <c r="F21" s="35">
        <v>845.41</v>
      </c>
      <c r="G21" s="35">
        <v>8.0500000000000007</v>
      </c>
      <c r="H21" s="35">
        <v>5.32</v>
      </c>
      <c r="I21" s="35">
        <v>30</v>
      </c>
      <c r="J21" s="35">
        <v>49.5</v>
      </c>
      <c r="K21" s="32">
        <v>70</v>
      </c>
      <c r="L21" s="31"/>
    </row>
    <row r="22" spans="1:12" x14ac:dyDescent="0.3">
      <c r="A22" s="17" t="s">
        <v>32</v>
      </c>
      <c r="B22" s="6">
        <f t="shared" si="0"/>
        <v>21</v>
      </c>
      <c r="C22" s="6">
        <f t="shared" si="1"/>
        <v>12</v>
      </c>
      <c r="D22" s="6">
        <v>2021</v>
      </c>
      <c r="E22" s="35">
        <v>6789.45</v>
      </c>
      <c r="F22" s="35">
        <v>827.13</v>
      </c>
      <c r="G22" s="35">
        <v>12.62</v>
      </c>
      <c r="H22" s="35">
        <v>3.9</v>
      </c>
      <c r="I22" s="35">
        <v>30.5</v>
      </c>
      <c r="J22" s="35"/>
      <c r="K22" s="32">
        <v>75</v>
      </c>
      <c r="L22" s="31"/>
    </row>
    <row r="23" spans="1:12" x14ac:dyDescent="0.3">
      <c r="A23" s="17" t="s">
        <v>32</v>
      </c>
      <c r="B23" s="6">
        <f t="shared" si="0"/>
        <v>22</v>
      </c>
      <c r="C23" s="6">
        <f t="shared" si="1"/>
        <v>12</v>
      </c>
      <c r="D23" s="6">
        <v>2021</v>
      </c>
      <c r="E23" s="35"/>
      <c r="F23" s="35"/>
      <c r="G23" s="35"/>
      <c r="H23" s="35"/>
      <c r="I23" s="35"/>
      <c r="J23" s="35"/>
      <c r="K23" s="32">
        <v>79</v>
      </c>
      <c r="L23" s="31"/>
    </row>
    <row r="24" spans="1:12" x14ac:dyDescent="0.3">
      <c r="A24" s="17" t="s">
        <v>32</v>
      </c>
      <c r="B24" s="6">
        <f t="shared" si="0"/>
        <v>23</v>
      </c>
      <c r="C24" s="6">
        <f t="shared" si="1"/>
        <v>12</v>
      </c>
      <c r="D24" s="6">
        <v>2021</v>
      </c>
      <c r="E24" s="35"/>
      <c r="F24" s="35"/>
      <c r="G24" s="35"/>
      <c r="H24" s="35"/>
      <c r="I24" s="35"/>
      <c r="J24" s="35"/>
      <c r="L24" s="31"/>
    </row>
    <row r="25" spans="1:12" ht="22.5" customHeight="1" x14ac:dyDescent="0.3">
      <c r="A25" s="17" t="s">
        <v>32</v>
      </c>
      <c r="B25" s="6">
        <f t="shared" si="0"/>
        <v>24</v>
      </c>
      <c r="C25" s="6">
        <f t="shared" si="1"/>
        <v>12</v>
      </c>
      <c r="D25" s="6">
        <v>2021</v>
      </c>
      <c r="E25" s="35"/>
      <c r="F25" s="35"/>
      <c r="G25" s="35"/>
      <c r="H25" s="35"/>
      <c r="I25" s="35"/>
      <c r="J25" s="35"/>
      <c r="L25" s="31"/>
    </row>
    <row r="26" spans="1:12" x14ac:dyDescent="0.3">
      <c r="A26" s="17" t="s">
        <v>32</v>
      </c>
      <c r="B26" s="6">
        <f>B25+1</f>
        <v>25</v>
      </c>
      <c r="C26" s="6">
        <f t="shared" si="1"/>
        <v>12</v>
      </c>
      <c r="D26" s="6">
        <v>2021</v>
      </c>
      <c r="E26" s="35"/>
      <c r="F26" s="35"/>
      <c r="G26" s="35"/>
      <c r="H26" s="35"/>
      <c r="I26" s="35"/>
      <c r="J26" s="35"/>
      <c r="L26" s="31"/>
    </row>
    <row r="27" spans="1:12" ht="14.25" customHeight="1" x14ac:dyDescent="0.3">
      <c r="A27" s="17" t="s">
        <v>32</v>
      </c>
      <c r="B27" s="6">
        <f t="shared" si="0"/>
        <v>26</v>
      </c>
      <c r="C27" s="6">
        <f t="shared" si="1"/>
        <v>12</v>
      </c>
      <c r="D27" s="6">
        <v>2021</v>
      </c>
      <c r="E27" s="35"/>
      <c r="F27" s="35"/>
      <c r="G27" s="35"/>
      <c r="H27" s="35"/>
      <c r="I27" s="35"/>
      <c r="J27" s="35"/>
      <c r="L27" s="31"/>
    </row>
    <row r="28" spans="1:12" x14ac:dyDescent="0.3">
      <c r="A28" s="17" t="s">
        <v>32</v>
      </c>
      <c r="B28" s="6">
        <f t="shared" si="0"/>
        <v>27</v>
      </c>
      <c r="C28" s="6">
        <f t="shared" si="1"/>
        <v>12</v>
      </c>
      <c r="D28" s="6">
        <v>2021</v>
      </c>
      <c r="E28" s="35"/>
      <c r="F28" s="35"/>
      <c r="G28" s="35"/>
      <c r="H28" s="35"/>
      <c r="I28" s="35"/>
      <c r="J28" s="35"/>
      <c r="L28" s="31"/>
    </row>
    <row r="29" spans="1:12" x14ac:dyDescent="0.3">
      <c r="A29" s="17" t="s">
        <v>32</v>
      </c>
      <c r="B29" s="6">
        <f t="shared" si="0"/>
        <v>28</v>
      </c>
      <c r="C29" s="6">
        <f t="shared" si="1"/>
        <v>12</v>
      </c>
      <c r="D29" s="6">
        <v>2021</v>
      </c>
      <c r="E29" s="35"/>
      <c r="F29" s="35"/>
      <c r="G29" s="35"/>
      <c r="H29" s="35"/>
      <c r="I29" s="35"/>
      <c r="J29" s="35"/>
      <c r="L29" s="31"/>
    </row>
    <row r="30" spans="1:12" x14ac:dyDescent="0.3">
      <c r="A30" s="17" t="s">
        <v>32</v>
      </c>
      <c r="B30" s="6">
        <f t="shared" si="0"/>
        <v>29</v>
      </c>
      <c r="C30" s="6">
        <f t="shared" si="1"/>
        <v>12</v>
      </c>
      <c r="D30" s="6">
        <v>2021</v>
      </c>
      <c r="E30" s="35"/>
      <c r="F30" s="35"/>
      <c r="G30" s="35"/>
      <c r="H30" s="35"/>
      <c r="I30" s="35"/>
      <c r="J30" s="35"/>
      <c r="L30" s="31"/>
    </row>
    <row r="31" spans="1:12" x14ac:dyDescent="0.3">
      <c r="A31" s="17" t="s">
        <v>32</v>
      </c>
      <c r="B31" s="6">
        <f t="shared" si="0"/>
        <v>30</v>
      </c>
      <c r="C31" s="6">
        <f t="shared" si="1"/>
        <v>12</v>
      </c>
      <c r="D31" s="6">
        <v>2021</v>
      </c>
      <c r="E31" s="35"/>
      <c r="F31" s="35"/>
      <c r="G31" s="35"/>
      <c r="H31" s="35"/>
      <c r="I31" s="35"/>
      <c r="J31" s="35"/>
      <c r="L31" s="31"/>
    </row>
    <row r="32" spans="1:12" x14ac:dyDescent="0.3">
      <c r="A32" s="17" t="s">
        <v>32</v>
      </c>
      <c r="B32" s="6">
        <f t="shared" si="0"/>
        <v>31</v>
      </c>
      <c r="C32" s="6">
        <f t="shared" si="1"/>
        <v>12</v>
      </c>
      <c r="D32" s="6">
        <v>2021</v>
      </c>
      <c r="E32" s="35"/>
      <c r="F32" s="35"/>
      <c r="G32" s="35"/>
      <c r="H32" s="35"/>
      <c r="I32" s="35"/>
      <c r="J32" s="35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4.4" x14ac:dyDescent="0.3"/>
  <cols>
    <col min="1" max="1" width="14" customWidth="1"/>
    <col min="2" max="2" width="2" customWidth="1"/>
    <col min="3" max="3" width="11.88671875" style="6" customWidth="1"/>
    <col min="4" max="4" width="13.5546875" style="13" customWidth="1"/>
    <col min="5" max="5" width="13.88671875" customWidth="1"/>
    <col min="6" max="6" width="13.88671875" style="16" customWidth="1"/>
    <col min="7" max="7" width="14.88671875" customWidth="1"/>
    <col min="8" max="8" width="14.88671875" style="6" customWidth="1"/>
    <col min="9" max="9" width="2.109375" style="9" customWidth="1"/>
    <col min="10" max="10" width="10.44140625" style="6" customWidth="1"/>
    <col min="11" max="11" width="14.109375" customWidth="1"/>
    <col min="12" max="12" width="8.88671875" customWidth="1"/>
    <col min="13" max="13" width="13.88671875" customWidth="1"/>
    <col min="14" max="14" width="8.88671875" customWidth="1"/>
    <col min="15" max="15" width="12.5546875" customWidth="1"/>
    <col min="16" max="17" width="13" style="20" customWidth="1"/>
  </cols>
  <sheetData>
    <row r="1" spans="1:17" ht="10.5" customHeight="1" thickBot="1" x14ac:dyDescent="0.55000000000000004">
      <c r="A1" s="1"/>
      <c r="B1" s="37"/>
      <c r="C1" s="1"/>
      <c r="D1" s="11"/>
      <c r="E1" s="1"/>
      <c r="F1" s="14"/>
      <c r="G1" s="1"/>
      <c r="H1" s="1"/>
      <c r="I1" s="38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5">
      <c r="A2" s="19" t="s">
        <v>15</v>
      </c>
      <c r="B2" s="37"/>
      <c r="C2" s="47" t="s">
        <v>22</v>
      </c>
      <c r="D2" s="48"/>
      <c r="E2" s="41" t="s">
        <v>23</v>
      </c>
      <c r="F2" s="41"/>
      <c r="G2" s="41" t="s">
        <v>24</v>
      </c>
      <c r="H2" s="41"/>
      <c r="I2" s="39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3">
      <c r="A3" s="2" t="s">
        <v>0</v>
      </c>
      <c r="B3" s="37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9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3">
      <c r="A4" s="7">
        <v>43555</v>
      </c>
      <c r="B4" s="37"/>
      <c r="C4" s="18">
        <v>22342913</v>
      </c>
      <c r="D4" s="42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2">
        <f>IF((G5-G4&lt;0), "",G5-G4)</f>
        <v>3477</v>
      </c>
      <c r="I4" s="39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3">
      <c r="A5" s="7">
        <v>43556</v>
      </c>
      <c r="B5" s="37"/>
      <c r="C5" s="18">
        <v>22350888</v>
      </c>
      <c r="D5" s="42"/>
      <c r="E5" s="18">
        <v>23843311</v>
      </c>
      <c r="F5" s="51"/>
      <c r="G5" s="18">
        <v>9979293</v>
      </c>
      <c r="H5" s="42"/>
      <c r="I5" s="39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5">
      <c r="A6" s="7">
        <v>43557</v>
      </c>
      <c r="B6" s="37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0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5">
      <c r="A7" s="7">
        <v>43558</v>
      </c>
      <c r="B7" s="37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9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5">
      <c r="A8" s="7">
        <v>43559</v>
      </c>
      <c r="B8" s="37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9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5">
      <c r="A9" s="7">
        <v>43560</v>
      </c>
      <c r="B9" s="37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9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5">
      <c r="A10" s="7">
        <v>43561</v>
      </c>
      <c r="B10" s="37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9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5">
      <c r="A11" s="7">
        <v>43562</v>
      </c>
      <c r="B11" s="37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9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5">
      <c r="A12" s="7">
        <v>43563</v>
      </c>
      <c r="B12" s="37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9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5">
      <c r="A13" s="7">
        <v>43564</v>
      </c>
      <c r="B13" s="37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9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5">
      <c r="A14" s="7">
        <v>43565</v>
      </c>
      <c r="B14" s="37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9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5">
      <c r="A15" s="7">
        <v>43566</v>
      </c>
      <c r="B15" s="37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9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5">
      <c r="A16" s="7">
        <v>43567</v>
      </c>
      <c r="B16" s="37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9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5">
      <c r="A17" s="7">
        <v>43568</v>
      </c>
      <c r="B17" s="37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9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5">
      <c r="A18" s="7">
        <v>43569</v>
      </c>
      <c r="B18" s="37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9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5">
      <c r="A19" s="7">
        <v>43570</v>
      </c>
      <c r="B19" s="37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9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5">
      <c r="A20" s="7">
        <v>43571</v>
      </c>
      <c r="B20" s="37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9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5">
      <c r="A21" s="7">
        <v>43572</v>
      </c>
      <c r="B21" s="37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9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5">
      <c r="A22" s="7">
        <v>43573</v>
      </c>
      <c r="B22" s="37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9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5">
      <c r="A23" s="7">
        <v>43574</v>
      </c>
      <c r="B23" s="37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9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5">
      <c r="A24" s="7">
        <v>43575</v>
      </c>
      <c r="B24" s="37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9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5">
      <c r="A25" s="7">
        <v>43576</v>
      </c>
      <c r="B25" s="37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9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5">
      <c r="A26" s="7">
        <v>43577</v>
      </c>
      <c r="B26" s="37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9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5">
      <c r="A27" s="7">
        <v>43578</v>
      </c>
      <c r="B27" s="37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9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5">
      <c r="A28" s="7">
        <v>43579</v>
      </c>
      <c r="B28" s="37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9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5">
      <c r="A29" s="7">
        <v>43580</v>
      </c>
      <c r="B29" s="37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9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5">
      <c r="A30" s="7">
        <v>43581</v>
      </c>
      <c r="B30" s="37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0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5">
      <c r="A31" s="7">
        <v>43582</v>
      </c>
      <c r="B31" s="37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0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5">
      <c r="A32" s="7">
        <v>43583</v>
      </c>
      <c r="B32" s="37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0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5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5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2021-12-23T13:55:35Z</dcterms:modified>
</cp:coreProperties>
</file>