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410" yWindow="45" windowWidth="14175" windowHeight="1206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S19" i="76"/>
  <c r="N19"/>
  <c r="M19"/>
  <c r="L19"/>
  <c r="B16" l="1"/>
  <c r="F14"/>
  <c r="F13"/>
  <c r="D17" i="2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B3" s="1"/>
  <c r="B4" s="1"/>
  <c r="B5" s="1"/>
  <c r="B9" s="1"/>
  <c r="B10" s="1"/>
  <c r="B14" s="1"/>
  <c r="B15" s="1"/>
  <c r="B17" s="1"/>
  <c r="B18" s="1"/>
  <c r="B19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4" s="1"/>
  <c r="H25" s="1"/>
  <c r="H26" s="1"/>
  <c r="H27" s="1"/>
  <c r="H28" s="1"/>
  <c r="H29" s="1"/>
  <c r="H30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3" s="1"/>
  <c r="J24" s="1"/>
  <c r="J25" s="1"/>
  <c r="J26" s="1"/>
  <c r="J27" s="1"/>
  <c r="J28" s="1"/>
  <c r="J29" s="1"/>
  <c r="J30" s="1"/>
  <c r="J31" s="1"/>
  <c r="J32" s="1"/>
  <c r="J33" s="1"/>
  <c r="J34" s="1"/>
  <c r="D4"/>
  <c r="D5" s="1"/>
  <c r="D6" s="1"/>
  <c r="D10" s="1"/>
  <c r="D11" s="1"/>
  <c r="D15" s="1"/>
  <c r="D18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X3" i="3"/>
  <c r="X4"/>
  <c r="X5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4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7" s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V30" s="1"/>
  <c r="G30"/>
  <c r="J30" s="1"/>
  <c r="D30"/>
  <c r="E30" s="1"/>
  <c r="D25" i="73"/>
  <c r="D26"/>
  <c r="D27"/>
  <c r="D28"/>
  <c r="D29"/>
  <c r="D30"/>
  <c r="E26" i="2" l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V35" s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V32" s="1"/>
  <c r="G32"/>
  <c r="D32"/>
  <c r="E32" s="1"/>
  <c r="J32" l="1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V33" s="1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V34" s="1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I25" i="3" l="1"/>
  <c r="R31" i="7"/>
  <c r="N34" i="1"/>
  <c r="J23"/>
  <c r="J35" i="7"/>
  <c r="AL35"/>
  <c r="L34"/>
  <c r="P32"/>
  <c r="N33"/>
  <c r="D23" i="1"/>
  <c r="E23" s="1"/>
  <c r="I22"/>
  <c r="V22" s="1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V24" s="1"/>
  <c r="P35" i="7" l="1"/>
  <c r="R34"/>
  <c r="AB23" i="1"/>
  <c r="T23"/>
  <c r="U23"/>
  <c r="I25"/>
  <c r="V25" s="1"/>
  <c r="R35" i="7" l="1"/>
  <c r="T34"/>
  <c r="I26" i="1"/>
  <c r="V26" s="1"/>
  <c r="T35" i="7" l="1"/>
  <c r="V34"/>
  <c r="I27" i="1"/>
  <c r="V27" s="1"/>
  <c r="V35" i="7" l="1"/>
  <c r="I28" i="1"/>
  <c r="V28" s="1"/>
  <c r="I29" l="1"/>
  <c r="V29" s="1"/>
  <c r="I31" l="1"/>
  <c r="V31" s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0" i="76" l="1"/>
  <c r="P30" s="1"/>
  <c r="O19"/>
  <c r="P19" s="1"/>
  <c r="O3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AG9" s="1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I17" i="5" l="1"/>
  <c r="B12" i="63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AI26" i="5" l="1"/>
  <c r="BF7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Z20"/>
  <c r="M22"/>
  <c r="AA22" s="1"/>
  <c r="L23"/>
  <c r="K21"/>
  <c r="J22"/>
  <c r="AG18"/>
  <c r="BK21" i="7"/>
  <c r="AK19" i="3"/>
  <c r="AL19"/>
  <c r="AE19"/>
  <c r="AF19" s="1"/>
  <c r="F19" i="63"/>
  <c r="W35" i="5"/>
  <c r="AL35" s="1"/>
  <c r="V36"/>
  <c r="W36" s="1"/>
  <c r="AL36" s="1"/>
  <c r="Q35"/>
  <c r="M31" i="81" s="1"/>
  <c r="Q36" i="5"/>
  <c r="AL37" l="1"/>
  <c r="AL20" i="3"/>
  <c r="AK20"/>
  <c r="F20" i="63"/>
  <c r="AE20" i="3"/>
  <c r="AF20" s="1"/>
  <c r="M32" i="81"/>
  <c r="Q37" i="5"/>
  <c r="O38" s="1"/>
  <c r="L24" i="3"/>
  <c r="M23"/>
  <c r="AA23" s="1"/>
  <c r="Z21"/>
  <c r="N21"/>
  <c r="AG19"/>
  <c r="BK22" i="7"/>
  <c r="K22" i="3"/>
  <c r="J23"/>
  <c r="M24" l="1"/>
  <c r="L25"/>
  <c r="AL21"/>
  <c r="AK21"/>
  <c r="AE21"/>
  <c r="AF21" s="1"/>
  <c r="F21" i="63"/>
  <c r="AG20" i="3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AC19" s="1"/>
  <c r="AH19" s="1"/>
  <c r="E20" l="1"/>
  <c r="D21"/>
  <c r="AA20" l="1"/>
  <c r="AC20" s="1"/>
  <c r="AH20" s="1"/>
  <c r="F20"/>
  <c r="AB20" s="1"/>
  <c r="E2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<sst xmlns="http://schemas.openxmlformats.org/spreadsheetml/2006/main" count="669" uniqueCount="417">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</sst>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70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6780416"/>
        <c:axId val="136790400"/>
      </c:lineChart>
      <c:catAx>
        <c:axId val="1367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90400"/>
        <c:crosses val="autoZero"/>
        <c:auto val="1"/>
        <c:lblAlgn val="ctr"/>
        <c:lblOffset val="100"/>
      </c:catAx>
      <c:valAx>
        <c:axId val="136790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6811264"/>
        <c:axId val="136812800"/>
      </c:lineChart>
      <c:catAx>
        <c:axId val="13681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2800"/>
        <c:crosses val="autoZero"/>
        <c:auto val="1"/>
        <c:lblAlgn val="ctr"/>
        <c:lblOffset val="100"/>
      </c:catAx>
      <c:valAx>
        <c:axId val="13681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37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6833280"/>
        <c:axId val="137515008"/>
      </c:lineChart>
      <c:catAx>
        <c:axId val="13683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5008"/>
        <c:crosses val="autoZero"/>
        <c:auto val="1"/>
        <c:lblAlgn val="ctr"/>
        <c:lblOffset val="100"/>
      </c:catAx>
      <c:valAx>
        <c:axId val="1375150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3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7539584"/>
        <c:axId val="137541120"/>
      </c:lineChart>
      <c:catAx>
        <c:axId val="13753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41120"/>
        <c:crosses val="autoZero"/>
        <c:auto val="1"/>
        <c:lblAlgn val="ctr"/>
        <c:lblOffset val="100"/>
      </c:catAx>
      <c:valAx>
        <c:axId val="137541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3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5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7774592"/>
        <c:axId val="137776128"/>
      </c:lineChart>
      <c:catAx>
        <c:axId val="13777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76128"/>
        <c:crosses val="autoZero"/>
        <c:auto val="1"/>
        <c:lblAlgn val="ctr"/>
        <c:lblOffset val="100"/>
      </c:catAx>
      <c:valAx>
        <c:axId val="137776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7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64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7694592"/>
        <c:axId val="137704576"/>
      </c:lineChart>
      <c:catAx>
        <c:axId val="1376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04576"/>
        <c:crosses val="autoZero"/>
        <c:auto val="1"/>
        <c:lblAlgn val="ctr"/>
        <c:lblOffset val="100"/>
      </c:catAx>
      <c:valAx>
        <c:axId val="137704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7741440"/>
        <c:axId val="137742976"/>
      </c:lineChart>
      <c:catAx>
        <c:axId val="13774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42976"/>
        <c:crosses val="autoZero"/>
        <c:auto val="1"/>
        <c:lblAlgn val="ctr"/>
        <c:lblOffset val="100"/>
      </c:catAx>
      <c:valAx>
        <c:axId val="13774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4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8152192"/>
        <c:axId val="138178560"/>
      </c:lineChart>
      <c:catAx>
        <c:axId val="13815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78560"/>
        <c:crosses val="autoZero"/>
        <c:auto val="1"/>
        <c:lblAlgn val="ctr"/>
        <c:lblOffset val="100"/>
      </c:catAx>
      <c:valAx>
        <c:axId val="13817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5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8084352"/>
        <c:axId val="138085888"/>
      </c:lineChart>
      <c:catAx>
        <c:axId val="13808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85888"/>
        <c:crosses val="autoZero"/>
        <c:auto val="1"/>
        <c:lblAlgn val="ctr"/>
        <c:lblOffset val="100"/>
      </c:catAx>
      <c:valAx>
        <c:axId val="13808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8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311"/>
          <c:w val="0.1272403315177611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8110464"/>
        <c:axId val="138112000"/>
      </c:lineChart>
      <c:catAx>
        <c:axId val="13811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2000"/>
        <c:crosses val="autoZero"/>
        <c:auto val="1"/>
        <c:lblAlgn val="ctr"/>
        <c:lblOffset val="100"/>
      </c:catAx>
      <c:valAx>
        <c:axId val="138112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8415104"/>
        <c:axId val="138437376"/>
      </c:lineChart>
      <c:catAx>
        <c:axId val="13841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37376"/>
        <c:crosses val="autoZero"/>
        <c:auto val="1"/>
        <c:lblAlgn val="ctr"/>
        <c:lblOffset val="100"/>
      </c:catAx>
      <c:valAx>
        <c:axId val="138437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1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8609792"/>
        <c:axId val="138611328"/>
      </c:lineChart>
      <c:catAx>
        <c:axId val="13860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1328"/>
        <c:crosses val="autoZero"/>
        <c:auto val="1"/>
        <c:lblAlgn val="ctr"/>
        <c:lblOffset val="100"/>
      </c:catAx>
      <c:valAx>
        <c:axId val="13861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0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3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447</c:v>
                </c:pt>
                <c:pt idx="18">
                  <c:v>416</c:v>
                </c:pt>
                <c:pt idx="19">
                  <c:v>572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8656768"/>
        <c:axId val="138830592"/>
      </c:lineChart>
      <c:catAx>
        <c:axId val="13865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30592"/>
        <c:crosses val="autoZero"/>
        <c:auto val="1"/>
        <c:lblAlgn val="ctr"/>
        <c:lblOffset val="100"/>
      </c:catAx>
      <c:valAx>
        <c:axId val="13883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311"/>
          <c:w val="0.135416885389376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8744576"/>
        <c:axId val="138746112"/>
      </c:lineChart>
      <c:catAx>
        <c:axId val="13874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46112"/>
        <c:crosses val="autoZero"/>
        <c:auto val="1"/>
        <c:lblAlgn val="ctr"/>
        <c:lblOffset val="100"/>
      </c:catAx>
      <c:valAx>
        <c:axId val="138746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4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31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8771072"/>
        <c:axId val="138772864"/>
      </c:lineChart>
      <c:catAx>
        <c:axId val="13877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72864"/>
        <c:crosses val="autoZero"/>
        <c:auto val="1"/>
        <c:lblAlgn val="ctr"/>
        <c:lblOffset val="100"/>
      </c:catAx>
      <c:valAx>
        <c:axId val="138772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7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9010432"/>
        <c:axId val="139011968"/>
      </c:lineChart>
      <c:catAx>
        <c:axId val="13901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11968"/>
        <c:crosses val="autoZero"/>
        <c:auto val="1"/>
        <c:lblAlgn val="ctr"/>
        <c:lblOffset val="100"/>
      </c:catAx>
      <c:valAx>
        <c:axId val="13901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1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311"/>
          <c:w val="0.135416885389376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9044736"/>
        <c:axId val="139046272"/>
      </c:lineChart>
      <c:catAx>
        <c:axId val="13904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46272"/>
        <c:crosses val="autoZero"/>
        <c:auto val="1"/>
        <c:lblAlgn val="ctr"/>
        <c:lblOffset val="100"/>
      </c:catAx>
      <c:valAx>
        <c:axId val="139046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4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55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-1910.0645161290158</c:v>
                </c:pt>
                <c:pt idx="17">
                  <c:v>-2383.4193548387266</c:v>
                </c:pt>
                <c:pt idx="18">
                  <c:v>-2690.096774193531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9058560"/>
        <c:axId val="138892416"/>
      </c:lineChart>
      <c:catAx>
        <c:axId val="13905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92416"/>
        <c:crosses val="autoZero"/>
        <c:auto val="1"/>
        <c:lblAlgn val="ctr"/>
        <c:lblOffset val="100"/>
      </c:catAx>
      <c:valAx>
        <c:axId val="138892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5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8917376"/>
        <c:axId val="138918912"/>
      </c:lineChart>
      <c:catAx>
        <c:axId val="13891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8912"/>
        <c:crosses val="autoZero"/>
        <c:auto val="1"/>
        <c:lblAlgn val="ctr"/>
        <c:lblOffset val="100"/>
      </c:catAx>
      <c:valAx>
        <c:axId val="13891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69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9103232"/>
        <c:axId val="139109120"/>
      </c:lineChart>
      <c:catAx>
        <c:axId val="13910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09120"/>
        <c:crosses val="autoZero"/>
        <c:auto val="1"/>
        <c:lblAlgn val="ctr"/>
        <c:lblOffset val="100"/>
      </c:catAx>
      <c:valAx>
        <c:axId val="1391091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0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9121408"/>
        <c:axId val="139122944"/>
      </c:lineChart>
      <c:catAx>
        <c:axId val="13912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22944"/>
        <c:crosses val="autoZero"/>
        <c:auto val="1"/>
        <c:lblAlgn val="ctr"/>
        <c:lblOffset val="100"/>
      </c:catAx>
      <c:valAx>
        <c:axId val="139122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2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9151616"/>
        <c:axId val="139161600"/>
      </c:lineChart>
      <c:catAx>
        <c:axId val="13915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61600"/>
        <c:crosses val="autoZero"/>
        <c:auto val="1"/>
        <c:lblAlgn val="ctr"/>
        <c:lblOffset val="100"/>
      </c:catAx>
      <c:valAx>
        <c:axId val="13916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5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95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9198464"/>
        <c:axId val="139200000"/>
      </c:lineChart>
      <c:catAx>
        <c:axId val="13919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00000"/>
        <c:crosses val="autoZero"/>
        <c:auto val="1"/>
        <c:lblAlgn val="ctr"/>
        <c:lblOffset val="100"/>
      </c:catAx>
      <c:valAx>
        <c:axId val="13920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9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31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9236864"/>
        <c:axId val="139238400"/>
      </c:lineChart>
      <c:catAx>
        <c:axId val="1392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38400"/>
        <c:crosses val="autoZero"/>
        <c:auto val="1"/>
        <c:lblAlgn val="ctr"/>
        <c:lblOffset val="100"/>
      </c:catAx>
      <c:valAx>
        <c:axId val="139238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576"/>
          <c:w val="0.1234311819809432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9334016"/>
        <c:axId val="139335552"/>
      </c:lineChart>
      <c:catAx>
        <c:axId val="1393340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35552"/>
        <c:crosses val="autoZero"/>
        <c:auto val="1"/>
        <c:lblAlgn val="ctr"/>
        <c:lblOffset val="100"/>
      </c:catAx>
      <c:valAx>
        <c:axId val="1393355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727"/>
          <c:w val="0.1569039853282417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9376128"/>
        <c:axId val="139377664"/>
      </c:lineChart>
      <c:catAx>
        <c:axId val="13937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77664"/>
        <c:crosses val="autoZero"/>
        <c:auto val="1"/>
        <c:lblAlgn val="ctr"/>
        <c:lblOffset val="100"/>
      </c:catAx>
      <c:valAx>
        <c:axId val="139377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7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78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9451776"/>
        <c:axId val="139457664"/>
      </c:lineChart>
      <c:catAx>
        <c:axId val="13945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57664"/>
        <c:crosses val="autoZero"/>
        <c:auto val="1"/>
        <c:lblAlgn val="ctr"/>
        <c:lblOffset val="100"/>
      </c:catAx>
      <c:valAx>
        <c:axId val="13945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5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10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65931648"/>
        <c:axId val="165814656"/>
      </c:lineChart>
      <c:catAx>
        <c:axId val="1659316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4656"/>
        <c:crosses val="autoZero"/>
        <c:auto val="1"/>
        <c:lblAlgn val="ctr"/>
        <c:lblOffset val="100"/>
      </c:catAx>
      <c:valAx>
        <c:axId val="1658146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3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72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X33">
            <v>13429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4648</v>
      </c>
      <c r="F18" s="315">
        <f>SUM('EDl log'!T20)</f>
        <v>0.23435012662245153</v>
      </c>
      <c r="G18" s="203">
        <f>-tanks!AW22</f>
        <v>447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5885</v>
      </c>
      <c r="F19" s="315">
        <f>SUM('EDl log'!T21)</f>
        <v>0.23692051522837479</v>
      </c>
      <c r="G19" s="203">
        <f>-tanks!AW23</f>
        <v>416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5677</v>
      </c>
      <c r="F20" s="315">
        <f>SUM('EDl log'!T22)</f>
        <v>0.26232235446759072</v>
      </c>
      <c r="G20" s="203">
        <f>-tanks!AW24</f>
        <v>572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910</v>
      </c>
      <c r="F18" s="203">
        <f>ELEC!K20</f>
        <v>1177</v>
      </c>
      <c r="G18" s="203">
        <f>ELEC!I20</f>
        <v>436</v>
      </c>
      <c r="H18" s="203">
        <f>ELEC!E20</f>
        <v>1900</v>
      </c>
      <c r="I18" s="203">
        <f>ELEC!G20</f>
        <v>225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1206</v>
      </c>
      <c r="F19" s="203">
        <f>ELEC!K21</f>
        <v>1594</v>
      </c>
      <c r="G19" s="203">
        <f>ELEC!I21</f>
        <v>510</v>
      </c>
      <c r="H19" s="203">
        <f>ELEC!E21</f>
        <v>2350</v>
      </c>
      <c r="I19" s="203">
        <f>ELEC!G21</f>
        <v>225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1136</v>
      </c>
      <c r="F20" s="203">
        <f>ELEC!K22</f>
        <v>1596</v>
      </c>
      <c r="G20" s="203">
        <f>ELEC!I22</f>
        <v>466</v>
      </c>
      <c r="H20" s="203">
        <f>ELEC!E22</f>
        <v>2270</v>
      </c>
      <c r="I20" s="203">
        <f>ELEC!G22</f>
        <v>209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J1" zoomScale="70" zoomScaleNormal="70" zoomScaleSheetLayoutView="100" workbookViewId="0">
      <pane ySplit="2" topLeftCell="A3" activePane="bottomLeft" state="frozen"/>
      <selection activeCell="C1" sqref="C1"/>
      <selection pane="bottomLeft" activeCell="V22" sqref="V22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600">
        <f>[2]ELEC!D34</f>
        <v>118750</v>
      </c>
      <c r="E3" s="600">
        <f>[2]ELEC!E34</f>
        <v>1910</v>
      </c>
      <c r="F3" s="600">
        <f>[2]ELEC!F34</f>
        <v>4110097</v>
      </c>
      <c r="G3" s="600">
        <f>[2]ELEC!G34</f>
        <v>206</v>
      </c>
      <c r="H3" s="600">
        <f>[2]ELEC!H34</f>
        <v>18001838</v>
      </c>
      <c r="I3" s="600">
        <f>[2]ELEC!I34</f>
        <v>408</v>
      </c>
      <c r="J3" s="600">
        <f>[2]ELEC!J34</f>
        <v>29657486</v>
      </c>
      <c r="K3" s="600">
        <f>[2]ELEC!K34</f>
        <v>550</v>
      </c>
      <c r="L3" s="600">
        <f>[2]ELEC!L34</f>
        <v>24498960</v>
      </c>
      <c r="M3" s="600">
        <f>[2]ELEC!M34</f>
        <v>880</v>
      </c>
      <c r="N3" s="600">
        <f>[2]ELEC!N34</f>
        <v>3954</v>
      </c>
      <c r="O3" s="600">
        <f>[2]ELEC!O34</f>
        <v>0</v>
      </c>
      <c r="P3" s="600">
        <f>[2]ELEC!P34</f>
        <v>18783.96</v>
      </c>
      <c r="Q3" s="600">
        <f>[2]ELEC!Q34</f>
        <v>8172.999999998865</v>
      </c>
      <c r="R3" s="600">
        <f>[2]ELEC!R34</f>
        <v>-4218.999999998865</v>
      </c>
      <c r="S3" s="600">
        <f>[2]ELEC!S34</f>
        <v>10175</v>
      </c>
      <c r="T3" s="600">
        <f>[2]ELEC!T34</f>
        <v>0</v>
      </c>
      <c r="U3" s="600">
        <f>[2]ELEC!U34</f>
        <v>429166</v>
      </c>
      <c r="V3" s="600">
        <f>[2]ELEC!V34</f>
        <v>0</v>
      </c>
      <c r="W3" s="600">
        <f>[2]ELEC!W34</f>
        <v>33479</v>
      </c>
      <c r="X3" s="600">
        <f>[2]ELEC!X34</f>
        <v>0</v>
      </c>
      <c r="Y3" s="600">
        <f>[2]ELEC!Y34</f>
        <v>995654</v>
      </c>
      <c r="Z3" s="600">
        <f>[2]ELEC!Z34</f>
        <v>0</v>
      </c>
      <c r="AA3" s="600">
        <f>[2]ELEC!AA34</f>
        <v>36796</v>
      </c>
      <c r="AB3" s="600">
        <f>[2]ELEC!AB34</f>
        <v>0</v>
      </c>
      <c r="AC3" s="600">
        <f>[2]ELEC!AC34</f>
        <v>1170505</v>
      </c>
      <c r="AD3" s="600">
        <f>[2]ELEC!AD34</f>
        <v>0</v>
      </c>
      <c r="AE3" s="600">
        <f>[2]ELEC!AE34</f>
        <v>0</v>
      </c>
      <c r="AF3" s="600">
        <f>[2]ELEC!AF34</f>
        <v>0</v>
      </c>
      <c r="AG3" s="600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1">
        <f>D3</f>
        <v>118750</v>
      </c>
      <c r="E4" s="585">
        <f>D4-D3</f>
        <v>0</v>
      </c>
      <c r="F4" s="573">
        <f>F3</f>
        <v>4110097</v>
      </c>
      <c r="G4" s="586">
        <f>F4-F3</f>
        <v>0</v>
      </c>
      <c r="H4" s="426">
        <f>H3</f>
        <v>18001838</v>
      </c>
      <c r="I4" s="586">
        <f>H4-H3</f>
        <v>0</v>
      </c>
      <c r="J4" s="426">
        <f>J3</f>
        <v>29657486</v>
      </c>
      <c r="K4" s="586">
        <f>J4-J3</f>
        <v>0</v>
      </c>
      <c r="L4" s="426">
        <f>L3</f>
        <v>24498960</v>
      </c>
      <c r="M4" s="586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1">
        <f t="shared" ref="D5:D34" si="7">D4</f>
        <v>118750</v>
      </c>
      <c r="E5" s="585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1">
        <f t="shared" si="7"/>
        <v>118750</v>
      </c>
      <c r="E6" s="585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1">
        <v>121330</v>
      </c>
      <c r="E7" s="585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1">
        <v>123510</v>
      </c>
      <c r="E8" s="585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1">
        <v>125620</v>
      </c>
      <c r="E9" s="585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1">
        <f t="shared" si="7"/>
        <v>125620</v>
      </c>
      <c r="E10" s="585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1">
        <f t="shared" si="7"/>
        <v>125620</v>
      </c>
      <c r="E11" s="585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1">
        <v>127770</v>
      </c>
      <c r="E12" s="585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1">
        <v>129750</v>
      </c>
      <c r="E13" s="585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1">
        <v>131810</v>
      </c>
      <c r="E14" s="585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1">
        <f t="shared" si="7"/>
        <v>131810</v>
      </c>
      <c r="E15" s="585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1">
        <v>134230</v>
      </c>
      <c r="E16" s="585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1">
        <f t="shared" si="7"/>
        <v>134230</v>
      </c>
      <c r="E17" s="585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1">
        <f t="shared" si="7"/>
        <v>134230</v>
      </c>
      <c r="E18" s="585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1">
        <v>136080</v>
      </c>
      <c r="E19" s="585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5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1">
        <v>137980</v>
      </c>
      <c r="E20" s="585">
        <f t="shared" si="8"/>
        <v>1900</v>
      </c>
      <c r="F20" s="573">
        <v>4112360</v>
      </c>
      <c r="G20" s="449">
        <f t="shared" si="20"/>
        <v>225</v>
      </c>
      <c r="H20" s="426">
        <v>18006106</v>
      </c>
      <c r="I20" s="449">
        <f t="shared" si="21"/>
        <v>436</v>
      </c>
      <c r="J20" s="426">
        <v>29670724</v>
      </c>
      <c r="K20" s="449">
        <f t="shared" si="22"/>
        <v>1177</v>
      </c>
      <c r="L20" s="426">
        <v>24508456</v>
      </c>
      <c r="M20" s="449">
        <f t="shared" si="23"/>
        <v>910</v>
      </c>
      <c r="N20" s="297">
        <f t="shared" si="24"/>
        <v>4648</v>
      </c>
      <c r="O20" s="445">
        <f t="shared" si="32"/>
        <v>0</v>
      </c>
      <c r="P20" s="564">
        <v>18830.98</v>
      </c>
      <c r="Q20" s="446">
        <f>(P20-P19)*1000</f>
        <v>4543.99999999805</v>
      </c>
      <c r="R20" s="605">
        <f>N20-Q20</f>
        <v>104.00000000194996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1">
        <v>140330</v>
      </c>
      <c r="E21" s="585">
        <f t="shared" si="8"/>
        <v>2350</v>
      </c>
      <c r="F21" s="573">
        <v>4112585</v>
      </c>
      <c r="G21" s="449">
        <f t="shared" si="20"/>
        <v>225</v>
      </c>
      <c r="H21" s="426">
        <v>18006616</v>
      </c>
      <c r="I21" s="449">
        <f t="shared" si="21"/>
        <v>510</v>
      </c>
      <c r="J21" s="426">
        <v>29672318</v>
      </c>
      <c r="K21" s="449">
        <f t="shared" si="22"/>
        <v>1594</v>
      </c>
      <c r="L21" s="426">
        <v>24509662</v>
      </c>
      <c r="M21" s="449">
        <f t="shared" si="23"/>
        <v>1206</v>
      </c>
      <c r="N21" s="297">
        <f t="shared" si="24"/>
        <v>5885</v>
      </c>
      <c r="O21" s="445">
        <f t="shared" si="32"/>
        <v>0</v>
      </c>
      <c r="P21" s="564">
        <v>18836.84</v>
      </c>
      <c r="Q21" s="446">
        <f t="shared" si="1"/>
        <v>5860.0000000005821</v>
      </c>
      <c r="R21" s="605">
        <f t="shared" ref="R21:R34" si="35">N21-Q21</f>
        <v>24.999999999417923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1">
        <v>142600</v>
      </c>
      <c r="E22" s="585">
        <f t="shared" si="8"/>
        <v>2270</v>
      </c>
      <c r="F22" s="573">
        <v>4112794</v>
      </c>
      <c r="G22" s="449">
        <f t="shared" si="20"/>
        <v>209</v>
      </c>
      <c r="H22" s="426">
        <v>18007082</v>
      </c>
      <c r="I22" s="449">
        <f t="shared" si="21"/>
        <v>466</v>
      </c>
      <c r="J22" s="426">
        <v>29673914</v>
      </c>
      <c r="K22" s="449">
        <f t="shared" si="22"/>
        <v>1596</v>
      </c>
      <c r="L22" s="426">
        <v>24510798</v>
      </c>
      <c r="M22" s="449">
        <f t="shared" si="23"/>
        <v>1136</v>
      </c>
      <c r="N22" s="297">
        <f t="shared" si="24"/>
        <v>5677</v>
      </c>
      <c r="O22" s="445">
        <f t="shared" si="32"/>
        <v>0</v>
      </c>
      <c r="P22" s="564">
        <v>18842.386999999999</v>
      </c>
      <c r="Q22" s="446">
        <f t="shared" si="1"/>
        <v>5546.9999999986612</v>
      </c>
      <c r="R22" s="605">
        <f t="shared" si="35"/>
        <v>130.00000000133878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1">
        <f t="shared" si="7"/>
        <v>142600</v>
      </c>
      <c r="E23" s="585">
        <f t="shared" si="8"/>
        <v>0</v>
      </c>
      <c r="F23" s="573">
        <f t="shared" si="9"/>
        <v>4112794</v>
      </c>
      <c r="G23" s="449">
        <f t="shared" si="20"/>
        <v>0</v>
      </c>
      <c r="H23" s="426">
        <f t="shared" si="10"/>
        <v>18007082</v>
      </c>
      <c r="I23" s="449">
        <f t="shared" si="21"/>
        <v>0</v>
      </c>
      <c r="J23" s="426">
        <f t="shared" si="11"/>
        <v>29673914</v>
      </c>
      <c r="K23" s="449">
        <f t="shared" si="22"/>
        <v>0</v>
      </c>
      <c r="L23" s="426">
        <f t="shared" si="12"/>
        <v>24510798</v>
      </c>
      <c r="M23" s="449">
        <f t="shared" si="23"/>
        <v>0</v>
      </c>
      <c r="N23" s="297">
        <f t="shared" si="24"/>
        <v>0</v>
      </c>
      <c r="O23" s="445">
        <f t="shared" si="32"/>
        <v>0</v>
      </c>
      <c r="P23" s="564">
        <f t="shared" si="13"/>
        <v>18842.386999999999</v>
      </c>
      <c r="Q23" s="446">
        <f t="shared" si="1"/>
        <v>0</v>
      </c>
      <c r="R23" s="605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1">
        <f t="shared" si="7"/>
        <v>142600</v>
      </c>
      <c r="E24" s="585">
        <f t="shared" si="8"/>
        <v>0</v>
      </c>
      <c r="F24" s="573">
        <f t="shared" si="9"/>
        <v>4112794</v>
      </c>
      <c r="G24" s="449">
        <f t="shared" si="20"/>
        <v>0</v>
      </c>
      <c r="H24" s="426">
        <f t="shared" si="10"/>
        <v>18007082</v>
      </c>
      <c r="I24" s="617">
        <f t="shared" si="21"/>
        <v>0</v>
      </c>
      <c r="J24" s="426">
        <f t="shared" si="11"/>
        <v>29673914</v>
      </c>
      <c r="K24" s="449">
        <f t="shared" si="22"/>
        <v>0</v>
      </c>
      <c r="L24" s="426">
        <f t="shared" si="12"/>
        <v>24510798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18842.386999999999</v>
      </c>
      <c r="Q24" s="446">
        <f t="shared" si="1"/>
        <v>0</v>
      </c>
      <c r="R24" s="605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1">
        <f t="shared" si="7"/>
        <v>142600</v>
      </c>
      <c r="E25" s="585">
        <f t="shared" si="8"/>
        <v>0</v>
      </c>
      <c r="F25" s="573">
        <f t="shared" si="9"/>
        <v>4112794</v>
      </c>
      <c r="G25" s="449">
        <f t="shared" si="20"/>
        <v>0</v>
      </c>
      <c r="H25" s="426">
        <f t="shared" si="10"/>
        <v>18007082</v>
      </c>
      <c r="I25" s="449">
        <f t="shared" si="21"/>
        <v>0</v>
      </c>
      <c r="J25" s="426">
        <f t="shared" si="11"/>
        <v>29673914</v>
      </c>
      <c r="K25" s="449">
        <f t="shared" si="22"/>
        <v>0</v>
      </c>
      <c r="L25" s="426">
        <f t="shared" si="12"/>
        <v>24510798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18842.386999999999</v>
      </c>
      <c r="Q25" s="446">
        <f t="shared" si="1"/>
        <v>0</v>
      </c>
      <c r="R25" s="605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1">
        <f t="shared" si="7"/>
        <v>142600</v>
      </c>
      <c r="E26" s="585">
        <f t="shared" si="8"/>
        <v>0</v>
      </c>
      <c r="F26" s="573">
        <f t="shared" si="9"/>
        <v>4112794</v>
      </c>
      <c r="G26" s="449">
        <f t="shared" si="20"/>
        <v>0</v>
      </c>
      <c r="H26" s="426">
        <f t="shared" si="10"/>
        <v>18007082</v>
      </c>
      <c r="I26" s="449">
        <f t="shared" si="21"/>
        <v>0</v>
      </c>
      <c r="J26" s="426">
        <f t="shared" si="11"/>
        <v>29673914</v>
      </c>
      <c r="K26" s="449">
        <f t="shared" si="22"/>
        <v>0</v>
      </c>
      <c r="L26" s="426">
        <f t="shared" si="12"/>
        <v>24510798</v>
      </c>
      <c r="M26" s="449">
        <f t="shared" si="23"/>
        <v>0</v>
      </c>
      <c r="N26" s="297">
        <f t="shared" si="24"/>
        <v>0</v>
      </c>
      <c r="O26" s="445">
        <f t="shared" si="32"/>
        <v>0</v>
      </c>
      <c r="P26" s="564">
        <f t="shared" si="13"/>
        <v>18842.386999999999</v>
      </c>
      <c r="Q26" s="446">
        <f t="shared" si="1"/>
        <v>0</v>
      </c>
      <c r="R26" s="605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1">
        <f t="shared" si="7"/>
        <v>142600</v>
      </c>
      <c r="E27" s="585">
        <f t="shared" si="8"/>
        <v>0</v>
      </c>
      <c r="F27" s="573">
        <f t="shared" si="9"/>
        <v>4112794</v>
      </c>
      <c r="G27" s="449">
        <f t="shared" si="20"/>
        <v>0</v>
      </c>
      <c r="H27" s="426">
        <f t="shared" si="10"/>
        <v>18007082</v>
      </c>
      <c r="I27" s="449">
        <f t="shared" si="21"/>
        <v>0</v>
      </c>
      <c r="J27" s="426">
        <f t="shared" si="11"/>
        <v>29673914</v>
      </c>
      <c r="K27" s="449">
        <f t="shared" si="22"/>
        <v>0</v>
      </c>
      <c r="L27" s="426">
        <f t="shared" si="12"/>
        <v>24510798</v>
      </c>
      <c r="M27" s="449">
        <f t="shared" si="23"/>
        <v>0</v>
      </c>
      <c r="N27" s="297">
        <f t="shared" si="24"/>
        <v>0</v>
      </c>
      <c r="O27" s="445">
        <f t="shared" si="32"/>
        <v>0</v>
      </c>
      <c r="P27" s="564">
        <f t="shared" si="13"/>
        <v>18842.386999999999</v>
      </c>
      <c r="Q27" s="446">
        <f t="shared" si="1"/>
        <v>0</v>
      </c>
      <c r="R27" s="605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1">
        <f t="shared" si="7"/>
        <v>142600</v>
      </c>
      <c r="E28" s="585">
        <f t="shared" si="8"/>
        <v>0</v>
      </c>
      <c r="F28" s="573">
        <f t="shared" si="9"/>
        <v>4112794</v>
      </c>
      <c r="G28" s="449">
        <f>F28-F27</f>
        <v>0</v>
      </c>
      <c r="H28" s="426">
        <f t="shared" si="10"/>
        <v>18007082</v>
      </c>
      <c r="I28" s="449">
        <f t="shared" si="21"/>
        <v>0</v>
      </c>
      <c r="J28" s="426">
        <f t="shared" si="11"/>
        <v>29673914</v>
      </c>
      <c r="K28" s="449">
        <f t="shared" si="22"/>
        <v>0</v>
      </c>
      <c r="L28" s="426">
        <f t="shared" si="12"/>
        <v>24510798</v>
      </c>
      <c r="M28" s="449">
        <f t="shared" si="23"/>
        <v>0</v>
      </c>
      <c r="N28" s="297">
        <f t="shared" si="24"/>
        <v>0</v>
      </c>
      <c r="O28" s="445">
        <f t="shared" si="32"/>
        <v>0</v>
      </c>
      <c r="P28" s="564">
        <f t="shared" si="13"/>
        <v>18842.386999999999</v>
      </c>
      <c r="Q28" s="446">
        <f t="shared" si="1"/>
        <v>0</v>
      </c>
      <c r="R28" s="605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1">
        <f t="shared" si="7"/>
        <v>142600</v>
      </c>
      <c r="E29" s="585">
        <f t="shared" si="8"/>
        <v>0</v>
      </c>
      <c r="F29" s="573">
        <f t="shared" si="9"/>
        <v>4112794</v>
      </c>
      <c r="G29" s="449">
        <f t="shared" ref="G29" si="36">F29-F28</f>
        <v>0</v>
      </c>
      <c r="H29" s="426">
        <f t="shared" si="10"/>
        <v>18007082</v>
      </c>
      <c r="I29" s="449">
        <f t="shared" ref="I29" si="37">H29-H28</f>
        <v>0</v>
      </c>
      <c r="J29" s="426">
        <f t="shared" si="11"/>
        <v>29673914</v>
      </c>
      <c r="K29" s="449">
        <f t="shared" ref="K29" si="38">J29-J28</f>
        <v>0</v>
      </c>
      <c r="L29" s="426">
        <f t="shared" si="12"/>
        <v>24510798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18842.386999999999</v>
      </c>
      <c r="Q29" s="446">
        <f t="shared" ref="Q29" si="42">(P29-P28)*1000</f>
        <v>0</v>
      </c>
      <c r="R29" s="605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1">
        <f t="shared" si="7"/>
        <v>142600</v>
      </c>
      <c r="E30" s="585">
        <f t="shared" si="8"/>
        <v>0</v>
      </c>
      <c r="F30" s="573">
        <f t="shared" si="9"/>
        <v>4112794</v>
      </c>
      <c r="G30" s="449">
        <f t="shared" si="20"/>
        <v>0</v>
      </c>
      <c r="H30" s="426">
        <f t="shared" si="10"/>
        <v>18007082</v>
      </c>
      <c r="I30" s="449">
        <f t="shared" si="21"/>
        <v>0</v>
      </c>
      <c r="J30" s="426">
        <f t="shared" si="11"/>
        <v>29673914</v>
      </c>
      <c r="K30" s="449">
        <f t="shared" si="22"/>
        <v>0</v>
      </c>
      <c r="L30" s="426">
        <f t="shared" si="12"/>
        <v>24510798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18842.386999999999</v>
      </c>
      <c r="Q30" s="446">
        <f t="shared" si="1"/>
        <v>0</v>
      </c>
      <c r="R30" s="605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1">
        <f t="shared" si="7"/>
        <v>142600</v>
      </c>
      <c r="E31" s="585">
        <f t="shared" si="8"/>
        <v>0</v>
      </c>
      <c r="F31" s="573">
        <f t="shared" si="9"/>
        <v>4112794</v>
      </c>
      <c r="G31" s="449">
        <f t="shared" si="20"/>
        <v>0</v>
      </c>
      <c r="H31" s="426">
        <f t="shared" si="10"/>
        <v>18007082</v>
      </c>
      <c r="I31" s="449">
        <f t="shared" si="21"/>
        <v>0</v>
      </c>
      <c r="J31" s="426">
        <f t="shared" si="11"/>
        <v>29673914</v>
      </c>
      <c r="K31" s="449">
        <f t="shared" si="22"/>
        <v>0</v>
      </c>
      <c r="L31" s="426">
        <f t="shared" si="12"/>
        <v>24510798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18842.386999999999</v>
      </c>
      <c r="Q31" s="446">
        <f t="shared" si="1"/>
        <v>0</v>
      </c>
      <c r="R31" s="605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1">
        <f t="shared" si="7"/>
        <v>142600</v>
      </c>
      <c r="E32" s="585">
        <f t="shared" si="8"/>
        <v>0</v>
      </c>
      <c r="F32" s="573">
        <f t="shared" si="9"/>
        <v>4112794</v>
      </c>
      <c r="G32" s="449">
        <f t="shared" si="20"/>
        <v>0</v>
      </c>
      <c r="H32" s="426">
        <f t="shared" si="10"/>
        <v>18007082</v>
      </c>
      <c r="I32" s="449">
        <f t="shared" si="21"/>
        <v>0</v>
      </c>
      <c r="J32" s="426">
        <f t="shared" si="11"/>
        <v>29673914</v>
      </c>
      <c r="K32" s="449">
        <f t="shared" si="22"/>
        <v>0</v>
      </c>
      <c r="L32" s="426">
        <f t="shared" si="12"/>
        <v>24510798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18842.386999999999</v>
      </c>
      <c r="Q32" s="446">
        <f t="shared" si="1"/>
        <v>0</v>
      </c>
      <c r="R32" s="605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1">
        <f t="shared" si="7"/>
        <v>142600</v>
      </c>
      <c r="E33" s="585">
        <f t="shared" si="8"/>
        <v>0</v>
      </c>
      <c r="F33" s="573">
        <f t="shared" si="9"/>
        <v>4112794</v>
      </c>
      <c r="G33" s="449">
        <f t="shared" si="20"/>
        <v>0</v>
      </c>
      <c r="H33" s="426">
        <f t="shared" si="10"/>
        <v>18007082</v>
      </c>
      <c r="I33" s="449">
        <f t="shared" si="21"/>
        <v>0</v>
      </c>
      <c r="J33" s="426">
        <f t="shared" si="11"/>
        <v>29673914</v>
      </c>
      <c r="K33" s="449">
        <f t="shared" si="22"/>
        <v>0</v>
      </c>
      <c r="L33" s="426">
        <f t="shared" si="12"/>
        <v>24510798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18842.386999999999</v>
      </c>
      <c r="Q33" s="446">
        <f t="shared" si="1"/>
        <v>0</v>
      </c>
      <c r="R33" s="605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1">
        <f t="shared" si="7"/>
        <v>142600</v>
      </c>
      <c r="E34" s="585">
        <f t="shared" si="8"/>
        <v>0</v>
      </c>
      <c r="F34" s="573">
        <f t="shared" si="9"/>
        <v>4112794</v>
      </c>
      <c r="G34" s="449">
        <f t="shared" ref="G34" si="51">F34-F33</f>
        <v>0</v>
      </c>
      <c r="H34" s="426">
        <f t="shared" si="10"/>
        <v>18007082</v>
      </c>
      <c r="I34" s="449">
        <f t="shared" si="21"/>
        <v>0</v>
      </c>
      <c r="J34" s="426">
        <f t="shared" si="11"/>
        <v>29673914</v>
      </c>
      <c r="K34" s="449">
        <f t="shared" ref="K34" si="52">J34-J33</f>
        <v>0</v>
      </c>
      <c r="L34" s="426">
        <f t="shared" si="12"/>
        <v>24510798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18842.386999999999</v>
      </c>
      <c r="Q34" s="446">
        <f t="shared" si="1"/>
        <v>0</v>
      </c>
      <c r="R34" s="605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23" sqref="I2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66.363636363636374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v>243</v>
      </c>
      <c r="C21" s="537">
        <v>248</v>
      </c>
      <c r="D21" s="45">
        <f t="shared" ref="D21:D32" si="49">C20-C21</f>
        <v>7</v>
      </c>
      <c r="E21" s="45">
        <f t="shared" si="14"/>
        <v>58.660000000000004</v>
      </c>
      <c r="F21" s="537">
        <v>1993</v>
      </c>
      <c r="G21" s="52">
        <f t="shared" si="0"/>
        <v>6</v>
      </c>
      <c r="H21" s="537">
        <v>24805</v>
      </c>
      <c r="I21" s="380">
        <f t="shared" si="1"/>
        <v>447</v>
      </c>
      <c r="J21" s="66">
        <f t="shared" si="17"/>
        <v>74.5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6</v>
      </c>
      <c r="V21" s="62">
        <f t="shared" si="22"/>
        <v>447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447</v>
      </c>
      <c r="AJ21" s="303">
        <f>-tanks!AW22</f>
        <v>447</v>
      </c>
      <c r="AK21" s="303">
        <f t="shared" si="31"/>
        <v>0</v>
      </c>
      <c r="AL21" s="303">
        <f t="shared" si="8"/>
        <v>6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v>235</v>
      </c>
      <c r="C22" s="537">
        <v>241</v>
      </c>
      <c r="D22" s="45">
        <f t="shared" si="49"/>
        <v>7</v>
      </c>
      <c r="E22" s="45">
        <f t="shared" si="14"/>
        <v>58.660000000000004</v>
      </c>
      <c r="F22" s="537">
        <v>1999</v>
      </c>
      <c r="G22" s="52">
        <f t="shared" si="0"/>
        <v>6</v>
      </c>
      <c r="H22" s="537">
        <v>25221</v>
      </c>
      <c r="I22" s="380">
        <f t="shared" si="1"/>
        <v>416</v>
      </c>
      <c r="J22" s="66">
        <f t="shared" si="17"/>
        <v>69.333333333333329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6</v>
      </c>
      <c r="V22" s="62">
        <f t="shared" si="22"/>
        <v>416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416</v>
      </c>
      <c r="AJ22" s="303">
        <f>-tanks!AW23</f>
        <v>416</v>
      </c>
      <c r="AK22" s="303">
        <f t="shared" si="31"/>
        <v>0</v>
      </c>
      <c r="AL22" s="303">
        <f t="shared" si="8"/>
        <v>6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v>226</v>
      </c>
      <c r="C23" s="537">
        <v>233</v>
      </c>
      <c r="D23" s="45">
        <f t="shared" si="49"/>
        <v>8</v>
      </c>
      <c r="E23" s="45">
        <f t="shared" si="14"/>
        <v>67.040000000000006</v>
      </c>
      <c r="F23" s="537">
        <v>2007</v>
      </c>
      <c r="G23" s="52">
        <f t="shared" si="0"/>
        <v>8</v>
      </c>
      <c r="H23" s="537">
        <v>25793</v>
      </c>
      <c r="I23" s="380">
        <f t="shared" si="1"/>
        <v>572</v>
      </c>
      <c r="J23" s="66">
        <f t="shared" si="17"/>
        <v>71.5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8</v>
      </c>
      <c r="V23" s="62">
        <f t="shared" si="22"/>
        <v>572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572</v>
      </c>
      <c r="AJ23" s="303">
        <f>-tanks!AW24</f>
        <v>572</v>
      </c>
      <c r="AK23" s="303">
        <f>SUM(AJ23-AI23)</f>
        <v>0</v>
      </c>
      <c r="AL23" s="303">
        <f>S23+L23+G23</f>
        <v>8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f t="shared" si="12"/>
        <v>226</v>
      </c>
      <c r="C24" s="537">
        <f t="shared" si="13"/>
        <v>233</v>
      </c>
      <c r="D24" s="45">
        <f t="shared" si="49"/>
        <v>0</v>
      </c>
      <c r="E24" s="45">
        <f t="shared" si="14"/>
        <v>0</v>
      </c>
      <c r="F24" s="537">
        <f t="shared" si="15"/>
        <v>2007</v>
      </c>
      <c r="G24" s="52">
        <f t="shared" si="0"/>
        <v>0</v>
      </c>
      <c r="H24" s="537">
        <f t="shared" si="16"/>
        <v>25793</v>
      </c>
      <c r="I24" s="380">
        <f t="shared" si="1"/>
        <v>0</v>
      </c>
      <c r="J24" s="66">
        <f t="shared" si="17"/>
        <v>0</v>
      </c>
      <c r="K24" s="537">
        <f t="shared" si="18"/>
        <v>2377</v>
      </c>
      <c r="L24" s="52">
        <f t="shared" si="19"/>
        <v>0</v>
      </c>
      <c r="M24" s="537">
        <f t="shared" si="20"/>
        <v>175726</v>
      </c>
      <c r="N24" s="380">
        <f t="shared" si="2"/>
        <v>0</v>
      </c>
      <c r="O24" s="64">
        <f t="shared" si="48"/>
        <v>1869</v>
      </c>
      <c r="P24" s="537">
        <f t="shared" si="45"/>
        <v>2141</v>
      </c>
      <c r="Q24" s="537">
        <f t="shared" si="46"/>
        <v>179651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226</v>
      </c>
      <c r="C25" s="537">
        <f t="shared" si="13"/>
        <v>233</v>
      </c>
      <c r="D25" s="45">
        <f t="shared" si="49"/>
        <v>0</v>
      </c>
      <c r="E25" s="45">
        <f t="shared" si="14"/>
        <v>0</v>
      </c>
      <c r="F25" s="537">
        <f t="shared" si="15"/>
        <v>2007</v>
      </c>
      <c r="G25" s="52">
        <f t="shared" si="0"/>
        <v>0</v>
      </c>
      <c r="H25" s="537">
        <f t="shared" si="16"/>
        <v>25793</v>
      </c>
      <c r="I25" s="380">
        <f t="shared" si="1"/>
        <v>0</v>
      </c>
      <c r="J25" s="66">
        <f t="shared" si="17"/>
        <v>0</v>
      </c>
      <c r="K25" s="537">
        <f t="shared" si="18"/>
        <v>2377</v>
      </c>
      <c r="L25" s="52">
        <f t="shared" si="19"/>
        <v>0</v>
      </c>
      <c r="M25" s="537">
        <f t="shared" si="20"/>
        <v>175726</v>
      </c>
      <c r="N25" s="380">
        <f t="shared" si="2"/>
        <v>0</v>
      </c>
      <c r="O25" s="64">
        <f t="shared" si="48"/>
        <v>1869</v>
      </c>
      <c r="P25" s="537">
        <f t="shared" si="45"/>
        <v>2141</v>
      </c>
      <c r="Q25" s="537">
        <f t="shared" si="46"/>
        <v>179651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226</v>
      </c>
      <c r="C26" s="537">
        <f t="shared" si="13"/>
        <v>233</v>
      </c>
      <c r="D26" s="45">
        <f t="shared" si="49"/>
        <v>0</v>
      </c>
      <c r="E26" s="45">
        <f t="shared" si="14"/>
        <v>0</v>
      </c>
      <c r="F26" s="537">
        <f t="shared" si="15"/>
        <v>2007</v>
      </c>
      <c r="G26" s="52">
        <f t="shared" si="0"/>
        <v>0</v>
      </c>
      <c r="H26" s="537">
        <f t="shared" si="16"/>
        <v>25793</v>
      </c>
      <c r="I26" s="380">
        <f t="shared" si="1"/>
        <v>0</v>
      </c>
      <c r="J26" s="66">
        <f t="shared" si="17"/>
        <v>0</v>
      </c>
      <c r="K26" s="537">
        <f t="shared" si="18"/>
        <v>2377</v>
      </c>
      <c r="L26" s="52">
        <f t="shared" si="19"/>
        <v>0</v>
      </c>
      <c r="M26" s="537">
        <f t="shared" si="20"/>
        <v>175726</v>
      </c>
      <c r="N26" s="380">
        <f t="shared" si="2"/>
        <v>0</v>
      </c>
      <c r="O26" s="64">
        <f t="shared" si="48"/>
        <v>1869</v>
      </c>
      <c r="P26" s="537">
        <f t="shared" si="45"/>
        <v>2141</v>
      </c>
      <c r="Q26" s="537">
        <f t="shared" si="46"/>
        <v>179651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f t="shared" si="12"/>
        <v>226</v>
      </c>
      <c r="C27" s="537">
        <f t="shared" si="13"/>
        <v>233</v>
      </c>
      <c r="D27" s="45">
        <f t="shared" si="49"/>
        <v>0</v>
      </c>
      <c r="E27" s="45">
        <f t="shared" si="14"/>
        <v>0</v>
      </c>
      <c r="F27" s="537">
        <f t="shared" si="15"/>
        <v>2007</v>
      </c>
      <c r="G27" s="52">
        <f t="shared" si="0"/>
        <v>0</v>
      </c>
      <c r="H27" s="537">
        <f t="shared" si="16"/>
        <v>25793</v>
      </c>
      <c r="I27" s="380">
        <f t="shared" si="1"/>
        <v>0</v>
      </c>
      <c r="J27" s="66">
        <f t="shared" si="17"/>
        <v>0</v>
      </c>
      <c r="K27" s="537">
        <f t="shared" si="18"/>
        <v>2377</v>
      </c>
      <c r="L27" s="52">
        <f t="shared" si="19"/>
        <v>0</v>
      </c>
      <c r="M27" s="537">
        <f t="shared" si="20"/>
        <v>175726</v>
      </c>
      <c r="N27" s="380">
        <f t="shared" si="2"/>
        <v>0</v>
      </c>
      <c r="O27" s="64">
        <f t="shared" si="48"/>
        <v>1869</v>
      </c>
      <c r="P27" s="537">
        <f t="shared" si="45"/>
        <v>2141</v>
      </c>
      <c r="Q27" s="537">
        <f t="shared" si="46"/>
        <v>179651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f t="shared" si="12"/>
        <v>226</v>
      </c>
      <c r="C28" s="537">
        <f t="shared" si="13"/>
        <v>233</v>
      </c>
      <c r="D28" s="45">
        <f t="shared" si="49"/>
        <v>0</v>
      </c>
      <c r="E28" s="45">
        <f t="shared" si="14"/>
        <v>0</v>
      </c>
      <c r="F28" s="537">
        <f t="shared" si="15"/>
        <v>2007</v>
      </c>
      <c r="G28" s="52">
        <f t="shared" si="0"/>
        <v>0</v>
      </c>
      <c r="H28" s="537">
        <f t="shared" si="16"/>
        <v>25793</v>
      </c>
      <c r="I28" s="380">
        <f t="shared" si="1"/>
        <v>0</v>
      </c>
      <c r="J28" s="66">
        <f t="shared" si="17"/>
        <v>0</v>
      </c>
      <c r="K28" s="537">
        <f t="shared" si="18"/>
        <v>2377</v>
      </c>
      <c r="L28" s="52">
        <f t="shared" si="19"/>
        <v>0</v>
      </c>
      <c r="M28" s="537">
        <f t="shared" si="20"/>
        <v>175726</v>
      </c>
      <c r="N28" s="380">
        <f t="shared" si="2"/>
        <v>0</v>
      </c>
      <c r="O28" s="64">
        <f t="shared" si="48"/>
        <v>1869</v>
      </c>
      <c r="P28" s="537">
        <f t="shared" si="45"/>
        <v>2141</v>
      </c>
      <c r="Q28" s="537">
        <f t="shared" si="46"/>
        <v>179651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f t="shared" si="12"/>
        <v>226</v>
      </c>
      <c r="C29" s="537">
        <f t="shared" si="13"/>
        <v>233</v>
      </c>
      <c r="D29" s="45">
        <f t="shared" si="49"/>
        <v>0</v>
      </c>
      <c r="E29" s="45">
        <f t="shared" si="14"/>
        <v>0</v>
      </c>
      <c r="F29" s="537">
        <f t="shared" si="15"/>
        <v>2007</v>
      </c>
      <c r="G29" s="52">
        <f t="shared" si="0"/>
        <v>0</v>
      </c>
      <c r="H29" s="537">
        <f t="shared" si="16"/>
        <v>25793</v>
      </c>
      <c r="I29" s="380">
        <f t="shared" si="1"/>
        <v>0</v>
      </c>
      <c r="J29" s="66">
        <f t="shared" si="17"/>
        <v>0</v>
      </c>
      <c r="K29" s="537">
        <f t="shared" si="18"/>
        <v>2377</v>
      </c>
      <c r="L29" s="52">
        <f t="shared" si="19"/>
        <v>0</v>
      </c>
      <c r="M29" s="537">
        <f t="shared" si="20"/>
        <v>175726</v>
      </c>
      <c r="N29" s="380">
        <f t="shared" si="2"/>
        <v>0</v>
      </c>
      <c r="O29" s="64">
        <f t="shared" si="48"/>
        <v>1869</v>
      </c>
      <c r="P29" s="537">
        <f t="shared" si="45"/>
        <v>2141</v>
      </c>
      <c r="Q29" s="537">
        <f t="shared" si="46"/>
        <v>179651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226</v>
      </c>
      <c r="C30" s="537">
        <f t="shared" si="13"/>
        <v>233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2007</v>
      </c>
      <c r="G30" s="52">
        <f t="shared" ref="G30" si="56">F30-F29</f>
        <v>0</v>
      </c>
      <c r="H30" s="537">
        <f t="shared" si="16"/>
        <v>25793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2377</v>
      </c>
      <c r="L30" s="52">
        <f t="shared" ref="L30" si="59">K30-K29</f>
        <v>0</v>
      </c>
      <c r="M30" s="537">
        <f t="shared" si="20"/>
        <v>175726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2141</v>
      </c>
      <c r="Q30" s="537">
        <f t="shared" si="46"/>
        <v>179651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226</v>
      </c>
      <c r="C31" s="537">
        <f t="shared" si="13"/>
        <v>233</v>
      </c>
      <c r="D31" s="45">
        <f t="shared" si="49"/>
        <v>0</v>
      </c>
      <c r="E31" s="45">
        <f t="shared" si="14"/>
        <v>0</v>
      </c>
      <c r="F31" s="537">
        <f t="shared" si="15"/>
        <v>2007</v>
      </c>
      <c r="G31" s="52">
        <f t="shared" si="0"/>
        <v>0</v>
      </c>
      <c r="H31" s="537">
        <f t="shared" si="16"/>
        <v>25793</v>
      </c>
      <c r="I31" s="380">
        <f t="shared" si="1"/>
        <v>0</v>
      </c>
      <c r="J31" s="66">
        <f t="shared" si="17"/>
        <v>0</v>
      </c>
      <c r="K31" s="537">
        <f t="shared" si="18"/>
        <v>2377</v>
      </c>
      <c r="L31" s="52">
        <f t="shared" si="19"/>
        <v>0</v>
      </c>
      <c r="M31" s="537">
        <f t="shared" si="20"/>
        <v>175726</v>
      </c>
      <c r="N31" s="380">
        <f t="shared" si="2"/>
        <v>0</v>
      </c>
      <c r="O31" s="64">
        <f t="shared" si="48"/>
        <v>1869</v>
      </c>
      <c r="P31" s="537">
        <f t="shared" si="45"/>
        <v>2141</v>
      </c>
      <c r="Q31" s="537">
        <f t="shared" si="46"/>
        <v>179651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226</v>
      </c>
      <c r="C32" s="537">
        <f t="shared" si="13"/>
        <v>233</v>
      </c>
      <c r="D32" s="45">
        <f t="shared" si="49"/>
        <v>0</v>
      </c>
      <c r="E32" s="45">
        <f t="shared" si="14"/>
        <v>0</v>
      </c>
      <c r="F32" s="537">
        <f t="shared" si="15"/>
        <v>2007</v>
      </c>
      <c r="G32" s="52">
        <f t="shared" si="0"/>
        <v>0</v>
      </c>
      <c r="H32" s="537">
        <f t="shared" si="16"/>
        <v>25793</v>
      </c>
      <c r="I32" s="380">
        <f t="shared" si="1"/>
        <v>0</v>
      </c>
      <c r="J32" s="66">
        <f t="shared" si="17"/>
        <v>0</v>
      </c>
      <c r="K32" s="537">
        <f t="shared" si="18"/>
        <v>2377</v>
      </c>
      <c r="L32" s="52">
        <f t="shared" si="19"/>
        <v>0</v>
      </c>
      <c r="M32" s="537">
        <f t="shared" si="20"/>
        <v>175726</v>
      </c>
      <c r="N32" s="380">
        <f t="shared" si="2"/>
        <v>0</v>
      </c>
      <c r="O32" s="64">
        <f t="shared" si="48"/>
        <v>1869</v>
      </c>
      <c r="P32" s="537">
        <f t="shared" si="45"/>
        <v>2141</v>
      </c>
      <c r="Q32" s="537">
        <f t="shared" si="46"/>
        <v>179651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226</v>
      </c>
      <c r="C33" s="537">
        <f t="shared" si="13"/>
        <v>233</v>
      </c>
      <c r="D33" s="45">
        <f>C32-C33</f>
        <v>0</v>
      </c>
      <c r="E33" s="45">
        <f>D33*8.38</f>
        <v>0</v>
      </c>
      <c r="F33" s="537">
        <f t="shared" si="15"/>
        <v>2007</v>
      </c>
      <c r="G33" s="52">
        <f>F33-F32</f>
        <v>0</v>
      </c>
      <c r="H33" s="537">
        <f t="shared" si="16"/>
        <v>25793</v>
      </c>
      <c r="I33" s="380">
        <f>SUM(H33-H32)</f>
        <v>0</v>
      </c>
      <c r="J33" s="66">
        <f>IF(G33&gt;0,I33/G33,0)</f>
        <v>0</v>
      </c>
      <c r="K33" s="537">
        <f t="shared" si="18"/>
        <v>2377</v>
      </c>
      <c r="L33" s="52">
        <f>K33-K32</f>
        <v>0</v>
      </c>
      <c r="M33" s="537">
        <f t="shared" si="20"/>
        <v>175726</v>
      </c>
      <c r="N33" s="380">
        <f>M33-M32</f>
        <v>0</v>
      </c>
      <c r="O33" s="64">
        <f t="shared" si="48"/>
        <v>1869</v>
      </c>
      <c r="P33" s="537">
        <f t="shared" si="45"/>
        <v>2141</v>
      </c>
      <c r="Q33" s="537">
        <f t="shared" si="46"/>
        <v>179651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226</v>
      </c>
      <c r="C34" s="537">
        <f t="shared" si="13"/>
        <v>233</v>
      </c>
      <c r="D34" s="45">
        <f>C33-C34</f>
        <v>0</v>
      </c>
      <c r="E34" s="45">
        <f>D34*8.38</f>
        <v>0</v>
      </c>
      <c r="F34" s="537">
        <f t="shared" si="15"/>
        <v>2007</v>
      </c>
      <c r="G34" s="52">
        <f>F34-F33</f>
        <v>0</v>
      </c>
      <c r="H34" s="537">
        <f t="shared" si="16"/>
        <v>25793</v>
      </c>
      <c r="I34" s="380">
        <f>SUM(H34-H33)</f>
        <v>0</v>
      </c>
      <c r="J34" s="66">
        <f>IF(G34&gt;0,I34/G34,0)</f>
        <v>0</v>
      </c>
      <c r="K34" s="537">
        <f t="shared" si="18"/>
        <v>2377</v>
      </c>
      <c r="L34" s="52">
        <f>K34-K33</f>
        <v>0</v>
      </c>
      <c r="M34" s="537">
        <f t="shared" si="20"/>
        <v>175726</v>
      </c>
      <c r="N34" s="380">
        <f>M34-M33</f>
        <v>0</v>
      </c>
      <c r="O34" s="64">
        <f t="shared" si="48"/>
        <v>1869</v>
      </c>
      <c r="P34" s="537">
        <f t="shared" si="45"/>
        <v>2141</v>
      </c>
      <c r="Q34" s="537">
        <f t="shared" si="46"/>
        <v>179651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226</v>
      </c>
      <c r="C35" s="537">
        <f t="shared" si="13"/>
        <v>233</v>
      </c>
      <c r="D35" s="45">
        <f>C34-C35</f>
        <v>0</v>
      </c>
      <c r="E35" s="45">
        <f>D35*8.38</f>
        <v>0</v>
      </c>
      <c r="F35" s="537">
        <f t="shared" si="15"/>
        <v>2007</v>
      </c>
      <c r="G35" s="52">
        <f>F35-F34</f>
        <v>0</v>
      </c>
      <c r="H35" s="537">
        <f t="shared" si="16"/>
        <v>25793</v>
      </c>
      <c r="I35" s="380">
        <f>SUM(H35-H34)</f>
        <v>0</v>
      </c>
      <c r="J35" s="66">
        <f>IF(G35&gt;0,I35/G35,0)</f>
        <v>0</v>
      </c>
      <c r="K35" s="537">
        <f t="shared" si="18"/>
        <v>2377</v>
      </c>
      <c r="L35" s="52">
        <f>K35-K34</f>
        <v>0</v>
      </c>
      <c r="M35" s="537">
        <f t="shared" si="20"/>
        <v>175726</v>
      </c>
      <c r="N35" s="380">
        <f>M35-M34</f>
        <v>0</v>
      </c>
      <c r="O35" s="64">
        <f t="shared" si="48"/>
        <v>1869</v>
      </c>
      <c r="P35" s="537">
        <f t="shared" si="45"/>
        <v>2141</v>
      </c>
      <c r="Q35" s="537">
        <f t="shared" si="46"/>
        <v>179651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66.363636363636374</v>
      </c>
      <c r="U36" s="70">
        <f>SUM(U5:U35)</f>
        <v>51</v>
      </c>
      <c r="V36" s="62">
        <f>SUM(V5:V35)</f>
        <v>3623</v>
      </c>
      <c r="AE36" s="71" t="s">
        <v>379</v>
      </c>
      <c r="AG36" s="329"/>
      <c r="AH36" s="62">
        <f>SUM(AH5:AH35)</f>
        <v>0</v>
      </c>
      <c r="AL36" s="62">
        <f>SUM(AL5:AL35)</f>
        <v>51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71.039215686274517</v>
      </c>
      <c r="AH37" s="62">
        <f>AF37+AA37</f>
        <v>0</v>
      </c>
      <c r="AI37" s="306">
        <f>SUM(AI5:AI35)</f>
        <v>3623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="90" zoomScaleNormal="90" workbookViewId="0">
      <pane ySplit="3" topLeftCell="A4" activePane="bottomLeft" state="frozen"/>
      <selection pane="bottomLeft" activeCell="AX25" sqref="AX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v>98</v>
      </c>
      <c r="AY21" s="409">
        <f>AS21*AT21</f>
        <v>130.5</v>
      </c>
      <c r="AZ21" s="409">
        <f>AU21*AV21</f>
        <v>119.9</v>
      </c>
      <c r="BA21" s="409">
        <f>AW21*AX21</f>
        <v>284.2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-11.600000000000023</v>
      </c>
      <c r="BE21" s="24">
        <f t="shared" si="34"/>
        <v>-11.600000000000023</v>
      </c>
      <c r="BF21" s="96">
        <f t="shared" si="4"/>
        <v>11.600000000000023</v>
      </c>
      <c r="BG21" s="82">
        <f t="shared" si="5"/>
        <v>-11.600000000000023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6987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9.5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v>107</v>
      </c>
      <c r="AW22" s="5">
        <v>2.9</v>
      </c>
      <c r="AX22" s="201">
        <v>96</v>
      </c>
      <c r="AY22" s="409">
        <f t="shared" si="37"/>
        <v>130.5</v>
      </c>
      <c r="AZ22" s="409">
        <f t="shared" si="38"/>
        <v>117.7</v>
      </c>
      <c r="BA22" s="409">
        <f t="shared" si="39"/>
        <v>278.39999999999998</v>
      </c>
      <c r="BB22" s="21">
        <f>AY22-AY21</f>
        <v>0</v>
      </c>
      <c r="BC22" s="21">
        <f t="shared" si="48"/>
        <v>-2.2000000000000028</v>
      </c>
      <c r="BD22" s="21">
        <f t="shared" si="48"/>
        <v>-5.8000000000000114</v>
      </c>
      <c r="BE22" s="24">
        <f t="shared" si="34"/>
        <v>-8.0000000000000142</v>
      </c>
      <c r="BF22" s="96">
        <f t="shared" si="4"/>
        <v>8.0000000000000142</v>
      </c>
      <c r="BG22" s="82">
        <f t="shared" si="5"/>
        <v>-8.0000000000000142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6991</v>
      </c>
      <c r="L23" s="263">
        <f t="shared" si="41"/>
        <v>4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-4</v>
      </c>
      <c r="AL23" s="312">
        <f t="shared" si="28"/>
        <v>0</v>
      </c>
      <c r="AM23" s="312">
        <f>'General information '!D22</f>
        <v>11.5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v>100</v>
      </c>
      <c r="AW23" s="5">
        <v>2.9</v>
      </c>
      <c r="AX23" s="201">
        <v>93</v>
      </c>
      <c r="AY23" s="409">
        <f t="shared" si="37"/>
        <v>130.5</v>
      </c>
      <c r="AZ23" s="409">
        <f t="shared" si="38"/>
        <v>110.00000000000001</v>
      </c>
      <c r="BA23" s="409">
        <f t="shared" si="39"/>
        <v>269.7</v>
      </c>
      <c r="BB23" s="21">
        <f t="shared" si="48"/>
        <v>0</v>
      </c>
      <c r="BC23" s="21">
        <f t="shared" si="48"/>
        <v>-7.6999999999999886</v>
      </c>
      <c r="BD23" s="21">
        <f t="shared" si="48"/>
        <v>-8.6999999999999886</v>
      </c>
      <c r="BE23" s="24">
        <f t="shared" si="34"/>
        <v>-16.399999999999977</v>
      </c>
      <c r="BF23" s="96">
        <f t="shared" si="4"/>
        <v>16.399999999999977</v>
      </c>
      <c r="BG23" s="82">
        <f t="shared" si="5"/>
        <v>-16.399999999999977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6991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11.5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100</v>
      </c>
      <c r="AW24" s="5">
        <v>2.9</v>
      </c>
      <c r="AX24" s="201">
        <v>90</v>
      </c>
      <c r="AY24" s="409">
        <f t="shared" si="37"/>
        <v>130.5</v>
      </c>
      <c r="AZ24" s="409">
        <f t="shared" si="38"/>
        <v>110.00000000000001</v>
      </c>
      <c r="BA24" s="409">
        <f t="shared" si="39"/>
        <v>261</v>
      </c>
      <c r="BB24" s="21">
        <f t="shared" si="48"/>
        <v>0</v>
      </c>
      <c r="BC24" s="21">
        <f t="shared" si="48"/>
        <v>0</v>
      </c>
      <c r="BD24" s="21">
        <f t="shared" si="48"/>
        <v>-8.6999999999999886</v>
      </c>
      <c r="BE24" s="24">
        <f t="shared" si="34"/>
        <v>-8.6999999999999886</v>
      </c>
      <c r="BF24" s="96">
        <f t="shared" si="4"/>
        <v>8.6999999999999886</v>
      </c>
      <c r="BG24" s="82">
        <f t="shared" si="5"/>
        <v>-8.6999999999999886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6991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100</v>
      </c>
      <c r="AW25" s="5">
        <v>2.9</v>
      </c>
      <c r="AX25" s="201">
        <f t="shared" si="32"/>
        <v>90</v>
      </c>
      <c r="AY25" s="409">
        <f t="shared" si="37"/>
        <v>130.5</v>
      </c>
      <c r="AZ25" s="409">
        <f t="shared" si="38"/>
        <v>110.00000000000001</v>
      </c>
      <c r="BA25" s="409">
        <f t="shared" si="39"/>
        <v>261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4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6991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100</v>
      </c>
      <c r="AW26" s="5">
        <v>2.9</v>
      </c>
      <c r="AX26" s="201">
        <f t="shared" si="32"/>
        <v>90</v>
      </c>
      <c r="AY26" s="409">
        <f t="shared" si="37"/>
        <v>130.5</v>
      </c>
      <c r="AZ26" s="409">
        <f t="shared" si="38"/>
        <v>110.00000000000001</v>
      </c>
      <c r="BA26" s="409">
        <f t="shared" si="39"/>
        <v>261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6991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100</v>
      </c>
      <c r="AW27" s="5">
        <v>2.9</v>
      </c>
      <c r="AX27" s="201">
        <f t="shared" si="32"/>
        <v>90</v>
      </c>
      <c r="AY27" s="409">
        <f t="shared" si="37"/>
        <v>130.5</v>
      </c>
      <c r="AZ27" s="409">
        <f t="shared" si="38"/>
        <v>110.00000000000001</v>
      </c>
      <c r="BA27" s="409">
        <f t="shared" si="39"/>
        <v>261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6991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f t="shared" si="31"/>
        <v>100</v>
      </c>
      <c r="AW28" s="5">
        <v>2.9</v>
      </c>
      <c r="AX28" s="201">
        <f t="shared" si="32"/>
        <v>90</v>
      </c>
      <c r="AY28" s="409">
        <f t="shared" si="37"/>
        <v>130.5</v>
      </c>
      <c r="AZ28" s="409">
        <f t="shared" si="38"/>
        <v>110.00000000000001</v>
      </c>
      <c r="BA28" s="409">
        <f t="shared" si="39"/>
        <v>261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4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6991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100</v>
      </c>
      <c r="AW29" s="5">
        <v>2.9</v>
      </c>
      <c r="AX29" s="201">
        <f t="shared" si="32"/>
        <v>90</v>
      </c>
      <c r="AY29" s="409">
        <f t="shared" si="37"/>
        <v>130.5</v>
      </c>
      <c r="AZ29" s="409">
        <f t="shared" si="38"/>
        <v>110.00000000000001</v>
      </c>
      <c r="BA29" s="409">
        <f t="shared" si="39"/>
        <v>261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4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6991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f t="shared" si="17"/>
        <v>154639</v>
      </c>
      <c r="Y30" s="309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145</v>
      </c>
      <c r="AU30" s="408">
        <f t="shared" si="43"/>
        <v>1.1000000000000001</v>
      </c>
      <c r="AV30" s="201">
        <f t="shared" si="31"/>
        <v>100</v>
      </c>
      <c r="AW30" s="5">
        <v>2.9</v>
      </c>
      <c r="AX30" s="201">
        <f t="shared" si="32"/>
        <v>90</v>
      </c>
      <c r="AY30" s="409">
        <f t="shared" si="37"/>
        <v>130.5</v>
      </c>
      <c r="AZ30" s="409">
        <f t="shared" si="38"/>
        <v>110.00000000000001</v>
      </c>
      <c r="BA30" s="409">
        <f t="shared" si="39"/>
        <v>261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6991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154639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145</v>
      </c>
      <c r="AU31" s="408">
        <f t="shared" si="43"/>
        <v>1.1000000000000001</v>
      </c>
      <c r="AV31" s="201">
        <f t="shared" si="31"/>
        <v>100</v>
      </c>
      <c r="AW31" s="5">
        <v>2.9</v>
      </c>
      <c r="AX31" s="201">
        <f t="shared" si="32"/>
        <v>90</v>
      </c>
      <c r="AY31" s="409">
        <f t="shared" si="37"/>
        <v>130.5</v>
      </c>
      <c r="AZ31" s="409">
        <f>AU31*AV31</f>
        <v>110.00000000000001</v>
      </c>
      <c r="BA31" s="409">
        <f t="shared" si="39"/>
        <v>261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6991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154639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145</v>
      </c>
      <c r="AU32" s="408">
        <f t="shared" si="43"/>
        <v>1.1000000000000001</v>
      </c>
      <c r="AV32" s="201">
        <f t="shared" si="31"/>
        <v>100</v>
      </c>
      <c r="AW32" s="5">
        <v>2.9</v>
      </c>
      <c r="AX32" s="201">
        <f t="shared" si="32"/>
        <v>90</v>
      </c>
      <c r="AY32" s="409">
        <f t="shared" si="37"/>
        <v>130.5</v>
      </c>
      <c r="AZ32" s="409">
        <f t="shared" si="38"/>
        <v>110.00000000000001</v>
      </c>
      <c r="BA32" s="409">
        <f t="shared" si="39"/>
        <v>261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6991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154639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145</v>
      </c>
      <c r="AU33" s="408">
        <f t="shared" si="43"/>
        <v>1.1000000000000001</v>
      </c>
      <c r="AV33" s="201">
        <f t="shared" si="31"/>
        <v>100</v>
      </c>
      <c r="AW33" s="5">
        <v>2.9</v>
      </c>
      <c r="AX33" s="201">
        <f t="shared" si="32"/>
        <v>90</v>
      </c>
      <c r="AY33" s="409">
        <f t="shared" si="37"/>
        <v>130.5</v>
      </c>
      <c r="AZ33" s="409">
        <f t="shared" si="38"/>
        <v>110.00000000000001</v>
      </c>
      <c r="BA33" s="409">
        <f t="shared" si="39"/>
        <v>261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6991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154639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145</v>
      </c>
      <c r="AU34" s="408">
        <f>AU33</f>
        <v>1.1000000000000001</v>
      </c>
      <c r="AV34" s="201">
        <f t="shared" si="31"/>
        <v>100</v>
      </c>
      <c r="AW34" s="5">
        <v>2.9</v>
      </c>
      <c r="AX34" s="201">
        <f t="shared" si="32"/>
        <v>90</v>
      </c>
      <c r="AY34" s="409">
        <f t="shared" si="37"/>
        <v>130.5</v>
      </c>
      <c r="AZ34" s="409">
        <f>AU34*AV34</f>
        <v>110.00000000000001</v>
      </c>
      <c r="BA34" s="409">
        <f>AW34*AX34</f>
        <v>261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6991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154639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145</v>
      </c>
      <c r="AU35" s="408">
        <f>AU34</f>
        <v>1.1000000000000001</v>
      </c>
      <c r="AV35" s="201">
        <f t="shared" si="31"/>
        <v>100</v>
      </c>
      <c r="AW35" s="5">
        <v>2.9</v>
      </c>
      <c r="AX35" s="201">
        <f t="shared" si="32"/>
        <v>90</v>
      </c>
      <c r="AY35" s="409">
        <f t="shared" si="37"/>
        <v>130.5</v>
      </c>
      <c r="AZ35" s="409">
        <f>AU35*AV35</f>
        <v>110.00000000000001</v>
      </c>
      <c r="BA35" s="409">
        <f>AW35*AX35</f>
        <v>261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6991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154639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145</v>
      </c>
      <c r="AU36" s="408">
        <f>AU35</f>
        <v>1.1000000000000001</v>
      </c>
      <c r="AV36" s="201">
        <f t="shared" si="31"/>
        <v>100</v>
      </c>
      <c r="AW36" s="5">
        <v>2.9</v>
      </c>
      <c r="AX36" s="201">
        <f t="shared" si="32"/>
        <v>90</v>
      </c>
      <c r="AY36" s="409">
        <f t="shared" ref="AY36" si="54">AS36*AT36</f>
        <v>130.5</v>
      </c>
      <c r="AZ36" s="409">
        <f>AU36*AV36</f>
        <v>110.00000000000001</v>
      </c>
      <c r="BA36" s="409">
        <f>AW36*AX36</f>
        <v>261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15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-15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K26" sqref="K2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f>[2]GEN!X33</f>
        <v>13429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6.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6.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584">
        <f t="shared" ref="X4:X33" si="22">13279+150</f>
        <v>13429</v>
      </c>
      <c r="Y4" s="276" t="str">
        <f t="shared" si="5"/>
        <v>ok</v>
      </c>
      <c r="Z4" s="276">
        <f t="shared" si="6"/>
        <v>0</v>
      </c>
      <c r="AA4" s="276">
        <f t="shared" ref="AA4:AA30" si="23">U4+M4+E4</f>
        <v>0</v>
      </c>
      <c r="AB4" s="276">
        <f t="shared" ref="AB4:AB30" si="24">V4+N4+F4</f>
        <v>250</v>
      </c>
      <c r="AC4" s="276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6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7">IF(Z4=0,0,1)</f>
        <v>0</v>
      </c>
    </row>
    <row r="5" spans="1:38" ht="16.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584">
        <f t="shared" si="22"/>
        <v>13429</v>
      </c>
      <c r="Y5" s="276" t="str">
        <f t="shared" si="5"/>
        <v>ok</v>
      </c>
      <c r="Z5" s="276">
        <f t="shared" si="6"/>
        <v>0</v>
      </c>
      <c r="AA5" s="276">
        <f t="shared" si="23"/>
        <v>0</v>
      </c>
      <c r="AB5" s="276">
        <f t="shared" si="24"/>
        <v>250</v>
      </c>
      <c r="AC5" s="276">
        <f t="shared" si="25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6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7"/>
        <v>0</v>
      </c>
    </row>
    <row r="6" spans="1:38" ht="16.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584">
        <v>13550</v>
      </c>
      <c r="Y6" s="276" t="str">
        <f t="shared" si="5"/>
        <v>ok</v>
      </c>
      <c r="Z6" s="276">
        <f t="shared" si="6"/>
        <v>11</v>
      </c>
      <c r="AA6" s="276">
        <f t="shared" si="23"/>
        <v>2750</v>
      </c>
      <c r="AB6" s="276">
        <f t="shared" si="24"/>
        <v>500</v>
      </c>
      <c r="AC6" s="276">
        <f t="shared" si="25"/>
        <v>250</v>
      </c>
      <c r="AD6" s="73">
        <f>ELEC!Q7</f>
        <v>0</v>
      </c>
      <c r="AE6" s="73">
        <f>SUM(AD6/Z6)</f>
        <v>0</v>
      </c>
      <c r="AF6" s="387">
        <f t="shared" si="29"/>
        <v>0</v>
      </c>
      <c r="AG6" s="388">
        <f>SUM(320*AF6)</f>
        <v>0</v>
      </c>
      <c r="AH6" s="388">
        <f t="shared" si="26"/>
        <v>250</v>
      </c>
      <c r="AI6" s="73">
        <f t="shared" si="31"/>
        <v>0</v>
      </c>
      <c r="AJ6" s="278">
        <f t="shared" si="7"/>
        <v>0.25738396624472576</v>
      </c>
      <c r="AK6" s="278">
        <f t="shared" si="8"/>
        <v>0</v>
      </c>
      <c r="AL6">
        <f t="shared" si="27"/>
        <v>1</v>
      </c>
    </row>
    <row r="7" spans="1:38" ht="16.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584">
        <f t="shared" si="22"/>
        <v>13429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4"/>
        <v>500</v>
      </c>
      <c r="AC7" s="276">
        <f t="shared" si="25"/>
        <v>250</v>
      </c>
      <c r="AD7" s="73">
        <f>ELEC!Q8</f>
        <v>11689.000000002125</v>
      </c>
      <c r="AE7" s="73">
        <f t="shared" si="28"/>
        <v>1062.6363636365568</v>
      </c>
      <c r="AF7" s="387">
        <f t="shared" si="29"/>
        <v>0.66414772727284799</v>
      </c>
      <c r="AG7" s="387">
        <f t="shared" si="29"/>
        <v>4.1509232954553001E-4</v>
      </c>
      <c r="AH7" s="388">
        <f t="shared" si="26"/>
        <v>249.99958490767045</v>
      </c>
      <c r="AI7" s="73">
        <f t="shared" si="31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7"/>
        <v>1</v>
      </c>
    </row>
    <row r="8" spans="1:38" ht="16.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584">
        <f t="shared" si="22"/>
        <v>13429</v>
      </c>
      <c r="Y8" s="276" t="str">
        <f t="shared" si="5"/>
        <v>ok</v>
      </c>
      <c r="Z8" s="276">
        <f t="shared" si="6"/>
        <v>10</v>
      </c>
      <c r="AA8" s="276">
        <f t="shared" si="23"/>
        <v>2500</v>
      </c>
      <c r="AB8" s="276">
        <f t="shared" si="24"/>
        <v>500</v>
      </c>
      <c r="AC8" s="276">
        <f t="shared" si="25"/>
        <v>250</v>
      </c>
      <c r="AD8" s="73">
        <f>ELEC!Q9</f>
        <v>5348.9999999983411</v>
      </c>
      <c r="AE8" s="73">
        <f>SUM(AD8/Z8)</f>
        <v>534.89999999983411</v>
      </c>
      <c r="AF8" s="387">
        <f t="shared" si="29"/>
        <v>0.33431249999989632</v>
      </c>
      <c r="AG8" s="387">
        <f t="shared" si="29"/>
        <v>2.089453124999352E-4</v>
      </c>
      <c r="AH8" s="388">
        <f t="shared" si="26"/>
        <v>249.99979105468751</v>
      </c>
      <c r="AI8" s="73">
        <f t="shared" si="31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7"/>
        <v>1</v>
      </c>
    </row>
    <row r="9" spans="1:38" ht="16.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584">
        <f t="shared" si="22"/>
        <v>13429</v>
      </c>
      <c r="Y9" s="276" t="str">
        <f t="shared" si="5"/>
        <v>ok</v>
      </c>
      <c r="Z9" s="276">
        <f t="shared" si="6"/>
        <v>0</v>
      </c>
      <c r="AA9" s="276">
        <f t="shared" si="23"/>
        <v>0</v>
      </c>
      <c r="AB9" s="276">
        <f t="shared" si="24"/>
        <v>250</v>
      </c>
      <c r="AC9" s="276">
        <f t="shared" si="25"/>
        <v>0</v>
      </c>
      <c r="AD9" s="73">
        <f>ELEC!Q10</f>
        <v>0</v>
      </c>
      <c r="AE9" s="73" t="e">
        <f t="shared" si="28"/>
        <v>#DIV/0!</v>
      </c>
      <c r="AF9" s="387" t="e">
        <f t="shared" si="29"/>
        <v>#DIV/0!</v>
      </c>
      <c r="AG9" s="387" t="e">
        <f t="shared" si="29"/>
        <v>#DIV/0!</v>
      </c>
      <c r="AH9" s="388" t="e">
        <f t="shared" si="26"/>
        <v>#DIV/0!</v>
      </c>
      <c r="AI9" s="73">
        <f t="shared" si="31"/>
        <v>0</v>
      </c>
      <c r="AJ9" s="278">
        <f t="shared" si="7"/>
        <v>0.25738396624472576</v>
      </c>
      <c r="AK9" s="278" t="e">
        <f t="shared" si="8"/>
        <v>#DIV/0!</v>
      </c>
      <c r="AL9">
        <f t="shared" si="27"/>
        <v>0</v>
      </c>
    </row>
    <row r="10" spans="1:38" ht="16.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584">
        <f t="shared" si="22"/>
        <v>13429</v>
      </c>
      <c r="Y10" s="276" t="str">
        <f t="shared" si="5"/>
        <v>ok</v>
      </c>
      <c r="Z10" s="276">
        <f t="shared" si="6"/>
        <v>0</v>
      </c>
      <c r="AA10" s="276">
        <f t="shared" si="23"/>
        <v>0</v>
      </c>
      <c r="AB10" s="276">
        <f t="shared" si="24"/>
        <v>250</v>
      </c>
      <c r="AC10" s="276">
        <f t="shared" si="25"/>
        <v>0</v>
      </c>
      <c r="AD10" s="73">
        <f>ELEC!Q11</f>
        <v>0</v>
      </c>
      <c r="AE10" s="73" t="e">
        <f t="shared" si="28"/>
        <v>#DIV/0!</v>
      </c>
      <c r="AF10" s="387" t="e">
        <f t="shared" si="29"/>
        <v>#DIV/0!</v>
      </c>
      <c r="AG10" s="387" t="e">
        <f t="shared" si="29"/>
        <v>#DIV/0!</v>
      </c>
      <c r="AH10" s="388" t="e">
        <f t="shared" si="26"/>
        <v>#DIV/0!</v>
      </c>
      <c r="AI10" s="73">
        <f t="shared" si="31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7"/>
        <v>0</v>
      </c>
    </row>
    <row r="11" spans="1:38" ht="16.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584">
        <f t="shared" si="22"/>
        <v>13429</v>
      </c>
      <c r="Y11" s="276" t="str">
        <f t="shared" si="5"/>
        <v>oil change</v>
      </c>
      <c r="Z11" s="276">
        <f t="shared" si="6"/>
        <v>11</v>
      </c>
      <c r="AA11" s="276">
        <f t="shared" si="23"/>
        <v>2750</v>
      </c>
      <c r="AB11" s="276">
        <f t="shared" si="24"/>
        <v>500</v>
      </c>
      <c r="AC11" s="276">
        <f t="shared" si="25"/>
        <v>250</v>
      </c>
      <c r="AD11" s="73">
        <f>ELEC!Q12</f>
        <v>5465.0000000001455</v>
      </c>
      <c r="AE11" s="73">
        <f t="shared" si="28"/>
        <v>496.81818181819506</v>
      </c>
      <c r="AF11" s="387">
        <f t="shared" si="29"/>
        <v>0.31051136363637188</v>
      </c>
      <c r="AG11" s="387">
        <f t="shared" si="29"/>
        <v>1.9406960227273242E-4</v>
      </c>
      <c r="AH11" s="388">
        <f t="shared" si="26"/>
        <v>249.99980593039774</v>
      </c>
      <c r="AI11" s="73">
        <f t="shared" si="31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7"/>
        <v>1</v>
      </c>
    </row>
    <row r="12" spans="1:38" ht="16.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584">
        <f t="shared" si="22"/>
        <v>13429</v>
      </c>
      <c r="Y12" s="276" t="str">
        <f t="shared" si="5"/>
        <v>oil change</v>
      </c>
      <c r="Z12" s="276">
        <f t="shared" si="6"/>
        <v>10</v>
      </c>
      <c r="AA12" s="276">
        <f t="shared" si="23"/>
        <v>2500</v>
      </c>
      <c r="AB12" s="276">
        <f t="shared" si="24"/>
        <v>500</v>
      </c>
      <c r="AC12" s="276">
        <f t="shared" si="25"/>
        <v>250</v>
      </c>
      <c r="AD12" s="73">
        <f>ELEC!Q13</f>
        <v>4808.0000000009022</v>
      </c>
      <c r="AE12" s="73">
        <f t="shared" si="28"/>
        <v>480.80000000009022</v>
      </c>
      <c r="AF12" s="387">
        <f t="shared" si="29"/>
        <v>0.30050000000005639</v>
      </c>
      <c r="AG12" s="387">
        <f t="shared" si="29"/>
        <v>1.8781250000003525E-4</v>
      </c>
      <c r="AH12" s="388">
        <f t="shared" si="26"/>
        <v>249.9998121875</v>
      </c>
      <c r="AI12" s="73">
        <f t="shared" si="31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7"/>
        <v>1</v>
      </c>
    </row>
    <row r="13" spans="1:38" ht="16.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584">
        <f t="shared" si="22"/>
        <v>13429</v>
      </c>
      <c r="Y13" s="276" t="str">
        <f t="shared" si="5"/>
        <v>oil change</v>
      </c>
      <c r="Z13" s="276">
        <f t="shared" si="6"/>
        <v>11</v>
      </c>
      <c r="AA13" s="276">
        <f t="shared" si="23"/>
        <v>2750</v>
      </c>
      <c r="AB13" s="276">
        <f t="shared" si="24"/>
        <v>500</v>
      </c>
      <c r="AC13" s="276">
        <f t="shared" si="25"/>
        <v>250</v>
      </c>
      <c r="AD13" s="73">
        <f>ELEC!Q14</f>
        <v>4728.9999999993597</v>
      </c>
      <c r="AE13" s="73">
        <f t="shared" si="28"/>
        <v>429.90909090903273</v>
      </c>
      <c r="AF13" s="387">
        <f t="shared" si="29"/>
        <v>0.26869318181814544</v>
      </c>
      <c r="AG13" s="387">
        <f t="shared" si="29"/>
        <v>1.6793323863634091E-4</v>
      </c>
      <c r="AH13" s="388">
        <f t="shared" si="26"/>
        <v>249.99983206676137</v>
      </c>
      <c r="AI13" s="73">
        <f t="shared" si="31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7"/>
        <v>1</v>
      </c>
    </row>
    <row r="14" spans="1:38" ht="16.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584">
        <f t="shared" si="22"/>
        <v>13429</v>
      </c>
      <c r="Y14" s="276" t="str">
        <f t="shared" si="5"/>
        <v>oil change</v>
      </c>
      <c r="Z14" s="276">
        <f t="shared" si="6"/>
        <v>0</v>
      </c>
      <c r="AA14" s="276">
        <f t="shared" si="23"/>
        <v>0</v>
      </c>
      <c r="AB14" s="276">
        <f t="shared" si="24"/>
        <v>250</v>
      </c>
      <c r="AC14" s="276">
        <f t="shared" si="25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7" t="e">
        <f t="shared" si="29"/>
        <v>#DIV/0!</v>
      </c>
      <c r="AH14" s="388" t="e">
        <f t="shared" si="26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7"/>
        <v>0</v>
      </c>
    </row>
    <row r="15" spans="1:38" ht="16.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584">
        <f t="shared" si="22"/>
        <v>13429</v>
      </c>
      <c r="Y15" s="276" t="str">
        <f t="shared" si="5"/>
        <v>oil change</v>
      </c>
      <c r="Z15" s="276">
        <f t="shared" si="6"/>
        <v>0</v>
      </c>
      <c r="AA15" s="276">
        <f t="shared" si="23"/>
        <v>0</v>
      </c>
      <c r="AB15" s="276">
        <f t="shared" si="24"/>
        <v>250</v>
      </c>
      <c r="AC15" s="276">
        <f t="shared" si="25"/>
        <v>0</v>
      </c>
      <c r="AD15" s="73">
        <f>ELEC!Q16</f>
        <v>6162.0000000002619</v>
      </c>
      <c r="AE15" s="73" t="e">
        <f t="shared" si="28"/>
        <v>#DIV/0!</v>
      </c>
      <c r="AF15" s="387" t="e">
        <f t="shared" si="29"/>
        <v>#DIV/0!</v>
      </c>
      <c r="AG15" s="387" t="e">
        <f t="shared" si="29"/>
        <v>#DIV/0!</v>
      </c>
      <c r="AH15" s="388" t="e">
        <f t="shared" si="26"/>
        <v>#DIV/0!</v>
      </c>
      <c r="AI15" s="73">
        <f t="shared" si="31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7"/>
        <v>0</v>
      </c>
    </row>
    <row r="16" spans="1:38" ht="16.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584">
        <f t="shared" si="22"/>
        <v>13429</v>
      </c>
      <c r="Y16" s="276" t="str">
        <f t="shared" si="5"/>
        <v>oil change</v>
      </c>
      <c r="Z16" s="276">
        <f t="shared" si="6"/>
        <v>9</v>
      </c>
      <c r="AA16" s="276">
        <f t="shared" si="23"/>
        <v>2250</v>
      </c>
      <c r="AB16" s="276">
        <f t="shared" si="24"/>
        <v>500</v>
      </c>
      <c r="AC16" s="276">
        <f t="shared" si="25"/>
        <v>250</v>
      </c>
      <c r="AD16" s="73">
        <f>ELEC!Q17</f>
        <v>0</v>
      </c>
      <c r="AE16" s="73">
        <f t="shared" si="28"/>
        <v>0</v>
      </c>
      <c r="AF16" s="387">
        <f t="shared" si="29"/>
        <v>0</v>
      </c>
      <c r="AG16" s="387">
        <f t="shared" si="29"/>
        <v>0</v>
      </c>
      <c r="AH16" s="388">
        <f t="shared" si="26"/>
        <v>250</v>
      </c>
      <c r="AI16" s="73">
        <f t="shared" si="31"/>
        <v>0</v>
      </c>
      <c r="AJ16" s="278">
        <f t="shared" si="7"/>
        <v>0.25738396624472576</v>
      </c>
      <c r="AK16" s="278">
        <f t="shared" si="8"/>
        <v>0</v>
      </c>
      <c r="AL16">
        <f t="shared" si="27"/>
        <v>1</v>
      </c>
    </row>
    <row r="17" spans="1:38" ht="16.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584">
        <f t="shared" si="22"/>
        <v>13429</v>
      </c>
      <c r="Y17" s="276" t="str">
        <f t="shared" si="5"/>
        <v>oil change</v>
      </c>
      <c r="Z17" s="276">
        <f t="shared" si="6"/>
        <v>0</v>
      </c>
      <c r="AA17" s="276">
        <f t="shared" si="23"/>
        <v>0</v>
      </c>
      <c r="AB17" s="276">
        <f t="shared" si="24"/>
        <v>250</v>
      </c>
      <c r="AC17" s="276">
        <f t="shared" si="25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6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7"/>
        <v>0</v>
      </c>
    </row>
    <row r="18" spans="1:38" ht="16.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584">
        <f t="shared" si="22"/>
        <v>13429</v>
      </c>
      <c r="Y18" s="276" t="str">
        <f t="shared" si="5"/>
        <v>oil change</v>
      </c>
      <c r="Z18" s="276">
        <f t="shared" si="6"/>
        <v>10</v>
      </c>
      <c r="AA18" s="276">
        <f t="shared" si="23"/>
        <v>2500</v>
      </c>
      <c r="AB18" s="276">
        <f t="shared" si="24"/>
        <v>250</v>
      </c>
      <c r="AC18" s="276">
        <f t="shared" si="25"/>
        <v>250</v>
      </c>
      <c r="AD18" s="73">
        <f>ELEC!Q19</f>
        <v>4274.0000000012515</v>
      </c>
      <c r="AE18" s="73">
        <f t="shared" si="28"/>
        <v>427.40000000012515</v>
      </c>
      <c r="AF18" s="387">
        <f t="shared" si="29"/>
        <v>0.26712500000007822</v>
      </c>
      <c r="AG18" s="387">
        <f t="shared" si="29"/>
        <v>1.669531250000489E-4</v>
      </c>
      <c r="AH18" s="388">
        <f t="shared" si="26"/>
        <v>249.99983304687501</v>
      </c>
      <c r="AI18" s="73">
        <f t="shared" si="31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7"/>
        <v>1</v>
      </c>
    </row>
    <row r="19" spans="1:38" ht="16.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11374</v>
      </c>
      <c r="I19" s="276" t="str">
        <f t="shared" si="1"/>
        <v>oil change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2">IF(J19-P19&lt;=0,"ok","oil change")</f>
        <v>ok</v>
      </c>
      <c r="R19" s="502">
        <v>13460</v>
      </c>
      <c r="S19" s="276">
        <f t="shared" si="4"/>
        <v>7</v>
      </c>
      <c r="T19" s="503">
        <f t="shared" si="20"/>
        <v>304503</v>
      </c>
      <c r="U19" s="276">
        <f t="shared" si="21"/>
        <v>1750</v>
      </c>
      <c r="V19" s="276">
        <v>250</v>
      </c>
      <c r="W19" s="323"/>
      <c r="X19" s="584">
        <f t="shared" si="22"/>
        <v>13429</v>
      </c>
      <c r="Y19" s="276" t="str">
        <f t="shared" si="5"/>
        <v>oil change</v>
      </c>
      <c r="Z19" s="276">
        <f t="shared" si="6"/>
        <v>7</v>
      </c>
      <c r="AA19" s="276">
        <f t="shared" si="23"/>
        <v>1750</v>
      </c>
      <c r="AB19" s="276">
        <f t="shared" si="24"/>
        <v>250</v>
      </c>
      <c r="AC19" s="276">
        <f t="shared" si="25"/>
        <v>250</v>
      </c>
      <c r="AD19" s="73">
        <f>ELEC!Q20</f>
        <v>4543.99999999805</v>
      </c>
      <c r="AE19" s="73">
        <f t="shared" si="28"/>
        <v>649.14285714257858</v>
      </c>
      <c r="AF19" s="387">
        <f t="shared" si="29"/>
        <v>0.40571428571411161</v>
      </c>
      <c r="AG19" s="387">
        <f t="shared" si="29"/>
        <v>2.5357142857131978E-4</v>
      </c>
      <c r="AH19" s="388">
        <f t="shared" si="26"/>
        <v>249.99974642857143</v>
      </c>
      <c r="AI19" s="73">
        <f t="shared" si="31"/>
        <v>1169.552742615532</v>
      </c>
      <c r="AJ19" s="278">
        <f t="shared" si="7"/>
        <v>0.25738396624472576</v>
      </c>
      <c r="AK19" s="278">
        <f t="shared" si="8"/>
        <v>167.07896323079029</v>
      </c>
      <c r="AL19">
        <f t="shared" si="27"/>
        <v>1</v>
      </c>
    </row>
    <row r="20" spans="1:38" ht="16.5" thickBot="1">
      <c r="A20" s="4">
        <f>ELEC!C21</f>
        <v>44579</v>
      </c>
      <c r="B20" s="502">
        <v>11383</v>
      </c>
      <c r="C20" s="276">
        <f>B20-B19</f>
        <v>5</v>
      </c>
      <c r="D20" s="503">
        <f t="shared" si="11"/>
        <v>608766</v>
      </c>
      <c r="E20" s="276">
        <f t="shared" si="12"/>
        <v>1250</v>
      </c>
      <c r="F20" s="276">
        <f t="shared" si="0"/>
        <v>250</v>
      </c>
      <c r="G20" s="196"/>
      <c r="H20" s="260">
        <f t="shared" si="13"/>
        <v>11374</v>
      </c>
      <c r="I20" s="276" t="str">
        <f t="shared" si="1"/>
        <v>oil change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2"/>
        <v>ok</v>
      </c>
      <c r="R20" s="502">
        <v>13469</v>
      </c>
      <c r="S20" s="276">
        <f t="shared" si="4"/>
        <v>9</v>
      </c>
      <c r="T20" s="503">
        <f t="shared" si="20"/>
        <v>306753</v>
      </c>
      <c r="U20" s="276">
        <f t="shared" si="21"/>
        <v>2250</v>
      </c>
      <c r="V20" s="276">
        <v>250</v>
      </c>
      <c r="W20" s="323"/>
      <c r="X20" s="584">
        <f t="shared" si="22"/>
        <v>13429</v>
      </c>
      <c r="Y20" s="276" t="str">
        <f t="shared" ref="Y20" si="33">IF(R20-X20&lt;=0,"ok","oil change")</f>
        <v>oil change</v>
      </c>
      <c r="Z20" s="276">
        <f t="shared" si="6"/>
        <v>14</v>
      </c>
      <c r="AA20" s="276">
        <f t="shared" si="23"/>
        <v>3500</v>
      </c>
      <c r="AB20" s="276">
        <f t="shared" si="24"/>
        <v>500</v>
      </c>
      <c r="AC20" s="276">
        <f t="shared" si="25"/>
        <v>250</v>
      </c>
      <c r="AD20" s="73">
        <f>ELEC!Q21</f>
        <v>5860.0000000005821</v>
      </c>
      <c r="AE20" s="73">
        <f t="shared" si="28"/>
        <v>418.57142857147016</v>
      </c>
      <c r="AF20" s="387">
        <f t="shared" si="29"/>
        <v>0.26160714285716885</v>
      </c>
      <c r="AG20" s="387">
        <f t="shared" si="29"/>
        <v>1.6350446428573052E-4</v>
      </c>
      <c r="AH20" s="388">
        <f t="shared" si="26"/>
        <v>249.9998364955357</v>
      </c>
      <c r="AI20" s="73">
        <f>AD20*AJ20</f>
        <v>1508.2700421942427</v>
      </c>
      <c r="AJ20" s="278">
        <f t="shared" si="7"/>
        <v>0.25738396624472576</v>
      </c>
      <c r="AK20" s="278">
        <f t="shared" si="8"/>
        <v>107.73357444244591</v>
      </c>
      <c r="AL20">
        <f t="shared" si="27"/>
        <v>1</v>
      </c>
    </row>
    <row r="21" spans="1:38" ht="16.5" thickBot="1">
      <c r="A21" s="4">
        <f>ELEC!C22</f>
        <v>44580</v>
      </c>
      <c r="B21" s="502">
        <v>11393</v>
      </c>
      <c r="C21" s="276">
        <f>B21-B20</f>
        <v>10</v>
      </c>
      <c r="D21" s="503">
        <f t="shared" si="11"/>
        <v>611266</v>
      </c>
      <c r="E21" s="276">
        <f t="shared" si="12"/>
        <v>2500</v>
      </c>
      <c r="F21" s="276">
        <f t="shared" si="0"/>
        <v>250</v>
      </c>
      <c r="G21" s="196"/>
      <c r="H21" s="260">
        <f t="shared" si="13"/>
        <v>11374</v>
      </c>
      <c r="I21" s="276" t="str">
        <f t="shared" si="1"/>
        <v>oil change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2"/>
        <v>ok</v>
      </c>
      <c r="R21" s="502">
        <f t="shared" si="19"/>
        <v>13469</v>
      </c>
      <c r="S21" s="276">
        <f t="shared" si="4"/>
        <v>0</v>
      </c>
      <c r="T21" s="503">
        <f t="shared" si="20"/>
        <v>306753</v>
      </c>
      <c r="U21" s="276">
        <f t="shared" si="21"/>
        <v>0</v>
      </c>
      <c r="V21" s="276">
        <v>250</v>
      </c>
      <c r="W21" s="196"/>
      <c r="X21" s="584">
        <f t="shared" si="22"/>
        <v>13429</v>
      </c>
      <c r="Y21" s="276" t="str">
        <f>Y20</f>
        <v>oil change</v>
      </c>
      <c r="Z21" s="276">
        <f t="shared" si="6"/>
        <v>10</v>
      </c>
      <c r="AA21" s="276">
        <f t="shared" si="23"/>
        <v>2500</v>
      </c>
      <c r="AB21" s="276">
        <f t="shared" si="24"/>
        <v>500</v>
      </c>
      <c r="AC21" s="276">
        <f t="shared" si="25"/>
        <v>250</v>
      </c>
      <c r="AD21" s="73">
        <f>ELEC!Q22</f>
        <v>5546.9999999986612</v>
      </c>
      <c r="AE21" s="73">
        <f t="shared" si="28"/>
        <v>554.69999999986612</v>
      </c>
      <c r="AF21" s="387">
        <f t="shared" si="29"/>
        <v>0.34668749999991633</v>
      </c>
      <c r="AG21" s="387">
        <f t="shared" si="29"/>
        <v>2.1667968749994771E-4</v>
      </c>
      <c r="AH21" s="388">
        <f t="shared" si="26"/>
        <v>249.9997833203125</v>
      </c>
      <c r="AI21" s="73">
        <f t="shared" si="31"/>
        <v>1427.7088607591493</v>
      </c>
      <c r="AJ21" s="278">
        <f t="shared" si="7"/>
        <v>0.25738396624472576</v>
      </c>
      <c r="AK21" s="278">
        <f t="shared" si="8"/>
        <v>142.77088607591492</v>
      </c>
      <c r="AL21">
        <f t="shared" si="27"/>
        <v>1</v>
      </c>
    </row>
    <row r="22" spans="1:38" ht="16.5" thickBot="1">
      <c r="A22" s="4">
        <f>ELEC!C23</f>
        <v>44581</v>
      </c>
      <c r="B22" s="502">
        <f t="shared" si="9"/>
        <v>11393</v>
      </c>
      <c r="C22" s="276">
        <f t="shared" si="10"/>
        <v>0</v>
      </c>
      <c r="D22" s="503">
        <f t="shared" si="11"/>
        <v>611266</v>
      </c>
      <c r="E22" s="276">
        <f>150*C22</f>
        <v>0</v>
      </c>
      <c r="F22" s="276">
        <f t="shared" si="0"/>
        <v>0</v>
      </c>
      <c r="G22" s="196"/>
      <c r="H22" s="260">
        <f t="shared" si="13"/>
        <v>11374</v>
      </c>
      <c r="I22" s="276" t="str">
        <f t="shared" si="1"/>
        <v>oil change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2"/>
        <v>ok</v>
      </c>
      <c r="R22" s="502">
        <f t="shared" si="19"/>
        <v>13469</v>
      </c>
      <c r="S22" s="276">
        <f t="shared" si="4"/>
        <v>0</v>
      </c>
      <c r="T22" s="503">
        <f t="shared" si="20"/>
        <v>306753</v>
      </c>
      <c r="U22" s="276">
        <f t="shared" si="21"/>
        <v>0</v>
      </c>
      <c r="V22" s="276">
        <v>250</v>
      </c>
      <c r="W22" s="196"/>
      <c r="X22" s="584">
        <f t="shared" si="22"/>
        <v>13429</v>
      </c>
      <c r="Y22" s="276" t="str">
        <f t="shared" ref="Y22:Y33" si="34">Y21</f>
        <v>oil change</v>
      </c>
      <c r="Z22" s="276">
        <f t="shared" si="6"/>
        <v>0</v>
      </c>
      <c r="AA22" s="276">
        <f t="shared" si="23"/>
        <v>0</v>
      </c>
      <c r="AB22" s="276">
        <f t="shared" si="24"/>
        <v>250</v>
      </c>
      <c r="AC22" s="276">
        <f t="shared" si="25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6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7"/>
        <v>0</v>
      </c>
    </row>
    <row r="23" spans="1:38" ht="16.5" thickBot="1">
      <c r="A23" s="4">
        <f>ELEC!C24</f>
        <v>44582</v>
      </c>
      <c r="B23" s="502">
        <f t="shared" si="9"/>
        <v>11393</v>
      </c>
      <c r="C23" s="276">
        <f t="shared" si="10"/>
        <v>0</v>
      </c>
      <c r="D23" s="503">
        <f t="shared" si="11"/>
        <v>611266</v>
      </c>
      <c r="E23" s="276">
        <f>150*C23</f>
        <v>0</v>
      </c>
      <c r="F23" s="276">
        <f t="shared" si="0"/>
        <v>0</v>
      </c>
      <c r="G23" s="196"/>
      <c r="H23" s="260">
        <f t="shared" si="13"/>
        <v>11374</v>
      </c>
      <c r="I23" s="276" t="str">
        <f t="shared" si="1"/>
        <v>oil change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2"/>
        <v>ok</v>
      </c>
      <c r="R23" s="502">
        <f t="shared" si="19"/>
        <v>13469</v>
      </c>
      <c r="S23" s="276">
        <f>R23-R22</f>
        <v>0</v>
      </c>
      <c r="T23" s="503">
        <f t="shared" si="20"/>
        <v>306753</v>
      </c>
      <c r="U23" s="276">
        <f>V23*S23</f>
        <v>0</v>
      </c>
      <c r="V23" s="276">
        <v>250</v>
      </c>
      <c r="W23" s="196"/>
      <c r="X23" s="584">
        <f t="shared" si="22"/>
        <v>13429</v>
      </c>
      <c r="Y23" s="276" t="str">
        <f t="shared" si="34"/>
        <v>oil change</v>
      </c>
      <c r="Z23" s="276">
        <f t="shared" si="6"/>
        <v>0</v>
      </c>
      <c r="AA23" s="276">
        <f t="shared" si="23"/>
        <v>0</v>
      </c>
      <c r="AB23" s="276">
        <f t="shared" si="24"/>
        <v>250</v>
      </c>
      <c r="AC23" s="276">
        <f t="shared" si="25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6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7"/>
        <v>0</v>
      </c>
    </row>
    <row r="24" spans="1:38" ht="16.5" thickBot="1">
      <c r="A24" s="4">
        <f>ELEC!C25</f>
        <v>44583</v>
      </c>
      <c r="B24" s="502">
        <f t="shared" si="9"/>
        <v>11393</v>
      </c>
      <c r="C24" s="276">
        <f t="shared" si="10"/>
        <v>0</v>
      </c>
      <c r="D24" s="503">
        <f t="shared" si="11"/>
        <v>611266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11374</v>
      </c>
      <c r="I24" s="276" t="str">
        <f t="shared" si="1"/>
        <v>oil change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2"/>
        <v>ok</v>
      </c>
      <c r="R24" s="502">
        <f t="shared" si="19"/>
        <v>13469</v>
      </c>
      <c r="S24" s="276">
        <f t="shared" si="4"/>
        <v>0</v>
      </c>
      <c r="T24" s="503">
        <f t="shared" si="20"/>
        <v>306753</v>
      </c>
      <c r="U24" s="276">
        <f t="shared" si="21"/>
        <v>0</v>
      </c>
      <c r="V24" s="276">
        <v>250</v>
      </c>
      <c r="W24" s="196"/>
      <c r="X24" s="584">
        <f t="shared" si="22"/>
        <v>13429</v>
      </c>
      <c r="Y24" s="276" t="str">
        <f t="shared" si="34"/>
        <v>oil change</v>
      </c>
      <c r="Z24" s="276">
        <f t="shared" si="6"/>
        <v>0</v>
      </c>
      <c r="AA24" s="276">
        <f t="shared" si="23"/>
        <v>0</v>
      </c>
      <c r="AB24" s="276">
        <f t="shared" si="24"/>
        <v>250</v>
      </c>
      <c r="AC24" s="276">
        <f t="shared" si="25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6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7"/>
        <v>0</v>
      </c>
    </row>
    <row r="25" spans="1:38" ht="16.5" thickBot="1">
      <c r="A25" s="4">
        <f>ELEC!C26</f>
        <v>44584</v>
      </c>
      <c r="B25" s="502">
        <f t="shared" si="9"/>
        <v>11393</v>
      </c>
      <c r="C25" s="276">
        <f t="shared" si="10"/>
        <v>0</v>
      </c>
      <c r="D25" s="503">
        <f t="shared" si="11"/>
        <v>611266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11374</v>
      </c>
      <c r="I25" s="276" t="str">
        <f t="shared" si="1"/>
        <v>oil change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2"/>
        <v>ok</v>
      </c>
      <c r="R25" s="502">
        <f t="shared" si="19"/>
        <v>13469</v>
      </c>
      <c r="S25" s="276">
        <f t="shared" si="4"/>
        <v>0</v>
      </c>
      <c r="T25" s="503">
        <f t="shared" si="20"/>
        <v>306753</v>
      </c>
      <c r="U25" s="276">
        <f t="shared" si="21"/>
        <v>0</v>
      </c>
      <c r="V25" s="276">
        <v>250</v>
      </c>
      <c r="W25" s="196"/>
      <c r="X25" s="584">
        <f t="shared" si="22"/>
        <v>13429</v>
      </c>
      <c r="Y25" s="276" t="str">
        <f t="shared" si="34"/>
        <v>oil change</v>
      </c>
      <c r="Z25" s="276">
        <f t="shared" si="6"/>
        <v>0</v>
      </c>
      <c r="AA25" s="276">
        <f t="shared" si="23"/>
        <v>0</v>
      </c>
      <c r="AB25" s="276">
        <f t="shared" si="24"/>
        <v>250</v>
      </c>
      <c r="AC25" s="276">
        <f t="shared" si="25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6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7"/>
        <v>0</v>
      </c>
    </row>
    <row r="26" spans="1:38" ht="16.5" thickBot="1">
      <c r="A26" s="4">
        <f>ELEC!C27</f>
        <v>44585</v>
      </c>
      <c r="B26" s="502">
        <f t="shared" si="9"/>
        <v>11393</v>
      </c>
      <c r="C26" s="276">
        <f>B26-B25</f>
        <v>0</v>
      </c>
      <c r="D26" s="503">
        <f t="shared" si="11"/>
        <v>611266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11374</v>
      </c>
      <c r="I26" s="276" t="str">
        <f t="shared" si="1"/>
        <v>oil change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2"/>
        <v>ok</v>
      </c>
      <c r="R26" s="502">
        <f t="shared" si="19"/>
        <v>13469</v>
      </c>
      <c r="S26" s="276">
        <f t="shared" ref="S26" si="35">R26-R25</f>
        <v>0</v>
      </c>
      <c r="T26" s="503">
        <f t="shared" si="20"/>
        <v>306753</v>
      </c>
      <c r="U26" s="276">
        <f t="shared" si="21"/>
        <v>0</v>
      </c>
      <c r="V26" s="276">
        <v>250</v>
      </c>
      <c r="W26" s="196"/>
      <c r="X26" s="584">
        <f t="shared" si="22"/>
        <v>13429</v>
      </c>
      <c r="Y26" s="276" t="str">
        <f t="shared" si="34"/>
        <v>oil change</v>
      </c>
      <c r="Z26" s="276">
        <f t="shared" si="6"/>
        <v>0</v>
      </c>
      <c r="AA26" s="276">
        <f t="shared" si="23"/>
        <v>0</v>
      </c>
      <c r="AB26" s="276">
        <f t="shared" si="24"/>
        <v>250</v>
      </c>
      <c r="AC26" s="276">
        <f t="shared" si="25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6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7"/>
        <v>0</v>
      </c>
    </row>
    <row r="27" spans="1:38" ht="16.5" thickBot="1">
      <c r="A27" s="4">
        <f>ELEC!C28</f>
        <v>44586</v>
      </c>
      <c r="B27" s="502">
        <f t="shared" si="9"/>
        <v>11393</v>
      </c>
      <c r="C27" s="276">
        <f>B27-B26</f>
        <v>0</v>
      </c>
      <c r="D27" s="503">
        <f t="shared" si="11"/>
        <v>611266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3"/>
        <v>11374</v>
      </c>
      <c r="I27" s="276" t="str">
        <f>IF(B27-H27&lt;=0,"ok","oil change")</f>
        <v>oil change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2"/>
        <v>ok</v>
      </c>
      <c r="R27" s="502">
        <f t="shared" si="19"/>
        <v>13469</v>
      </c>
      <c r="S27" s="276">
        <f t="shared" si="4"/>
        <v>0</v>
      </c>
      <c r="T27" s="503">
        <f t="shared" si="20"/>
        <v>306753</v>
      </c>
      <c r="U27" s="276">
        <f t="shared" si="21"/>
        <v>0</v>
      </c>
      <c r="V27" s="276">
        <v>250</v>
      </c>
      <c r="W27" s="196"/>
      <c r="X27" s="584">
        <f t="shared" si="22"/>
        <v>13429</v>
      </c>
      <c r="Y27" s="276" t="str">
        <f t="shared" si="34"/>
        <v>oil change</v>
      </c>
      <c r="Z27" s="276">
        <f t="shared" si="6"/>
        <v>0</v>
      </c>
      <c r="AA27" s="276">
        <f t="shared" si="23"/>
        <v>0</v>
      </c>
      <c r="AB27" s="276">
        <f t="shared" si="24"/>
        <v>250</v>
      </c>
      <c r="AC27" s="276">
        <f t="shared" si="25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6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7"/>
        <v>0</v>
      </c>
    </row>
    <row r="28" spans="1:38" ht="16.5" thickBot="1">
      <c r="A28" s="4">
        <f>ELEC!C29</f>
        <v>44587</v>
      </c>
      <c r="B28" s="502">
        <f t="shared" si="9"/>
        <v>11393</v>
      </c>
      <c r="C28" s="276">
        <f t="shared" si="10"/>
        <v>0</v>
      </c>
      <c r="D28" s="503">
        <f t="shared" si="11"/>
        <v>611266</v>
      </c>
      <c r="E28" s="276">
        <f t="shared" si="36"/>
        <v>0</v>
      </c>
      <c r="F28" s="276">
        <f t="shared" si="0"/>
        <v>0</v>
      </c>
      <c r="G28" s="274"/>
      <c r="H28" s="260">
        <f t="shared" si="13"/>
        <v>11374</v>
      </c>
      <c r="I28" s="276" t="str">
        <f t="shared" si="1"/>
        <v>oil change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2"/>
        <v>ok</v>
      </c>
      <c r="R28" s="502">
        <f t="shared" si="19"/>
        <v>13469</v>
      </c>
      <c r="S28" s="276">
        <f t="shared" si="4"/>
        <v>0</v>
      </c>
      <c r="T28" s="503">
        <f t="shared" si="20"/>
        <v>306753</v>
      </c>
      <c r="U28" s="276">
        <f t="shared" si="21"/>
        <v>0</v>
      </c>
      <c r="V28" s="276">
        <v>250</v>
      </c>
      <c r="W28" s="196"/>
      <c r="X28" s="584">
        <f t="shared" si="22"/>
        <v>13429</v>
      </c>
      <c r="Y28" s="276" t="str">
        <f t="shared" si="34"/>
        <v>oil change</v>
      </c>
      <c r="Z28" s="276">
        <f t="shared" si="6"/>
        <v>0</v>
      </c>
      <c r="AA28" s="276">
        <f t="shared" si="23"/>
        <v>0</v>
      </c>
      <c r="AB28" s="276">
        <f t="shared" si="24"/>
        <v>250</v>
      </c>
      <c r="AC28" s="276">
        <f t="shared" si="25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6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7"/>
        <v>0</v>
      </c>
    </row>
    <row r="29" spans="1:38" ht="16.5" thickBot="1">
      <c r="A29" s="4">
        <f>ELEC!C30</f>
        <v>44588</v>
      </c>
      <c r="B29" s="502">
        <f t="shared" si="9"/>
        <v>11393</v>
      </c>
      <c r="C29" s="276">
        <f t="shared" si="10"/>
        <v>0</v>
      </c>
      <c r="D29" s="503">
        <f t="shared" si="11"/>
        <v>611266</v>
      </c>
      <c r="E29" s="276">
        <f t="shared" si="36"/>
        <v>0</v>
      </c>
      <c r="F29" s="276">
        <f t="shared" si="0"/>
        <v>0</v>
      </c>
      <c r="G29" s="196"/>
      <c r="H29" s="260">
        <f t="shared" si="13"/>
        <v>11374</v>
      </c>
      <c r="I29" s="276" t="str">
        <f t="shared" si="1"/>
        <v>oil change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2"/>
        <v>ok</v>
      </c>
      <c r="R29" s="502">
        <f t="shared" si="19"/>
        <v>13469</v>
      </c>
      <c r="S29" s="276">
        <f t="shared" si="4"/>
        <v>0</v>
      </c>
      <c r="T29" s="503">
        <f>T28+U29</f>
        <v>306753</v>
      </c>
      <c r="U29" s="276">
        <f>V29*S29</f>
        <v>0</v>
      </c>
      <c r="V29" s="276">
        <v>250</v>
      </c>
      <c r="W29" s="196"/>
      <c r="X29" s="584">
        <f t="shared" si="22"/>
        <v>13429</v>
      </c>
      <c r="Y29" s="276" t="str">
        <f t="shared" si="34"/>
        <v>oil change</v>
      </c>
      <c r="Z29" s="276">
        <f t="shared" si="6"/>
        <v>0</v>
      </c>
      <c r="AA29" s="276">
        <f t="shared" si="23"/>
        <v>0</v>
      </c>
      <c r="AB29" s="276">
        <f t="shared" si="24"/>
        <v>250</v>
      </c>
      <c r="AC29" s="276">
        <f t="shared" si="25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6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7"/>
        <v>0</v>
      </c>
    </row>
    <row r="30" spans="1:38" ht="16.5" thickBot="1">
      <c r="A30" s="4">
        <f>ELEC!C31</f>
        <v>44589</v>
      </c>
      <c r="B30" s="502">
        <f t="shared" si="9"/>
        <v>11393</v>
      </c>
      <c r="C30" s="276">
        <f t="shared" si="10"/>
        <v>0</v>
      </c>
      <c r="D30" s="503">
        <f t="shared" si="11"/>
        <v>611266</v>
      </c>
      <c r="E30" s="276">
        <f t="shared" si="36"/>
        <v>0</v>
      </c>
      <c r="F30" s="276">
        <f t="shared" si="0"/>
        <v>0</v>
      </c>
      <c r="G30" s="196"/>
      <c r="H30" s="260">
        <f t="shared" si="13"/>
        <v>11374</v>
      </c>
      <c r="I30" s="276" t="str">
        <f t="shared" si="1"/>
        <v>oil change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2"/>
        <v>ok</v>
      </c>
      <c r="R30" s="502">
        <f t="shared" si="19"/>
        <v>13469</v>
      </c>
      <c r="S30" s="276">
        <f t="shared" si="4"/>
        <v>0</v>
      </c>
      <c r="T30" s="503">
        <f t="shared" si="20"/>
        <v>306753</v>
      </c>
      <c r="U30" s="276">
        <f t="shared" si="21"/>
        <v>0</v>
      </c>
      <c r="V30" s="276">
        <v>250</v>
      </c>
      <c r="W30" s="274"/>
      <c r="X30" s="584">
        <f t="shared" si="22"/>
        <v>13429</v>
      </c>
      <c r="Y30" s="276" t="str">
        <f t="shared" si="34"/>
        <v>oil change</v>
      </c>
      <c r="Z30" s="276">
        <f t="shared" si="6"/>
        <v>0</v>
      </c>
      <c r="AA30" s="276">
        <f t="shared" si="23"/>
        <v>0</v>
      </c>
      <c r="AB30" s="276">
        <f t="shared" si="24"/>
        <v>250</v>
      </c>
      <c r="AC30" s="276">
        <f t="shared" si="25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6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7"/>
        <v>0</v>
      </c>
    </row>
    <row r="31" spans="1:38" ht="16.5" thickBot="1">
      <c r="A31" s="4">
        <f>ELEC!C32</f>
        <v>44590</v>
      </c>
      <c r="B31" s="502">
        <f t="shared" si="9"/>
        <v>11393</v>
      </c>
      <c r="C31" s="276">
        <f>B31-B30</f>
        <v>0</v>
      </c>
      <c r="D31" s="503">
        <f t="shared" si="11"/>
        <v>611266</v>
      </c>
      <c r="E31" s="276">
        <f t="shared" si="36"/>
        <v>0</v>
      </c>
      <c r="F31" s="276">
        <f>IF(C31&gt;0,E31/C31,0)</f>
        <v>0</v>
      </c>
      <c r="G31" s="323"/>
      <c r="H31" s="260">
        <f t="shared" si="13"/>
        <v>11374</v>
      </c>
      <c r="I31" s="276" t="str">
        <f>IF(B31-H31&lt;=0,"ok","oil change")</f>
        <v>oil change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13469</v>
      </c>
      <c r="S31" s="276">
        <f>R31-R30</f>
        <v>0</v>
      </c>
      <c r="T31" s="503">
        <f t="shared" si="20"/>
        <v>306753</v>
      </c>
      <c r="U31" s="276">
        <f t="shared" si="21"/>
        <v>0</v>
      </c>
      <c r="V31" s="276">
        <v>250</v>
      </c>
      <c r="W31" s="323"/>
      <c r="X31" s="584">
        <f t="shared" si="22"/>
        <v>13429</v>
      </c>
      <c r="Y31" s="276" t="str">
        <f t="shared" si="34"/>
        <v>oil change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7"/>
        <v>0</v>
      </c>
    </row>
    <row r="32" spans="1:38" ht="16.5" thickBot="1">
      <c r="A32" s="4">
        <f>ELEC!C33</f>
        <v>44591</v>
      </c>
      <c r="B32" s="502">
        <f t="shared" si="9"/>
        <v>11393</v>
      </c>
      <c r="C32" s="276">
        <f>B32-B31</f>
        <v>0</v>
      </c>
      <c r="D32" s="503">
        <f t="shared" si="11"/>
        <v>611266</v>
      </c>
      <c r="E32" s="276">
        <f t="shared" si="36"/>
        <v>0</v>
      </c>
      <c r="F32" s="276">
        <f>IF(C32&gt;0,E32/C32,0)</f>
        <v>0</v>
      </c>
      <c r="G32" s="323"/>
      <c r="H32" s="260">
        <f t="shared" si="13"/>
        <v>11374</v>
      </c>
      <c r="I32" s="276" t="str">
        <f>IF(B32-H32&lt;=0,"ok","oil change")</f>
        <v>oil change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13469</v>
      </c>
      <c r="S32" s="276">
        <f>R32-R31</f>
        <v>0</v>
      </c>
      <c r="T32" s="503">
        <f t="shared" si="20"/>
        <v>306753</v>
      </c>
      <c r="U32" s="276">
        <f t="shared" si="21"/>
        <v>0</v>
      </c>
      <c r="V32" s="276">
        <v>250</v>
      </c>
      <c r="W32" s="323"/>
      <c r="X32" s="584">
        <f t="shared" si="22"/>
        <v>13429</v>
      </c>
      <c r="Y32" s="276" t="str">
        <f t="shared" si="34"/>
        <v>oil change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7"/>
        <v>0</v>
      </c>
    </row>
    <row r="33" spans="1:38" ht="15.75">
      <c r="A33" s="4">
        <f>ELEC!C34</f>
        <v>44592</v>
      </c>
      <c r="B33" s="502">
        <f t="shared" si="9"/>
        <v>11393</v>
      </c>
      <c r="C33" s="276">
        <f>B33-B32</f>
        <v>0</v>
      </c>
      <c r="D33" s="503">
        <f t="shared" si="11"/>
        <v>611266</v>
      </c>
      <c r="E33" s="276">
        <f t="shared" si="36"/>
        <v>0</v>
      </c>
      <c r="F33" s="276">
        <f>IF(C33&gt;0,E33/C33,0)</f>
        <v>0</v>
      </c>
      <c r="G33" s="323"/>
      <c r="H33" s="260">
        <f t="shared" si="13"/>
        <v>11374</v>
      </c>
      <c r="I33" s="276" t="str">
        <f>IF(B33-H33&lt;=0,"ok","oil change")</f>
        <v>oil change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13469</v>
      </c>
      <c r="S33" s="276">
        <f>R33-R32</f>
        <v>0</v>
      </c>
      <c r="T33" s="503">
        <f t="shared" si="20"/>
        <v>306753</v>
      </c>
      <c r="U33" s="276">
        <f t="shared" si="21"/>
        <v>0</v>
      </c>
      <c r="V33" s="276">
        <v>251</v>
      </c>
      <c r="W33" s="323"/>
      <c r="X33" s="584">
        <f t="shared" si="22"/>
        <v>13429</v>
      </c>
      <c r="Y33" s="276" t="str">
        <f t="shared" si="34"/>
        <v>oil change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7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114</v>
      </c>
      <c r="V34" s="40"/>
      <c r="X34">
        <v>341</v>
      </c>
      <c r="Z34" s="404">
        <f>SUM(Z3:Z33)</f>
        <v>114</v>
      </c>
      <c r="AF34" s="387">
        <f t="shared" si="38"/>
        <v>0</v>
      </c>
      <c r="AL34">
        <f>SUM(AL3:AL33)</f>
        <v>11</v>
      </c>
    </row>
    <row r="35" spans="1:38">
      <c r="C35" s="40">
        <f>SUM(C3:C33)</f>
        <v>65</v>
      </c>
      <c r="K35" s="40">
        <f>SUM(K3:K33)</f>
        <v>0</v>
      </c>
      <c r="S35" s="40">
        <f>SUM(S3:S33)</f>
        <v>49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5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1169.552742615532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248</v>
      </c>
      <c r="AA22" s="203">
        <f t="shared" si="30"/>
        <v>2480</v>
      </c>
      <c r="AB22" s="203">
        <f t="shared" si="31"/>
        <v>248</v>
      </c>
      <c r="AC22" s="203">
        <f t="shared" si="30"/>
        <v>2480</v>
      </c>
      <c r="AD22" s="203">
        <f t="shared" si="32"/>
        <v>248</v>
      </c>
      <c r="AE22" s="203">
        <f t="shared" si="11"/>
        <v>2480</v>
      </c>
      <c r="AF22" s="203">
        <f t="shared" si="33"/>
        <v>248</v>
      </c>
      <c r="AG22" s="203">
        <f t="shared" si="12"/>
        <v>2480</v>
      </c>
      <c r="AH22" s="203">
        <f t="shared" si="34"/>
        <v>248</v>
      </c>
      <c r="AI22" s="203">
        <f t="shared" si="13"/>
        <v>2480</v>
      </c>
      <c r="AJ22" s="203">
        <f t="shared" si="35"/>
        <v>248</v>
      </c>
      <c r="AK22" s="203">
        <f t="shared" si="14"/>
        <v>2480</v>
      </c>
      <c r="AL22" s="203">
        <f t="shared" si="36"/>
        <v>248</v>
      </c>
      <c r="AM22" s="203">
        <f t="shared" si="15"/>
        <v>2480</v>
      </c>
      <c r="AN22" s="35">
        <f t="shared" si="16"/>
        <v>0.88571428571428568</v>
      </c>
      <c r="AO22" s="36">
        <f t="shared" si="41"/>
        <v>17360</v>
      </c>
      <c r="AQ22" s="223">
        <f t="shared" si="37"/>
        <v>0.805341646802472</v>
      </c>
      <c r="AR22" s="38">
        <f t="shared" si="38"/>
        <v>74872.612903225818</v>
      </c>
      <c r="AS22" s="197">
        <f t="shared" si="47"/>
        <v>-1910.0645161290158</v>
      </c>
      <c r="AT22" s="340"/>
      <c r="AU22" s="549"/>
      <c r="AV22" s="485">
        <f t="shared" si="43"/>
        <v>0.63800000000000001</v>
      </c>
      <c r="AW22" s="279">
        <f>-SUM('B5'!AI21)</f>
        <v>-447</v>
      </c>
      <c r="AX22" s="279">
        <f t="shared" si="17"/>
        <v>-1463.0645161290158</v>
      </c>
      <c r="AY22" s="37">
        <f t="shared" si="39"/>
        <v>-1910.0645161290158</v>
      </c>
      <c r="AZ22" s="100">
        <f>ELEC!A20</f>
        <v>0</v>
      </c>
      <c r="BA22" s="118">
        <f>'General information '!D21</f>
        <v>9.5</v>
      </c>
      <c r="BB22" s="378">
        <f>SUM('General information '!E21)</f>
        <v>0.33</v>
      </c>
      <c r="BC22" s="3">
        <f t="shared" si="44"/>
        <v>0</v>
      </c>
      <c r="BD22" s="102">
        <v>19222</v>
      </c>
      <c r="BE22" s="14">
        <f>(305/1185)*ELEC!Q21</f>
        <v>1508.2700421942427</v>
      </c>
      <c r="BF22" s="14"/>
      <c r="BG22" s="14" t="e">
        <f>#REF!-BE22</f>
        <v>#REF!</v>
      </c>
      <c r="BH22" s="11"/>
      <c r="BI22">
        <v>9</v>
      </c>
      <c r="BJ22">
        <f t="shared" si="46"/>
        <v>-162.56272401433509</v>
      </c>
      <c r="BK22" s="538">
        <f>GEN!AF19</f>
        <v>0.40571428571411161</v>
      </c>
    </row>
    <row r="23" spans="1:64">
      <c r="A23" s="425">
        <f>ELEC!C21</f>
        <v>44579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41"/>
        <v>16870</v>
      </c>
      <c r="AQ23" s="223">
        <f t="shared" si="37"/>
        <v>0.77970521187896191</v>
      </c>
      <c r="AR23" s="38">
        <f t="shared" si="38"/>
        <v>72489.193548387091</v>
      </c>
      <c r="AS23" s="197">
        <f t="shared" si="47"/>
        <v>-2383.4193548387266</v>
      </c>
      <c r="AT23" s="340"/>
      <c r="AU23" s="549"/>
      <c r="AV23" s="485">
        <f t="shared" si="43"/>
        <v>0.63800000000000001</v>
      </c>
      <c r="AW23" s="279">
        <f>-SUM('B5'!AI22)</f>
        <v>-416</v>
      </c>
      <c r="AX23" s="279">
        <f t="shared" si="17"/>
        <v>-1967.4193548387266</v>
      </c>
      <c r="AY23" s="37">
        <f t="shared" si="39"/>
        <v>-2383.4193548387266</v>
      </c>
      <c r="AZ23" s="100">
        <f>ELEC!A21</f>
        <v>0</v>
      </c>
      <c r="BA23" s="118">
        <f>'General information '!D22</f>
        <v>11.5</v>
      </c>
      <c r="BB23" s="378">
        <f>SUM('General information '!E22)</f>
        <v>0.44</v>
      </c>
      <c r="BC23" s="3">
        <f t="shared" si="44"/>
        <v>0</v>
      </c>
      <c r="BD23" s="102">
        <v>19222</v>
      </c>
      <c r="BE23" s="14">
        <f>(305/1185)*ELEC!Q22</f>
        <v>1427.7088607591493</v>
      </c>
      <c r="BF23" s="14"/>
      <c r="BG23" s="14" t="e">
        <f>#REF!-BE23</f>
        <v>#REF!</v>
      </c>
      <c r="BH23" s="11"/>
      <c r="BI23">
        <v>10</v>
      </c>
      <c r="BJ23">
        <f t="shared" si="46"/>
        <v>-196.74193548387265</v>
      </c>
      <c r="BK23" s="538">
        <f>GEN!AF20</f>
        <v>0.26160714285716885</v>
      </c>
    </row>
    <row r="24" spans="1:64">
      <c r="A24" s="425">
        <f>ELEC!C22</f>
        <v>44580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41"/>
        <v>16310</v>
      </c>
      <c r="AQ24" s="223">
        <f t="shared" si="37"/>
        <v>0.75077010620838502</v>
      </c>
      <c r="AR24" s="38">
        <f t="shared" si="38"/>
        <v>69799.09677419356</v>
      </c>
      <c r="AS24" s="197">
        <f t="shared" si="47"/>
        <v>-2690.096774193531</v>
      </c>
      <c r="AT24" s="340"/>
      <c r="AU24" s="549"/>
      <c r="AV24" s="485">
        <f t="shared" si="43"/>
        <v>0.63800000000000001</v>
      </c>
      <c r="AW24" s="279">
        <f>-SUM('B5'!AI23)</f>
        <v>-572</v>
      </c>
      <c r="AX24" s="279">
        <f t="shared" si="17"/>
        <v>-2118.096774193531</v>
      </c>
      <c r="AY24" s="37">
        <f t="shared" si="39"/>
        <v>-2690.096774193531</v>
      </c>
      <c r="AZ24" s="100">
        <f>ELEC!A22</f>
        <v>0</v>
      </c>
      <c r="BA24" s="118">
        <f>'General information '!D23</f>
        <v>11.5</v>
      </c>
      <c r="BB24" s="378">
        <f>SUM('General information '!E23)</f>
        <v>0.65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-192.55425219941191</v>
      </c>
      <c r="BK24" s="538">
        <f>GEN!AF21</f>
        <v>0.34668749999991633</v>
      </c>
    </row>
    <row r="25" spans="1:64">
      <c r="A25" s="425">
        <f>ELEC!C23</f>
        <v>44581</v>
      </c>
      <c r="B25">
        <f>'B5'!B24</f>
        <v>226</v>
      </c>
      <c r="C25" s="203">
        <f t="shared" si="18"/>
        <v>4862.6451612903229</v>
      </c>
      <c r="D25">
        <f t="shared" si="19"/>
        <v>226</v>
      </c>
      <c r="E25" s="203">
        <f t="shared" si="18"/>
        <v>4862.6451612903229</v>
      </c>
      <c r="F25">
        <f t="shared" si="20"/>
        <v>226</v>
      </c>
      <c r="G25" s="203">
        <f t="shared" si="1"/>
        <v>4862.6451612903229</v>
      </c>
      <c r="H25" s="203">
        <f t="shared" si="21"/>
        <v>226</v>
      </c>
      <c r="I25" s="203">
        <f t="shared" si="2"/>
        <v>4862.6451612903229</v>
      </c>
      <c r="J25" s="203">
        <f t="shared" si="22"/>
        <v>226</v>
      </c>
      <c r="K25" s="203">
        <f t="shared" si="3"/>
        <v>4862.6451612903229</v>
      </c>
      <c r="L25" s="203">
        <f t="shared" si="23"/>
        <v>226</v>
      </c>
      <c r="M25" s="203">
        <f t="shared" si="4"/>
        <v>4862.6451612903229</v>
      </c>
      <c r="N25" s="203">
        <f t="shared" si="24"/>
        <v>226</v>
      </c>
      <c r="O25" s="203">
        <f t="shared" si="5"/>
        <v>4862.6451612903229</v>
      </c>
      <c r="P25" s="203">
        <f t="shared" si="25"/>
        <v>226</v>
      </c>
      <c r="Q25" s="203">
        <f t="shared" si="6"/>
        <v>4862.6451612903229</v>
      </c>
      <c r="R25" s="203">
        <f t="shared" si="26"/>
        <v>226</v>
      </c>
      <c r="S25" s="203">
        <f t="shared" si="7"/>
        <v>4862.6451612903229</v>
      </c>
      <c r="T25" s="203">
        <f t="shared" si="27"/>
        <v>226</v>
      </c>
      <c r="U25" s="203">
        <f t="shared" si="8"/>
        <v>4862.6451612903229</v>
      </c>
      <c r="V25" s="203">
        <f t="shared" si="28"/>
        <v>226</v>
      </c>
      <c r="W25" s="203">
        <f t="shared" si="9"/>
        <v>4862.6451612903229</v>
      </c>
      <c r="X25" s="35">
        <f t="shared" si="10"/>
        <v>0.72903225806451633</v>
      </c>
      <c r="Y25" s="36">
        <f t="shared" si="29"/>
        <v>53489.09677419356</v>
      </c>
      <c r="Z25" s="203">
        <f>'B5'!C24</f>
        <v>233</v>
      </c>
      <c r="AA25" s="203">
        <f t="shared" si="30"/>
        <v>2330</v>
      </c>
      <c r="AB25" s="203">
        <f t="shared" si="31"/>
        <v>233</v>
      </c>
      <c r="AC25" s="203">
        <f t="shared" si="30"/>
        <v>2330</v>
      </c>
      <c r="AD25" s="203">
        <f t="shared" si="32"/>
        <v>233</v>
      </c>
      <c r="AE25" s="203">
        <f t="shared" si="11"/>
        <v>2330</v>
      </c>
      <c r="AF25" s="203">
        <f t="shared" si="33"/>
        <v>233</v>
      </c>
      <c r="AG25" s="203">
        <f t="shared" si="12"/>
        <v>2330</v>
      </c>
      <c r="AH25" s="203">
        <f t="shared" si="34"/>
        <v>233</v>
      </c>
      <c r="AI25" s="203">
        <f t="shared" si="13"/>
        <v>2330</v>
      </c>
      <c r="AJ25" s="203">
        <f t="shared" si="35"/>
        <v>233</v>
      </c>
      <c r="AK25" s="203">
        <f t="shared" si="14"/>
        <v>2330</v>
      </c>
      <c r="AL25" s="203">
        <f t="shared" si="36"/>
        <v>233</v>
      </c>
      <c r="AM25" s="203">
        <f t="shared" si="15"/>
        <v>2330</v>
      </c>
      <c r="AN25" s="35">
        <f t="shared" si="16"/>
        <v>0.83214285714285718</v>
      </c>
      <c r="AO25" s="36">
        <f t="shared" si="41"/>
        <v>16310</v>
      </c>
      <c r="AQ25" s="223">
        <f t="shared" si="37"/>
        <v>0.75077010620838502</v>
      </c>
      <c r="AR25" s="38">
        <f>Y25+AO25</f>
        <v>69799.09677419356</v>
      </c>
      <c r="AS25" s="197">
        <f t="shared" si="47"/>
        <v>0</v>
      </c>
      <c r="AT25" s="340"/>
      <c r="AU25" s="550"/>
      <c r="AV25" s="485">
        <f t="shared" si="43"/>
        <v>0.63800000000000001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44582</v>
      </c>
      <c r="B26">
        <f>'B5'!B25</f>
        <v>226</v>
      </c>
      <c r="C26" s="203">
        <f t="shared" si="18"/>
        <v>4862.6451612903229</v>
      </c>
      <c r="D26">
        <f t="shared" si="19"/>
        <v>226</v>
      </c>
      <c r="E26" s="203">
        <f t="shared" si="18"/>
        <v>4862.6451612903229</v>
      </c>
      <c r="F26">
        <f t="shared" si="20"/>
        <v>226</v>
      </c>
      <c r="G26" s="203">
        <f t="shared" si="1"/>
        <v>4862.6451612903229</v>
      </c>
      <c r="H26" s="203">
        <f t="shared" si="21"/>
        <v>226</v>
      </c>
      <c r="I26" s="203">
        <f t="shared" si="2"/>
        <v>4862.6451612903229</v>
      </c>
      <c r="J26" s="203">
        <f t="shared" si="22"/>
        <v>226</v>
      </c>
      <c r="K26" s="203">
        <f t="shared" si="3"/>
        <v>4862.6451612903229</v>
      </c>
      <c r="L26" s="203">
        <f t="shared" si="23"/>
        <v>226</v>
      </c>
      <c r="M26" s="203">
        <f t="shared" si="4"/>
        <v>4862.6451612903229</v>
      </c>
      <c r="N26" s="203">
        <f t="shared" si="24"/>
        <v>226</v>
      </c>
      <c r="O26" s="203">
        <f t="shared" si="5"/>
        <v>4862.6451612903229</v>
      </c>
      <c r="P26" s="203">
        <f t="shared" si="25"/>
        <v>226</v>
      </c>
      <c r="Q26" s="203">
        <f t="shared" si="6"/>
        <v>4862.6451612903229</v>
      </c>
      <c r="R26" s="203">
        <f t="shared" si="26"/>
        <v>226</v>
      </c>
      <c r="S26" s="203">
        <f t="shared" si="7"/>
        <v>4862.6451612903229</v>
      </c>
      <c r="T26" s="203">
        <f t="shared" si="27"/>
        <v>226</v>
      </c>
      <c r="U26" s="203">
        <f t="shared" si="8"/>
        <v>4862.6451612903229</v>
      </c>
      <c r="V26" s="203">
        <f t="shared" si="28"/>
        <v>226</v>
      </c>
      <c r="W26" s="203">
        <f t="shared" si="9"/>
        <v>4862.6451612903229</v>
      </c>
      <c r="X26" s="35">
        <f t="shared" si="10"/>
        <v>0.72903225806451633</v>
      </c>
      <c r="Y26" s="36">
        <f t="shared" si="29"/>
        <v>53489.09677419356</v>
      </c>
      <c r="Z26" s="203">
        <f>'B5'!C25</f>
        <v>233</v>
      </c>
      <c r="AA26" s="203">
        <f t="shared" si="30"/>
        <v>2330</v>
      </c>
      <c r="AB26" s="203">
        <f t="shared" si="31"/>
        <v>233</v>
      </c>
      <c r="AC26" s="203">
        <f t="shared" si="30"/>
        <v>2330</v>
      </c>
      <c r="AD26" s="203">
        <f t="shared" si="32"/>
        <v>233</v>
      </c>
      <c r="AE26" s="203">
        <f t="shared" si="11"/>
        <v>2330</v>
      </c>
      <c r="AF26" s="203">
        <f t="shared" si="33"/>
        <v>233</v>
      </c>
      <c r="AG26" s="203">
        <f t="shared" si="12"/>
        <v>2330</v>
      </c>
      <c r="AH26" s="203">
        <f t="shared" si="34"/>
        <v>233</v>
      </c>
      <c r="AI26" s="203">
        <f t="shared" si="13"/>
        <v>2330</v>
      </c>
      <c r="AJ26" s="203">
        <f t="shared" si="35"/>
        <v>233</v>
      </c>
      <c r="AK26" s="203">
        <f t="shared" si="14"/>
        <v>2330</v>
      </c>
      <c r="AL26" s="203">
        <f t="shared" si="36"/>
        <v>233</v>
      </c>
      <c r="AM26" s="203">
        <f t="shared" si="15"/>
        <v>2330</v>
      </c>
      <c r="AN26" s="35">
        <f t="shared" si="16"/>
        <v>0.83214285714285718</v>
      </c>
      <c r="AO26" s="36">
        <f t="shared" si="41"/>
        <v>16310</v>
      </c>
      <c r="AQ26" s="223">
        <f t="shared" si="37"/>
        <v>0.75077010620838502</v>
      </c>
      <c r="AR26" s="38">
        <f t="shared" si="38"/>
        <v>69799.09677419356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226</v>
      </c>
      <c r="C27" s="203">
        <f t="shared" si="18"/>
        <v>4862.6451612903229</v>
      </c>
      <c r="D27">
        <f t="shared" si="19"/>
        <v>226</v>
      </c>
      <c r="E27" s="203">
        <f t="shared" si="18"/>
        <v>4862.6451612903229</v>
      </c>
      <c r="F27">
        <f t="shared" si="20"/>
        <v>226</v>
      </c>
      <c r="G27" s="203">
        <f t="shared" si="1"/>
        <v>4862.6451612903229</v>
      </c>
      <c r="H27" s="203">
        <f t="shared" si="21"/>
        <v>226</v>
      </c>
      <c r="I27" s="203">
        <f t="shared" si="2"/>
        <v>4862.6451612903229</v>
      </c>
      <c r="J27" s="203">
        <f t="shared" si="22"/>
        <v>226</v>
      </c>
      <c r="K27" s="203">
        <f t="shared" si="3"/>
        <v>4862.6451612903229</v>
      </c>
      <c r="L27" s="203">
        <f t="shared" si="23"/>
        <v>226</v>
      </c>
      <c r="M27" s="203">
        <f t="shared" si="4"/>
        <v>4862.6451612903229</v>
      </c>
      <c r="N27" s="203">
        <f t="shared" si="24"/>
        <v>226</v>
      </c>
      <c r="O27" s="203">
        <f t="shared" si="5"/>
        <v>4862.6451612903229</v>
      </c>
      <c r="P27" s="203">
        <f t="shared" si="25"/>
        <v>226</v>
      </c>
      <c r="Q27" s="203">
        <f t="shared" si="6"/>
        <v>4862.6451612903229</v>
      </c>
      <c r="R27" s="203">
        <f t="shared" si="26"/>
        <v>226</v>
      </c>
      <c r="S27" s="203">
        <f t="shared" si="7"/>
        <v>4862.6451612903229</v>
      </c>
      <c r="T27" s="203">
        <f t="shared" si="27"/>
        <v>226</v>
      </c>
      <c r="U27" s="203">
        <f t="shared" si="8"/>
        <v>4862.6451612903229</v>
      </c>
      <c r="V27" s="203">
        <f t="shared" si="28"/>
        <v>226</v>
      </c>
      <c r="W27" s="203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41"/>
        <v>16310</v>
      </c>
      <c r="AQ27" s="223">
        <f t="shared" si="37"/>
        <v>0.75077010620838502</v>
      </c>
      <c r="AR27" s="38">
        <f t="shared" si="38"/>
        <v>69799.09677419356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226</v>
      </c>
      <c r="C28" s="203">
        <f t="shared" si="18"/>
        <v>4862.6451612903229</v>
      </c>
      <c r="D28">
        <f t="shared" si="19"/>
        <v>226</v>
      </c>
      <c r="E28" s="203">
        <f t="shared" si="18"/>
        <v>4862.6451612903229</v>
      </c>
      <c r="F28">
        <f t="shared" si="20"/>
        <v>226</v>
      </c>
      <c r="G28" s="203">
        <f t="shared" si="1"/>
        <v>4862.6451612903229</v>
      </c>
      <c r="H28" s="203">
        <f t="shared" si="21"/>
        <v>226</v>
      </c>
      <c r="I28" s="203">
        <f t="shared" si="2"/>
        <v>4862.6451612903229</v>
      </c>
      <c r="J28" s="203">
        <f t="shared" si="22"/>
        <v>226</v>
      </c>
      <c r="K28" s="203">
        <f t="shared" si="3"/>
        <v>4862.6451612903229</v>
      </c>
      <c r="L28" s="203">
        <f t="shared" si="23"/>
        <v>226</v>
      </c>
      <c r="M28" s="203">
        <f t="shared" si="4"/>
        <v>4862.6451612903229</v>
      </c>
      <c r="N28" s="203">
        <f t="shared" si="24"/>
        <v>226</v>
      </c>
      <c r="O28" s="203">
        <f t="shared" si="5"/>
        <v>4862.6451612903229</v>
      </c>
      <c r="P28" s="203">
        <f t="shared" si="25"/>
        <v>226</v>
      </c>
      <c r="Q28" s="203">
        <f t="shared" si="6"/>
        <v>4862.6451612903229</v>
      </c>
      <c r="R28" s="203">
        <f t="shared" si="26"/>
        <v>226</v>
      </c>
      <c r="S28" s="203">
        <f t="shared" si="7"/>
        <v>4862.6451612903229</v>
      </c>
      <c r="T28" s="203">
        <f t="shared" si="27"/>
        <v>226</v>
      </c>
      <c r="U28" s="203">
        <f t="shared" si="8"/>
        <v>4862.6451612903229</v>
      </c>
      <c r="V28" s="203">
        <f t="shared" si="28"/>
        <v>226</v>
      </c>
      <c r="W28" s="203">
        <f t="shared" si="9"/>
        <v>4862.6451612903229</v>
      </c>
      <c r="X28" s="35">
        <f t="shared" si="10"/>
        <v>0.72903225806451633</v>
      </c>
      <c r="Y28" s="36">
        <f t="shared" si="29"/>
        <v>53489.09677419356</v>
      </c>
      <c r="Z28" s="203">
        <f>'B5'!C27</f>
        <v>233</v>
      </c>
      <c r="AA28" s="203">
        <f t="shared" si="30"/>
        <v>2330</v>
      </c>
      <c r="AB28" s="203">
        <f t="shared" si="31"/>
        <v>233</v>
      </c>
      <c r="AC28" s="203">
        <f t="shared" si="30"/>
        <v>2330</v>
      </c>
      <c r="AD28" s="203">
        <f t="shared" si="32"/>
        <v>233</v>
      </c>
      <c r="AE28" s="203">
        <f t="shared" si="11"/>
        <v>2330</v>
      </c>
      <c r="AF28" s="203">
        <f t="shared" si="33"/>
        <v>233</v>
      </c>
      <c r="AG28" s="203">
        <f t="shared" si="12"/>
        <v>2330</v>
      </c>
      <c r="AH28" s="203">
        <f t="shared" si="34"/>
        <v>233</v>
      </c>
      <c r="AI28" s="203">
        <f t="shared" si="13"/>
        <v>2330</v>
      </c>
      <c r="AJ28" s="203">
        <f t="shared" si="35"/>
        <v>233</v>
      </c>
      <c r="AK28" s="203">
        <f t="shared" si="14"/>
        <v>2330</v>
      </c>
      <c r="AL28" s="203">
        <f t="shared" si="36"/>
        <v>233</v>
      </c>
      <c r="AM28" s="203">
        <f t="shared" si="15"/>
        <v>2330</v>
      </c>
      <c r="AN28" s="35">
        <f t="shared" si="16"/>
        <v>0.83214285714285718</v>
      </c>
      <c r="AO28" s="36">
        <f t="shared" si="41"/>
        <v>16310</v>
      </c>
      <c r="AQ28" s="223">
        <f t="shared" si="37"/>
        <v>0.75077010620838502</v>
      </c>
      <c r="AR28" s="38">
        <f t="shared" si="38"/>
        <v>69799.09677419356</v>
      </c>
      <c r="AS28" s="197">
        <f t="shared" si="47"/>
        <v>0</v>
      </c>
      <c r="AT28" s="340"/>
      <c r="AU28" s="550"/>
      <c r="AV28" s="485">
        <f t="shared" si="43"/>
        <v>0.63800000000000001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44585</v>
      </c>
      <c r="B29">
        <f>'B5'!B28</f>
        <v>226</v>
      </c>
      <c r="C29" s="203">
        <f t="shared" si="18"/>
        <v>4862.6451612903229</v>
      </c>
      <c r="D29">
        <f t="shared" si="19"/>
        <v>226</v>
      </c>
      <c r="E29" s="203">
        <f t="shared" si="18"/>
        <v>4862.6451612903229</v>
      </c>
      <c r="F29">
        <f t="shared" si="20"/>
        <v>226</v>
      </c>
      <c r="G29" s="203">
        <f t="shared" si="1"/>
        <v>4862.6451612903229</v>
      </c>
      <c r="H29" s="203">
        <f t="shared" si="21"/>
        <v>226</v>
      </c>
      <c r="I29" s="203">
        <f t="shared" si="2"/>
        <v>4862.6451612903229</v>
      </c>
      <c r="J29" s="203">
        <f t="shared" si="22"/>
        <v>226</v>
      </c>
      <c r="K29" s="203">
        <f t="shared" si="3"/>
        <v>4862.6451612903229</v>
      </c>
      <c r="L29" s="203">
        <f t="shared" si="23"/>
        <v>226</v>
      </c>
      <c r="M29" s="203">
        <f t="shared" si="4"/>
        <v>4862.6451612903229</v>
      </c>
      <c r="N29" s="203">
        <f t="shared" si="24"/>
        <v>226</v>
      </c>
      <c r="O29" s="203">
        <f t="shared" si="5"/>
        <v>4862.6451612903229</v>
      </c>
      <c r="P29" s="203">
        <f t="shared" si="25"/>
        <v>226</v>
      </c>
      <c r="Q29" s="203">
        <f t="shared" si="6"/>
        <v>4862.6451612903229</v>
      </c>
      <c r="R29" s="203">
        <f t="shared" si="26"/>
        <v>226</v>
      </c>
      <c r="S29" s="203">
        <f t="shared" si="7"/>
        <v>4862.6451612903229</v>
      </c>
      <c r="T29" s="203">
        <f t="shared" si="27"/>
        <v>226</v>
      </c>
      <c r="U29" s="203">
        <f t="shared" si="8"/>
        <v>4862.6451612903229</v>
      </c>
      <c r="V29" s="203">
        <f t="shared" si="28"/>
        <v>226</v>
      </c>
      <c r="W29" s="203">
        <f t="shared" si="9"/>
        <v>4862.6451612903229</v>
      </c>
      <c r="X29" s="35">
        <f t="shared" si="10"/>
        <v>0.72903225806451633</v>
      </c>
      <c r="Y29" s="36">
        <f t="shared" si="29"/>
        <v>53489.09677419356</v>
      </c>
      <c r="Z29" s="203">
        <f>'B5'!C28</f>
        <v>233</v>
      </c>
      <c r="AA29" s="203">
        <f t="shared" si="30"/>
        <v>2330</v>
      </c>
      <c r="AB29" s="203">
        <f t="shared" si="31"/>
        <v>233</v>
      </c>
      <c r="AC29" s="203">
        <f t="shared" si="30"/>
        <v>2330</v>
      </c>
      <c r="AD29" s="203">
        <f t="shared" si="32"/>
        <v>233</v>
      </c>
      <c r="AE29" s="203">
        <f t="shared" si="11"/>
        <v>2330</v>
      </c>
      <c r="AF29" s="203">
        <f t="shared" si="33"/>
        <v>233</v>
      </c>
      <c r="AG29" s="203">
        <f t="shared" si="12"/>
        <v>2330</v>
      </c>
      <c r="AH29" s="203">
        <f t="shared" si="34"/>
        <v>233</v>
      </c>
      <c r="AI29" s="203">
        <f t="shared" si="13"/>
        <v>2330</v>
      </c>
      <c r="AJ29" s="203">
        <f t="shared" si="35"/>
        <v>233</v>
      </c>
      <c r="AK29" s="203">
        <f t="shared" si="14"/>
        <v>2330</v>
      </c>
      <c r="AL29" s="203">
        <f t="shared" si="36"/>
        <v>233</v>
      </c>
      <c r="AM29" s="203">
        <f t="shared" si="15"/>
        <v>2330</v>
      </c>
      <c r="AN29" s="35">
        <f t="shared" si="16"/>
        <v>0.83214285714285718</v>
      </c>
      <c r="AO29" s="36">
        <f t="shared" si="41"/>
        <v>16310</v>
      </c>
      <c r="AQ29" s="223">
        <f t="shared" si="37"/>
        <v>0.75077010620838502</v>
      </c>
      <c r="AR29" s="38">
        <f t="shared" si="38"/>
        <v>69799.09677419356</v>
      </c>
      <c r="AS29" s="197">
        <f>SUM(AR29-AR28-AT29)</f>
        <v>0</v>
      </c>
      <c r="AT29" s="340"/>
      <c r="AU29" s="550"/>
      <c r="AV29" s="485">
        <f t="shared" si="43"/>
        <v>0.63800000000000001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44586</v>
      </c>
      <c r="B30">
        <f>'B5'!B29</f>
        <v>226</v>
      </c>
      <c r="C30" s="203">
        <f t="shared" si="18"/>
        <v>4862.6451612903229</v>
      </c>
      <c r="D30">
        <f t="shared" ref="D30:D35" si="48">SUM(B30)</f>
        <v>226</v>
      </c>
      <c r="E30" s="203">
        <f t="shared" si="18"/>
        <v>4862.6451612903229</v>
      </c>
      <c r="F30">
        <f t="shared" ref="F30:F35" si="49">SUM(D30)</f>
        <v>226</v>
      </c>
      <c r="G30" s="203">
        <f t="shared" si="1"/>
        <v>4862.6451612903229</v>
      </c>
      <c r="H30" s="203">
        <f t="shared" ref="H30:H35" si="50">SUM(F30)</f>
        <v>226</v>
      </c>
      <c r="I30" s="203">
        <f t="shared" si="2"/>
        <v>4862.6451612903229</v>
      </c>
      <c r="J30" s="203">
        <f t="shared" ref="J30:J35" si="51">SUM(H30)</f>
        <v>226</v>
      </c>
      <c r="K30" s="203">
        <f t="shared" si="3"/>
        <v>4862.6451612903229</v>
      </c>
      <c r="L30" s="203">
        <f t="shared" ref="L30:L35" si="52">SUM(J30)</f>
        <v>226</v>
      </c>
      <c r="M30" s="203">
        <f t="shared" si="4"/>
        <v>4862.6451612903229</v>
      </c>
      <c r="N30" s="203">
        <f t="shared" ref="N30:N35" si="53">SUM(L30)</f>
        <v>226</v>
      </c>
      <c r="O30" s="203">
        <f t="shared" si="5"/>
        <v>4862.6451612903229</v>
      </c>
      <c r="P30" s="203">
        <f t="shared" ref="P30:P35" si="54">SUM(N30)</f>
        <v>226</v>
      </c>
      <c r="Q30" s="203">
        <f t="shared" si="6"/>
        <v>4862.6451612903229</v>
      </c>
      <c r="R30" s="203">
        <f t="shared" ref="R30:R35" si="55">SUM(P30)</f>
        <v>226</v>
      </c>
      <c r="S30" s="203">
        <f t="shared" si="7"/>
        <v>4862.6451612903229</v>
      </c>
      <c r="T30" s="203">
        <f t="shared" ref="T30:T35" si="56">SUM(R30)</f>
        <v>226</v>
      </c>
      <c r="U30" s="203">
        <f t="shared" si="8"/>
        <v>4862.6451612903229</v>
      </c>
      <c r="V30" s="203">
        <f t="shared" ref="V30:V35" si="57">SUM(T30)</f>
        <v>226</v>
      </c>
      <c r="W30" s="203">
        <f t="shared" si="9"/>
        <v>4862.6451612903229</v>
      </c>
      <c r="X30" s="35">
        <f t="shared" ref="X30:X35" si="58">SUM(Y30/73370)</f>
        <v>0.72903225806451633</v>
      </c>
      <c r="Y30" s="36">
        <f t="shared" ref="Y30:Y35" si="59">SUM(C30+E30+G30+I30+K30+M30+O30+Q30+S30+U30+W30)</f>
        <v>53489.09677419356</v>
      </c>
      <c r="Z30" s="203">
        <f>'B5'!C29</f>
        <v>233</v>
      </c>
      <c r="AA30" s="203">
        <f t="shared" si="30"/>
        <v>2330</v>
      </c>
      <c r="AB30" s="203">
        <f t="shared" ref="AB30:AB35" si="60">SUM(Z30)</f>
        <v>233</v>
      </c>
      <c r="AC30" s="203">
        <f t="shared" si="30"/>
        <v>2330</v>
      </c>
      <c r="AD30" s="203">
        <f t="shared" ref="AD30:AD35" si="61">SUM(AB30)</f>
        <v>233</v>
      </c>
      <c r="AE30" s="203">
        <f t="shared" si="11"/>
        <v>2330</v>
      </c>
      <c r="AF30" s="203">
        <f t="shared" ref="AF30:AF35" si="62">SUM(AD30)</f>
        <v>233</v>
      </c>
      <c r="AG30" s="203">
        <f t="shared" si="12"/>
        <v>2330</v>
      </c>
      <c r="AH30" s="203">
        <f t="shared" ref="AH30:AH35" si="63">SUM(AF30)</f>
        <v>233</v>
      </c>
      <c r="AI30" s="203">
        <f t="shared" si="13"/>
        <v>2330</v>
      </c>
      <c r="AJ30" s="203">
        <f t="shared" ref="AJ30:AJ35" si="64">SUM(AH30)</f>
        <v>233</v>
      </c>
      <c r="AK30" s="203">
        <f t="shared" si="14"/>
        <v>2330</v>
      </c>
      <c r="AL30" s="203">
        <f t="shared" ref="AL30:AL35" si="65">SUM(AJ30)</f>
        <v>233</v>
      </c>
      <c r="AM30" s="203">
        <f t="shared" si="15"/>
        <v>2330</v>
      </c>
      <c r="AN30" s="35">
        <f t="shared" ref="AN30:AN35" si="66">SUM(AO30/19600)</f>
        <v>0.83214285714285718</v>
      </c>
      <c r="AO30" s="36">
        <f t="shared" ref="AO30:AO35" si="67">SUM(AA30+AC30+AE30+AG30+AI30+AK30+AM30)</f>
        <v>16310</v>
      </c>
      <c r="AQ30" s="223">
        <f t="shared" si="37"/>
        <v>0.75077010620838502</v>
      </c>
      <c r="AR30" s="38">
        <f t="shared" si="38"/>
        <v>69799.09677419356</v>
      </c>
      <c r="AS30" s="197">
        <f>SUM(AR30-AR29-AT30)</f>
        <v>0</v>
      </c>
      <c r="AT30" s="340"/>
      <c r="AU30" s="550"/>
      <c r="AV30" s="485">
        <f t="shared" si="43"/>
        <v>0.63800000000000001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44587</v>
      </c>
      <c r="B31">
        <f>'B5'!B30</f>
        <v>226</v>
      </c>
      <c r="C31" s="203">
        <f t="shared" si="18"/>
        <v>4862.6451612903229</v>
      </c>
      <c r="D31">
        <f t="shared" si="48"/>
        <v>226</v>
      </c>
      <c r="E31" s="203">
        <f t="shared" si="18"/>
        <v>4862.6451612903229</v>
      </c>
      <c r="F31">
        <f t="shared" si="49"/>
        <v>226</v>
      </c>
      <c r="G31" s="203">
        <f t="shared" si="1"/>
        <v>4862.6451612903229</v>
      </c>
      <c r="H31" s="203">
        <f t="shared" si="50"/>
        <v>226</v>
      </c>
      <c r="I31" s="203">
        <f t="shared" si="2"/>
        <v>4862.6451612903229</v>
      </c>
      <c r="J31" s="203">
        <f t="shared" si="51"/>
        <v>226</v>
      </c>
      <c r="K31" s="203">
        <f t="shared" si="3"/>
        <v>4862.6451612903229</v>
      </c>
      <c r="L31" s="203">
        <f t="shared" si="52"/>
        <v>226</v>
      </c>
      <c r="M31" s="203">
        <f t="shared" si="4"/>
        <v>4862.6451612903229</v>
      </c>
      <c r="N31" s="203">
        <f t="shared" si="53"/>
        <v>226</v>
      </c>
      <c r="O31" s="203">
        <f t="shared" si="5"/>
        <v>4862.6451612903229</v>
      </c>
      <c r="P31" s="203">
        <f t="shared" si="54"/>
        <v>226</v>
      </c>
      <c r="Q31" s="203">
        <f t="shared" si="6"/>
        <v>4862.6451612903229</v>
      </c>
      <c r="R31" s="203">
        <f t="shared" si="55"/>
        <v>226</v>
      </c>
      <c r="S31" s="203">
        <f t="shared" si="7"/>
        <v>4862.6451612903229</v>
      </c>
      <c r="T31" s="203">
        <f t="shared" si="56"/>
        <v>226</v>
      </c>
      <c r="U31" s="203">
        <f t="shared" si="8"/>
        <v>4862.6451612903229</v>
      </c>
      <c r="V31" s="203">
        <f t="shared" si="57"/>
        <v>226</v>
      </c>
      <c r="W31" s="203">
        <f t="shared" si="9"/>
        <v>4862.6451612903229</v>
      </c>
      <c r="X31" s="35">
        <f t="shared" si="58"/>
        <v>0.72903225806451633</v>
      </c>
      <c r="Y31" s="36">
        <f t="shared" si="59"/>
        <v>53489.09677419356</v>
      </c>
      <c r="Z31" s="203">
        <f>'B5'!C30</f>
        <v>233</v>
      </c>
      <c r="AA31" s="203">
        <f t="shared" si="30"/>
        <v>2330</v>
      </c>
      <c r="AB31" s="203">
        <f t="shared" si="60"/>
        <v>233</v>
      </c>
      <c r="AC31" s="203">
        <f t="shared" si="30"/>
        <v>2330</v>
      </c>
      <c r="AD31" s="203">
        <f t="shared" si="61"/>
        <v>233</v>
      </c>
      <c r="AE31" s="203">
        <f t="shared" si="11"/>
        <v>2330</v>
      </c>
      <c r="AF31" s="203">
        <f t="shared" si="62"/>
        <v>233</v>
      </c>
      <c r="AG31" s="203">
        <f t="shared" si="12"/>
        <v>2330</v>
      </c>
      <c r="AH31" s="203">
        <f t="shared" si="63"/>
        <v>233</v>
      </c>
      <c r="AI31" s="203">
        <f t="shared" si="13"/>
        <v>2330</v>
      </c>
      <c r="AJ31" s="203">
        <f t="shared" si="64"/>
        <v>233</v>
      </c>
      <c r="AK31" s="203">
        <f t="shared" si="14"/>
        <v>2330</v>
      </c>
      <c r="AL31" s="203">
        <f t="shared" si="65"/>
        <v>233</v>
      </c>
      <c r="AM31" s="203">
        <f t="shared" si="15"/>
        <v>2330</v>
      </c>
      <c r="AN31" s="35">
        <f t="shared" si="66"/>
        <v>0.83214285714285718</v>
      </c>
      <c r="AO31" s="36">
        <f t="shared" si="67"/>
        <v>16310</v>
      </c>
      <c r="AQ31" s="223">
        <f t="shared" si="37"/>
        <v>0.75077010620838502</v>
      </c>
      <c r="AR31" s="38">
        <f t="shared" si="38"/>
        <v>69799.09677419356</v>
      </c>
      <c r="AS31" s="197">
        <f t="shared" si="47"/>
        <v>0</v>
      </c>
      <c r="AT31" s="340"/>
      <c r="AU31" s="575"/>
      <c r="AV31" s="485">
        <f t="shared" si="43"/>
        <v>0.63800000000000001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226</v>
      </c>
      <c r="C32" s="203">
        <f t="shared" si="18"/>
        <v>4862.6451612903229</v>
      </c>
      <c r="D32">
        <f t="shared" si="48"/>
        <v>226</v>
      </c>
      <c r="E32" s="203">
        <f t="shared" si="18"/>
        <v>4862.6451612903229</v>
      </c>
      <c r="F32">
        <f t="shared" si="49"/>
        <v>226</v>
      </c>
      <c r="G32" s="203">
        <f t="shared" si="1"/>
        <v>4862.6451612903229</v>
      </c>
      <c r="H32" s="203">
        <f t="shared" si="50"/>
        <v>226</v>
      </c>
      <c r="I32" s="203">
        <f t="shared" si="2"/>
        <v>4862.6451612903229</v>
      </c>
      <c r="J32" s="203">
        <f t="shared" si="51"/>
        <v>226</v>
      </c>
      <c r="K32" s="203">
        <f t="shared" si="3"/>
        <v>4862.6451612903229</v>
      </c>
      <c r="L32" s="203">
        <f t="shared" si="52"/>
        <v>226</v>
      </c>
      <c r="M32" s="203">
        <f t="shared" si="4"/>
        <v>4862.6451612903229</v>
      </c>
      <c r="N32" s="203">
        <f t="shared" si="53"/>
        <v>226</v>
      </c>
      <c r="O32" s="203">
        <f t="shared" si="5"/>
        <v>4862.6451612903229</v>
      </c>
      <c r="P32" s="203">
        <f t="shared" si="54"/>
        <v>226</v>
      </c>
      <c r="Q32" s="203">
        <f t="shared" si="6"/>
        <v>4862.6451612903229</v>
      </c>
      <c r="R32" s="203">
        <f t="shared" si="55"/>
        <v>226</v>
      </c>
      <c r="S32" s="203">
        <f t="shared" si="7"/>
        <v>4862.6451612903229</v>
      </c>
      <c r="T32" s="203">
        <f t="shared" si="56"/>
        <v>226</v>
      </c>
      <c r="U32" s="203">
        <f t="shared" si="8"/>
        <v>4862.6451612903229</v>
      </c>
      <c r="V32" s="203">
        <f t="shared" si="57"/>
        <v>226</v>
      </c>
      <c r="W32" s="203">
        <f t="shared" si="9"/>
        <v>4862.6451612903229</v>
      </c>
      <c r="X32" s="35">
        <f t="shared" si="58"/>
        <v>0.72903225806451633</v>
      </c>
      <c r="Y32" s="36">
        <f t="shared" si="59"/>
        <v>53489.09677419356</v>
      </c>
      <c r="Z32" s="203">
        <f>'B5'!C31</f>
        <v>233</v>
      </c>
      <c r="AA32" s="203">
        <f t="shared" si="30"/>
        <v>2330</v>
      </c>
      <c r="AB32" s="203">
        <f t="shared" si="60"/>
        <v>233</v>
      </c>
      <c r="AC32" s="203">
        <f t="shared" si="30"/>
        <v>2330</v>
      </c>
      <c r="AD32" s="203">
        <f t="shared" si="61"/>
        <v>233</v>
      </c>
      <c r="AE32" s="203">
        <f t="shared" si="11"/>
        <v>2330</v>
      </c>
      <c r="AF32" s="203">
        <f t="shared" si="62"/>
        <v>233</v>
      </c>
      <c r="AG32" s="203">
        <f t="shared" si="12"/>
        <v>2330</v>
      </c>
      <c r="AH32" s="203">
        <f t="shared" si="63"/>
        <v>233</v>
      </c>
      <c r="AI32" s="203">
        <f t="shared" si="13"/>
        <v>2330</v>
      </c>
      <c r="AJ32" s="203">
        <f t="shared" si="64"/>
        <v>233</v>
      </c>
      <c r="AK32" s="203">
        <f t="shared" si="14"/>
        <v>2330</v>
      </c>
      <c r="AL32" s="203">
        <f t="shared" si="65"/>
        <v>233</v>
      </c>
      <c r="AM32" s="203">
        <f t="shared" si="15"/>
        <v>2330</v>
      </c>
      <c r="AN32" s="35">
        <f t="shared" si="66"/>
        <v>0.83214285714285718</v>
      </c>
      <c r="AO32" s="36">
        <f t="shared" si="67"/>
        <v>16310</v>
      </c>
      <c r="AQ32" s="223">
        <f t="shared" si="37"/>
        <v>0.75077010620838502</v>
      </c>
      <c r="AR32" s="38">
        <f t="shared" si="38"/>
        <v>69799.09677419356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226</v>
      </c>
      <c r="C33" s="203">
        <f t="shared" si="18"/>
        <v>4862.6451612903229</v>
      </c>
      <c r="D33">
        <f t="shared" si="48"/>
        <v>226</v>
      </c>
      <c r="E33" s="203">
        <f t="shared" si="18"/>
        <v>4862.6451612903229</v>
      </c>
      <c r="F33">
        <f t="shared" si="49"/>
        <v>226</v>
      </c>
      <c r="G33" s="203">
        <f t="shared" si="1"/>
        <v>4862.6451612903229</v>
      </c>
      <c r="H33" s="203">
        <f t="shared" si="50"/>
        <v>226</v>
      </c>
      <c r="I33" s="203">
        <f t="shared" si="2"/>
        <v>4862.6451612903229</v>
      </c>
      <c r="J33" s="203">
        <f t="shared" si="51"/>
        <v>226</v>
      </c>
      <c r="K33" s="203">
        <f t="shared" si="3"/>
        <v>4862.6451612903229</v>
      </c>
      <c r="L33" s="203">
        <f t="shared" si="52"/>
        <v>226</v>
      </c>
      <c r="M33" s="203">
        <f t="shared" si="4"/>
        <v>4862.6451612903229</v>
      </c>
      <c r="N33" s="203">
        <f t="shared" si="53"/>
        <v>226</v>
      </c>
      <c r="O33" s="203">
        <f t="shared" si="5"/>
        <v>4862.6451612903229</v>
      </c>
      <c r="P33" s="203">
        <f t="shared" si="54"/>
        <v>226</v>
      </c>
      <c r="Q33" s="203">
        <f t="shared" si="6"/>
        <v>4862.6451612903229</v>
      </c>
      <c r="R33" s="203">
        <f t="shared" si="55"/>
        <v>226</v>
      </c>
      <c r="S33" s="203">
        <f t="shared" si="7"/>
        <v>4862.6451612903229</v>
      </c>
      <c r="T33" s="203">
        <f t="shared" si="56"/>
        <v>226</v>
      </c>
      <c r="U33" s="203">
        <f t="shared" si="8"/>
        <v>4862.6451612903229</v>
      </c>
      <c r="V33" s="203">
        <f t="shared" si="57"/>
        <v>226</v>
      </c>
      <c r="W33" s="203">
        <f t="shared" si="9"/>
        <v>4862.6451612903229</v>
      </c>
      <c r="X33" s="35">
        <f t="shared" si="58"/>
        <v>0.72903225806451633</v>
      </c>
      <c r="Y33" s="36">
        <f t="shared" si="59"/>
        <v>53489.09677419356</v>
      </c>
      <c r="Z33" s="203">
        <f>'B5'!C32</f>
        <v>233</v>
      </c>
      <c r="AA33" s="203">
        <f t="shared" si="30"/>
        <v>2330</v>
      </c>
      <c r="AB33" s="203">
        <f t="shared" si="60"/>
        <v>233</v>
      </c>
      <c r="AC33" s="203">
        <f t="shared" si="30"/>
        <v>2330</v>
      </c>
      <c r="AD33" s="203">
        <f t="shared" si="61"/>
        <v>233</v>
      </c>
      <c r="AE33" s="203">
        <f t="shared" si="11"/>
        <v>2330</v>
      </c>
      <c r="AF33" s="203">
        <f t="shared" si="62"/>
        <v>233</v>
      </c>
      <c r="AG33" s="203">
        <f t="shared" si="12"/>
        <v>2330</v>
      </c>
      <c r="AH33" s="203">
        <f t="shared" si="63"/>
        <v>233</v>
      </c>
      <c r="AI33" s="203">
        <f t="shared" si="13"/>
        <v>2330</v>
      </c>
      <c r="AJ33" s="203">
        <f t="shared" si="64"/>
        <v>233</v>
      </c>
      <c r="AK33" s="203">
        <f t="shared" si="14"/>
        <v>2330</v>
      </c>
      <c r="AL33" s="203">
        <f t="shared" si="65"/>
        <v>233</v>
      </c>
      <c r="AM33" s="203">
        <f t="shared" si="15"/>
        <v>2330</v>
      </c>
      <c r="AN33" s="35">
        <f t="shared" si="66"/>
        <v>0.83214285714285718</v>
      </c>
      <c r="AO33" s="36">
        <f t="shared" si="67"/>
        <v>16310</v>
      </c>
      <c r="AQ33" s="223">
        <f t="shared" si="37"/>
        <v>0.75077010620838502</v>
      </c>
      <c r="AR33" s="38">
        <f t="shared" si="38"/>
        <v>69799.09677419356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226</v>
      </c>
      <c r="C34" s="203">
        <f>B34*$B$4</f>
        <v>4862.6451612903229</v>
      </c>
      <c r="D34">
        <f t="shared" si="48"/>
        <v>226</v>
      </c>
      <c r="E34" s="203">
        <f>D34*$B$4</f>
        <v>4862.6451612903229</v>
      </c>
      <c r="F34">
        <f t="shared" si="49"/>
        <v>226</v>
      </c>
      <c r="G34" s="203">
        <f>F34*$B$4</f>
        <v>4862.6451612903229</v>
      </c>
      <c r="H34" s="203">
        <f t="shared" si="50"/>
        <v>226</v>
      </c>
      <c r="I34" s="203">
        <f>H34*$B$4</f>
        <v>4862.6451612903229</v>
      </c>
      <c r="J34" s="203">
        <f t="shared" si="51"/>
        <v>226</v>
      </c>
      <c r="K34" s="203">
        <f>J34*$B$4</f>
        <v>4862.6451612903229</v>
      </c>
      <c r="L34" s="203">
        <f t="shared" si="52"/>
        <v>226</v>
      </c>
      <c r="M34" s="203">
        <f>L34*$B$4</f>
        <v>4862.6451612903229</v>
      </c>
      <c r="N34" s="203">
        <f t="shared" si="53"/>
        <v>226</v>
      </c>
      <c r="O34" s="203">
        <f>N34*$B$4</f>
        <v>4862.6451612903229</v>
      </c>
      <c r="P34" s="203">
        <f t="shared" si="54"/>
        <v>226</v>
      </c>
      <c r="Q34" s="203">
        <f>P34*$B$4</f>
        <v>4862.6451612903229</v>
      </c>
      <c r="R34" s="203">
        <f t="shared" si="55"/>
        <v>226</v>
      </c>
      <c r="S34" s="203">
        <f>R34*$B$4</f>
        <v>4862.6451612903229</v>
      </c>
      <c r="T34" s="203">
        <f t="shared" si="56"/>
        <v>226</v>
      </c>
      <c r="U34" s="203">
        <f>T34*$B$4</f>
        <v>4862.6451612903229</v>
      </c>
      <c r="V34" s="203">
        <f t="shared" si="57"/>
        <v>226</v>
      </c>
      <c r="W34" s="203">
        <f>V34*$B$4</f>
        <v>4862.6451612903229</v>
      </c>
      <c r="X34" s="35">
        <f t="shared" si="58"/>
        <v>0.72903225806451633</v>
      </c>
      <c r="Y34" s="36">
        <f t="shared" si="59"/>
        <v>53489.09677419356</v>
      </c>
      <c r="Z34" s="203">
        <f>'B5'!C33</f>
        <v>233</v>
      </c>
      <c r="AA34" s="203">
        <f>SUM(Z34*$Z$4)</f>
        <v>2330</v>
      </c>
      <c r="AB34" s="203">
        <f t="shared" si="60"/>
        <v>233</v>
      </c>
      <c r="AC34" s="203">
        <f>SUM(AB34*$Z$4)</f>
        <v>2330</v>
      </c>
      <c r="AD34" s="203">
        <f t="shared" si="61"/>
        <v>233</v>
      </c>
      <c r="AE34" s="203">
        <f>SUM(AD34*$Z$4)</f>
        <v>2330</v>
      </c>
      <c r="AF34" s="203">
        <f t="shared" si="62"/>
        <v>233</v>
      </c>
      <c r="AG34" s="203">
        <f>SUM(AF34*$Z$4)</f>
        <v>2330</v>
      </c>
      <c r="AH34" s="203">
        <f t="shared" si="63"/>
        <v>233</v>
      </c>
      <c r="AI34" s="203">
        <f>SUM(AH34*$Z$4)</f>
        <v>2330</v>
      </c>
      <c r="AJ34" s="203">
        <f t="shared" si="64"/>
        <v>233</v>
      </c>
      <c r="AK34" s="203">
        <f>SUM(AJ34*$Z$4)</f>
        <v>2330</v>
      </c>
      <c r="AL34" s="203">
        <f t="shared" si="65"/>
        <v>233</v>
      </c>
      <c r="AM34" s="203">
        <f>SUM(AL34*$Z$4)</f>
        <v>2330</v>
      </c>
      <c r="AN34" s="35">
        <f t="shared" si="66"/>
        <v>0.83214285714285718</v>
      </c>
      <c r="AO34" s="36">
        <f t="shared" si="67"/>
        <v>16310</v>
      </c>
      <c r="AQ34" s="223">
        <f>SUM(AR34/92970)</f>
        <v>0.75077010620838502</v>
      </c>
      <c r="AR34" s="38">
        <f t="shared" si="38"/>
        <v>69799.09677419356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226</v>
      </c>
      <c r="C35" s="203">
        <f>B35*$B$4</f>
        <v>4862.6451612903229</v>
      </c>
      <c r="D35">
        <f t="shared" si="48"/>
        <v>226</v>
      </c>
      <c r="E35" s="203">
        <f>D35*$B$4</f>
        <v>4862.6451612903229</v>
      </c>
      <c r="F35">
        <f t="shared" si="49"/>
        <v>226</v>
      </c>
      <c r="G35" s="203">
        <f>F35*$B$4</f>
        <v>4862.6451612903229</v>
      </c>
      <c r="H35" s="203">
        <f t="shared" si="50"/>
        <v>226</v>
      </c>
      <c r="I35" s="203">
        <f>H35*$B$4</f>
        <v>4862.6451612903229</v>
      </c>
      <c r="J35" s="203">
        <f t="shared" si="51"/>
        <v>226</v>
      </c>
      <c r="K35" s="203">
        <f>J35*$B$4</f>
        <v>4862.6451612903229</v>
      </c>
      <c r="L35" s="203">
        <f t="shared" si="52"/>
        <v>226</v>
      </c>
      <c r="M35" s="203">
        <f>L35*$B$4</f>
        <v>4862.6451612903229</v>
      </c>
      <c r="N35" s="203">
        <f t="shared" si="53"/>
        <v>226</v>
      </c>
      <c r="O35" s="203">
        <f>N35*$B$4</f>
        <v>4862.6451612903229</v>
      </c>
      <c r="P35" s="203">
        <f t="shared" si="54"/>
        <v>226</v>
      </c>
      <c r="Q35" s="203">
        <f>P35*$B$4</f>
        <v>4862.6451612903229</v>
      </c>
      <c r="R35" s="203">
        <f t="shared" si="55"/>
        <v>226</v>
      </c>
      <c r="S35" s="203">
        <f>R35*$B$4</f>
        <v>4862.6451612903229</v>
      </c>
      <c r="T35" s="203">
        <f t="shared" si="56"/>
        <v>226</v>
      </c>
      <c r="U35" s="203">
        <f>T35*$B$4</f>
        <v>4862.6451612903229</v>
      </c>
      <c r="V35" s="203">
        <f t="shared" si="57"/>
        <v>226</v>
      </c>
      <c r="W35" s="203">
        <f>V35*$B$4</f>
        <v>4862.6451612903229</v>
      </c>
      <c r="X35" s="35">
        <f t="shared" si="58"/>
        <v>0.72903225806451633</v>
      </c>
      <c r="Y35" s="36">
        <f t="shared" si="59"/>
        <v>53489.09677419356</v>
      </c>
      <c r="Z35" s="203">
        <f>'B5'!C34</f>
        <v>233</v>
      </c>
      <c r="AA35" s="203">
        <f>SUM(Z35*$Z$4)</f>
        <v>2330</v>
      </c>
      <c r="AB35" s="203">
        <f t="shared" si="60"/>
        <v>233</v>
      </c>
      <c r="AC35" s="203">
        <f>SUM(AB35*$Z$4)</f>
        <v>2330</v>
      </c>
      <c r="AD35" s="203">
        <f t="shared" si="61"/>
        <v>233</v>
      </c>
      <c r="AE35" s="203">
        <f>SUM(AD35*$Z$4)</f>
        <v>2330</v>
      </c>
      <c r="AF35" s="203">
        <f t="shared" si="62"/>
        <v>233</v>
      </c>
      <c r="AG35" s="203">
        <f>SUM(AF35*$Z$4)</f>
        <v>2330</v>
      </c>
      <c r="AH35" s="203">
        <f t="shared" si="63"/>
        <v>233</v>
      </c>
      <c r="AI35" s="203">
        <f>SUM(AH35*$Z$4)</f>
        <v>2330</v>
      </c>
      <c r="AJ35" s="203">
        <f t="shared" si="64"/>
        <v>233</v>
      </c>
      <c r="AK35" s="203">
        <f>SUM(AJ35*$Z$4)</f>
        <v>2330</v>
      </c>
      <c r="AL35" s="203">
        <f t="shared" si="65"/>
        <v>233</v>
      </c>
      <c r="AM35" s="203">
        <f>SUM(AL35*$Z$4)</f>
        <v>2330</v>
      </c>
      <c r="AN35" s="35">
        <f t="shared" si="66"/>
        <v>0.83214285714285718</v>
      </c>
      <c r="AO35" s="36">
        <f t="shared" si="67"/>
        <v>16310</v>
      </c>
      <c r="AQ35" s="223">
        <f>SUM(AR35/92970)</f>
        <v>0.75077010620838502</v>
      </c>
      <c r="AR35" s="38">
        <f t="shared" si="38"/>
        <v>69799.09677419356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226</v>
      </c>
      <c r="C36" s="203">
        <f>B36*$B$4</f>
        <v>4862.6451612903229</v>
      </c>
      <c r="D36">
        <f t="shared" ref="D36" si="68">SUM(B36)</f>
        <v>226</v>
      </c>
      <c r="E36" s="203">
        <f>D36*$B$4</f>
        <v>4862.6451612903229</v>
      </c>
      <c r="F36">
        <f t="shared" ref="F36" si="69">SUM(D36)</f>
        <v>226</v>
      </c>
      <c r="G36" s="203">
        <f>F36*$B$4</f>
        <v>4862.6451612903229</v>
      </c>
      <c r="H36" s="203">
        <f t="shared" ref="H36" si="70">SUM(F36)</f>
        <v>226</v>
      </c>
      <c r="I36" s="203">
        <f>H36*$B$4</f>
        <v>4862.6451612903229</v>
      </c>
      <c r="J36" s="203">
        <f t="shared" ref="J36" si="71">SUM(H36)</f>
        <v>226</v>
      </c>
      <c r="K36" s="203">
        <f>J36*$B$4</f>
        <v>4862.6451612903229</v>
      </c>
      <c r="L36" s="203">
        <f t="shared" ref="L36" si="72">SUM(J36)</f>
        <v>226</v>
      </c>
      <c r="M36" s="203">
        <f>L36*$B$4</f>
        <v>4862.6451612903229</v>
      </c>
      <c r="N36" s="203">
        <f t="shared" ref="N36" si="73">SUM(L36)</f>
        <v>226</v>
      </c>
      <c r="O36" s="203">
        <f>N36*$B$4</f>
        <v>4862.6451612903229</v>
      </c>
      <c r="P36" s="203">
        <f t="shared" ref="P36" si="74">SUM(N36)</f>
        <v>226</v>
      </c>
      <c r="Q36" s="203">
        <f>P36*$B$4</f>
        <v>4862.6451612903229</v>
      </c>
      <c r="R36" s="203">
        <f t="shared" ref="R36" si="75">SUM(P36)</f>
        <v>226</v>
      </c>
      <c r="S36" s="203">
        <f>R36*$B$4</f>
        <v>4862.6451612903229</v>
      </c>
      <c r="T36" s="203">
        <f t="shared" ref="T36" si="76">SUM(R36)</f>
        <v>226</v>
      </c>
      <c r="U36" s="203">
        <f>T36*$B$4</f>
        <v>4862.6451612903229</v>
      </c>
      <c r="V36" s="203">
        <f t="shared" ref="V36" si="77">SUM(T36)</f>
        <v>226</v>
      </c>
      <c r="W36" s="203">
        <f>V36*$B$4</f>
        <v>4862.6451612903229</v>
      </c>
      <c r="X36" s="35">
        <f t="shared" ref="X36" si="78">SUM(Y36/73370)</f>
        <v>0.72903225806451633</v>
      </c>
      <c r="Y36" s="36">
        <f t="shared" ref="Y36" si="79">SUM(C36+E36+G36+I36+K36+M36+O36+Q36+S36+U36+W36)</f>
        <v>53489.09677419356</v>
      </c>
      <c r="Z36" s="203">
        <f>'B5'!C35</f>
        <v>233</v>
      </c>
      <c r="AA36" s="203">
        <f>SUM(Z36*$Z$4)</f>
        <v>2330</v>
      </c>
      <c r="AB36" s="203">
        <f t="shared" ref="AB36" si="80">SUM(Z36)</f>
        <v>233</v>
      </c>
      <c r="AC36" s="203">
        <f>SUM(AB36*$Z$4)</f>
        <v>2330</v>
      </c>
      <c r="AD36" s="203">
        <f t="shared" ref="AD36" si="81">SUM(AB36)</f>
        <v>233</v>
      </c>
      <c r="AE36" s="203">
        <f>SUM(AD36*$Z$4)</f>
        <v>2330</v>
      </c>
      <c r="AF36" s="203">
        <f t="shared" ref="AF36" si="82">SUM(AD36)</f>
        <v>233</v>
      </c>
      <c r="AG36" s="203">
        <f>SUM(AF36*$Z$4)</f>
        <v>2330</v>
      </c>
      <c r="AH36" s="203">
        <f t="shared" ref="AH36" si="83">SUM(AF36)</f>
        <v>233</v>
      </c>
      <c r="AI36" s="203">
        <f>SUM(AH36*$Z$4)</f>
        <v>2330</v>
      </c>
      <c r="AJ36" s="203">
        <f t="shared" ref="AJ36" si="84">SUM(AH36)</f>
        <v>233</v>
      </c>
      <c r="AK36" s="203">
        <f>SUM(AJ36*$Z$4)</f>
        <v>2330</v>
      </c>
      <c r="AL36" s="203">
        <f t="shared" ref="AL36" si="85">SUM(AJ36)</f>
        <v>233</v>
      </c>
      <c r="AM36" s="203">
        <f>SUM(AL36*$Z$4)</f>
        <v>2330</v>
      </c>
      <c r="AN36" s="35">
        <f t="shared" ref="AN36" si="86">SUM(AO36/19600)</f>
        <v>0.83214285714285718</v>
      </c>
      <c r="AO36" s="36">
        <f t="shared" ref="AO36" si="87">SUM(AA36+AC36+AE36+AG36+AI36+AK36+AM36)</f>
        <v>16310</v>
      </c>
      <c r="AQ36" s="223">
        <f>SUM(AR36/92970)</f>
        <v>0.75077010620838502</v>
      </c>
      <c r="AR36" s="38">
        <f t="shared" si="38"/>
        <v>69799.09677419356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-16774.354838709682</v>
      </c>
      <c r="AY37" s="203">
        <f>SUM(AY6:AY36)</f>
        <v>-20397.354838709682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-2913.9078341013833</v>
      </c>
      <c r="AT40" s="203"/>
    </row>
    <row r="41" spans="1:63">
      <c r="AX41">
        <v>43309</v>
      </c>
    </row>
    <row r="42" spans="1:63">
      <c r="AR42" s="203">
        <f>AR36-22000</f>
        <v>47799.09677419356</v>
      </c>
      <c r="AU42" s="203"/>
      <c r="AX42">
        <f>AX37/AX41</f>
        <v>-0.38731799022627356</v>
      </c>
    </row>
    <row r="43" spans="1:63">
      <c r="AR43">
        <f>AR42/5500</f>
        <v>8.6907448680351926</v>
      </c>
    </row>
    <row r="44" spans="1:63">
      <c r="AR44">
        <f>AR43*2</f>
        <v>17.381489736070385</v>
      </c>
    </row>
    <row r="45" spans="1:63">
      <c r="AR45" s="203"/>
    </row>
    <row r="46" spans="1:63">
      <c r="AT46" s="618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20" sqref="K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4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5"/>
      <c r="AC4" s="666"/>
    </row>
    <row r="5" spans="1:32" ht="20.100000000000001" customHeight="1">
      <c r="A5" s="163">
        <f>ELEC!C5</f>
        <v>44563</v>
      </c>
      <c r="B5" s="619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19">
        <f t="shared" ref="F5:F34" si="8">F4</f>
        <v>160089</v>
      </c>
      <c r="G5" s="160">
        <f t="shared" si="1"/>
        <v>0</v>
      </c>
      <c r="H5" s="619">
        <f t="shared" ref="H5:H34" si="9">H4</f>
        <v>546590</v>
      </c>
      <c r="I5" s="161">
        <f t="shared" si="2"/>
        <v>0</v>
      </c>
      <c r="J5" s="619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9"/>
      <c r="W5" s="660"/>
      <c r="X5" s="660"/>
      <c r="Y5" s="661"/>
      <c r="Z5" s="26" t="s">
        <v>202</v>
      </c>
      <c r="AA5" s="26">
        <v>5000</v>
      </c>
      <c r="AB5" s="667"/>
      <c r="AC5" s="668"/>
    </row>
    <row r="6" spans="1:32" ht="20.100000000000001" customHeight="1">
      <c r="A6" s="163">
        <f>ELEC!C6</f>
        <v>44564</v>
      </c>
      <c r="B6" s="619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19">
        <f t="shared" si="8"/>
        <v>160089</v>
      </c>
      <c r="G6" s="160">
        <f t="shared" si="1"/>
        <v>0</v>
      </c>
      <c r="H6" s="619">
        <f t="shared" si="9"/>
        <v>546590</v>
      </c>
      <c r="I6" s="161">
        <f t="shared" si="2"/>
        <v>0</v>
      </c>
      <c r="J6" s="619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62"/>
      <c r="W6" s="663"/>
      <c r="X6" s="663"/>
      <c r="Y6" s="664"/>
      <c r="Z6" s="671"/>
      <c r="AA6" s="672"/>
      <c r="AB6" s="667"/>
      <c r="AC6" s="668"/>
    </row>
    <row r="7" spans="1:32" ht="20.100000000000001" customHeight="1">
      <c r="A7" s="163">
        <f>ELEC!C7</f>
        <v>44565</v>
      </c>
      <c r="B7" s="619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19">
        <v>160135</v>
      </c>
      <c r="G7" s="160">
        <f t="shared" si="1"/>
        <v>46</v>
      </c>
      <c r="H7" s="619">
        <v>546834</v>
      </c>
      <c r="I7" s="161">
        <f t="shared" si="2"/>
        <v>244</v>
      </c>
      <c r="J7" s="619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54" t="s">
        <v>203</v>
      </c>
      <c r="W7" s="655"/>
      <c r="X7" s="656" t="s">
        <v>204</v>
      </c>
      <c r="Y7" s="657"/>
      <c r="Z7" s="658"/>
      <c r="AA7" s="170"/>
      <c r="AB7" s="669"/>
      <c r="AC7" s="670"/>
    </row>
    <row r="8" spans="1:32" ht="20.100000000000001" customHeight="1">
      <c r="A8" s="163">
        <f>ELEC!C8</f>
        <v>44566</v>
      </c>
      <c r="B8" s="619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19">
        <f t="shared" si="8"/>
        <v>160135</v>
      </c>
      <c r="G8" s="160">
        <f t="shared" si="1"/>
        <v>0</v>
      </c>
      <c r="H8" s="619">
        <f t="shared" si="9"/>
        <v>546834</v>
      </c>
      <c r="I8" s="161">
        <f t="shared" si="2"/>
        <v>0</v>
      </c>
      <c r="J8" s="619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19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19">
        <v>160188</v>
      </c>
      <c r="G9" s="160">
        <f t="shared" si="1"/>
        <v>53</v>
      </c>
      <c r="H9" s="619">
        <v>547002</v>
      </c>
      <c r="I9" s="161">
        <f t="shared" si="2"/>
        <v>168</v>
      </c>
      <c r="J9" s="619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19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19">
        <f t="shared" si="8"/>
        <v>160188</v>
      </c>
      <c r="G10" s="160">
        <f t="shared" si="1"/>
        <v>0</v>
      </c>
      <c r="H10" s="619">
        <f t="shared" si="9"/>
        <v>547002</v>
      </c>
      <c r="I10" s="161">
        <f t="shared" si="2"/>
        <v>0</v>
      </c>
      <c r="J10" s="619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19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19">
        <f t="shared" si="8"/>
        <v>160188</v>
      </c>
      <c r="G11" s="160">
        <f t="shared" si="1"/>
        <v>0</v>
      </c>
      <c r="H11" s="619">
        <f t="shared" si="9"/>
        <v>547002</v>
      </c>
      <c r="I11" s="161">
        <f t="shared" si="2"/>
        <v>0</v>
      </c>
      <c r="J11" s="619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19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19">
        <f t="shared" si="8"/>
        <v>160188</v>
      </c>
      <c r="G12" s="160">
        <f t="shared" si="1"/>
        <v>0</v>
      </c>
      <c r="H12" s="619">
        <f t="shared" si="9"/>
        <v>547002</v>
      </c>
      <c r="I12" s="161">
        <f t="shared" si="2"/>
        <v>0</v>
      </c>
      <c r="J12" s="619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19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1">
        <f t="shared" si="8"/>
        <v>160188</v>
      </c>
      <c r="G13" s="160">
        <f t="shared" si="1"/>
        <v>0</v>
      </c>
      <c r="H13" s="619">
        <v>547283</v>
      </c>
      <c r="I13" s="161">
        <f t="shared" si="2"/>
        <v>281</v>
      </c>
      <c r="J13" s="619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19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1">
        <f t="shared" si="8"/>
        <v>160188</v>
      </c>
      <c r="G14" s="160">
        <f t="shared" si="1"/>
        <v>0</v>
      </c>
      <c r="H14" s="619">
        <f t="shared" si="9"/>
        <v>547283</v>
      </c>
      <c r="I14" s="161">
        <f t="shared" si="2"/>
        <v>0</v>
      </c>
      <c r="J14" s="619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19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19">
        <f t="shared" si="8"/>
        <v>160188</v>
      </c>
      <c r="G15" s="160">
        <f t="shared" si="1"/>
        <v>0</v>
      </c>
      <c r="H15" s="619">
        <f t="shared" si="9"/>
        <v>547283</v>
      </c>
      <c r="I15" s="161">
        <f t="shared" si="2"/>
        <v>0</v>
      </c>
      <c r="J15" s="619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1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19">
        <v>160188</v>
      </c>
      <c r="G16" s="160">
        <f t="shared" si="1"/>
        <v>0</v>
      </c>
      <c r="H16" s="619">
        <f t="shared" si="9"/>
        <v>547283</v>
      </c>
      <c r="I16" s="161">
        <f t="shared" si="2"/>
        <v>0</v>
      </c>
      <c r="J16" s="619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2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19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19">
        <f t="shared" si="8"/>
        <v>160188</v>
      </c>
      <c r="G17" s="160">
        <f>F17-F16</f>
        <v>0</v>
      </c>
      <c r="H17" s="619">
        <v>547625</v>
      </c>
      <c r="I17" s="161">
        <f t="shared" si="2"/>
        <v>342</v>
      </c>
      <c r="J17" s="619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19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19">
        <f t="shared" si="8"/>
        <v>160188</v>
      </c>
      <c r="G18" s="160">
        <f t="shared" si="1"/>
        <v>0</v>
      </c>
      <c r="H18" s="619">
        <f t="shared" si="9"/>
        <v>547625</v>
      </c>
      <c r="I18" s="161">
        <f t="shared" si="2"/>
        <v>0</v>
      </c>
      <c r="J18" s="619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19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19">
        <v>160188</v>
      </c>
      <c r="G19" s="160">
        <f t="shared" si="1"/>
        <v>0</v>
      </c>
      <c r="H19" s="619">
        <v>547655</v>
      </c>
      <c r="I19" s="161">
        <f t="shared" si="2"/>
        <v>30</v>
      </c>
      <c r="J19" s="619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19">
        <v>1108406</v>
      </c>
      <c r="C20" s="254">
        <f t="shared" si="0"/>
        <v>195</v>
      </c>
      <c r="D20" s="295">
        <f t="shared" si="14"/>
        <v>195</v>
      </c>
      <c r="E20" s="295">
        <v>160188</v>
      </c>
      <c r="F20" s="619">
        <f t="shared" si="8"/>
        <v>160188</v>
      </c>
      <c r="G20" s="160">
        <f t="shared" si="1"/>
        <v>0</v>
      </c>
      <c r="H20" s="619">
        <v>547767</v>
      </c>
      <c r="I20" s="161">
        <f t="shared" si="2"/>
        <v>112</v>
      </c>
      <c r="J20" s="619">
        <v>400450</v>
      </c>
      <c r="K20" s="162">
        <f t="shared" si="11"/>
        <v>83</v>
      </c>
      <c r="L20" s="284">
        <f t="shared" si="17"/>
        <v>0</v>
      </c>
      <c r="M20" s="284">
        <f t="shared" si="18"/>
        <v>8.3210613598673309</v>
      </c>
      <c r="N20" s="284">
        <f t="shared" si="19"/>
        <v>4.4046434494195692</v>
      </c>
      <c r="O20" s="284">
        <f t="shared" si="6"/>
        <v>154.80303857058792</v>
      </c>
      <c r="P20" s="285">
        <f t="shared" si="12"/>
        <v>167.52874337987481</v>
      </c>
      <c r="Q20" s="285">
        <f>SUM(-tanks!AX22*tanks!$AU$37)</f>
        <v>921.73064516127999</v>
      </c>
      <c r="R20" s="285">
        <f t="shared" si="13"/>
        <v>1089.2593885411547</v>
      </c>
      <c r="S20" s="287">
        <f>SUM(ELEC!N20)</f>
        <v>4648</v>
      </c>
      <c r="T20" s="321">
        <f t="shared" si="16"/>
        <v>0.23435012662245153</v>
      </c>
      <c r="AB20" s="527"/>
    </row>
    <row r="21" spans="1:32" ht="20.100000000000001" customHeight="1">
      <c r="A21" s="163">
        <f>ELEC!C21</f>
        <v>44579</v>
      </c>
      <c r="B21" s="619">
        <f t="shared" si="7"/>
        <v>1108406</v>
      </c>
      <c r="C21" s="254">
        <f t="shared" si="0"/>
        <v>0</v>
      </c>
      <c r="D21" s="295">
        <f t="shared" si="14"/>
        <v>0</v>
      </c>
      <c r="E21" s="295">
        <f t="shared" si="15"/>
        <v>1108406</v>
      </c>
      <c r="F21" s="619">
        <f t="shared" si="8"/>
        <v>160188</v>
      </c>
      <c r="G21" s="160">
        <f t="shared" si="1"/>
        <v>0</v>
      </c>
      <c r="H21" s="619">
        <f t="shared" si="9"/>
        <v>547767</v>
      </c>
      <c r="I21" s="161">
        <f t="shared" si="2"/>
        <v>0</v>
      </c>
      <c r="J21" s="619">
        <f t="shared" si="10"/>
        <v>400450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1239.4741935483978</v>
      </c>
      <c r="R21" s="285">
        <f t="shared" si="13"/>
        <v>1394.2772321189857</v>
      </c>
      <c r="S21" s="287">
        <f>SUM(ELEC!N21)</f>
        <v>5885</v>
      </c>
      <c r="T21" s="321">
        <f t="shared" si="16"/>
        <v>0.23692051522837479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5"/>
      <c r="AC21" s="666"/>
    </row>
    <row r="22" spans="1:32" ht="20.100000000000001" customHeight="1">
      <c r="A22" s="163">
        <f>ELEC!C22</f>
        <v>44580</v>
      </c>
      <c r="B22" s="619">
        <f t="shared" si="7"/>
        <v>1108406</v>
      </c>
      <c r="C22" s="254">
        <f t="shared" si="0"/>
        <v>0</v>
      </c>
      <c r="D22" s="295">
        <f t="shared" si="14"/>
        <v>0</v>
      </c>
      <c r="E22" s="295">
        <f t="shared" si="15"/>
        <v>1108406</v>
      </c>
      <c r="F22" s="619">
        <f t="shared" si="8"/>
        <v>160188</v>
      </c>
      <c r="G22" s="160">
        <f t="shared" si="1"/>
        <v>0</v>
      </c>
      <c r="H22" s="619">
        <f t="shared" si="9"/>
        <v>547767</v>
      </c>
      <c r="I22" s="161">
        <f t="shared" si="2"/>
        <v>0</v>
      </c>
      <c r="J22" s="619">
        <f t="shared" si="10"/>
        <v>400450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1334.4009677419247</v>
      </c>
      <c r="R22" s="285">
        <f t="shared" si="13"/>
        <v>1489.2040063125125</v>
      </c>
      <c r="S22" s="287">
        <f>SUM(ELEC!N22)</f>
        <v>5677</v>
      </c>
      <c r="T22" s="321">
        <f t="shared" si="16"/>
        <v>0.26232235446759072</v>
      </c>
      <c r="V22" s="659"/>
      <c r="W22" s="660"/>
      <c r="X22" s="660"/>
      <c r="Y22" s="661"/>
      <c r="Z22" s="26" t="s">
        <v>202</v>
      </c>
      <c r="AA22" s="26">
        <v>5000</v>
      </c>
      <c r="AB22" s="667"/>
      <c r="AC22" s="668"/>
    </row>
    <row r="23" spans="1:32" ht="20.100000000000001" customHeight="1">
      <c r="A23" s="163">
        <f>ELEC!C23</f>
        <v>44581</v>
      </c>
      <c r="B23" s="619">
        <f t="shared" si="7"/>
        <v>1108406</v>
      </c>
      <c r="C23" s="254">
        <f t="shared" si="0"/>
        <v>0</v>
      </c>
      <c r="D23" s="295">
        <f t="shared" si="14"/>
        <v>0</v>
      </c>
      <c r="E23" s="295">
        <f t="shared" si="15"/>
        <v>1108406</v>
      </c>
      <c r="F23" s="619">
        <f t="shared" si="8"/>
        <v>160188</v>
      </c>
      <c r="G23" s="160">
        <f t="shared" si="1"/>
        <v>0</v>
      </c>
      <c r="H23" s="619">
        <f t="shared" si="9"/>
        <v>547767</v>
      </c>
      <c r="I23" s="161">
        <f t="shared" si="2"/>
        <v>0</v>
      </c>
      <c r="J23" s="619">
        <f t="shared" si="10"/>
        <v>400450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2"/>
      <c r="W23" s="663"/>
      <c r="X23" s="663"/>
      <c r="Y23" s="664"/>
      <c r="Z23" s="671"/>
      <c r="AA23" s="672"/>
      <c r="AB23" s="667"/>
      <c r="AC23" s="668"/>
    </row>
    <row r="24" spans="1:32" ht="20.100000000000001" customHeight="1">
      <c r="A24" s="163">
        <f>ELEC!C24</f>
        <v>44582</v>
      </c>
      <c r="B24" s="619">
        <f t="shared" si="7"/>
        <v>1108406</v>
      </c>
      <c r="C24" s="254">
        <f t="shared" si="0"/>
        <v>0</v>
      </c>
      <c r="D24" s="295">
        <f t="shared" si="14"/>
        <v>0</v>
      </c>
      <c r="E24" s="295">
        <f t="shared" si="15"/>
        <v>1108406</v>
      </c>
      <c r="F24" s="619">
        <f t="shared" si="8"/>
        <v>160188</v>
      </c>
      <c r="G24" s="160">
        <f t="shared" si="1"/>
        <v>0</v>
      </c>
      <c r="H24" s="619">
        <f t="shared" si="9"/>
        <v>547767</v>
      </c>
      <c r="I24" s="161">
        <f t="shared" si="2"/>
        <v>0</v>
      </c>
      <c r="J24" s="619">
        <f t="shared" si="10"/>
        <v>400450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4" t="s">
        <v>203</v>
      </c>
      <c r="W24" s="655"/>
      <c r="X24" s="656" t="s">
        <v>204</v>
      </c>
      <c r="Y24" s="657"/>
      <c r="Z24" s="658"/>
      <c r="AA24" s="170"/>
      <c r="AB24" s="669"/>
      <c r="AC24" s="670"/>
    </row>
    <row r="25" spans="1:32" ht="20.100000000000001" customHeight="1">
      <c r="A25" s="163">
        <f>ELEC!C25</f>
        <v>44583</v>
      </c>
      <c r="B25" s="619">
        <f t="shared" si="7"/>
        <v>1108406</v>
      </c>
      <c r="C25" s="254">
        <f t="shared" si="0"/>
        <v>0</v>
      </c>
      <c r="D25" s="295">
        <f t="shared" si="14"/>
        <v>0</v>
      </c>
      <c r="E25" s="295">
        <f t="shared" si="15"/>
        <v>1108406</v>
      </c>
      <c r="F25" s="619">
        <f t="shared" si="8"/>
        <v>160188</v>
      </c>
      <c r="G25" s="160">
        <f t="shared" si="1"/>
        <v>0</v>
      </c>
      <c r="H25" s="619">
        <f t="shared" si="9"/>
        <v>547767</v>
      </c>
      <c r="I25" s="161">
        <f t="shared" si="2"/>
        <v>0</v>
      </c>
      <c r="J25" s="619">
        <f t="shared" si="10"/>
        <v>400450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19">
        <f t="shared" si="7"/>
        <v>1108406</v>
      </c>
      <c r="C26" s="254">
        <f t="shared" si="0"/>
        <v>0</v>
      </c>
      <c r="D26" s="295">
        <f t="shared" si="14"/>
        <v>0</v>
      </c>
      <c r="E26" s="295">
        <f t="shared" si="15"/>
        <v>1108406</v>
      </c>
      <c r="F26" s="619">
        <f t="shared" si="8"/>
        <v>160188</v>
      </c>
      <c r="G26" s="160">
        <f t="shared" si="1"/>
        <v>0</v>
      </c>
      <c r="H26" s="619">
        <f t="shared" si="9"/>
        <v>547767</v>
      </c>
      <c r="I26" s="161">
        <f t="shared" si="2"/>
        <v>0</v>
      </c>
      <c r="J26" s="619">
        <f t="shared" si="10"/>
        <v>400450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400225</v>
      </c>
      <c r="W26" s="170">
        <f>J34</f>
        <v>400450</v>
      </c>
      <c r="X26" s="172" t="s">
        <v>199</v>
      </c>
      <c r="Y26" s="172">
        <v>80</v>
      </c>
      <c r="Z26" s="172">
        <v>1</v>
      </c>
      <c r="AA26" s="323">
        <f>(W26-V26)*Z26</f>
        <v>225</v>
      </c>
      <c r="AB26" s="323">
        <f>AA26*Y26</f>
        <v>18000</v>
      </c>
      <c r="AC26" s="244">
        <f>AC9</f>
        <v>1033333</v>
      </c>
      <c r="AD26" s="476">
        <f>SUM(K36)</f>
        <v>0.14990006662225186</v>
      </c>
    </row>
    <row r="27" spans="1:32" ht="20.100000000000001" customHeight="1">
      <c r="A27" s="163">
        <f>ELEC!C27</f>
        <v>44585</v>
      </c>
      <c r="B27" s="619">
        <f t="shared" si="7"/>
        <v>1108406</v>
      </c>
      <c r="C27" s="254">
        <f t="shared" si="0"/>
        <v>0</v>
      </c>
      <c r="D27" s="295">
        <f t="shared" si="14"/>
        <v>0</v>
      </c>
      <c r="E27" s="295">
        <f t="shared" si="15"/>
        <v>1108406</v>
      </c>
      <c r="F27" s="619">
        <f t="shared" si="8"/>
        <v>160188</v>
      </c>
      <c r="G27" s="160">
        <f t="shared" si="1"/>
        <v>0</v>
      </c>
      <c r="H27" s="619">
        <f t="shared" si="9"/>
        <v>547767</v>
      </c>
      <c r="I27" s="161">
        <f t="shared" si="2"/>
        <v>0</v>
      </c>
      <c r="J27" s="619">
        <f t="shared" si="10"/>
        <v>400450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546590</v>
      </c>
      <c r="W27" s="170">
        <f>H34</f>
        <v>547767</v>
      </c>
      <c r="X27" s="172" t="s">
        <v>212</v>
      </c>
      <c r="Y27" s="172">
        <v>112</v>
      </c>
      <c r="Z27" s="172">
        <v>1</v>
      </c>
      <c r="AA27" s="323">
        <f>(W27-V27)*Z27</f>
        <v>1177</v>
      </c>
      <c r="AB27" s="323">
        <f>SUM(AA27*Y27)</f>
        <v>131824</v>
      </c>
      <c r="AC27" s="244">
        <f>AC10</f>
        <v>6200000</v>
      </c>
      <c r="AD27" s="476">
        <f>SUM(I36)</f>
        <v>0.7841439040639574</v>
      </c>
    </row>
    <row r="28" spans="1:32" ht="20.100000000000001" customHeight="1">
      <c r="A28" s="163">
        <f>ELEC!C28</f>
        <v>44586</v>
      </c>
      <c r="B28" s="619">
        <f t="shared" si="7"/>
        <v>1108406</v>
      </c>
      <c r="C28" s="254">
        <f t="shared" si="0"/>
        <v>0</v>
      </c>
      <c r="D28" s="295">
        <f t="shared" si="14"/>
        <v>0</v>
      </c>
      <c r="E28" s="295">
        <f>B27+D28</f>
        <v>1108406</v>
      </c>
      <c r="F28" s="619">
        <f t="shared" si="8"/>
        <v>160188</v>
      </c>
      <c r="G28" s="160">
        <f t="shared" si="1"/>
        <v>0</v>
      </c>
      <c r="H28" s="619">
        <f t="shared" si="9"/>
        <v>547767</v>
      </c>
      <c r="I28" s="161">
        <f t="shared" si="2"/>
        <v>0</v>
      </c>
      <c r="J28" s="619">
        <f t="shared" si="10"/>
        <v>400450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160089</v>
      </c>
      <c r="W28" s="170">
        <f>F34</f>
        <v>160188</v>
      </c>
      <c r="X28" s="172" t="s">
        <v>197</v>
      </c>
      <c r="Y28" s="172">
        <v>320</v>
      </c>
      <c r="Z28" s="172">
        <v>1</v>
      </c>
      <c r="AA28" s="323">
        <f>(W28-V28)*Z28</f>
        <v>99</v>
      </c>
      <c r="AB28" s="323">
        <f>SUM(AA28*Y28)</f>
        <v>31680</v>
      </c>
      <c r="AC28" s="244">
        <f>AC11</f>
        <v>1000</v>
      </c>
      <c r="AD28" s="476">
        <f>SUM(G36)</f>
        <v>6.5956029313790812E-2</v>
      </c>
      <c r="AE28" s="40">
        <f>SUM(AB28*5%)</f>
        <v>1584</v>
      </c>
      <c r="AF28" s="82">
        <f>SUM(AE28/7)*31</f>
        <v>7014.8571428571422</v>
      </c>
    </row>
    <row r="29" spans="1:32" ht="20.100000000000001" customHeight="1">
      <c r="A29" s="163">
        <f>ELEC!C29</f>
        <v>44587</v>
      </c>
      <c r="B29" s="619">
        <f t="shared" si="7"/>
        <v>1108406</v>
      </c>
      <c r="C29" s="254">
        <f t="shared" si="0"/>
        <v>0</v>
      </c>
      <c r="D29" s="295">
        <f t="shared" si="14"/>
        <v>0</v>
      </c>
      <c r="E29" s="295">
        <f>B28+D29</f>
        <v>1108406</v>
      </c>
      <c r="F29" s="619">
        <f t="shared" si="8"/>
        <v>160188</v>
      </c>
      <c r="G29" s="160">
        <f t="shared" si="1"/>
        <v>0</v>
      </c>
      <c r="H29" s="619">
        <f t="shared" si="9"/>
        <v>547767</v>
      </c>
      <c r="I29" s="161">
        <f t="shared" si="2"/>
        <v>0</v>
      </c>
      <c r="J29" s="619">
        <f t="shared" si="10"/>
        <v>400450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1501</v>
      </c>
      <c r="AB29" s="323">
        <f>SUM(AB26:AB28)</f>
        <v>181504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19">
        <f t="shared" si="7"/>
        <v>1108406</v>
      </c>
      <c r="C30" s="254">
        <f t="shared" si="0"/>
        <v>0</v>
      </c>
      <c r="D30" s="295">
        <f t="shared" si="14"/>
        <v>0</v>
      </c>
      <c r="E30" s="295">
        <f t="shared" si="15"/>
        <v>1108406</v>
      </c>
      <c r="F30" s="619">
        <f t="shared" si="8"/>
        <v>160188</v>
      </c>
      <c r="G30" s="160">
        <f t="shared" si="1"/>
        <v>0</v>
      </c>
      <c r="H30" s="619">
        <f t="shared" si="9"/>
        <v>547767</v>
      </c>
      <c r="I30" s="161">
        <f t="shared" si="2"/>
        <v>0</v>
      </c>
      <c r="J30" s="619">
        <f t="shared" si="10"/>
        <v>400450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7415837</v>
      </c>
      <c r="AC30" s="244"/>
    </row>
    <row r="31" spans="1:32" ht="20.100000000000001" customHeight="1">
      <c r="A31" s="163">
        <f>ELEC!C31</f>
        <v>44589</v>
      </c>
      <c r="B31" s="619">
        <f t="shared" si="7"/>
        <v>1108406</v>
      </c>
      <c r="C31" s="254">
        <f>SUM(B31-B30)</f>
        <v>0</v>
      </c>
      <c r="D31" s="295">
        <f t="shared" si="14"/>
        <v>0</v>
      </c>
      <c r="E31" s="295">
        <f>B30+D31</f>
        <v>1108406</v>
      </c>
      <c r="F31" s="619">
        <f t="shared" si="8"/>
        <v>160188</v>
      </c>
      <c r="G31" s="160">
        <f>F31-F30</f>
        <v>0</v>
      </c>
      <c r="H31" s="619">
        <f t="shared" si="9"/>
        <v>547767</v>
      </c>
      <c r="I31" s="161">
        <f>H31-H30</f>
        <v>0</v>
      </c>
      <c r="J31" s="619">
        <f t="shared" si="10"/>
        <v>400450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19">
        <f t="shared" si="7"/>
        <v>1108406</v>
      </c>
      <c r="C32" s="254">
        <f>SUM(B32-B31)</f>
        <v>0</v>
      </c>
      <c r="D32" s="295">
        <f t="shared" si="14"/>
        <v>0</v>
      </c>
      <c r="E32" s="295">
        <f>B31+D32</f>
        <v>1108406</v>
      </c>
      <c r="F32" s="619">
        <f t="shared" si="8"/>
        <v>160188</v>
      </c>
      <c r="G32" s="160">
        <f>F32-F31</f>
        <v>0</v>
      </c>
      <c r="H32" s="619">
        <f t="shared" si="9"/>
        <v>547767</v>
      </c>
      <c r="I32" s="161">
        <f>H32-H31</f>
        <v>0</v>
      </c>
      <c r="J32" s="619">
        <f t="shared" si="10"/>
        <v>400450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114</v>
      </c>
      <c r="X32" s="222">
        <f>SUM(W32/A35)</f>
        <v>16.285714285714285</v>
      </c>
      <c r="Y32" s="250">
        <f>SUM(X32/1)</f>
        <v>16.285714285714285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19">
        <f t="shared" si="7"/>
        <v>1108406</v>
      </c>
      <c r="C33" s="254">
        <f>SUM(B33-B32)</f>
        <v>0</v>
      </c>
      <c r="D33" s="295">
        <f t="shared" si="14"/>
        <v>0</v>
      </c>
      <c r="E33" s="295">
        <f>B32+D33</f>
        <v>1108406</v>
      </c>
      <c r="F33" s="619">
        <f t="shared" si="8"/>
        <v>160188</v>
      </c>
      <c r="G33" s="160">
        <f>F33-F32</f>
        <v>0</v>
      </c>
      <c r="H33" s="619">
        <f t="shared" si="9"/>
        <v>547767</v>
      </c>
      <c r="I33" s="161">
        <f>H33-H32</f>
        <v>0</v>
      </c>
      <c r="J33" s="619">
        <f t="shared" si="10"/>
        <v>400450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815742.07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19">
        <f t="shared" si="7"/>
        <v>1108406</v>
      </c>
      <c r="C34" s="254">
        <f>SUM(B34-B33)</f>
        <v>0</v>
      </c>
      <c r="D34" s="295">
        <f t="shared" ref="D34" si="20">SUM(G34+I34+K34)</f>
        <v>0</v>
      </c>
      <c r="E34" s="295">
        <f>B33+D34</f>
        <v>1108406</v>
      </c>
      <c r="F34" s="619">
        <f t="shared" si="8"/>
        <v>160188</v>
      </c>
      <c r="G34" s="160">
        <f>F34-F33</f>
        <v>0</v>
      </c>
      <c r="H34" s="619">
        <f t="shared" si="9"/>
        <v>547767</v>
      </c>
      <c r="I34" s="161">
        <f>H34-H33</f>
        <v>0</v>
      </c>
      <c r="J34" s="619">
        <f t="shared" si="10"/>
        <v>400450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8231579.0700000003</v>
      </c>
      <c r="AC34" s="244">
        <f>SUM(AC30)</f>
        <v>0</v>
      </c>
    </row>
    <row r="35" spans="1:32" ht="15.75" thickBot="1">
      <c r="A35" s="501">
        <f>A37-COUNTIF(C4:C33,0)</f>
        <v>7</v>
      </c>
      <c r="C35" s="173">
        <f>SUM(C4:C34)/A35</f>
        <v>214.42857142857142</v>
      </c>
      <c r="D35" s="173"/>
      <c r="E35" s="173"/>
      <c r="F35" s="568"/>
      <c r="G35" s="568">
        <f>SUM(G4:G34)/A35</f>
        <v>14.142857142857142</v>
      </c>
      <c r="H35" s="173"/>
      <c r="I35" s="173">
        <f>SUM(I4:I34)/A35</f>
        <v>168.14285714285714</v>
      </c>
      <c r="K35" s="173">
        <f>SUM(K4:K34)/A35</f>
        <v>32.142857142857146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6.5956029313790812E-2</v>
      </c>
      <c r="H36" s="212"/>
      <c r="I36" s="225">
        <f>SUM(I35/C35)</f>
        <v>0.7841439040639574</v>
      </c>
      <c r="J36" s="212"/>
      <c r="K36" s="225">
        <f>SUM(K35/C35)</f>
        <v>0.14990006662225186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4919.2948590381429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4919.2948590381429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1"/>
      <c r="AC45" s="651"/>
      <c r="AD45" s="543"/>
      <c r="AE45" s="17"/>
      <c r="AF45" s="17"/>
    </row>
    <row r="46" spans="1:32">
      <c r="V46" s="651"/>
      <c r="W46" s="651"/>
      <c r="X46" s="651"/>
      <c r="Y46" s="651"/>
      <c r="Z46" s="508"/>
      <c r="AA46" s="508"/>
      <c r="AB46" s="651"/>
      <c r="AC46" s="651"/>
      <c r="AD46" s="543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3"/>
      <c r="AE47" s="17"/>
      <c r="AF47" s="17"/>
    </row>
    <row r="48" spans="1:32">
      <c r="V48" s="652"/>
      <c r="W48" s="652"/>
      <c r="X48" s="653"/>
      <c r="Y48" s="653"/>
      <c r="Z48" s="653"/>
      <c r="AA48" s="509"/>
      <c r="AB48" s="651"/>
      <c r="AC48" s="651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3" sqref="F2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>
        <v>12</v>
      </c>
      <c r="C21" s="37">
        <v>7</v>
      </c>
      <c r="D21" s="26">
        <f t="shared" si="3"/>
        <v>9.5</v>
      </c>
      <c r="E21" s="325">
        <v>0.33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>
        <v>15</v>
      </c>
      <c r="C22" s="37">
        <v>8</v>
      </c>
      <c r="D22" s="26">
        <f>(C22+B22)/2</f>
        <v>11.5</v>
      </c>
      <c r="E22" s="325">
        <v>0.44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>
        <v>14</v>
      </c>
      <c r="C23" s="37">
        <v>9</v>
      </c>
      <c r="D23" s="26">
        <f>(C23+B23)/2</f>
        <v>11.5</v>
      </c>
      <c r="E23" s="378">
        <v>0.65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22.857142857142858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-11.600000000000023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4648</v>
      </c>
      <c r="D18" s="3">
        <f t="shared" si="0"/>
        <v>104.00000000194996</v>
      </c>
      <c r="E18" s="3">
        <f>ELEC!Q20</f>
        <v>4543.99999999805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-19.600000000000037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5885</v>
      </c>
      <c r="D19" s="3">
        <f t="shared" si="0"/>
        <v>24.999999999417923</v>
      </c>
      <c r="E19" s="3">
        <f>ELEC!Q21</f>
        <v>5860.0000000005821</v>
      </c>
      <c r="F19" s="3">
        <f>GEN!Z19</f>
        <v>7</v>
      </c>
      <c r="G19" s="3">
        <f>WATER!C22+WATER!H22</f>
        <v>0</v>
      </c>
      <c r="H19" s="3">
        <f>WATER!L22</f>
        <v>0</v>
      </c>
      <c r="I19" s="15">
        <f>WATER!BC22+WATER!BD22+WATER!BE23-Sheet1!G19</f>
        <v>-24.399999999999991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5677</v>
      </c>
      <c r="D20" s="3">
        <f t="shared" si="0"/>
        <v>130.00000000133878</v>
      </c>
      <c r="E20" s="3">
        <f>ELEC!Q22</f>
        <v>5546.9999999986612</v>
      </c>
      <c r="F20" s="3">
        <f>GEN!Z20</f>
        <v>14</v>
      </c>
      <c r="G20" s="3">
        <f>WATER!C23+WATER!H23</f>
        <v>0</v>
      </c>
      <c r="H20" s="3">
        <f>WATER!L23</f>
        <v>4</v>
      </c>
      <c r="I20" s="15">
        <f>WATER!BC23+WATER!BD23+WATER!BE24-Sheet1!G20</f>
        <v>-25.099999999999966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-8.6999999999999886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2"/>
      <c r="B1" s="679" t="s">
        <v>119</v>
      </c>
      <c r="C1" s="679" t="s">
        <v>118</v>
      </c>
      <c r="D1" s="684" t="s">
        <v>113</v>
      </c>
      <c r="E1" s="684" t="s">
        <v>114</v>
      </c>
      <c r="F1" s="685" t="s">
        <v>120</v>
      </c>
      <c r="G1" s="686" t="s">
        <v>75</v>
      </c>
      <c r="H1" s="687" t="s">
        <v>115</v>
      </c>
      <c r="I1" s="688" t="s">
        <v>116</v>
      </c>
      <c r="J1" s="687" t="s">
        <v>117</v>
      </c>
      <c r="K1" s="681" t="s">
        <v>121</v>
      </c>
      <c r="L1" s="681" t="s">
        <v>122</v>
      </c>
      <c r="M1" s="681" t="s">
        <v>123</v>
      </c>
      <c r="N1" s="681" t="s">
        <v>124</v>
      </c>
    </row>
    <row r="2" spans="1:14">
      <c r="A2" s="683"/>
      <c r="B2" s="680"/>
      <c r="C2" s="680"/>
      <c r="D2" s="684"/>
      <c r="E2" s="684"/>
      <c r="F2" s="685"/>
      <c r="G2" s="686"/>
      <c r="H2" s="687"/>
      <c r="I2" s="689"/>
      <c r="J2" s="687"/>
      <c r="K2" s="681"/>
      <c r="L2" s="681"/>
      <c r="M2" s="681"/>
      <c r="N2" s="68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447</v>
      </c>
      <c r="C21" s="76">
        <f>'B5'!AH21</f>
        <v>0</v>
      </c>
      <c r="D21" s="76">
        <f>GEN!AI19</f>
        <v>1169.552742615532</v>
      </c>
      <c r="E21" s="239">
        <f t="shared" si="0"/>
        <v>1616.552742615532</v>
      </c>
      <c r="F21" s="75">
        <f>WATER!L21</f>
        <v>0</v>
      </c>
      <c r="G21" s="78">
        <f>WATER!BG21</f>
        <v>-11.600000000000023</v>
      </c>
      <c r="H21" s="79">
        <f>ELEC!AF20</f>
        <v>0</v>
      </c>
      <c r="I21" s="79">
        <f>ELEC!Q20</f>
        <v>4543.99999999805</v>
      </c>
      <c r="J21" s="79">
        <f>ELEC!R20</f>
        <v>104.00000000194996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416</v>
      </c>
      <c r="C22" s="76">
        <f>'B5'!AH22</f>
        <v>0</v>
      </c>
      <c r="D22" s="76">
        <f>GEN!AI20</f>
        <v>1508.2700421942427</v>
      </c>
      <c r="E22" s="239">
        <f t="shared" si="0"/>
        <v>1924.2700421942427</v>
      </c>
      <c r="F22" s="75">
        <f>WATER!L22</f>
        <v>0</v>
      </c>
      <c r="G22" s="78">
        <f>WATER!BG22</f>
        <v>-8.0000000000000142</v>
      </c>
      <c r="H22" s="79">
        <f>ELEC!AF21</f>
        <v>0</v>
      </c>
      <c r="I22" s="79">
        <f>ELEC!Q21</f>
        <v>5860.0000000005821</v>
      </c>
      <c r="J22" s="79">
        <f>ELEC!R21</f>
        <v>24.999999999417923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572</v>
      </c>
      <c r="C23" s="76">
        <f>'B5'!AH23</f>
        <v>0</v>
      </c>
      <c r="D23" s="76">
        <f>GEN!AI21</f>
        <v>1427.7088607591493</v>
      </c>
      <c r="E23" s="239">
        <f t="shared" si="0"/>
        <v>1999.7088607591493</v>
      </c>
      <c r="F23" s="75">
        <f>WATER!L23</f>
        <v>4</v>
      </c>
      <c r="G23" s="78">
        <f>WATER!BG23</f>
        <v>-16.399999999999977</v>
      </c>
      <c r="H23" s="79">
        <f>ELEC!AF22</f>
        <v>0</v>
      </c>
      <c r="I23" s="79">
        <f>ELEC!Q22</f>
        <v>5546.9999999986612</v>
      </c>
      <c r="J23" s="79">
        <f>ELEC!R22</f>
        <v>130.00000000133878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-8.6999999999999886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8</v>
      </c>
      <c r="E24">
        <f t="shared" si="0"/>
        <v>720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20" sqref="I2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2">
        <f>'[2]Swimming Pool quality check '!$A$36</f>
        <v>44561</v>
      </c>
      <c r="B5" s="613">
        <f>'[2]Swimming Pool quality check '!B36</f>
        <v>2.2000000000000002</v>
      </c>
      <c r="C5" s="613">
        <f>'[2]Swimming Pool quality check '!C36</f>
        <v>7.8</v>
      </c>
      <c r="D5" s="613">
        <f>'[2]Swimming Pool quality check '!D36</f>
        <v>0</v>
      </c>
      <c r="E5" s="613">
        <f>'[5]Swimming Pool quality check '!E35</f>
        <v>0</v>
      </c>
      <c r="F5" s="613">
        <f>'[5]Swimming Pool quality check '!F35</f>
        <v>0</v>
      </c>
      <c r="G5" s="613">
        <f>'[5]Swimming Pool quality check '!G35</f>
        <v>0</v>
      </c>
      <c r="H5" s="614">
        <f>'[2]Swimming Pool quality check '!$H$36</f>
        <v>6976</v>
      </c>
      <c r="I5" s="615">
        <f>'[6]Swimming Pool quality check '!I36</f>
        <v>0</v>
      </c>
      <c r="J5" s="616">
        <f>'[7]Swimming Pool quality check '!J36</f>
        <v>0.33333333333333398</v>
      </c>
      <c r="K5" s="588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8">
        <f>ELEC!C4</f>
        <v>44562</v>
      </c>
      <c r="B6" s="623"/>
      <c r="C6" s="624"/>
      <c r="D6" s="624">
        <v>0</v>
      </c>
      <c r="E6" s="624">
        <v>0</v>
      </c>
      <c r="F6" s="624">
        <v>0</v>
      </c>
      <c r="G6" s="624">
        <v>0</v>
      </c>
      <c r="H6" s="625">
        <f>H5</f>
        <v>6976</v>
      </c>
      <c r="I6" s="610">
        <f>H6-H5</f>
        <v>0</v>
      </c>
      <c r="J6" s="611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44563</v>
      </c>
      <c r="B7" s="604"/>
      <c r="C7" s="622"/>
      <c r="D7" s="622">
        <v>0</v>
      </c>
      <c r="E7" s="622">
        <v>0</v>
      </c>
      <c r="F7" s="622">
        <v>0</v>
      </c>
      <c r="G7" s="622">
        <v>0</v>
      </c>
      <c r="H7" s="609">
        <f t="shared" ref="H7:H36" si="1">H6</f>
        <v>6976</v>
      </c>
      <c r="I7" s="602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44564</v>
      </c>
      <c r="B8" s="604"/>
      <c r="C8" s="622"/>
      <c r="D8" s="622">
        <v>0</v>
      </c>
      <c r="E8" s="622">
        <v>0</v>
      </c>
      <c r="F8" s="622">
        <v>0</v>
      </c>
      <c r="G8" s="622">
        <v>0</v>
      </c>
      <c r="H8" s="609">
        <f t="shared" si="1"/>
        <v>6976</v>
      </c>
      <c r="I8" s="602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44565</v>
      </c>
      <c r="B9" s="604">
        <v>2.2000000000000002</v>
      </c>
      <c r="C9" s="622">
        <v>7.8</v>
      </c>
      <c r="D9" s="622">
        <v>0</v>
      </c>
      <c r="E9" s="622">
        <v>0</v>
      </c>
      <c r="F9" s="622">
        <v>0</v>
      </c>
      <c r="G9" s="622">
        <v>0</v>
      </c>
      <c r="H9" s="609">
        <f t="shared" si="1"/>
        <v>6976</v>
      </c>
      <c r="I9" s="602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44566</v>
      </c>
      <c r="B10" s="604">
        <v>1.5</v>
      </c>
      <c r="C10" s="622">
        <v>8</v>
      </c>
      <c r="D10" s="622">
        <v>0</v>
      </c>
      <c r="E10" s="622">
        <v>0</v>
      </c>
      <c r="F10" s="622">
        <v>0</v>
      </c>
      <c r="G10" s="622">
        <v>0</v>
      </c>
      <c r="H10" s="609">
        <v>6983</v>
      </c>
      <c r="I10" s="602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44567</v>
      </c>
      <c r="B11" s="604">
        <v>1.5</v>
      </c>
      <c r="C11" s="622">
        <v>8.6999999999999993</v>
      </c>
      <c r="D11" s="622">
        <v>0</v>
      </c>
      <c r="E11" s="622">
        <v>0</v>
      </c>
      <c r="F11" s="622">
        <v>0</v>
      </c>
      <c r="G11" s="622">
        <v>0</v>
      </c>
      <c r="H11" s="609">
        <v>6984</v>
      </c>
      <c r="I11" s="602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44568</v>
      </c>
      <c r="B12" s="604"/>
      <c r="C12" s="622"/>
      <c r="D12" s="622">
        <v>0</v>
      </c>
      <c r="E12" s="622">
        <v>0</v>
      </c>
      <c r="F12" s="622">
        <v>0</v>
      </c>
      <c r="G12" s="622">
        <v>0</v>
      </c>
      <c r="H12" s="609">
        <f t="shared" si="1"/>
        <v>6984</v>
      </c>
      <c r="I12" s="602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44569</v>
      </c>
      <c r="B13" s="604"/>
      <c r="C13" s="622"/>
      <c r="D13" s="622">
        <v>0</v>
      </c>
      <c r="E13" s="622">
        <v>0</v>
      </c>
      <c r="F13" s="622">
        <v>0</v>
      </c>
      <c r="G13" s="622">
        <v>0</v>
      </c>
      <c r="H13" s="609">
        <f t="shared" si="1"/>
        <v>6984</v>
      </c>
      <c r="I13" s="602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44570</v>
      </c>
      <c r="B14" s="604"/>
      <c r="C14" s="622"/>
      <c r="D14" s="622">
        <v>0</v>
      </c>
      <c r="E14" s="622">
        <v>0</v>
      </c>
      <c r="F14" s="622">
        <v>0</v>
      </c>
      <c r="G14" s="622">
        <v>0</v>
      </c>
      <c r="H14" s="609">
        <f t="shared" si="1"/>
        <v>6984</v>
      </c>
      <c r="I14" s="602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44571</v>
      </c>
      <c r="B15" s="604">
        <v>2</v>
      </c>
      <c r="C15" s="622">
        <v>8</v>
      </c>
      <c r="D15" s="622">
        <v>0</v>
      </c>
      <c r="E15" s="622">
        <v>0</v>
      </c>
      <c r="F15" s="622">
        <v>0</v>
      </c>
      <c r="G15" s="622">
        <v>0</v>
      </c>
      <c r="H15" s="609">
        <v>6987</v>
      </c>
      <c r="I15" s="602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44572</v>
      </c>
      <c r="B16" s="604"/>
      <c r="C16" s="622"/>
      <c r="D16" s="622">
        <v>0</v>
      </c>
      <c r="E16" s="622">
        <v>0</v>
      </c>
      <c r="F16" s="622">
        <v>0</v>
      </c>
      <c r="G16" s="622">
        <v>0</v>
      </c>
      <c r="H16" s="609">
        <f t="shared" si="1"/>
        <v>6987</v>
      </c>
      <c r="I16" s="602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44573</v>
      </c>
      <c r="B17" s="604"/>
      <c r="C17" s="622"/>
      <c r="D17" s="622">
        <v>0</v>
      </c>
      <c r="E17" s="622">
        <v>0</v>
      </c>
      <c r="F17" s="622">
        <v>0</v>
      </c>
      <c r="G17" s="622">
        <v>0</v>
      </c>
      <c r="H17" s="609">
        <f t="shared" si="1"/>
        <v>6987</v>
      </c>
      <c r="I17" s="602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44574</v>
      </c>
      <c r="B18" s="604"/>
      <c r="C18" s="622"/>
      <c r="D18" s="622">
        <v>0</v>
      </c>
      <c r="E18" s="622">
        <v>0</v>
      </c>
      <c r="F18" s="622">
        <v>0</v>
      </c>
      <c r="G18" s="622">
        <v>0</v>
      </c>
      <c r="H18" s="609">
        <f t="shared" si="1"/>
        <v>6987</v>
      </c>
      <c r="I18" s="602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44575</v>
      </c>
      <c r="B19" s="604"/>
      <c r="C19" s="622"/>
      <c r="D19" s="622">
        <v>0</v>
      </c>
      <c r="E19" s="622">
        <v>0</v>
      </c>
      <c r="F19" s="622">
        <v>0</v>
      </c>
      <c r="G19" s="622">
        <v>0</v>
      </c>
      <c r="H19" s="609">
        <f t="shared" si="1"/>
        <v>6987</v>
      </c>
      <c r="I19" s="602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44576</v>
      </c>
      <c r="B20" s="604"/>
      <c r="C20" s="622"/>
      <c r="D20" s="622">
        <v>0</v>
      </c>
      <c r="E20" s="622">
        <v>0</v>
      </c>
      <c r="F20" s="622">
        <v>0</v>
      </c>
      <c r="G20" s="622">
        <v>0</v>
      </c>
      <c r="H20" s="609">
        <f t="shared" si="1"/>
        <v>6987</v>
      </c>
      <c r="I20" s="602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44577</v>
      </c>
      <c r="B21" s="604">
        <v>1.8</v>
      </c>
      <c r="C21" s="622">
        <v>7.2</v>
      </c>
      <c r="D21" s="622">
        <v>0</v>
      </c>
      <c r="E21" s="622">
        <v>0</v>
      </c>
      <c r="F21" s="622">
        <v>0</v>
      </c>
      <c r="G21" s="622">
        <v>0</v>
      </c>
      <c r="H21" s="609">
        <f t="shared" si="1"/>
        <v>6987</v>
      </c>
      <c r="I21" s="602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44578</v>
      </c>
      <c r="B22" s="604">
        <v>1</v>
      </c>
      <c r="C22" s="622">
        <v>7.2</v>
      </c>
      <c r="D22" s="622">
        <v>0</v>
      </c>
      <c r="E22" s="622">
        <v>0</v>
      </c>
      <c r="F22" s="622">
        <v>0</v>
      </c>
      <c r="G22" s="622">
        <v>0</v>
      </c>
      <c r="H22" s="609">
        <v>6987</v>
      </c>
      <c r="I22" s="602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44579</v>
      </c>
      <c r="B23" s="604">
        <v>1.3</v>
      </c>
      <c r="C23" s="622">
        <v>8</v>
      </c>
      <c r="D23" s="622">
        <v>0</v>
      </c>
      <c r="E23" s="622">
        <v>0</v>
      </c>
      <c r="F23" s="622">
        <v>0</v>
      </c>
      <c r="G23" s="622">
        <v>0</v>
      </c>
      <c r="H23" s="609">
        <v>6991</v>
      </c>
      <c r="I23" s="602">
        <f t="shared" si="4"/>
        <v>4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44580</v>
      </c>
      <c r="B24" s="604"/>
      <c r="C24" s="622"/>
      <c r="D24" s="622">
        <v>0</v>
      </c>
      <c r="E24" s="622">
        <v>0</v>
      </c>
      <c r="F24" s="622">
        <v>0</v>
      </c>
      <c r="G24" s="622">
        <v>0</v>
      </c>
      <c r="H24" s="609">
        <f t="shared" si="1"/>
        <v>6991</v>
      </c>
      <c r="I24" s="602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44581</v>
      </c>
      <c r="B25" s="604"/>
      <c r="C25" s="622"/>
      <c r="D25" s="622">
        <v>0</v>
      </c>
      <c r="E25" s="622">
        <v>0</v>
      </c>
      <c r="F25" s="622">
        <v>0</v>
      </c>
      <c r="G25" s="622">
        <v>0</v>
      </c>
      <c r="H25" s="609">
        <f t="shared" si="1"/>
        <v>6991</v>
      </c>
      <c r="I25" s="602">
        <f t="shared" si="4"/>
        <v>0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44582</v>
      </c>
      <c r="B26" s="604"/>
      <c r="C26" s="622"/>
      <c r="D26" s="622">
        <v>0</v>
      </c>
      <c r="E26" s="622">
        <v>0</v>
      </c>
      <c r="F26" s="622">
        <v>0</v>
      </c>
      <c r="G26" s="622">
        <v>0</v>
      </c>
      <c r="H26" s="609">
        <f t="shared" si="1"/>
        <v>6991</v>
      </c>
      <c r="I26" s="602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44583</v>
      </c>
      <c r="B27" s="604"/>
      <c r="C27" s="622"/>
      <c r="D27" s="622">
        <v>0</v>
      </c>
      <c r="E27" s="622">
        <v>0</v>
      </c>
      <c r="F27" s="622">
        <v>0</v>
      </c>
      <c r="G27" s="622">
        <v>0</v>
      </c>
      <c r="H27" s="609">
        <f t="shared" si="1"/>
        <v>6991</v>
      </c>
      <c r="I27" s="602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44584</v>
      </c>
      <c r="B28" s="604"/>
      <c r="C28" s="622"/>
      <c r="D28" s="622">
        <v>0</v>
      </c>
      <c r="E28" s="622">
        <v>0</v>
      </c>
      <c r="F28" s="622">
        <v>0</v>
      </c>
      <c r="G28" s="622">
        <v>0</v>
      </c>
      <c r="H28" s="609">
        <f t="shared" si="1"/>
        <v>6991</v>
      </c>
      <c r="I28" s="602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44585</v>
      </c>
      <c r="B29" s="604"/>
      <c r="C29" s="622"/>
      <c r="D29" s="622">
        <v>0</v>
      </c>
      <c r="E29" s="622">
        <v>0</v>
      </c>
      <c r="F29" s="622">
        <v>0</v>
      </c>
      <c r="G29" s="622">
        <v>0</v>
      </c>
      <c r="H29" s="609">
        <f t="shared" si="1"/>
        <v>6991</v>
      </c>
      <c r="I29" s="602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44586</v>
      </c>
      <c r="B30" s="604"/>
      <c r="C30" s="622"/>
      <c r="D30" s="622">
        <v>0</v>
      </c>
      <c r="E30" s="622">
        <v>0</v>
      </c>
      <c r="F30" s="622">
        <v>0</v>
      </c>
      <c r="G30" s="622">
        <v>0</v>
      </c>
      <c r="H30" s="609">
        <f t="shared" si="1"/>
        <v>6991</v>
      </c>
      <c r="I30" s="602">
        <f t="shared" si="4"/>
        <v>0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44587</v>
      </c>
      <c r="B31" s="604"/>
      <c r="C31" s="622"/>
      <c r="D31" s="622">
        <v>0</v>
      </c>
      <c r="E31" s="622">
        <v>0</v>
      </c>
      <c r="F31" s="622">
        <v>0</v>
      </c>
      <c r="G31" s="622">
        <v>0</v>
      </c>
      <c r="H31" s="609">
        <f t="shared" si="1"/>
        <v>6991</v>
      </c>
      <c r="I31" s="602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44588</v>
      </c>
      <c r="B32" s="604"/>
      <c r="C32" s="622"/>
      <c r="D32" s="622">
        <v>0</v>
      </c>
      <c r="E32" s="622">
        <v>0</v>
      </c>
      <c r="F32" s="622">
        <v>0</v>
      </c>
      <c r="G32" s="622">
        <v>0</v>
      </c>
      <c r="H32" s="609">
        <f t="shared" si="1"/>
        <v>6991</v>
      </c>
      <c r="I32" s="602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44589</v>
      </c>
      <c r="B33" s="604"/>
      <c r="C33" s="622"/>
      <c r="D33" s="622">
        <v>0</v>
      </c>
      <c r="E33" s="622">
        <v>0</v>
      </c>
      <c r="F33" s="622">
        <v>0</v>
      </c>
      <c r="G33" s="622">
        <v>0</v>
      </c>
      <c r="H33" s="609">
        <f t="shared" si="1"/>
        <v>6991</v>
      </c>
      <c r="I33" s="602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44590</v>
      </c>
      <c r="B34" s="604"/>
      <c r="C34" s="622"/>
      <c r="D34" s="622">
        <v>0</v>
      </c>
      <c r="E34" s="622">
        <v>0</v>
      </c>
      <c r="F34" s="622">
        <v>0</v>
      </c>
      <c r="G34" s="622">
        <v>0</v>
      </c>
      <c r="H34" s="609">
        <f t="shared" si="1"/>
        <v>6991</v>
      </c>
      <c r="I34" s="602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44591</v>
      </c>
      <c r="B35" s="604"/>
      <c r="C35" s="622"/>
      <c r="D35" s="622">
        <v>0</v>
      </c>
      <c r="E35" s="622">
        <v>0</v>
      </c>
      <c r="F35" s="622">
        <v>0</v>
      </c>
      <c r="G35" s="622">
        <v>0</v>
      </c>
      <c r="H35" s="609">
        <f t="shared" si="1"/>
        <v>6991</v>
      </c>
      <c r="I35" s="602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44592</v>
      </c>
      <c r="B36" s="606"/>
      <c r="C36" s="607"/>
      <c r="D36" s="607">
        <v>0</v>
      </c>
      <c r="E36" s="607">
        <v>0</v>
      </c>
      <c r="F36" s="607">
        <v>0</v>
      </c>
      <c r="G36" s="607">
        <v>0</v>
      </c>
      <c r="H36" s="626">
        <f t="shared" si="1"/>
        <v>6991</v>
      </c>
      <c r="I36" s="603">
        <f>H36-H35</f>
        <v>0</v>
      </c>
      <c r="J36" s="589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711" t="s">
        <v>163</v>
      </c>
      <c r="B7" s="712"/>
      <c r="C7" s="713" t="s">
        <v>164</v>
      </c>
      <c r="D7" s="714"/>
      <c r="E7" s="714"/>
      <c r="F7" s="714"/>
      <c r="G7" s="714"/>
      <c r="H7" s="714"/>
      <c r="I7" s="714"/>
      <c r="J7" s="714"/>
      <c r="K7" s="71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12</v>
      </c>
      <c r="C26" s="261">
        <f>'General information '!C21</f>
        <v>7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15</v>
      </c>
      <c r="C27" s="261">
        <f>'General information '!C22</f>
        <v>8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14</v>
      </c>
      <c r="C28" s="261">
        <f>'General information '!C23</f>
        <v>9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0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0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0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6" t="s">
        <v>174</v>
      </c>
      <c r="O84" s="716" t="s">
        <v>175</v>
      </c>
      <c r="P84" s="134"/>
      <c r="T84" s="134"/>
      <c r="X84" s="134"/>
    </row>
    <row r="85" spans="1:24" ht="20.25" thickBot="1">
      <c r="D85" s="134"/>
      <c r="I85" s="718" t="s">
        <v>182</v>
      </c>
      <c r="J85" s="719"/>
      <c r="K85" s="719"/>
      <c r="L85" s="719"/>
      <c r="N85" s="717"/>
      <c r="O85" s="717"/>
      <c r="P85" s="134"/>
      <c r="R85" s="17"/>
      <c r="S85" s="17"/>
      <c r="T85" s="140"/>
      <c r="U85" s="141"/>
      <c r="X85" s="134"/>
    </row>
    <row r="86" spans="1:24" ht="18.75" thickBot="1">
      <c r="D86" s="134"/>
      <c r="I86" s="720" t="s">
        <v>183</v>
      </c>
      <c r="J86" s="720"/>
      <c r="K86" s="720"/>
      <c r="L86" s="720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710"/>
      <c r="P88" s="710"/>
      <c r="Q88" s="710"/>
      <c r="R88" s="710"/>
      <c r="S88" s="710"/>
      <c r="T88" s="710"/>
      <c r="U88" s="710"/>
      <c r="V88" s="710"/>
      <c r="W88" s="71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33" sqref="G33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457.94736842105266</v>
      </c>
      <c r="F7" s="185">
        <f>SUM(E7*F4)</f>
        <v>14196.368421052632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11337.134516129034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1501</v>
      </c>
      <c r="C10" s="181"/>
      <c r="D10" s="183">
        <f>'EDl log'!AB30</f>
        <v>7415837</v>
      </c>
      <c r="E10" s="182">
        <f>SUM(D10/D4/F4)</f>
        <v>158.68693093671428</v>
      </c>
      <c r="F10" s="182">
        <f>SUM(E10*F4)</f>
        <v>4919.2948590381429</v>
      </c>
      <c r="G10" s="478">
        <f>E10*$G$4</f>
        <v>3015.051687797571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1213.3255896803478</v>
      </c>
      <c r="F12" s="180">
        <f>SUM(F6:F10)</f>
        <v>37613.093280090776</v>
      </c>
      <c r="G12" s="179">
        <f>SUM(G6:G10)</f>
        <v>22552.186203926605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-57576.713796073389</v>
      </c>
      <c r="I14" s="406">
        <f>SUM(G12-I12)</f>
        <v>-28691.733516503504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22.857142857142858</v>
      </c>
      <c r="C16" s="620">
        <f>'[12]Utility Cost '!B16</f>
        <v>14.806451612903226</v>
      </c>
      <c r="D16" s="415"/>
      <c r="E16" s="580">
        <f>B16-C16</f>
        <v>8.0506912442396317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114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5</v>
      </c>
      <c r="F18" s="495">
        <f>B18-D18</f>
        <v>-88.666666666666657</v>
      </c>
    </row>
    <row r="19" spans="1:10">
      <c r="A19" s="489" t="s">
        <v>412</v>
      </c>
      <c r="B19" s="493">
        <f>GEN!AL34</f>
        <v>11</v>
      </c>
      <c r="C19" s="620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10.363636363636363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2022-01-20T06:43:08Z</dcterms:modified>
</cp:coreProperties>
</file>