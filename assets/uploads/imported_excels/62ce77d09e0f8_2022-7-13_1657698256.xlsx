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89319B8-EF7F-4559-8B55-52D9BE0218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5" r:id="rId1"/>
    <sheet name="Submetering" sheetId="9" r:id="rId2"/>
    <sheet name="Hotel" sheetId="7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S32" i="9" l="1"/>
  <c r="Q37" i="7" l="1"/>
  <c r="S37" i="7"/>
  <c r="T37" i="7"/>
  <c r="U37" i="7"/>
  <c r="V37" i="7"/>
  <c r="W37" i="7"/>
  <c r="Y37" i="7"/>
  <c r="Z37" i="7"/>
  <c r="AA37" i="7"/>
  <c r="AN37" i="7" l="1"/>
  <c r="AX36" i="7"/>
  <c r="R31" i="9"/>
  <c r="G31" i="5" s="1"/>
  <c r="AD37" i="7"/>
  <c r="AM37" i="7"/>
  <c r="AX37" i="7"/>
  <c r="AK37" i="7"/>
  <c r="AJ37" i="7"/>
  <c r="AP37" i="7"/>
  <c r="AH37" i="7"/>
  <c r="AO37" i="7"/>
  <c r="AG37" i="7"/>
  <c r="AR37" i="7"/>
  <c r="AF37" i="7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<sst xmlns="http://schemas.openxmlformats.org/spreadsheetml/2006/main" count="127" uniqueCount="50">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</sst>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I32"/>
  <sheetViews>
    <sheetView tabSelected="1" zoomScale="130" zoomScaleNormal="130" workbookViewId="0">
      <selection activeCell="D11" sqref="D11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5" width="13" style="8" customWidth="1"/>
    <col min="6" max="6" width="12.5546875" style="2" customWidth="1"/>
    <col min="7" max="8" width="11.5546875" style="2"/>
    <col min="9" max="9" width="11.5546875" style="4"/>
  </cols>
  <sheetData>
    <row r="1" spans="1:9" s="1" customFormat="1" ht="43.2" x14ac:dyDescent="0.3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3">
      <c r="A2" s="21" t="s">
        <v>31</v>
      </c>
      <c r="B2" s="11">
        <v>1</v>
      </c>
      <c r="C2" s="3">
        <v>6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62020</v>
      </c>
      <c r="F2" s="11">
        <v>5.0000000000000001E-3</v>
      </c>
      <c r="G2" s="12">
        <f>Submetering!R2</f>
        <v>0</v>
      </c>
      <c r="H2" s="11">
        <v>0.52800000000000002</v>
      </c>
      <c r="I2" s="12">
        <f>Hotel!B7</f>
        <v>113</v>
      </c>
    </row>
    <row r="3" spans="1:9" s="15" customFormat="1" x14ac:dyDescent="0.3">
      <c r="A3" s="21" t="s">
        <v>31</v>
      </c>
      <c r="B3" s="14">
        <f>B2+1</f>
        <v>2</v>
      </c>
      <c r="C3" s="3">
        <v>6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62040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149</v>
      </c>
    </row>
    <row r="4" spans="1:9" s="15" customFormat="1" x14ac:dyDescent="0.3">
      <c r="A4" s="21" t="s">
        <v>31</v>
      </c>
      <c r="B4" s="14">
        <f t="shared" ref="B4:B31" si="0">B3+1</f>
        <v>3</v>
      </c>
      <c r="C4" s="3">
        <v>6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63100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160</v>
      </c>
    </row>
    <row r="5" spans="1:9" s="15" customFormat="1" x14ac:dyDescent="0.3">
      <c r="A5" s="21" t="s">
        <v>31</v>
      </c>
      <c r="B5" s="14">
        <f t="shared" si="0"/>
        <v>4</v>
      </c>
      <c r="C5" s="3">
        <v>6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63830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93</v>
      </c>
    </row>
    <row r="6" spans="1:9" s="15" customFormat="1" x14ac:dyDescent="0.3">
      <c r="A6" s="21" t="s">
        <v>31</v>
      </c>
      <c r="B6" s="14">
        <f t="shared" si="0"/>
        <v>5</v>
      </c>
      <c r="C6" s="3">
        <v>6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61390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97</v>
      </c>
    </row>
    <row r="7" spans="1:9" s="15" customFormat="1" x14ac:dyDescent="0.3">
      <c r="A7" s="21" t="s">
        <v>31</v>
      </c>
      <c r="B7" s="14">
        <f t="shared" si="0"/>
        <v>6</v>
      </c>
      <c r="C7" s="3">
        <v>6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61030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101</v>
      </c>
    </row>
    <row r="8" spans="1:9" s="15" customFormat="1" x14ac:dyDescent="0.3">
      <c r="A8" s="21" t="s">
        <v>31</v>
      </c>
      <c r="B8" s="14">
        <f t="shared" si="0"/>
        <v>7</v>
      </c>
      <c r="C8" s="3">
        <v>6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61350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111</v>
      </c>
    </row>
    <row r="9" spans="1:9" s="15" customFormat="1" x14ac:dyDescent="0.3">
      <c r="A9" s="21" t="s">
        <v>31</v>
      </c>
      <c r="B9" s="14">
        <f t="shared" si="0"/>
        <v>8</v>
      </c>
      <c r="C9" s="3">
        <v>6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61820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102</v>
      </c>
    </row>
    <row r="10" spans="1:9" s="15" customFormat="1" x14ac:dyDescent="0.3">
      <c r="A10" s="21" t="s">
        <v>31</v>
      </c>
      <c r="B10" s="14">
        <f t="shared" si="0"/>
        <v>9</v>
      </c>
      <c r="C10" s="3">
        <v>6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62130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142</v>
      </c>
    </row>
    <row r="11" spans="1:9" s="15" customFormat="1" x14ac:dyDescent="0.3">
      <c r="A11" s="21" t="s">
        <v>31</v>
      </c>
      <c r="B11" s="14">
        <f t="shared" si="0"/>
        <v>10</v>
      </c>
      <c r="C11" s="3">
        <v>6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64510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171</v>
      </c>
    </row>
    <row r="12" spans="1:9" s="15" customFormat="1" x14ac:dyDescent="0.3">
      <c r="A12" s="21" t="s">
        <v>31</v>
      </c>
      <c r="B12" s="14">
        <f t="shared" si="0"/>
        <v>11</v>
      </c>
      <c r="C12" s="3">
        <v>6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62500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94</v>
      </c>
    </row>
    <row r="13" spans="1:9" s="15" customFormat="1" x14ac:dyDescent="0.3">
      <c r="A13" s="21" t="s">
        <v>31</v>
      </c>
      <c r="B13" s="14">
        <f t="shared" si="0"/>
        <v>12</v>
      </c>
      <c r="C13" s="3">
        <v>6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62420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108</v>
      </c>
    </row>
    <row r="14" spans="1:9" s="15" customFormat="1" x14ac:dyDescent="0.3">
      <c r="A14" s="21" t="s">
        <v>31</v>
      </c>
      <c r="B14" s="14">
        <f t="shared" si="0"/>
        <v>13</v>
      </c>
      <c r="C14" s="3">
        <v>6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60830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95</v>
      </c>
    </row>
    <row r="15" spans="1:9" s="15" customFormat="1" x14ac:dyDescent="0.3">
      <c r="A15" s="21" t="s">
        <v>31</v>
      </c>
      <c r="B15" s="14">
        <f t="shared" si="0"/>
        <v>14</v>
      </c>
      <c r="C15" s="3">
        <v>6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63160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141</v>
      </c>
    </row>
    <row r="16" spans="1:9" s="15" customFormat="1" x14ac:dyDescent="0.3">
      <c r="A16" s="21" t="s">
        <v>31</v>
      </c>
      <c r="B16" s="14">
        <f t="shared" si="0"/>
        <v>15</v>
      </c>
      <c r="C16" s="3">
        <v>6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60360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108</v>
      </c>
    </row>
    <row r="17" spans="1:9" s="15" customFormat="1" x14ac:dyDescent="0.3">
      <c r="A17" s="21" t="s">
        <v>31</v>
      </c>
      <c r="B17" s="14">
        <f t="shared" si="0"/>
        <v>16</v>
      </c>
      <c r="C17" s="3">
        <v>6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61280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211</v>
      </c>
    </row>
    <row r="18" spans="1:9" s="15" customFormat="1" x14ac:dyDescent="0.3">
      <c r="A18" s="21" t="s">
        <v>31</v>
      </c>
      <c r="B18" s="14">
        <f t="shared" si="0"/>
        <v>17</v>
      </c>
      <c r="C18" s="3">
        <v>6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63194</v>
      </c>
      <c r="F18" s="11">
        <v>5.0000000000000001E-3</v>
      </c>
      <c r="G18" s="12">
        <f>Submetering!R18</f>
        <v>754.81075399999997</v>
      </c>
      <c r="H18" s="11">
        <v>0.52800000000000002</v>
      </c>
      <c r="I18" s="12">
        <f>Hotel!B23</f>
        <v>228</v>
      </c>
    </row>
    <row r="19" spans="1:9" s="15" customFormat="1" x14ac:dyDescent="0.3">
      <c r="A19" s="21" t="s">
        <v>31</v>
      </c>
      <c r="B19" s="14">
        <f t="shared" si="0"/>
        <v>18</v>
      </c>
      <c r="C19" s="3">
        <v>6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62926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172</v>
      </c>
    </row>
    <row r="20" spans="1:9" s="15" customFormat="1" x14ac:dyDescent="0.3">
      <c r="A20" s="21" t="s">
        <v>31</v>
      </c>
      <c r="B20" s="14">
        <f t="shared" si="0"/>
        <v>19</v>
      </c>
      <c r="C20" s="3">
        <v>6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60070</v>
      </c>
      <c r="F20" s="11">
        <v>5.0000000000000001E-3</v>
      </c>
      <c r="G20" s="12">
        <f>Submetering!R20</f>
        <v>843.76788899999985</v>
      </c>
      <c r="H20" s="11">
        <v>0.52800000000000002</v>
      </c>
      <c r="I20" s="12">
        <f>Hotel!B25</f>
        <v>117</v>
      </c>
    </row>
    <row r="21" spans="1:9" s="15" customFormat="1" x14ac:dyDescent="0.3">
      <c r="A21" s="21" t="s">
        <v>31</v>
      </c>
      <c r="B21" s="14">
        <f t="shared" si="0"/>
        <v>20</v>
      </c>
      <c r="C21" s="3">
        <v>6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64560</v>
      </c>
      <c r="F21" s="11">
        <v>5.0000000000000001E-3</v>
      </c>
      <c r="G21" s="12">
        <f>Submetering!R21</f>
        <v>930.07523700000002</v>
      </c>
      <c r="H21" s="11">
        <v>0.52800000000000002</v>
      </c>
      <c r="I21" s="12">
        <f>Hotel!B26</f>
        <v>126</v>
      </c>
    </row>
    <row r="22" spans="1:9" s="15" customFormat="1" x14ac:dyDescent="0.3">
      <c r="A22" s="21" t="s">
        <v>31</v>
      </c>
      <c r="B22" s="14">
        <f t="shared" si="0"/>
        <v>21</v>
      </c>
      <c r="C22" s="3">
        <v>6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62240</v>
      </c>
      <c r="F22" s="11">
        <v>5.0000000000000001E-3</v>
      </c>
      <c r="G22" s="12">
        <f>Submetering!R22</f>
        <v>1235.557824</v>
      </c>
      <c r="H22" s="11">
        <v>0.52800000000000002</v>
      </c>
      <c r="I22" s="12">
        <f>Hotel!B27</f>
        <v>147</v>
      </c>
    </row>
    <row r="23" spans="1:9" s="15" customFormat="1" x14ac:dyDescent="0.3">
      <c r="A23" s="21" t="s">
        <v>31</v>
      </c>
      <c r="B23" s="14">
        <f t="shared" si="0"/>
        <v>22</v>
      </c>
      <c r="C23" s="3">
        <v>6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65060</v>
      </c>
      <c r="F23" s="11">
        <v>5.0000000000000001E-3</v>
      </c>
      <c r="G23" s="12">
        <f>Submetering!R23</f>
        <v>1126.538016</v>
      </c>
      <c r="H23" s="11">
        <v>0.52800000000000002</v>
      </c>
      <c r="I23" s="12">
        <f>Hotel!B28</f>
        <v>119</v>
      </c>
    </row>
    <row r="24" spans="1:9" s="15" customFormat="1" x14ac:dyDescent="0.3">
      <c r="A24" s="21" t="s">
        <v>31</v>
      </c>
      <c r="B24" s="14">
        <f t="shared" si="0"/>
        <v>23</v>
      </c>
      <c r="C24" s="3">
        <v>6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60760</v>
      </c>
      <c r="F24" s="11">
        <v>5.0000000000000001E-3</v>
      </c>
      <c r="G24" s="12">
        <f>Submetering!R24</f>
        <v>739.29057299999999</v>
      </c>
      <c r="H24" s="11">
        <v>0.52800000000000002</v>
      </c>
      <c r="I24" s="12">
        <f>Hotel!B29</f>
        <v>161</v>
      </c>
    </row>
    <row r="25" spans="1:9" s="15" customFormat="1" x14ac:dyDescent="0.3">
      <c r="A25" s="21" t="s">
        <v>31</v>
      </c>
      <c r="B25" s="14">
        <f t="shared" si="0"/>
        <v>24</v>
      </c>
      <c r="C25" s="3">
        <v>6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63300</v>
      </c>
      <c r="F25" s="11">
        <v>5.0000000000000001E-3</v>
      </c>
      <c r="G25" s="12">
        <f>Submetering!R25</f>
        <v>774.87342699999999</v>
      </c>
      <c r="H25" s="11">
        <v>0.52800000000000002</v>
      </c>
      <c r="I25" s="12">
        <f>Hotel!B30</f>
        <v>233</v>
      </c>
    </row>
    <row r="26" spans="1:9" s="15" customFormat="1" x14ac:dyDescent="0.3">
      <c r="A26" s="21" t="s">
        <v>31</v>
      </c>
      <c r="B26" s="14">
        <f>B25+1</f>
        <v>25</v>
      </c>
      <c r="C26" s="3">
        <v>6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63800</v>
      </c>
      <c r="F26" s="11">
        <v>5.0000000000000001E-3</v>
      </c>
      <c r="G26" s="12">
        <f>Submetering!R26</f>
        <v>678.72401300000001</v>
      </c>
      <c r="H26" s="11">
        <v>0.52800000000000002</v>
      </c>
      <c r="I26" s="12">
        <f>Hotel!B31</f>
        <v>153</v>
      </c>
    </row>
    <row r="27" spans="1:9" s="15" customFormat="1" x14ac:dyDescent="0.3">
      <c r="A27" s="21" t="s">
        <v>31</v>
      </c>
      <c r="B27" s="14">
        <f t="shared" si="0"/>
        <v>26</v>
      </c>
      <c r="C27" s="3">
        <v>6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63100</v>
      </c>
      <c r="F27" s="11">
        <v>5.0000000000000001E-3</v>
      </c>
      <c r="G27" s="12">
        <f>Submetering!R27</f>
        <v>751.40388499999995</v>
      </c>
      <c r="H27" s="11">
        <v>0.52800000000000002</v>
      </c>
      <c r="I27" s="12">
        <f>Hotel!B32</f>
        <v>164</v>
      </c>
    </row>
    <row r="28" spans="1:9" s="15" customFormat="1" x14ac:dyDescent="0.3">
      <c r="A28" s="21" t="s">
        <v>31</v>
      </c>
      <c r="B28" s="14">
        <f t="shared" si="0"/>
        <v>27</v>
      </c>
      <c r="C28" s="3">
        <v>6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65760</v>
      </c>
      <c r="F28" s="11">
        <v>5.0000000000000001E-3</v>
      </c>
      <c r="G28" s="12">
        <f>Submetering!R28</f>
        <v>1005.783437</v>
      </c>
      <c r="H28" s="11">
        <v>0.52800000000000002</v>
      </c>
      <c r="I28" s="12">
        <f>Hotel!B33</f>
        <v>166</v>
      </c>
    </row>
    <row r="29" spans="1:9" s="15" customFormat="1" x14ac:dyDescent="0.3">
      <c r="A29" s="21" t="s">
        <v>31</v>
      </c>
      <c r="B29" s="14">
        <f t="shared" si="0"/>
        <v>28</v>
      </c>
      <c r="C29" s="3">
        <v>6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63340</v>
      </c>
      <c r="F29" s="11">
        <v>5.0000000000000001E-3</v>
      </c>
      <c r="G29" s="12">
        <f>Submetering!R29</f>
        <v>730.20558900000003</v>
      </c>
      <c r="H29" s="11">
        <v>0.52800000000000002</v>
      </c>
      <c r="I29" s="12">
        <f>Hotel!B34</f>
        <v>144</v>
      </c>
    </row>
    <row r="30" spans="1:9" s="15" customFormat="1" x14ac:dyDescent="0.3">
      <c r="A30" s="21" t="s">
        <v>31</v>
      </c>
      <c r="B30" s="14">
        <f t="shared" si="0"/>
        <v>29</v>
      </c>
      <c r="C30" s="3">
        <v>6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64080</v>
      </c>
      <c r="F30" s="11">
        <v>5.0000000000000001E-3</v>
      </c>
      <c r="G30" s="12">
        <f>Submetering!R30</f>
        <v>1022.439241</v>
      </c>
      <c r="H30" s="11">
        <v>0.52800000000000002</v>
      </c>
      <c r="I30" s="12">
        <f>Hotel!B35</f>
        <v>128</v>
      </c>
    </row>
    <row r="31" spans="1:9" s="13" customFormat="1" x14ac:dyDescent="0.3">
      <c r="A31" s="21" t="s">
        <v>31</v>
      </c>
      <c r="B31" s="14">
        <f t="shared" si="0"/>
        <v>30</v>
      </c>
      <c r="C31" s="3">
        <v>6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71560</v>
      </c>
      <c r="F31" s="11">
        <v>5.0000000000000001E-3</v>
      </c>
      <c r="G31" s="12">
        <f>Submetering!R31</f>
        <v>932.34648299999992</v>
      </c>
      <c r="H31" s="11">
        <v>0.52800000000000002</v>
      </c>
      <c r="I31" s="12">
        <f>Hotel!B36</f>
        <v>136</v>
      </c>
    </row>
    <row r="32" spans="1:9" s="13" customFormat="1" x14ac:dyDescent="0.3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S32"/>
  <sheetViews>
    <sheetView workbookViewId="0">
      <selection activeCell="R32" sqref="R32"/>
    </sheetView>
  </sheetViews>
  <sheetFormatPr defaultColWidth="11.5546875" defaultRowHeight="14.4" x14ac:dyDescent="0.3"/>
  <cols>
    <col min="1" max="1" width="15" style="2" customWidth="1"/>
    <col min="2" max="2" width="11.5546875" style="2"/>
    <col min="3" max="3" width="11.5546875" style="10"/>
    <col min="4" max="4" width="13.44140625" style="2" customWidth="1"/>
    <col min="5" max="16" width="12.5546875" style="4" customWidth="1"/>
    <col min="17" max="18" width="11.5546875" style="4"/>
    <col min="19" max="19" width="11.5546875" style="2"/>
  </cols>
  <sheetData>
    <row r="1" spans="1:19" s="1" customFormat="1" ht="28.8" x14ac:dyDescent="0.3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3">
      <c r="A2" s="21" t="s">
        <v>31</v>
      </c>
      <c r="B2" s="2">
        <v>1</v>
      </c>
      <c r="C2" s="3">
        <v>6</v>
      </c>
      <c r="D2" s="11">
        <v>2022</v>
      </c>
      <c r="E2" s="4">
        <f>Hotel!Q7</f>
        <v>1020</v>
      </c>
      <c r="F2" s="4">
        <f>Hotel!R7</f>
        <v>12710</v>
      </c>
      <c r="G2" s="4">
        <f>Hotel!S7</f>
        <v>3170</v>
      </c>
      <c r="H2" s="4">
        <f>Hotel!T7</f>
        <v>1600</v>
      </c>
      <c r="I2" s="4">
        <f>Hotel!U7</f>
        <v>3980</v>
      </c>
      <c r="J2" s="4">
        <f>Hotel!V7</f>
        <v>4180</v>
      </c>
      <c r="K2" s="4">
        <f>Hotel!W7</f>
        <v>3160</v>
      </c>
      <c r="L2" s="4">
        <f>Hotel!X7</f>
        <v>4080</v>
      </c>
      <c r="M2" s="4">
        <f>Hotel!Y7</f>
        <v>4320</v>
      </c>
      <c r="N2" s="4">
        <f>Hotel!Z7</f>
        <v>2580</v>
      </c>
      <c r="O2" s="4">
        <f>Hotel!AA7</f>
        <v>3160</v>
      </c>
      <c r="P2" s="4">
        <f>Hotel!AB7</f>
        <v>7020</v>
      </c>
      <c r="Q2" s="4">
        <f>Hotel!AC7</f>
        <v>11040</v>
      </c>
      <c r="R2" s="4">
        <f>Hotel!AV7*0.00378541*100</f>
        <v>0</v>
      </c>
      <c r="S2" s="4">
        <f>Hotel!B7</f>
        <v>113</v>
      </c>
    </row>
    <row r="3" spans="1:19" x14ac:dyDescent="0.3">
      <c r="A3" s="21" t="s">
        <v>31</v>
      </c>
      <c r="B3" s="2">
        <f>B2+1</f>
        <v>2</v>
      </c>
      <c r="C3" s="3">
        <v>6</v>
      </c>
      <c r="D3" s="11">
        <v>2022</v>
      </c>
      <c r="E3" s="4">
        <f>Hotel!Q8</f>
        <v>1000</v>
      </c>
      <c r="F3" s="4">
        <f>Hotel!R8</f>
        <v>12580</v>
      </c>
      <c r="G3" s="4">
        <f>Hotel!S8</f>
        <v>3160</v>
      </c>
      <c r="H3" s="4">
        <f>Hotel!T8</f>
        <v>1580</v>
      </c>
      <c r="I3" s="4">
        <f>Hotel!U8</f>
        <v>4940</v>
      </c>
      <c r="J3" s="4">
        <f>Hotel!V8</f>
        <v>4040</v>
      </c>
      <c r="K3" s="4">
        <f>Hotel!W8</f>
        <v>3360</v>
      </c>
      <c r="L3" s="4">
        <f>Hotel!X8</f>
        <v>4140</v>
      </c>
      <c r="M3" s="4">
        <f>Hotel!Y8</f>
        <v>4230</v>
      </c>
      <c r="N3" s="4">
        <f>Hotel!Z8</f>
        <v>2670</v>
      </c>
      <c r="O3" s="4">
        <f>Hotel!AA8</f>
        <v>3280</v>
      </c>
      <c r="P3" s="4">
        <f>Hotel!AB8</f>
        <v>6990</v>
      </c>
      <c r="Q3" s="4">
        <f>Hotel!AC8</f>
        <v>10070</v>
      </c>
      <c r="R3" s="4">
        <f>Hotel!AV8*0.00378541*100</f>
        <v>0</v>
      </c>
      <c r="S3" s="4">
        <f>Hotel!B8</f>
        <v>149</v>
      </c>
    </row>
    <row r="4" spans="1:19" x14ac:dyDescent="0.3">
      <c r="A4" s="21" t="s">
        <v>31</v>
      </c>
      <c r="B4" s="2">
        <f t="shared" ref="B4:B29" si="0">B3+1</f>
        <v>3</v>
      </c>
      <c r="C4" s="3">
        <v>6</v>
      </c>
      <c r="D4" s="11">
        <v>2022</v>
      </c>
      <c r="E4" s="4">
        <f>Hotel!Q9</f>
        <v>1030</v>
      </c>
      <c r="F4" s="4">
        <f>Hotel!R9</f>
        <v>12710</v>
      </c>
      <c r="G4" s="4">
        <f>Hotel!S9</f>
        <v>3180</v>
      </c>
      <c r="H4" s="4">
        <f>Hotel!T9</f>
        <v>1610</v>
      </c>
      <c r="I4" s="4">
        <f>Hotel!U9</f>
        <v>4930</v>
      </c>
      <c r="J4" s="4">
        <f>Hotel!V9</f>
        <v>4080</v>
      </c>
      <c r="K4" s="4">
        <f>Hotel!W9</f>
        <v>3500</v>
      </c>
      <c r="L4" s="4">
        <f>Hotel!X9</f>
        <v>4200</v>
      </c>
      <c r="M4" s="4">
        <f>Hotel!Y9</f>
        <v>4390</v>
      </c>
      <c r="N4" s="4">
        <f>Hotel!Z9</f>
        <v>2740</v>
      </c>
      <c r="O4" s="4">
        <f>Hotel!AA9</f>
        <v>3330</v>
      </c>
      <c r="P4" s="4">
        <f>Hotel!AB9</f>
        <v>7120</v>
      </c>
      <c r="Q4" s="4">
        <f>Hotel!AC9</f>
        <v>10280</v>
      </c>
      <c r="R4" s="4">
        <f>Hotel!AV9*0.00378541*100</f>
        <v>0</v>
      </c>
      <c r="S4" s="4">
        <f>Hotel!B9</f>
        <v>160</v>
      </c>
    </row>
    <row r="5" spans="1:19" x14ac:dyDescent="0.3">
      <c r="A5" s="21" t="s">
        <v>31</v>
      </c>
      <c r="B5" s="2">
        <f t="shared" si="0"/>
        <v>4</v>
      </c>
      <c r="C5" s="3">
        <v>6</v>
      </c>
      <c r="D5" s="11">
        <v>2022</v>
      </c>
      <c r="E5" s="4">
        <f>Hotel!Q10</f>
        <v>1030</v>
      </c>
      <c r="F5" s="4">
        <f>Hotel!R10</f>
        <v>12920</v>
      </c>
      <c r="G5" s="4">
        <f>Hotel!S10</f>
        <v>3250</v>
      </c>
      <c r="H5" s="4">
        <f>Hotel!T10</f>
        <v>1610</v>
      </c>
      <c r="I5" s="4">
        <f>Hotel!U10</f>
        <v>4950</v>
      </c>
      <c r="J5" s="4">
        <f>Hotel!V10</f>
        <v>4090</v>
      </c>
      <c r="K5" s="4">
        <f>Hotel!W10</f>
        <v>3250</v>
      </c>
      <c r="L5" s="4">
        <f>Hotel!X10</f>
        <v>4440</v>
      </c>
      <c r="M5" s="4">
        <f>Hotel!Y10</f>
        <v>4470</v>
      </c>
      <c r="N5" s="4">
        <f>Hotel!Z10</f>
        <v>2660</v>
      </c>
      <c r="O5" s="4">
        <f>Hotel!AA10</f>
        <v>3220</v>
      </c>
      <c r="P5" s="4">
        <f>Hotel!AB10</f>
        <v>7140</v>
      </c>
      <c r="Q5" s="4">
        <f>Hotel!AC10</f>
        <v>10800</v>
      </c>
      <c r="R5" s="4">
        <f>Hotel!AV10*0.00378541*100</f>
        <v>0</v>
      </c>
      <c r="S5" s="4">
        <f>Hotel!B10</f>
        <v>93</v>
      </c>
    </row>
    <row r="6" spans="1:19" x14ac:dyDescent="0.3">
      <c r="A6" s="21" t="s">
        <v>31</v>
      </c>
      <c r="B6" s="2">
        <f t="shared" si="0"/>
        <v>5</v>
      </c>
      <c r="C6" s="3">
        <v>6</v>
      </c>
      <c r="D6" s="11">
        <v>2022</v>
      </c>
      <c r="E6" s="4">
        <f>Hotel!Q11</f>
        <v>1020</v>
      </c>
      <c r="F6" s="4">
        <f>Hotel!R11</f>
        <v>12900</v>
      </c>
      <c r="G6" s="4">
        <f>Hotel!S11</f>
        <v>3290</v>
      </c>
      <c r="H6" s="4">
        <f>Hotel!T11</f>
        <v>1610</v>
      </c>
      <c r="I6" s="4">
        <f>Hotel!U11</f>
        <v>4570</v>
      </c>
      <c r="J6" s="4">
        <f>Hotel!V11</f>
        <v>3970</v>
      </c>
      <c r="K6" s="4">
        <f>Hotel!W11</f>
        <v>2970</v>
      </c>
      <c r="L6" s="4">
        <f>Hotel!X11</f>
        <v>4050</v>
      </c>
      <c r="M6" s="4">
        <f>Hotel!Y11</f>
        <v>4200</v>
      </c>
      <c r="N6" s="4">
        <f>Hotel!Z11</f>
        <v>2580</v>
      </c>
      <c r="O6" s="4">
        <f>Hotel!AA11</f>
        <v>3180</v>
      </c>
      <c r="P6" s="4">
        <f>Hotel!AB11</f>
        <v>7080</v>
      </c>
      <c r="Q6" s="4">
        <f>Hotel!AC11</f>
        <v>9970</v>
      </c>
      <c r="R6" s="4">
        <f>Hotel!AV11*0.00378541*100</f>
        <v>0</v>
      </c>
      <c r="S6" s="4">
        <f>Hotel!B11</f>
        <v>97</v>
      </c>
    </row>
    <row r="7" spans="1:19" x14ac:dyDescent="0.3">
      <c r="A7" s="21" t="s">
        <v>31</v>
      </c>
      <c r="B7" s="2">
        <f t="shared" si="0"/>
        <v>6</v>
      </c>
      <c r="C7" s="3">
        <v>6</v>
      </c>
      <c r="D7" s="11">
        <v>2022</v>
      </c>
      <c r="E7" s="4">
        <f>Hotel!Q12</f>
        <v>1020</v>
      </c>
      <c r="F7" s="4">
        <f>Hotel!R12</f>
        <v>13160</v>
      </c>
      <c r="G7" s="4">
        <f>Hotel!S12</f>
        <v>3360</v>
      </c>
      <c r="H7" s="4">
        <f>Hotel!T12</f>
        <v>1610</v>
      </c>
      <c r="I7" s="4">
        <f>Hotel!U12</f>
        <v>4580</v>
      </c>
      <c r="J7" s="4">
        <f>Hotel!V12</f>
        <v>4010</v>
      </c>
      <c r="K7" s="4">
        <f>Hotel!W12</f>
        <v>3040</v>
      </c>
      <c r="L7" s="4">
        <f>Hotel!X12</f>
        <v>4250</v>
      </c>
      <c r="M7" s="4">
        <f>Hotel!Y12</f>
        <v>4560</v>
      </c>
      <c r="N7" s="4">
        <f>Hotel!Z12</f>
        <v>2530</v>
      </c>
      <c r="O7" s="4">
        <f>Hotel!AA12</f>
        <v>2970</v>
      </c>
      <c r="P7" s="4">
        <f>Hotel!AB12</f>
        <v>7130</v>
      </c>
      <c r="Q7" s="4">
        <f>Hotel!AC12</f>
        <v>8810</v>
      </c>
      <c r="R7" s="4">
        <f>Hotel!AV12*0.00378541*100</f>
        <v>0</v>
      </c>
      <c r="S7" s="4">
        <f>Hotel!B12</f>
        <v>101</v>
      </c>
    </row>
    <row r="8" spans="1:19" x14ac:dyDescent="0.3">
      <c r="A8" s="21" t="s">
        <v>31</v>
      </c>
      <c r="B8" s="2">
        <f t="shared" si="0"/>
        <v>7</v>
      </c>
      <c r="C8" s="3">
        <v>6</v>
      </c>
      <c r="D8" s="11">
        <v>2022</v>
      </c>
      <c r="E8" s="4">
        <f>Hotel!Q13</f>
        <v>1030</v>
      </c>
      <c r="F8" s="4">
        <f>Hotel!R13</f>
        <v>13180</v>
      </c>
      <c r="G8" s="4">
        <f>Hotel!S13</f>
        <v>3380</v>
      </c>
      <c r="H8" s="4">
        <f>Hotel!T13</f>
        <v>1620</v>
      </c>
      <c r="I8" s="4">
        <f>Hotel!U13</f>
        <v>4560</v>
      </c>
      <c r="J8" s="4">
        <f>Hotel!V13</f>
        <v>3970</v>
      </c>
      <c r="K8" s="4">
        <f>Hotel!W13</f>
        <v>3120</v>
      </c>
      <c r="L8" s="4">
        <f>Hotel!X13</f>
        <v>4180</v>
      </c>
      <c r="M8" s="4">
        <f>Hotel!Y13</f>
        <v>4380</v>
      </c>
      <c r="N8" s="4">
        <f>Hotel!Z13</f>
        <v>2610</v>
      </c>
      <c r="O8" s="4">
        <f>Hotel!AA13</f>
        <v>3030</v>
      </c>
      <c r="P8" s="4">
        <f>Hotel!AB13</f>
        <v>7360</v>
      </c>
      <c r="Q8" s="4">
        <f>Hotel!AC13</f>
        <v>8930</v>
      </c>
      <c r="R8" s="4">
        <f>Hotel!AV13*0.00378541*100</f>
        <v>0</v>
      </c>
      <c r="S8" s="4">
        <f>Hotel!B13</f>
        <v>111</v>
      </c>
    </row>
    <row r="9" spans="1:19" x14ac:dyDescent="0.3">
      <c r="A9" s="21" t="s">
        <v>31</v>
      </c>
      <c r="B9" s="2">
        <f t="shared" si="0"/>
        <v>8</v>
      </c>
      <c r="C9" s="3">
        <v>6</v>
      </c>
      <c r="D9" s="11">
        <v>2022</v>
      </c>
      <c r="E9" s="4">
        <f>Hotel!Q14</f>
        <v>1030</v>
      </c>
      <c r="F9" s="4">
        <f>Hotel!R14</f>
        <v>13430</v>
      </c>
      <c r="G9" s="4">
        <f>Hotel!S14</f>
        <v>3470</v>
      </c>
      <c r="H9" s="4">
        <f>Hotel!T14</f>
        <v>1640</v>
      </c>
      <c r="I9" s="4">
        <f>Hotel!U14</f>
        <v>4480</v>
      </c>
      <c r="J9" s="4">
        <f>Hotel!V14</f>
        <v>4070</v>
      </c>
      <c r="K9" s="4">
        <f>Hotel!W14</f>
        <v>3280</v>
      </c>
      <c r="L9" s="4">
        <f>Hotel!X14</f>
        <v>4490</v>
      </c>
      <c r="M9" s="4">
        <f>Hotel!Y14</f>
        <v>4120</v>
      </c>
      <c r="N9" s="4">
        <f>Hotel!Z14</f>
        <v>2570</v>
      </c>
      <c r="O9" s="4">
        <f>Hotel!AA14</f>
        <v>3020</v>
      </c>
      <c r="P9" s="4">
        <f>Hotel!AB14</f>
        <v>7120</v>
      </c>
      <c r="Q9" s="4">
        <f>Hotel!AC14</f>
        <v>9100</v>
      </c>
      <c r="R9" s="4">
        <f>Hotel!AV14*0.00378541*100</f>
        <v>0</v>
      </c>
      <c r="S9" s="4">
        <f>Hotel!B14</f>
        <v>102</v>
      </c>
    </row>
    <row r="10" spans="1:19" x14ac:dyDescent="0.3">
      <c r="A10" s="21" t="s">
        <v>31</v>
      </c>
      <c r="B10" s="2">
        <f t="shared" si="0"/>
        <v>9</v>
      </c>
      <c r="C10" s="3">
        <v>6</v>
      </c>
      <c r="D10" s="11">
        <v>2022</v>
      </c>
      <c r="E10" s="4">
        <f>Hotel!Q15</f>
        <v>1010</v>
      </c>
      <c r="F10" s="4">
        <f>Hotel!R15</f>
        <v>13130</v>
      </c>
      <c r="G10" s="4">
        <f>Hotel!S15</f>
        <v>3380</v>
      </c>
      <c r="H10" s="4">
        <f>Hotel!T15</f>
        <v>1610</v>
      </c>
      <c r="I10" s="4">
        <f>Hotel!U15</f>
        <v>4840</v>
      </c>
      <c r="J10" s="4">
        <f>Hotel!V15</f>
        <v>4020</v>
      </c>
      <c r="K10" s="4">
        <f>Hotel!W15</f>
        <v>3600</v>
      </c>
      <c r="L10" s="4">
        <f>Hotel!X15</f>
        <v>4340</v>
      </c>
      <c r="M10" s="4">
        <f>Hotel!Y15</f>
        <v>4390</v>
      </c>
      <c r="N10" s="4">
        <f>Hotel!Z15</f>
        <v>2680</v>
      </c>
      <c r="O10" s="4">
        <f>Hotel!AA15</f>
        <v>3130</v>
      </c>
      <c r="P10" s="4">
        <f>Hotel!AB15</f>
        <v>7350</v>
      </c>
      <c r="Q10" s="4">
        <f>Hotel!AC15</f>
        <v>8650</v>
      </c>
      <c r="R10" s="4">
        <f>Hotel!AV15*0.00378541*100</f>
        <v>0</v>
      </c>
      <c r="S10" s="4">
        <f>Hotel!B15</f>
        <v>142</v>
      </c>
    </row>
    <row r="11" spans="1:19" x14ac:dyDescent="0.3">
      <c r="A11" s="21" t="s">
        <v>31</v>
      </c>
      <c r="B11" s="2">
        <f t="shared" si="0"/>
        <v>10</v>
      </c>
      <c r="C11" s="3">
        <v>6</v>
      </c>
      <c r="D11" s="11">
        <v>2022</v>
      </c>
      <c r="E11" s="4">
        <f>Hotel!Q16</f>
        <v>1050</v>
      </c>
      <c r="F11" s="4">
        <f>Hotel!R16</f>
        <v>13700</v>
      </c>
      <c r="G11" s="4">
        <f>Hotel!S16</f>
        <v>3510</v>
      </c>
      <c r="H11" s="4">
        <f>Hotel!T16</f>
        <v>1670</v>
      </c>
      <c r="I11" s="4">
        <f>Hotel!U16</f>
        <v>5040</v>
      </c>
      <c r="J11" s="4">
        <f>Hotel!V16</f>
        <v>4380</v>
      </c>
      <c r="K11" s="4">
        <f>Hotel!W16</f>
        <v>3130</v>
      </c>
      <c r="L11" s="4">
        <f>Hotel!X16</f>
        <v>4260</v>
      </c>
      <c r="M11" s="4">
        <f>Hotel!Y16</f>
        <v>4550</v>
      </c>
      <c r="N11" s="4">
        <f>Hotel!Z16</f>
        <v>2720</v>
      </c>
      <c r="O11" s="4">
        <f>Hotel!AA16</f>
        <v>3280</v>
      </c>
      <c r="P11" s="4">
        <f>Hotel!AB16</f>
        <v>7330</v>
      </c>
      <c r="Q11" s="4">
        <f>Hotel!AC16</f>
        <v>9890</v>
      </c>
      <c r="R11" s="4">
        <f>Hotel!AV16*0.00378541*100</f>
        <v>0</v>
      </c>
      <c r="S11" s="4">
        <f>Hotel!B16</f>
        <v>171</v>
      </c>
    </row>
    <row r="12" spans="1:19" x14ac:dyDescent="0.3">
      <c r="A12" s="21" t="s">
        <v>31</v>
      </c>
      <c r="B12" s="2">
        <f t="shared" si="0"/>
        <v>11</v>
      </c>
      <c r="C12" s="3">
        <v>6</v>
      </c>
      <c r="D12" s="11">
        <v>2022</v>
      </c>
      <c r="E12" s="4">
        <f>Hotel!Q17</f>
        <v>1000</v>
      </c>
      <c r="F12" s="4">
        <f>Hotel!R17</f>
        <v>13010</v>
      </c>
      <c r="G12" s="4">
        <f>Hotel!S17</f>
        <v>3330</v>
      </c>
      <c r="H12" s="4">
        <f>Hotel!T17</f>
        <v>1590</v>
      </c>
      <c r="I12" s="4">
        <f>Hotel!U17</f>
        <v>4520</v>
      </c>
      <c r="J12" s="4">
        <f>Hotel!V17</f>
        <v>3990</v>
      </c>
      <c r="K12" s="4">
        <f>Hotel!W17</f>
        <v>2890</v>
      </c>
      <c r="L12" s="4">
        <f>Hotel!X17</f>
        <v>4100</v>
      </c>
      <c r="M12" s="4">
        <f>Hotel!Y17</f>
        <v>4610</v>
      </c>
      <c r="N12" s="4">
        <f>Hotel!Z17</f>
        <v>2520</v>
      </c>
      <c r="O12" s="4">
        <f>Hotel!AA17</f>
        <v>3100</v>
      </c>
      <c r="P12" s="4">
        <f>Hotel!AB17</f>
        <v>7000</v>
      </c>
      <c r="Q12" s="4">
        <f>Hotel!AC17</f>
        <v>10840</v>
      </c>
      <c r="R12" s="4">
        <f>Hotel!AV17*0.00378541*100</f>
        <v>0</v>
      </c>
      <c r="S12" s="4">
        <f>Hotel!B17</f>
        <v>94</v>
      </c>
    </row>
    <row r="13" spans="1:19" x14ac:dyDescent="0.3">
      <c r="A13" s="21" t="s">
        <v>31</v>
      </c>
      <c r="B13" s="2">
        <f t="shared" si="0"/>
        <v>12</v>
      </c>
      <c r="C13" s="3">
        <v>6</v>
      </c>
      <c r="D13" s="11">
        <v>2022</v>
      </c>
      <c r="E13" s="4">
        <f>Hotel!Q18</f>
        <v>1020</v>
      </c>
      <c r="F13" s="4">
        <f>Hotel!R18</f>
        <v>13040</v>
      </c>
      <c r="G13" s="4">
        <f>Hotel!S18</f>
        <v>3320</v>
      </c>
      <c r="H13" s="4">
        <f>Hotel!T18</f>
        <v>1640</v>
      </c>
      <c r="I13" s="4">
        <f>Hotel!U18</f>
        <v>4440</v>
      </c>
      <c r="J13" s="4">
        <f>Hotel!V18</f>
        <v>4000</v>
      </c>
      <c r="K13" s="4">
        <f>Hotel!W18</f>
        <v>3050</v>
      </c>
      <c r="L13" s="4">
        <f>Hotel!X18</f>
        <v>3770</v>
      </c>
      <c r="M13" s="4">
        <f>Hotel!Y18</f>
        <v>4500</v>
      </c>
      <c r="N13" s="4">
        <f>Hotel!Z18</f>
        <v>2520</v>
      </c>
      <c r="O13" s="4">
        <f>Hotel!AA18</f>
        <v>3070</v>
      </c>
      <c r="P13" s="4">
        <f>Hotel!AB18</f>
        <v>7170</v>
      </c>
      <c r="Q13" s="4">
        <f>Hotel!AC18</f>
        <v>10880</v>
      </c>
      <c r="R13" s="4">
        <f>Hotel!AV18*0.00378541*100</f>
        <v>0</v>
      </c>
      <c r="S13" s="4">
        <f>Hotel!B18</f>
        <v>108</v>
      </c>
    </row>
    <row r="14" spans="1:19" x14ac:dyDescent="0.3">
      <c r="A14" s="21" t="s">
        <v>31</v>
      </c>
      <c r="B14" s="2">
        <f t="shared" si="0"/>
        <v>13</v>
      </c>
      <c r="C14" s="3">
        <v>6</v>
      </c>
      <c r="D14" s="11">
        <v>2022</v>
      </c>
      <c r="E14" s="4">
        <f>Hotel!Q19</f>
        <v>1020</v>
      </c>
      <c r="F14" s="4">
        <f>Hotel!R19</f>
        <v>12940</v>
      </c>
      <c r="G14" s="4">
        <f>Hotel!S19</f>
        <v>3280</v>
      </c>
      <c r="H14" s="4">
        <f>Hotel!T19</f>
        <v>1630</v>
      </c>
      <c r="I14" s="4">
        <f>Hotel!U19</f>
        <v>4570</v>
      </c>
      <c r="J14" s="4">
        <f>Hotel!V19</f>
        <v>4080</v>
      </c>
      <c r="K14" s="4">
        <f>Hotel!W19</f>
        <v>3280</v>
      </c>
      <c r="L14" s="4">
        <f>Hotel!X19</f>
        <v>4110</v>
      </c>
      <c r="M14" s="4">
        <f>Hotel!Y19</f>
        <v>4360</v>
      </c>
      <c r="N14" s="4">
        <f>Hotel!Z19</f>
        <v>2530</v>
      </c>
      <c r="O14" s="4">
        <f>Hotel!AA19</f>
        <v>3020</v>
      </c>
      <c r="P14" s="4">
        <f>Hotel!AB19</f>
        <v>7330</v>
      </c>
      <c r="Q14" s="4">
        <f>Hotel!AC19</f>
        <v>8680</v>
      </c>
      <c r="R14" s="4">
        <f>Hotel!AV19*0.00378541*100</f>
        <v>0</v>
      </c>
      <c r="S14" s="4">
        <f>Hotel!B19</f>
        <v>95</v>
      </c>
    </row>
    <row r="15" spans="1:19" x14ac:dyDescent="0.3">
      <c r="A15" s="21" t="s">
        <v>31</v>
      </c>
      <c r="B15" s="2">
        <f t="shared" si="0"/>
        <v>14</v>
      </c>
      <c r="C15" s="3">
        <v>6</v>
      </c>
      <c r="D15" s="11">
        <v>2022</v>
      </c>
      <c r="E15" s="4">
        <f>Hotel!Q20</f>
        <v>1050</v>
      </c>
      <c r="F15" s="4">
        <f>Hotel!R20</f>
        <v>12950</v>
      </c>
      <c r="G15" s="4">
        <f>Hotel!S20</f>
        <v>3290</v>
      </c>
      <c r="H15" s="4">
        <f>Hotel!T20</f>
        <v>1600</v>
      </c>
      <c r="I15" s="4">
        <f>Hotel!U20</f>
        <v>4690</v>
      </c>
      <c r="J15" s="4">
        <f>Hotel!V20</f>
        <v>4190</v>
      </c>
      <c r="K15" s="4">
        <f>Hotel!W20</f>
        <v>4090</v>
      </c>
      <c r="L15" s="4">
        <f>Hotel!X20</f>
        <v>4330</v>
      </c>
      <c r="M15" s="4">
        <f>Hotel!Y20</f>
        <v>4100</v>
      </c>
      <c r="N15" s="4">
        <f>Hotel!Z20</f>
        <v>2660</v>
      </c>
      <c r="O15" s="4">
        <f>Hotel!AA20</f>
        <v>3070</v>
      </c>
      <c r="P15" s="4">
        <f>Hotel!AB20</f>
        <v>6990</v>
      </c>
      <c r="Q15" s="4">
        <f>Hotel!AC20</f>
        <v>10150</v>
      </c>
      <c r="R15" s="4">
        <f>Hotel!AV20*0.00378541*100</f>
        <v>0</v>
      </c>
      <c r="S15" s="4">
        <f>Hotel!B20</f>
        <v>141</v>
      </c>
    </row>
    <row r="16" spans="1:19" x14ac:dyDescent="0.3">
      <c r="A16" s="21" t="s">
        <v>31</v>
      </c>
      <c r="B16" s="2">
        <f t="shared" si="0"/>
        <v>15</v>
      </c>
      <c r="C16" s="3">
        <v>6</v>
      </c>
      <c r="D16" s="11">
        <v>2022</v>
      </c>
      <c r="E16" s="4">
        <f>Hotel!Q21</f>
        <v>1030</v>
      </c>
      <c r="F16" s="4">
        <f>Hotel!R21</f>
        <v>12910</v>
      </c>
      <c r="G16" s="4">
        <f>Hotel!S21</f>
        <v>3290</v>
      </c>
      <c r="H16" s="4">
        <f>Hotel!T21</f>
        <v>1570</v>
      </c>
      <c r="I16" s="4">
        <f>Hotel!U21</f>
        <v>4840</v>
      </c>
      <c r="J16" s="4">
        <f>Hotel!V21</f>
        <v>4230</v>
      </c>
      <c r="K16" s="4">
        <f>Hotel!W21</f>
        <v>3530</v>
      </c>
      <c r="L16" s="4">
        <f>Hotel!X21</f>
        <v>4240</v>
      </c>
      <c r="M16" s="4">
        <f>Hotel!Y21</f>
        <v>3830</v>
      </c>
      <c r="N16" s="4">
        <f>Hotel!Z21</f>
        <v>2630</v>
      </c>
      <c r="O16" s="4">
        <f>Hotel!AA21</f>
        <v>2940</v>
      </c>
      <c r="P16" s="4">
        <f>Hotel!AB21</f>
        <v>6970</v>
      </c>
      <c r="Q16" s="4">
        <f>Hotel!AC21</f>
        <v>8350</v>
      </c>
      <c r="R16" s="4">
        <f>Hotel!AV21*0.00378541*100</f>
        <v>0</v>
      </c>
      <c r="S16" s="4">
        <f>Hotel!B21</f>
        <v>108</v>
      </c>
    </row>
    <row r="17" spans="1:19" x14ac:dyDescent="0.3">
      <c r="A17" s="21" t="s">
        <v>31</v>
      </c>
      <c r="B17" s="2">
        <f t="shared" si="0"/>
        <v>16</v>
      </c>
      <c r="C17" s="3">
        <v>6</v>
      </c>
      <c r="D17" s="11">
        <v>2022</v>
      </c>
      <c r="E17" s="4">
        <f>Hotel!Q22</f>
        <v>1020</v>
      </c>
      <c r="F17" s="4">
        <f>Hotel!R22</f>
        <v>12710</v>
      </c>
      <c r="G17" s="4">
        <f>Hotel!S22</f>
        <v>3230</v>
      </c>
      <c r="H17" s="4">
        <f>Hotel!T22</f>
        <v>1550</v>
      </c>
      <c r="I17" s="4">
        <f>Hotel!U22</f>
        <v>4830</v>
      </c>
      <c r="J17" s="4">
        <f>Hotel!V22</f>
        <v>4130</v>
      </c>
      <c r="K17" s="4">
        <f>Hotel!W22</f>
        <v>2880</v>
      </c>
      <c r="L17" s="4">
        <f>Hotel!X22</f>
        <v>4180</v>
      </c>
      <c r="M17" s="4">
        <f>Hotel!Y22</f>
        <v>3780</v>
      </c>
      <c r="N17" s="4">
        <f>Hotel!Z22</f>
        <v>2750</v>
      </c>
      <c r="O17" s="4">
        <f>Hotel!AA22</f>
        <v>3150</v>
      </c>
      <c r="P17" s="4">
        <f>Hotel!AB22</f>
        <v>6800</v>
      </c>
      <c r="Q17" s="4">
        <f>Hotel!AC22</f>
        <v>10270</v>
      </c>
      <c r="R17" s="4">
        <f>Hotel!AV22*0.00378541*100</f>
        <v>0</v>
      </c>
      <c r="S17" s="4">
        <f>Hotel!B22</f>
        <v>211</v>
      </c>
    </row>
    <row r="18" spans="1:19" x14ac:dyDescent="0.3">
      <c r="A18" s="21" t="s">
        <v>31</v>
      </c>
      <c r="B18" s="2">
        <f t="shared" si="0"/>
        <v>17</v>
      </c>
      <c r="C18" s="3">
        <v>6</v>
      </c>
      <c r="D18" s="11">
        <v>2022</v>
      </c>
      <c r="E18" s="4">
        <f>Hotel!Q23</f>
        <v>1034</v>
      </c>
      <c r="F18" s="4">
        <f>Hotel!R23</f>
        <v>12790</v>
      </c>
      <c r="G18" s="4">
        <f>Hotel!S23</f>
        <v>3230</v>
      </c>
      <c r="H18" s="4">
        <f>Hotel!T23</f>
        <v>1560</v>
      </c>
      <c r="I18" s="4">
        <f>Hotel!U23</f>
        <v>4800</v>
      </c>
      <c r="J18" s="4">
        <f>Hotel!V23</f>
        <v>4240</v>
      </c>
      <c r="K18" s="4">
        <f>Hotel!W23</f>
        <v>2890</v>
      </c>
      <c r="L18" s="4">
        <f>Hotel!X23</f>
        <v>4300</v>
      </c>
      <c r="M18" s="4">
        <f>Hotel!Y23</f>
        <v>3800</v>
      </c>
      <c r="N18" s="4">
        <f>Hotel!Z23</f>
        <v>2870</v>
      </c>
      <c r="O18" s="4">
        <f>Hotel!AA23</f>
        <v>3230</v>
      </c>
      <c r="P18" s="4">
        <f>Hotel!AB23</f>
        <v>6740</v>
      </c>
      <c r="Q18" s="4">
        <f>Hotel!AC23</f>
        <v>11710</v>
      </c>
      <c r="R18" s="4">
        <f>Hotel!AV23*0.00378541*100</f>
        <v>754.81075399999997</v>
      </c>
      <c r="S18" s="4">
        <f>Hotel!B23</f>
        <v>228</v>
      </c>
    </row>
    <row r="19" spans="1:19" x14ac:dyDescent="0.3">
      <c r="A19" s="21" t="s">
        <v>31</v>
      </c>
      <c r="B19" s="2">
        <f t="shared" si="0"/>
        <v>18</v>
      </c>
      <c r="C19" s="3">
        <v>6</v>
      </c>
      <c r="D19" s="11">
        <v>2022</v>
      </c>
      <c r="E19" s="4">
        <f>Hotel!Q24</f>
        <v>1026</v>
      </c>
      <c r="F19" s="4">
        <f>Hotel!R24</f>
        <v>12770</v>
      </c>
      <c r="G19" s="4">
        <f>Hotel!S24</f>
        <v>3220</v>
      </c>
      <c r="H19" s="4">
        <f>Hotel!T24</f>
        <v>1580</v>
      </c>
      <c r="I19" s="4">
        <f>Hotel!U24</f>
        <v>4800</v>
      </c>
      <c r="J19" s="4">
        <f>Hotel!V24</f>
        <v>4270</v>
      </c>
      <c r="K19" s="4">
        <f>Hotel!W24</f>
        <v>3260</v>
      </c>
      <c r="L19" s="4">
        <f>Hotel!X24</f>
        <v>4240</v>
      </c>
      <c r="M19" s="4">
        <f>Hotel!Y24</f>
        <v>3900</v>
      </c>
      <c r="N19" s="4">
        <f>Hotel!Z24</f>
        <v>2860</v>
      </c>
      <c r="O19" s="4">
        <f>Hotel!AA24</f>
        <v>3270</v>
      </c>
      <c r="P19" s="4">
        <f>Hotel!AB24</f>
        <v>7070</v>
      </c>
      <c r="Q19" s="4">
        <f>Hotel!AC24</f>
        <v>10660</v>
      </c>
      <c r="R19" s="4">
        <f>Hotel!AV24*0.00378541*100</f>
        <v>758.217623</v>
      </c>
      <c r="S19" s="4">
        <f>Hotel!B24</f>
        <v>172</v>
      </c>
    </row>
    <row r="20" spans="1:19" x14ac:dyDescent="0.3">
      <c r="A20" s="21" t="s">
        <v>31</v>
      </c>
      <c r="B20" s="2">
        <f t="shared" si="0"/>
        <v>19</v>
      </c>
      <c r="C20" s="3">
        <v>6</v>
      </c>
      <c r="D20" s="11">
        <v>2022</v>
      </c>
      <c r="E20" s="4">
        <f>Hotel!Q25</f>
        <v>1020</v>
      </c>
      <c r="F20" s="4">
        <f>Hotel!R25</f>
        <v>12770</v>
      </c>
      <c r="G20" s="4">
        <f>Hotel!S25</f>
        <v>3280</v>
      </c>
      <c r="H20" s="4">
        <f>Hotel!T25</f>
        <v>1570</v>
      </c>
      <c r="I20" s="4">
        <f>Hotel!U25</f>
        <v>4630</v>
      </c>
      <c r="J20" s="4">
        <f>Hotel!V25</f>
        <v>4080</v>
      </c>
      <c r="K20" s="4">
        <f>Hotel!W25</f>
        <v>2850</v>
      </c>
      <c r="L20" s="4">
        <f>Hotel!X25</f>
        <v>3970</v>
      </c>
      <c r="M20" s="4">
        <f>Hotel!Y25</f>
        <v>3670</v>
      </c>
      <c r="N20" s="4">
        <f>Hotel!Z25</f>
        <v>2640</v>
      </c>
      <c r="O20" s="4">
        <f>Hotel!AA25</f>
        <v>3110</v>
      </c>
      <c r="P20" s="4">
        <f>Hotel!AB25</f>
        <v>6850</v>
      </c>
      <c r="Q20" s="4">
        <f>Hotel!AC25</f>
        <v>9630</v>
      </c>
      <c r="R20" s="4">
        <f>Hotel!AV25*0.00378541*100</f>
        <v>843.76788899999985</v>
      </c>
      <c r="S20" s="4">
        <f>Hotel!B25</f>
        <v>117</v>
      </c>
    </row>
    <row r="21" spans="1:19" x14ac:dyDescent="0.3">
      <c r="A21" s="21" t="s">
        <v>31</v>
      </c>
      <c r="B21" s="2">
        <f t="shared" si="0"/>
        <v>20</v>
      </c>
      <c r="C21" s="3">
        <v>6</v>
      </c>
      <c r="D21" s="11">
        <v>2022</v>
      </c>
      <c r="E21" s="4">
        <f>Hotel!Q26</f>
        <v>1070</v>
      </c>
      <c r="F21" s="4">
        <f>Hotel!R26</f>
        <v>13700</v>
      </c>
      <c r="G21" s="4">
        <f>Hotel!S26</f>
        <v>3530</v>
      </c>
      <c r="H21" s="4">
        <f>Hotel!T26</f>
        <v>1710</v>
      </c>
      <c r="I21" s="4">
        <f>Hotel!U26</f>
        <v>4750</v>
      </c>
      <c r="J21" s="4">
        <f>Hotel!V26</f>
        <v>4470</v>
      </c>
      <c r="K21" s="4">
        <f>Hotel!W26</f>
        <v>3290</v>
      </c>
      <c r="L21" s="4">
        <f>Hotel!X26</f>
        <v>4390</v>
      </c>
      <c r="M21" s="4">
        <f>Hotel!Y26</f>
        <v>4840</v>
      </c>
      <c r="N21" s="4">
        <f>Hotel!Z26</f>
        <v>2800</v>
      </c>
      <c r="O21" s="4">
        <f>Hotel!AA26</f>
        <v>3110</v>
      </c>
      <c r="P21" s="4">
        <f>Hotel!AB26</f>
        <v>7400</v>
      </c>
      <c r="Q21" s="4">
        <f>Hotel!AC26</f>
        <v>9500</v>
      </c>
      <c r="R21" s="4">
        <f>Hotel!AV26*0.00378541*100</f>
        <v>930.07523700000002</v>
      </c>
      <c r="S21" s="4">
        <f>Hotel!B26</f>
        <v>126</v>
      </c>
    </row>
    <row r="22" spans="1:19" x14ac:dyDescent="0.3">
      <c r="A22" s="21" t="s">
        <v>31</v>
      </c>
      <c r="B22" s="2">
        <f t="shared" si="0"/>
        <v>21</v>
      </c>
      <c r="C22" s="3">
        <v>6</v>
      </c>
      <c r="D22" s="11">
        <v>2022</v>
      </c>
      <c r="E22" s="4">
        <f>Hotel!Q27</f>
        <v>990</v>
      </c>
      <c r="F22" s="4">
        <f>Hotel!R27</f>
        <v>13210</v>
      </c>
      <c r="G22" s="4">
        <f>Hotel!S27</f>
        <v>3440</v>
      </c>
      <c r="H22" s="4">
        <f>Hotel!T27</f>
        <v>1630</v>
      </c>
      <c r="I22" s="4">
        <f>Hotel!U27</f>
        <v>4610</v>
      </c>
      <c r="J22" s="4">
        <f>Hotel!V27</f>
        <v>4060</v>
      </c>
      <c r="K22" s="4">
        <f>Hotel!W27</f>
        <v>2900</v>
      </c>
      <c r="L22" s="4">
        <f>Hotel!X27</f>
        <v>3920</v>
      </c>
      <c r="M22" s="4">
        <f>Hotel!Y27</f>
        <v>5070</v>
      </c>
      <c r="N22" s="4">
        <f>Hotel!Z27</f>
        <v>2590</v>
      </c>
      <c r="O22" s="4">
        <f>Hotel!AA27</f>
        <v>3020</v>
      </c>
      <c r="P22" s="4">
        <f>Hotel!AB27</f>
        <v>7210</v>
      </c>
      <c r="Q22" s="4">
        <f>Hotel!AC27</f>
        <v>9590</v>
      </c>
      <c r="R22" s="4">
        <f>Hotel!AV27*0.00378541*100</f>
        <v>1235.557824</v>
      </c>
      <c r="S22" s="4">
        <f>Hotel!B27</f>
        <v>147</v>
      </c>
    </row>
    <row r="23" spans="1:19" x14ac:dyDescent="0.3">
      <c r="A23" s="21" t="s">
        <v>31</v>
      </c>
      <c r="B23" s="2">
        <f t="shared" si="0"/>
        <v>22</v>
      </c>
      <c r="C23" s="3">
        <v>6</v>
      </c>
      <c r="D23" s="11">
        <v>2022</v>
      </c>
      <c r="E23" s="4">
        <f>Hotel!Q28</f>
        <v>1050</v>
      </c>
      <c r="F23" s="4">
        <f>Hotel!R28</f>
        <v>13740</v>
      </c>
      <c r="G23" s="4">
        <f>Hotel!S28</f>
        <v>3560</v>
      </c>
      <c r="H23" s="4">
        <f>Hotel!T28</f>
        <v>1710</v>
      </c>
      <c r="I23" s="4">
        <f>Hotel!U28</f>
        <v>4910</v>
      </c>
      <c r="J23" s="4">
        <f>Hotel!V28</f>
        <v>4320</v>
      </c>
      <c r="K23" s="4">
        <f>Hotel!W28</f>
        <v>3280</v>
      </c>
      <c r="L23" s="4">
        <f>Hotel!X28</f>
        <v>4310</v>
      </c>
      <c r="M23" s="4">
        <f>Hotel!Y28</f>
        <v>5440</v>
      </c>
      <c r="N23" s="4">
        <f>Hotel!Z28</f>
        <v>2680</v>
      </c>
      <c r="O23" s="4">
        <f>Hotel!AA28</f>
        <v>3000</v>
      </c>
      <c r="P23" s="4">
        <f>Hotel!AB28</f>
        <v>7570</v>
      </c>
      <c r="Q23" s="4">
        <f>Hotel!AC28</f>
        <v>9490</v>
      </c>
      <c r="R23" s="4">
        <f>Hotel!AV28*0.00378541*100</f>
        <v>1126.538016</v>
      </c>
      <c r="S23" s="4">
        <f>Hotel!B28</f>
        <v>119</v>
      </c>
    </row>
    <row r="24" spans="1:19" x14ac:dyDescent="0.3">
      <c r="A24" s="21" t="s">
        <v>31</v>
      </c>
      <c r="B24" s="2">
        <f t="shared" si="0"/>
        <v>23</v>
      </c>
      <c r="C24" s="3">
        <v>6</v>
      </c>
      <c r="D24" s="11">
        <v>2022</v>
      </c>
      <c r="E24" s="4">
        <f>Hotel!Q29</f>
        <v>970</v>
      </c>
      <c r="F24" s="4">
        <f>Hotel!R29</f>
        <v>12760</v>
      </c>
      <c r="G24" s="4">
        <f>Hotel!S29</f>
        <v>3260</v>
      </c>
      <c r="H24" s="4">
        <f>Hotel!T29</f>
        <v>1600</v>
      </c>
      <c r="I24" s="4">
        <f>Hotel!U29</f>
        <v>4600</v>
      </c>
      <c r="J24" s="4">
        <f>Hotel!V29</f>
        <v>3970</v>
      </c>
      <c r="K24" s="4">
        <f>Hotel!W29</f>
        <v>2880</v>
      </c>
      <c r="L24" s="4">
        <f>Hotel!X29</f>
        <v>3950</v>
      </c>
      <c r="M24" s="4">
        <f>Hotel!Y29</f>
        <v>5470</v>
      </c>
      <c r="N24" s="4">
        <f>Hotel!Z29</f>
        <v>2540</v>
      </c>
      <c r="O24" s="4">
        <f>Hotel!AA29</f>
        <v>3040</v>
      </c>
      <c r="P24" s="4">
        <f>Hotel!AB29</f>
        <v>7030</v>
      </c>
      <c r="Q24" s="4">
        <f>Hotel!AC29</f>
        <v>8690</v>
      </c>
      <c r="R24" s="4">
        <f>Hotel!AV29*0.00378541*100</f>
        <v>739.29057299999999</v>
      </c>
      <c r="S24" s="4">
        <f>Hotel!B29</f>
        <v>161</v>
      </c>
    </row>
    <row r="25" spans="1:19" x14ac:dyDescent="0.3">
      <c r="A25" s="21" t="s">
        <v>31</v>
      </c>
      <c r="B25" s="2">
        <f t="shared" si="0"/>
        <v>24</v>
      </c>
      <c r="C25" s="3">
        <v>6</v>
      </c>
      <c r="D25" s="11">
        <v>2022</v>
      </c>
      <c r="E25" s="4">
        <f>Hotel!Q30</f>
        <v>1030</v>
      </c>
      <c r="F25" s="4">
        <f>Hotel!R30</f>
        <v>13620</v>
      </c>
      <c r="G25" s="4">
        <f>Hotel!S30</f>
        <v>3510</v>
      </c>
      <c r="H25" s="4">
        <f>Hotel!T30</f>
        <v>1670</v>
      </c>
      <c r="I25" s="4">
        <f>Hotel!U30</f>
        <v>4930</v>
      </c>
      <c r="J25" s="4">
        <f>Hotel!V30</f>
        <v>4240</v>
      </c>
      <c r="K25" s="4">
        <f>Hotel!W30</f>
        <v>3010</v>
      </c>
      <c r="L25" s="4">
        <f>Hotel!X30</f>
        <v>4260</v>
      </c>
      <c r="M25" s="4">
        <f>Hotel!Y30</f>
        <v>6030</v>
      </c>
      <c r="N25" s="4">
        <f>Hotel!Z30</f>
        <v>2960</v>
      </c>
      <c r="O25" s="4">
        <f>Hotel!AA30</f>
        <v>3220</v>
      </c>
      <c r="P25" s="4">
        <f>Hotel!AB30</f>
        <v>7150</v>
      </c>
      <c r="Q25" s="4">
        <f>Hotel!AC30</f>
        <v>7670</v>
      </c>
      <c r="R25" s="4">
        <f>Hotel!AV30*0.00378541*100</f>
        <v>774.87342699999999</v>
      </c>
      <c r="S25" s="4">
        <f>Hotel!B30</f>
        <v>233</v>
      </c>
    </row>
    <row r="26" spans="1:19" x14ac:dyDescent="0.3">
      <c r="A26" s="21" t="s">
        <v>31</v>
      </c>
      <c r="B26" s="2">
        <f>B25+1</f>
        <v>25</v>
      </c>
      <c r="C26" s="3">
        <v>6</v>
      </c>
      <c r="D26" s="11">
        <v>2022</v>
      </c>
      <c r="E26" s="4">
        <f>Hotel!Q31</f>
        <v>1020</v>
      </c>
      <c r="F26" s="4">
        <f>Hotel!R31</f>
        <v>13550</v>
      </c>
      <c r="G26" s="4">
        <f>Hotel!S31</f>
        <v>3510</v>
      </c>
      <c r="H26" s="4">
        <f>Hotel!T31</f>
        <v>1670</v>
      </c>
      <c r="I26" s="4">
        <f>Hotel!U31</f>
        <v>4870</v>
      </c>
      <c r="J26" s="4">
        <f>Hotel!V31</f>
        <v>4210</v>
      </c>
      <c r="K26" s="4">
        <f>Hotel!W31</f>
        <v>2890</v>
      </c>
      <c r="L26" s="4">
        <f>Hotel!X31</f>
        <v>4470</v>
      </c>
      <c r="M26" s="4">
        <f>Hotel!Y31</f>
        <v>5930</v>
      </c>
      <c r="N26" s="4">
        <f>Hotel!Z31</f>
        <v>2900</v>
      </c>
      <c r="O26" s="4">
        <f>Hotel!AA31</f>
        <v>3260</v>
      </c>
      <c r="P26" s="4">
        <f>Hotel!AB31</f>
        <v>7300</v>
      </c>
      <c r="Q26" s="4">
        <f>Hotel!AC31</f>
        <v>8220</v>
      </c>
      <c r="R26" s="4">
        <f>Hotel!AV31*0.00378541*100</f>
        <v>678.72401300000001</v>
      </c>
      <c r="S26" s="4">
        <f>Hotel!B31</f>
        <v>153</v>
      </c>
    </row>
    <row r="27" spans="1:19" x14ac:dyDescent="0.3">
      <c r="A27" s="21" t="s">
        <v>31</v>
      </c>
      <c r="B27" s="2">
        <f t="shared" si="0"/>
        <v>26</v>
      </c>
      <c r="C27" s="3">
        <v>6</v>
      </c>
      <c r="D27" s="11">
        <v>2022</v>
      </c>
      <c r="E27" s="4">
        <f>Hotel!Q32</f>
        <v>1020</v>
      </c>
      <c r="F27" s="4">
        <f>Hotel!R32</f>
        <v>13180</v>
      </c>
      <c r="G27" s="4">
        <f>Hotel!S32</f>
        <v>3390</v>
      </c>
      <c r="H27" s="4">
        <f>Hotel!T32</f>
        <v>1620</v>
      </c>
      <c r="I27" s="4">
        <f>Hotel!U32</f>
        <v>4790</v>
      </c>
      <c r="J27" s="4">
        <f>Hotel!V32</f>
        <v>4030</v>
      </c>
      <c r="K27" s="4">
        <f>Hotel!W32</f>
        <v>2980</v>
      </c>
      <c r="L27" s="4">
        <f>Hotel!X32</f>
        <v>4050</v>
      </c>
      <c r="M27" s="4">
        <f>Hotel!Y32</f>
        <v>5440</v>
      </c>
      <c r="N27" s="4">
        <f>Hotel!Z32</f>
        <v>2830</v>
      </c>
      <c r="O27" s="4">
        <f>Hotel!AA32</f>
        <v>3240</v>
      </c>
      <c r="P27" s="4">
        <f>Hotel!AB32</f>
        <v>6970</v>
      </c>
      <c r="Q27" s="4">
        <f>Hotel!AC32</f>
        <v>9560</v>
      </c>
      <c r="R27" s="4">
        <f>Hotel!AV32*0.00378541*100</f>
        <v>751.40388499999995</v>
      </c>
      <c r="S27" s="4">
        <f>Hotel!B32</f>
        <v>164</v>
      </c>
    </row>
    <row r="28" spans="1:19" x14ac:dyDescent="0.3">
      <c r="A28" s="21" t="s">
        <v>31</v>
      </c>
      <c r="B28" s="2">
        <f t="shared" si="0"/>
        <v>27</v>
      </c>
      <c r="C28" s="3">
        <v>6</v>
      </c>
      <c r="D28" s="11">
        <v>2022</v>
      </c>
      <c r="E28" s="4">
        <f>Hotel!Q33</f>
        <v>1070</v>
      </c>
      <c r="F28" s="4">
        <f>Hotel!R33</f>
        <v>13720</v>
      </c>
      <c r="G28" s="4">
        <f>Hotel!S33</f>
        <v>3510</v>
      </c>
      <c r="H28" s="4">
        <f>Hotel!T33</f>
        <v>1680</v>
      </c>
      <c r="I28" s="4">
        <f>Hotel!U33</f>
        <v>4900</v>
      </c>
      <c r="J28" s="4">
        <f>Hotel!V33</f>
        <v>4270</v>
      </c>
      <c r="K28" s="4">
        <f>Hotel!W33</f>
        <v>3260</v>
      </c>
      <c r="L28" s="4">
        <f>Hotel!X33</f>
        <v>4500</v>
      </c>
      <c r="M28" s="4">
        <f>Hotel!Y33</f>
        <v>5640</v>
      </c>
      <c r="N28" s="4">
        <f>Hotel!Z33</f>
        <v>2910</v>
      </c>
      <c r="O28" s="4">
        <f>Hotel!AA33</f>
        <v>3280</v>
      </c>
      <c r="P28" s="4">
        <f>Hotel!AB33</f>
        <v>7210</v>
      </c>
      <c r="Q28" s="4">
        <f>Hotel!AC33</f>
        <v>9810</v>
      </c>
      <c r="R28" s="4">
        <f>Hotel!AV33*0.00378541*100</f>
        <v>1005.783437</v>
      </c>
      <c r="S28" s="4">
        <f>Hotel!B33</f>
        <v>166</v>
      </c>
    </row>
    <row r="29" spans="1:19" x14ac:dyDescent="0.3">
      <c r="A29" s="21" t="s">
        <v>31</v>
      </c>
      <c r="B29" s="2">
        <f t="shared" si="0"/>
        <v>28</v>
      </c>
      <c r="C29" s="3">
        <v>6</v>
      </c>
      <c r="D29" s="11">
        <v>2022</v>
      </c>
      <c r="E29" s="4">
        <f>Hotel!Q34</f>
        <v>1020</v>
      </c>
      <c r="F29" s="4">
        <f>Hotel!R34</f>
        <v>12990</v>
      </c>
      <c r="G29" s="4">
        <f>Hotel!S34</f>
        <v>3310</v>
      </c>
      <c r="H29" s="4">
        <f>Hotel!T34</f>
        <v>1600</v>
      </c>
      <c r="I29" s="4">
        <f>Hotel!U34</f>
        <v>4760</v>
      </c>
      <c r="J29" s="4">
        <f>Hotel!V34</f>
        <v>4230</v>
      </c>
      <c r="K29" s="4">
        <f>Hotel!W34</f>
        <v>3000</v>
      </c>
      <c r="L29" s="4">
        <f>Hotel!X34</f>
        <v>4390</v>
      </c>
      <c r="M29" s="4">
        <f>Hotel!Y34</f>
        <v>5130</v>
      </c>
      <c r="N29" s="4">
        <f>Hotel!Z34</f>
        <v>2840</v>
      </c>
      <c r="O29" s="4">
        <f>Hotel!AA34</f>
        <v>3200</v>
      </c>
      <c r="P29" s="4">
        <f>Hotel!AB34</f>
        <v>6970</v>
      </c>
      <c r="Q29" s="4">
        <f>Hotel!AC34</f>
        <v>9900</v>
      </c>
      <c r="R29" s="4">
        <f>Hotel!AV34*0.00378541*100</f>
        <v>730.20558900000003</v>
      </c>
      <c r="S29" s="4">
        <f>Hotel!B34</f>
        <v>144</v>
      </c>
    </row>
    <row r="30" spans="1:19" x14ac:dyDescent="0.3">
      <c r="A30" s="21" t="s">
        <v>31</v>
      </c>
      <c r="B30" s="2">
        <f>B29+1</f>
        <v>29</v>
      </c>
      <c r="C30" s="3">
        <v>6</v>
      </c>
      <c r="D30" s="11">
        <v>2022</v>
      </c>
      <c r="E30" s="4">
        <f>Hotel!Q35</f>
        <v>990</v>
      </c>
      <c r="F30" s="4">
        <f>Hotel!R35</f>
        <v>13110</v>
      </c>
      <c r="G30" s="4">
        <f>Hotel!S35</f>
        <v>3380</v>
      </c>
      <c r="H30" s="4">
        <f>Hotel!T35</f>
        <v>1600</v>
      </c>
      <c r="I30" s="4">
        <f>Hotel!U35</f>
        <v>4570</v>
      </c>
      <c r="J30" s="4">
        <f>Hotel!V35</f>
        <v>4060</v>
      </c>
      <c r="K30" s="4">
        <f>Hotel!W35</f>
        <v>3140</v>
      </c>
      <c r="L30" s="4">
        <f>Hotel!X35</f>
        <v>4140</v>
      </c>
      <c r="M30" s="4">
        <f>Hotel!Y35</f>
        <v>5580</v>
      </c>
      <c r="N30" s="4">
        <f>Hotel!Z35</f>
        <v>2640</v>
      </c>
      <c r="O30" s="4">
        <f>Hotel!AA35</f>
        <v>3150</v>
      </c>
      <c r="P30" s="4">
        <f>Hotel!AB35</f>
        <v>7080</v>
      </c>
      <c r="Q30" s="4">
        <f>Hotel!AC35</f>
        <v>10640</v>
      </c>
      <c r="R30" s="4">
        <f>Hotel!AV35*0.00378541*100</f>
        <v>1022.439241</v>
      </c>
      <c r="S30" s="4">
        <f>Hotel!B35</f>
        <v>128</v>
      </c>
    </row>
    <row r="31" spans="1:19" x14ac:dyDescent="0.3">
      <c r="A31" s="21" t="s">
        <v>31</v>
      </c>
      <c r="B31" s="2">
        <f>B30+1</f>
        <v>30</v>
      </c>
      <c r="C31" s="3">
        <v>6</v>
      </c>
      <c r="D31" s="11">
        <v>2022</v>
      </c>
      <c r="E31" s="4">
        <f>Hotel!Q36</f>
        <v>1070</v>
      </c>
      <c r="F31" s="4">
        <f>Hotel!R36</f>
        <v>14480</v>
      </c>
      <c r="G31" s="4">
        <f>Hotel!S36</f>
        <v>3770</v>
      </c>
      <c r="H31" s="4">
        <f>Hotel!T36</f>
        <v>1760</v>
      </c>
      <c r="I31" s="4">
        <f>Hotel!U36</f>
        <v>5140</v>
      </c>
      <c r="J31" s="4">
        <f>Hotel!V36</f>
        <v>4430</v>
      </c>
      <c r="K31" s="4">
        <f>Hotel!W36</f>
        <v>3620</v>
      </c>
      <c r="L31" s="4">
        <f>Hotel!X36</f>
        <v>4520</v>
      </c>
      <c r="M31" s="4">
        <f>Hotel!Y36</f>
        <v>5940</v>
      </c>
      <c r="N31" s="4">
        <f>Hotel!Z36</f>
        <v>2990</v>
      </c>
      <c r="O31" s="4">
        <f>Hotel!AA36</f>
        <v>3540</v>
      </c>
      <c r="P31" s="4">
        <f>Hotel!AB36</f>
        <v>7750</v>
      </c>
      <c r="Q31" s="4">
        <f>Hotel!AC36</f>
        <v>12550</v>
      </c>
      <c r="R31" s="4">
        <f>Hotel!AV36*0.00378541*100</f>
        <v>932.34648299999992</v>
      </c>
      <c r="S31" s="4">
        <f>Hotel!B36</f>
        <v>136</v>
      </c>
    </row>
    <row r="32" spans="1:19" x14ac:dyDescent="0.3">
      <c r="A32" s="21"/>
      <c r="C32" s="3"/>
      <c r="D32" s="11"/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X44"/>
  <sheetViews>
    <sheetView zoomScale="93" zoomScaleNormal="93" workbookViewId="0">
      <selection activeCell="O38" sqref="O38"/>
    </sheetView>
  </sheetViews>
  <sheetFormatPr defaultRowHeight="14.4" x14ac:dyDescent="0.3"/>
  <cols>
    <col min="1" max="1" width="10.5546875" customWidth="1"/>
    <col min="2" max="2" width="13.33203125" style="39" customWidth="1"/>
    <col min="3" max="3" width="10.33203125" customWidth="1"/>
    <col min="4" max="5" width="9.88671875" customWidth="1"/>
    <col min="6" max="6" width="10" customWidth="1"/>
    <col min="7" max="7" width="10.33203125" customWidth="1"/>
    <col min="8" max="8" width="10" customWidth="1"/>
    <col min="9" max="9" width="9.88671875" customWidth="1"/>
    <col min="10" max="10" width="10" customWidth="1"/>
    <col min="11" max="11" width="10.109375" customWidth="1"/>
    <col min="12" max="12" width="10.33203125" customWidth="1"/>
    <col min="13" max="13" width="10" customWidth="1"/>
    <col min="14" max="14" width="9.6640625" customWidth="1"/>
    <col min="15" max="15" width="9.88671875" customWidth="1"/>
    <col min="16" max="16" width="1.44140625" customWidth="1"/>
    <col min="17" max="17" width="9.88671875" style="2" customWidth="1"/>
    <col min="18" max="18" width="9.5546875" style="2" customWidth="1"/>
    <col min="19" max="19" width="9.6640625" style="2" customWidth="1"/>
    <col min="20" max="26" width="8.6640625" style="2" customWidth="1"/>
    <col min="27" max="27" width="16.88671875" style="2" customWidth="1"/>
    <col min="28" max="28" width="8.6640625" style="2" customWidth="1"/>
    <col min="29" max="29" width="9.6640625" style="2" customWidth="1"/>
    <col min="30" max="30" width="11.6640625" customWidth="1"/>
    <col min="31" max="31" width="1.6640625" customWidth="1"/>
    <col min="43" max="43" width="9.5546875" customWidth="1"/>
    <col min="44" max="44" width="9.33203125" customWidth="1"/>
    <col min="45" max="45" width="10.6640625" customWidth="1"/>
    <col min="46" max="46" width="1.33203125" customWidth="1"/>
    <col min="47" max="47" width="11.88671875" style="46" customWidth="1"/>
    <col min="48" max="49" width="14.6640625" customWidth="1"/>
    <col min="50" max="50" width="10.88671875" customWidth="1"/>
  </cols>
  <sheetData>
    <row r="1" spans="1:50" x14ac:dyDescent="0.3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3">
      <c r="A2" s="23">
        <v>44712</v>
      </c>
      <c r="B2" s="40">
        <v>143</v>
      </c>
      <c r="C2" s="24">
        <v>8144740</v>
      </c>
      <c r="D2" s="24">
        <v>18888560</v>
      </c>
      <c r="E2" s="24">
        <v>3221420</v>
      </c>
      <c r="F2" s="24">
        <v>4070270</v>
      </c>
      <c r="G2" s="24">
        <v>12054400</v>
      </c>
      <c r="H2" s="24">
        <v>6913300</v>
      </c>
      <c r="I2" s="24">
        <v>6050660</v>
      </c>
      <c r="J2" s="24">
        <v>7468620</v>
      </c>
      <c r="K2" s="24">
        <v>11028290</v>
      </c>
      <c r="L2" s="24">
        <v>4759270</v>
      </c>
      <c r="M2" s="24">
        <v>9015480</v>
      </c>
      <c r="N2" s="24">
        <v>14589510</v>
      </c>
      <c r="O2" s="24">
        <v>20418950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663505</v>
      </c>
    </row>
    <row r="4" spans="1:50" ht="20.25" customHeight="1" x14ac:dyDescent="0.3">
      <c r="A4" s="26" t="s">
        <v>22</v>
      </c>
      <c r="B4" s="41" t="s">
        <v>47</v>
      </c>
      <c r="C4" s="27" t="s">
        <v>49</v>
      </c>
      <c r="D4" s="63" t="s">
        <v>23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Q4" s="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7"/>
      <c r="AD4" s="28" t="s">
        <v>25</v>
      </c>
      <c r="AF4" s="68" t="s">
        <v>26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29" t="s">
        <v>27</v>
      </c>
      <c r="AU4" s="59" t="s">
        <v>28</v>
      </c>
      <c r="AV4" s="60" t="s">
        <v>29</v>
      </c>
      <c r="AW4" s="60" t="s">
        <v>48</v>
      </c>
      <c r="AX4" s="62" t="s">
        <v>30</v>
      </c>
    </row>
    <row r="5" spans="1:50" ht="15.6" x14ac:dyDescent="0.3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9"/>
      <c r="AV5" s="61"/>
      <c r="AW5" s="61"/>
      <c r="AX5" s="62"/>
    </row>
    <row r="6" spans="1:50" x14ac:dyDescent="0.3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663505</v>
      </c>
    </row>
    <row r="7" spans="1:50" x14ac:dyDescent="0.3">
      <c r="A7" s="23">
        <v>44713</v>
      </c>
      <c r="B7" s="40">
        <v>113</v>
      </c>
      <c r="C7" s="24">
        <v>8145760</v>
      </c>
      <c r="D7" s="24">
        <v>18901270</v>
      </c>
      <c r="E7" s="24">
        <v>3224590</v>
      </c>
      <c r="F7" s="24">
        <v>4071870</v>
      </c>
      <c r="G7" s="24">
        <v>12058380</v>
      </c>
      <c r="H7" s="24">
        <v>6917480</v>
      </c>
      <c r="I7" s="24">
        <v>6053820</v>
      </c>
      <c r="J7" s="24">
        <v>7472700</v>
      </c>
      <c r="K7" s="24">
        <v>11032610</v>
      </c>
      <c r="L7" s="24">
        <v>4761850</v>
      </c>
      <c r="M7" s="24">
        <v>9018640</v>
      </c>
      <c r="N7" s="24">
        <v>14596530</v>
      </c>
      <c r="O7" s="24">
        <v>20429990</v>
      </c>
      <c r="Q7" s="37">
        <f>IF((C7-C2&lt;0), "0",C7-C2)</f>
        <v>1020</v>
      </c>
      <c r="R7" s="37">
        <f t="shared" ref="R7:AC7" si="0">IF((D7-D2&lt;0), "0",D7-D2)</f>
        <v>12710</v>
      </c>
      <c r="S7" s="37">
        <f>IF((E7-E2&lt;0), "0",E7-E2)</f>
        <v>3170</v>
      </c>
      <c r="T7" s="37">
        <f t="shared" si="0"/>
        <v>1600</v>
      </c>
      <c r="U7" s="37">
        <f t="shared" si="0"/>
        <v>3980</v>
      </c>
      <c r="V7" s="37">
        <f t="shared" si="0"/>
        <v>4180</v>
      </c>
      <c r="W7" s="37">
        <f t="shared" si="0"/>
        <v>3160</v>
      </c>
      <c r="X7" s="37">
        <f t="shared" si="0"/>
        <v>4080</v>
      </c>
      <c r="Y7" s="37">
        <f t="shared" si="0"/>
        <v>4320</v>
      </c>
      <c r="Z7" s="37">
        <f t="shared" si="0"/>
        <v>2580</v>
      </c>
      <c r="AA7" s="37">
        <f t="shared" si="0"/>
        <v>3160</v>
      </c>
      <c r="AB7" s="37">
        <f t="shared" si="0"/>
        <v>7020</v>
      </c>
      <c r="AC7" s="37">
        <f t="shared" si="0"/>
        <v>11040</v>
      </c>
      <c r="AD7" s="34">
        <f>SUM(Q7:AC7)</f>
        <v>62020</v>
      </c>
      <c r="AF7" s="20">
        <f t="shared" ref="AF7:AF36" si="1">Q7*$D$39</f>
        <v>5.1000000000000005</v>
      </c>
      <c r="AG7" s="20">
        <f t="shared" ref="AG7:AG36" si="2">R7*$D$39</f>
        <v>63.550000000000004</v>
      </c>
      <c r="AH7" s="20">
        <f t="shared" ref="AH7:AH36" si="3">S7*$D$39</f>
        <v>15.85</v>
      </c>
      <c r="AI7" s="20">
        <f t="shared" ref="AI7:AI36" si="4">T7*$D$39</f>
        <v>8</v>
      </c>
      <c r="AJ7" s="20">
        <f t="shared" ref="AJ7:AJ36" si="5">U7*$D$39</f>
        <v>19.900000000000002</v>
      </c>
      <c r="AK7" s="20">
        <f t="shared" ref="AK7:AK36" si="6">V7*$D$39</f>
        <v>20.900000000000002</v>
      </c>
      <c r="AL7" s="20">
        <f t="shared" ref="AL7:AL36" si="7">W7*$D$39</f>
        <v>15.8</v>
      </c>
      <c r="AM7" s="20">
        <f t="shared" ref="AM7:AM36" si="8">X7*$D$39</f>
        <v>20.400000000000002</v>
      </c>
      <c r="AN7" s="20">
        <f t="shared" ref="AN7:AN36" si="9">Y7*$D$39</f>
        <v>21.6</v>
      </c>
      <c r="AO7" s="20">
        <f t="shared" ref="AO7:AO36" si="10">Z7*$D$39</f>
        <v>12.9</v>
      </c>
      <c r="AP7" s="20">
        <f t="shared" ref="AP7:AP36" si="11">AA7*$D$39</f>
        <v>15.8</v>
      </c>
      <c r="AQ7" s="20">
        <f t="shared" ref="AQ7:AQ36" si="12">AB7*$D$39</f>
        <v>35.1</v>
      </c>
      <c r="AR7" s="20">
        <f t="shared" ref="AR7:AR36" si="13">AC7*$D$39</f>
        <v>55.2</v>
      </c>
      <c r="AS7" s="35">
        <f>SUM(AF7:AR7)</f>
        <v>310.10000000000002</v>
      </c>
      <c r="AU7" s="47">
        <v>663505</v>
      </c>
      <c r="AV7" s="37">
        <f>IF((AU7-AU6&lt;0),"0",AU7-AU6)</f>
        <v>0</v>
      </c>
      <c r="AW7" s="37">
        <f>AV7*100*AV44</f>
        <v>0</v>
      </c>
      <c r="AX7" s="35">
        <f t="shared" ref="AX7:AX35" si="14">AV7*$D$40</f>
        <v>0</v>
      </c>
    </row>
    <row r="8" spans="1:50" x14ac:dyDescent="0.3">
      <c r="A8" s="23">
        <v>44714</v>
      </c>
      <c r="B8" s="40">
        <v>149</v>
      </c>
      <c r="C8" s="24">
        <v>8146760</v>
      </c>
      <c r="D8" s="24">
        <v>18913850</v>
      </c>
      <c r="E8" s="24">
        <v>3227750</v>
      </c>
      <c r="F8" s="24">
        <v>4073450</v>
      </c>
      <c r="G8" s="24">
        <v>12063320</v>
      </c>
      <c r="H8" s="24">
        <v>6921520</v>
      </c>
      <c r="I8" s="24">
        <v>6057180</v>
      </c>
      <c r="J8" s="24">
        <v>7476840</v>
      </c>
      <c r="K8" s="24">
        <v>11036840</v>
      </c>
      <c r="L8" s="24">
        <v>4764520</v>
      </c>
      <c r="M8" s="24">
        <v>9021920</v>
      </c>
      <c r="N8" s="24">
        <v>14603520</v>
      </c>
      <c r="O8" s="24">
        <v>20440060</v>
      </c>
      <c r="Q8" s="37">
        <f>IF((C8-C7&lt;0), "0",C8-C7)</f>
        <v>1000</v>
      </c>
      <c r="R8" s="37">
        <f t="shared" ref="R8:AC8" si="15">IF((D8-D7&lt;0), "0",D8-D7)</f>
        <v>12580</v>
      </c>
      <c r="S8" s="37">
        <f t="shared" ref="S8:S35" si="16">IF((E8-E7&lt;0), "0",E8-E7)</f>
        <v>3160</v>
      </c>
      <c r="T8" s="37">
        <f t="shared" si="15"/>
        <v>1580</v>
      </c>
      <c r="U8" s="37">
        <f t="shared" si="15"/>
        <v>4940</v>
      </c>
      <c r="V8" s="37">
        <f t="shared" si="15"/>
        <v>4040</v>
      </c>
      <c r="W8" s="37">
        <f t="shared" si="15"/>
        <v>3360</v>
      </c>
      <c r="X8" s="37">
        <f t="shared" si="15"/>
        <v>4140</v>
      </c>
      <c r="Y8" s="37">
        <f t="shared" si="15"/>
        <v>4230</v>
      </c>
      <c r="Z8" s="37">
        <f t="shared" si="15"/>
        <v>2670</v>
      </c>
      <c r="AA8" s="37">
        <f t="shared" si="15"/>
        <v>3280</v>
      </c>
      <c r="AB8" s="37">
        <f t="shared" si="15"/>
        <v>6990</v>
      </c>
      <c r="AC8" s="37">
        <f t="shared" si="15"/>
        <v>10070</v>
      </c>
      <c r="AD8" s="35">
        <f>SUM(Q8:AC8)</f>
        <v>62040</v>
      </c>
      <c r="AF8" s="20">
        <f t="shared" si="1"/>
        <v>5</v>
      </c>
      <c r="AG8" s="20">
        <f t="shared" si="2"/>
        <v>62.9</v>
      </c>
      <c r="AH8" s="20">
        <f t="shared" si="3"/>
        <v>15.8</v>
      </c>
      <c r="AI8" s="20">
        <f t="shared" si="4"/>
        <v>7.9</v>
      </c>
      <c r="AJ8" s="20">
        <f t="shared" si="5"/>
        <v>24.7</v>
      </c>
      <c r="AK8" s="20">
        <f t="shared" si="6"/>
        <v>20.2</v>
      </c>
      <c r="AL8" s="20">
        <f t="shared" si="7"/>
        <v>16.8</v>
      </c>
      <c r="AM8" s="20">
        <f t="shared" si="8"/>
        <v>20.7</v>
      </c>
      <c r="AN8" s="20">
        <f t="shared" si="9"/>
        <v>21.150000000000002</v>
      </c>
      <c r="AO8" s="20">
        <f t="shared" si="10"/>
        <v>13.35</v>
      </c>
      <c r="AP8" s="20">
        <f t="shared" si="11"/>
        <v>16.399999999999999</v>
      </c>
      <c r="AQ8" s="20">
        <f t="shared" si="12"/>
        <v>34.950000000000003</v>
      </c>
      <c r="AR8" s="20">
        <f t="shared" si="13"/>
        <v>50.35</v>
      </c>
      <c r="AS8" s="35">
        <f>SUM(AF8:AR8)</f>
        <v>310.20000000000005</v>
      </c>
      <c r="AU8" s="47">
        <v>663505</v>
      </c>
      <c r="AV8" s="37">
        <f>IF((AU8-AU7&lt;0),"0",AU8-AU7)</f>
        <v>0</v>
      </c>
      <c r="AW8" s="37">
        <f>AV8*100*AV44</f>
        <v>0</v>
      </c>
      <c r="AX8" s="35">
        <f t="shared" si="14"/>
        <v>0</v>
      </c>
    </row>
    <row r="9" spans="1:50" x14ac:dyDescent="0.3">
      <c r="A9" s="23">
        <v>44715</v>
      </c>
      <c r="B9" s="40">
        <v>160</v>
      </c>
      <c r="C9" s="24">
        <v>8147790</v>
      </c>
      <c r="D9" s="24">
        <v>18926560</v>
      </c>
      <c r="E9" s="24">
        <v>3230930</v>
      </c>
      <c r="F9" s="24">
        <v>4075060</v>
      </c>
      <c r="G9" s="24">
        <v>12068250</v>
      </c>
      <c r="H9" s="24">
        <v>6925600</v>
      </c>
      <c r="I9" s="24">
        <v>6060680</v>
      </c>
      <c r="J9" s="24">
        <v>7481040</v>
      </c>
      <c r="K9" s="24">
        <v>11041230</v>
      </c>
      <c r="L9" s="24">
        <v>4767260</v>
      </c>
      <c r="M9" s="24">
        <v>9025250</v>
      </c>
      <c r="N9" s="24">
        <v>14610640</v>
      </c>
      <c r="O9" s="24">
        <v>20450340</v>
      </c>
      <c r="Q9" s="37">
        <f t="shared" ref="Q9:Q30" si="17">IF((C9-C8&lt;0), "0",C9-C8)</f>
        <v>1030</v>
      </c>
      <c r="R9" s="37">
        <f t="shared" ref="R9:R37" si="18">IF((D9-D8&lt;0), "0",D9-D8)</f>
        <v>12710</v>
      </c>
      <c r="S9" s="37">
        <f t="shared" si="16"/>
        <v>3180</v>
      </c>
      <c r="T9" s="37">
        <f t="shared" ref="T9:T35" si="19">IF((F9-F8&lt;0), "0",F9-F8)</f>
        <v>1610</v>
      </c>
      <c r="U9" s="37">
        <f t="shared" ref="U9:U35" si="20">IF((G9-G8&lt;0), "0",G9-G8)</f>
        <v>4930</v>
      </c>
      <c r="V9" s="37">
        <f t="shared" ref="V9:V35" si="21">IF((H9-H8&lt;0), "0",H9-H8)</f>
        <v>4080</v>
      </c>
      <c r="W9" s="37">
        <f t="shared" ref="W9:W35" si="22">IF((I9-I8&lt;0), "0",I9-I8)</f>
        <v>3500</v>
      </c>
      <c r="X9" s="37">
        <f t="shared" ref="X9:X37" si="23">IF((J9-J8&lt;0), "0",J9-J8)</f>
        <v>4200</v>
      </c>
      <c r="Y9" s="37">
        <f t="shared" ref="Y9:Y35" si="24">IF((K9-K8&lt;0), "0",K9-K8)</f>
        <v>4390</v>
      </c>
      <c r="Z9" s="37">
        <f t="shared" ref="Z9:Z35" si="25">IF((L9-L8&lt;0), "0",L9-L8)</f>
        <v>2740</v>
      </c>
      <c r="AA9" s="37">
        <f t="shared" ref="AA9:AA35" si="26">IF((M9-M8&lt;0), "0",M9-M8)</f>
        <v>3330</v>
      </c>
      <c r="AB9" s="37">
        <f t="shared" ref="AB9:AB37" si="27">IF((N9-N8&lt;0), "0",N9-N8)</f>
        <v>7120</v>
      </c>
      <c r="AC9" s="37">
        <f t="shared" ref="AC9:AC37" si="28">IF((O9-O8&lt;0), "0",O9-O8)</f>
        <v>10280</v>
      </c>
      <c r="AD9" s="35">
        <f t="shared" ref="AD9:AD37" si="29">SUM(Q9:AC9)</f>
        <v>63100</v>
      </c>
      <c r="AF9" s="20">
        <f t="shared" si="1"/>
        <v>5.15</v>
      </c>
      <c r="AG9" s="20">
        <f t="shared" si="2"/>
        <v>63.550000000000004</v>
      </c>
      <c r="AH9" s="20">
        <f t="shared" si="3"/>
        <v>15.9</v>
      </c>
      <c r="AI9" s="20">
        <f t="shared" si="4"/>
        <v>8.0500000000000007</v>
      </c>
      <c r="AJ9" s="20">
        <f t="shared" si="5"/>
        <v>24.650000000000002</v>
      </c>
      <c r="AK9" s="20">
        <f t="shared" si="6"/>
        <v>20.400000000000002</v>
      </c>
      <c r="AL9" s="20">
        <f t="shared" si="7"/>
        <v>17.5</v>
      </c>
      <c r="AM9" s="20">
        <f t="shared" si="8"/>
        <v>21</v>
      </c>
      <c r="AN9" s="20">
        <f t="shared" si="9"/>
        <v>21.95</v>
      </c>
      <c r="AO9" s="20">
        <f t="shared" si="10"/>
        <v>13.700000000000001</v>
      </c>
      <c r="AP9" s="20">
        <f t="shared" si="11"/>
        <v>16.649999999999999</v>
      </c>
      <c r="AQ9" s="20">
        <f t="shared" si="12"/>
        <v>35.6</v>
      </c>
      <c r="AR9" s="20">
        <f t="shared" si="13"/>
        <v>51.4</v>
      </c>
      <c r="AS9" s="35">
        <f t="shared" ref="AS9:AS33" si="30">SUM(AF9:AR9)</f>
        <v>315.5</v>
      </c>
      <c r="AU9" s="47">
        <v>663505</v>
      </c>
      <c r="AV9" s="37">
        <f>IF((AU9-AU8&lt;0),"0",AU9-AU8)</f>
        <v>0</v>
      </c>
      <c r="AW9" s="37">
        <f>AV9*100*AV44</f>
        <v>0</v>
      </c>
      <c r="AX9" s="35">
        <f t="shared" si="14"/>
        <v>0</v>
      </c>
    </row>
    <row r="10" spans="1:50" x14ac:dyDescent="0.3">
      <c r="A10" s="23">
        <v>44716</v>
      </c>
      <c r="B10" s="40">
        <v>93</v>
      </c>
      <c r="C10" s="24">
        <v>8148820</v>
      </c>
      <c r="D10" s="24">
        <v>18939480</v>
      </c>
      <c r="E10" s="24">
        <v>3234180</v>
      </c>
      <c r="F10" s="24">
        <v>4076670</v>
      </c>
      <c r="G10" s="24">
        <v>12073200</v>
      </c>
      <c r="H10" s="24">
        <v>6929690</v>
      </c>
      <c r="I10" s="24">
        <v>6063930</v>
      </c>
      <c r="J10" s="24">
        <v>7485480</v>
      </c>
      <c r="K10" s="24">
        <v>11045700</v>
      </c>
      <c r="L10" s="24">
        <v>4769920</v>
      </c>
      <c r="M10" s="24">
        <v>9028470</v>
      </c>
      <c r="N10" s="24">
        <v>14617780</v>
      </c>
      <c r="O10" s="24">
        <v>20461140</v>
      </c>
      <c r="Q10" s="37">
        <f t="shared" si="17"/>
        <v>1030</v>
      </c>
      <c r="R10" s="37">
        <f t="shared" si="18"/>
        <v>12920</v>
      </c>
      <c r="S10" s="37">
        <f t="shared" si="16"/>
        <v>3250</v>
      </c>
      <c r="T10" s="37">
        <f t="shared" si="19"/>
        <v>1610</v>
      </c>
      <c r="U10" s="37">
        <f t="shared" si="20"/>
        <v>4950</v>
      </c>
      <c r="V10" s="37">
        <f t="shared" si="21"/>
        <v>4090</v>
      </c>
      <c r="W10" s="37">
        <f t="shared" si="22"/>
        <v>3250</v>
      </c>
      <c r="X10" s="37">
        <f t="shared" si="23"/>
        <v>4440</v>
      </c>
      <c r="Y10" s="37">
        <f t="shared" si="24"/>
        <v>4470</v>
      </c>
      <c r="Z10" s="37">
        <f t="shared" si="25"/>
        <v>2660</v>
      </c>
      <c r="AA10" s="37">
        <f t="shared" si="26"/>
        <v>3220</v>
      </c>
      <c r="AB10" s="37">
        <f t="shared" si="27"/>
        <v>7140</v>
      </c>
      <c r="AC10" s="37">
        <f t="shared" si="28"/>
        <v>10800</v>
      </c>
      <c r="AD10" s="35">
        <f t="shared" si="29"/>
        <v>63830</v>
      </c>
      <c r="AF10" s="20">
        <f t="shared" si="1"/>
        <v>5.15</v>
      </c>
      <c r="AG10" s="20">
        <f t="shared" si="2"/>
        <v>64.599999999999994</v>
      </c>
      <c r="AH10" s="20">
        <f t="shared" si="3"/>
        <v>16.25</v>
      </c>
      <c r="AI10" s="20">
        <f t="shared" si="4"/>
        <v>8.0500000000000007</v>
      </c>
      <c r="AJ10" s="20">
        <f t="shared" si="5"/>
        <v>24.75</v>
      </c>
      <c r="AK10" s="20">
        <f t="shared" si="6"/>
        <v>20.45</v>
      </c>
      <c r="AL10" s="20">
        <f t="shared" si="7"/>
        <v>16.25</v>
      </c>
      <c r="AM10" s="20">
        <f t="shared" si="8"/>
        <v>22.2</v>
      </c>
      <c r="AN10" s="20">
        <f t="shared" si="9"/>
        <v>22.35</v>
      </c>
      <c r="AO10" s="20">
        <f t="shared" si="10"/>
        <v>13.3</v>
      </c>
      <c r="AP10" s="20">
        <f t="shared" si="11"/>
        <v>16.100000000000001</v>
      </c>
      <c r="AQ10" s="20">
        <f t="shared" si="12"/>
        <v>35.700000000000003</v>
      </c>
      <c r="AR10" s="20">
        <f t="shared" si="13"/>
        <v>54</v>
      </c>
      <c r="AS10" s="35">
        <f t="shared" si="30"/>
        <v>319.14999999999998</v>
      </c>
      <c r="AU10" s="47">
        <v>663505</v>
      </c>
      <c r="AV10" s="37">
        <f t="shared" ref="AV10:AV26" si="31">IF((AU10-AU9&lt;0),"0",AU10-AU9)</f>
        <v>0</v>
      </c>
      <c r="AW10" s="37">
        <f>AV10*100*AV44</f>
        <v>0</v>
      </c>
      <c r="AX10" s="35">
        <f t="shared" si="14"/>
        <v>0</v>
      </c>
    </row>
    <row r="11" spans="1:50" x14ac:dyDescent="0.3">
      <c r="A11" s="23">
        <v>44717</v>
      </c>
      <c r="B11" s="40">
        <v>97</v>
      </c>
      <c r="C11" s="24">
        <v>8149840</v>
      </c>
      <c r="D11" s="24">
        <v>18952380</v>
      </c>
      <c r="E11" s="24">
        <v>3237470</v>
      </c>
      <c r="F11" s="24">
        <v>4078280</v>
      </c>
      <c r="G11" s="24">
        <v>12077770</v>
      </c>
      <c r="H11" s="24">
        <v>6933660</v>
      </c>
      <c r="I11" s="24">
        <v>6066900</v>
      </c>
      <c r="J11" s="24">
        <v>7489530</v>
      </c>
      <c r="K11" s="24">
        <v>11049900</v>
      </c>
      <c r="L11" s="24">
        <v>4772500</v>
      </c>
      <c r="M11" s="24">
        <v>9031650</v>
      </c>
      <c r="N11" s="24">
        <v>14624860</v>
      </c>
      <c r="O11" s="24">
        <v>20471110</v>
      </c>
      <c r="Q11" s="37">
        <f t="shared" si="17"/>
        <v>1020</v>
      </c>
      <c r="R11" s="37">
        <f t="shared" si="18"/>
        <v>12900</v>
      </c>
      <c r="S11" s="37">
        <f t="shared" si="16"/>
        <v>3290</v>
      </c>
      <c r="T11" s="37">
        <f t="shared" si="19"/>
        <v>1610</v>
      </c>
      <c r="U11" s="37">
        <f t="shared" si="20"/>
        <v>4570</v>
      </c>
      <c r="V11" s="37">
        <f t="shared" si="21"/>
        <v>3970</v>
      </c>
      <c r="W11" s="37">
        <f t="shared" si="22"/>
        <v>2970</v>
      </c>
      <c r="X11" s="37">
        <f t="shared" si="23"/>
        <v>4050</v>
      </c>
      <c r="Y11" s="37">
        <f t="shared" si="24"/>
        <v>4200</v>
      </c>
      <c r="Z11" s="37">
        <f t="shared" si="25"/>
        <v>2580</v>
      </c>
      <c r="AA11" s="37">
        <f t="shared" si="26"/>
        <v>3180</v>
      </c>
      <c r="AB11" s="37">
        <f t="shared" si="27"/>
        <v>7080</v>
      </c>
      <c r="AC11" s="37">
        <f t="shared" si="28"/>
        <v>9970</v>
      </c>
      <c r="AD11" s="35">
        <f t="shared" si="29"/>
        <v>61390</v>
      </c>
      <c r="AF11" s="20">
        <f t="shared" si="1"/>
        <v>5.1000000000000005</v>
      </c>
      <c r="AG11" s="20">
        <f t="shared" si="2"/>
        <v>64.5</v>
      </c>
      <c r="AH11" s="20">
        <f t="shared" si="3"/>
        <v>16.45</v>
      </c>
      <c r="AI11" s="20">
        <f t="shared" si="4"/>
        <v>8.0500000000000007</v>
      </c>
      <c r="AJ11" s="20">
        <f t="shared" si="5"/>
        <v>22.85</v>
      </c>
      <c r="AK11" s="20">
        <f t="shared" si="6"/>
        <v>19.850000000000001</v>
      </c>
      <c r="AL11" s="20">
        <f t="shared" si="7"/>
        <v>14.85</v>
      </c>
      <c r="AM11" s="20">
        <f t="shared" si="8"/>
        <v>20.25</v>
      </c>
      <c r="AN11" s="20">
        <f t="shared" si="9"/>
        <v>21</v>
      </c>
      <c r="AO11" s="20">
        <f t="shared" si="10"/>
        <v>12.9</v>
      </c>
      <c r="AP11" s="20">
        <f t="shared" si="11"/>
        <v>15.9</v>
      </c>
      <c r="AQ11" s="20">
        <f t="shared" si="12"/>
        <v>35.4</v>
      </c>
      <c r="AR11" s="20">
        <f t="shared" si="13"/>
        <v>49.85</v>
      </c>
      <c r="AS11" s="35">
        <f t="shared" si="30"/>
        <v>306.95</v>
      </c>
      <c r="AU11" s="47">
        <v>663505</v>
      </c>
      <c r="AV11" s="37">
        <f t="shared" si="31"/>
        <v>0</v>
      </c>
      <c r="AW11" s="37">
        <f>AV11*100*AV44</f>
        <v>0</v>
      </c>
      <c r="AX11" s="35">
        <f t="shared" si="14"/>
        <v>0</v>
      </c>
    </row>
    <row r="12" spans="1:50" x14ac:dyDescent="0.3">
      <c r="A12" s="23">
        <v>44718</v>
      </c>
      <c r="B12" s="40">
        <v>101</v>
      </c>
      <c r="C12" s="49">
        <v>8150860</v>
      </c>
      <c r="D12" s="24">
        <v>18965540</v>
      </c>
      <c r="E12" s="24">
        <v>3240830</v>
      </c>
      <c r="F12" s="24">
        <v>4079890</v>
      </c>
      <c r="G12" s="24">
        <v>12082350</v>
      </c>
      <c r="H12" s="24">
        <v>6937670</v>
      </c>
      <c r="I12" s="24">
        <v>6069940</v>
      </c>
      <c r="J12" s="24">
        <v>7493780</v>
      </c>
      <c r="K12" s="24">
        <v>11054460</v>
      </c>
      <c r="L12" s="24">
        <v>4775030</v>
      </c>
      <c r="M12" s="24">
        <v>9034620</v>
      </c>
      <c r="N12" s="24">
        <v>14631990</v>
      </c>
      <c r="O12" s="24">
        <v>20479920</v>
      </c>
      <c r="Q12" s="37">
        <f t="shared" si="17"/>
        <v>1020</v>
      </c>
      <c r="R12" s="37">
        <f t="shared" si="18"/>
        <v>13160</v>
      </c>
      <c r="S12" s="37">
        <f t="shared" si="16"/>
        <v>3360</v>
      </c>
      <c r="T12" s="37">
        <f t="shared" ref="T12:W14" si="32">IF((F12-F11&lt;0), "0",F12-F11)</f>
        <v>1610</v>
      </c>
      <c r="U12" s="37">
        <f t="shared" si="32"/>
        <v>4580</v>
      </c>
      <c r="V12" s="37">
        <f t="shared" si="32"/>
        <v>4010</v>
      </c>
      <c r="W12" s="37">
        <f t="shared" si="32"/>
        <v>3040</v>
      </c>
      <c r="X12" s="37">
        <f t="shared" si="23"/>
        <v>4250</v>
      </c>
      <c r="Y12" s="37">
        <f t="shared" si="24"/>
        <v>4560</v>
      </c>
      <c r="Z12" s="37">
        <f>IF((L12-L11&lt;0), "0",L12-L11)</f>
        <v>2530</v>
      </c>
      <c r="AA12" s="37">
        <f t="shared" si="26"/>
        <v>2970</v>
      </c>
      <c r="AB12" s="37">
        <f t="shared" si="27"/>
        <v>7130</v>
      </c>
      <c r="AC12" s="37">
        <f t="shared" si="28"/>
        <v>8810</v>
      </c>
      <c r="AD12" s="35">
        <f t="shared" si="29"/>
        <v>61030</v>
      </c>
      <c r="AF12" s="20">
        <f t="shared" si="1"/>
        <v>5.1000000000000005</v>
      </c>
      <c r="AG12" s="20">
        <f t="shared" si="2"/>
        <v>65.8</v>
      </c>
      <c r="AH12" s="20">
        <f t="shared" si="3"/>
        <v>16.8</v>
      </c>
      <c r="AI12" s="20">
        <f t="shared" si="4"/>
        <v>8.0500000000000007</v>
      </c>
      <c r="AJ12" s="20">
        <f t="shared" si="5"/>
        <v>22.900000000000002</v>
      </c>
      <c r="AK12" s="20">
        <f t="shared" si="6"/>
        <v>20.05</v>
      </c>
      <c r="AL12" s="20">
        <f t="shared" si="7"/>
        <v>15.200000000000001</v>
      </c>
      <c r="AM12" s="20">
        <f t="shared" si="8"/>
        <v>21.25</v>
      </c>
      <c r="AN12" s="20">
        <f t="shared" si="9"/>
        <v>22.8</v>
      </c>
      <c r="AO12" s="20">
        <f t="shared" si="10"/>
        <v>12.65</v>
      </c>
      <c r="AP12" s="20">
        <f t="shared" si="11"/>
        <v>14.85</v>
      </c>
      <c r="AQ12" s="20">
        <f t="shared" si="12"/>
        <v>35.65</v>
      </c>
      <c r="AR12" s="20">
        <f t="shared" si="13"/>
        <v>44.050000000000004</v>
      </c>
      <c r="AS12" s="35">
        <f t="shared" si="30"/>
        <v>305.14999999999998</v>
      </c>
      <c r="AU12" s="47">
        <v>663505</v>
      </c>
      <c r="AV12" s="37">
        <f t="shared" si="31"/>
        <v>0</v>
      </c>
      <c r="AW12" s="37">
        <f>AV12*100*AV44</f>
        <v>0</v>
      </c>
      <c r="AX12" s="35">
        <f t="shared" si="14"/>
        <v>0</v>
      </c>
    </row>
    <row r="13" spans="1:50" x14ac:dyDescent="0.3">
      <c r="A13" s="23">
        <v>44719</v>
      </c>
      <c r="B13" s="40">
        <v>111</v>
      </c>
      <c r="C13" s="24">
        <v>8151890</v>
      </c>
      <c r="D13" s="24">
        <v>18978720</v>
      </c>
      <c r="E13" s="24">
        <v>3244210</v>
      </c>
      <c r="F13" s="24">
        <v>4081510</v>
      </c>
      <c r="G13" s="24">
        <v>12086910</v>
      </c>
      <c r="H13" s="24">
        <v>6941640</v>
      </c>
      <c r="I13" s="24">
        <v>6073060</v>
      </c>
      <c r="J13" s="24">
        <v>7497960</v>
      </c>
      <c r="K13" s="24">
        <v>11058840</v>
      </c>
      <c r="L13" s="24">
        <v>4777640</v>
      </c>
      <c r="M13" s="24">
        <v>9037650</v>
      </c>
      <c r="N13" s="24">
        <v>14639350</v>
      </c>
      <c r="O13" s="24">
        <v>20488850</v>
      </c>
      <c r="Q13" s="37">
        <f t="shared" si="17"/>
        <v>1030</v>
      </c>
      <c r="R13" s="37">
        <f t="shared" si="18"/>
        <v>13180</v>
      </c>
      <c r="S13" s="37">
        <f t="shared" si="16"/>
        <v>3380</v>
      </c>
      <c r="T13" s="37">
        <f t="shared" si="32"/>
        <v>1620</v>
      </c>
      <c r="U13" s="37">
        <f t="shared" si="32"/>
        <v>4560</v>
      </c>
      <c r="V13" s="37">
        <f t="shared" si="32"/>
        <v>3970</v>
      </c>
      <c r="W13" s="37">
        <f t="shared" si="32"/>
        <v>3120</v>
      </c>
      <c r="X13" s="37">
        <f t="shared" si="23"/>
        <v>4180</v>
      </c>
      <c r="Y13" s="37">
        <f t="shared" si="24"/>
        <v>4380</v>
      </c>
      <c r="Z13" s="37">
        <f>IF((L13-L12&lt;0), "0",L13-L12)</f>
        <v>2610</v>
      </c>
      <c r="AA13" s="37">
        <f t="shared" si="26"/>
        <v>3030</v>
      </c>
      <c r="AB13" s="37">
        <f t="shared" si="27"/>
        <v>7360</v>
      </c>
      <c r="AC13" s="37">
        <f t="shared" si="28"/>
        <v>8930</v>
      </c>
      <c r="AD13" s="35">
        <f t="shared" si="29"/>
        <v>61350</v>
      </c>
      <c r="AF13" s="20">
        <f t="shared" si="1"/>
        <v>5.15</v>
      </c>
      <c r="AG13" s="20">
        <f t="shared" si="2"/>
        <v>65.900000000000006</v>
      </c>
      <c r="AH13" s="20">
        <f t="shared" si="3"/>
        <v>16.899999999999999</v>
      </c>
      <c r="AI13" s="20">
        <f t="shared" si="4"/>
        <v>8.1</v>
      </c>
      <c r="AJ13" s="20">
        <f t="shared" si="5"/>
        <v>22.8</v>
      </c>
      <c r="AK13" s="20">
        <f t="shared" si="6"/>
        <v>19.850000000000001</v>
      </c>
      <c r="AL13" s="20">
        <f t="shared" si="7"/>
        <v>15.6</v>
      </c>
      <c r="AM13" s="20">
        <f t="shared" si="8"/>
        <v>20.900000000000002</v>
      </c>
      <c r="AN13" s="20">
        <f t="shared" si="9"/>
        <v>21.900000000000002</v>
      </c>
      <c r="AO13" s="20">
        <f t="shared" si="10"/>
        <v>13.05</v>
      </c>
      <c r="AP13" s="20">
        <f t="shared" si="11"/>
        <v>15.15</v>
      </c>
      <c r="AQ13" s="20">
        <f t="shared" si="12"/>
        <v>36.800000000000004</v>
      </c>
      <c r="AR13" s="20">
        <f t="shared" si="13"/>
        <v>44.65</v>
      </c>
      <c r="AS13" s="35">
        <f t="shared" si="30"/>
        <v>306.75</v>
      </c>
      <c r="AU13" s="47">
        <v>663505</v>
      </c>
      <c r="AV13" s="37">
        <f t="shared" si="31"/>
        <v>0</v>
      </c>
      <c r="AW13" s="37">
        <f>AV13*100*AV44</f>
        <v>0</v>
      </c>
      <c r="AX13" s="35">
        <f t="shared" si="14"/>
        <v>0</v>
      </c>
    </row>
    <row r="14" spans="1:50" x14ac:dyDescent="0.3">
      <c r="A14" s="23">
        <v>44720</v>
      </c>
      <c r="B14" s="40">
        <v>102</v>
      </c>
      <c r="C14" s="24">
        <v>8152920</v>
      </c>
      <c r="D14" s="24">
        <v>18992150</v>
      </c>
      <c r="E14" s="24">
        <v>3247680</v>
      </c>
      <c r="F14" s="24">
        <v>4083150</v>
      </c>
      <c r="G14" s="24">
        <v>12091390</v>
      </c>
      <c r="H14" s="24">
        <v>6945710</v>
      </c>
      <c r="I14" s="24">
        <v>6076340</v>
      </c>
      <c r="J14" s="24">
        <v>7502450</v>
      </c>
      <c r="K14" s="24">
        <v>11062960</v>
      </c>
      <c r="L14" s="24">
        <v>4780210</v>
      </c>
      <c r="M14" s="24">
        <v>9040670</v>
      </c>
      <c r="N14" s="24">
        <v>14646470</v>
      </c>
      <c r="O14" s="24">
        <v>20497950</v>
      </c>
      <c r="P14" s="52"/>
      <c r="Q14" s="37">
        <f t="shared" si="17"/>
        <v>1030</v>
      </c>
      <c r="R14" s="37">
        <f t="shared" si="18"/>
        <v>13430</v>
      </c>
      <c r="S14" s="37">
        <f t="shared" si="16"/>
        <v>3470</v>
      </c>
      <c r="T14" s="37">
        <f t="shared" si="32"/>
        <v>1640</v>
      </c>
      <c r="U14" s="37">
        <f t="shared" si="32"/>
        <v>4480</v>
      </c>
      <c r="V14" s="37">
        <f t="shared" si="32"/>
        <v>4070</v>
      </c>
      <c r="W14" s="37">
        <f t="shared" si="32"/>
        <v>3280</v>
      </c>
      <c r="X14" s="37">
        <f t="shared" si="23"/>
        <v>4490</v>
      </c>
      <c r="Y14" s="37">
        <f t="shared" si="24"/>
        <v>4120</v>
      </c>
      <c r="Z14" s="37">
        <f>IF((L14-L13&lt;0), "0",L14-L13)</f>
        <v>2570</v>
      </c>
      <c r="AA14" s="37">
        <f t="shared" si="26"/>
        <v>3020</v>
      </c>
      <c r="AB14" s="37">
        <f t="shared" si="27"/>
        <v>7120</v>
      </c>
      <c r="AC14" s="37">
        <f t="shared" si="28"/>
        <v>9100</v>
      </c>
      <c r="AD14" s="35">
        <f t="shared" si="29"/>
        <v>61820</v>
      </c>
      <c r="AF14" s="20">
        <f t="shared" si="1"/>
        <v>5.15</v>
      </c>
      <c r="AG14" s="20">
        <f t="shared" si="2"/>
        <v>67.150000000000006</v>
      </c>
      <c r="AH14" s="20">
        <f t="shared" si="3"/>
        <v>17.350000000000001</v>
      </c>
      <c r="AI14" s="20">
        <f t="shared" si="4"/>
        <v>8.1999999999999993</v>
      </c>
      <c r="AJ14" s="20">
        <f t="shared" si="5"/>
        <v>22.400000000000002</v>
      </c>
      <c r="AK14" s="20">
        <f t="shared" si="6"/>
        <v>20.350000000000001</v>
      </c>
      <c r="AL14" s="20">
        <f t="shared" si="7"/>
        <v>16.399999999999999</v>
      </c>
      <c r="AM14" s="20">
        <f t="shared" si="8"/>
        <v>22.45</v>
      </c>
      <c r="AN14" s="20">
        <f t="shared" si="9"/>
        <v>20.6</v>
      </c>
      <c r="AO14" s="20">
        <f t="shared" si="10"/>
        <v>12.85</v>
      </c>
      <c r="AP14" s="20">
        <f t="shared" si="11"/>
        <v>15.1</v>
      </c>
      <c r="AQ14" s="20">
        <f t="shared" si="12"/>
        <v>35.6</v>
      </c>
      <c r="AR14" s="20">
        <f t="shared" si="13"/>
        <v>45.5</v>
      </c>
      <c r="AS14" s="35">
        <f t="shared" si="30"/>
        <v>309.10000000000002</v>
      </c>
      <c r="AU14" s="47">
        <v>663505</v>
      </c>
      <c r="AV14" s="37">
        <f t="shared" si="31"/>
        <v>0</v>
      </c>
      <c r="AW14" s="37">
        <f>AV14*100*AV44</f>
        <v>0</v>
      </c>
      <c r="AX14" s="35">
        <f t="shared" si="14"/>
        <v>0</v>
      </c>
    </row>
    <row r="15" spans="1:50" x14ac:dyDescent="0.3">
      <c r="A15" s="23">
        <v>44721</v>
      </c>
      <c r="B15" s="40">
        <v>142</v>
      </c>
      <c r="C15" s="24">
        <v>8153930</v>
      </c>
      <c r="D15" s="24">
        <v>19005280</v>
      </c>
      <c r="E15" s="24">
        <v>3251060</v>
      </c>
      <c r="F15" s="24">
        <v>4084760</v>
      </c>
      <c r="G15" s="24">
        <v>12096230</v>
      </c>
      <c r="H15" s="24">
        <v>6949730</v>
      </c>
      <c r="I15" s="24">
        <v>6079940</v>
      </c>
      <c r="J15" s="24">
        <v>7506790</v>
      </c>
      <c r="K15" s="24">
        <v>11067350</v>
      </c>
      <c r="L15" s="24">
        <v>4782890</v>
      </c>
      <c r="M15" s="24">
        <v>9043800</v>
      </c>
      <c r="N15" s="24">
        <v>14653820</v>
      </c>
      <c r="O15" s="24">
        <v>20506600</v>
      </c>
      <c r="Q15" s="37">
        <f t="shared" si="17"/>
        <v>1010</v>
      </c>
      <c r="R15" s="37">
        <f t="shared" si="18"/>
        <v>13130</v>
      </c>
      <c r="S15" s="37">
        <f t="shared" si="16"/>
        <v>3380</v>
      </c>
      <c r="T15" s="37">
        <f t="shared" si="19"/>
        <v>1610</v>
      </c>
      <c r="U15" s="37">
        <f t="shared" si="20"/>
        <v>4840</v>
      </c>
      <c r="V15" s="37">
        <f t="shared" si="21"/>
        <v>4020</v>
      </c>
      <c r="W15" s="37">
        <f t="shared" si="22"/>
        <v>3600</v>
      </c>
      <c r="X15" s="37">
        <f t="shared" si="23"/>
        <v>4340</v>
      </c>
      <c r="Y15" s="37">
        <f t="shared" si="24"/>
        <v>4390</v>
      </c>
      <c r="Z15" s="37">
        <f t="shared" si="25"/>
        <v>2680</v>
      </c>
      <c r="AA15" s="37">
        <f t="shared" si="26"/>
        <v>3130</v>
      </c>
      <c r="AB15" s="37">
        <f t="shared" si="27"/>
        <v>7350</v>
      </c>
      <c r="AC15" s="37">
        <f t="shared" si="28"/>
        <v>8650</v>
      </c>
      <c r="AD15" s="35">
        <f t="shared" si="29"/>
        <v>62130</v>
      </c>
      <c r="AF15" s="20">
        <f t="shared" si="1"/>
        <v>5.05</v>
      </c>
      <c r="AG15" s="20">
        <f t="shared" si="2"/>
        <v>65.650000000000006</v>
      </c>
      <c r="AH15" s="20">
        <f t="shared" si="3"/>
        <v>16.899999999999999</v>
      </c>
      <c r="AI15" s="20">
        <f t="shared" si="4"/>
        <v>8.0500000000000007</v>
      </c>
      <c r="AJ15" s="20">
        <f t="shared" si="5"/>
        <v>24.2</v>
      </c>
      <c r="AK15" s="20">
        <f t="shared" si="6"/>
        <v>20.100000000000001</v>
      </c>
      <c r="AL15" s="20">
        <f t="shared" si="7"/>
        <v>18</v>
      </c>
      <c r="AM15" s="20">
        <f t="shared" si="8"/>
        <v>21.7</v>
      </c>
      <c r="AN15" s="20">
        <f t="shared" si="9"/>
        <v>21.95</v>
      </c>
      <c r="AO15" s="20">
        <f t="shared" si="10"/>
        <v>13.4</v>
      </c>
      <c r="AP15" s="20">
        <f t="shared" si="11"/>
        <v>15.65</v>
      </c>
      <c r="AQ15" s="20">
        <f t="shared" si="12"/>
        <v>36.75</v>
      </c>
      <c r="AR15" s="20">
        <f t="shared" si="13"/>
        <v>43.25</v>
      </c>
      <c r="AS15" s="35">
        <f t="shared" si="30"/>
        <v>310.64999999999998</v>
      </c>
      <c r="AU15" s="47">
        <v>663505</v>
      </c>
      <c r="AV15" s="37">
        <f t="shared" si="31"/>
        <v>0</v>
      </c>
      <c r="AW15" s="37">
        <f>AV15*100*AV44</f>
        <v>0</v>
      </c>
      <c r="AX15" s="35">
        <f t="shared" si="14"/>
        <v>0</v>
      </c>
    </row>
    <row r="16" spans="1:50" x14ac:dyDescent="0.3">
      <c r="A16" s="23">
        <v>44722</v>
      </c>
      <c r="B16" s="40">
        <v>171</v>
      </c>
      <c r="C16" s="24">
        <v>8154980</v>
      </c>
      <c r="D16" s="24">
        <v>19018980</v>
      </c>
      <c r="E16" s="24">
        <v>3254570</v>
      </c>
      <c r="F16" s="24">
        <v>4086430</v>
      </c>
      <c r="G16" s="24">
        <v>12101270</v>
      </c>
      <c r="H16" s="24">
        <v>6954110</v>
      </c>
      <c r="I16" s="24">
        <v>6083070</v>
      </c>
      <c r="J16" s="24">
        <v>7511050</v>
      </c>
      <c r="K16" s="24">
        <v>11071900</v>
      </c>
      <c r="L16" s="24">
        <v>4785610</v>
      </c>
      <c r="M16" s="24">
        <v>9047080</v>
      </c>
      <c r="N16" s="24">
        <v>14661150</v>
      </c>
      <c r="O16" s="24">
        <v>20516490</v>
      </c>
      <c r="Q16" s="37">
        <f t="shared" si="17"/>
        <v>1050</v>
      </c>
      <c r="R16" s="37">
        <f t="shared" si="18"/>
        <v>13700</v>
      </c>
      <c r="S16" s="37">
        <f t="shared" si="16"/>
        <v>3510</v>
      </c>
      <c r="T16" s="37">
        <f t="shared" si="19"/>
        <v>1670</v>
      </c>
      <c r="U16" s="37">
        <f>IF((G16-G15&lt;0), "0",G16-G15)</f>
        <v>5040</v>
      </c>
      <c r="V16" s="37">
        <f>IF((H16-H15&lt;0), "0",H16-H15)</f>
        <v>4380</v>
      </c>
      <c r="W16" s="37">
        <f t="shared" si="22"/>
        <v>3130</v>
      </c>
      <c r="X16" s="37">
        <f t="shared" si="23"/>
        <v>4260</v>
      </c>
      <c r="Y16" s="37">
        <f t="shared" si="24"/>
        <v>4550</v>
      </c>
      <c r="Z16" s="37">
        <f t="shared" si="25"/>
        <v>2720</v>
      </c>
      <c r="AA16" s="37">
        <f t="shared" si="26"/>
        <v>3280</v>
      </c>
      <c r="AB16" s="37">
        <f t="shared" si="27"/>
        <v>7330</v>
      </c>
      <c r="AC16" s="37">
        <f t="shared" si="28"/>
        <v>9890</v>
      </c>
      <c r="AD16" s="35">
        <f t="shared" si="29"/>
        <v>64510</v>
      </c>
      <c r="AF16" s="20">
        <f t="shared" si="1"/>
        <v>5.25</v>
      </c>
      <c r="AG16" s="20">
        <f t="shared" si="2"/>
        <v>68.5</v>
      </c>
      <c r="AH16" s="20">
        <f t="shared" si="3"/>
        <v>17.55</v>
      </c>
      <c r="AI16" s="20">
        <f t="shared" si="4"/>
        <v>8.35</v>
      </c>
      <c r="AJ16" s="20">
        <f t="shared" si="5"/>
        <v>25.2</v>
      </c>
      <c r="AK16" s="20">
        <f t="shared" si="6"/>
        <v>21.900000000000002</v>
      </c>
      <c r="AL16" s="20">
        <f t="shared" si="7"/>
        <v>15.65</v>
      </c>
      <c r="AM16" s="20">
        <f t="shared" si="8"/>
        <v>21.3</v>
      </c>
      <c r="AN16" s="20">
        <f t="shared" si="9"/>
        <v>22.75</v>
      </c>
      <c r="AO16" s="20">
        <f t="shared" si="10"/>
        <v>13.6</v>
      </c>
      <c r="AP16" s="20">
        <f t="shared" si="11"/>
        <v>16.399999999999999</v>
      </c>
      <c r="AQ16" s="20">
        <f t="shared" si="12"/>
        <v>36.65</v>
      </c>
      <c r="AR16" s="20">
        <f t="shared" si="13"/>
        <v>49.45</v>
      </c>
      <c r="AS16" s="35">
        <f t="shared" si="30"/>
        <v>322.55</v>
      </c>
      <c r="AU16" s="47">
        <v>663505</v>
      </c>
      <c r="AV16" s="37">
        <f t="shared" si="31"/>
        <v>0</v>
      </c>
      <c r="AW16" s="37">
        <f>AV16*100*AV44</f>
        <v>0</v>
      </c>
      <c r="AX16" s="35">
        <f t="shared" si="14"/>
        <v>0</v>
      </c>
    </row>
    <row r="17" spans="1:50" x14ac:dyDescent="0.3">
      <c r="A17" s="23">
        <v>44723</v>
      </c>
      <c r="B17" s="40">
        <v>94</v>
      </c>
      <c r="C17" s="24">
        <v>8155980</v>
      </c>
      <c r="D17" s="24">
        <v>19031990</v>
      </c>
      <c r="E17" s="24">
        <v>3257900</v>
      </c>
      <c r="F17" s="24">
        <v>4088020</v>
      </c>
      <c r="G17" s="24">
        <v>12105790</v>
      </c>
      <c r="H17" s="24">
        <v>6958100</v>
      </c>
      <c r="I17" s="24">
        <v>6085960</v>
      </c>
      <c r="J17" s="24">
        <v>7515150</v>
      </c>
      <c r="K17" s="24">
        <v>11076510</v>
      </c>
      <c r="L17" s="24">
        <v>4788130</v>
      </c>
      <c r="M17" s="24">
        <v>9050180</v>
      </c>
      <c r="N17" s="24">
        <v>14668150</v>
      </c>
      <c r="O17" s="24">
        <v>20527330</v>
      </c>
      <c r="Q17" s="37">
        <f t="shared" si="17"/>
        <v>1000</v>
      </c>
      <c r="R17" s="37">
        <f t="shared" si="18"/>
        <v>13010</v>
      </c>
      <c r="S17" s="37">
        <f t="shared" si="16"/>
        <v>3330</v>
      </c>
      <c r="T17" s="37">
        <f t="shared" si="19"/>
        <v>1590</v>
      </c>
      <c r="U17" s="37">
        <f>IF((G17-G16&lt;0), "0",G17-G16)</f>
        <v>4520</v>
      </c>
      <c r="V17" s="37">
        <f>IF((H17-H16&lt;0), "0",H17-H16)</f>
        <v>3990</v>
      </c>
      <c r="W17" s="37">
        <f t="shared" si="22"/>
        <v>2890</v>
      </c>
      <c r="X17" s="37">
        <f t="shared" si="23"/>
        <v>4100</v>
      </c>
      <c r="Y17" s="37">
        <f t="shared" si="24"/>
        <v>4610</v>
      </c>
      <c r="Z17" s="37">
        <f t="shared" si="25"/>
        <v>2520</v>
      </c>
      <c r="AA17" s="37">
        <f t="shared" si="26"/>
        <v>3100</v>
      </c>
      <c r="AB17" s="37">
        <f t="shared" si="27"/>
        <v>7000</v>
      </c>
      <c r="AC17" s="37">
        <f t="shared" si="28"/>
        <v>10840</v>
      </c>
      <c r="AD17" s="35">
        <f t="shared" si="29"/>
        <v>62500</v>
      </c>
      <c r="AF17" s="20">
        <f t="shared" si="1"/>
        <v>5</v>
      </c>
      <c r="AG17" s="20">
        <f t="shared" si="2"/>
        <v>65.05</v>
      </c>
      <c r="AH17" s="20">
        <f t="shared" si="3"/>
        <v>16.649999999999999</v>
      </c>
      <c r="AI17" s="20">
        <f t="shared" si="4"/>
        <v>7.95</v>
      </c>
      <c r="AJ17" s="20">
        <f t="shared" si="5"/>
        <v>22.6</v>
      </c>
      <c r="AK17" s="20">
        <f t="shared" si="6"/>
        <v>19.95</v>
      </c>
      <c r="AL17" s="20">
        <f t="shared" si="7"/>
        <v>14.450000000000001</v>
      </c>
      <c r="AM17" s="20">
        <f t="shared" si="8"/>
        <v>20.5</v>
      </c>
      <c r="AN17" s="20">
        <f t="shared" si="9"/>
        <v>23.05</v>
      </c>
      <c r="AO17" s="20">
        <f t="shared" si="10"/>
        <v>12.6</v>
      </c>
      <c r="AP17" s="20">
        <f t="shared" si="11"/>
        <v>15.5</v>
      </c>
      <c r="AQ17" s="20">
        <f t="shared" si="12"/>
        <v>35</v>
      </c>
      <c r="AR17" s="20">
        <f t="shared" si="13"/>
        <v>54.2</v>
      </c>
      <c r="AS17" s="35">
        <f t="shared" si="30"/>
        <v>312.49999999999994</v>
      </c>
      <c r="AU17" s="47">
        <v>663505</v>
      </c>
      <c r="AV17" s="37">
        <f t="shared" si="31"/>
        <v>0</v>
      </c>
      <c r="AW17" s="37">
        <f>AV17*100*AV44</f>
        <v>0</v>
      </c>
      <c r="AX17" s="35">
        <f t="shared" si="14"/>
        <v>0</v>
      </c>
    </row>
    <row r="18" spans="1:50" x14ac:dyDescent="0.3">
      <c r="A18" s="23">
        <v>44724</v>
      </c>
      <c r="B18" s="40">
        <v>108</v>
      </c>
      <c r="C18" s="24">
        <v>8157000</v>
      </c>
      <c r="D18" s="24">
        <v>19045030</v>
      </c>
      <c r="E18" s="24">
        <v>3261220</v>
      </c>
      <c r="F18" s="24">
        <v>4089660</v>
      </c>
      <c r="G18" s="24">
        <v>12110230</v>
      </c>
      <c r="H18" s="24">
        <v>6962100</v>
      </c>
      <c r="I18" s="24">
        <v>6089010</v>
      </c>
      <c r="J18" s="24">
        <v>7518920</v>
      </c>
      <c r="K18" s="24">
        <v>11081010</v>
      </c>
      <c r="L18" s="24">
        <v>4790650</v>
      </c>
      <c r="M18" s="24">
        <v>9053250</v>
      </c>
      <c r="N18" s="24">
        <v>14675320</v>
      </c>
      <c r="O18" s="24">
        <v>20538210</v>
      </c>
      <c r="Q18" s="37">
        <f t="shared" si="17"/>
        <v>1020</v>
      </c>
      <c r="R18" s="37">
        <f t="shared" si="18"/>
        <v>13040</v>
      </c>
      <c r="S18" s="37">
        <f t="shared" si="16"/>
        <v>3320</v>
      </c>
      <c r="T18" s="37">
        <f t="shared" si="19"/>
        <v>1640</v>
      </c>
      <c r="U18" s="37">
        <f t="shared" si="20"/>
        <v>4440</v>
      </c>
      <c r="V18" s="37">
        <f t="shared" si="21"/>
        <v>4000</v>
      </c>
      <c r="W18" s="37">
        <f t="shared" si="22"/>
        <v>3050</v>
      </c>
      <c r="X18" s="37">
        <f t="shared" si="23"/>
        <v>3770</v>
      </c>
      <c r="Y18" s="37">
        <f t="shared" si="24"/>
        <v>4500</v>
      </c>
      <c r="Z18" s="37">
        <f t="shared" si="25"/>
        <v>2520</v>
      </c>
      <c r="AA18" s="37">
        <f t="shared" si="26"/>
        <v>3070</v>
      </c>
      <c r="AB18" s="37">
        <f t="shared" si="27"/>
        <v>7170</v>
      </c>
      <c r="AC18" s="37">
        <f t="shared" si="28"/>
        <v>10880</v>
      </c>
      <c r="AD18" s="35">
        <f t="shared" si="29"/>
        <v>62420</v>
      </c>
      <c r="AF18" s="20">
        <f t="shared" si="1"/>
        <v>5.1000000000000005</v>
      </c>
      <c r="AG18" s="20">
        <f t="shared" si="2"/>
        <v>65.2</v>
      </c>
      <c r="AH18" s="20">
        <f t="shared" si="3"/>
        <v>16.600000000000001</v>
      </c>
      <c r="AI18" s="20">
        <f t="shared" si="4"/>
        <v>8.1999999999999993</v>
      </c>
      <c r="AJ18" s="20">
        <f t="shared" si="5"/>
        <v>22.2</v>
      </c>
      <c r="AK18" s="20">
        <f t="shared" si="6"/>
        <v>20</v>
      </c>
      <c r="AL18" s="20">
        <f t="shared" si="7"/>
        <v>15.25</v>
      </c>
      <c r="AM18" s="20">
        <f t="shared" si="8"/>
        <v>18.850000000000001</v>
      </c>
      <c r="AN18" s="20">
        <f t="shared" si="9"/>
        <v>22.5</v>
      </c>
      <c r="AO18" s="20">
        <f t="shared" si="10"/>
        <v>12.6</v>
      </c>
      <c r="AP18" s="20">
        <f t="shared" si="11"/>
        <v>15.35</v>
      </c>
      <c r="AQ18" s="20">
        <f t="shared" si="12"/>
        <v>35.85</v>
      </c>
      <c r="AR18" s="20">
        <f t="shared" si="13"/>
        <v>54.4</v>
      </c>
      <c r="AS18" s="35">
        <f t="shared" si="30"/>
        <v>312.09999999999997</v>
      </c>
      <c r="AU18" s="47">
        <v>663505</v>
      </c>
      <c r="AV18" s="37">
        <f t="shared" si="31"/>
        <v>0</v>
      </c>
      <c r="AW18" s="37">
        <f>AV18*100*AV44</f>
        <v>0</v>
      </c>
      <c r="AX18" s="35">
        <f t="shared" si="14"/>
        <v>0</v>
      </c>
    </row>
    <row r="19" spans="1:50" x14ac:dyDescent="0.3">
      <c r="A19" s="23">
        <v>44725</v>
      </c>
      <c r="B19" s="40">
        <v>95</v>
      </c>
      <c r="C19" s="24">
        <v>8158020</v>
      </c>
      <c r="D19" s="24">
        <v>19057970</v>
      </c>
      <c r="E19" s="24">
        <v>3264500</v>
      </c>
      <c r="F19" s="24">
        <v>4091290</v>
      </c>
      <c r="G19" s="24">
        <v>12114800</v>
      </c>
      <c r="H19" s="24">
        <v>6966180</v>
      </c>
      <c r="I19" s="24">
        <v>6092290</v>
      </c>
      <c r="J19" s="24">
        <v>7523030</v>
      </c>
      <c r="K19" s="24">
        <v>11085370</v>
      </c>
      <c r="L19" s="24">
        <v>4793180</v>
      </c>
      <c r="M19" s="24">
        <v>9056270</v>
      </c>
      <c r="N19" s="24">
        <v>14682650</v>
      </c>
      <c r="O19" s="24">
        <v>20546890</v>
      </c>
      <c r="Q19" s="37">
        <f t="shared" si="17"/>
        <v>1020</v>
      </c>
      <c r="R19" s="37">
        <f t="shared" si="18"/>
        <v>12940</v>
      </c>
      <c r="S19" s="37">
        <f t="shared" si="16"/>
        <v>3280</v>
      </c>
      <c r="T19" s="37">
        <f t="shared" si="19"/>
        <v>1630</v>
      </c>
      <c r="U19" s="37">
        <f t="shared" si="20"/>
        <v>4570</v>
      </c>
      <c r="V19" s="37">
        <f t="shared" si="21"/>
        <v>4080</v>
      </c>
      <c r="W19" s="37">
        <f t="shared" si="22"/>
        <v>3280</v>
      </c>
      <c r="X19" s="37">
        <f t="shared" si="23"/>
        <v>4110</v>
      </c>
      <c r="Y19" s="37">
        <f t="shared" si="24"/>
        <v>4360</v>
      </c>
      <c r="Z19" s="37">
        <f t="shared" si="25"/>
        <v>2530</v>
      </c>
      <c r="AA19" s="37">
        <f t="shared" si="26"/>
        <v>3020</v>
      </c>
      <c r="AB19" s="37">
        <f t="shared" si="27"/>
        <v>7330</v>
      </c>
      <c r="AC19" s="37">
        <f t="shared" si="28"/>
        <v>8680</v>
      </c>
      <c r="AD19" s="35">
        <f t="shared" si="29"/>
        <v>60830</v>
      </c>
      <c r="AF19" s="20">
        <f t="shared" si="1"/>
        <v>5.1000000000000005</v>
      </c>
      <c r="AG19" s="20">
        <f t="shared" si="2"/>
        <v>64.7</v>
      </c>
      <c r="AH19" s="20">
        <f t="shared" si="3"/>
        <v>16.399999999999999</v>
      </c>
      <c r="AI19" s="20">
        <f t="shared" si="4"/>
        <v>8.15</v>
      </c>
      <c r="AJ19" s="20">
        <f t="shared" si="5"/>
        <v>22.85</v>
      </c>
      <c r="AK19" s="20">
        <f t="shared" si="6"/>
        <v>20.400000000000002</v>
      </c>
      <c r="AL19" s="20">
        <f t="shared" si="7"/>
        <v>16.399999999999999</v>
      </c>
      <c r="AM19" s="20">
        <f t="shared" si="8"/>
        <v>20.55</v>
      </c>
      <c r="AN19" s="20">
        <f t="shared" si="9"/>
        <v>21.8</v>
      </c>
      <c r="AO19" s="20">
        <f t="shared" si="10"/>
        <v>12.65</v>
      </c>
      <c r="AP19" s="20">
        <f t="shared" si="11"/>
        <v>15.1</v>
      </c>
      <c r="AQ19" s="20">
        <f t="shared" si="12"/>
        <v>36.65</v>
      </c>
      <c r="AR19" s="20">
        <f t="shared" si="13"/>
        <v>43.4</v>
      </c>
      <c r="AS19" s="35">
        <f t="shared" si="30"/>
        <v>304.14999999999998</v>
      </c>
      <c r="AU19" s="47">
        <v>663505</v>
      </c>
      <c r="AV19" s="37">
        <f t="shared" si="31"/>
        <v>0</v>
      </c>
      <c r="AW19" s="37">
        <f>AV19*100*AV44</f>
        <v>0</v>
      </c>
      <c r="AX19" s="35">
        <f t="shared" si="14"/>
        <v>0</v>
      </c>
    </row>
    <row r="20" spans="1:50" x14ac:dyDescent="0.3">
      <c r="A20" s="23">
        <v>44726</v>
      </c>
      <c r="B20" s="40">
        <v>141</v>
      </c>
      <c r="C20" s="24">
        <v>8159070</v>
      </c>
      <c r="D20" s="24">
        <v>19070920</v>
      </c>
      <c r="E20" s="24">
        <v>3267790</v>
      </c>
      <c r="F20" s="24">
        <v>4092890</v>
      </c>
      <c r="G20" s="24">
        <v>12119490</v>
      </c>
      <c r="H20" s="24">
        <v>6970370</v>
      </c>
      <c r="I20" s="24">
        <v>6096380</v>
      </c>
      <c r="J20" s="24">
        <v>7527360</v>
      </c>
      <c r="K20" s="24">
        <v>11089470</v>
      </c>
      <c r="L20" s="24">
        <v>4795840</v>
      </c>
      <c r="M20" s="24">
        <v>9059340</v>
      </c>
      <c r="N20" s="24">
        <v>14689640</v>
      </c>
      <c r="O20" s="24">
        <v>20557040</v>
      </c>
      <c r="Q20" s="37">
        <f t="shared" si="17"/>
        <v>1050</v>
      </c>
      <c r="R20" s="37">
        <f t="shared" si="18"/>
        <v>12950</v>
      </c>
      <c r="S20" s="37">
        <f t="shared" si="16"/>
        <v>3290</v>
      </c>
      <c r="T20" s="37">
        <f t="shared" si="19"/>
        <v>1600</v>
      </c>
      <c r="U20" s="37">
        <f t="shared" si="20"/>
        <v>4690</v>
      </c>
      <c r="V20" s="37">
        <f t="shared" si="21"/>
        <v>4190</v>
      </c>
      <c r="W20" s="37">
        <f t="shared" si="22"/>
        <v>4090</v>
      </c>
      <c r="X20" s="37">
        <f t="shared" si="23"/>
        <v>4330</v>
      </c>
      <c r="Y20" s="37">
        <f t="shared" si="24"/>
        <v>4100</v>
      </c>
      <c r="Z20" s="37">
        <f t="shared" si="25"/>
        <v>2660</v>
      </c>
      <c r="AA20" s="37">
        <f t="shared" si="26"/>
        <v>3070</v>
      </c>
      <c r="AB20" s="37">
        <f t="shared" si="27"/>
        <v>6990</v>
      </c>
      <c r="AC20" s="37">
        <f t="shared" si="28"/>
        <v>10150</v>
      </c>
      <c r="AD20" s="35">
        <f t="shared" si="29"/>
        <v>63160</v>
      </c>
      <c r="AF20" s="20">
        <f t="shared" si="1"/>
        <v>5.25</v>
      </c>
      <c r="AG20" s="20">
        <f t="shared" si="2"/>
        <v>64.75</v>
      </c>
      <c r="AH20" s="20">
        <f t="shared" si="3"/>
        <v>16.45</v>
      </c>
      <c r="AI20" s="20">
        <f t="shared" si="4"/>
        <v>8</v>
      </c>
      <c r="AJ20" s="20">
        <f t="shared" si="5"/>
        <v>23.45</v>
      </c>
      <c r="AK20" s="20">
        <f t="shared" si="6"/>
        <v>20.95</v>
      </c>
      <c r="AL20" s="20">
        <f t="shared" si="7"/>
        <v>20.45</v>
      </c>
      <c r="AM20" s="20">
        <f t="shared" si="8"/>
        <v>21.650000000000002</v>
      </c>
      <c r="AN20" s="20">
        <f t="shared" si="9"/>
        <v>20.5</v>
      </c>
      <c r="AO20" s="20">
        <f t="shared" si="10"/>
        <v>13.3</v>
      </c>
      <c r="AP20" s="20">
        <f t="shared" si="11"/>
        <v>15.35</v>
      </c>
      <c r="AQ20" s="20">
        <f t="shared" si="12"/>
        <v>34.950000000000003</v>
      </c>
      <c r="AR20" s="20">
        <f t="shared" si="13"/>
        <v>50.75</v>
      </c>
      <c r="AS20" s="35">
        <f t="shared" si="30"/>
        <v>315.8</v>
      </c>
      <c r="AU20" s="47">
        <v>663505</v>
      </c>
      <c r="AV20" s="37">
        <f t="shared" si="31"/>
        <v>0</v>
      </c>
      <c r="AW20" s="37">
        <f>AV20*100*AV44</f>
        <v>0</v>
      </c>
      <c r="AX20" s="35">
        <f t="shared" si="14"/>
        <v>0</v>
      </c>
    </row>
    <row r="21" spans="1:50" x14ac:dyDescent="0.3">
      <c r="A21" s="23">
        <v>44727</v>
      </c>
      <c r="B21" s="40">
        <v>108</v>
      </c>
      <c r="C21" s="24">
        <v>8160100</v>
      </c>
      <c r="D21" s="24">
        <v>19083830</v>
      </c>
      <c r="E21" s="24">
        <v>3271080</v>
      </c>
      <c r="F21" s="24">
        <v>4094460</v>
      </c>
      <c r="G21" s="24">
        <v>12124330</v>
      </c>
      <c r="H21" s="24">
        <v>6974600</v>
      </c>
      <c r="I21" s="24">
        <v>6099910</v>
      </c>
      <c r="J21" s="24">
        <v>7531600</v>
      </c>
      <c r="K21" s="24">
        <v>11093300</v>
      </c>
      <c r="L21" s="24">
        <v>4798470</v>
      </c>
      <c r="M21" s="24">
        <v>9062280</v>
      </c>
      <c r="N21" s="24">
        <v>14696610</v>
      </c>
      <c r="O21" s="24">
        <v>20565390</v>
      </c>
      <c r="Q21" s="37">
        <f t="shared" si="17"/>
        <v>1030</v>
      </c>
      <c r="R21" s="37">
        <f t="shared" si="18"/>
        <v>12910</v>
      </c>
      <c r="S21" s="37">
        <f t="shared" si="16"/>
        <v>3290</v>
      </c>
      <c r="T21" s="37">
        <f t="shared" si="19"/>
        <v>1570</v>
      </c>
      <c r="U21" s="37">
        <f t="shared" si="20"/>
        <v>4840</v>
      </c>
      <c r="V21" s="37">
        <f t="shared" si="21"/>
        <v>4230</v>
      </c>
      <c r="W21" s="37">
        <f t="shared" si="22"/>
        <v>3530</v>
      </c>
      <c r="X21" s="37">
        <f t="shared" si="23"/>
        <v>4240</v>
      </c>
      <c r="Y21" s="37">
        <f t="shared" si="24"/>
        <v>3830</v>
      </c>
      <c r="Z21" s="37">
        <f t="shared" si="25"/>
        <v>2630</v>
      </c>
      <c r="AA21" s="37">
        <f t="shared" si="26"/>
        <v>2940</v>
      </c>
      <c r="AB21" s="37">
        <f t="shared" si="27"/>
        <v>6970</v>
      </c>
      <c r="AC21" s="37">
        <f t="shared" si="28"/>
        <v>8350</v>
      </c>
      <c r="AD21" s="35">
        <f t="shared" si="29"/>
        <v>60360</v>
      </c>
      <c r="AF21" s="20">
        <f t="shared" si="1"/>
        <v>5.15</v>
      </c>
      <c r="AG21" s="20">
        <f t="shared" si="2"/>
        <v>64.55</v>
      </c>
      <c r="AH21" s="20">
        <f t="shared" si="3"/>
        <v>16.45</v>
      </c>
      <c r="AI21" s="20">
        <f t="shared" si="4"/>
        <v>7.8500000000000005</v>
      </c>
      <c r="AJ21" s="20">
        <f t="shared" si="5"/>
        <v>24.2</v>
      </c>
      <c r="AK21" s="20">
        <f t="shared" si="6"/>
        <v>21.150000000000002</v>
      </c>
      <c r="AL21" s="20">
        <f t="shared" si="7"/>
        <v>17.650000000000002</v>
      </c>
      <c r="AM21" s="20">
        <f t="shared" si="8"/>
        <v>21.2</v>
      </c>
      <c r="AN21" s="20">
        <f t="shared" si="9"/>
        <v>19.150000000000002</v>
      </c>
      <c r="AO21" s="20">
        <f t="shared" si="10"/>
        <v>13.15</v>
      </c>
      <c r="AP21" s="20">
        <f t="shared" si="11"/>
        <v>14.700000000000001</v>
      </c>
      <c r="AQ21" s="20">
        <f t="shared" si="12"/>
        <v>34.85</v>
      </c>
      <c r="AR21" s="20">
        <f t="shared" si="13"/>
        <v>41.75</v>
      </c>
      <c r="AS21" s="35">
        <f t="shared" si="30"/>
        <v>301.8</v>
      </c>
      <c r="AU21" s="47">
        <v>663505</v>
      </c>
      <c r="AV21" s="37">
        <f t="shared" si="31"/>
        <v>0</v>
      </c>
      <c r="AW21" s="37">
        <f>AV21*100*AV44</f>
        <v>0</v>
      </c>
      <c r="AX21" s="35">
        <f t="shared" si="14"/>
        <v>0</v>
      </c>
    </row>
    <row r="22" spans="1:50" x14ac:dyDescent="0.3">
      <c r="A22" s="23">
        <v>44728</v>
      </c>
      <c r="B22" s="40">
        <v>211</v>
      </c>
      <c r="C22" s="24">
        <v>8161120</v>
      </c>
      <c r="D22" s="24">
        <v>19096540</v>
      </c>
      <c r="E22" s="24">
        <v>3274310</v>
      </c>
      <c r="F22" s="24">
        <v>4096010</v>
      </c>
      <c r="G22" s="24">
        <v>12129160</v>
      </c>
      <c r="H22" s="24">
        <v>6978730</v>
      </c>
      <c r="I22" s="24">
        <v>6102790</v>
      </c>
      <c r="J22" s="44">
        <v>7535780</v>
      </c>
      <c r="K22" s="24">
        <v>11097080</v>
      </c>
      <c r="L22" s="24">
        <v>4801220</v>
      </c>
      <c r="M22" s="24">
        <v>9065430</v>
      </c>
      <c r="N22" s="24">
        <v>14703410</v>
      </c>
      <c r="O22" s="44">
        <v>20575660</v>
      </c>
      <c r="Q22" s="37">
        <f t="shared" si="17"/>
        <v>1020</v>
      </c>
      <c r="R22" s="37">
        <f t="shared" si="18"/>
        <v>12710</v>
      </c>
      <c r="S22" s="37">
        <f t="shared" si="16"/>
        <v>3230</v>
      </c>
      <c r="T22" s="37">
        <f t="shared" si="19"/>
        <v>1550</v>
      </c>
      <c r="U22" s="37">
        <f t="shared" si="20"/>
        <v>4830</v>
      </c>
      <c r="V22" s="37">
        <f t="shared" si="21"/>
        <v>4130</v>
      </c>
      <c r="W22" s="37">
        <f t="shared" si="22"/>
        <v>2880</v>
      </c>
      <c r="X22" s="37">
        <f t="shared" si="23"/>
        <v>4180</v>
      </c>
      <c r="Y22" s="37">
        <f t="shared" si="24"/>
        <v>3780</v>
      </c>
      <c r="Z22" s="37">
        <f t="shared" si="25"/>
        <v>2750</v>
      </c>
      <c r="AA22" s="37">
        <f t="shared" si="26"/>
        <v>3150</v>
      </c>
      <c r="AB22" s="37">
        <f t="shared" si="27"/>
        <v>6800</v>
      </c>
      <c r="AC22" s="37">
        <f t="shared" si="28"/>
        <v>10270</v>
      </c>
      <c r="AD22" s="35">
        <f t="shared" si="29"/>
        <v>61280</v>
      </c>
      <c r="AF22" s="20">
        <f t="shared" si="1"/>
        <v>5.1000000000000005</v>
      </c>
      <c r="AG22" s="20">
        <f t="shared" si="2"/>
        <v>63.550000000000004</v>
      </c>
      <c r="AH22" s="20">
        <f t="shared" si="3"/>
        <v>16.149999999999999</v>
      </c>
      <c r="AI22" s="20">
        <f t="shared" si="4"/>
        <v>7.75</v>
      </c>
      <c r="AJ22" s="20">
        <f t="shared" si="5"/>
        <v>24.150000000000002</v>
      </c>
      <c r="AK22" s="20">
        <f t="shared" si="6"/>
        <v>20.650000000000002</v>
      </c>
      <c r="AL22" s="20">
        <f t="shared" si="7"/>
        <v>14.4</v>
      </c>
      <c r="AM22" s="20">
        <f t="shared" si="8"/>
        <v>20.900000000000002</v>
      </c>
      <c r="AN22" s="20">
        <f t="shared" si="9"/>
        <v>18.900000000000002</v>
      </c>
      <c r="AO22" s="20">
        <f t="shared" si="10"/>
        <v>13.75</v>
      </c>
      <c r="AP22" s="20">
        <f t="shared" si="11"/>
        <v>15.75</v>
      </c>
      <c r="AQ22" s="20">
        <f t="shared" si="12"/>
        <v>34</v>
      </c>
      <c r="AR22" s="20">
        <f t="shared" si="13"/>
        <v>51.35</v>
      </c>
      <c r="AS22" s="35">
        <f t="shared" si="30"/>
        <v>306.40000000000003</v>
      </c>
      <c r="AU22" s="56">
        <v>2692</v>
      </c>
      <c r="AV22" s="37" t="str">
        <f t="shared" si="31"/>
        <v>0</v>
      </c>
      <c r="AW22" s="37">
        <f>AV22*100*AV44</f>
        <v>0</v>
      </c>
      <c r="AX22" s="35">
        <f t="shared" si="14"/>
        <v>0</v>
      </c>
    </row>
    <row r="23" spans="1:50" x14ac:dyDescent="0.3">
      <c r="A23" s="23">
        <v>44729</v>
      </c>
      <c r="B23" s="40">
        <v>228</v>
      </c>
      <c r="C23" s="24">
        <v>8162154</v>
      </c>
      <c r="D23" s="24">
        <v>19109330</v>
      </c>
      <c r="E23" s="24">
        <v>3277540</v>
      </c>
      <c r="F23" s="24">
        <v>4097570</v>
      </c>
      <c r="G23" s="24">
        <v>12133960</v>
      </c>
      <c r="H23" s="24">
        <v>6982970</v>
      </c>
      <c r="I23" s="24">
        <v>6105680</v>
      </c>
      <c r="J23" s="24">
        <v>7540080</v>
      </c>
      <c r="K23" s="24">
        <v>11100880</v>
      </c>
      <c r="L23" s="24">
        <v>4804090</v>
      </c>
      <c r="M23" s="24">
        <v>9068660</v>
      </c>
      <c r="N23" s="24">
        <v>14710150</v>
      </c>
      <c r="O23" s="24">
        <v>20587370</v>
      </c>
      <c r="Q23" s="37">
        <f t="shared" si="17"/>
        <v>1034</v>
      </c>
      <c r="R23" s="37">
        <f t="shared" si="18"/>
        <v>12790</v>
      </c>
      <c r="S23" s="37">
        <f t="shared" si="16"/>
        <v>3230</v>
      </c>
      <c r="T23" s="37">
        <f t="shared" si="19"/>
        <v>1560</v>
      </c>
      <c r="U23" s="37">
        <f t="shared" si="20"/>
        <v>4800</v>
      </c>
      <c r="V23" s="37">
        <f t="shared" si="21"/>
        <v>4240</v>
      </c>
      <c r="W23" s="37">
        <f t="shared" si="22"/>
        <v>2890</v>
      </c>
      <c r="X23" s="37">
        <f t="shared" si="23"/>
        <v>4300</v>
      </c>
      <c r="Y23" s="37">
        <f t="shared" si="24"/>
        <v>3800</v>
      </c>
      <c r="Z23" s="37">
        <f t="shared" si="25"/>
        <v>2870</v>
      </c>
      <c r="AA23" s="37">
        <f t="shared" si="26"/>
        <v>3230</v>
      </c>
      <c r="AB23" s="37">
        <f t="shared" si="27"/>
        <v>6740</v>
      </c>
      <c r="AC23" s="37">
        <f t="shared" si="28"/>
        <v>11710</v>
      </c>
      <c r="AD23" s="35">
        <f t="shared" si="29"/>
        <v>63194</v>
      </c>
      <c r="AF23" s="20">
        <f t="shared" si="1"/>
        <v>5.17</v>
      </c>
      <c r="AG23" s="20">
        <f t="shared" si="2"/>
        <v>63.95</v>
      </c>
      <c r="AH23" s="20">
        <f t="shared" si="3"/>
        <v>16.149999999999999</v>
      </c>
      <c r="AI23" s="20">
        <f t="shared" si="4"/>
        <v>7.8</v>
      </c>
      <c r="AJ23" s="20">
        <f t="shared" si="5"/>
        <v>24</v>
      </c>
      <c r="AK23" s="20">
        <f t="shared" si="6"/>
        <v>21.2</v>
      </c>
      <c r="AL23" s="20">
        <f t="shared" si="7"/>
        <v>14.450000000000001</v>
      </c>
      <c r="AM23" s="20">
        <f t="shared" si="8"/>
        <v>21.5</v>
      </c>
      <c r="AN23" s="20">
        <f t="shared" si="9"/>
        <v>19</v>
      </c>
      <c r="AO23" s="20">
        <f t="shared" si="10"/>
        <v>14.35</v>
      </c>
      <c r="AP23" s="20">
        <f t="shared" si="11"/>
        <v>16.149999999999999</v>
      </c>
      <c r="AQ23" s="20">
        <f t="shared" si="12"/>
        <v>33.700000000000003</v>
      </c>
      <c r="AR23" s="20">
        <f t="shared" si="13"/>
        <v>58.550000000000004</v>
      </c>
      <c r="AS23" s="35">
        <f t="shared" si="30"/>
        <v>315.97000000000003</v>
      </c>
      <c r="AU23" s="56">
        <v>4686</v>
      </c>
      <c r="AV23" s="37">
        <f t="shared" si="31"/>
        <v>1994</v>
      </c>
      <c r="AW23" s="37">
        <f>AV23*100*AV44</f>
        <v>754.81075399999997</v>
      </c>
      <c r="AX23" s="35">
        <f t="shared" si="14"/>
        <v>3.988</v>
      </c>
    </row>
    <row r="24" spans="1:50" x14ac:dyDescent="0.3">
      <c r="A24" s="23">
        <v>44730</v>
      </c>
      <c r="B24" s="40">
        <v>172</v>
      </c>
      <c r="C24" s="24">
        <v>8163180</v>
      </c>
      <c r="D24" s="24">
        <v>19122100</v>
      </c>
      <c r="E24" s="24">
        <v>3280760</v>
      </c>
      <c r="F24" s="24">
        <v>4099150</v>
      </c>
      <c r="G24" s="24">
        <v>12138760</v>
      </c>
      <c r="H24" s="24">
        <v>6987240</v>
      </c>
      <c r="I24" s="24">
        <v>6108940</v>
      </c>
      <c r="J24" s="24">
        <v>7544320</v>
      </c>
      <c r="K24" s="24">
        <v>11104780</v>
      </c>
      <c r="L24" s="24">
        <v>4806950</v>
      </c>
      <c r="M24" s="24">
        <v>9071930</v>
      </c>
      <c r="N24" s="24">
        <v>14717220</v>
      </c>
      <c r="O24" s="24">
        <v>20598030</v>
      </c>
      <c r="Q24" s="37">
        <f t="shared" si="17"/>
        <v>1026</v>
      </c>
      <c r="R24" s="37">
        <f t="shared" si="18"/>
        <v>12770</v>
      </c>
      <c r="S24" s="37">
        <f t="shared" si="16"/>
        <v>3220</v>
      </c>
      <c r="T24" s="37">
        <f t="shared" si="19"/>
        <v>1580</v>
      </c>
      <c r="U24" s="37">
        <f t="shared" si="20"/>
        <v>4800</v>
      </c>
      <c r="V24" s="37">
        <f t="shared" si="21"/>
        <v>4270</v>
      </c>
      <c r="W24" s="37">
        <f t="shared" si="22"/>
        <v>3260</v>
      </c>
      <c r="X24" s="37">
        <f t="shared" si="23"/>
        <v>4240</v>
      </c>
      <c r="Y24" s="37">
        <f t="shared" si="24"/>
        <v>3900</v>
      </c>
      <c r="Z24" s="37">
        <f t="shared" si="25"/>
        <v>2860</v>
      </c>
      <c r="AA24" s="37">
        <f t="shared" si="26"/>
        <v>3270</v>
      </c>
      <c r="AB24" s="37">
        <f t="shared" si="27"/>
        <v>7070</v>
      </c>
      <c r="AC24" s="37">
        <f t="shared" si="28"/>
        <v>10660</v>
      </c>
      <c r="AD24" s="35">
        <f t="shared" si="29"/>
        <v>62926</v>
      </c>
      <c r="AF24" s="20">
        <f t="shared" si="1"/>
        <v>5.13</v>
      </c>
      <c r="AG24" s="20">
        <f t="shared" si="2"/>
        <v>63.85</v>
      </c>
      <c r="AH24" s="20">
        <f t="shared" si="3"/>
        <v>16.100000000000001</v>
      </c>
      <c r="AI24" s="20">
        <f t="shared" si="4"/>
        <v>7.9</v>
      </c>
      <c r="AJ24" s="20">
        <f t="shared" si="5"/>
        <v>24</v>
      </c>
      <c r="AK24" s="20">
        <f t="shared" si="6"/>
        <v>21.35</v>
      </c>
      <c r="AL24" s="20">
        <f t="shared" si="7"/>
        <v>16.3</v>
      </c>
      <c r="AM24" s="20">
        <f t="shared" si="8"/>
        <v>21.2</v>
      </c>
      <c r="AN24" s="20">
        <f t="shared" si="9"/>
        <v>19.5</v>
      </c>
      <c r="AO24" s="20">
        <f t="shared" si="10"/>
        <v>14.3</v>
      </c>
      <c r="AP24" s="20">
        <f t="shared" si="11"/>
        <v>16.350000000000001</v>
      </c>
      <c r="AQ24" s="20">
        <f t="shared" si="12"/>
        <v>35.35</v>
      </c>
      <c r="AR24" s="20">
        <f t="shared" si="13"/>
        <v>53.300000000000004</v>
      </c>
      <c r="AS24" s="35">
        <f t="shared" si="30"/>
        <v>314.63000000000005</v>
      </c>
      <c r="AU24" s="56">
        <v>6689</v>
      </c>
      <c r="AV24" s="37">
        <f t="shared" si="31"/>
        <v>2003</v>
      </c>
      <c r="AW24" s="37">
        <f>AV24*100*AV44</f>
        <v>758.217623</v>
      </c>
      <c r="AX24" s="35">
        <f t="shared" si="14"/>
        <v>4.0060000000000002</v>
      </c>
    </row>
    <row r="25" spans="1:50" x14ac:dyDescent="0.3">
      <c r="A25" s="23">
        <v>44731</v>
      </c>
      <c r="B25" s="40">
        <v>117</v>
      </c>
      <c r="C25" s="24">
        <v>8164200</v>
      </c>
      <c r="D25" s="24">
        <v>19134870</v>
      </c>
      <c r="E25" s="24">
        <v>3284040</v>
      </c>
      <c r="F25" s="24">
        <v>4100720</v>
      </c>
      <c r="G25" s="24">
        <v>12143390</v>
      </c>
      <c r="H25" s="24">
        <v>6991320</v>
      </c>
      <c r="I25" s="24">
        <v>6111790</v>
      </c>
      <c r="J25" s="24">
        <v>7548290</v>
      </c>
      <c r="K25" s="24">
        <v>11108450</v>
      </c>
      <c r="L25" s="24">
        <v>4809590</v>
      </c>
      <c r="M25" s="24">
        <v>9075040</v>
      </c>
      <c r="N25" s="24">
        <v>14724070</v>
      </c>
      <c r="O25" s="24">
        <v>20607660</v>
      </c>
      <c r="Q25" s="37">
        <f t="shared" ref="Q25:AC27" si="33">IF((C25-C24&lt;0), "0",C25-C24)</f>
        <v>1020</v>
      </c>
      <c r="R25" s="37">
        <f t="shared" si="18"/>
        <v>12770</v>
      </c>
      <c r="S25" s="37">
        <f t="shared" si="33"/>
        <v>3280</v>
      </c>
      <c r="T25" s="37">
        <f t="shared" si="33"/>
        <v>1570</v>
      </c>
      <c r="U25" s="37">
        <f t="shared" si="33"/>
        <v>4630</v>
      </c>
      <c r="V25" s="37">
        <f t="shared" si="33"/>
        <v>4080</v>
      </c>
      <c r="W25" s="37">
        <f t="shared" si="33"/>
        <v>2850</v>
      </c>
      <c r="X25" s="37">
        <f t="shared" si="33"/>
        <v>3970</v>
      </c>
      <c r="Y25" s="37">
        <f t="shared" si="33"/>
        <v>3670</v>
      </c>
      <c r="Z25" s="37">
        <f t="shared" si="33"/>
        <v>2640</v>
      </c>
      <c r="AA25" s="37">
        <f t="shared" si="33"/>
        <v>3110</v>
      </c>
      <c r="AB25" s="37">
        <f t="shared" si="33"/>
        <v>6850</v>
      </c>
      <c r="AC25" s="37">
        <f t="shared" si="33"/>
        <v>9630</v>
      </c>
      <c r="AD25" s="35">
        <f t="shared" si="29"/>
        <v>60070</v>
      </c>
      <c r="AF25" s="20">
        <f t="shared" si="1"/>
        <v>5.1000000000000005</v>
      </c>
      <c r="AG25" s="20">
        <f t="shared" si="2"/>
        <v>63.85</v>
      </c>
      <c r="AH25" s="20">
        <f t="shared" si="3"/>
        <v>16.399999999999999</v>
      </c>
      <c r="AI25" s="20">
        <f t="shared" si="4"/>
        <v>7.8500000000000005</v>
      </c>
      <c r="AJ25" s="20">
        <f t="shared" si="5"/>
        <v>23.150000000000002</v>
      </c>
      <c r="AK25" s="20">
        <f t="shared" si="6"/>
        <v>20.400000000000002</v>
      </c>
      <c r="AL25" s="20">
        <f t="shared" si="7"/>
        <v>14.25</v>
      </c>
      <c r="AM25" s="20">
        <f t="shared" si="8"/>
        <v>19.850000000000001</v>
      </c>
      <c r="AN25" s="20">
        <f t="shared" si="9"/>
        <v>18.350000000000001</v>
      </c>
      <c r="AO25" s="20">
        <f t="shared" si="10"/>
        <v>13.200000000000001</v>
      </c>
      <c r="AP25" s="20">
        <f t="shared" si="11"/>
        <v>15.55</v>
      </c>
      <c r="AQ25" s="20">
        <f t="shared" si="12"/>
        <v>34.25</v>
      </c>
      <c r="AR25" s="20">
        <f t="shared" si="13"/>
        <v>48.15</v>
      </c>
      <c r="AS25" s="35">
        <f t="shared" si="30"/>
        <v>300.34999999999997</v>
      </c>
      <c r="AU25" s="56">
        <v>8918</v>
      </c>
      <c r="AV25" s="37">
        <f t="shared" si="31"/>
        <v>2229</v>
      </c>
      <c r="AW25" s="37">
        <f>AV25*100*AV44</f>
        <v>843.76788899999997</v>
      </c>
      <c r="AX25" s="35">
        <f t="shared" si="14"/>
        <v>4.4580000000000002</v>
      </c>
    </row>
    <row r="26" spans="1:50" x14ac:dyDescent="0.3">
      <c r="A26" s="23">
        <v>44732</v>
      </c>
      <c r="B26" s="40">
        <v>126</v>
      </c>
      <c r="C26" s="24">
        <v>8165270</v>
      </c>
      <c r="D26" s="24">
        <v>19148570</v>
      </c>
      <c r="E26" s="24">
        <v>3287570</v>
      </c>
      <c r="F26" s="24">
        <v>4102430</v>
      </c>
      <c r="G26" s="24">
        <v>12148140</v>
      </c>
      <c r="H26" s="24">
        <v>6995790</v>
      </c>
      <c r="I26" s="24">
        <v>6115080</v>
      </c>
      <c r="J26" s="24">
        <v>7552680</v>
      </c>
      <c r="K26" s="24">
        <v>11113290</v>
      </c>
      <c r="L26" s="24">
        <v>4812390</v>
      </c>
      <c r="M26" s="24">
        <v>9078150</v>
      </c>
      <c r="N26" s="24">
        <v>14731470</v>
      </c>
      <c r="O26" s="24">
        <v>20617160</v>
      </c>
      <c r="Q26" s="37">
        <f t="shared" si="33"/>
        <v>1070</v>
      </c>
      <c r="R26" s="37">
        <f t="shared" si="18"/>
        <v>13700</v>
      </c>
      <c r="S26" s="37">
        <f t="shared" si="33"/>
        <v>3530</v>
      </c>
      <c r="T26" s="37">
        <f t="shared" si="33"/>
        <v>1710</v>
      </c>
      <c r="U26" s="37">
        <f t="shared" si="33"/>
        <v>4750</v>
      </c>
      <c r="V26" s="37">
        <f t="shared" si="33"/>
        <v>4470</v>
      </c>
      <c r="W26" s="37">
        <f t="shared" si="33"/>
        <v>3290</v>
      </c>
      <c r="X26" s="37">
        <f t="shared" si="33"/>
        <v>4390</v>
      </c>
      <c r="Y26" s="37">
        <f t="shared" si="33"/>
        <v>4840</v>
      </c>
      <c r="Z26" s="37">
        <f t="shared" si="33"/>
        <v>2800</v>
      </c>
      <c r="AA26" s="37">
        <f t="shared" si="33"/>
        <v>3110</v>
      </c>
      <c r="AB26" s="37">
        <f t="shared" si="33"/>
        <v>7400</v>
      </c>
      <c r="AC26" s="37">
        <f t="shared" si="33"/>
        <v>9500</v>
      </c>
      <c r="AD26" s="35">
        <f t="shared" si="29"/>
        <v>64560</v>
      </c>
      <c r="AF26" s="20">
        <f t="shared" si="1"/>
        <v>5.3500000000000005</v>
      </c>
      <c r="AG26" s="20">
        <f t="shared" si="2"/>
        <v>68.5</v>
      </c>
      <c r="AH26" s="20">
        <f t="shared" si="3"/>
        <v>17.650000000000002</v>
      </c>
      <c r="AI26" s="20">
        <f t="shared" si="4"/>
        <v>8.5500000000000007</v>
      </c>
      <c r="AJ26" s="20">
        <f t="shared" si="5"/>
        <v>23.75</v>
      </c>
      <c r="AK26" s="20">
        <f t="shared" si="6"/>
        <v>22.35</v>
      </c>
      <c r="AL26" s="20">
        <f t="shared" si="7"/>
        <v>16.45</v>
      </c>
      <c r="AM26" s="20">
        <f t="shared" si="8"/>
        <v>21.95</v>
      </c>
      <c r="AN26" s="20">
        <f t="shared" si="9"/>
        <v>24.2</v>
      </c>
      <c r="AO26" s="20">
        <f t="shared" si="10"/>
        <v>14</v>
      </c>
      <c r="AP26" s="20">
        <f t="shared" si="11"/>
        <v>15.55</v>
      </c>
      <c r="AQ26" s="20">
        <f t="shared" si="12"/>
        <v>37</v>
      </c>
      <c r="AR26" s="20">
        <f t="shared" si="13"/>
        <v>47.5</v>
      </c>
      <c r="AS26" s="35">
        <f t="shared" si="30"/>
        <v>322.79999999999995</v>
      </c>
      <c r="AU26" s="56">
        <v>11375</v>
      </c>
      <c r="AV26" s="37">
        <f t="shared" si="31"/>
        <v>2457</v>
      </c>
      <c r="AW26" s="37">
        <f>AV26*100*AV44</f>
        <v>930.07523700000002</v>
      </c>
      <c r="AX26" s="35">
        <f t="shared" si="14"/>
        <v>4.9139999999999997</v>
      </c>
    </row>
    <row r="27" spans="1:50" x14ac:dyDescent="0.3">
      <c r="A27" s="23">
        <v>44733</v>
      </c>
      <c r="B27" s="40">
        <v>147</v>
      </c>
      <c r="C27" s="24">
        <v>8166260</v>
      </c>
      <c r="D27" s="24">
        <v>19161780</v>
      </c>
      <c r="E27" s="24">
        <v>3291010</v>
      </c>
      <c r="F27" s="24">
        <v>4104060</v>
      </c>
      <c r="G27" s="24">
        <v>12152750</v>
      </c>
      <c r="H27" s="24">
        <v>6999850</v>
      </c>
      <c r="I27" s="24">
        <v>6117980</v>
      </c>
      <c r="J27" s="24">
        <v>7556600</v>
      </c>
      <c r="K27" s="24">
        <v>11118360</v>
      </c>
      <c r="L27" s="24">
        <v>4814980</v>
      </c>
      <c r="M27" s="24">
        <v>9081170</v>
      </c>
      <c r="N27" s="24">
        <v>14738680</v>
      </c>
      <c r="O27" s="24">
        <v>20626750</v>
      </c>
      <c r="Q27" s="37">
        <f t="shared" si="33"/>
        <v>990</v>
      </c>
      <c r="R27" s="37">
        <f t="shared" si="18"/>
        <v>13210</v>
      </c>
      <c r="S27" s="37">
        <f t="shared" si="33"/>
        <v>3440</v>
      </c>
      <c r="T27" s="37">
        <f t="shared" si="33"/>
        <v>1630</v>
      </c>
      <c r="U27" s="37">
        <f t="shared" si="33"/>
        <v>4610</v>
      </c>
      <c r="V27" s="37">
        <f t="shared" si="33"/>
        <v>4060</v>
      </c>
      <c r="W27" s="37">
        <f t="shared" si="33"/>
        <v>2900</v>
      </c>
      <c r="X27" s="37">
        <f t="shared" si="33"/>
        <v>3920</v>
      </c>
      <c r="Y27" s="37">
        <f t="shared" si="33"/>
        <v>5070</v>
      </c>
      <c r="Z27" s="37">
        <f t="shared" si="33"/>
        <v>2590</v>
      </c>
      <c r="AA27" s="37">
        <f t="shared" si="33"/>
        <v>3020</v>
      </c>
      <c r="AB27" s="37">
        <f t="shared" si="33"/>
        <v>7210</v>
      </c>
      <c r="AC27" s="37">
        <f t="shared" si="33"/>
        <v>9590</v>
      </c>
      <c r="AD27" s="35">
        <f t="shared" si="29"/>
        <v>62240</v>
      </c>
      <c r="AF27" s="20">
        <f t="shared" si="1"/>
        <v>4.95</v>
      </c>
      <c r="AG27" s="20">
        <f t="shared" si="2"/>
        <v>66.05</v>
      </c>
      <c r="AH27" s="20">
        <f t="shared" si="3"/>
        <v>17.2</v>
      </c>
      <c r="AI27" s="20">
        <f t="shared" si="4"/>
        <v>8.15</v>
      </c>
      <c r="AJ27" s="20">
        <f t="shared" si="5"/>
        <v>23.05</v>
      </c>
      <c r="AK27" s="20">
        <f t="shared" si="6"/>
        <v>20.3</v>
      </c>
      <c r="AL27" s="20">
        <f t="shared" si="7"/>
        <v>14.5</v>
      </c>
      <c r="AM27" s="20">
        <f t="shared" si="8"/>
        <v>19.600000000000001</v>
      </c>
      <c r="AN27" s="20">
        <f t="shared" si="9"/>
        <v>25.35</v>
      </c>
      <c r="AO27" s="20">
        <f t="shared" si="10"/>
        <v>12.950000000000001</v>
      </c>
      <c r="AP27" s="20">
        <f t="shared" si="11"/>
        <v>15.1</v>
      </c>
      <c r="AQ27" s="20">
        <f t="shared" si="12"/>
        <v>36.050000000000004</v>
      </c>
      <c r="AR27" s="20">
        <f t="shared" si="13"/>
        <v>47.95</v>
      </c>
      <c r="AS27" s="35">
        <f t="shared" si="30"/>
        <v>311.2</v>
      </c>
      <c r="AU27" s="56">
        <v>14639</v>
      </c>
      <c r="AV27" s="37">
        <f>IF((AU27-AU26&lt;0),"0",AU27-AU26)</f>
        <v>3264</v>
      </c>
      <c r="AW27" s="37">
        <f>AV27*100*AV44</f>
        <v>1235.557824</v>
      </c>
      <c r="AX27" s="35">
        <f t="shared" si="14"/>
        <v>6.5280000000000005</v>
      </c>
    </row>
    <row r="28" spans="1:50" x14ac:dyDescent="0.3">
      <c r="A28" s="23">
        <v>44734</v>
      </c>
      <c r="B28" s="40">
        <v>119</v>
      </c>
      <c r="C28" s="24">
        <v>8167310</v>
      </c>
      <c r="D28" s="24">
        <v>19175520</v>
      </c>
      <c r="E28" s="24">
        <v>3294570</v>
      </c>
      <c r="F28" s="24">
        <v>4105770</v>
      </c>
      <c r="G28" s="24">
        <v>12157660</v>
      </c>
      <c r="H28" s="24">
        <v>7004170</v>
      </c>
      <c r="I28" s="24">
        <v>6121260</v>
      </c>
      <c r="J28" s="24">
        <v>7560910</v>
      </c>
      <c r="K28" s="24">
        <v>11123800</v>
      </c>
      <c r="L28" s="24">
        <v>4817660</v>
      </c>
      <c r="M28" s="24">
        <v>9084170</v>
      </c>
      <c r="N28" s="24">
        <v>14746250</v>
      </c>
      <c r="O28" s="24">
        <v>20636240</v>
      </c>
      <c r="Q28" s="37">
        <f t="shared" si="17"/>
        <v>1050</v>
      </c>
      <c r="R28" s="37">
        <f t="shared" si="18"/>
        <v>13740</v>
      </c>
      <c r="S28" s="37">
        <f t="shared" si="16"/>
        <v>3560</v>
      </c>
      <c r="T28" s="37">
        <f t="shared" si="19"/>
        <v>1710</v>
      </c>
      <c r="U28" s="37">
        <f t="shared" si="20"/>
        <v>4910</v>
      </c>
      <c r="V28" s="37">
        <f t="shared" si="21"/>
        <v>4320</v>
      </c>
      <c r="W28" s="37">
        <f t="shared" si="22"/>
        <v>3280</v>
      </c>
      <c r="X28" s="37">
        <f t="shared" si="23"/>
        <v>4310</v>
      </c>
      <c r="Y28" s="37">
        <f t="shared" si="24"/>
        <v>5440</v>
      </c>
      <c r="Z28" s="37">
        <f t="shared" si="25"/>
        <v>2680</v>
      </c>
      <c r="AA28" s="37">
        <f t="shared" si="26"/>
        <v>3000</v>
      </c>
      <c r="AB28" s="37">
        <f t="shared" si="27"/>
        <v>7570</v>
      </c>
      <c r="AC28" s="37">
        <f t="shared" si="28"/>
        <v>9490</v>
      </c>
      <c r="AD28" s="35">
        <f t="shared" si="29"/>
        <v>65060</v>
      </c>
      <c r="AF28" s="20">
        <f t="shared" si="1"/>
        <v>5.25</v>
      </c>
      <c r="AG28" s="20">
        <f t="shared" si="2"/>
        <v>68.7</v>
      </c>
      <c r="AH28" s="20">
        <f t="shared" si="3"/>
        <v>17.8</v>
      </c>
      <c r="AI28" s="20">
        <f t="shared" si="4"/>
        <v>8.5500000000000007</v>
      </c>
      <c r="AJ28" s="20">
        <f t="shared" si="5"/>
        <v>24.55</v>
      </c>
      <c r="AK28" s="20">
        <f t="shared" si="6"/>
        <v>21.6</v>
      </c>
      <c r="AL28" s="20">
        <f t="shared" si="7"/>
        <v>16.399999999999999</v>
      </c>
      <c r="AM28" s="20">
        <f t="shared" si="8"/>
        <v>21.55</v>
      </c>
      <c r="AN28" s="20">
        <f t="shared" si="9"/>
        <v>27.2</v>
      </c>
      <c r="AO28" s="20">
        <f t="shared" si="10"/>
        <v>13.4</v>
      </c>
      <c r="AP28" s="20">
        <f t="shared" si="11"/>
        <v>15</v>
      </c>
      <c r="AQ28" s="20">
        <f t="shared" si="12"/>
        <v>37.85</v>
      </c>
      <c r="AR28" s="20">
        <f t="shared" si="13"/>
        <v>47.45</v>
      </c>
      <c r="AS28" s="35">
        <f t="shared" si="30"/>
        <v>325.3</v>
      </c>
      <c r="AU28" s="56">
        <v>17615</v>
      </c>
      <c r="AV28" s="37">
        <f>IF((AU28-AU27&lt;0),"0",AU28-AU27)</f>
        <v>2976</v>
      </c>
      <c r="AW28" s="37">
        <f>AV28*100*AV44</f>
        <v>1126.538016</v>
      </c>
      <c r="AX28" s="35">
        <f t="shared" si="14"/>
        <v>5.952</v>
      </c>
    </row>
    <row r="29" spans="1:50" x14ac:dyDescent="0.3">
      <c r="A29" s="23">
        <v>44735</v>
      </c>
      <c r="B29" s="40">
        <v>161</v>
      </c>
      <c r="C29" s="24">
        <v>8168280</v>
      </c>
      <c r="D29" s="54">
        <v>19188280</v>
      </c>
      <c r="E29" s="54">
        <v>3297830</v>
      </c>
      <c r="F29" s="54">
        <v>4107370</v>
      </c>
      <c r="G29" s="54">
        <v>12162260</v>
      </c>
      <c r="H29" s="54">
        <v>7008140</v>
      </c>
      <c r="I29" s="54">
        <v>6124140</v>
      </c>
      <c r="J29" s="54">
        <v>7564860</v>
      </c>
      <c r="K29" s="54">
        <v>11129270</v>
      </c>
      <c r="L29" s="54">
        <v>4820200</v>
      </c>
      <c r="M29" s="54">
        <v>9087210</v>
      </c>
      <c r="N29" s="54">
        <v>14753280</v>
      </c>
      <c r="O29" s="54">
        <v>20644930</v>
      </c>
      <c r="Q29" s="37">
        <f t="shared" si="17"/>
        <v>970</v>
      </c>
      <c r="R29" s="37">
        <f t="shared" si="18"/>
        <v>12760</v>
      </c>
      <c r="S29" s="37">
        <f t="shared" si="16"/>
        <v>3260</v>
      </c>
      <c r="T29" s="37">
        <f t="shared" si="19"/>
        <v>1600</v>
      </c>
      <c r="U29" s="37">
        <f t="shared" si="20"/>
        <v>4600</v>
      </c>
      <c r="V29" s="37">
        <f t="shared" si="21"/>
        <v>3970</v>
      </c>
      <c r="W29" s="37">
        <f t="shared" si="22"/>
        <v>2880</v>
      </c>
      <c r="X29" s="37">
        <f t="shared" si="23"/>
        <v>3950</v>
      </c>
      <c r="Y29" s="37">
        <f t="shared" si="24"/>
        <v>5470</v>
      </c>
      <c r="Z29" s="37">
        <f t="shared" si="25"/>
        <v>2540</v>
      </c>
      <c r="AA29" s="37">
        <f t="shared" si="26"/>
        <v>3040</v>
      </c>
      <c r="AB29" s="37">
        <f t="shared" si="27"/>
        <v>7030</v>
      </c>
      <c r="AC29" s="37">
        <f t="shared" si="28"/>
        <v>8690</v>
      </c>
      <c r="AD29" s="35">
        <f t="shared" si="29"/>
        <v>60760</v>
      </c>
      <c r="AF29" s="20">
        <f t="shared" si="1"/>
        <v>4.8500000000000005</v>
      </c>
      <c r="AG29" s="20">
        <f t="shared" si="2"/>
        <v>63.800000000000004</v>
      </c>
      <c r="AH29" s="20">
        <f t="shared" si="3"/>
        <v>16.3</v>
      </c>
      <c r="AI29" s="20">
        <f t="shared" si="4"/>
        <v>8</v>
      </c>
      <c r="AJ29" s="20">
        <f t="shared" si="5"/>
        <v>23</v>
      </c>
      <c r="AK29" s="20">
        <f t="shared" si="6"/>
        <v>19.850000000000001</v>
      </c>
      <c r="AL29" s="20">
        <f t="shared" si="7"/>
        <v>14.4</v>
      </c>
      <c r="AM29" s="20">
        <f t="shared" si="8"/>
        <v>19.75</v>
      </c>
      <c r="AN29" s="20">
        <f t="shared" si="9"/>
        <v>27.35</v>
      </c>
      <c r="AO29" s="20">
        <f t="shared" si="10"/>
        <v>12.700000000000001</v>
      </c>
      <c r="AP29" s="20">
        <f t="shared" si="11"/>
        <v>15.200000000000001</v>
      </c>
      <c r="AQ29" s="20">
        <f t="shared" si="12"/>
        <v>35.15</v>
      </c>
      <c r="AR29" s="20">
        <f t="shared" si="13"/>
        <v>43.45</v>
      </c>
      <c r="AS29" s="35">
        <f t="shared" si="30"/>
        <v>303.79999999999995</v>
      </c>
      <c r="AU29" s="57">
        <v>19568</v>
      </c>
      <c r="AV29" s="37">
        <f>IF((AU29-AU28&lt;0),"0",AU29-AU28)</f>
        <v>1953</v>
      </c>
      <c r="AW29" s="37">
        <f>AV29*100*AV44</f>
        <v>739.29057299999999</v>
      </c>
      <c r="AX29" s="35">
        <f t="shared" si="14"/>
        <v>3.9060000000000001</v>
      </c>
    </row>
    <row r="30" spans="1:50" x14ac:dyDescent="0.3">
      <c r="A30" s="23">
        <v>44736</v>
      </c>
      <c r="B30" s="40">
        <v>233</v>
      </c>
      <c r="C30" s="24">
        <v>8169310</v>
      </c>
      <c r="D30" s="55">
        <v>19201900</v>
      </c>
      <c r="E30" s="55">
        <v>3301340</v>
      </c>
      <c r="F30" s="55">
        <v>4109040</v>
      </c>
      <c r="G30" s="55">
        <v>12167190</v>
      </c>
      <c r="H30" s="55">
        <v>7012380</v>
      </c>
      <c r="I30" s="55">
        <v>6127150</v>
      </c>
      <c r="J30" s="55">
        <v>7569120</v>
      </c>
      <c r="K30" s="55">
        <v>11135300</v>
      </c>
      <c r="L30" s="55">
        <v>4823160</v>
      </c>
      <c r="M30" s="55">
        <v>9090430</v>
      </c>
      <c r="N30" s="55">
        <v>14760430</v>
      </c>
      <c r="O30" s="55">
        <v>20652600</v>
      </c>
      <c r="Q30" s="37">
        <f t="shared" si="17"/>
        <v>1030</v>
      </c>
      <c r="R30" s="37">
        <f t="shared" si="18"/>
        <v>13620</v>
      </c>
      <c r="S30" s="37">
        <f t="shared" si="16"/>
        <v>3510</v>
      </c>
      <c r="T30" s="37">
        <f t="shared" si="19"/>
        <v>1670</v>
      </c>
      <c r="U30" s="37">
        <f t="shared" si="20"/>
        <v>4930</v>
      </c>
      <c r="V30" s="37">
        <f t="shared" si="21"/>
        <v>4240</v>
      </c>
      <c r="W30" s="37">
        <f t="shared" si="22"/>
        <v>3010</v>
      </c>
      <c r="X30" s="37">
        <f t="shared" si="23"/>
        <v>4260</v>
      </c>
      <c r="Y30" s="37">
        <f t="shared" si="24"/>
        <v>6030</v>
      </c>
      <c r="Z30" s="37">
        <f t="shared" si="25"/>
        <v>2960</v>
      </c>
      <c r="AA30" s="37">
        <f t="shared" si="26"/>
        <v>3220</v>
      </c>
      <c r="AB30" s="37">
        <f t="shared" si="27"/>
        <v>7150</v>
      </c>
      <c r="AC30" s="37">
        <f t="shared" si="28"/>
        <v>7670</v>
      </c>
      <c r="AD30" s="35">
        <f t="shared" si="29"/>
        <v>63300</v>
      </c>
      <c r="AF30" s="20">
        <f t="shared" si="1"/>
        <v>5.15</v>
      </c>
      <c r="AG30" s="20">
        <f t="shared" si="2"/>
        <v>68.099999999999994</v>
      </c>
      <c r="AH30" s="20">
        <f t="shared" si="3"/>
        <v>17.55</v>
      </c>
      <c r="AI30" s="20">
        <f t="shared" si="4"/>
        <v>8.35</v>
      </c>
      <c r="AJ30" s="20">
        <f t="shared" si="5"/>
        <v>24.650000000000002</v>
      </c>
      <c r="AK30" s="20">
        <f t="shared" si="6"/>
        <v>21.2</v>
      </c>
      <c r="AL30" s="20">
        <f t="shared" si="7"/>
        <v>15.05</v>
      </c>
      <c r="AM30" s="20">
        <f t="shared" si="8"/>
        <v>21.3</v>
      </c>
      <c r="AN30" s="20">
        <f t="shared" si="9"/>
        <v>30.150000000000002</v>
      </c>
      <c r="AO30" s="20">
        <f t="shared" si="10"/>
        <v>14.8</v>
      </c>
      <c r="AP30" s="20">
        <f t="shared" si="11"/>
        <v>16.100000000000001</v>
      </c>
      <c r="AQ30" s="20">
        <f t="shared" si="12"/>
        <v>35.75</v>
      </c>
      <c r="AR30" s="20">
        <f t="shared" si="13"/>
        <v>38.35</v>
      </c>
      <c r="AS30" s="35">
        <f t="shared" si="30"/>
        <v>316.50000000000006</v>
      </c>
      <c r="AU30" s="58">
        <v>21615</v>
      </c>
      <c r="AV30" s="37">
        <f t="shared" ref="AV30:AV36" si="34">IF((AU30-AU29&lt;0),"0",AU30-AU29)</f>
        <v>2047</v>
      </c>
      <c r="AW30" s="37">
        <f>AV30*100*AV44</f>
        <v>774.87342699999999</v>
      </c>
      <c r="AX30" s="35">
        <f t="shared" si="14"/>
        <v>4.0940000000000003</v>
      </c>
    </row>
    <row r="31" spans="1:50" x14ac:dyDescent="0.3">
      <c r="A31" s="23">
        <v>44737</v>
      </c>
      <c r="B31" s="40">
        <v>153</v>
      </c>
      <c r="C31" s="24">
        <v>8170330</v>
      </c>
      <c r="D31" s="54">
        <v>19215450</v>
      </c>
      <c r="E31" s="54">
        <v>3304850</v>
      </c>
      <c r="F31" s="54">
        <v>4110710</v>
      </c>
      <c r="G31" s="54">
        <v>12172060</v>
      </c>
      <c r="H31" s="54">
        <v>7016590</v>
      </c>
      <c r="I31" s="54">
        <v>6130040</v>
      </c>
      <c r="J31" s="54">
        <v>7573590</v>
      </c>
      <c r="K31" s="54">
        <v>11141230</v>
      </c>
      <c r="L31" s="54">
        <v>4826060</v>
      </c>
      <c r="M31" s="54">
        <v>9093690</v>
      </c>
      <c r="N31" s="54">
        <v>14767730</v>
      </c>
      <c r="O31" s="54">
        <v>20660820</v>
      </c>
      <c r="Q31" s="37">
        <f>IF((C31-C30&lt;0), "0",C31-C30)</f>
        <v>1020</v>
      </c>
      <c r="R31" s="37">
        <f t="shared" si="18"/>
        <v>13550</v>
      </c>
      <c r="S31" s="37">
        <f t="shared" si="16"/>
        <v>3510</v>
      </c>
      <c r="T31" s="37">
        <f t="shared" si="19"/>
        <v>1670</v>
      </c>
      <c r="U31" s="37">
        <f t="shared" si="20"/>
        <v>4870</v>
      </c>
      <c r="V31" s="37">
        <f t="shared" si="21"/>
        <v>4210</v>
      </c>
      <c r="W31" s="37">
        <f t="shared" si="22"/>
        <v>2890</v>
      </c>
      <c r="X31" s="37">
        <f t="shared" si="23"/>
        <v>4470</v>
      </c>
      <c r="Y31" s="37">
        <f t="shared" si="24"/>
        <v>5930</v>
      </c>
      <c r="Z31" s="37">
        <f t="shared" si="25"/>
        <v>2900</v>
      </c>
      <c r="AA31" s="37">
        <f t="shared" si="26"/>
        <v>3260</v>
      </c>
      <c r="AB31" s="37">
        <f t="shared" si="27"/>
        <v>7300</v>
      </c>
      <c r="AC31" s="37">
        <f t="shared" si="28"/>
        <v>8220</v>
      </c>
      <c r="AD31" s="35">
        <f t="shared" si="29"/>
        <v>63800</v>
      </c>
      <c r="AF31" s="20">
        <f t="shared" si="1"/>
        <v>5.1000000000000005</v>
      </c>
      <c r="AG31" s="20">
        <f t="shared" si="2"/>
        <v>67.75</v>
      </c>
      <c r="AH31" s="20">
        <f t="shared" si="3"/>
        <v>17.55</v>
      </c>
      <c r="AI31" s="20">
        <f t="shared" si="4"/>
        <v>8.35</v>
      </c>
      <c r="AJ31" s="20">
        <f t="shared" si="5"/>
        <v>24.35</v>
      </c>
      <c r="AK31" s="20">
        <f t="shared" si="6"/>
        <v>21.05</v>
      </c>
      <c r="AL31" s="20">
        <f t="shared" si="7"/>
        <v>14.450000000000001</v>
      </c>
      <c r="AM31" s="20">
        <f t="shared" si="8"/>
        <v>22.35</v>
      </c>
      <c r="AN31" s="20">
        <f t="shared" si="9"/>
        <v>29.650000000000002</v>
      </c>
      <c r="AO31" s="20">
        <f t="shared" si="10"/>
        <v>14.5</v>
      </c>
      <c r="AP31" s="20">
        <f t="shared" si="11"/>
        <v>16.3</v>
      </c>
      <c r="AQ31" s="20">
        <f t="shared" si="12"/>
        <v>36.5</v>
      </c>
      <c r="AR31" s="20">
        <f t="shared" si="13"/>
        <v>41.1</v>
      </c>
      <c r="AS31" s="35">
        <f t="shared" si="30"/>
        <v>319</v>
      </c>
      <c r="AU31" s="57">
        <v>23408</v>
      </c>
      <c r="AV31" s="37">
        <f t="shared" si="34"/>
        <v>1793</v>
      </c>
      <c r="AW31" s="37">
        <f>AV31*100*AV44</f>
        <v>678.72401300000001</v>
      </c>
      <c r="AX31" s="35">
        <f t="shared" si="14"/>
        <v>3.5859999999999999</v>
      </c>
    </row>
    <row r="32" spans="1:50" x14ac:dyDescent="0.3">
      <c r="A32" s="23">
        <v>44738</v>
      </c>
      <c r="B32" s="40">
        <v>164</v>
      </c>
      <c r="C32" s="24">
        <v>8171350</v>
      </c>
      <c r="D32" s="55">
        <v>19228630</v>
      </c>
      <c r="E32" s="55">
        <v>3308240</v>
      </c>
      <c r="F32" s="55">
        <v>4112330</v>
      </c>
      <c r="G32" s="55">
        <v>12176850</v>
      </c>
      <c r="H32" s="55">
        <v>7020620</v>
      </c>
      <c r="I32" s="55">
        <v>6133020</v>
      </c>
      <c r="J32" s="55">
        <v>7577640</v>
      </c>
      <c r="K32" s="55">
        <v>11146670</v>
      </c>
      <c r="L32" s="55">
        <v>4828890</v>
      </c>
      <c r="M32" s="55">
        <v>9096930</v>
      </c>
      <c r="N32" s="55">
        <v>14774700</v>
      </c>
      <c r="O32" s="55">
        <v>20670380</v>
      </c>
      <c r="Q32" s="37">
        <f>IF((C32-C31&lt;0), "0",C32-C31)</f>
        <v>1020</v>
      </c>
      <c r="R32" s="37">
        <f t="shared" si="18"/>
        <v>13180</v>
      </c>
      <c r="S32" s="37">
        <f t="shared" si="16"/>
        <v>3390</v>
      </c>
      <c r="T32" s="37">
        <f t="shared" si="19"/>
        <v>1620</v>
      </c>
      <c r="U32" s="37">
        <f t="shared" si="20"/>
        <v>4790</v>
      </c>
      <c r="V32" s="37">
        <f t="shared" si="21"/>
        <v>4030</v>
      </c>
      <c r="W32" s="37">
        <f t="shared" si="22"/>
        <v>2980</v>
      </c>
      <c r="X32" s="37">
        <f t="shared" si="23"/>
        <v>4050</v>
      </c>
      <c r="Y32" s="37">
        <f t="shared" si="24"/>
        <v>5440</v>
      </c>
      <c r="Z32" s="37">
        <f t="shared" si="25"/>
        <v>2830</v>
      </c>
      <c r="AA32" s="37">
        <f t="shared" si="26"/>
        <v>3240</v>
      </c>
      <c r="AB32" s="37">
        <f t="shared" si="27"/>
        <v>6970</v>
      </c>
      <c r="AC32" s="37">
        <f t="shared" si="28"/>
        <v>9560</v>
      </c>
      <c r="AD32" s="35">
        <f t="shared" si="29"/>
        <v>63100</v>
      </c>
      <c r="AF32" s="20">
        <f t="shared" si="1"/>
        <v>5.1000000000000005</v>
      </c>
      <c r="AG32" s="20">
        <f t="shared" si="2"/>
        <v>65.900000000000006</v>
      </c>
      <c r="AH32" s="20">
        <f t="shared" si="3"/>
        <v>16.95</v>
      </c>
      <c r="AI32" s="20">
        <f t="shared" si="4"/>
        <v>8.1</v>
      </c>
      <c r="AJ32" s="20">
        <f t="shared" si="5"/>
        <v>23.95</v>
      </c>
      <c r="AK32" s="20">
        <f t="shared" si="6"/>
        <v>20.150000000000002</v>
      </c>
      <c r="AL32" s="20">
        <f t="shared" si="7"/>
        <v>14.9</v>
      </c>
      <c r="AM32" s="20">
        <f t="shared" si="8"/>
        <v>20.25</v>
      </c>
      <c r="AN32" s="20">
        <f t="shared" si="9"/>
        <v>27.2</v>
      </c>
      <c r="AO32" s="20">
        <f t="shared" si="10"/>
        <v>14.15</v>
      </c>
      <c r="AP32" s="20">
        <f t="shared" si="11"/>
        <v>16.2</v>
      </c>
      <c r="AQ32" s="20">
        <f t="shared" si="12"/>
        <v>34.85</v>
      </c>
      <c r="AR32" s="20">
        <f t="shared" si="13"/>
        <v>47.800000000000004</v>
      </c>
      <c r="AS32" s="35">
        <f t="shared" si="30"/>
        <v>315.5</v>
      </c>
      <c r="AU32" s="58">
        <v>25393</v>
      </c>
      <c r="AV32" s="37">
        <f t="shared" si="34"/>
        <v>1985</v>
      </c>
      <c r="AW32" s="37">
        <f>AV32*100*AV44</f>
        <v>751.40388499999995</v>
      </c>
      <c r="AX32" s="35">
        <f t="shared" si="14"/>
        <v>3.97</v>
      </c>
    </row>
    <row r="33" spans="1:50" x14ac:dyDescent="0.3">
      <c r="A33" s="23">
        <v>44739</v>
      </c>
      <c r="B33" s="40">
        <v>166</v>
      </c>
      <c r="C33" s="24">
        <v>8172420</v>
      </c>
      <c r="D33" s="54">
        <v>19242350</v>
      </c>
      <c r="E33" s="54">
        <v>3311750</v>
      </c>
      <c r="F33" s="54">
        <v>4114010</v>
      </c>
      <c r="G33" s="54">
        <v>12181750</v>
      </c>
      <c r="H33" s="54">
        <v>7024890</v>
      </c>
      <c r="I33" s="54">
        <v>6136280</v>
      </c>
      <c r="J33" s="54">
        <v>7582140</v>
      </c>
      <c r="K33" s="54">
        <v>11152310</v>
      </c>
      <c r="L33" s="54">
        <v>4831800</v>
      </c>
      <c r="M33" s="54">
        <v>9100210</v>
      </c>
      <c r="N33" s="54">
        <v>14781910</v>
      </c>
      <c r="O33" s="54">
        <v>20680190</v>
      </c>
      <c r="Q33" s="37">
        <f>IF((C33-C32&lt;0), "0",C33-C32)</f>
        <v>1070</v>
      </c>
      <c r="R33" s="37">
        <f t="shared" si="18"/>
        <v>13720</v>
      </c>
      <c r="S33" s="37">
        <f t="shared" si="16"/>
        <v>3510</v>
      </c>
      <c r="T33" s="37">
        <f t="shared" si="19"/>
        <v>1680</v>
      </c>
      <c r="U33" s="37">
        <f t="shared" si="20"/>
        <v>4900</v>
      </c>
      <c r="V33" s="37">
        <f t="shared" si="21"/>
        <v>4270</v>
      </c>
      <c r="W33" s="37">
        <f t="shared" si="22"/>
        <v>3260</v>
      </c>
      <c r="X33" s="37">
        <f t="shared" si="23"/>
        <v>4500</v>
      </c>
      <c r="Y33" s="37">
        <f t="shared" si="24"/>
        <v>5640</v>
      </c>
      <c r="Z33" s="37">
        <f t="shared" si="25"/>
        <v>2910</v>
      </c>
      <c r="AA33" s="37">
        <f t="shared" si="26"/>
        <v>3280</v>
      </c>
      <c r="AB33" s="37">
        <f t="shared" si="27"/>
        <v>7210</v>
      </c>
      <c r="AC33" s="37">
        <f t="shared" si="28"/>
        <v>9810</v>
      </c>
      <c r="AD33" s="35">
        <f t="shared" si="29"/>
        <v>65760</v>
      </c>
      <c r="AF33" s="20">
        <f t="shared" si="1"/>
        <v>5.3500000000000005</v>
      </c>
      <c r="AG33" s="20">
        <f t="shared" si="2"/>
        <v>68.600000000000009</v>
      </c>
      <c r="AH33" s="20">
        <f t="shared" si="3"/>
        <v>17.55</v>
      </c>
      <c r="AI33" s="20">
        <f t="shared" si="4"/>
        <v>8.4</v>
      </c>
      <c r="AJ33" s="20">
        <f t="shared" si="5"/>
        <v>24.5</v>
      </c>
      <c r="AK33" s="20">
        <f t="shared" si="6"/>
        <v>21.35</v>
      </c>
      <c r="AL33" s="20">
        <f t="shared" si="7"/>
        <v>16.3</v>
      </c>
      <c r="AM33" s="20">
        <f t="shared" si="8"/>
        <v>22.5</v>
      </c>
      <c r="AN33" s="20">
        <f t="shared" si="9"/>
        <v>28.2</v>
      </c>
      <c r="AO33" s="20">
        <f t="shared" si="10"/>
        <v>14.55</v>
      </c>
      <c r="AP33" s="20">
        <f t="shared" si="11"/>
        <v>16.399999999999999</v>
      </c>
      <c r="AQ33" s="20">
        <f t="shared" si="12"/>
        <v>36.050000000000004</v>
      </c>
      <c r="AR33" s="20">
        <f t="shared" si="13"/>
        <v>49.050000000000004</v>
      </c>
      <c r="AS33" s="35">
        <f t="shared" si="30"/>
        <v>328.8</v>
      </c>
      <c r="AU33" s="57">
        <v>28050</v>
      </c>
      <c r="AV33" s="37">
        <f t="shared" si="34"/>
        <v>2657</v>
      </c>
      <c r="AW33" s="37">
        <f>AV33*100*AV44</f>
        <v>1005.7834369999999</v>
      </c>
      <c r="AX33" s="35">
        <f t="shared" si="14"/>
        <v>5.3140000000000001</v>
      </c>
    </row>
    <row r="34" spans="1:50" x14ac:dyDescent="0.3">
      <c r="A34" s="23">
        <v>44740</v>
      </c>
      <c r="B34" s="51">
        <v>144</v>
      </c>
      <c r="C34" s="50">
        <v>8173440</v>
      </c>
      <c r="D34" s="55">
        <v>19255340</v>
      </c>
      <c r="E34" s="55">
        <v>3315060</v>
      </c>
      <c r="F34" s="55">
        <v>4115610</v>
      </c>
      <c r="G34" s="55">
        <v>12186510</v>
      </c>
      <c r="H34" s="55">
        <v>7029120</v>
      </c>
      <c r="I34" s="55">
        <v>6139280</v>
      </c>
      <c r="J34" s="55">
        <v>7586530</v>
      </c>
      <c r="K34" s="55">
        <v>11157440</v>
      </c>
      <c r="L34" s="55">
        <v>4834640</v>
      </c>
      <c r="M34" s="55">
        <v>9103410</v>
      </c>
      <c r="N34" s="55">
        <v>14788880</v>
      </c>
      <c r="O34" s="55">
        <v>20690090</v>
      </c>
      <c r="Q34" s="37">
        <f>IF((C34-C33&lt;0), "0",C34-C33)</f>
        <v>1020</v>
      </c>
      <c r="R34" s="37">
        <f t="shared" si="18"/>
        <v>12990</v>
      </c>
      <c r="S34" s="37">
        <f t="shared" si="16"/>
        <v>3310</v>
      </c>
      <c r="T34" s="37">
        <f t="shared" si="19"/>
        <v>1600</v>
      </c>
      <c r="U34" s="37">
        <f t="shared" si="20"/>
        <v>4760</v>
      </c>
      <c r="V34" s="37">
        <f t="shared" si="21"/>
        <v>4230</v>
      </c>
      <c r="W34" s="37">
        <f t="shared" si="22"/>
        <v>3000</v>
      </c>
      <c r="X34" s="37">
        <f t="shared" si="23"/>
        <v>4390</v>
      </c>
      <c r="Y34" s="37">
        <f t="shared" si="24"/>
        <v>5130</v>
      </c>
      <c r="Z34" s="37">
        <f t="shared" si="25"/>
        <v>2840</v>
      </c>
      <c r="AA34" s="37">
        <f t="shared" si="26"/>
        <v>3200</v>
      </c>
      <c r="AB34" s="37">
        <f t="shared" si="27"/>
        <v>6970</v>
      </c>
      <c r="AC34" s="37">
        <f t="shared" si="28"/>
        <v>9900</v>
      </c>
      <c r="AD34" s="35">
        <f t="shared" si="29"/>
        <v>63340</v>
      </c>
      <c r="AF34" s="20">
        <f>Q34*$D$39</f>
        <v>5.1000000000000005</v>
      </c>
      <c r="AG34" s="20">
        <f t="shared" si="2"/>
        <v>64.95</v>
      </c>
      <c r="AH34" s="20">
        <f t="shared" si="3"/>
        <v>16.55</v>
      </c>
      <c r="AI34" s="20">
        <f t="shared" si="4"/>
        <v>8</v>
      </c>
      <c r="AJ34" s="20">
        <f t="shared" si="5"/>
        <v>23.8</v>
      </c>
      <c r="AK34" s="20">
        <f t="shared" si="6"/>
        <v>21.150000000000002</v>
      </c>
      <c r="AL34" s="20">
        <f t="shared" si="7"/>
        <v>15</v>
      </c>
      <c r="AM34" s="20">
        <f t="shared" si="8"/>
        <v>21.95</v>
      </c>
      <c r="AN34" s="20">
        <f t="shared" si="9"/>
        <v>25.650000000000002</v>
      </c>
      <c r="AO34" s="20">
        <f t="shared" si="10"/>
        <v>14.200000000000001</v>
      </c>
      <c r="AP34" s="20">
        <f t="shared" si="11"/>
        <v>16</v>
      </c>
      <c r="AQ34" s="20">
        <f t="shared" si="12"/>
        <v>34.85</v>
      </c>
      <c r="AR34" s="20">
        <f t="shared" si="13"/>
        <v>49.5</v>
      </c>
      <c r="AS34" s="35">
        <f>SUM(AF34:AR34)</f>
        <v>316.7</v>
      </c>
      <c r="AU34" s="58">
        <v>29979</v>
      </c>
      <c r="AV34" s="37">
        <f t="shared" si="34"/>
        <v>1929</v>
      </c>
      <c r="AW34" s="37">
        <f>AV34*100*AV44</f>
        <v>730.20558900000003</v>
      </c>
      <c r="AX34" s="35">
        <f t="shared" si="14"/>
        <v>3.8580000000000001</v>
      </c>
    </row>
    <row r="35" spans="1:50" x14ac:dyDescent="0.3">
      <c r="A35" s="23">
        <v>44741</v>
      </c>
      <c r="B35" s="40">
        <v>128</v>
      </c>
      <c r="C35" s="24">
        <v>8174430</v>
      </c>
      <c r="D35" s="54">
        <v>19268450</v>
      </c>
      <c r="E35" s="54">
        <v>3318440</v>
      </c>
      <c r="F35" s="54">
        <v>4117210</v>
      </c>
      <c r="G35" s="54">
        <v>12191080</v>
      </c>
      <c r="H35" s="54">
        <v>7033180</v>
      </c>
      <c r="I35" s="54">
        <v>6142420</v>
      </c>
      <c r="J35" s="54">
        <v>7590670</v>
      </c>
      <c r="K35" s="54">
        <v>11163020</v>
      </c>
      <c r="L35" s="54">
        <v>4837280</v>
      </c>
      <c r="M35" s="54">
        <v>9106560</v>
      </c>
      <c r="N35" s="54">
        <v>14795960</v>
      </c>
      <c r="O35" s="54">
        <v>20700730</v>
      </c>
      <c r="Q35" s="37">
        <f>IF((C35-C34&lt;0), "0",C35-C34)</f>
        <v>990</v>
      </c>
      <c r="R35" s="37">
        <f t="shared" si="18"/>
        <v>13110</v>
      </c>
      <c r="S35" s="37">
        <f t="shared" si="16"/>
        <v>3380</v>
      </c>
      <c r="T35" s="37">
        <f t="shared" si="19"/>
        <v>1600</v>
      </c>
      <c r="U35" s="37">
        <f t="shared" si="20"/>
        <v>4570</v>
      </c>
      <c r="V35" s="37">
        <f t="shared" si="21"/>
        <v>4060</v>
      </c>
      <c r="W35" s="37">
        <f t="shared" si="22"/>
        <v>3140</v>
      </c>
      <c r="X35" s="37">
        <f t="shared" si="23"/>
        <v>4140</v>
      </c>
      <c r="Y35" s="37">
        <f t="shared" si="24"/>
        <v>5580</v>
      </c>
      <c r="Z35" s="37">
        <f t="shared" si="25"/>
        <v>2640</v>
      </c>
      <c r="AA35" s="37">
        <f t="shared" si="26"/>
        <v>3150</v>
      </c>
      <c r="AB35" s="37">
        <f t="shared" si="27"/>
        <v>7080</v>
      </c>
      <c r="AC35" s="37">
        <f t="shared" si="28"/>
        <v>10640</v>
      </c>
      <c r="AD35" s="35">
        <f t="shared" si="29"/>
        <v>64080</v>
      </c>
      <c r="AF35" s="20">
        <f t="shared" si="1"/>
        <v>4.95</v>
      </c>
      <c r="AG35" s="20">
        <f t="shared" si="2"/>
        <v>65.55</v>
      </c>
      <c r="AH35" s="20">
        <f t="shared" si="3"/>
        <v>16.899999999999999</v>
      </c>
      <c r="AI35" s="20">
        <f t="shared" si="4"/>
        <v>8</v>
      </c>
      <c r="AJ35" s="20">
        <f t="shared" si="5"/>
        <v>22.85</v>
      </c>
      <c r="AK35" s="20">
        <f t="shared" si="6"/>
        <v>20.3</v>
      </c>
      <c r="AL35" s="20">
        <f t="shared" si="7"/>
        <v>15.700000000000001</v>
      </c>
      <c r="AM35" s="20">
        <f t="shared" si="8"/>
        <v>20.7</v>
      </c>
      <c r="AN35" s="20">
        <f t="shared" si="9"/>
        <v>27.900000000000002</v>
      </c>
      <c r="AO35" s="20">
        <f t="shared" si="10"/>
        <v>13.200000000000001</v>
      </c>
      <c r="AP35" s="20">
        <f t="shared" si="11"/>
        <v>15.75</v>
      </c>
      <c r="AQ35" s="20">
        <f t="shared" si="12"/>
        <v>35.4</v>
      </c>
      <c r="AR35" s="20">
        <f t="shared" si="13"/>
        <v>53.2</v>
      </c>
      <c r="AS35" s="35">
        <f>SUM(AF35:AR35)</f>
        <v>320.39999999999998</v>
      </c>
      <c r="AU35" s="57">
        <v>32680</v>
      </c>
      <c r="AV35" s="37">
        <f t="shared" si="34"/>
        <v>2701</v>
      </c>
      <c r="AW35" s="37">
        <f>AV35*100*AV44</f>
        <v>1022.4392409999999</v>
      </c>
      <c r="AX35" s="35">
        <f t="shared" si="14"/>
        <v>5.4020000000000001</v>
      </c>
    </row>
    <row r="36" spans="1:50" x14ac:dyDescent="0.3">
      <c r="A36" s="23">
        <v>44742</v>
      </c>
      <c r="B36" s="40">
        <v>136</v>
      </c>
      <c r="C36" s="55">
        <v>8175500</v>
      </c>
      <c r="D36" s="55">
        <v>19282930</v>
      </c>
      <c r="E36" s="55">
        <v>3322210</v>
      </c>
      <c r="F36" s="55">
        <v>4118970</v>
      </c>
      <c r="G36" s="55">
        <v>12196220</v>
      </c>
      <c r="H36" s="55">
        <v>7037610</v>
      </c>
      <c r="I36" s="55">
        <v>6146040</v>
      </c>
      <c r="J36" s="55">
        <v>7595190</v>
      </c>
      <c r="K36" s="55">
        <v>11168960</v>
      </c>
      <c r="L36" s="55">
        <v>4840270</v>
      </c>
      <c r="M36" s="55">
        <v>9110100</v>
      </c>
      <c r="N36" s="55">
        <v>14803710</v>
      </c>
      <c r="O36" s="55">
        <v>20713280</v>
      </c>
      <c r="Q36" s="37">
        <f t="shared" ref="Q36:AA36" si="35">IF((C36-C35&lt;0), "0",C36-C35)</f>
        <v>1070</v>
      </c>
      <c r="R36" s="37">
        <f t="shared" si="18"/>
        <v>14480</v>
      </c>
      <c r="S36" s="37">
        <f t="shared" si="35"/>
        <v>3770</v>
      </c>
      <c r="T36" s="37">
        <f t="shared" si="35"/>
        <v>1760</v>
      </c>
      <c r="U36" s="37">
        <f t="shared" si="35"/>
        <v>5140</v>
      </c>
      <c r="V36" s="37">
        <f t="shared" si="35"/>
        <v>4430</v>
      </c>
      <c r="W36" s="37">
        <f t="shared" si="35"/>
        <v>3620</v>
      </c>
      <c r="X36" s="37">
        <f t="shared" si="23"/>
        <v>4520</v>
      </c>
      <c r="Y36" s="37">
        <f t="shared" si="35"/>
        <v>5940</v>
      </c>
      <c r="Z36" s="37">
        <f t="shared" si="35"/>
        <v>2990</v>
      </c>
      <c r="AA36" s="37">
        <f t="shared" si="35"/>
        <v>3540</v>
      </c>
      <c r="AB36" s="37">
        <f t="shared" si="27"/>
        <v>7750</v>
      </c>
      <c r="AC36" s="37">
        <f t="shared" si="28"/>
        <v>12550</v>
      </c>
      <c r="AD36" s="35">
        <f t="shared" si="29"/>
        <v>71560</v>
      </c>
      <c r="AF36" s="20">
        <f t="shared" si="1"/>
        <v>5.3500000000000005</v>
      </c>
      <c r="AG36" s="20">
        <f t="shared" si="2"/>
        <v>72.400000000000006</v>
      </c>
      <c r="AH36" s="20">
        <f t="shared" si="3"/>
        <v>18.850000000000001</v>
      </c>
      <c r="AI36" s="20">
        <f t="shared" si="4"/>
        <v>8.8000000000000007</v>
      </c>
      <c r="AJ36" s="20">
        <f t="shared" si="5"/>
        <v>25.7</v>
      </c>
      <c r="AK36" s="20">
        <f t="shared" si="6"/>
        <v>22.150000000000002</v>
      </c>
      <c r="AL36" s="20">
        <f t="shared" si="7"/>
        <v>18.100000000000001</v>
      </c>
      <c r="AM36" s="20">
        <f t="shared" si="8"/>
        <v>22.6</v>
      </c>
      <c r="AN36" s="20">
        <f t="shared" si="9"/>
        <v>29.7</v>
      </c>
      <c r="AO36" s="20">
        <f t="shared" si="10"/>
        <v>14.950000000000001</v>
      </c>
      <c r="AP36" s="20">
        <f t="shared" si="11"/>
        <v>17.7</v>
      </c>
      <c r="AQ36" s="20">
        <f t="shared" si="12"/>
        <v>38.75</v>
      </c>
      <c r="AR36" s="20">
        <f t="shared" si="13"/>
        <v>62.75</v>
      </c>
      <c r="AS36" s="35">
        <f>SUM(AF36:AR36)</f>
        <v>357.79999999999995</v>
      </c>
      <c r="AU36" s="47">
        <v>35143</v>
      </c>
      <c r="AV36" s="37">
        <f t="shared" si="34"/>
        <v>2463</v>
      </c>
      <c r="AW36" s="37">
        <f>AV36*100*AV44</f>
        <v>932.34648299999992</v>
      </c>
      <c r="AX36" s="35">
        <f t="shared" ref="AX36:AX37" si="36">AV36*$D$40</f>
        <v>4.9260000000000002</v>
      </c>
    </row>
    <row r="37" spans="1:50" x14ac:dyDescent="0.3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7">IF((C37-C36&lt;0), "0",C37-C36)</f>
        <v>0</v>
      </c>
      <c r="R37" s="37" t="str">
        <f t="shared" si="18"/>
        <v>0</v>
      </c>
      <c r="S37" s="37" t="str">
        <f t="shared" ref="S37" si="38">IF((E37-E36&lt;0), "0",E37-E36)</f>
        <v>0</v>
      </c>
      <c r="T37" s="37" t="str">
        <f t="shared" ref="T37" si="39">IF((F37-F36&lt;0), "0",F37-F36)</f>
        <v>0</v>
      </c>
      <c r="U37" s="37" t="str">
        <f t="shared" ref="U37" si="40">IF((G37-G36&lt;0), "0",G37-G36)</f>
        <v>0</v>
      </c>
      <c r="V37" s="37" t="str">
        <f t="shared" ref="V37" si="41">IF((H37-H36&lt;0), "0",H37-H36)</f>
        <v>0</v>
      </c>
      <c r="W37" s="37" t="str">
        <f t="shared" ref="W37" si="42">IF((I37-I36&lt;0), "0",I37-I36)</f>
        <v>0</v>
      </c>
      <c r="X37" s="37" t="str">
        <f t="shared" si="23"/>
        <v>0</v>
      </c>
      <c r="Y37" s="37" t="str">
        <f t="shared" ref="Y37" si="43">IF((K37-K36&lt;0), "0",K37-K36)</f>
        <v>0</v>
      </c>
      <c r="Z37" s="37" t="str">
        <f t="shared" ref="Z37" si="44">IF((L37-L36&lt;0), "0",L37-L36)</f>
        <v>0</v>
      </c>
      <c r="AA37" s="37" t="str">
        <f t="shared" ref="AA37" si="45">IF((M37-M36&lt;0), "0",M37-M36)</f>
        <v>0</v>
      </c>
      <c r="AB37" s="37" t="str">
        <f t="shared" si="27"/>
        <v>0</v>
      </c>
      <c r="AC37" s="37" t="str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 t="str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3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30760</v>
      </c>
      <c r="R38" s="38">
        <f t="shared" ref="R38:AD38" si="60">SUM(R7:R37)</f>
        <v>394370</v>
      </c>
      <c r="S38" s="38">
        <f t="shared" si="60"/>
        <v>100790</v>
      </c>
      <c r="T38" s="38">
        <f t="shared" si="60"/>
        <v>48700</v>
      </c>
      <c r="U38" s="38">
        <f t="shared" si="60"/>
        <v>141820</v>
      </c>
      <c r="V38" s="38">
        <f t="shared" si="60"/>
        <v>124310</v>
      </c>
      <c r="W38" s="38">
        <f t="shared" si="60"/>
        <v>95380</v>
      </c>
      <c r="X38" s="38">
        <f t="shared" si="60"/>
        <v>126570</v>
      </c>
      <c r="Y38" s="38">
        <f t="shared" si="60"/>
        <v>140670</v>
      </c>
      <c r="Z38" s="38">
        <f t="shared" si="60"/>
        <v>81000</v>
      </c>
      <c r="AA38" s="38">
        <f t="shared" si="60"/>
        <v>94620</v>
      </c>
      <c r="AB38" s="38">
        <f t="shared" si="60"/>
        <v>214200</v>
      </c>
      <c r="AC38" s="38">
        <f t="shared" si="60"/>
        <v>294330</v>
      </c>
      <c r="AD38" s="38">
        <f t="shared" si="60"/>
        <v>1887520</v>
      </c>
      <c r="AF38" s="35">
        <f>SUM(AF7:AF37)</f>
        <v>153.79999999999995</v>
      </c>
      <c r="AG38" s="35">
        <f t="shared" ref="AG38:AS38" si="61">SUM(AG7:AG37)</f>
        <v>1971.85</v>
      </c>
      <c r="AH38" s="35">
        <f t="shared" si="61"/>
        <v>503.95</v>
      </c>
      <c r="AI38" s="35">
        <f t="shared" si="61"/>
        <v>243.50000000000003</v>
      </c>
      <c r="AJ38" s="35">
        <f t="shared" si="61"/>
        <v>709.1</v>
      </c>
      <c r="AK38" s="35">
        <f t="shared" si="61"/>
        <v>621.54999999999984</v>
      </c>
      <c r="AL38" s="35">
        <f t="shared" si="61"/>
        <v>476.89999999999992</v>
      </c>
      <c r="AM38" s="35">
        <f t="shared" si="61"/>
        <v>632.85</v>
      </c>
      <c r="AN38" s="35">
        <f t="shared" si="61"/>
        <v>703.35000000000014</v>
      </c>
      <c r="AO38" s="35">
        <f t="shared" si="61"/>
        <v>404.99999999999994</v>
      </c>
      <c r="AP38" s="35">
        <f t="shared" si="61"/>
        <v>473.1</v>
      </c>
      <c r="AQ38" s="35">
        <f t="shared" si="61"/>
        <v>1071</v>
      </c>
      <c r="AR38" s="35">
        <f t="shared" si="61"/>
        <v>1471.6499999999996</v>
      </c>
      <c r="AS38" s="35">
        <f t="shared" si="61"/>
        <v>9437.6</v>
      </c>
      <c r="AU38" s="48"/>
      <c r="AV38" s="34">
        <f>SUM(AV7:AV37)</f>
        <v>32451</v>
      </c>
      <c r="AW38" s="34">
        <f>SUM(AW7:AW37)</f>
        <v>12284.033991</v>
      </c>
      <c r="AX38" s="35">
        <f>SUM(AX7:AX37)</f>
        <v>64.901999999999987</v>
      </c>
    </row>
    <row r="39" spans="1:50" x14ac:dyDescent="0.3">
      <c r="B39" s="39">
        <f>SUM(B7:B36)</f>
        <v>4190</v>
      </c>
      <c r="D39">
        <v>5.0000000000000001E-3</v>
      </c>
      <c r="AV39" s="36"/>
      <c r="AW39" s="53">
        <f>AW38/31</f>
        <v>396.25916100000001</v>
      </c>
    </row>
    <row r="40" spans="1:50" x14ac:dyDescent="0.3">
      <c r="D40">
        <v>2E-3</v>
      </c>
    </row>
    <row r="44" spans="1:50" x14ac:dyDescent="0.3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Khoury</cp:lastModifiedBy>
  <cp:lastPrinted>2022-07-13T07:43:50Z</cp:lastPrinted>
  <dcterms:created xsi:type="dcterms:W3CDTF">2017-05-22T13:08:25Z</dcterms:created>
  <dcterms:modified xsi:type="dcterms:W3CDTF">2022-07-13T07:44:00Z</dcterms:modified>
</cp:coreProperties>
</file>