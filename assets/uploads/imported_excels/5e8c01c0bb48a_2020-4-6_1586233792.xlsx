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<sst xmlns="http://schemas.openxmlformats.org/spreadsheetml/2006/main" count="296" uniqueCount="138">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</sst>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 t="e">
        <f>Submetering!E8+Submetering!F8+Submetering!G8+Submetering!H8-Submetering!AV8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3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6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4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599.99999999993395</v>
      </c>
      <c r="J7" s="36">
        <f>'FS Desroches Daily'!N9</f>
        <v>1200.0000000000898</v>
      </c>
      <c r="K7" s="13">
        <f>'FS Desroches Daily'!P9</f>
        <v>1</v>
      </c>
      <c r="L7" s="35">
        <f>'FS Desroches Daily'!R9</f>
        <v>4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 t="str">
        <f>'FS Desroches Daily'!BF9</f>
        <v/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 t="str">
        <f>'FS Desroches Daily'!D10</f>
        <v>0</v>
      </c>
      <c r="F8" s="36" t="str">
        <f>'FS Desroches Daily'!F10</f>
        <v>0</v>
      </c>
      <c r="G8" s="35" t="str">
        <f>'FS Desroches Daily'!H10</f>
        <v>0</v>
      </c>
      <c r="H8" s="36" t="str">
        <f>'FS Desroches Daily'!J10</f>
        <v>0</v>
      </c>
      <c r="I8" s="35" t="str">
        <f>'FS Desroches Daily'!L10</f>
        <v>0</v>
      </c>
      <c r="J8" s="36" t="str">
        <f>'FS Desroches Daily'!N10</f>
        <v/>
      </c>
      <c r="K8" s="13" t="str">
        <f>'FS Desroches Daily'!P10</f>
        <v/>
      </c>
      <c r="L8" s="35" t="str">
        <f>'FS Desroches Daily'!R10</f>
        <v/>
      </c>
      <c r="M8" s="35" t="str">
        <f>'FS Desroches Daily'!T10</f>
        <v/>
      </c>
      <c r="N8" s="35" t="str">
        <f>'FS Desroches Daily'!V10</f>
        <v/>
      </c>
      <c r="O8" s="35" t="str">
        <f>'FS Desroches Daily'!X10</f>
        <v/>
      </c>
      <c r="P8" s="35" t="str">
        <f>'FS Desroches Daily'!Z10</f>
        <v/>
      </c>
      <c r="Q8" s="35" t="str">
        <f>'FS Desroches Daily'!AB10</f>
        <v/>
      </c>
      <c r="R8" s="35" t="str">
        <f>'FS Desroches Daily'!AD10</f>
        <v/>
      </c>
      <c r="S8" s="35" t="str">
        <f>'FS Desroches Daily'!AF10</f>
        <v/>
      </c>
      <c r="T8" s="35" t="str">
        <f>'FS Desroches Daily'!AH10</f>
        <v/>
      </c>
      <c r="U8" s="39" t="str">
        <f>'FS Desroches Daily'!AJ10</f>
        <v/>
      </c>
      <c r="V8" s="39" t="str">
        <f>'FS Desroches Daily'!AL10</f>
        <v/>
      </c>
      <c r="W8" s="39" t="str">
        <f>'FS Desroches Daily'!AN10</f>
        <v/>
      </c>
      <c r="X8" s="39" t="str">
        <f>'FS Desroches Daily'!AP10</f>
        <v/>
      </c>
      <c r="Y8" s="39" t="str">
        <f>'FS Desroches Daily'!AR10</f>
        <v/>
      </c>
      <c r="Z8" s="39" t="str">
        <f>'FS Desroches Daily'!AT10</f>
        <v/>
      </c>
      <c r="AA8" s="39" t="str">
        <f>'FS Desroches Daily'!AT10</f>
        <v/>
      </c>
      <c r="AB8" s="39" t="str">
        <f>'FS Desroches Daily'!AV10</f>
        <v/>
      </c>
      <c r="AC8" s="39" t="str">
        <f>'FS Desroches Daily'!AZ10</f>
        <v/>
      </c>
      <c r="AD8" s="39" t="str">
        <f>'FS Desroches Daily'!BB10</f>
        <v/>
      </c>
      <c r="AE8" s="39" t="str">
        <f>'FS Desroches Daily'!BD10</f>
        <v/>
      </c>
      <c r="AF8" s="35">
        <f>'FS Desroches Daily'!BF10</f>
        <v>0</v>
      </c>
      <c r="AG8" s="36" t="str">
        <f>'FS Desroches Daily'!BH10</f>
        <v/>
      </c>
      <c r="AH8" s="36" t="str">
        <f>'FS Desroches Daily'!BJ10</f>
        <v/>
      </c>
      <c r="AI8" s="36" t="str">
        <f>'FS Desroches Daily'!BL10</f>
        <v/>
      </c>
      <c r="AJ8" s="36" t="str">
        <f>'FS Desroches Daily'!BN10</f>
        <v/>
      </c>
      <c r="AK8" s="36" t="str">
        <f>'FS Desroches Daily'!BP10</f>
        <v/>
      </c>
      <c r="AL8" s="36" t="str">
        <f>'FS Desroches Daily'!BR10</f>
        <v/>
      </c>
      <c r="AM8" s="36" t="str">
        <f>'FS Desroches Daily'!BT10</f>
        <v/>
      </c>
      <c r="AN8" s="36" t="str">
        <f>'FS Desroches Daily'!BV10</f>
        <v/>
      </c>
      <c r="AO8" s="36" t="str">
        <f>'FS Desroches Daily'!BX10</f>
        <v/>
      </c>
      <c r="AP8" s="36" t="str">
        <f>'FS Desroches Daily'!BZ10</f>
        <v/>
      </c>
      <c r="AQ8" s="35" t="str">
        <f>'FS Desroches Daily'!CB10</f>
        <v/>
      </c>
      <c r="AR8" s="35" t="str">
        <f>'FS Desroches Daily'!CD10</f>
        <v/>
      </c>
      <c r="AS8" s="35" t="str">
        <f>'FS Desroches Daily'!CF10</f>
        <v/>
      </c>
      <c r="AT8" s="35" t="str">
        <f>'FS Desroches Daily'!CH10</f>
        <v/>
      </c>
      <c r="AU8" s="35" t="str">
        <f>'FS Desroches Daily'!CJ10</f>
        <v/>
      </c>
      <c r="AV8" s="35" t="str">
        <f>'FS Desroches Daily'!CL10</f>
        <v/>
      </c>
      <c r="AW8" s="35">
        <f>'FS Desroches Daily'!CM10</f>
        <v>0</v>
      </c>
      <c r="AX8" s="35" t="str">
        <f>IF(LPG!F15-LPG!F14&lt;0,"0",(LPG!F15-LPG!F14)*1.8315)</f>
        <v>0</v>
      </c>
      <c r="AY8" s="35" t="str">
        <f>IF(LPG!H15-LPG!H14&lt;0,"0",(LPG!H15-LPG!H14)*1.8315)</f>
        <v>0</v>
      </c>
      <c r="AZ8" s="35" t="str">
        <f>IF(LPG!J15-LPG!J14&lt;0,"0",(LPG!J15-LPG!J14)*1.8315)</f>
        <v>0</v>
      </c>
      <c r="BA8" s="35" t="str">
        <f>IF(LPG!M15-LPG!M14&lt;0,"0",(LPG!M15-LPG!M14)*1.8315)</f>
        <v>0</v>
      </c>
      <c r="BB8" s="35" t="str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9300.0000000000855</v>
      </c>
      <c r="F33" s="17">
        <f t="shared" ref="F33:BC33" si="1">SUM(F2:F32)</f>
        <v>6000.0000000002274</v>
      </c>
      <c r="G33" s="17">
        <f t="shared" si="1"/>
        <v>11200.000000000098</v>
      </c>
      <c r="H33" s="17">
        <f t="shared" si="1"/>
        <v>8299.9999999999745</v>
      </c>
      <c r="I33" s="17">
        <f t="shared" si="1"/>
        <v>12599.999999999945</v>
      </c>
      <c r="J33" s="17">
        <f t="shared" si="1"/>
        <v>6600.0000000001619</v>
      </c>
      <c r="K33" s="17">
        <f t="shared" si="1"/>
        <v>6</v>
      </c>
      <c r="L33" s="17">
        <f t="shared" si="1"/>
        <v>27</v>
      </c>
      <c r="M33" s="17">
        <f t="shared" si="1"/>
        <v>1455</v>
      </c>
      <c r="N33" s="17">
        <f t="shared" si="1"/>
        <v>842</v>
      </c>
      <c r="O33" s="17">
        <f t="shared" si="1"/>
        <v>1360.0000000000136</v>
      </c>
      <c r="P33" s="17">
        <f t="shared" si="1"/>
        <v>3899.9999999997931</v>
      </c>
      <c r="Q33" s="17">
        <f t="shared" si="1"/>
        <v>669.99999999995907</v>
      </c>
      <c r="R33" s="17">
        <f t="shared" si="1"/>
        <v>1849.9999999999659</v>
      </c>
      <c r="S33" s="17">
        <f t="shared" si="1"/>
        <v>3490.0000000000091</v>
      </c>
      <c r="T33" s="17">
        <f t="shared" si="1"/>
        <v>6.1000000000001364</v>
      </c>
      <c r="U33" s="39">
        <f t="shared" si="1"/>
        <v>1730.0000000000182</v>
      </c>
      <c r="V33" s="39">
        <f t="shared" si="1"/>
        <v>0.99000000000000909</v>
      </c>
      <c r="W33" s="39">
        <f t="shared" si="1"/>
        <v>0.87999999999999545</v>
      </c>
      <c r="X33" s="39">
        <f t="shared" si="1"/>
        <v>0.83000000000001251</v>
      </c>
      <c r="Y33" s="39">
        <f t="shared" si="1"/>
        <v>669.99999999998749</v>
      </c>
      <c r="Z33" s="39">
        <f t="shared" si="1"/>
        <v>620.00000000000455</v>
      </c>
      <c r="AA33" s="39">
        <f t="shared" si="1"/>
        <v>620.00000000000455</v>
      </c>
      <c r="AB33" s="39">
        <f t="shared" si="1"/>
        <v>490.00000000000909</v>
      </c>
      <c r="AC33" s="39">
        <f t="shared" si="1"/>
        <v>519.99999999998181</v>
      </c>
      <c r="AD33" s="39">
        <f t="shared" si="1"/>
        <v>500</v>
      </c>
      <c r="AE33" s="39">
        <f t="shared" si="1"/>
        <v>79.999999999984084</v>
      </c>
      <c r="AF33" s="17">
        <f t="shared" si="1"/>
        <v>136</v>
      </c>
      <c r="AG33" s="36">
        <f t="shared" si="1"/>
        <v>219.99999999999886</v>
      </c>
      <c r="AH33" s="36">
        <f t="shared" si="1"/>
        <v>240.00000000000909</v>
      </c>
      <c r="AI33" s="36">
        <f t="shared" si="1"/>
        <v>210.00000000000796</v>
      </c>
      <c r="AJ33" s="36">
        <f t="shared" si="1"/>
        <v>299.99999999998295</v>
      </c>
      <c r="AK33" s="36">
        <f t="shared" si="1"/>
        <v>339.99999999997499</v>
      </c>
      <c r="AL33" s="36">
        <f t="shared" si="1"/>
        <v>155</v>
      </c>
      <c r="AM33" s="36">
        <f t="shared" si="1"/>
        <v>140.00000000001478</v>
      </c>
      <c r="AN33" s="36">
        <f t="shared" si="1"/>
        <v>164</v>
      </c>
      <c r="AO33" s="36">
        <f t="shared" si="1"/>
        <v>250</v>
      </c>
      <c r="AP33" s="36">
        <f t="shared" si="1"/>
        <v>284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369.10000000000582</v>
      </c>
      <c r="AU33" s="17">
        <f t="shared" si="1"/>
        <v>1772</v>
      </c>
      <c r="AV33" s="17">
        <f t="shared" si="1"/>
        <v>2279.9999999999727</v>
      </c>
      <c r="AW33" s="17">
        <f t="shared" si="1"/>
        <v>152.9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36.629999999999995</v>
      </c>
      <c r="BC33" s="17">
        <f t="shared" si="1"/>
        <v>0</v>
      </c>
    </row>
    <row r="35" spans="5:55" x14ac:dyDescent="0.25">
      <c r="E35" s="42">
        <f>E33/E37</f>
        <v>0.28581965701640943</v>
      </c>
      <c r="G35" s="33">
        <f>G33-M36</f>
        <v>8903.0000000000982</v>
      </c>
      <c r="AE35" s="39">
        <f>SUM(U33:AE33)</f>
        <v>5232.6999999999898</v>
      </c>
      <c r="AG35" s="36">
        <f>SUM(AG33:AP33)</f>
        <v>2302.9999999999886</v>
      </c>
    </row>
    <row r="36" spans="5:55" x14ac:dyDescent="0.25">
      <c r="G36" s="33">
        <f>G35-633*14</f>
        <v>41.000000000098225</v>
      </c>
      <c r="M36" s="33">
        <f>M33+N33</f>
        <v>2297</v>
      </c>
    </row>
    <row r="37" spans="5:55" x14ac:dyDescent="0.25">
      <c r="E37" s="17">
        <f>E33+F33+G33+H33+J33-633*14</f>
        <v>32538.000000000546</v>
      </c>
      <c r="G37" s="41">
        <f>M36/E37</f>
        <v>7.0594381953407143E-2</v>
      </c>
      <c r="M37" s="39">
        <f>AE35</f>
        <v>5232.6999999999898</v>
      </c>
    </row>
    <row r="38" spans="5:55" x14ac:dyDescent="0.25">
      <c r="L38" s="31">
        <f>M38/E37</f>
        <v>7.0778781732127052E-2</v>
      </c>
      <c r="M38" s="33">
        <f>AG35</f>
        <v>2302.9999999999886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3" activePane="bottomLeft" state="frozen"/>
      <selection pane="bottomLeft" activeCell="CO9" sqref="CN9:CO9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5119</v>
      </c>
      <c r="R5" s="72">
        <f t="shared" ref="R5:R34" si="8">IF((Q5-Q4&lt;0), "",Q5-Q4)</f>
        <v>3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6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5134</v>
      </c>
      <c r="R8" s="72">
        <f t="shared" si="8"/>
        <v>4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1.776</v>
      </c>
      <c r="L9" s="71">
        <f t="shared" si="0"/>
        <v>599.99999999993395</v>
      </c>
      <c r="M9" s="64">
        <v>1.1424000000000001</v>
      </c>
      <c r="N9" s="71">
        <f>IF((M9-M8&lt;0), "0",(M9-M8)*1000000)</f>
        <v>1200.0000000000898</v>
      </c>
      <c r="O9" s="64">
        <v>12542</v>
      </c>
      <c r="P9" s="72">
        <f>IF((O9-O8&lt;0), "0",O9-O8)</f>
        <v>1</v>
      </c>
      <c r="Q9" s="64">
        <v>5138</v>
      </c>
      <c r="R9" s="72">
        <f>IF((Q9-Q8&lt;0), "0",Q9-Q8)</f>
        <v>4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/>
      <c r="BF9" s="72" t="str">
        <f t="shared" si="15"/>
        <v/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/>
      <c r="D10" s="71" t="str">
        <f t="shared" si="3"/>
        <v>0</v>
      </c>
      <c r="E10" s="64"/>
      <c r="F10" s="71" t="str">
        <f t="shared" si="4"/>
        <v>0</v>
      </c>
      <c r="G10" s="64"/>
      <c r="H10" s="71" t="str">
        <f t="shared" si="5"/>
        <v>0</v>
      </c>
      <c r="I10" s="64"/>
      <c r="J10" s="71" t="str">
        <f t="shared" si="43"/>
        <v>0</v>
      </c>
      <c r="K10" s="64"/>
      <c r="L10" s="71" t="str">
        <f t="shared" si="0"/>
        <v>0</v>
      </c>
      <c r="M10" s="64"/>
      <c r="N10" s="71" t="str">
        <f t="shared" si="6"/>
        <v/>
      </c>
      <c r="O10" s="64"/>
      <c r="P10" s="72" t="str">
        <f t="shared" si="7"/>
        <v/>
      </c>
      <c r="Q10" s="64"/>
      <c r="R10" s="72" t="str">
        <f t="shared" si="8"/>
        <v/>
      </c>
      <c r="S10" s="64"/>
      <c r="T10" s="71" t="str">
        <f t="shared" si="9"/>
        <v/>
      </c>
      <c r="U10" s="64"/>
      <c r="V10" s="72" t="str">
        <f t="shared" si="10"/>
        <v/>
      </c>
      <c r="W10" s="64"/>
      <c r="X10" s="72" t="str">
        <f t="shared" si="23"/>
        <v/>
      </c>
      <c r="Y10" s="64"/>
      <c r="Z10" s="72" t="str">
        <f t="shared" si="24"/>
        <v/>
      </c>
      <c r="AA10" s="64"/>
      <c r="AB10" s="72" t="str">
        <f t="shared" si="25"/>
        <v/>
      </c>
      <c r="AC10" s="64"/>
      <c r="AD10" s="72" t="str">
        <f t="shared" si="26"/>
        <v/>
      </c>
      <c r="AE10" s="64"/>
      <c r="AF10" s="72" t="str">
        <f t="shared" si="27"/>
        <v/>
      </c>
      <c r="AG10" s="64"/>
      <c r="AH10" s="72" t="str">
        <f t="shared" si="11"/>
        <v/>
      </c>
      <c r="AI10" s="64"/>
      <c r="AJ10" s="72" t="str">
        <f t="shared" si="28"/>
        <v/>
      </c>
      <c r="AK10" s="64"/>
      <c r="AL10" s="72" t="str">
        <f t="shared" si="12"/>
        <v/>
      </c>
      <c r="AM10" s="64"/>
      <c r="AN10" s="72" t="str">
        <f t="shared" si="13"/>
        <v/>
      </c>
      <c r="AO10" s="64"/>
      <c r="AP10" s="72" t="str">
        <f t="shared" si="14"/>
        <v/>
      </c>
      <c r="AQ10" s="64"/>
      <c r="AR10" s="72" t="str">
        <f t="shared" si="29"/>
        <v/>
      </c>
      <c r="AS10" s="64"/>
      <c r="AT10" s="72" t="str">
        <f t="shared" si="30"/>
        <v/>
      </c>
      <c r="AU10" s="64"/>
      <c r="AV10" s="72" t="str">
        <f t="shared" si="31"/>
        <v/>
      </c>
      <c r="AW10" s="64"/>
      <c r="AX10" s="72" t="str">
        <f t="shared" si="32"/>
        <v/>
      </c>
      <c r="AY10" s="64"/>
      <c r="AZ10" s="72" t="str">
        <f t="shared" si="33"/>
        <v/>
      </c>
      <c r="BA10" s="64"/>
      <c r="BB10" s="72" t="str">
        <f t="shared" si="34"/>
        <v/>
      </c>
      <c r="BC10" s="64"/>
      <c r="BD10" s="72" t="str">
        <f t="shared" si="35"/>
        <v/>
      </c>
      <c r="BE10" s="66"/>
      <c r="BF10" s="72">
        <f t="shared" si="15"/>
        <v>0</v>
      </c>
      <c r="BG10" s="67"/>
      <c r="BH10" s="72" t="str">
        <f t="shared" si="36"/>
        <v/>
      </c>
      <c r="BI10" s="67"/>
      <c r="BJ10" s="72" t="str">
        <f t="shared" si="37"/>
        <v/>
      </c>
      <c r="BK10" s="67"/>
      <c r="BL10" s="72" t="str">
        <f t="shared" si="38"/>
        <v/>
      </c>
      <c r="BM10" s="67"/>
      <c r="BN10" s="72" t="str">
        <f t="shared" si="39"/>
        <v/>
      </c>
      <c r="BO10" s="67"/>
      <c r="BP10" s="72" t="str">
        <f t="shared" si="40"/>
        <v/>
      </c>
      <c r="BQ10" s="67"/>
      <c r="BR10" s="72" t="str">
        <f t="shared" si="16"/>
        <v/>
      </c>
      <c r="BS10" s="67"/>
      <c r="BT10" s="72" t="str">
        <f t="shared" si="41"/>
        <v/>
      </c>
      <c r="BU10" s="67"/>
      <c r="BV10" s="72" t="str">
        <f t="shared" si="1"/>
        <v/>
      </c>
      <c r="BW10" s="67"/>
      <c r="BX10" s="72" t="str">
        <f t="shared" si="42"/>
        <v/>
      </c>
      <c r="BY10" s="67"/>
      <c r="BZ10" s="72" t="str">
        <f t="shared" si="17"/>
        <v/>
      </c>
      <c r="CA10" s="67"/>
      <c r="CB10" s="72" t="str">
        <f t="shared" si="18"/>
        <v/>
      </c>
      <c r="CC10" s="67"/>
      <c r="CD10" s="72" t="str">
        <f t="shared" si="19"/>
        <v/>
      </c>
      <c r="CE10" s="67"/>
      <c r="CF10" s="72" t="str">
        <f t="shared" si="20"/>
        <v/>
      </c>
      <c r="CG10" s="67"/>
      <c r="CH10" s="72" t="str">
        <f t="shared" si="21"/>
        <v/>
      </c>
      <c r="CI10" s="67"/>
      <c r="CJ10" s="72" t="str">
        <f t="shared" si="2"/>
        <v/>
      </c>
      <c r="CK10" s="67"/>
      <c r="CL10" s="71" t="str">
        <f t="shared" si="22"/>
        <v/>
      </c>
      <c r="CM10" s="72"/>
      <c r="CN10" s="69"/>
      <c r="CO10" s="69"/>
    </row>
    <row r="11" spans="1:93" ht="25.5" customHeight="1" thickBot="1" x14ac:dyDescent="0.45">
      <c r="A11" s="70">
        <v>43929</v>
      </c>
      <c r="B11" s="48"/>
      <c r="C11" s="64"/>
      <c r="D11" s="71">
        <f t="shared" si="3"/>
        <v>0</v>
      </c>
      <c r="E11" s="64"/>
      <c r="F11" s="71">
        <f t="shared" si="4"/>
        <v>0</v>
      </c>
      <c r="G11" s="64"/>
      <c r="H11" s="71">
        <f t="shared" si="5"/>
        <v>0</v>
      </c>
      <c r="I11" s="64"/>
      <c r="J11" s="71">
        <f t="shared" si="43"/>
        <v>0</v>
      </c>
      <c r="K11" s="64"/>
      <c r="L11" s="71">
        <f t="shared" si="0"/>
        <v>0</v>
      </c>
      <c r="M11" s="64"/>
      <c r="N11" s="71">
        <f t="shared" si="6"/>
        <v>0</v>
      </c>
      <c r="O11" s="64"/>
      <c r="P11" s="72">
        <f t="shared" si="7"/>
        <v>0</v>
      </c>
      <c r="Q11" s="64"/>
      <c r="R11" s="72">
        <f t="shared" si="8"/>
        <v>0</v>
      </c>
      <c r="S11" s="64"/>
      <c r="T11" s="71">
        <f t="shared" si="9"/>
        <v>0</v>
      </c>
      <c r="U11" s="64"/>
      <c r="V11" s="72">
        <f t="shared" si="10"/>
        <v>0</v>
      </c>
      <c r="W11" s="64"/>
      <c r="X11" s="72">
        <f t="shared" si="23"/>
        <v>0</v>
      </c>
      <c r="Y11" s="64"/>
      <c r="Z11" s="72">
        <f t="shared" si="24"/>
        <v>0</v>
      </c>
      <c r="AA11" s="64"/>
      <c r="AB11" s="72">
        <f t="shared" si="25"/>
        <v>0</v>
      </c>
      <c r="AC11" s="64"/>
      <c r="AD11" s="72">
        <f t="shared" si="26"/>
        <v>0</v>
      </c>
      <c r="AE11" s="64"/>
      <c r="AF11" s="72">
        <f t="shared" si="27"/>
        <v>0</v>
      </c>
      <c r="AG11" s="64"/>
      <c r="AH11" s="72">
        <f t="shared" si="11"/>
        <v>0</v>
      </c>
      <c r="AI11" s="64"/>
      <c r="AJ11" s="72">
        <f t="shared" si="28"/>
        <v>0</v>
      </c>
      <c r="AK11" s="64"/>
      <c r="AL11" s="72">
        <f t="shared" si="12"/>
        <v>0</v>
      </c>
      <c r="AM11" s="64"/>
      <c r="AN11" s="72">
        <f t="shared" si="13"/>
        <v>0</v>
      </c>
      <c r="AO11" s="64"/>
      <c r="AP11" s="72">
        <f t="shared" si="14"/>
        <v>0</v>
      </c>
      <c r="AQ11" s="64"/>
      <c r="AR11" s="72">
        <f t="shared" si="29"/>
        <v>0</v>
      </c>
      <c r="AS11" s="64"/>
      <c r="AT11" s="72">
        <f t="shared" si="30"/>
        <v>0</v>
      </c>
      <c r="AU11" s="64"/>
      <c r="AV11" s="72">
        <f t="shared" si="31"/>
        <v>0</v>
      </c>
      <c r="AW11" s="64"/>
      <c r="AX11" s="72">
        <f t="shared" si="32"/>
        <v>0</v>
      </c>
      <c r="AY11" s="64"/>
      <c r="AZ11" s="72">
        <f t="shared" si="33"/>
        <v>0</v>
      </c>
      <c r="BA11" s="64"/>
      <c r="BB11" s="72">
        <f t="shared" si="34"/>
        <v>0</v>
      </c>
      <c r="BC11" s="64"/>
      <c r="BD11" s="72">
        <f t="shared" si="35"/>
        <v>0</v>
      </c>
      <c r="BE11" s="66"/>
      <c r="BF11" s="72">
        <f t="shared" si="15"/>
        <v>0</v>
      </c>
      <c r="BG11" s="67"/>
      <c r="BH11" s="72">
        <f t="shared" si="36"/>
        <v>0</v>
      </c>
      <c r="BI11" s="67"/>
      <c r="BJ11" s="72">
        <f t="shared" si="37"/>
        <v>0</v>
      </c>
      <c r="BK11" s="67"/>
      <c r="BL11" s="72">
        <f t="shared" si="38"/>
        <v>0</v>
      </c>
      <c r="BM11" s="67"/>
      <c r="BN11" s="72">
        <f t="shared" si="39"/>
        <v>0</v>
      </c>
      <c r="BO11" s="67"/>
      <c r="BP11" s="72">
        <f t="shared" si="40"/>
        <v>0</v>
      </c>
      <c r="BQ11" s="67"/>
      <c r="BR11" s="72">
        <f t="shared" si="16"/>
        <v>0</v>
      </c>
      <c r="BS11" s="67"/>
      <c r="BT11" s="72">
        <f t="shared" si="41"/>
        <v>0</v>
      </c>
      <c r="BU11" s="67"/>
      <c r="BV11" s="72">
        <f t="shared" si="1"/>
        <v>0</v>
      </c>
      <c r="BW11" s="67"/>
      <c r="BX11" s="72">
        <f t="shared" si="42"/>
        <v>0</v>
      </c>
      <c r="BY11" s="67"/>
      <c r="BZ11" s="72">
        <f t="shared" si="17"/>
        <v>0</v>
      </c>
      <c r="CA11" s="67"/>
      <c r="CB11" s="72">
        <f t="shared" si="18"/>
        <v>0</v>
      </c>
      <c r="CC11" s="67"/>
      <c r="CD11" s="72">
        <f t="shared" si="19"/>
        <v>0</v>
      </c>
      <c r="CE11" s="67"/>
      <c r="CF11" s="72">
        <f t="shared" si="20"/>
        <v>0</v>
      </c>
      <c r="CG11" s="67"/>
      <c r="CH11" s="72">
        <f t="shared" si="21"/>
        <v>0</v>
      </c>
      <c r="CI11" s="67"/>
      <c r="CJ11" s="72">
        <f t="shared" si="2"/>
        <v>0</v>
      </c>
      <c r="CK11" s="67"/>
      <c r="CL11" s="71">
        <f t="shared" si="22"/>
        <v>0</v>
      </c>
      <c r="CM11" s="72"/>
      <c r="CN11" s="69"/>
      <c r="CO11" s="69"/>
    </row>
    <row r="12" spans="1:93" ht="25.5" customHeight="1" thickBot="1" x14ac:dyDescent="0.45">
      <c r="A12" s="70">
        <v>43930</v>
      </c>
      <c r="B12" s="48"/>
      <c r="C12" s="64"/>
      <c r="D12" s="71">
        <f t="shared" si="3"/>
        <v>0</v>
      </c>
      <c r="E12" s="64"/>
      <c r="F12" s="71">
        <f t="shared" si="4"/>
        <v>0</v>
      </c>
      <c r="G12" s="64"/>
      <c r="H12" s="71">
        <f t="shared" si="5"/>
        <v>0</v>
      </c>
      <c r="I12" s="64"/>
      <c r="J12" s="71">
        <f t="shared" si="43"/>
        <v>0</v>
      </c>
      <c r="K12" s="64"/>
      <c r="L12" s="71">
        <f t="shared" si="0"/>
        <v>0</v>
      </c>
      <c r="M12" s="64"/>
      <c r="N12" s="71">
        <f t="shared" si="6"/>
        <v>0</v>
      </c>
      <c r="O12" s="64"/>
      <c r="P12" s="72">
        <f t="shared" si="7"/>
        <v>0</v>
      </c>
      <c r="Q12" s="64"/>
      <c r="R12" s="72">
        <f t="shared" si="8"/>
        <v>0</v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>
        <f t="shared" si="23"/>
        <v>0</v>
      </c>
      <c r="Y12" s="64"/>
      <c r="Z12" s="72">
        <f t="shared" si="24"/>
        <v>0</v>
      </c>
      <c r="AA12" s="64"/>
      <c r="AB12" s="72">
        <f t="shared" si="25"/>
        <v>0</v>
      </c>
      <c r="AC12" s="64"/>
      <c r="AD12" s="72">
        <f t="shared" si="26"/>
        <v>0</v>
      </c>
      <c r="AE12" s="64"/>
      <c r="AF12" s="72">
        <f t="shared" si="27"/>
        <v>0</v>
      </c>
      <c r="AG12" s="64"/>
      <c r="AH12" s="72">
        <f t="shared" si="11"/>
        <v>0</v>
      </c>
      <c r="AI12" s="64"/>
      <c r="AJ12" s="72">
        <f t="shared" si="28"/>
        <v>0</v>
      </c>
      <c r="AK12" s="64"/>
      <c r="AL12" s="72">
        <f t="shared" si="12"/>
        <v>0</v>
      </c>
      <c r="AM12" s="64"/>
      <c r="AN12" s="72">
        <f t="shared" si="13"/>
        <v>0</v>
      </c>
      <c r="AO12" s="64"/>
      <c r="AP12" s="72">
        <f t="shared" si="14"/>
        <v>0</v>
      </c>
      <c r="AQ12" s="64"/>
      <c r="AR12" s="72">
        <f t="shared" si="29"/>
        <v>0</v>
      </c>
      <c r="AS12" s="64"/>
      <c r="AT12" s="72">
        <f t="shared" si="30"/>
        <v>0</v>
      </c>
      <c r="AU12" s="64"/>
      <c r="AV12" s="72">
        <f t="shared" si="31"/>
        <v>0</v>
      </c>
      <c r="AW12" s="64"/>
      <c r="AX12" s="72">
        <f t="shared" si="32"/>
        <v>0</v>
      </c>
      <c r="AY12" s="64"/>
      <c r="AZ12" s="72">
        <f t="shared" si="33"/>
        <v>0</v>
      </c>
      <c r="BA12" s="64"/>
      <c r="BB12" s="72">
        <f t="shared" si="34"/>
        <v>0</v>
      </c>
      <c r="BC12" s="64"/>
      <c r="BD12" s="72">
        <f t="shared" si="35"/>
        <v>0</v>
      </c>
      <c r="BE12" s="66"/>
      <c r="BF12" s="72">
        <f t="shared" si="15"/>
        <v>0</v>
      </c>
      <c r="BG12" s="67"/>
      <c r="BH12" s="72">
        <f t="shared" si="36"/>
        <v>0</v>
      </c>
      <c r="BI12" s="67"/>
      <c r="BJ12" s="72">
        <f t="shared" si="37"/>
        <v>0</v>
      </c>
      <c r="BK12" s="67"/>
      <c r="BL12" s="72">
        <f t="shared" si="38"/>
        <v>0</v>
      </c>
      <c r="BM12" s="67"/>
      <c r="BN12" s="72">
        <f t="shared" si="39"/>
        <v>0</v>
      </c>
      <c r="BO12" s="67"/>
      <c r="BP12" s="72">
        <f t="shared" si="40"/>
        <v>0</v>
      </c>
      <c r="BQ12" s="67"/>
      <c r="BR12" s="72">
        <f t="shared" si="16"/>
        <v>0</v>
      </c>
      <c r="BS12" s="67"/>
      <c r="BT12" s="72">
        <f t="shared" si="41"/>
        <v>0</v>
      </c>
      <c r="BU12" s="67"/>
      <c r="BV12" s="72">
        <f t="shared" si="1"/>
        <v>0</v>
      </c>
      <c r="BW12" s="67"/>
      <c r="BX12" s="72">
        <f t="shared" si="42"/>
        <v>0</v>
      </c>
      <c r="BY12" s="67"/>
      <c r="BZ12" s="72">
        <f t="shared" si="17"/>
        <v>0</v>
      </c>
      <c r="CA12" s="67"/>
      <c r="CB12" s="72">
        <f t="shared" si="18"/>
        <v>0</v>
      </c>
      <c r="CC12" s="67"/>
      <c r="CD12" s="72">
        <f t="shared" si="19"/>
        <v>0</v>
      </c>
      <c r="CE12" s="67"/>
      <c r="CF12" s="72">
        <f t="shared" si="20"/>
        <v>0</v>
      </c>
      <c r="CG12" s="67"/>
      <c r="CH12" s="72">
        <f t="shared" si="21"/>
        <v>0</v>
      </c>
      <c r="CI12" s="67"/>
      <c r="CJ12" s="72">
        <f t="shared" si="2"/>
        <v>0</v>
      </c>
      <c r="CK12" s="67"/>
      <c r="CL12" s="71">
        <f t="shared" si="22"/>
        <v>0</v>
      </c>
      <c r="CM12" s="72"/>
      <c r="CN12" s="69"/>
      <c r="CO12" s="69"/>
    </row>
    <row r="13" spans="1:93" ht="25.5" customHeight="1" thickBot="1" x14ac:dyDescent="0.45">
      <c r="A13" s="70">
        <v>43931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7"/>
      <c r="BJ13" s="72">
        <f t="shared" si="37"/>
        <v>0</v>
      </c>
      <c r="BK13" s="67"/>
      <c r="BL13" s="72">
        <f t="shared" si="38"/>
        <v>0</v>
      </c>
      <c r="BM13" s="67"/>
      <c r="BN13" s="72">
        <f t="shared" si="39"/>
        <v>0</v>
      </c>
      <c r="BO13" s="67"/>
      <c r="BP13" s="72">
        <f t="shared" si="40"/>
        <v>0</v>
      </c>
      <c r="BQ13" s="67"/>
      <c r="BR13" s="72">
        <f t="shared" si="16"/>
        <v>0</v>
      </c>
      <c r="BS13" s="67"/>
      <c r="BT13" s="72">
        <f t="shared" si="41"/>
        <v>0</v>
      </c>
      <c r="BU13" s="67"/>
      <c r="BV13" s="72">
        <f t="shared" si="1"/>
        <v>0</v>
      </c>
      <c r="BW13" s="67"/>
      <c r="BX13" s="72">
        <f t="shared" si="42"/>
        <v>0</v>
      </c>
      <c r="BY13" s="67"/>
      <c r="BZ13" s="72">
        <f t="shared" si="17"/>
        <v>0</v>
      </c>
      <c r="CA13" s="67"/>
      <c r="CB13" s="72">
        <f t="shared" si="18"/>
        <v>0</v>
      </c>
      <c r="CC13" s="67"/>
      <c r="CD13" s="72">
        <f t="shared" si="19"/>
        <v>0</v>
      </c>
      <c r="CE13" s="67"/>
      <c r="CF13" s="72">
        <f t="shared" si="20"/>
        <v>0</v>
      </c>
      <c r="CG13" s="67"/>
      <c r="CH13" s="72">
        <f t="shared" si="21"/>
        <v>0</v>
      </c>
      <c r="CI13" s="67"/>
      <c r="CJ13" s="72">
        <f t="shared" si="2"/>
        <v>0</v>
      </c>
      <c r="CK13" s="67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43932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>IF((W14-W13&lt;0), "",(W14-W13)*1000)</f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7"/>
      <c r="BJ14" s="72">
        <f t="shared" si="37"/>
        <v>0</v>
      </c>
      <c r="BK14" s="67"/>
      <c r="BL14" s="72">
        <f t="shared" si="38"/>
        <v>0</v>
      </c>
      <c r="BM14" s="67"/>
      <c r="BN14" s="72">
        <f t="shared" si="39"/>
        <v>0</v>
      </c>
      <c r="BO14" s="67"/>
      <c r="BP14" s="72">
        <f t="shared" si="40"/>
        <v>0</v>
      </c>
      <c r="BQ14" s="67"/>
      <c r="BR14" s="72">
        <f t="shared" si="16"/>
        <v>0</v>
      </c>
      <c r="BS14" s="67"/>
      <c r="BT14" s="72">
        <f t="shared" si="41"/>
        <v>0</v>
      </c>
      <c r="BU14" s="67"/>
      <c r="BV14" s="72">
        <f t="shared" si="1"/>
        <v>0</v>
      </c>
      <c r="BW14" s="67"/>
      <c r="BX14" s="72">
        <f t="shared" si="42"/>
        <v>0</v>
      </c>
      <c r="BY14" s="67"/>
      <c r="BZ14" s="72">
        <f t="shared" si="17"/>
        <v>0</v>
      </c>
      <c r="CA14" s="67"/>
      <c r="CB14" s="72">
        <f t="shared" si="18"/>
        <v>0</v>
      </c>
      <c r="CC14" s="67"/>
      <c r="CD14" s="72">
        <f t="shared" si="19"/>
        <v>0</v>
      </c>
      <c r="CE14" s="67"/>
      <c r="CF14" s="72">
        <f t="shared" si="20"/>
        <v>0</v>
      </c>
      <c r="CG14" s="67"/>
      <c r="CH14" s="72">
        <f t="shared" si="21"/>
        <v>0</v>
      </c>
      <c r="CI14" s="67"/>
      <c r="CJ14" s="72">
        <f t="shared" si="2"/>
        <v>0</v>
      </c>
      <c r="CK14" s="67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43933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7"/>
      <c r="BJ15" s="72">
        <f t="shared" si="37"/>
        <v>0</v>
      </c>
      <c r="BK15" s="67"/>
      <c r="BL15" s="72">
        <f t="shared" si="38"/>
        <v>0</v>
      </c>
      <c r="BM15" s="67"/>
      <c r="BN15" s="72">
        <f t="shared" si="39"/>
        <v>0</v>
      </c>
      <c r="BO15" s="67"/>
      <c r="BP15" s="72">
        <f t="shared" si="40"/>
        <v>0</v>
      </c>
      <c r="BQ15" s="67"/>
      <c r="BR15" s="72">
        <f t="shared" si="16"/>
        <v>0</v>
      </c>
      <c r="BS15" s="67"/>
      <c r="BT15" s="72">
        <f t="shared" si="41"/>
        <v>0</v>
      </c>
      <c r="BU15" s="67"/>
      <c r="BV15" s="72">
        <f t="shared" si="1"/>
        <v>0</v>
      </c>
      <c r="BW15" s="67"/>
      <c r="BX15" s="72">
        <f t="shared" si="42"/>
        <v>0</v>
      </c>
      <c r="BY15" s="67"/>
      <c r="BZ15" s="72">
        <f t="shared" si="17"/>
        <v>0</v>
      </c>
      <c r="CA15" s="67"/>
      <c r="CB15" s="72">
        <f t="shared" si="18"/>
        <v>0</v>
      </c>
      <c r="CC15" s="67"/>
      <c r="CD15" s="72">
        <f t="shared" si="19"/>
        <v>0</v>
      </c>
      <c r="CE15" s="67"/>
      <c r="CF15" s="72">
        <f t="shared" si="20"/>
        <v>0</v>
      </c>
      <c r="CG15" s="67"/>
      <c r="CH15" s="72">
        <f t="shared" si="21"/>
        <v>0</v>
      </c>
      <c r="CI15" s="67"/>
      <c r="CJ15" s="72">
        <f t="shared" si="2"/>
        <v>0</v>
      </c>
      <c r="CK15" s="67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43934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7"/>
      <c r="BJ16" s="72">
        <f t="shared" si="37"/>
        <v>0</v>
      </c>
      <c r="BK16" s="67"/>
      <c r="BL16" s="72">
        <f t="shared" si="38"/>
        <v>0</v>
      </c>
      <c r="BM16" s="67"/>
      <c r="BN16" s="72">
        <f t="shared" si="39"/>
        <v>0</v>
      </c>
      <c r="BO16" s="67"/>
      <c r="BP16" s="72">
        <f t="shared" si="40"/>
        <v>0</v>
      </c>
      <c r="BQ16" s="67"/>
      <c r="BR16" s="72">
        <f t="shared" si="16"/>
        <v>0</v>
      </c>
      <c r="BS16" s="67"/>
      <c r="BT16" s="72">
        <f t="shared" si="41"/>
        <v>0</v>
      </c>
      <c r="BU16" s="67"/>
      <c r="BV16" s="72">
        <f t="shared" si="1"/>
        <v>0</v>
      </c>
      <c r="BW16" s="67"/>
      <c r="BX16" s="72">
        <f t="shared" si="42"/>
        <v>0</v>
      </c>
      <c r="BY16" s="67"/>
      <c r="BZ16" s="72">
        <f t="shared" si="17"/>
        <v>0</v>
      </c>
      <c r="CA16" s="67"/>
      <c r="CB16" s="72">
        <f t="shared" si="18"/>
        <v>0</v>
      </c>
      <c r="CC16" s="67"/>
      <c r="CD16" s="72">
        <f t="shared" si="19"/>
        <v>0</v>
      </c>
      <c r="CE16" s="67"/>
      <c r="CF16" s="72">
        <f t="shared" si="20"/>
        <v>0</v>
      </c>
      <c r="CG16" s="67"/>
      <c r="CH16" s="72">
        <f t="shared" si="21"/>
        <v>0</v>
      </c>
      <c r="CI16" s="67"/>
      <c r="CJ16" s="72">
        <f t="shared" si="2"/>
        <v>0</v>
      </c>
      <c r="CK16" s="67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43935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7"/>
      <c r="BJ17" s="72">
        <f t="shared" si="37"/>
        <v>0</v>
      </c>
      <c r="BK17" s="67"/>
      <c r="BL17" s="72">
        <f t="shared" si="38"/>
        <v>0</v>
      </c>
      <c r="BM17" s="67"/>
      <c r="BN17" s="72">
        <f t="shared" si="39"/>
        <v>0</v>
      </c>
      <c r="BO17" s="67"/>
      <c r="BP17" s="72">
        <f t="shared" si="40"/>
        <v>0</v>
      </c>
      <c r="BQ17" s="67"/>
      <c r="BR17" s="72">
        <f t="shared" si="16"/>
        <v>0</v>
      </c>
      <c r="BS17" s="67"/>
      <c r="BT17" s="72">
        <f t="shared" si="41"/>
        <v>0</v>
      </c>
      <c r="BU17" s="67"/>
      <c r="BV17" s="72">
        <f t="shared" si="1"/>
        <v>0</v>
      </c>
      <c r="BW17" s="67"/>
      <c r="BX17" s="72">
        <f t="shared" si="42"/>
        <v>0</v>
      </c>
      <c r="BY17" s="67"/>
      <c r="BZ17" s="72">
        <f t="shared" si="17"/>
        <v>0</v>
      </c>
      <c r="CA17" s="67"/>
      <c r="CB17" s="72">
        <f t="shared" si="18"/>
        <v>0</v>
      </c>
      <c r="CC17" s="67"/>
      <c r="CD17" s="72">
        <f t="shared" si="19"/>
        <v>0</v>
      </c>
      <c r="CE17" s="67"/>
      <c r="CF17" s="72">
        <f t="shared" si="20"/>
        <v>0</v>
      </c>
      <c r="CG17" s="67"/>
      <c r="CH17" s="72">
        <f t="shared" si="21"/>
        <v>0</v>
      </c>
      <c r="CI17" s="67"/>
      <c r="CJ17" s="72">
        <f t="shared" si="2"/>
        <v>0</v>
      </c>
      <c r="CK17" s="67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43936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7"/>
      <c r="BJ18" s="72">
        <f t="shared" si="37"/>
        <v>0</v>
      </c>
      <c r="BK18" s="67"/>
      <c r="BL18" s="72">
        <f t="shared" si="38"/>
        <v>0</v>
      </c>
      <c r="BM18" s="67"/>
      <c r="BN18" s="72">
        <f t="shared" si="39"/>
        <v>0</v>
      </c>
      <c r="BO18" s="67"/>
      <c r="BP18" s="72">
        <f t="shared" si="40"/>
        <v>0</v>
      </c>
      <c r="BQ18" s="67"/>
      <c r="BR18" s="72">
        <f t="shared" si="16"/>
        <v>0</v>
      </c>
      <c r="BS18" s="67"/>
      <c r="BT18" s="72">
        <f t="shared" si="41"/>
        <v>0</v>
      </c>
      <c r="BU18" s="67"/>
      <c r="BV18" s="72">
        <f t="shared" si="1"/>
        <v>0</v>
      </c>
      <c r="BW18" s="67"/>
      <c r="BX18" s="72">
        <f t="shared" si="42"/>
        <v>0</v>
      </c>
      <c r="BY18" s="67"/>
      <c r="BZ18" s="72">
        <f t="shared" si="17"/>
        <v>0</v>
      </c>
      <c r="CA18" s="67"/>
      <c r="CB18" s="72">
        <f t="shared" si="18"/>
        <v>0</v>
      </c>
      <c r="CC18" s="67"/>
      <c r="CD18" s="72">
        <f t="shared" si="19"/>
        <v>0</v>
      </c>
      <c r="CE18" s="67"/>
      <c r="CF18" s="72">
        <f t="shared" si="20"/>
        <v>0</v>
      </c>
      <c r="CG18" s="67"/>
      <c r="CH18" s="72">
        <f t="shared" si="21"/>
        <v>0</v>
      </c>
      <c r="CI18" s="67"/>
      <c r="CJ18" s="72">
        <f t="shared" si="2"/>
        <v>0</v>
      </c>
      <c r="CK18" s="67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43937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43938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43939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43940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43941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43942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6</v>
      </c>
      <c r="R35" s="76">
        <f>SUM(R4:R33)</f>
        <v>27</v>
      </c>
      <c r="AX35" s="72">
        <f t="shared" si="32"/>
        <v>0</v>
      </c>
      <c r="BF35" s="76">
        <f>SUM(BF4:BF33)</f>
        <v>136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B14" sqref="B14:Q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27">
        <v>43929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27">
        <v>43930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43931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43932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43933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43934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43935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43936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43937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43938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43939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43940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43941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43942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2020-04-07T04:27:27Z</dcterms:modified>
</cp:coreProperties>
</file>