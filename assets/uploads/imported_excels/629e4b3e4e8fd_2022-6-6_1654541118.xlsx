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492" documentId="8_{722EA937-C075-44E3-AE1E-2699536DFD5C}" xr6:coauthVersionLast="47" xr6:coauthVersionMax="47" xr10:uidLastSave="{2639D8C5-FBB3-4974-B122-BE2EA019555A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0" i="6" l="1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5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I31" i="1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<sst xmlns="http://schemas.openxmlformats.org/spreadsheetml/2006/main" count="1161" uniqueCount="218">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</sst>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 t="str">
        <f>IF('Wtr-Gas'!E31&lt;0,"0",('Wtr-Gas'!E31)*0.0038)</f>
        <v>0</v>
      </c>
      <c r="AG29" s="74" t="str">
        <f>IF('Wtr-Gas'!H31&lt;0,"0",('Wtr-Gas'!H31)*0.0038)</f>
        <v>0</v>
      </c>
      <c r="AH29" s="74" t="str">
        <f>IF('Wtr-Gas'!K31&lt;0,"0",('Wtr-Gas'!K31)*0.0038)</f>
        <v>0</v>
      </c>
      <c r="AI29" s="74" t="str">
        <f>IF('Wtr-Gas'!N31&lt;0,"0",('Wtr-Gas'!N31)*0.0038)</f>
        <v>0</v>
      </c>
      <c r="AJ29" s="74" t="str">
        <f>IF('Wtr-Gas'!Q31&lt;0,"0",('Wtr-Gas'!Q31)*0.0038)</f>
        <v>0</v>
      </c>
      <c r="AK29" s="75" t="str">
        <f>IF('Wtr-Gas'!U31&lt;0,"0",('Wtr-Gas'!U31)*0.0038)</f>
        <v>0</v>
      </c>
      <c r="AL29" s="75" t="str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IF('Wtr-Gas'!AH31&lt;0,"0",('Wtr-Gas'!AH31)*0.0038)</f>
        <v>0</v>
      </c>
      <c r="AP29" s="74">
        <f>IF('Wtr-Gas'!AJ31&lt;0,"0",('Wtr-Gas'!AJ31)*0.0038)</f>
        <v>0</v>
      </c>
      <c r="AQ29" s="74">
        <f>IF('Wtr-Gas'!AL31&lt;0,"0",('Wtr-Gas'!AL31)*0.0038)</f>
        <v>0</v>
      </c>
      <c r="AR29" s="74">
        <f>IF('Wtr-Gas'!AN31&lt;0,"0",('Wtr-Gas'!AN31)*0.0038)</f>
        <v>0</v>
      </c>
      <c r="AS29" s="74">
        <f>IF('Wtr-Gas'!AP31&lt;0,"0",('Wtr-Gas'!AP31)*0.0038)</f>
        <v>0</v>
      </c>
      <c r="AT29" s="74">
        <f>IF('Wtr-Gas'!AR31&lt;0,"0",('Wtr-Gas'!AR31)*0.0038)</f>
        <v>0</v>
      </c>
      <c r="AU29" s="87">
        <f>IF('Wtr-Gas'!AV31&lt;0,"0",('Wtr-Gas'!AV31)*0.0038)</f>
        <v>0</v>
      </c>
      <c r="AV29" s="74">
        <f>IF('Wtr-Gas'!AY31&lt;0,"0",('Wtr-Gas'!AY31)*0.0038)</f>
        <v>0</v>
      </c>
      <c r="AW29" s="74">
        <f>IF('Wtr-Gas'!BA31&lt;0,"0",('Wtr-Gas'!BA31)*0.0038)</f>
        <v>0</v>
      </c>
      <c r="AX29" s="74">
        <f>IF('Wtr-Gas'!BB31&lt;0,"0",('Wtr-Gas'!BB31)*0.0038)</f>
        <v>0</v>
      </c>
      <c r="AY29" s="74">
        <f>IF('Wtr-Gas'!BD31&lt;0,"0",('Wtr-Gas'!BD31)*0.0038)</f>
        <v>0</v>
      </c>
      <c r="AZ29" s="74">
        <f>IF('Wtr-Gas'!BF31&lt;0,"0",('Wtr-Gas'!BF31)*0.0038)</f>
        <v>0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IF('Wtr-Gas'!AH32&lt;0,"0",('Wtr-Gas'!AH32)*0.0038)</f>
        <v>0</v>
      </c>
      <c r="AP30" s="74">
        <f>IF('Wtr-Gas'!AJ32&lt;0,"0",('Wtr-Gas'!AJ32)*0.0038)</f>
        <v>0</v>
      </c>
      <c r="AQ30" s="74">
        <f>IF('Wtr-Gas'!AL32&lt;0,"0",('Wtr-Gas'!AL32)*0.0038)</f>
        <v>0</v>
      </c>
      <c r="AR30" s="74">
        <f>IF('Wtr-Gas'!AN32&lt;0,"0",('Wtr-Gas'!AN32)*0.0038)</f>
        <v>0</v>
      </c>
      <c r="AS30" s="74">
        <f>IF('Wtr-Gas'!AP32&lt;0,"0",('Wtr-Gas'!AP32)*0.0038)</f>
        <v>0</v>
      </c>
      <c r="AT30" s="74">
        <f>IF('Wtr-Gas'!AR32&lt;0,"0",('Wtr-Gas'!AR32)*0.0038)</f>
        <v>0</v>
      </c>
      <c r="AU30" s="87">
        <f>IF('Wtr-Gas'!AV32&lt;0,"0",('Wtr-Gas'!AV32)*0.0038)</f>
        <v>0</v>
      </c>
      <c r="AV30" s="74">
        <f>IF('Wtr-Gas'!AY32&lt;0,"0",('Wtr-Gas'!AY32)*0.0038)</f>
        <v>0</v>
      </c>
      <c r="AW30" s="74">
        <f>IF('Wtr-Gas'!BA32&lt;0,"0",('Wtr-Gas'!BA32)*0.0038)</f>
        <v>0</v>
      </c>
      <c r="AX30" s="74">
        <f>IF('Wtr-Gas'!BB32&lt;0,"0",('Wtr-Gas'!BB32)*0.0038)</f>
        <v>0</v>
      </c>
      <c r="AY30" s="74">
        <f>IF('Wtr-Gas'!BD32&lt;0,"0",('Wtr-Gas'!BD32)*0.0038)</f>
        <v>0</v>
      </c>
      <c r="AZ30" s="74">
        <f>IF('Wtr-Gas'!BF32&lt;0,"0",('Wtr-Gas'!BF32)*0.0038)</f>
        <v>0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IF('Wtr-Gas'!AH33&lt;0,"0",('Wtr-Gas'!AH33)*0.0038)</f>
        <v>0</v>
      </c>
      <c r="AP31" s="74">
        <f>IF('Wtr-Gas'!AJ33&lt;0,"0",('Wtr-Gas'!AJ33)*0.0038)</f>
        <v>0</v>
      </c>
      <c r="AQ31" s="74">
        <f>IF('Wtr-Gas'!AL33&lt;0,"0",('Wtr-Gas'!AL33)*0.0038)</f>
        <v>0</v>
      </c>
      <c r="AR31" s="74">
        <f>IF('Wtr-Gas'!AN33&lt;0,"0",('Wtr-Gas'!AN33)*0.0038)</f>
        <v>0</v>
      </c>
      <c r="AS31" s="74">
        <f>IF('Wtr-Gas'!AP33&lt;0,"0",('Wtr-Gas'!AP33)*0.0038)</f>
        <v>0</v>
      </c>
      <c r="AT31" s="74">
        <f>IF('Wtr-Gas'!AR33&lt;0,"0",('Wtr-Gas'!AR33)*0.0038)</f>
        <v>0</v>
      </c>
      <c r="AU31" s="87">
        <f>IF('Wtr-Gas'!AV33&lt;0,"0",('Wtr-Gas'!AV33)*0.0038)</f>
        <v>0</v>
      </c>
      <c r="AV31" s="74">
        <f>IF('Wtr-Gas'!AY33&lt;0,"0",('Wtr-Gas'!AY33)*0.0038)</f>
        <v>0</v>
      </c>
      <c r="AW31" s="74">
        <f>IF('Wtr-Gas'!BA33&lt;0,"0",('Wtr-Gas'!BA33)*0.0038)</f>
        <v>0</v>
      </c>
      <c r="AX31" s="74">
        <f>IF('Wtr-Gas'!BB33&lt;0,"0",('Wtr-Gas'!BB33)*0.0038)</f>
        <v>0</v>
      </c>
      <c r="AY31" s="74">
        <f>IF('Wtr-Gas'!BD33&lt;0,"0",('Wtr-Gas'!BD33)*0.0038)</f>
        <v>0</v>
      </c>
      <c r="AZ31" s="74">
        <f>IF('Wtr-Gas'!BF33&lt;0,"0",('Wtr-Gas'!BF33)*0.0038)</f>
        <v>0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IF('Wtr-Gas'!AH34&lt;0,"0",('Wtr-Gas'!AH34)*0.0038)</f>
        <v>0</v>
      </c>
      <c r="AP32" s="74">
        <f>IF('Wtr-Gas'!AJ34&lt;0,"0",('Wtr-Gas'!AJ34)*0.0038)</f>
        <v>0</v>
      </c>
      <c r="AQ32" s="74">
        <f>IF('Wtr-Gas'!AL34&lt;0,"0",('Wtr-Gas'!AL34)*0.0038)</f>
        <v>0</v>
      </c>
      <c r="AR32" s="74">
        <f>IF('Wtr-Gas'!AN34&lt;0,"0",('Wtr-Gas'!AN34)*0.0038)</f>
        <v>0</v>
      </c>
      <c r="AS32" s="74">
        <f>IF('Wtr-Gas'!AP34&lt;0,"0",('Wtr-Gas'!AP34)*0.0038)</f>
        <v>0</v>
      </c>
      <c r="AT32" s="74">
        <f>IF('Wtr-Gas'!AR34&lt;0,"0",('Wtr-Gas'!AR34)*0.0038)</f>
        <v>0</v>
      </c>
      <c r="AU32" s="87">
        <f>IF('Wtr-Gas'!AV34&lt;0,"0",('Wtr-Gas'!AV34)*0.0038)</f>
        <v>0</v>
      </c>
      <c r="AV32" s="74">
        <f>IF('Wtr-Gas'!AY34&lt;0,"0",('Wtr-Gas'!AY34)*0.0038)</f>
        <v>0</v>
      </c>
      <c r="AW32" s="74">
        <f>IF('Wtr-Gas'!BA34&lt;0,"0",('Wtr-Gas'!BA34)*0.0038)</f>
        <v>0</v>
      </c>
      <c r="AX32" s="74">
        <f>IF('Wtr-Gas'!BB34&lt;0,"0",('Wtr-Gas'!BB34)*0.0038)</f>
        <v>0</v>
      </c>
      <c r="AY32" s="74">
        <f>IF('Wtr-Gas'!BD34&lt;0,"0",('Wtr-Gas'!BD34)*0.0038)</f>
        <v>0</v>
      </c>
      <c r="AZ32" s="74">
        <f>IF('Wtr-Gas'!BF34&lt;0,"0",('Wtr-Gas'!BF34)*0.0038)</f>
        <v>0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IF('Wtr-Gas'!AH35&lt;0,"0",('Wtr-Gas'!AH35)*0.0038)</f>
        <v>0</v>
      </c>
      <c r="AP33" s="74">
        <f>IF('Wtr-Gas'!AJ35&lt;0,"0",('Wtr-Gas'!AJ35)*0.0038)</f>
        <v>0</v>
      </c>
      <c r="AQ33" s="74">
        <f>IF('Wtr-Gas'!AL35&lt;0,"0",('Wtr-Gas'!AL35)*0.0038)</f>
        <v>0</v>
      </c>
      <c r="AR33" s="74">
        <f>IF('Wtr-Gas'!AN35&lt;0,"0",('Wtr-Gas'!AN35)*0.0038)</f>
        <v>0</v>
      </c>
      <c r="AS33" s="74">
        <f>IF('Wtr-Gas'!AP35&lt;0,"0",('Wtr-Gas'!AP35)*0.0038)</f>
        <v>0</v>
      </c>
      <c r="AT33" s="74">
        <f>IF('Wtr-Gas'!AR35&lt;0,"0",('Wtr-Gas'!AR35)*0.0038)</f>
        <v>0</v>
      </c>
      <c r="AU33" s="87">
        <f>IF('Wtr-Gas'!AV35&lt;0,"0",('Wtr-Gas'!AV35)*0.0038)</f>
        <v>0</v>
      </c>
      <c r="AV33" s="74">
        <f>IF('Wtr-Gas'!AY35&lt;0,"0",('Wtr-Gas'!AY35)*0.0038)</f>
        <v>0</v>
      </c>
      <c r="AW33" s="74">
        <f>IF('Wtr-Gas'!BA35&lt;0,"0",('Wtr-Gas'!BA35)*0.0038)</f>
        <v>0</v>
      </c>
      <c r="AX33" s="74">
        <f>IF('Wtr-Gas'!BB35&lt;0,"0",('Wtr-Gas'!BB35)*0.0038)</f>
        <v>0</v>
      </c>
      <c r="AY33" s="74">
        <f>IF('Wtr-Gas'!BD35&lt;0,"0",('Wtr-Gas'!BD35)*0.0038)</f>
        <v>0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IF('Wtr-Gas'!AH36&lt;0,"0",('Wtr-Gas'!AH36)*0.0038)</f>
        <v>0</v>
      </c>
      <c r="AP34" s="74">
        <f>IF('Wtr-Gas'!AJ36&lt;0,"0",('Wtr-Gas'!AJ36)*0.0038)</f>
        <v>0</v>
      </c>
      <c r="AQ34" s="74">
        <f>IF('Wtr-Gas'!AL36&lt;0,"0",('Wtr-Gas'!AL36)*0.0038)</f>
        <v>0</v>
      </c>
      <c r="AR34" s="74">
        <f>IF('Wtr-Gas'!AN36&lt;0,"0",('Wtr-Gas'!AN36)*0.0038)</f>
        <v>0</v>
      </c>
      <c r="AS34" s="74">
        <f>IF('Wtr-Gas'!AP36&lt;0,"0",('Wtr-Gas'!AP36)*0.0038)</f>
        <v>0</v>
      </c>
      <c r="AT34" s="74">
        <f>IF('Wtr-Gas'!AR36&lt;0,"0",('Wtr-Gas'!AR36)*0.0038)</f>
        <v>0</v>
      </c>
      <c r="AU34" s="87">
        <f>IF('Wtr-Gas'!AV36&lt;0,"0",('Wtr-Gas'!AV36)*0.0038)</f>
        <v>0</v>
      </c>
      <c r="AV34" s="74">
        <f>IF('Wtr-Gas'!AY36&lt;0,"0",('Wtr-Gas'!AY36)*0.0038)</f>
        <v>0</v>
      </c>
      <c r="AW34" s="74">
        <f>IF('Wtr-Gas'!BA36&lt;0,"0",('Wtr-Gas'!BA36)*0.0038)</f>
        <v>0</v>
      </c>
      <c r="AX34" s="74">
        <f>IF('Wtr-Gas'!BB36&lt;0,"0",('Wtr-Gas'!BB36)*0.0038)</f>
        <v>0</v>
      </c>
      <c r="AY34" s="74">
        <f>IF('Wtr-Gas'!BD36&lt;0,"0",('Wtr-Gas'!BD36)*0.0038)</f>
        <v>0</v>
      </c>
      <c r="AZ34" s="74">
        <f>IF('Wtr-Gas'!BF36&lt;0,"0",('Wtr-Gas'!BF36)*0.0038)</f>
        <v>0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AO1" zoomScale="115" zoomScaleNormal="115" workbookViewId="0">
      <selection activeCell="AU29" sqref="AU29:BB3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4" t="s">
        <v>63</v>
      </c>
      <c r="E1" s="125"/>
      <c r="F1" s="125"/>
      <c r="G1" s="124" t="s">
        <v>66</v>
      </c>
      <c r="H1" s="125"/>
      <c r="I1" s="125"/>
      <c r="J1" s="124" t="s">
        <v>69</v>
      </c>
      <c r="K1" s="125"/>
      <c r="L1" s="125"/>
      <c r="M1" s="124" t="s">
        <v>72</v>
      </c>
      <c r="N1" s="125"/>
      <c r="O1" s="125"/>
      <c r="P1" s="124" t="s">
        <v>75</v>
      </c>
      <c r="Q1" s="125"/>
      <c r="R1" s="125"/>
      <c r="S1" s="124" t="s">
        <v>78</v>
      </c>
      <c r="T1" s="125"/>
      <c r="U1" s="125"/>
      <c r="V1" s="124" t="s">
        <v>81</v>
      </c>
      <c r="W1" s="125"/>
      <c r="X1" s="125"/>
      <c r="Y1" s="124" t="s">
        <v>84</v>
      </c>
      <c r="Z1" s="125"/>
      <c r="AA1" s="125"/>
      <c r="AB1" s="124" t="s">
        <v>87</v>
      </c>
      <c r="AC1" s="125"/>
      <c r="AD1" s="125"/>
      <c r="AE1" s="124" t="s">
        <v>90</v>
      </c>
      <c r="AF1" s="125"/>
      <c r="AG1" s="125"/>
      <c r="AH1" s="124" t="s">
        <v>93</v>
      </c>
      <c r="AI1" s="125"/>
      <c r="AJ1" s="125"/>
      <c r="AK1" s="124" t="s">
        <v>95</v>
      </c>
      <c r="AL1" s="125"/>
      <c r="AM1" s="125"/>
      <c r="AN1" s="51"/>
      <c r="AO1" s="51"/>
      <c r="AP1" s="52" t="s">
        <v>162</v>
      </c>
      <c r="AQ1" s="52" t="s">
        <v>163</v>
      </c>
      <c r="AR1" s="52"/>
      <c r="AS1" s="51"/>
      <c r="AT1" s="51"/>
      <c r="AU1" s="124" t="s">
        <v>97</v>
      </c>
      <c r="AV1" s="125"/>
      <c r="AW1" s="124" t="s">
        <v>96</v>
      </c>
      <c r="AX1" s="125"/>
      <c r="AY1" s="124" t="s">
        <v>98</v>
      </c>
      <c r="AZ1" s="125"/>
      <c r="BA1" s="124" t="s">
        <v>164</v>
      </c>
      <c r="BB1" s="125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2" t="s">
        <v>94</v>
      </c>
      <c r="AL2" s="123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2" t="s">
        <v>109</v>
      </c>
      <c r="AL3" s="123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0" si="1">SUM(G5-G4)*160</f>
        <v>14560</v>
      </c>
      <c r="J5" s="17">
        <v>12296</v>
      </c>
      <c r="K5" s="17">
        <v>3.65</v>
      </c>
      <c r="L5" s="33">
        <f t="shared" ref="L5:L30" si="2">SUM(J5-J4)*400</f>
        <v>3600</v>
      </c>
      <c r="M5" s="17">
        <v>12104</v>
      </c>
      <c r="N5" s="17">
        <v>3.73</v>
      </c>
      <c r="O5" s="33">
        <f t="shared" ref="O5:O30" si="3">SUM(M5-M4)*400</f>
        <v>3200</v>
      </c>
      <c r="P5" s="17">
        <v>12731</v>
      </c>
      <c r="Q5" s="17">
        <v>3.73</v>
      </c>
      <c r="R5" s="33">
        <f t="shared" ref="R5:R30" si="4">SUM(P5-P4)*400</f>
        <v>3200</v>
      </c>
      <c r="S5" s="17">
        <v>87232</v>
      </c>
      <c r="T5" s="17">
        <v>2.2490000000000001</v>
      </c>
      <c r="U5" s="33">
        <f t="shared" ref="U5:U30" si="5">SUM(S5-S4)*300</f>
        <v>18300</v>
      </c>
      <c r="V5" s="17">
        <v>83905</v>
      </c>
      <c r="W5" s="17">
        <v>1.8380000000000001</v>
      </c>
      <c r="X5" s="33">
        <f t="shared" ref="X5:X30" si="6">SUM(V5-V4)*300</f>
        <v>17700</v>
      </c>
      <c r="Y5" s="17">
        <v>19769</v>
      </c>
      <c r="Z5" s="17">
        <v>2.75</v>
      </c>
      <c r="AA5" s="33">
        <f t="shared" ref="AA5:AA30" si="7">SUM(Y5-Y4)*160</f>
        <v>1440</v>
      </c>
      <c r="AB5" s="17">
        <v>12892</v>
      </c>
      <c r="AC5" s="17">
        <v>2.31</v>
      </c>
      <c r="AD5" s="33">
        <f t="shared" ref="AD5:AD30" si="8">SUM(AB5-AB4)*160</f>
        <v>960</v>
      </c>
      <c r="AE5" s="17">
        <v>6693</v>
      </c>
      <c r="AF5" s="17">
        <v>2.1659999999999999</v>
      </c>
      <c r="AG5" s="33">
        <f t="shared" ref="AG5:AG30" si="9">SUM(AE5-AE4)*200</f>
        <v>15200</v>
      </c>
      <c r="AH5" s="17">
        <v>19437</v>
      </c>
      <c r="AI5" s="17">
        <v>0.29699999999999999</v>
      </c>
      <c r="AJ5" s="33">
        <f t="shared" ref="AJ5:AJ30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0" si="16">SUM(AU5-AU4)*100</f>
        <v>6200</v>
      </c>
      <c r="AW5" s="17">
        <v>9010</v>
      </c>
      <c r="AX5" s="33">
        <f t="shared" ref="AX5:AX30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0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0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4"/>
        <v>0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4"/>
        <v>0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4"/>
        <v>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4"/>
        <v>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4"/>
        <v>0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4"/>
        <v>0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2"/>
      <c r="AL64" s="123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R7" zoomScale="85" zoomScaleNormal="85" workbookViewId="0">
      <selection activeCell="AU29" sqref="AU29:BH3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1">
        <v>74860172</v>
      </c>
      <c r="D1" s="133"/>
      <c r="E1" s="132"/>
      <c r="F1" s="131">
        <v>74860173</v>
      </c>
      <c r="G1" s="133"/>
      <c r="H1" s="132"/>
      <c r="I1" s="131">
        <v>44553004</v>
      </c>
      <c r="J1" s="133"/>
      <c r="K1" s="132"/>
      <c r="L1" s="131">
        <v>70275191</v>
      </c>
      <c r="M1" s="133"/>
      <c r="N1" s="132"/>
      <c r="O1" s="131">
        <v>2130521</v>
      </c>
      <c r="P1" s="133"/>
      <c r="Q1" s="132"/>
      <c r="R1" s="16"/>
      <c r="S1" s="134" t="s">
        <v>104</v>
      </c>
      <c r="T1" s="133"/>
      <c r="U1" s="132"/>
      <c r="V1" s="135">
        <v>93477704</v>
      </c>
      <c r="W1" s="136"/>
      <c r="X1" s="137"/>
      <c r="Y1" s="21" t="s">
        <v>180</v>
      </c>
      <c r="Z1" s="16"/>
      <c r="AA1" s="138">
        <v>79177804</v>
      </c>
      <c r="AB1" s="139"/>
      <c r="AC1" s="138">
        <v>79305675</v>
      </c>
      <c r="AD1" s="139"/>
      <c r="AE1" s="140">
        <v>19000406</v>
      </c>
      <c r="AF1" s="141"/>
      <c r="AG1" s="138">
        <v>79190041</v>
      </c>
      <c r="AH1" s="139"/>
      <c r="AI1" s="138" t="s">
        <v>49</v>
      </c>
      <c r="AJ1" s="139"/>
      <c r="AK1" s="138">
        <v>79190039</v>
      </c>
      <c r="AL1" s="139"/>
      <c r="AM1" s="138">
        <v>79324776</v>
      </c>
      <c r="AN1" s="139"/>
      <c r="AO1" s="138" t="s">
        <v>102</v>
      </c>
      <c r="AP1" s="139"/>
      <c r="AQ1" s="138" t="s">
        <v>103</v>
      </c>
      <c r="AR1" s="139"/>
      <c r="AS1" s="14"/>
      <c r="AU1" s="131" t="s">
        <v>115</v>
      </c>
      <c r="AV1" s="132"/>
      <c r="AW1" s="14"/>
      <c r="AX1" s="131" t="s">
        <v>55</v>
      </c>
      <c r="AY1" s="132"/>
      <c r="AZ1" s="131">
        <v>65956268</v>
      </c>
      <c r="BA1" s="132"/>
      <c r="BB1" s="22" t="s">
        <v>57</v>
      </c>
      <c r="BC1" s="131">
        <v>1334021</v>
      </c>
      <c r="BD1" s="132"/>
      <c r="BE1" s="131">
        <v>63265094</v>
      </c>
      <c r="BF1" s="132"/>
      <c r="BG1" s="131" t="s">
        <v>181</v>
      </c>
      <c r="BH1" s="132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4" t="s">
        <v>100</v>
      </c>
      <c r="P2" s="145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2" t="s">
        <v>184</v>
      </c>
      <c r="AB2" s="143"/>
      <c r="AC2" s="142" t="s">
        <v>185</v>
      </c>
      <c r="AD2" s="143"/>
      <c r="AE2" s="142" t="s">
        <v>217</v>
      </c>
      <c r="AF2" s="143"/>
      <c r="AG2" s="142" t="s">
        <v>186</v>
      </c>
      <c r="AH2" s="143"/>
      <c r="AI2" s="142" t="s">
        <v>187</v>
      </c>
      <c r="AJ2" s="143"/>
      <c r="AK2" s="142" t="s">
        <v>118</v>
      </c>
      <c r="AL2" s="143"/>
      <c r="AM2" s="142" t="s">
        <v>188</v>
      </c>
      <c r="AN2" s="143"/>
      <c r="AO2" s="142" t="s">
        <v>189</v>
      </c>
      <c r="AP2" s="143"/>
      <c r="AQ2" s="142" t="s">
        <v>190</v>
      </c>
      <c r="AR2" s="143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2" t="s">
        <v>105</v>
      </c>
      <c r="D3" s="143"/>
      <c r="E3" s="18" t="s">
        <v>192</v>
      </c>
      <c r="F3" s="142" t="s">
        <v>106</v>
      </c>
      <c r="G3" s="143"/>
      <c r="H3" s="18" t="s">
        <v>192</v>
      </c>
      <c r="I3" s="142" t="s">
        <v>107</v>
      </c>
      <c r="J3" s="143"/>
      <c r="K3" s="18"/>
      <c r="L3" s="142" t="s">
        <v>193</v>
      </c>
      <c r="M3" s="143"/>
      <c r="N3" s="18"/>
      <c r="O3" s="142" t="s">
        <v>108</v>
      </c>
      <c r="P3" s="143"/>
      <c r="Q3" s="18" t="s">
        <v>192</v>
      </c>
      <c r="R3" s="28"/>
      <c r="S3" s="142" t="s">
        <v>194</v>
      </c>
      <c r="T3" s="143"/>
      <c r="U3" s="19"/>
      <c r="V3" s="142" t="s">
        <v>194</v>
      </c>
      <c r="W3" s="143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2">
        <v>805268</v>
      </c>
      <c r="T5" s="123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0" si="8">SUM(AA5-AA4)*10000</f>
        <v>650000</v>
      </c>
      <c r="AC5" s="17">
        <v>701086300</v>
      </c>
      <c r="AD5" s="33">
        <f t="shared" ref="AD5:AD30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0" si="12">SUM(AK5-AK4)</f>
        <v>2757</v>
      </c>
      <c r="AM5" s="17">
        <v>25501</v>
      </c>
      <c r="AN5" s="33">
        <f t="shared" ref="AN5:AN30" si="13">SUM(AM5-AM4)*1000</f>
        <v>51000</v>
      </c>
      <c r="AO5" s="17">
        <v>1295</v>
      </c>
      <c r="AP5" s="33">
        <f t="shared" ref="AP5:AP30" si="14">SUM(AO5-AO4)</f>
        <v>3</v>
      </c>
      <c r="AQ5" s="17">
        <v>13377</v>
      </c>
      <c r="AR5" s="33">
        <f t="shared" ref="AR5:AR30" si="15">SUM(AQ5-AQ4)*100</f>
        <v>900</v>
      </c>
      <c r="AS5" s="31"/>
      <c r="AT5" s="57">
        <f>B5</f>
        <v>44564</v>
      </c>
      <c r="AU5" s="17">
        <v>4100</v>
      </c>
      <c r="AV5" s="33">
        <f t="shared" ref="AV5:AV30" si="16">SUM(AU5-AU4)</f>
        <v>54</v>
      </c>
      <c r="AW5" s="14"/>
      <c r="AX5" s="17">
        <v>2131903</v>
      </c>
      <c r="AY5" s="33">
        <f t="shared" ref="AY5:AY30" si="17">SUM(AX5-AX4)</f>
        <v>23245</v>
      </c>
      <c r="AZ5" s="17">
        <v>654316702</v>
      </c>
      <c r="BA5" s="34">
        <f t="shared" ref="BA5:BA30" si="18">SUM(AZ5-AZ4)/100</f>
        <v>16869.72</v>
      </c>
      <c r="BB5" s="33">
        <f t="shared" ref="BB5:BB30" si="19">SUM(AY5-BA5)</f>
        <v>6375.2799999999988</v>
      </c>
      <c r="BC5" s="17">
        <v>7133400</v>
      </c>
      <c r="BD5" s="89">
        <f t="shared" ref="BD5:BD30" si="20">SUM(BC5-BC4)</f>
        <v>400</v>
      </c>
      <c r="BE5" s="53">
        <v>3791400</v>
      </c>
      <c r="BF5" s="54">
        <f t="shared" ref="BF5:BF30" si="21">SUM(BE5-BE4)</f>
        <v>200</v>
      </c>
      <c r="BG5" s="17">
        <v>1133187</v>
      </c>
      <c r="BH5" s="33">
        <f t="shared" ref="BH5:BH30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2">
        <v>807780</v>
      </c>
      <c r="T6" s="123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2">
        <v>810263</v>
      </c>
      <c r="T7" s="123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2">
        <v>812966</v>
      </c>
      <c r="T8" s="123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2">
        <v>815475</v>
      </c>
      <c r="T9" s="123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2">
        <v>817983</v>
      </c>
      <c r="T10" s="123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2">
        <v>820428</v>
      </c>
      <c r="T11" s="123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2">
        <v>24008</v>
      </c>
      <c r="P12" s="123"/>
      <c r="Q12" s="33">
        <f t="shared" si="4"/>
        <v>28600</v>
      </c>
      <c r="R12" s="29"/>
      <c r="S12" s="122">
        <v>823082</v>
      </c>
      <c r="T12" s="123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2">
        <v>24271</v>
      </c>
      <c r="P13" s="123"/>
      <c r="Q13" s="33">
        <f t="shared" si="4"/>
        <v>26300</v>
      </c>
      <c r="R13" s="29"/>
      <c r="S13" s="122">
        <v>825621</v>
      </c>
      <c r="T13" s="123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2">
        <v>24331</v>
      </c>
      <c r="P14" s="123"/>
      <c r="Q14" s="33">
        <f t="shared" si="4"/>
        <v>6000</v>
      </c>
      <c r="R14" s="29"/>
      <c r="S14" s="122">
        <v>828132</v>
      </c>
      <c r="T14" s="123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2">
        <v>24899</v>
      </c>
      <c r="P15" s="123"/>
      <c r="Q15" s="33">
        <f t="shared" si="4"/>
        <v>56800</v>
      </c>
      <c r="R15" s="29"/>
      <c r="S15" s="122">
        <v>830742</v>
      </c>
      <c r="T15" s="123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2">
        <v>25185</v>
      </c>
      <c r="P16" s="123"/>
      <c r="Q16" s="33">
        <f t="shared" si="4"/>
        <v>28600</v>
      </c>
      <c r="R16" s="29"/>
      <c r="S16" s="122">
        <v>833299</v>
      </c>
      <c r="T16" s="123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2">
        <v>25487</v>
      </c>
      <c r="P17" s="123"/>
      <c r="Q17" s="33">
        <f t="shared" si="4"/>
        <v>30200</v>
      </c>
      <c r="R17" s="29"/>
      <c r="S17" s="122">
        <v>835892</v>
      </c>
      <c r="T17" s="123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2">
        <v>25689</v>
      </c>
      <c r="P18" s="123"/>
      <c r="Q18" s="33">
        <f t="shared" si="4"/>
        <v>20200</v>
      </c>
      <c r="R18" s="29"/>
      <c r="S18" s="122">
        <v>837470</v>
      </c>
      <c r="T18" s="123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2">
        <v>25806</v>
      </c>
      <c r="P19" s="123"/>
      <c r="Q19" s="33">
        <f t="shared" si="4"/>
        <v>11700</v>
      </c>
      <c r="R19" s="29"/>
      <c r="S19" s="122">
        <v>838450</v>
      </c>
      <c r="T19" s="123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2">
        <v>26102</v>
      </c>
      <c r="P20" s="123"/>
      <c r="Q20" s="33">
        <f t="shared" si="4"/>
        <v>29600</v>
      </c>
      <c r="R20" s="29"/>
      <c r="S20" s="122">
        <v>840781</v>
      </c>
      <c r="T20" s="123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2">
        <v>26412</v>
      </c>
      <c r="P21" s="123"/>
      <c r="Q21" s="33">
        <f t="shared" si="4"/>
        <v>31000</v>
      </c>
      <c r="R21" s="29"/>
      <c r="S21" s="122">
        <v>843226</v>
      </c>
      <c r="T21" s="123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2">
        <v>26762</v>
      </c>
      <c r="P22" s="123"/>
      <c r="Q22" s="33">
        <f t="shared" si="4"/>
        <v>35000</v>
      </c>
      <c r="R22" s="29"/>
      <c r="S22" s="122">
        <v>845742</v>
      </c>
      <c r="T22" s="123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2">
        <v>27083</v>
      </c>
      <c r="P23" s="123"/>
      <c r="Q23" s="33">
        <f t="shared" si="4"/>
        <v>32100</v>
      </c>
      <c r="R23" s="29"/>
      <c r="S23" s="122">
        <v>848113</v>
      </c>
      <c r="T23" s="123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2">
        <v>27083</v>
      </c>
      <c r="P24" s="123"/>
      <c r="Q24" s="33">
        <f t="shared" si="4"/>
        <v>0</v>
      </c>
      <c r="R24" s="29"/>
      <c r="S24" s="122">
        <v>848113</v>
      </c>
      <c r="T24" s="123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2">
        <v>27442</v>
      </c>
      <c r="P25" s="123"/>
      <c r="Q25" s="33">
        <f t="shared" si="4"/>
        <v>35900</v>
      </c>
      <c r="R25" s="29"/>
      <c r="S25" s="122">
        <v>850480</v>
      </c>
      <c r="T25" s="123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2">
        <v>27763</v>
      </c>
      <c r="P26" s="123"/>
      <c r="Q26" s="33">
        <f t="shared" si="4"/>
        <v>32100</v>
      </c>
      <c r="R26" s="29"/>
      <c r="S26" s="122">
        <v>852778</v>
      </c>
      <c r="T26" s="123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2">
        <v>28094</v>
      </c>
      <c r="P27" s="123"/>
      <c r="Q27" s="33">
        <f t="shared" si="4"/>
        <v>33100</v>
      </c>
      <c r="R27" s="29"/>
      <c r="S27" s="122">
        <v>855089</v>
      </c>
      <c r="T27" s="123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0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2">
        <v>28467</v>
      </c>
      <c r="P28" s="123"/>
      <c r="Q28" s="33">
        <f t="shared" si="4"/>
        <v>37300</v>
      </c>
      <c r="R28" s="29"/>
      <c r="S28" s="122">
        <v>857448</v>
      </c>
      <c r="T28" s="123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6">
        <v>50036144</v>
      </c>
      <c r="D29" s="126"/>
      <c r="E29" s="33">
        <f t="shared" si="0"/>
        <v>314220</v>
      </c>
      <c r="F29" s="126">
        <v>5971709</v>
      </c>
      <c r="G29" s="126"/>
      <c r="H29" s="33">
        <f t="shared" si="1"/>
        <v>107520</v>
      </c>
      <c r="I29" s="126">
        <v>18944</v>
      </c>
      <c r="J29" s="126"/>
      <c r="K29" s="33">
        <f t="shared" si="2"/>
        <v>340</v>
      </c>
      <c r="L29" s="126">
        <v>363995</v>
      </c>
      <c r="M29" s="126"/>
      <c r="N29" s="33">
        <f t="shared" si="3"/>
        <v>236000</v>
      </c>
      <c r="O29" s="122">
        <v>28565</v>
      </c>
      <c r="P29" s="123"/>
      <c r="Q29" s="33">
        <f t="shared" si="4"/>
        <v>9800</v>
      </c>
      <c r="R29" s="29"/>
      <c r="S29" s="122">
        <v>857967</v>
      </c>
      <c r="T29" s="123"/>
      <c r="U29" s="33">
        <f t="shared" si="5"/>
        <v>51900</v>
      </c>
      <c r="V29" s="126">
        <v>8889</v>
      </c>
      <c r="W29" s="126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6">
        <v>50141738</v>
      </c>
      <c r="D30" s="126"/>
      <c r="E30" s="33">
        <f t="shared" si="0"/>
        <v>1055940</v>
      </c>
      <c r="F30" s="126">
        <v>5984785</v>
      </c>
      <c r="G30" s="126"/>
      <c r="H30" s="33">
        <f t="shared" si="1"/>
        <v>130760</v>
      </c>
      <c r="I30" s="126">
        <v>19040</v>
      </c>
      <c r="J30" s="126"/>
      <c r="K30" s="33">
        <f t="shared" si="2"/>
        <v>960</v>
      </c>
      <c r="L30" s="126">
        <v>364819</v>
      </c>
      <c r="M30" s="126"/>
      <c r="N30" s="33">
        <f t="shared" si="3"/>
        <v>824000</v>
      </c>
      <c r="O30" s="122">
        <v>28825</v>
      </c>
      <c r="P30" s="123"/>
      <c r="Q30" s="33">
        <f t="shared" si="4"/>
        <v>26000</v>
      </c>
      <c r="R30" s="29"/>
      <c r="S30" s="122">
        <v>859604</v>
      </c>
      <c r="T30" s="123"/>
      <c r="U30" s="33">
        <f t="shared" si="5"/>
        <v>163700</v>
      </c>
      <c r="V30" s="126">
        <v>9213</v>
      </c>
      <c r="W30" s="126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7"/>
      <c r="D31" s="128"/>
      <c r="E31" s="33">
        <f t="shared" si="0"/>
        <v>-501417380</v>
      </c>
      <c r="F31" s="127"/>
      <c r="G31" s="128"/>
      <c r="H31" s="33">
        <f t="shared" si="1"/>
        <v>-59847850</v>
      </c>
      <c r="I31" s="127"/>
      <c r="J31" s="128"/>
      <c r="K31" s="33">
        <f t="shared" si="2"/>
        <v>-190400</v>
      </c>
      <c r="L31" s="127"/>
      <c r="M31" s="128"/>
      <c r="N31" s="33">
        <f t="shared" si="3"/>
        <v>-364819000</v>
      </c>
      <c r="O31" s="127"/>
      <c r="P31" s="128"/>
      <c r="Q31" s="33">
        <f t="shared" si="4"/>
        <v>-2882500</v>
      </c>
      <c r="R31" s="29"/>
      <c r="S31" s="127"/>
      <c r="T31" s="128"/>
      <c r="U31" s="33">
        <f t="shared" si="5"/>
        <v>-85960400</v>
      </c>
      <c r="V31" s="127"/>
      <c r="W31" s="128"/>
      <c r="X31" s="33">
        <f t="shared" si="23"/>
        <v>-921300</v>
      </c>
      <c r="Y31" s="32">
        <f t="shared" si="24"/>
        <v>-86881700</v>
      </c>
      <c r="Z31" s="30"/>
      <c r="AA31" s="59"/>
      <c r="AB31" s="61"/>
      <c r="AC31" s="59"/>
      <c r="AD31" s="61"/>
      <c r="AE31" s="61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59"/>
      <c r="AR31" s="61"/>
      <c r="AS31" s="31"/>
      <c r="AT31" s="57">
        <f t="shared" si="25"/>
        <v>44725</v>
      </c>
      <c r="AU31" s="59"/>
      <c r="AV31" s="61"/>
      <c r="AW31" s="62"/>
      <c r="AX31" s="59"/>
      <c r="AY31" s="61"/>
      <c r="AZ31" s="59"/>
      <c r="BA31" s="61"/>
      <c r="BB31" s="61"/>
      <c r="BC31" s="59"/>
      <c r="BD31" s="63"/>
      <c r="BE31" s="60"/>
      <c r="BF31" s="64"/>
      <c r="BG31" s="59"/>
      <c r="BH31" s="61"/>
    </row>
    <row r="32" spans="2:60" s="58" customFormat="1" x14ac:dyDescent="0.25">
      <c r="B32" s="45">
        <v>44732</v>
      </c>
      <c r="C32" s="127"/>
      <c r="D32" s="128"/>
      <c r="E32" s="33">
        <f t="shared" si="0"/>
        <v>0</v>
      </c>
      <c r="F32" s="127"/>
      <c r="G32" s="128"/>
      <c r="H32" s="33">
        <f t="shared" si="1"/>
        <v>0</v>
      </c>
      <c r="I32" s="127"/>
      <c r="J32" s="128"/>
      <c r="K32" s="33">
        <f t="shared" si="2"/>
        <v>0</v>
      </c>
      <c r="L32" s="127"/>
      <c r="M32" s="128"/>
      <c r="N32" s="33">
        <f t="shared" si="3"/>
        <v>0</v>
      </c>
      <c r="O32" s="127"/>
      <c r="P32" s="128"/>
      <c r="Q32" s="33">
        <f t="shared" si="4"/>
        <v>0</v>
      </c>
      <c r="R32" s="29"/>
      <c r="S32" s="127"/>
      <c r="T32" s="128"/>
      <c r="U32" s="33">
        <f t="shared" si="5"/>
        <v>0</v>
      </c>
      <c r="V32" s="127"/>
      <c r="W32" s="128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61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59"/>
      <c r="AR32" s="61"/>
      <c r="AS32" s="31"/>
      <c r="AT32" s="57">
        <f t="shared" si="25"/>
        <v>44732</v>
      </c>
      <c r="AU32" s="59"/>
      <c r="AV32" s="61"/>
      <c r="AW32" s="62"/>
      <c r="AX32" s="59"/>
      <c r="AY32" s="61"/>
      <c r="AZ32" s="59"/>
      <c r="BA32" s="61"/>
      <c r="BB32" s="61"/>
      <c r="BC32" s="59"/>
      <c r="BD32" s="63"/>
      <c r="BE32" s="60"/>
      <c r="BF32" s="64"/>
      <c r="BG32" s="59"/>
      <c r="BH32" s="61"/>
    </row>
    <row r="33" spans="2:60" s="58" customFormat="1" x14ac:dyDescent="0.25">
      <c r="B33" s="45">
        <v>44739</v>
      </c>
      <c r="C33" s="126"/>
      <c r="D33" s="126"/>
      <c r="E33" s="33">
        <f t="shared" si="0"/>
        <v>0</v>
      </c>
      <c r="F33" s="126"/>
      <c r="G33" s="126"/>
      <c r="H33" s="33">
        <f t="shared" si="1"/>
        <v>0</v>
      </c>
      <c r="I33" s="126"/>
      <c r="J33" s="126"/>
      <c r="K33" s="33">
        <f t="shared" si="2"/>
        <v>0</v>
      </c>
      <c r="L33" s="126"/>
      <c r="M33" s="126"/>
      <c r="N33" s="33">
        <f t="shared" si="3"/>
        <v>0</v>
      </c>
      <c r="O33" s="126"/>
      <c r="P33" s="126"/>
      <c r="Q33" s="33">
        <f t="shared" si="4"/>
        <v>0</v>
      </c>
      <c r="R33" s="29"/>
      <c r="S33" s="126"/>
      <c r="T33" s="126"/>
      <c r="U33" s="33">
        <f t="shared" si="5"/>
        <v>0</v>
      </c>
      <c r="V33" s="126"/>
      <c r="W33" s="126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33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17"/>
      <c r="AR33" s="33"/>
      <c r="AS33" s="31"/>
      <c r="AT33" s="57">
        <f t="shared" si="25"/>
        <v>44739</v>
      </c>
      <c r="AU33" s="17"/>
      <c r="AV33" s="33"/>
      <c r="AW33" s="14"/>
      <c r="AX33" s="17"/>
      <c r="AY33" s="33"/>
      <c r="AZ33" s="17"/>
      <c r="BA33" s="34"/>
      <c r="BB33" s="33"/>
      <c r="BC33" s="17"/>
      <c r="BD33" s="89"/>
      <c r="BE33" s="53"/>
      <c r="BF33" s="54"/>
      <c r="BG33" s="17"/>
      <c r="BH33" s="33"/>
    </row>
    <row r="34" spans="2:60" s="58" customFormat="1" x14ac:dyDescent="0.25">
      <c r="B34" s="45">
        <v>44742</v>
      </c>
      <c r="C34" s="127"/>
      <c r="D34" s="128"/>
      <c r="E34" s="33">
        <f t="shared" si="0"/>
        <v>0</v>
      </c>
      <c r="F34" s="127"/>
      <c r="G34" s="128"/>
      <c r="H34" s="33">
        <f t="shared" si="1"/>
        <v>0</v>
      </c>
      <c r="I34" s="127"/>
      <c r="J34" s="128"/>
      <c r="K34" s="33">
        <f t="shared" si="2"/>
        <v>0</v>
      </c>
      <c r="L34" s="127"/>
      <c r="M34" s="128"/>
      <c r="N34" s="33">
        <f t="shared" si="3"/>
        <v>0</v>
      </c>
      <c r="O34" s="127"/>
      <c r="P34" s="128"/>
      <c r="Q34" s="33">
        <f t="shared" si="4"/>
        <v>0</v>
      </c>
      <c r="R34" s="29"/>
      <c r="S34" s="127"/>
      <c r="T34" s="128"/>
      <c r="U34" s="33">
        <f t="shared" si="5"/>
        <v>0</v>
      </c>
      <c r="V34" s="127"/>
      <c r="W34" s="128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61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59"/>
      <c r="AR34" s="61"/>
      <c r="AS34" s="31"/>
      <c r="AT34" s="57">
        <f t="shared" si="25"/>
        <v>44742</v>
      </c>
      <c r="AU34" s="59"/>
      <c r="AV34" s="61"/>
      <c r="AW34" s="62"/>
      <c r="AX34" s="59"/>
      <c r="AY34" s="61"/>
      <c r="AZ34" s="59"/>
      <c r="BA34" s="61"/>
      <c r="BB34" s="61"/>
      <c r="BC34" s="59"/>
      <c r="BD34" s="63"/>
      <c r="BE34" s="60"/>
      <c r="BF34" s="64"/>
      <c r="BG34" s="59"/>
      <c r="BH34" s="61"/>
    </row>
    <row r="35" spans="2:60" s="58" customFormat="1" x14ac:dyDescent="0.25">
      <c r="B35" s="45">
        <v>44746</v>
      </c>
      <c r="C35" s="127"/>
      <c r="D35" s="128"/>
      <c r="E35" s="33">
        <f t="shared" si="0"/>
        <v>0</v>
      </c>
      <c r="F35" s="127"/>
      <c r="G35" s="128"/>
      <c r="H35" s="33">
        <f t="shared" si="1"/>
        <v>0</v>
      </c>
      <c r="I35" s="127"/>
      <c r="J35" s="128"/>
      <c r="K35" s="33">
        <f t="shared" si="2"/>
        <v>0</v>
      </c>
      <c r="L35" s="127"/>
      <c r="M35" s="128"/>
      <c r="N35" s="33">
        <f t="shared" si="3"/>
        <v>0</v>
      </c>
      <c r="O35" s="127"/>
      <c r="P35" s="128"/>
      <c r="Q35" s="33">
        <f t="shared" si="4"/>
        <v>0</v>
      </c>
      <c r="R35" s="29"/>
      <c r="S35" s="127"/>
      <c r="T35" s="128"/>
      <c r="U35" s="33">
        <f t="shared" si="5"/>
        <v>0</v>
      </c>
      <c r="V35" s="127"/>
      <c r="W35" s="128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61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59"/>
      <c r="AR35" s="61"/>
      <c r="AS35" s="31"/>
      <c r="AT35" s="57">
        <f t="shared" si="25"/>
        <v>44746</v>
      </c>
      <c r="AU35" s="59"/>
      <c r="AV35" s="61"/>
      <c r="AW35" s="62"/>
      <c r="AX35" s="59"/>
      <c r="AY35" s="61"/>
      <c r="AZ35" s="59"/>
      <c r="BA35" s="61"/>
      <c r="BB35" s="61"/>
      <c r="BC35" s="59"/>
      <c r="BD35" s="63"/>
      <c r="BE35" s="60"/>
      <c r="BF35" s="64"/>
      <c r="BG35" s="59"/>
      <c r="BH35" s="61"/>
    </row>
    <row r="36" spans="2:60" s="58" customFormat="1" x14ac:dyDescent="0.25">
      <c r="B36" s="45">
        <v>44753</v>
      </c>
      <c r="C36" s="127"/>
      <c r="D36" s="128"/>
      <c r="E36" s="33">
        <f t="shared" si="0"/>
        <v>0</v>
      </c>
      <c r="F36" s="127"/>
      <c r="G36" s="128"/>
      <c r="H36" s="33">
        <f t="shared" si="1"/>
        <v>0</v>
      </c>
      <c r="I36" s="127"/>
      <c r="J36" s="128"/>
      <c r="K36" s="33">
        <f t="shared" si="2"/>
        <v>0</v>
      </c>
      <c r="L36" s="127"/>
      <c r="M36" s="128"/>
      <c r="N36" s="33">
        <f t="shared" si="3"/>
        <v>0</v>
      </c>
      <c r="O36" s="127"/>
      <c r="P36" s="128"/>
      <c r="Q36" s="33">
        <f t="shared" si="4"/>
        <v>0</v>
      </c>
      <c r="R36" s="29"/>
      <c r="S36" s="127"/>
      <c r="T36" s="128"/>
      <c r="U36" s="33">
        <f t="shared" si="5"/>
        <v>0</v>
      </c>
      <c r="V36" s="127"/>
      <c r="W36" s="128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61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59"/>
      <c r="AR36" s="61"/>
      <c r="AS36" s="31"/>
      <c r="AT36" s="57">
        <f t="shared" si="25"/>
        <v>44753</v>
      </c>
      <c r="AU36" s="59"/>
      <c r="AV36" s="61"/>
      <c r="AW36" s="62"/>
      <c r="AX36" s="59"/>
      <c r="AY36" s="61"/>
      <c r="AZ36" s="59"/>
      <c r="BA36" s="61"/>
      <c r="BB36" s="61"/>
      <c r="BC36" s="59"/>
      <c r="BD36" s="63"/>
      <c r="BE36" s="60"/>
      <c r="BF36" s="64"/>
      <c r="BG36" s="59"/>
      <c r="BH36" s="61"/>
    </row>
    <row r="37" spans="2:60" s="58" customFormat="1" x14ac:dyDescent="0.25">
      <c r="B37" s="45">
        <v>44760</v>
      </c>
      <c r="C37" s="127"/>
      <c r="D37" s="128"/>
      <c r="E37" s="33">
        <f t="shared" si="0"/>
        <v>0</v>
      </c>
      <c r="F37" s="127"/>
      <c r="G37" s="128"/>
      <c r="H37" s="33">
        <f t="shared" si="1"/>
        <v>0</v>
      </c>
      <c r="I37" s="127"/>
      <c r="J37" s="128"/>
      <c r="K37" s="33">
        <f t="shared" si="2"/>
        <v>0</v>
      </c>
      <c r="L37" s="127"/>
      <c r="M37" s="128"/>
      <c r="N37" s="33">
        <f t="shared" si="3"/>
        <v>0</v>
      </c>
      <c r="O37" s="127"/>
      <c r="P37" s="128"/>
      <c r="Q37" s="33">
        <f t="shared" si="4"/>
        <v>0</v>
      </c>
      <c r="R37" s="29"/>
      <c r="S37" s="127"/>
      <c r="T37" s="128"/>
      <c r="U37" s="33">
        <f t="shared" si="5"/>
        <v>0</v>
      </c>
      <c r="V37" s="127"/>
      <c r="W37" s="128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2"/>
      <c r="T55" s="123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2"/>
      <c r="T56" s="123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2"/>
      <c r="T57" s="123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2"/>
      <c r="T58" s="123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2"/>
      <c r="T59" s="123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2"/>
      <c r="T60" s="123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2"/>
      <c r="T61" s="123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2"/>
      <c r="T62" s="123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2"/>
      <c r="T63" s="123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2"/>
      <c r="T64" s="123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2022-06-06T18:44:43Z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