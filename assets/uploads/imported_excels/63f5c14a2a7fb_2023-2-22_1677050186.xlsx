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28800" windowHeight="124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H20" i="119" l="1"/>
  <c r="J20" i="119"/>
  <c r="F5" i="119"/>
  <c r="H5" i="119"/>
  <c r="J5" i="119"/>
  <c r="F20" i="119" l="1"/>
  <c r="D20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I17" i="117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G17" i="117"/>
  <c r="E17" i="117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<sst xmlns="http://schemas.openxmlformats.org/spreadsheetml/2006/main" count="58" uniqueCount="29">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</sst>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="85" zoomScaleNormal="85" workbookViewId="0">
      <selection activeCell="G35" sqref="G35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4" t="s">
        <v>7</v>
      </c>
      <c r="J1" s="35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2</v>
      </c>
      <c r="D2" s="7">
        <v>2021</v>
      </c>
      <c r="E2" s="9">
        <f>'Macao Daily'!D5</f>
        <v>34508</v>
      </c>
      <c r="F2" s="36">
        <v>1.1415999999999999</v>
      </c>
      <c r="G2" s="9">
        <f>'Macao Daily'!F5</f>
        <v>90</v>
      </c>
      <c r="H2" s="36">
        <v>7.2606000000000002</v>
      </c>
      <c r="I2" s="9">
        <f>'Macao Daily'!H5</f>
        <v>19281</v>
      </c>
      <c r="J2" s="36">
        <v>0.13</v>
      </c>
      <c r="K2" s="9">
        <f>'Macao Daily'!J5</f>
        <v>0</v>
      </c>
      <c r="L2" s="36">
        <v>7.7614999999999998</v>
      </c>
      <c r="M2" s="9">
        <f>'Macao Daily'!K5</f>
        <v>76</v>
      </c>
      <c r="N2" s="9">
        <f>'Macao Daily'!L5</f>
        <v>224</v>
      </c>
    </row>
    <row r="3" spans="1:14" ht="15" x14ac:dyDescent="0.25">
      <c r="A3" s="6" t="s">
        <v>13</v>
      </c>
      <c r="B3" s="7">
        <f>B2+1</f>
        <v>2</v>
      </c>
      <c r="C3" s="8">
        <v>2</v>
      </c>
      <c r="D3" s="7">
        <v>2021</v>
      </c>
      <c r="E3" s="9">
        <f>'Macao Daily'!D6</f>
        <v>32547</v>
      </c>
      <c r="F3" s="36">
        <v>1.1415999999999999</v>
      </c>
      <c r="G3" s="9">
        <f>'Macao Daily'!F6</f>
        <v>72</v>
      </c>
      <c r="H3" s="36">
        <v>7.2606000000000002</v>
      </c>
      <c r="I3" s="9">
        <f>'Macao Daily'!H6</f>
        <v>20321</v>
      </c>
      <c r="J3" s="36">
        <v>0.13</v>
      </c>
      <c r="K3" s="9">
        <f>'Macao Daily'!J6</f>
        <v>0</v>
      </c>
      <c r="L3" s="36">
        <v>7.7614999999999998</v>
      </c>
      <c r="M3" s="9">
        <f>'Macao Daily'!K6</f>
        <v>86</v>
      </c>
      <c r="N3" s="9">
        <f>'Macao Daily'!L6</f>
        <v>211</v>
      </c>
    </row>
    <row r="4" spans="1:14" ht="15" x14ac:dyDescent="0.25">
      <c r="A4" s="6" t="s">
        <v>13</v>
      </c>
      <c r="B4" s="7">
        <f t="shared" ref="B4:B29" si="0">B3+1</f>
        <v>3</v>
      </c>
      <c r="C4" s="8">
        <v>2</v>
      </c>
      <c r="D4" s="7">
        <v>2021</v>
      </c>
      <c r="E4" s="9">
        <f>'Macao Daily'!D7</f>
        <v>33675</v>
      </c>
      <c r="F4" s="36">
        <v>1.1415999999999999</v>
      </c>
      <c r="G4" s="9">
        <f>'Macao Daily'!F7</f>
        <v>74</v>
      </c>
      <c r="H4" s="36">
        <v>7.2606000000000002</v>
      </c>
      <c r="I4" s="9">
        <f>'Macao Daily'!H7</f>
        <v>18843</v>
      </c>
      <c r="J4" s="36">
        <v>0.13</v>
      </c>
      <c r="K4" s="9">
        <f>'Macao Daily'!J7</f>
        <v>0</v>
      </c>
      <c r="L4" s="36">
        <v>7.7614999999999998</v>
      </c>
      <c r="M4" s="9">
        <f>'Macao Daily'!K7</f>
        <v>89</v>
      </c>
      <c r="N4" s="9">
        <f>'Macao Daily'!L7</f>
        <v>177</v>
      </c>
    </row>
    <row r="5" spans="1:14" ht="15" x14ac:dyDescent="0.25">
      <c r="A5" s="6" t="s">
        <v>13</v>
      </c>
      <c r="B5" s="7">
        <f t="shared" si="0"/>
        <v>4</v>
      </c>
      <c r="C5" s="8">
        <v>2</v>
      </c>
      <c r="D5" s="7">
        <v>2021</v>
      </c>
      <c r="E5" s="9">
        <f>'Macao Daily'!D8</f>
        <v>36077</v>
      </c>
      <c r="F5" s="36">
        <v>1.1415999999999999</v>
      </c>
      <c r="G5" s="9">
        <f>'Macao Daily'!F8</f>
        <v>101</v>
      </c>
      <c r="H5" s="36">
        <v>7.2606000000000002</v>
      </c>
      <c r="I5" s="9">
        <f>'Macao Daily'!H8</f>
        <v>20946</v>
      </c>
      <c r="J5" s="36">
        <v>0.13</v>
      </c>
      <c r="K5" s="9">
        <f>'Macao Daily'!J8</f>
        <v>0</v>
      </c>
      <c r="L5" s="36">
        <v>7.7614999999999998</v>
      </c>
      <c r="M5" s="9">
        <f>'Macao Daily'!K8</f>
        <v>86</v>
      </c>
      <c r="N5" s="9">
        <f>'Macao Daily'!L8</f>
        <v>199</v>
      </c>
    </row>
    <row r="6" spans="1:14" ht="15" x14ac:dyDescent="0.25">
      <c r="A6" s="6" t="s">
        <v>13</v>
      </c>
      <c r="B6" s="7">
        <f t="shared" si="0"/>
        <v>5</v>
      </c>
      <c r="C6" s="8">
        <v>2</v>
      </c>
      <c r="D6" s="7">
        <v>2021</v>
      </c>
      <c r="E6" s="9">
        <f>'Macao Daily'!D9</f>
        <v>36666</v>
      </c>
      <c r="F6" s="36">
        <v>1.1415999999999999</v>
      </c>
      <c r="G6" s="9">
        <f>'Macao Daily'!F9</f>
        <v>123</v>
      </c>
      <c r="H6" s="36">
        <v>7.2606000000000002</v>
      </c>
      <c r="I6" s="9">
        <f>'Macao Daily'!H9</f>
        <v>22062</v>
      </c>
      <c r="J6" s="36">
        <v>0.13</v>
      </c>
      <c r="K6" s="9">
        <f>'Macao Daily'!J9</f>
        <v>0</v>
      </c>
      <c r="L6" s="36">
        <v>7.7614999999999998</v>
      </c>
      <c r="M6" s="9">
        <f>'Macao Daily'!K9</f>
        <v>110</v>
      </c>
      <c r="N6" s="9">
        <f>'Macao Daily'!L9</f>
        <v>622</v>
      </c>
    </row>
    <row r="7" spans="1:14" ht="15" x14ac:dyDescent="0.25">
      <c r="A7" s="6" t="s">
        <v>13</v>
      </c>
      <c r="B7" s="7">
        <f t="shared" si="0"/>
        <v>6</v>
      </c>
      <c r="C7" s="8">
        <v>2</v>
      </c>
      <c r="D7" s="7">
        <v>2021</v>
      </c>
      <c r="E7" s="9">
        <f>'Macao Daily'!D10</f>
        <v>37184</v>
      </c>
      <c r="F7" s="36">
        <v>1.1415999999999999</v>
      </c>
      <c r="G7" s="9">
        <f>'Macao Daily'!F10</f>
        <v>108</v>
      </c>
      <c r="H7" s="36">
        <v>7.2606000000000002</v>
      </c>
      <c r="I7" s="9">
        <f>'Macao Daily'!H10</f>
        <v>24133</v>
      </c>
      <c r="J7" s="36">
        <v>0.13</v>
      </c>
      <c r="K7" s="9">
        <f>'Macao Daily'!J10</f>
        <v>0</v>
      </c>
      <c r="L7" s="36">
        <v>7.7614999999999998</v>
      </c>
      <c r="M7" s="9">
        <f>'Macao Daily'!K10</f>
        <v>122</v>
      </c>
      <c r="N7" s="9">
        <f>'Macao Daily'!L10</f>
        <v>450</v>
      </c>
    </row>
    <row r="8" spans="1:14" ht="15" x14ac:dyDescent="0.25">
      <c r="A8" s="6" t="s">
        <v>13</v>
      </c>
      <c r="B8" s="7">
        <f t="shared" si="0"/>
        <v>7</v>
      </c>
      <c r="C8" s="8">
        <v>2</v>
      </c>
      <c r="D8" s="7">
        <v>2021</v>
      </c>
      <c r="E8" s="9">
        <f>'Macao Daily'!D11</f>
        <v>34885</v>
      </c>
      <c r="F8" s="36">
        <v>1.1415999999999999</v>
      </c>
      <c r="G8" s="9">
        <f>'Macao Daily'!F11</f>
        <v>103</v>
      </c>
      <c r="H8" s="36">
        <v>7.2606000000000002</v>
      </c>
      <c r="I8" s="9">
        <f>'Macao Daily'!H11</f>
        <v>21234</v>
      </c>
      <c r="J8" s="36">
        <v>0.13</v>
      </c>
      <c r="K8" s="9">
        <f>'Macao Daily'!J11</f>
        <v>0</v>
      </c>
      <c r="L8" s="36">
        <v>7.7614999999999998</v>
      </c>
      <c r="M8" s="9">
        <f>'Macao Daily'!K11</f>
        <v>104</v>
      </c>
      <c r="N8" s="9">
        <f>'Macao Daily'!L11</f>
        <v>607</v>
      </c>
    </row>
    <row r="9" spans="1:14" ht="15" x14ac:dyDescent="0.25">
      <c r="A9" s="6" t="s">
        <v>13</v>
      </c>
      <c r="B9" s="7">
        <f t="shared" si="0"/>
        <v>8</v>
      </c>
      <c r="C9" s="8">
        <v>2</v>
      </c>
      <c r="D9" s="7">
        <v>2021</v>
      </c>
      <c r="E9" s="9">
        <f>'Macao Daily'!D12</f>
        <v>34285</v>
      </c>
      <c r="F9" s="36">
        <v>1.1415999999999999</v>
      </c>
      <c r="G9" s="9">
        <f>'Macao Daily'!F12</f>
        <v>105</v>
      </c>
      <c r="H9" s="36">
        <v>7.2606000000000002</v>
      </c>
      <c r="I9" s="9">
        <f>'Macao Daily'!H12</f>
        <v>20555</v>
      </c>
      <c r="J9" s="36">
        <v>0.13</v>
      </c>
      <c r="K9" s="9">
        <f>'Macao Daily'!J12</f>
        <v>0</v>
      </c>
      <c r="L9" s="36">
        <v>7.7614999999999998</v>
      </c>
      <c r="M9" s="9">
        <f>'Macao Daily'!K12</f>
        <v>111</v>
      </c>
      <c r="N9" s="9">
        <f>'Macao Daily'!L12</f>
        <v>354</v>
      </c>
    </row>
    <row r="10" spans="1:14" ht="15" x14ac:dyDescent="0.25">
      <c r="A10" s="6" t="s">
        <v>13</v>
      </c>
      <c r="B10" s="7">
        <f t="shared" si="0"/>
        <v>9</v>
      </c>
      <c r="C10" s="8">
        <v>2</v>
      </c>
      <c r="D10" s="7">
        <v>2021</v>
      </c>
      <c r="E10" s="9">
        <f>'Macao Daily'!D13</f>
        <v>34106</v>
      </c>
      <c r="F10" s="36">
        <v>1.1415999999999999</v>
      </c>
      <c r="G10" s="9">
        <f>'Macao Daily'!F13</f>
        <v>105</v>
      </c>
      <c r="H10" s="36">
        <v>7.2606000000000002</v>
      </c>
      <c r="I10" s="9">
        <f>'Macao Daily'!H13</f>
        <v>17406</v>
      </c>
      <c r="J10" s="36">
        <v>0.13</v>
      </c>
      <c r="K10" s="9">
        <f>'Macao Daily'!J13</f>
        <v>0</v>
      </c>
      <c r="L10" s="36">
        <v>7.7614999999999998</v>
      </c>
      <c r="M10" s="9">
        <f>'Macao Daily'!K13</f>
        <v>94</v>
      </c>
      <c r="N10" s="9">
        <f>'Macao Daily'!L13</f>
        <v>396</v>
      </c>
    </row>
    <row r="11" spans="1:14" ht="15" x14ac:dyDescent="0.25">
      <c r="A11" s="6" t="s">
        <v>13</v>
      </c>
      <c r="B11" s="7">
        <f t="shared" si="0"/>
        <v>10</v>
      </c>
      <c r="C11" s="8">
        <v>2</v>
      </c>
      <c r="D11" s="7">
        <v>2021</v>
      </c>
      <c r="E11" s="9">
        <f>'Macao Daily'!D14</f>
        <v>34429</v>
      </c>
      <c r="F11" s="36">
        <v>1.1415999999999999</v>
      </c>
      <c r="G11" s="9">
        <f>'Macao Daily'!F14</f>
        <v>114</v>
      </c>
      <c r="H11" s="36">
        <v>7.2606000000000002</v>
      </c>
      <c r="I11" s="9">
        <f>'Macao Daily'!H14</f>
        <v>15985</v>
      </c>
      <c r="J11" s="36">
        <v>0.13</v>
      </c>
      <c r="K11" s="9">
        <f>'Macao Daily'!J14</f>
        <v>0</v>
      </c>
      <c r="L11" s="36">
        <v>7.7614999999999998</v>
      </c>
      <c r="M11" s="9">
        <f>'Macao Daily'!K14</f>
        <v>103</v>
      </c>
      <c r="N11" s="9">
        <f>'Macao Daily'!L14</f>
        <v>452</v>
      </c>
    </row>
    <row r="12" spans="1:14" ht="15" x14ac:dyDescent="0.25">
      <c r="A12" s="6" t="s">
        <v>13</v>
      </c>
      <c r="B12" s="7">
        <f t="shared" si="0"/>
        <v>11</v>
      </c>
      <c r="C12" s="8">
        <v>2</v>
      </c>
      <c r="D12" s="7">
        <v>2021</v>
      </c>
      <c r="E12" s="9">
        <f>'Macao Daily'!D15</f>
        <v>33223</v>
      </c>
      <c r="F12" s="36">
        <v>1.1415999999999999</v>
      </c>
      <c r="G12" s="9">
        <f>'Macao Daily'!F15</f>
        <v>115</v>
      </c>
      <c r="H12" s="36">
        <v>7.2606000000000002</v>
      </c>
      <c r="I12" s="9">
        <f>'Macao Daily'!H15</f>
        <v>15250</v>
      </c>
      <c r="J12" s="36">
        <v>0.13</v>
      </c>
      <c r="K12" s="9">
        <f>'Macao Daily'!J15</f>
        <v>0</v>
      </c>
      <c r="L12" s="36">
        <v>7.7614999999999998</v>
      </c>
      <c r="M12" s="9">
        <f>'Macao Daily'!K15</f>
        <v>96</v>
      </c>
      <c r="N12" s="9">
        <f>'Macao Daily'!L15</f>
        <v>516</v>
      </c>
    </row>
    <row r="13" spans="1:14" ht="15" x14ac:dyDescent="0.25">
      <c r="A13" s="6" t="s">
        <v>13</v>
      </c>
      <c r="B13" s="7">
        <f t="shared" si="0"/>
        <v>12</v>
      </c>
      <c r="C13" s="8">
        <v>2</v>
      </c>
      <c r="D13" s="7">
        <v>2021</v>
      </c>
      <c r="E13" s="9">
        <f>'Macao Daily'!D16</f>
        <v>33526</v>
      </c>
      <c r="F13" s="36">
        <v>1.1415999999999999</v>
      </c>
      <c r="G13" s="9">
        <f>'Macao Daily'!F16</f>
        <v>99</v>
      </c>
      <c r="H13" s="36">
        <v>7.2606000000000002</v>
      </c>
      <c r="I13" s="9">
        <f>'Macao Daily'!H16</f>
        <v>17203</v>
      </c>
      <c r="J13" s="36">
        <v>0.13</v>
      </c>
      <c r="K13" s="9">
        <f>'Macao Daily'!J16</f>
        <v>0</v>
      </c>
      <c r="L13" s="36">
        <v>7.7614999999999998</v>
      </c>
      <c r="M13" s="9">
        <f>'Macao Daily'!K16</f>
        <v>101</v>
      </c>
      <c r="N13" s="9">
        <f>'Macao Daily'!L16</f>
        <v>643</v>
      </c>
    </row>
    <row r="14" spans="1:14" ht="15" x14ac:dyDescent="0.25">
      <c r="A14" s="6" t="s">
        <v>13</v>
      </c>
      <c r="B14" s="7">
        <f t="shared" si="0"/>
        <v>13</v>
      </c>
      <c r="C14" s="8">
        <v>2</v>
      </c>
      <c r="D14" s="7">
        <v>2021</v>
      </c>
      <c r="E14" s="9">
        <f>'Macao Daily'!D17</f>
        <v>35168</v>
      </c>
      <c r="F14" s="36">
        <v>1.1415999999999999</v>
      </c>
      <c r="G14" s="9">
        <f>'Macao Daily'!F17</f>
        <v>113</v>
      </c>
      <c r="H14" s="36">
        <v>7.2606000000000002</v>
      </c>
      <c r="I14" s="9">
        <f>'Macao Daily'!H17</f>
        <v>17922</v>
      </c>
      <c r="J14" s="36">
        <v>0.13</v>
      </c>
      <c r="K14" s="9">
        <f>'Macao Daily'!J17</f>
        <v>0</v>
      </c>
      <c r="L14" s="36">
        <v>7.7614999999999998</v>
      </c>
      <c r="M14" s="9">
        <f>'Macao Daily'!K17</f>
        <v>149</v>
      </c>
      <c r="N14" s="9">
        <f>'Macao Daily'!L17</f>
        <v>766</v>
      </c>
    </row>
    <row r="15" spans="1:14" ht="15" x14ac:dyDescent="0.25">
      <c r="A15" s="6" t="s">
        <v>13</v>
      </c>
      <c r="B15" s="7">
        <f t="shared" si="0"/>
        <v>14</v>
      </c>
      <c r="C15" s="8">
        <v>2</v>
      </c>
      <c r="D15" s="7">
        <v>2021</v>
      </c>
      <c r="E15" s="9">
        <f>'Macao Daily'!D18</f>
        <v>34343</v>
      </c>
      <c r="F15" s="36">
        <v>1.1415999999999999</v>
      </c>
      <c r="G15" s="9">
        <f>'Macao Daily'!F18</f>
        <v>121</v>
      </c>
      <c r="H15" s="36">
        <v>7.2606000000000002</v>
      </c>
      <c r="I15" s="9">
        <f>'Macao Daily'!H18</f>
        <v>19679</v>
      </c>
      <c r="J15" s="36">
        <v>0.13</v>
      </c>
      <c r="K15" s="9">
        <f>'Macao Daily'!J18</f>
        <v>0</v>
      </c>
      <c r="L15" s="36">
        <v>7.7614999999999998</v>
      </c>
      <c r="M15" s="9">
        <f>'Macao Daily'!K18</f>
        <v>212</v>
      </c>
      <c r="N15" s="9">
        <f>'Macao Daily'!L18</f>
        <v>1107</v>
      </c>
    </row>
    <row r="16" spans="1:14" ht="15" x14ac:dyDescent="0.25">
      <c r="A16" s="6" t="s">
        <v>13</v>
      </c>
      <c r="B16" s="7">
        <f t="shared" si="0"/>
        <v>15</v>
      </c>
      <c r="C16" s="8">
        <v>2</v>
      </c>
      <c r="D16" s="7">
        <v>2021</v>
      </c>
      <c r="E16" s="9">
        <f>'Macao Daily'!D19</f>
        <v>35281</v>
      </c>
      <c r="F16" s="36">
        <v>1.1415999999999999</v>
      </c>
      <c r="G16" s="9">
        <f>'Macao Daily'!F19</f>
        <v>118</v>
      </c>
      <c r="H16" s="36">
        <v>7.2606000000000002</v>
      </c>
      <c r="I16" s="9">
        <f>'Macao Daily'!H19</f>
        <v>20352</v>
      </c>
      <c r="J16" s="36">
        <v>0.13</v>
      </c>
      <c r="K16" s="9">
        <f>'Macao Daily'!J19</f>
        <v>0</v>
      </c>
      <c r="L16" s="36">
        <v>7.7614999999999998</v>
      </c>
      <c r="M16" s="9">
        <f>'Macao Daily'!K19</f>
        <v>236</v>
      </c>
      <c r="N16" s="9">
        <f>'Macao Daily'!L19</f>
        <v>954</v>
      </c>
    </row>
    <row r="17" spans="1:14" ht="15" x14ac:dyDescent="0.25">
      <c r="A17" s="6" t="s">
        <v>13</v>
      </c>
      <c r="B17" s="7">
        <f t="shared" si="0"/>
        <v>16</v>
      </c>
      <c r="C17" s="8">
        <v>2</v>
      </c>
      <c r="D17" s="7">
        <v>2021</v>
      </c>
      <c r="E17" s="9">
        <f>'Macao Daily'!D20</f>
        <v>36469</v>
      </c>
      <c r="F17" s="36">
        <v>1.1415999999999999</v>
      </c>
      <c r="G17" s="9">
        <f>'Macao Daily'!F20</f>
        <v>125</v>
      </c>
      <c r="H17" s="36">
        <v>7.2606000000000002</v>
      </c>
      <c r="I17" s="9">
        <f>'Macao Daily'!H20</f>
        <v>20797</v>
      </c>
      <c r="J17" s="36">
        <v>0.13</v>
      </c>
      <c r="K17" s="9">
        <f>'Macao Daily'!J20</f>
        <v>0</v>
      </c>
      <c r="L17" s="36">
        <v>7.7614999999999998</v>
      </c>
      <c r="M17" s="9">
        <f>'Macao Daily'!K20</f>
        <v>251</v>
      </c>
      <c r="N17" s="9">
        <f>'Macao Daily'!L20</f>
        <v>906</v>
      </c>
    </row>
    <row r="18" spans="1:14" ht="15" x14ac:dyDescent="0.25">
      <c r="A18" s="6" t="s">
        <v>13</v>
      </c>
      <c r="B18" s="7">
        <f t="shared" si="0"/>
        <v>17</v>
      </c>
      <c r="C18" s="8">
        <v>2</v>
      </c>
      <c r="D18" s="7">
        <v>2021</v>
      </c>
      <c r="E18" s="9">
        <f>'Macao Daily'!D21</f>
        <v>37161</v>
      </c>
      <c r="F18" s="36">
        <v>1.1415999999999999</v>
      </c>
      <c r="G18" s="9">
        <f>'Macao Daily'!F21</f>
        <v>123</v>
      </c>
      <c r="H18" s="36">
        <v>7.2606000000000002</v>
      </c>
      <c r="I18" s="9">
        <f>'Macao Daily'!H21</f>
        <v>23320</v>
      </c>
      <c r="J18" s="36">
        <v>0.13</v>
      </c>
      <c r="K18" s="9">
        <f>'Macao Daily'!J21</f>
        <v>0</v>
      </c>
      <c r="L18" s="36">
        <v>7.7614999999999998</v>
      </c>
      <c r="M18" s="9">
        <f>'Macao Daily'!K21</f>
        <v>199</v>
      </c>
      <c r="N18" s="9">
        <f>'Macao Daily'!L21</f>
        <v>886</v>
      </c>
    </row>
    <row r="19" spans="1:14" ht="15" x14ac:dyDescent="0.25">
      <c r="A19" s="6" t="s">
        <v>13</v>
      </c>
      <c r="B19" s="7">
        <f t="shared" si="0"/>
        <v>18</v>
      </c>
      <c r="C19" s="8">
        <v>2</v>
      </c>
      <c r="D19" s="7">
        <v>2021</v>
      </c>
      <c r="E19" s="9">
        <f>'Macao Daily'!D22</f>
        <v>36459</v>
      </c>
      <c r="F19" s="36">
        <v>1.1415999999999999</v>
      </c>
      <c r="G19" s="9">
        <f>'Macao Daily'!F22</f>
        <v>113</v>
      </c>
      <c r="H19" s="36">
        <v>7.2606000000000002</v>
      </c>
      <c r="I19" s="9">
        <f>'Macao Daily'!H22</f>
        <v>19773</v>
      </c>
      <c r="J19" s="36">
        <v>0.13</v>
      </c>
      <c r="K19" s="9">
        <f>'Macao Daily'!J22</f>
        <v>0</v>
      </c>
      <c r="L19" s="36">
        <v>7.7614999999999998</v>
      </c>
      <c r="M19" s="9">
        <f>'Macao Daily'!K22</f>
        <v>165</v>
      </c>
      <c r="N19" s="9">
        <f>'Macao Daily'!L22</f>
        <v>452</v>
      </c>
    </row>
    <row r="20" spans="1:14" ht="15" x14ac:dyDescent="0.25">
      <c r="A20" s="6" t="s">
        <v>13</v>
      </c>
      <c r="B20" s="7">
        <f t="shared" si="0"/>
        <v>19</v>
      </c>
      <c r="C20" s="8">
        <v>2</v>
      </c>
      <c r="D20" s="7">
        <v>2021</v>
      </c>
      <c r="E20" s="9">
        <f>'Macao Daily'!D23</f>
        <v>35739</v>
      </c>
      <c r="F20" s="36">
        <v>1.1415999999999999</v>
      </c>
      <c r="G20" s="9">
        <f>'Macao Daily'!F23</f>
        <v>107</v>
      </c>
      <c r="H20" s="36">
        <v>7.2606000000000002</v>
      </c>
      <c r="I20" s="9">
        <f>'Macao Daily'!H23</f>
        <v>19711</v>
      </c>
      <c r="J20" s="36">
        <v>0.13</v>
      </c>
      <c r="K20" s="9">
        <f>'Macao Daily'!J23</f>
        <v>0</v>
      </c>
      <c r="L20" s="36">
        <v>7.7614999999999998</v>
      </c>
      <c r="M20" s="9">
        <f>'Macao Daily'!K23</f>
        <v>187</v>
      </c>
      <c r="N20" s="9">
        <f>'Macao Daily'!L23</f>
        <v>504</v>
      </c>
    </row>
    <row r="21" spans="1:14" ht="15" x14ac:dyDescent="0.25">
      <c r="A21" s="6" t="s">
        <v>13</v>
      </c>
      <c r="B21" s="7">
        <f t="shared" si="0"/>
        <v>20</v>
      </c>
      <c r="C21" s="8">
        <v>2</v>
      </c>
      <c r="D21" s="7">
        <v>2021</v>
      </c>
      <c r="E21" s="9">
        <f>'Macao Daily'!D24</f>
        <v>33230</v>
      </c>
      <c r="F21" s="36">
        <v>1.1415999999999999</v>
      </c>
      <c r="G21" s="9">
        <f>'Macao Daily'!F24</f>
        <v>95</v>
      </c>
      <c r="H21" s="36">
        <v>7.2606000000000002</v>
      </c>
      <c r="I21" s="9">
        <f>'Macao Daily'!H24</f>
        <v>20868</v>
      </c>
      <c r="J21" s="36">
        <v>0.13</v>
      </c>
      <c r="K21" s="9">
        <f>'Macao Daily'!J24</f>
        <v>0</v>
      </c>
      <c r="L21" s="36">
        <v>7.7614999999999998</v>
      </c>
      <c r="M21" s="9">
        <f>'Macao Daily'!K24</f>
        <v>177</v>
      </c>
      <c r="N21" s="9">
        <f>'Macao Daily'!L24</f>
        <v>500</v>
      </c>
    </row>
    <row r="22" spans="1:14" ht="15" x14ac:dyDescent="0.25">
      <c r="A22" s="6" t="s">
        <v>13</v>
      </c>
      <c r="B22" s="7">
        <f t="shared" si="0"/>
        <v>21</v>
      </c>
      <c r="C22" s="8">
        <v>2</v>
      </c>
      <c r="D22" s="7">
        <v>2021</v>
      </c>
      <c r="E22" s="9">
        <f>'Macao Daily'!D25</f>
        <v>34941</v>
      </c>
      <c r="F22" s="36">
        <v>1.1415999999999999</v>
      </c>
      <c r="G22" s="9">
        <f>'Macao Daily'!F25</f>
        <v>111</v>
      </c>
      <c r="H22" s="36">
        <v>7.2606000000000002</v>
      </c>
      <c r="I22" s="9">
        <f>'Macao Daily'!H25</f>
        <v>23531</v>
      </c>
      <c r="J22" s="36">
        <v>0.13</v>
      </c>
      <c r="K22" s="9">
        <f>'Macao Daily'!J25</f>
        <v>0</v>
      </c>
      <c r="L22" s="36">
        <v>7.7614999999999998</v>
      </c>
      <c r="M22" s="9">
        <f>'Macao Daily'!K25</f>
        <v>121</v>
      </c>
      <c r="N22" s="9">
        <f>'Macao Daily'!L25</f>
        <v>617</v>
      </c>
    </row>
    <row r="23" spans="1:14" ht="15" x14ac:dyDescent="0.25">
      <c r="A23" s="6" t="s">
        <v>13</v>
      </c>
      <c r="B23" s="7">
        <f t="shared" si="0"/>
        <v>22</v>
      </c>
      <c r="C23" s="8">
        <v>2</v>
      </c>
      <c r="D23" s="7">
        <v>2021</v>
      </c>
      <c r="E23" s="9">
        <f>'Macao Daily'!D26</f>
        <v>34768</v>
      </c>
      <c r="F23" s="36">
        <v>1.1415999999999999</v>
      </c>
      <c r="G23" s="9">
        <f>'Macao Daily'!F26</f>
        <v>87</v>
      </c>
      <c r="H23" s="36">
        <v>7.2606000000000002</v>
      </c>
      <c r="I23" s="9">
        <f>'Macao Daily'!H26</f>
        <v>26219</v>
      </c>
      <c r="J23" s="36">
        <v>0.13</v>
      </c>
      <c r="K23" s="9">
        <f>'Macao Daily'!J26</f>
        <v>0</v>
      </c>
      <c r="L23" s="36">
        <v>7.7614999999999998</v>
      </c>
      <c r="M23" s="9">
        <f>'Macao Daily'!K26</f>
        <v>113</v>
      </c>
      <c r="N23" s="9">
        <f>'Macao Daily'!L26</f>
        <v>340</v>
      </c>
    </row>
    <row r="24" spans="1:14" ht="15" x14ac:dyDescent="0.25">
      <c r="A24" s="6" t="s">
        <v>13</v>
      </c>
      <c r="B24" s="7">
        <f t="shared" si="0"/>
        <v>23</v>
      </c>
      <c r="C24" s="8">
        <v>2</v>
      </c>
      <c r="D24" s="7">
        <v>2021</v>
      </c>
      <c r="E24" s="9">
        <f>'Macao Daily'!D27</f>
        <v>32560</v>
      </c>
      <c r="F24" s="36">
        <v>1.1415999999999999</v>
      </c>
      <c r="G24" s="9">
        <f>'Macao Daily'!F27</f>
        <v>70</v>
      </c>
      <c r="H24" s="36">
        <v>7.2606000000000002</v>
      </c>
      <c r="I24" s="9">
        <f>'Macao Daily'!H27</f>
        <v>26703</v>
      </c>
      <c r="J24" s="36">
        <v>0.13</v>
      </c>
      <c r="K24" s="9">
        <f>'Macao Daily'!J27</f>
        <v>0</v>
      </c>
      <c r="L24" s="36">
        <v>7.7614999999999998</v>
      </c>
      <c r="M24" s="9">
        <f>'Macao Daily'!K27</f>
        <v>106</v>
      </c>
      <c r="N24" s="9">
        <f>'Macao Daily'!L27</f>
        <v>199</v>
      </c>
    </row>
    <row r="25" spans="1:14" ht="15" x14ac:dyDescent="0.25">
      <c r="A25" s="6" t="s">
        <v>13</v>
      </c>
      <c r="B25" s="7">
        <f t="shared" si="0"/>
        <v>24</v>
      </c>
      <c r="C25" s="8">
        <v>2</v>
      </c>
      <c r="D25" s="7">
        <v>2021</v>
      </c>
      <c r="E25" s="9">
        <f>'Macao Daily'!D28</f>
        <v>31362</v>
      </c>
      <c r="F25" s="36">
        <v>1.1415999999999999</v>
      </c>
      <c r="G25" s="9">
        <f>'Macao Daily'!F28</f>
        <v>62</v>
      </c>
      <c r="H25" s="36">
        <v>7.2606000000000002</v>
      </c>
      <c r="I25" s="9">
        <f>'Macao Daily'!H28</f>
        <v>23226</v>
      </c>
      <c r="J25" s="36">
        <v>0.13</v>
      </c>
      <c r="K25" s="9">
        <f>'Macao Daily'!J28</f>
        <v>0</v>
      </c>
      <c r="L25" s="36">
        <v>7.7614999999999998</v>
      </c>
      <c r="M25" s="9">
        <f>'Macao Daily'!K28</f>
        <v>99</v>
      </c>
      <c r="N25" s="9">
        <f>'Macao Daily'!L28</f>
        <v>194</v>
      </c>
    </row>
    <row r="26" spans="1:14" ht="15" x14ac:dyDescent="0.25">
      <c r="A26" s="6" t="s">
        <v>13</v>
      </c>
      <c r="B26" s="7">
        <f>B25+1</f>
        <v>25</v>
      </c>
      <c r="C26" s="8">
        <v>2</v>
      </c>
      <c r="D26" s="7">
        <v>2021</v>
      </c>
      <c r="E26" s="9">
        <f>'Macao Daily'!D29</f>
        <v>32557</v>
      </c>
      <c r="F26" s="36">
        <v>1.1415999999999999</v>
      </c>
      <c r="G26" s="9">
        <f>'Macao Daily'!F29</f>
        <v>75</v>
      </c>
      <c r="H26" s="36">
        <v>7.2606000000000002</v>
      </c>
      <c r="I26" s="9">
        <f>'Macao Daily'!H29</f>
        <v>27102</v>
      </c>
      <c r="J26" s="36">
        <v>0.13</v>
      </c>
      <c r="K26" s="9">
        <f>'Macao Daily'!J29</f>
        <v>0</v>
      </c>
      <c r="L26" s="36">
        <v>7.7614999999999998</v>
      </c>
      <c r="M26" s="9">
        <f>'Macao Daily'!K29</f>
        <v>106</v>
      </c>
      <c r="N26" s="9">
        <f>'Macao Daily'!L29</f>
        <v>239</v>
      </c>
    </row>
    <row r="27" spans="1:14" ht="15" x14ac:dyDescent="0.25">
      <c r="A27" s="6" t="s">
        <v>13</v>
      </c>
      <c r="B27" s="7">
        <f t="shared" si="0"/>
        <v>26</v>
      </c>
      <c r="C27" s="8">
        <v>2</v>
      </c>
      <c r="D27" s="7">
        <v>2021</v>
      </c>
      <c r="E27" s="9">
        <f>'Macao Daily'!D30</f>
        <v>32980</v>
      </c>
      <c r="F27" s="36">
        <v>1.1415999999999999</v>
      </c>
      <c r="G27" s="9">
        <f>'Macao Daily'!F30</f>
        <v>98</v>
      </c>
      <c r="H27" s="36">
        <v>7.2606000000000002</v>
      </c>
      <c r="I27" s="9">
        <f>'Macao Daily'!H30</f>
        <v>29851</v>
      </c>
      <c r="J27" s="36">
        <v>0.13</v>
      </c>
      <c r="K27" s="9">
        <f>'Macao Daily'!J30</f>
        <v>0</v>
      </c>
      <c r="L27" s="36">
        <v>7.7614999999999998</v>
      </c>
      <c r="M27" s="9">
        <f>'Macao Daily'!K30</f>
        <v>137</v>
      </c>
      <c r="N27" s="9">
        <f>'Macao Daily'!L30</f>
        <v>235</v>
      </c>
    </row>
    <row r="28" spans="1:14" ht="15" x14ac:dyDescent="0.25">
      <c r="A28" s="6" t="s">
        <v>13</v>
      </c>
      <c r="B28" s="7">
        <f t="shared" si="0"/>
        <v>27</v>
      </c>
      <c r="C28" s="8">
        <v>2</v>
      </c>
      <c r="D28" s="7">
        <v>2021</v>
      </c>
      <c r="E28" s="9">
        <f>'Macao Daily'!D31</f>
        <v>33425</v>
      </c>
      <c r="F28" s="36">
        <v>1.1415999999999999</v>
      </c>
      <c r="G28" s="9">
        <f>'Macao Daily'!F31</f>
        <v>115</v>
      </c>
      <c r="H28" s="36">
        <v>7.2606000000000002</v>
      </c>
      <c r="I28" s="9">
        <f>'Macao Daily'!H31</f>
        <v>24789</v>
      </c>
      <c r="J28" s="36">
        <v>0.13</v>
      </c>
      <c r="K28" s="9">
        <f>'Macao Daily'!J31</f>
        <v>0</v>
      </c>
      <c r="L28" s="36">
        <v>7.7614999999999998</v>
      </c>
      <c r="M28" s="9">
        <f>'Macao Daily'!K31</f>
        <v>179</v>
      </c>
      <c r="N28" s="9">
        <f>'Macao Daily'!L31</f>
        <v>657</v>
      </c>
    </row>
    <row r="29" spans="1:14" ht="15" x14ac:dyDescent="0.25">
      <c r="A29" s="6" t="s">
        <v>13</v>
      </c>
      <c r="B29" s="7">
        <f t="shared" si="0"/>
        <v>28</v>
      </c>
      <c r="C29" s="8">
        <v>2</v>
      </c>
      <c r="D29" s="7">
        <v>2021</v>
      </c>
      <c r="E29" s="9">
        <f>'Macao Daily'!D32</f>
        <v>34111</v>
      </c>
      <c r="F29" s="36">
        <v>1.1415999999999999</v>
      </c>
      <c r="G29" s="9">
        <f>'Macao Daily'!F32</f>
        <v>95</v>
      </c>
      <c r="H29" s="36">
        <v>7.2606000000000002</v>
      </c>
      <c r="I29" s="9">
        <f>'Macao Daily'!H32</f>
        <v>27204</v>
      </c>
      <c r="J29" s="36">
        <v>0.13</v>
      </c>
      <c r="K29" s="9">
        <f>'Macao Daily'!J32</f>
        <v>0</v>
      </c>
      <c r="L29" s="36">
        <v>7.7614999999999998</v>
      </c>
      <c r="M29" s="9">
        <f>'Macao Daily'!K32</f>
        <v>129</v>
      </c>
      <c r="N29" s="9">
        <f>'Macao Daily'!L32</f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2"/>
  <sheetViews>
    <sheetView zoomScale="85" zoomScaleNormal="85" workbookViewId="0">
      <pane xSplit="1" topLeftCell="B1" activePane="topRight" state="frozen"/>
      <selection pane="topRight" activeCell="C4" sqref="C4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31" bestFit="1" customWidth="1"/>
    <col min="4" max="4" width="13.5703125" style="32" customWidth="1"/>
    <col min="5" max="5" width="14.85546875" style="13" customWidth="1"/>
    <col min="6" max="8" width="14.85546875" style="31" customWidth="1"/>
    <col min="9" max="9" width="8.85546875" style="13" customWidth="1"/>
    <col min="10" max="10" width="12.5703125" style="13" customWidth="1"/>
    <col min="11" max="12" width="13" style="33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44227</v>
      </c>
      <c r="B4" s="38"/>
      <c r="C4" s="23">
        <v>147331710</v>
      </c>
      <c r="D4" s="24"/>
      <c r="E4" s="23">
        <v>518557</v>
      </c>
      <c r="F4" s="25"/>
      <c r="G4" s="23">
        <v>94660433</v>
      </c>
      <c r="H4" s="25"/>
      <c r="I4" s="23">
        <v>0</v>
      </c>
      <c r="K4" s="27"/>
      <c r="L4" s="27"/>
    </row>
    <row r="5" spans="1:12" ht="33" customHeight="1" x14ac:dyDescent="0.25">
      <c r="A5" s="28">
        <v>44228</v>
      </c>
      <c r="B5" s="38"/>
      <c r="C5" s="29">
        <v>147366218</v>
      </c>
      <c r="D5" s="30">
        <f t="shared" ref="D5:D19" si="0">IF((C5-C4&lt;0), "0",C5-C4)</f>
        <v>34508</v>
      </c>
      <c r="E5" s="29">
        <v>518647</v>
      </c>
      <c r="F5" s="30">
        <f>IF((E5-E4&lt;0), "0",E5-E4)</f>
        <v>90</v>
      </c>
      <c r="G5" s="29">
        <v>94679714</v>
      </c>
      <c r="H5" s="30">
        <f>IF((G5-G4&lt;0), "0",G5-G4)</f>
        <v>19281</v>
      </c>
      <c r="I5" s="29">
        <v>0</v>
      </c>
      <c r="J5" s="30">
        <f>IF((I5-I4&lt;0), "0",I5-I4)</f>
        <v>0</v>
      </c>
      <c r="K5" s="37">
        <v>76</v>
      </c>
      <c r="L5" s="37">
        <v>224</v>
      </c>
    </row>
    <row r="6" spans="1:12" ht="45" customHeight="1" x14ac:dyDescent="0.25">
      <c r="A6" s="28">
        <v>44229</v>
      </c>
      <c r="B6" s="38"/>
      <c r="C6" s="29">
        <v>147398765</v>
      </c>
      <c r="D6" s="30">
        <f t="shared" si="0"/>
        <v>32547</v>
      </c>
      <c r="E6" s="29">
        <v>518719</v>
      </c>
      <c r="F6" s="30">
        <f t="shared" ref="F6:F19" si="1">IF((E6-E5&lt;0), "0",E6-E5)</f>
        <v>72</v>
      </c>
      <c r="G6" s="29">
        <v>94700035</v>
      </c>
      <c r="H6" s="30">
        <f t="shared" ref="H6:H32" si="2">IF((G6-G5&lt;0), "0",G6-G5)</f>
        <v>20321</v>
      </c>
      <c r="I6" s="29">
        <v>0</v>
      </c>
      <c r="J6" s="30">
        <f t="shared" ref="J6:J32" si="3">IF((I6-I5&lt;0), "0",I6-I5)</f>
        <v>0</v>
      </c>
      <c r="K6" s="37">
        <v>86</v>
      </c>
      <c r="L6" s="37">
        <v>211</v>
      </c>
    </row>
    <row r="7" spans="1:12" ht="45" customHeight="1" x14ac:dyDescent="0.25">
      <c r="A7" s="28">
        <v>44230</v>
      </c>
      <c r="B7" s="38"/>
      <c r="C7" s="29">
        <v>147432440</v>
      </c>
      <c r="D7" s="30">
        <f t="shared" si="0"/>
        <v>33675</v>
      </c>
      <c r="E7" s="29">
        <v>518793</v>
      </c>
      <c r="F7" s="30">
        <f t="shared" si="1"/>
        <v>74</v>
      </c>
      <c r="G7" s="29">
        <v>94718878</v>
      </c>
      <c r="H7" s="30">
        <f t="shared" si="2"/>
        <v>18843</v>
      </c>
      <c r="I7" s="29">
        <v>0</v>
      </c>
      <c r="J7" s="30">
        <f t="shared" si="3"/>
        <v>0</v>
      </c>
      <c r="K7" s="37">
        <v>89</v>
      </c>
      <c r="L7" s="37">
        <v>177</v>
      </c>
    </row>
    <row r="8" spans="1:12" ht="45" customHeight="1" x14ac:dyDescent="0.25">
      <c r="A8" s="28">
        <v>44231</v>
      </c>
      <c r="B8" s="38"/>
      <c r="C8" s="29">
        <v>147468517</v>
      </c>
      <c r="D8" s="30">
        <f t="shared" si="0"/>
        <v>36077</v>
      </c>
      <c r="E8" s="29">
        <v>518894</v>
      </c>
      <c r="F8" s="30">
        <f t="shared" si="1"/>
        <v>101</v>
      </c>
      <c r="G8" s="29">
        <v>94739824</v>
      </c>
      <c r="H8" s="30">
        <f t="shared" si="2"/>
        <v>20946</v>
      </c>
      <c r="I8" s="29">
        <v>0</v>
      </c>
      <c r="J8" s="30">
        <f t="shared" si="3"/>
        <v>0</v>
      </c>
      <c r="K8" s="37">
        <v>86</v>
      </c>
      <c r="L8" s="37">
        <v>199</v>
      </c>
    </row>
    <row r="9" spans="1:12" ht="45" customHeight="1" x14ac:dyDescent="0.25">
      <c r="A9" s="28">
        <v>44232</v>
      </c>
      <c r="B9" s="38"/>
      <c r="C9" s="29">
        <v>147505183</v>
      </c>
      <c r="D9" s="30">
        <f t="shared" si="0"/>
        <v>36666</v>
      </c>
      <c r="E9" s="29">
        <v>519017</v>
      </c>
      <c r="F9" s="30">
        <f t="shared" si="1"/>
        <v>123</v>
      </c>
      <c r="G9" s="29">
        <v>94761886</v>
      </c>
      <c r="H9" s="30">
        <f t="shared" si="2"/>
        <v>22062</v>
      </c>
      <c r="I9" s="29">
        <v>0</v>
      </c>
      <c r="J9" s="30">
        <f t="shared" si="3"/>
        <v>0</v>
      </c>
      <c r="K9" s="37">
        <v>110</v>
      </c>
      <c r="L9" s="37">
        <v>622</v>
      </c>
    </row>
    <row r="10" spans="1:12" ht="45" customHeight="1" x14ac:dyDescent="0.25">
      <c r="A10" s="28">
        <v>44233</v>
      </c>
      <c r="B10" s="38"/>
      <c r="C10" s="29">
        <v>147542367</v>
      </c>
      <c r="D10" s="30">
        <f t="shared" si="0"/>
        <v>37184</v>
      </c>
      <c r="E10" s="29">
        <v>519125</v>
      </c>
      <c r="F10" s="30">
        <f t="shared" si="1"/>
        <v>108</v>
      </c>
      <c r="G10" s="29">
        <v>94786019</v>
      </c>
      <c r="H10" s="30">
        <f t="shared" si="2"/>
        <v>24133</v>
      </c>
      <c r="I10" s="29">
        <v>0</v>
      </c>
      <c r="J10" s="30">
        <f t="shared" si="3"/>
        <v>0</v>
      </c>
      <c r="K10" s="37">
        <v>122</v>
      </c>
      <c r="L10" s="37">
        <v>450</v>
      </c>
    </row>
    <row r="11" spans="1:12" ht="45" customHeight="1" x14ac:dyDescent="0.25">
      <c r="A11" s="28">
        <v>44234</v>
      </c>
      <c r="B11" s="38"/>
      <c r="C11" s="29">
        <v>147577252</v>
      </c>
      <c r="D11" s="30">
        <f t="shared" si="0"/>
        <v>34885</v>
      </c>
      <c r="E11" s="29">
        <v>519228</v>
      </c>
      <c r="F11" s="30">
        <f t="shared" si="1"/>
        <v>103</v>
      </c>
      <c r="G11" s="29">
        <v>94807253</v>
      </c>
      <c r="H11" s="30">
        <f t="shared" si="2"/>
        <v>21234</v>
      </c>
      <c r="I11" s="29">
        <v>0</v>
      </c>
      <c r="J11" s="30">
        <f t="shared" si="3"/>
        <v>0</v>
      </c>
      <c r="K11" s="37">
        <v>104</v>
      </c>
      <c r="L11" s="37">
        <v>607</v>
      </c>
    </row>
    <row r="12" spans="1:12" ht="45" customHeight="1" x14ac:dyDescent="0.25">
      <c r="A12" s="28">
        <v>44235</v>
      </c>
      <c r="B12" s="38"/>
      <c r="C12" s="29">
        <v>147611537</v>
      </c>
      <c r="D12" s="30">
        <f t="shared" si="0"/>
        <v>34285</v>
      </c>
      <c r="E12" s="29">
        <v>519333</v>
      </c>
      <c r="F12" s="30">
        <f t="shared" si="1"/>
        <v>105</v>
      </c>
      <c r="G12" s="29">
        <v>94827808</v>
      </c>
      <c r="H12" s="30">
        <f t="shared" si="2"/>
        <v>20555</v>
      </c>
      <c r="I12" s="29">
        <v>0</v>
      </c>
      <c r="J12" s="30">
        <f t="shared" si="3"/>
        <v>0</v>
      </c>
      <c r="K12" s="37">
        <v>111</v>
      </c>
      <c r="L12" s="37">
        <v>354</v>
      </c>
    </row>
    <row r="13" spans="1:12" ht="45" customHeight="1" x14ac:dyDescent="0.25">
      <c r="A13" s="28">
        <v>44236</v>
      </c>
      <c r="B13" s="38"/>
      <c r="C13" s="29">
        <v>147645643</v>
      </c>
      <c r="D13" s="30">
        <f t="shared" si="0"/>
        <v>34106</v>
      </c>
      <c r="E13" s="29">
        <v>519438</v>
      </c>
      <c r="F13" s="30">
        <f t="shared" si="1"/>
        <v>105</v>
      </c>
      <c r="G13" s="29">
        <v>94845214</v>
      </c>
      <c r="H13" s="30">
        <f t="shared" si="2"/>
        <v>17406</v>
      </c>
      <c r="I13" s="29">
        <v>0</v>
      </c>
      <c r="J13" s="30">
        <f t="shared" si="3"/>
        <v>0</v>
      </c>
      <c r="K13" s="37">
        <v>94</v>
      </c>
      <c r="L13" s="37">
        <v>396</v>
      </c>
    </row>
    <row r="14" spans="1:12" ht="45" customHeight="1" x14ac:dyDescent="0.25">
      <c r="A14" s="28">
        <v>44237</v>
      </c>
      <c r="B14" s="38"/>
      <c r="C14" s="29">
        <v>147680072</v>
      </c>
      <c r="D14" s="30">
        <f t="shared" si="0"/>
        <v>34429</v>
      </c>
      <c r="E14" s="29">
        <v>519552</v>
      </c>
      <c r="F14" s="30">
        <f t="shared" si="1"/>
        <v>114</v>
      </c>
      <c r="G14" s="29">
        <v>94861199</v>
      </c>
      <c r="H14" s="30">
        <f t="shared" si="2"/>
        <v>15985</v>
      </c>
      <c r="I14" s="29">
        <v>0</v>
      </c>
      <c r="J14" s="30">
        <f t="shared" si="3"/>
        <v>0</v>
      </c>
      <c r="K14" s="37">
        <v>103</v>
      </c>
      <c r="L14" s="37">
        <v>452</v>
      </c>
    </row>
    <row r="15" spans="1:12" ht="45" customHeight="1" x14ac:dyDescent="0.25">
      <c r="A15" s="28">
        <v>44238</v>
      </c>
      <c r="B15" s="38"/>
      <c r="C15" s="29">
        <v>147713295</v>
      </c>
      <c r="D15" s="30">
        <f t="shared" si="0"/>
        <v>33223</v>
      </c>
      <c r="E15" s="29">
        <v>519667</v>
      </c>
      <c r="F15" s="30">
        <f t="shared" si="1"/>
        <v>115</v>
      </c>
      <c r="G15" s="29">
        <v>94876449</v>
      </c>
      <c r="H15" s="30">
        <f t="shared" si="2"/>
        <v>15250</v>
      </c>
      <c r="I15" s="29">
        <v>0</v>
      </c>
      <c r="J15" s="30">
        <f t="shared" si="3"/>
        <v>0</v>
      </c>
      <c r="K15" s="37">
        <v>96</v>
      </c>
      <c r="L15" s="37">
        <v>516</v>
      </c>
    </row>
    <row r="16" spans="1:12" ht="45" customHeight="1" x14ac:dyDescent="0.25">
      <c r="A16" s="28">
        <v>44239</v>
      </c>
      <c r="B16" s="38"/>
      <c r="C16" s="29">
        <v>147746821</v>
      </c>
      <c r="D16" s="30">
        <f t="shared" si="0"/>
        <v>33526</v>
      </c>
      <c r="E16" s="29">
        <v>519766</v>
      </c>
      <c r="F16" s="30">
        <f t="shared" si="1"/>
        <v>99</v>
      </c>
      <c r="G16" s="29">
        <v>94893652</v>
      </c>
      <c r="H16" s="30">
        <f t="shared" si="2"/>
        <v>17203</v>
      </c>
      <c r="I16" s="29">
        <v>0</v>
      </c>
      <c r="J16" s="30">
        <f t="shared" si="3"/>
        <v>0</v>
      </c>
      <c r="K16" s="37">
        <v>101</v>
      </c>
      <c r="L16" s="37">
        <v>643</v>
      </c>
    </row>
    <row r="17" spans="1:12" ht="45" customHeight="1" x14ac:dyDescent="0.25">
      <c r="A17" s="28">
        <v>44240</v>
      </c>
      <c r="B17" s="38"/>
      <c r="C17" s="29">
        <v>147781989</v>
      </c>
      <c r="D17" s="30">
        <f t="shared" si="0"/>
        <v>35168</v>
      </c>
      <c r="E17" s="29">
        <v>519879</v>
      </c>
      <c r="F17" s="30">
        <f t="shared" si="1"/>
        <v>113</v>
      </c>
      <c r="G17" s="29">
        <v>94911574</v>
      </c>
      <c r="H17" s="30">
        <f t="shared" si="2"/>
        <v>17922</v>
      </c>
      <c r="I17" s="29">
        <v>0</v>
      </c>
      <c r="J17" s="30">
        <f t="shared" si="3"/>
        <v>0</v>
      </c>
      <c r="K17" s="37">
        <v>149</v>
      </c>
      <c r="L17" s="37">
        <v>766</v>
      </c>
    </row>
    <row r="18" spans="1:12" ht="45" customHeight="1" x14ac:dyDescent="0.25">
      <c r="A18" s="28">
        <v>44241</v>
      </c>
      <c r="B18" s="38"/>
      <c r="C18" s="29">
        <v>147816332</v>
      </c>
      <c r="D18" s="30">
        <f t="shared" si="0"/>
        <v>34343</v>
      </c>
      <c r="E18" s="29">
        <v>520000</v>
      </c>
      <c r="F18" s="30">
        <f t="shared" si="1"/>
        <v>121</v>
      </c>
      <c r="G18" s="29">
        <v>94931253</v>
      </c>
      <c r="H18" s="30">
        <f t="shared" si="2"/>
        <v>19679</v>
      </c>
      <c r="I18" s="29">
        <v>0</v>
      </c>
      <c r="J18" s="30">
        <f t="shared" si="3"/>
        <v>0</v>
      </c>
      <c r="K18" s="37">
        <v>212</v>
      </c>
      <c r="L18" s="37">
        <v>1107</v>
      </c>
    </row>
    <row r="19" spans="1:12" ht="45" customHeight="1" x14ac:dyDescent="0.25">
      <c r="A19" s="28">
        <v>44242</v>
      </c>
      <c r="B19" s="38"/>
      <c r="C19" s="29">
        <v>147851613</v>
      </c>
      <c r="D19" s="30">
        <f t="shared" si="0"/>
        <v>35281</v>
      </c>
      <c r="E19" s="29">
        <v>520118</v>
      </c>
      <c r="F19" s="30">
        <f t="shared" si="1"/>
        <v>118</v>
      </c>
      <c r="G19" s="29">
        <v>94951605</v>
      </c>
      <c r="H19" s="30">
        <f t="shared" si="2"/>
        <v>20352</v>
      </c>
      <c r="I19" s="29">
        <v>0</v>
      </c>
      <c r="J19" s="30">
        <f t="shared" si="3"/>
        <v>0</v>
      </c>
      <c r="K19" s="37">
        <v>236</v>
      </c>
      <c r="L19" s="37">
        <v>954</v>
      </c>
    </row>
    <row r="20" spans="1:12" ht="45" customHeight="1" x14ac:dyDescent="0.25">
      <c r="A20" s="28">
        <v>44243</v>
      </c>
      <c r="B20" s="38"/>
      <c r="C20" s="29">
        <v>147888082</v>
      </c>
      <c r="D20" s="30">
        <f t="shared" ref="D20:D32" si="4">IF((C20-C19&lt;0), "0",C20-C19)</f>
        <v>36469</v>
      </c>
      <c r="E20" s="29">
        <v>520243</v>
      </c>
      <c r="F20" s="30">
        <f t="shared" ref="F20:F32" si="5">IF((E20-E19&lt;0), "0",E20-E19)</f>
        <v>125</v>
      </c>
      <c r="G20" s="29">
        <v>94972402</v>
      </c>
      <c r="H20" s="30">
        <f t="shared" si="2"/>
        <v>20797</v>
      </c>
      <c r="I20" s="29">
        <v>0</v>
      </c>
      <c r="J20" s="30">
        <f t="shared" si="3"/>
        <v>0</v>
      </c>
      <c r="K20" s="37">
        <v>251</v>
      </c>
      <c r="L20" s="37">
        <v>906</v>
      </c>
    </row>
    <row r="21" spans="1:12" ht="45" customHeight="1" x14ac:dyDescent="0.25">
      <c r="A21" s="28">
        <v>44244</v>
      </c>
      <c r="B21" s="38"/>
      <c r="C21" s="29">
        <v>147925243</v>
      </c>
      <c r="D21" s="30">
        <f t="shared" si="4"/>
        <v>37161</v>
      </c>
      <c r="E21" s="29">
        <v>520366</v>
      </c>
      <c r="F21" s="30">
        <f t="shared" si="5"/>
        <v>123</v>
      </c>
      <c r="G21" s="29">
        <v>94995722</v>
      </c>
      <c r="H21" s="30">
        <f t="shared" si="2"/>
        <v>23320</v>
      </c>
      <c r="I21" s="29">
        <v>0</v>
      </c>
      <c r="J21" s="30">
        <f t="shared" si="3"/>
        <v>0</v>
      </c>
      <c r="K21" s="37">
        <v>199</v>
      </c>
      <c r="L21" s="37">
        <v>886</v>
      </c>
    </row>
    <row r="22" spans="1:12" ht="45" customHeight="1" x14ac:dyDescent="0.25">
      <c r="A22" s="28">
        <v>44245</v>
      </c>
      <c r="B22" s="38"/>
      <c r="C22" s="29">
        <v>147961702</v>
      </c>
      <c r="D22" s="30">
        <f t="shared" si="4"/>
        <v>36459</v>
      </c>
      <c r="E22" s="29">
        <v>520479</v>
      </c>
      <c r="F22" s="30">
        <f t="shared" si="5"/>
        <v>113</v>
      </c>
      <c r="G22" s="29">
        <v>95015495</v>
      </c>
      <c r="H22" s="30">
        <f t="shared" si="2"/>
        <v>19773</v>
      </c>
      <c r="I22" s="29">
        <v>0</v>
      </c>
      <c r="J22" s="30">
        <f t="shared" si="3"/>
        <v>0</v>
      </c>
      <c r="K22" s="37">
        <v>165</v>
      </c>
      <c r="L22" s="37">
        <v>452</v>
      </c>
    </row>
    <row r="23" spans="1:12" ht="45" customHeight="1" x14ac:dyDescent="0.25">
      <c r="A23" s="28">
        <v>44246</v>
      </c>
      <c r="B23" s="38"/>
      <c r="C23" s="29">
        <v>147997441</v>
      </c>
      <c r="D23" s="30">
        <f t="shared" si="4"/>
        <v>35739</v>
      </c>
      <c r="E23" s="29">
        <v>520586</v>
      </c>
      <c r="F23" s="30">
        <f t="shared" si="5"/>
        <v>107</v>
      </c>
      <c r="G23" s="29">
        <v>95035206</v>
      </c>
      <c r="H23" s="30">
        <f t="shared" si="2"/>
        <v>19711</v>
      </c>
      <c r="I23" s="29">
        <v>0</v>
      </c>
      <c r="J23" s="30">
        <f t="shared" si="3"/>
        <v>0</v>
      </c>
      <c r="K23" s="37">
        <v>187</v>
      </c>
      <c r="L23" s="37">
        <v>504</v>
      </c>
    </row>
    <row r="24" spans="1:12" ht="45" customHeight="1" x14ac:dyDescent="0.25">
      <c r="A24" s="28">
        <v>44247</v>
      </c>
      <c r="B24" s="38"/>
      <c r="C24" s="29">
        <v>148030671</v>
      </c>
      <c r="D24" s="30">
        <f t="shared" si="4"/>
        <v>33230</v>
      </c>
      <c r="E24" s="29">
        <v>520681</v>
      </c>
      <c r="F24" s="30">
        <f t="shared" si="5"/>
        <v>95</v>
      </c>
      <c r="G24" s="29">
        <v>95056074</v>
      </c>
      <c r="H24" s="30">
        <f t="shared" si="2"/>
        <v>20868</v>
      </c>
      <c r="I24" s="29">
        <v>0</v>
      </c>
      <c r="J24" s="30">
        <f t="shared" si="3"/>
        <v>0</v>
      </c>
      <c r="K24" s="37">
        <v>177</v>
      </c>
      <c r="L24" s="37">
        <v>500</v>
      </c>
    </row>
    <row r="25" spans="1:12" ht="45" customHeight="1" x14ac:dyDescent="0.25">
      <c r="A25" s="28">
        <v>44248</v>
      </c>
      <c r="B25" s="38"/>
      <c r="C25" s="29">
        <v>148065612</v>
      </c>
      <c r="D25" s="30">
        <f t="shared" si="4"/>
        <v>34941</v>
      </c>
      <c r="E25" s="29">
        <v>520792</v>
      </c>
      <c r="F25" s="30">
        <f t="shared" si="5"/>
        <v>111</v>
      </c>
      <c r="G25" s="29">
        <v>95079605</v>
      </c>
      <c r="H25" s="30">
        <f t="shared" si="2"/>
        <v>23531</v>
      </c>
      <c r="I25" s="29">
        <v>0</v>
      </c>
      <c r="J25" s="30">
        <f t="shared" si="3"/>
        <v>0</v>
      </c>
      <c r="K25" s="37">
        <v>121</v>
      </c>
      <c r="L25" s="37">
        <v>617</v>
      </c>
    </row>
    <row r="26" spans="1:12" ht="45" customHeight="1" x14ac:dyDescent="0.25">
      <c r="A26" s="28">
        <v>44249</v>
      </c>
      <c r="B26" s="38"/>
      <c r="C26" s="29">
        <v>148100380</v>
      </c>
      <c r="D26" s="30">
        <f t="shared" si="4"/>
        <v>34768</v>
      </c>
      <c r="E26" s="29">
        <v>520879</v>
      </c>
      <c r="F26" s="30">
        <f t="shared" si="5"/>
        <v>87</v>
      </c>
      <c r="G26" s="29">
        <v>95105824</v>
      </c>
      <c r="H26" s="30">
        <f t="shared" si="2"/>
        <v>26219</v>
      </c>
      <c r="I26" s="29">
        <v>0</v>
      </c>
      <c r="J26" s="30">
        <f t="shared" si="3"/>
        <v>0</v>
      </c>
      <c r="K26" s="37">
        <v>113</v>
      </c>
      <c r="L26" s="37">
        <v>340</v>
      </c>
    </row>
    <row r="27" spans="1:12" ht="45" customHeight="1" x14ac:dyDescent="0.25">
      <c r="A27" s="28">
        <v>44250</v>
      </c>
      <c r="B27" s="38"/>
      <c r="C27" s="29">
        <v>148132940</v>
      </c>
      <c r="D27" s="30">
        <f t="shared" si="4"/>
        <v>32560</v>
      </c>
      <c r="E27" s="29">
        <v>520949</v>
      </c>
      <c r="F27" s="30">
        <f t="shared" si="5"/>
        <v>70</v>
      </c>
      <c r="G27" s="29">
        <v>95132527</v>
      </c>
      <c r="H27" s="30">
        <f t="shared" si="2"/>
        <v>26703</v>
      </c>
      <c r="I27" s="29">
        <v>0</v>
      </c>
      <c r="J27" s="30">
        <f t="shared" si="3"/>
        <v>0</v>
      </c>
      <c r="K27" s="37">
        <v>106</v>
      </c>
      <c r="L27" s="37">
        <v>199</v>
      </c>
    </row>
    <row r="28" spans="1:12" ht="45" customHeight="1" x14ac:dyDescent="0.25">
      <c r="A28" s="28">
        <v>44251</v>
      </c>
      <c r="B28" s="38"/>
      <c r="C28" s="29">
        <v>148164302</v>
      </c>
      <c r="D28" s="30">
        <f t="shared" si="4"/>
        <v>31362</v>
      </c>
      <c r="E28" s="29">
        <v>521011</v>
      </c>
      <c r="F28" s="30">
        <f t="shared" si="5"/>
        <v>62</v>
      </c>
      <c r="G28" s="29">
        <v>95155753</v>
      </c>
      <c r="H28" s="30">
        <f t="shared" si="2"/>
        <v>23226</v>
      </c>
      <c r="I28" s="29">
        <v>0</v>
      </c>
      <c r="J28" s="30">
        <f t="shared" si="3"/>
        <v>0</v>
      </c>
      <c r="K28" s="37">
        <v>99</v>
      </c>
      <c r="L28" s="37">
        <v>194</v>
      </c>
    </row>
    <row r="29" spans="1:12" ht="45" customHeight="1" x14ac:dyDescent="0.25">
      <c r="A29" s="28">
        <v>44252</v>
      </c>
      <c r="B29" s="38"/>
      <c r="C29" s="29">
        <v>148196859</v>
      </c>
      <c r="D29" s="30">
        <f t="shared" si="4"/>
        <v>32557</v>
      </c>
      <c r="E29" s="29">
        <v>521086</v>
      </c>
      <c r="F29" s="30">
        <f t="shared" si="5"/>
        <v>75</v>
      </c>
      <c r="G29" s="29">
        <v>95182855</v>
      </c>
      <c r="H29" s="30">
        <f t="shared" si="2"/>
        <v>27102</v>
      </c>
      <c r="I29" s="29">
        <v>0</v>
      </c>
      <c r="J29" s="30">
        <f t="shared" si="3"/>
        <v>0</v>
      </c>
      <c r="K29" s="37">
        <v>106</v>
      </c>
      <c r="L29" s="37">
        <v>239</v>
      </c>
    </row>
    <row r="30" spans="1:12" ht="45" customHeight="1" x14ac:dyDescent="0.25">
      <c r="A30" s="28">
        <v>44253</v>
      </c>
      <c r="B30" s="38"/>
      <c r="C30" s="29">
        <v>148229839</v>
      </c>
      <c r="D30" s="30">
        <f t="shared" si="4"/>
        <v>32980</v>
      </c>
      <c r="E30" s="29">
        <v>521184</v>
      </c>
      <c r="F30" s="30">
        <f t="shared" si="5"/>
        <v>98</v>
      </c>
      <c r="G30" s="29">
        <v>95212706</v>
      </c>
      <c r="H30" s="30">
        <f t="shared" si="2"/>
        <v>29851</v>
      </c>
      <c r="I30" s="29">
        <v>0</v>
      </c>
      <c r="J30" s="30">
        <f t="shared" si="3"/>
        <v>0</v>
      </c>
      <c r="K30" s="37">
        <v>137</v>
      </c>
      <c r="L30" s="37">
        <v>235</v>
      </c>
    </row>
    <row r="31" spans="1:12" ht="45" customHeight="1" x14ac:dyDescent="0.25">
      <c r="A31" s="28">
        <v>44254</v>
      </c>
      <c r="B31" s="38"/>
      <c r="C31" s="29">
        <v>148263264</v>
      </c>
      <c r="D31" s="30">
        <f t="shared" si="4"/>
        <v>33425</v>
      </c>
      <c r="E31" s="29">
        <v>521299</v>
      </c>
      <c r="F31" s="30">
        <f t="shared" si="5"/>
        <v>115</v>
      </c>
      <c r="G31" s="29">
        <v>95237495</v>
      </c>
      <c r="H31" s="30">
        <f t="shared" si="2"/>
        <v>24789</v>
      </c>
      <c r="I31" s="29">
        <v>0</v>
      </c>
      <c r="J31" s="30">
        <f t="shared" si="3"/>
        <v>0</v>
      </c>
      <c r="K31" s="37">
        <v>179</v>
      </c>
      <c r="L31" s="37">
        <v>657</v>
      </c>
    </row>
    <row r="32" spans="1:12" ht="45" customHeight="1" x14ac:dyDescent="0.25">
      <c r="A32" s="28">
        <v>44255</v>
      </c>
      <c r="B32" s="38"/>
      <c r="C32" s="29">
        <v>148297375</v>
      </c>
      <c r="D32" s="30">
        <f t="shared" si="4"/>
        <v>34111</v>
      </c>
      <c r="E32" s="29">
        <v>521394</v>
      </c>
      <c r="F32" s="30">
        <f t="shared" si="5"/>
        <v>95</v>
      </c>
      <c r="G32" s="29">
        <v>95264699</v>
      </c>
      <c r="H32" s="30">
        <f t="shared" si="2"/>
        <v>27204</v>
      </c>
      <c r="I32" s="29">
        <v>0</v>
      </c>
      <c r="J32" s="30">
        <f t="shared" si="3"/>
        <v>0</v>
      </c>
      <c r="K32" s="37">
        <v>129</v>
      </c>
      <c r="L32" s="37">
        <v>462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2023-02-22T02:46:12Z</dcterms:modified>
  <cp:category/>
  <cp:contentStatus/>
</cp:coreProperties>
</file>