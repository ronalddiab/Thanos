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42" documentId="11_D6BFA7CBBD822FFC0FEEB54ABD200AD3E9BE17F0" xr6:coauthVersionLast="47" xr6:coauthVersionMax="47" xr10:uidLastSave="{05473E05-BDD2-4069-A7BF-68671582840F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May 2018" sheetId="14" r:id="rId2"/>
    <sheet name="RNs &amp; Covers May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0" i="14" l="1"/>
  <c r="V50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12" i="14"/>
  <c r="I42" i="14" l="1"/>
  <c r="B38" i="10"/>
  <c r="AG42" i="14"/>
  <c r="AD42" i="14"/>
  <c r="G32" i="11"/>
  <c r="V42" i="14"/>
  <c r="W42" i="14" s="1"/>
  <c r="Q42" i="14"/>
  <c r="N42" i="14"/>
  <c r="P42" i="14"/>
  <c r="E32" i="11" s="1"/>
  <c r="I32" i="11"/>
  <c r="J32" i="11"/>
  <c r="K32" i="11"/>
  <c r="H22" i="11"/>
  <c r="H23" i="11"/>
  <c r="H26" i="11"/>
  <c r="H27" i="11"/>
  <c r="G30" i="11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/>
  <c r="AD40" i="14"/>
  <c r="AG40" i="14"/>
  <c r="AG41" i="14"/>
  <c r="AD41" i="14"/>
  <c r="V40" i="14"/>
  <c r="W40" i="14" s="1"/>
  <c r="V41" i="14"/>
  <c r="W41" i="14" s="1"/>
  <c r="Q40" i="14"/>
  <c r="Q41" i="14"/>
  <c r="K31" i="11" s="1"/>
  <c r="P40" i="14"/>
  <c r="E30" i="11" s="1"/>
  <c r="P41" i="14"/>
  <c r="E31" i="11" s="1"/>
  <c r="I40" i="14"/>
  <c r="I41" i="14"/>
  <c r="I30" i="11"/>
  <c r="J30" i="11"/>
  <c r="K30" i="11"/>
  <c r="G31" i="11"/>
  <c r="H31" i="11"/>
  <c r="I31" i="11"/>
  <c r="J31" i="11"/>
  <c r="Q33" i="14"/>
  <c r="K23" i="11" s="1"/>
  <c r="Q34" i="14"/>
  <c r="K24" i="11" s="1"/>
  <c r="Q35" i="14"/>
  <c r="K25" i="11" s="1"/>
  <c r="Q36" i="14"/>
  <c r="Q37" i="14"/>
  <c r="K27" i="11" s="1"/>
  <c r="Q38" i="14"/>
  <c r="K28" i="11" s="1"/>
  <c r="Q39" i="14"/>
  <c r="K29" i="11" s="1"/>
  <c r="Q24" i="14"/>
  <c r="K14" i="11" s="1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/>
  <c r="AG32" i="14"/>
  <c r="AG33" i="14"/>
  <c r="AG34" i="14"/>
  <c r="AG35" i="14"/>
  <c r="AG36" i="14"/>
  <c r="AG37" i="14"/>
  <c r="AG38" i="14"/>
  <c r="AG39" i="14"/>
  <c r="AD31" i="14"/>
  <c r="AD32" i="14"/>
  <c r="AD33" i="14"/>
  <c r="AD34" i="14"/>
  <c r="AD35" i="14"/>
  <c r="AD36" i="14"/>
  <c r="AD37" i="14"/>
  <c r="AD38" i="14"/>
  <c r="AD39" i="14"/>
  <c r="H29" i="11"/>
  <c r="G29" i="11"/>
  <c r="H25" i="11"/>
  <c r="G25" i="11"/>
  <c r="H21" i="11"/>
  <c r="G21" i="11"/>
  <c r="H28" i="11"/>
  <c r="G28" i="11"/>
  <c r="G26" i="11"/>
  <c r="V31" i="14"/>
  <c r="V32" i="14"/>
  <c r="W32" i="14" s="1"/>
  <c r="V33" i="14"/>
  <c r="V34" i="14"/>
  <c r="W34" i="14" s="1"/>
  <c r="V35" i="14"/>
  <c r="V36" i="14"/>
  <c r="V37" i="14"/>
  <c r="V38" i="14"/>
  <c r="L28" i="11" s="1"/>
  <c r="V39" i="14"/>
  <c r="L29" i="11" s="1"/>
  <c r="Q31" i="14"/>
  <c r="L21" i="11" s="1"/>
  <c r="Q32" i="14"/>
  <c r="K22" i="11" s="1"/>
  <c r="K26" i="11"/>
  <c r="I39" i="14"/>
  <c r="I38" i="14"/>
  <c r="I37" i="14"/>
  <c r="I36" i="14"/>
  <c r="O36" i="14" s="1"/>
  <c r="I35" i="14"/>
  <c r="I34" i="14"/>
  <c r="I33" i="14"/>
  <c r="I32" i="14"/>
  <c r="I31" i="14"/>
  <c r="W31" i="14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W36" i="14"/>
  <c r="Q30" i="14"/>
  <c r="Q29" i="14"/>
  <c r="K19" i="11" s="1"/>
  <c r="Q28" i="14"/>
  <c r="K18" i="11" s="1"/>
  <c r="Q27" i="14"/>
  <c r="K17" i="11" s="1"/>
  <c r="Q26" i="14"/>
  <c r="K16" i="11" s="1"/>
  <c r="Q25" i="14"/>
  <c r="K15" i="11" s="1"/>
  <c r="Q23" i="14"/>
  <c r="K13" i="11" s="1"/>
  <c r="Q22" i="14"/>
  <c r="K12" i="11" s="1"/>
  <c r="Q21" i="14"/>
  <c r="Q20" i="14"/>
  <c r="K10" i="11" s="1"/>
  <c r="Q19" i="14"/>
  <c r="K9" i="11" s="1"/>
  <c r="Q18" i="14"/>
  <c r="K8" i="11" s="1"/>
  <c r="Q17" i="14"/>
  <c r="K7" i="11" s="1"/>
  <c r="Q16" i="14"/>
  <c r="K6" i="11" s="1"/>
  <c r="Q15" i="14"/>
  <c r="Q14" i="14"/>
  <c r="K4" i="11" s="1"/>
  <c r="Q13" i="14"/>
  <c r="Q12" i="14"/>
  <c r="K2" i="11" s="1"/>
  <c r="AE47" i="14"/>
  <c r="K11" i="11"/>
  <c r="K20" i="11"/>
  <c r="J7" i="11"/>
  <c r="I3" i="11"/>
  <c r="I5" i="11"/>
  <c r="I11" i="11"/>
  <c r="I13" i="11"/>
  <c r="I19" i="11"/>
  <c r="I20" i="11"/>
  <c r="I2" i="11"/>
  <c r="Y47" i="14"/>
  <c r="D47" i="14"/>
  <c r="C47" i="14"/>
  <c r="Z47" i="14"/>
  <c r="J20" i="11"/>
  <c r="I30" i="14"/>
  <c r="AG29" i="14"/>
  <c r="I29" i="14"/>
  <c r="O29" i="14" s="1"/>
  <c r="AG28" i="14"/>
  <c r="I28" i="14"/>
  <c r="I27" i="14"/>
  <c r="AG26" i="14"/>
  <c r="AD26" i="14"/>
  <c r="I26" i="14"/>
  <c r="AG25" i="14"/>
  <c r="I15" i="11"/>
  <c r="P25" i="14"/>
  <c r="E15" i="11" s="1"/>
  <c r="AG24" i="14"/>
  <c r="I24" i="14"/>
  <c r="AG23" i="14"/>
  <c r="P23" i="14"/>
  <c r="E13" i="11" s="1"/>
  <c r="I22" i="14"/>
  <c r="P21" i="14"/>
  <c r="AG20" i="14"/>
  <c r="V20" i="14"/>
  <c r="W20" i="14" s="1"/>
  <c r="I20" i="14"/>
  <c r="I9" i="11"/>
  <c r="V19" i="14"/>
  <c r="W19" i="14" s="1"/>
  <c r="AG18" i="14"/>
  <c r="P18" i="14"/>
  <c r="E8" i="11" s="1"/>
  <c r="I18" i="14"/>
  <c r="AG17" i="14"/>
  <c r="I7" i="11"/>
  <c r="P17" i="14"/>
  <c r="E7" i="11" s="1"/>
  <c r="AG16" i="14"/>
  <c r="I16" i="14"/>
  <c r="AG15" i="14"/>
  <c r="P15" i="14"/>
  <c r="E5" i="11" s="1"/>
  <c r="AG13" i="14"/>
  <c r="I12" i="14"/>
  <c r="H11" i="11"/>
  <c r="H5" i="11"/>
  <c r="G2" i="11"/>
  <c r="H7" i="11"/>
  <c r="H13" i="11"/>
  <c r="H3" i="11"/>
  <c r="E11" i="11"/>
  <c r="G8" i="11"/>
  <c r="H8" i="11"/>
  <c r="G9" i="11"/>
  <c r="H9" i="11"/>
  <c r="AD22" i="14"/>
  <c r="H12" i="11"/>
  <c r="AD24" i="14"/>
  <c r="H14" i="11"/>
  <c r="AD25" i="14"/>
  <c r="H15" i="11"/>
  <c r="G16" i="11"/>
  <c r="H16" i="11"/>
  <c r="AD28" i="14"/>
  <c r="H18" i="11"/>
  <c r="AD29" i="14"/>
  <c r="H19" i="11"/>
  <c r="AD30" i="14"/>
  <c r="H20" i="11"/>
  <c r="AD14" i="14"/>
  <c r="H4" i="11"/>
  <c r="AD16" i="14"/>
  <c r="H6" i="11"/>
  <c r="AD20" i="14"/>
  <c r="H10" i="11"/>
  <c r="AD27" i="14"/>
  <c r="H17" i="11"/>
  <c r="G20" i="11"/>
  <c r="G15" i="11"/>
  <c r="G14" i="11"/>
  <c r="J13" i="11"/>
  <c r="J14" i="11"/>
  <c r="AG30" i="14"/>
  <c r="J6" i="11"/>
  <c r="J5" i="11"/>
  <c r="G7" i="11"/>
  <c r="G11" i="11"/>
  <c r="AG27" i="14"/>
  <c r="J17" i="11"/>
  <c r="G13" i="11"/>
  <c r="J4" i="11"/>
  <c r="AG14" i="14"/>
  <c r="G5" i="11"/>
  <c r="G3" i="11"/>
  <c r="AG21" i="14"/>
  <c r="J11" i="11"/>
  <c r="J12" i="11"/>
  <c r="AG22" i="14"/>
  <c r="J47" i="14"/>
  <c r="G47" i="14"/>
  <c r="R47" i="14"/>
  <c r="V13" i="14"/>
  <c r="W13" i="14" s="1"/>
  <c r="V15" i="14"/>
  <c r="V17" i="14"/>
  <c r="V23" i="14"/>
  <c r="P27" i="14"/>
  <c r="E17" i="11" s="1"/>
  <c r="P29" i="14"/>
  <c r="P30" i="14"/>
  <c r="E20" i="11" s="1"/>
  <c r="J16" i="11"/>
  <c r="J8" i="11"/>
  <c r="K3" i="11"/>
  <c r="G6" i="11"/>
  <c r="I12" i="11"/>
  <c r="I4" i="11"/>
  <c r="J15" i="11"/>
  <c r="I19" i="14"/>
  <c r="G12" i="11"/>
  <c r="G4" i="11"/>
  <c r="I18" i="11"/>
  <c r="L47" i="14"/>
  <c r="P14" i="14"/>
  <c r="E4" i="11" s="1"/>
  <c r="P20" i="14"/>
  <c r="E10" i="11" s="1"/>
  <c r="P22" i="14"/>
  <c r="V29" i="14"/>
  <c r="W29" i="14" s="1"/>
  <c r="G19" i="11"/>
  <c r="I17" i="11"/>
  <c r="P13" i="14"/>
  <c r="E3" i="11" s="1"/>
  <c r="AA47" i="14"/>
  <c r="I10" i="11"/>
  <c r="M47" i="14"/>
  <c r="P16" i="14"/>
  <c r="I17" i="14"/>
  <c r="I21" i="14"/>
  <c r="V27" i="14"/>
  <c r="W27" i="14" s="1"/>
  <c r="G18" i="11"/>
  <c r="G10" i="11"/>
  <c r="I16" i="11"/>
  <c r="I8" i="11"/>
  <c r="J19" i="11"/>
  <c r="J3" i="11"/>
  <c r="K47" i="14"/>
  <c r="V24" i="14"/>
  <c r="W24" i="14" s="1"/>
  <c r="P26" i="14"/>
  <c r="E47" i="14"/>
  <c r="I13" i="14"/>
  <c r="I15" i="14"/>
  <c r="P19" i="14"/>
  <c r="E9" i="11" s="1"/>
  <c r="V21" i="14"/>
  <c r="L11" i="11" s="1"/>
  <c r="I23" i="14"/>
  <c r="P28" i="14"/>
  <c r="E18" i="11" s="1"/>
  <c r="G17" i="11"/>
  <c r="J18" i="11"/>
  <c r="J10" i="11"/>
  <c r="K5" i="11"/>
  <c r="V25" i="14"/>
  <c r="W25" i="14" s="1"/>
  <c r="F47" i="14"/>
  <c r="I14" i="14"/>
  <c r="O14" i="14" s="1"/>
  <c r="V14" i="14"/>
  <c r="W14" i="14" s="1"/>
  <c r="P24" i="14"/>
  <c r="E14" i="11" s="1"/>
  <c r="I25" i="14"/>
  <c r="I14" i="11"/>
  <c r="I6" i="11"/>
  <c r="V12" i="14"/>
  <c r="W12" i="14" s="1"/>
  <c r="H2" i="11"/>
  <c r="V18" i="14"/>
  <c r="W18" i="14" s="1"/>
  <c r="V26" i="14"/>
  <c r="W26" i="14" s="1"/>
  <c r="V22" i="14"/>
  <c r="W22" i="14" s="1"/>
  <c r="V30" i="14"/>
  <c r="W30" i="14" s="1"/>
  <c r="H47" i="14"/>
  <c r="P12" i="14"/>
  <c r="E2" i="11" s="1"/>
  <c r="V28" i="14"/>
  <c r="W28" i="14" s="1"/>
  <c r="J2" i="11"/>
  <c r="X47" i="14"/>
  <c r="E16" i="11"/>
  <c r="AD18" i="14"/>
  <c r="AD19" i="14"/>
  <c r="AD13" i="14"/>
  <c r="AD15" i="14"/>
  <c r="S47" i="14"/>
  <c r="AD21" i="14"/>
  <c r="W17" i="14"/>
  <c r="T47" i="14"/>
  <c r="AD23" i="14"/>
  <c r="AD17" i="14"/>
  <c r="AG19" i="14"/>
  <c r="J9" i="11"/>
  <c r="AF47" i="14"/>
  <c r="AG47" i="14" s="1"/>
  <c r="AG12" i="14"/>
  <c r="V16" i="14"/>
  <c r="W16" i="14" s="1"/>
  <c r="AC47" i="14"/>
  <c r="AD47" i="14" s="1"/>
  <c r="AD12" i="14"/>
  <c r="U47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O16" i="14" l="1"/>
  <c r="O34" i="14"/>
  <c r="L26" i="11"/>
  <c r="L7" i="11"/>
  <c r="L25" i="11"/>
  <c r="O12" i="14"/>
  <c r="O22" i="14"/>
  <c r="O30" i="14"/>
  <c r="O37" i="14"/>
  <c r="O35" i="14"/>
  <c r="O25" i="14"/>
  <c r="F15" i="11" s="1"/>
  <c r="O13" i="14"/>
  <c r="F3" i="11" s="1"/>
  <c r="O38" i="14"/>
  <c r="O21" i="14"/>
  <c r="F11" i="11" s="1"/>
  <c r="O24" i="14"/>
  <c r="O17" i="14"/>
  <c r="F7" i="11" s="1"/>
  <c r="F24" i="11"/>
  <c r="G22" i="11"/>
  <c r="O26" i="14"/>
  <c r="F16" i="11" s="1"/>
  <c r="O42" i="14"/>
  <c r="F32" i="11" s="1"/>
  <c r="F2" i="11"/>
  <c r="F4" i="11"/>
  <c r="F20" i="11"/>
  <c r="H30" i="11"/>
  <c r="O15" i="14"/>
  <c r="F5" i="11" s="1"/>
  <c r="F26" i="11"/>
  <c r="F27" i="11"/>
  <c r="L27" i="11"/>
  <c r="F6" i="11"/>
  <c r="F12" i="11"/>
  <c r="F19" i="11"/>
  <c r="F25" i="11"/>
  <c r="G27" i="11"/>
  <c r="O31" i="14"/>
  <c r="F21" i="11" s="1"/>
  <c r="F28" i="11"/>
  <c r="H32" i="11"/>
  <c r="O23" i="14"/>
  <c r="F13" i="11" s="1"/>
  <c r="F14" i="11"/>
  <c r="O28" i="14"/>
  <c r="F18" i="11" s="1"/>
  <c r="O20" i="14"/>
  <c r="F10" i="11" s="1"/>
  <c r="O41" i="14"/>
  <c r="F31" i="11" s="1"/>
  <c r="O33" i="14"/>
  <c r="F23" i="11" s="1"/>
  <c r="AB47" i="14"/>
  <c r="AC50" i="14" s="1"/>
  <c r="I47" i="14"/>
  <c r="O27" i="14"/>
  <c r="F17" i="11" s="1"/>
  <c r="O19" i="14"/>
  <c r="F9" i="11" s="1"/>
  <c r="O40" i="14"/>
  <c r="F30" i="11" s="1"/>
  <c r="O32" i="14"/>
  <c r="F22" i="11" s="1"/>
  <c r="L23" i="11"/>
  <c r="N47" i="14"/>
  <c r="O39" i="14"/>
  <c r="F29" i="11" s="1"/>
  <c r="E19" i="11"/>
  <c r="W21" i="14"/>
  <c r="E6" i="11"/>
  <c r="L13" i="11"/>
  <c r="G24" i="11"/>
  <c r="G23" i="11"/>
  <c r="P47" i="14"/>
  <c r="E12" i="11"/>
  <c r="H24" i="11"/>
  <c r="O18" i="14"/>
  <c r="F8" i="11" s="1"/>
  <c r="W38" i="14"/>
  <c r="L32" i="11"/>
  <c r="L12" i="11"/>
  <c r="K21" i="11"/>
  <c r="V47" i="14"/>
  <c r="W47" i="14" s="1"/>
  <c r="W23" i="14"/>
  <c r="L24" i="11"/>
  <c r="L22" i="11"/>
  <c r="L31" i="11"/>
  <c r="L4" i="11"/>
  <c r="L9" i="11"/>
  <c r="W33" i="14"/>
  <c r="L14" i="11"/>
  <c r="L15" i="11"/>
  <c r="L18" i="11"/>
  <c r="W39" i="14"/>
  <c r="L6" i="11"/>
  <c r="L3" i="11"/>
  <c r="L8" i="11"/>
  <c r="L16" i="11"/>
  <c r="L5" i="11"/>
  <c r="Q47" i="14"/>
  <c r="W15" i="14"/>
  <c r="L19" i="11"/>
  <c r="W35" i="14"/>
  <c r="L10" i="11"/>
  <c r="L17" i="11"/>
  <c r="L30" i="11"/>
  <c r="L20" i="11"/>
  <c r="L2" i="11"/>
  <c r="W37" i="14"/>
  <c r="O47" i="14" l="1"/>
  <c r="P50" i="14" s="1"/>
</calcChain>
</file>

<file path=xl/sharedStrings.xml><?xml version="1.0" encoding="utf-8"?>
<sst xmlns="http://schemas.openxmlformats.org/spreadsheetml/2006/main" count="94" uniqueCount="50">
  <si>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</si>
  <si>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</si>
  <si>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</si>
  <si>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</si>
  <si>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</si>
  <si>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</si>
  <si>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</si>
  <si>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</si>
  <si>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</si>
  <si>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</si>
  <si>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</si>
  <si>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</si>
  <si>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</si>
  <si>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</si>
  <si>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</si>
  <si>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</si>
  <si>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</si>
  <si>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MAY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</si>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</sst>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</cellStyleXfs>
  <cellXfs count="212">
    <xf numFmtId="0" fontId="0" fillId="0" borderId="0" xfId="0"/>
    <xf numFmtId="0" fontId="0" fillId="0" borderId="8" xfId="0" applyBorder="1"/>
    <xf numFmtId="165" fontId="0" fillId="0" borderId="8" xfId="1" applyNumberFormat="1" applyFont="1" applyBorder="1"/>
    <xf numFmtId="165" fontId="0" fillId="0" borderId="0" xfId="1" applyNumberFormat="1" applyFont="1"/>
    <xf numFmtId="165" fontId="0" fillId="0" borderId="0" xfId="1" applyNumberFormat="1" applyFont="1" applyBorder="1"/>
    <xf numFmtId="165" fontId="1" fillId="0" borderId="0" xfId="1" applyNumberFormat="1" applyFont="1"/>
    <xf numFmtId="165" fontId="0" fillId="3" borderId="0" xfId="1" applyNumberFormat="1" applyFont="1" applyFill="1" applyBorder="1"/>
    <xf numFmtId="0" fontId="0" fillId="3" borderId="0" xfId="0" applyFill="1"/>
    <xf numFmtId="164" fontId="4" fillId="0" borderId="0" xfId="1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1" applyNumberFormat="1" applyFont="1" applyBorder="1"/>
    <xf numFmtId="0" fontId="0" fillId="0" borderId="9" xfId="0" applyBorder="1"/>
    <xf numFmtId="165" fontId="0" fillId="0" borderId="11" xfId="1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1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1" applyNumberFormat="1" applyFont="1" applyFill="1" applyBorder="1" applyAlignment="1">
      <alignment horizontal="right"/>
    </xf>
    <xf numFmtId="165" fontId="6" fillId="3" borderId="0" xfId="1" applyNumberFormat="1" applyFont="1" applyFill="1" applyBorder="1" applyAlignment="1"/>
    <xf numFmtId="166" fontId="0" fillId="0" borderId="8" xfId="1" applyNumberFormat="1" applyFont="1" applyBorder="1"/>
    <xf numFmtId="0" fontId="1" fillId="4" borderId="34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0" xfId="1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1" applyNumberFormat="1" applyFont="1" applyBorder="1"/>
    <xf numFmtId="164" fontId="0" fillId="3" borderId="22" xfId="0" applyNumberFormat="1" applyFill="1" applyBorder="1"/>
    <xf numFmtId="165" fontId="0" fillId="0" borderId="12" xfId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1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1" applyFont="1" applyFill="1" applyBorder="1" applyAlignment="1"/>
    <xf numFmtId="164" fontId="7" fillId="0" borderId="15" xfId="1" applyFont="1" applyBorder="1" applyAlignment="1">
      <alignment horizontal="center" vertical="center" wrapText="1"/>
    </xf>
    <xf numFmtId="164" fontId="7" fillId="0" borderId="27" xfId="1" applyFont="1" applyBorder="1" applyAlignment="1">
      <alignment horizontal="center" vertical="center" wrapText="1"/>
    </xf>
    <xf numFmtId="164" fontId="7" fillId="3" borderId="0" xfId="1" applyFont="1" applyFill="1" applyBorder="1"/>
    <xf numFmtId="164" fontId="11" fillId="0" borderId="0" xfId="1" applyFont="1" applyBorder="1"/>
    <xf numFmtId="164" fontId="7" fillId="0" borderId="0" xfId="1" applyFont="1"/>
    <xf numFmtId="165" fontId="8" fillId="3" borderId="0" xfId="1" applyNumberFormat="1" applyFont="1" applyFill="1" applyBorder="1" applyAlignment="1"/>
    <xf numFmtId="165" fontId="7" fillId="3" borderId="0" xfId="1" applyNumberFormat="1" applyFont="1" applyFill="1" applyBorder="1"/>
    <xf numFmtId="165" fontId="11" fillId="0" borderId="0" xfId="1" applyNumberFormat="1" applyFont="1" applyBorder="1"/>
    <xf numFmtId="165" fontId="7" fillId="0" borderId="0" xfId="1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3" xfId="0" applyFill="1" applyBorder="1"/>
    <xf numFmtId="165" fontId="0" fillId="3" borderId="43" xfId="1" applyNumberFormat="1" applyFont="1" applyFill="1" applyBorder="1"/>
    <xf numFmtId="164" fontId="7" fillId="3" borderId="43" xfId="1" applyFont="1" applyFill="1" applyBorder="1"/>
    <xf numFmtId="165" fontId="7" fillId="3" borderId="43" xfId="1" applyNumberFormat="1" applyFont="1" applyFill="1" applyBorder="1"/>
    <xf numFmtId="0" fontId="0" fillId="3" borderId="45" xfId="0" applyFill="1" applyBorder="1"/>
    <xf numFmtId="43" fontId="0" fillId="3" borderId="43" xfId="0" applyNumberFormat="1" applyFill="1" applyBorder="1"/>
    <xf numFmtId="165" fontId="0" fillId="3" borderId="43" xfId="0" applyNumberFormat="1" applyFill="1" applyBorder="1"/>
    <xf numFmtId="165" fontId="0" fillId="0" borderId="43" xfId="1" applyNumberFormat="1" applyFont="1" applyBorder="1"/>
    <xf numFmtId="167" fontId="0" fillId="3" borderId="45" xfId="0" applyNumberFormat="1" applyFill="1" applyBorder="1"/>
    <xf numFmtId="165" fontId="8" fillId="6" borderId="22" xfId="1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1" applyNumberFormat="1" applyFont="1" applyFill="1" applyBorder="1" applyAlignment="1"/>
    <xf numFmtId="168" fontId="0" fillId="3" borderId="0" xfId="1" applyNumberFormat="1" applyFont="1" applyFill="1" applyBorder="1"/>
    <xf numFmtId="168" fontId="0" fillId="0" borderId="0" xfId="1" applyNumberFormat="1" applyFont="1" applyBorder="1"/>
    <xf numFmtId="168" fontId="0" fillId="0" borderId="0" xfId="1" applyNumberFormat="1" applyFont="1"/>
    <xf numFmtId="165" fontId="0" fillId="0" borderId="18" xfId="1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8" fillId="0" borderId="49" xfId="1" applyNumberFormat="1" applyFont="1" applyBorder="1" applyAlignment="1">
      <alignment horizontal="center" vertical="center" wrapText="1"/>
    </xf>
    <xf numFmtId="165" fontId="7" fillId="0" borderId="50" xfId="1" applyNumberFormat="1" applyFont="1" applyBorder="1" applyAlignment="1">
      <alignment horizontal="center" vertical="center" wrapText="1"/>
    </xf>
    <xf numFmtId="165" fontId="7" fillId="0" borderId="20" xfId="1" applyNumberFormat="1" applyFont="1" applyBorder="1"/>
    <xf numFmtId="0" fontId="0" fillId="0" borderId="28" xfId="0" applyBorder="1"/>
    <xf numFmtId="165" fontId="0" fillId="0" borderId="28" xfId="1" applyNumberFormat="1" applyFont="1" applyBorder="1"/>
    <xf numFmtId="164" fontId="7" fillId="0" borderId="28" xfId="1" applyFont="1" applyBorder="1"/>
    <xf numFmtId="165" fontId="7" fillId="0" borderId="31" xfId="1" applyNumberFormat="1" applyFont="1" applyBorder="1"/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2" xfId="1" applyNumberFormat="1" applyFont="1" applyBorder="1"/>
    <xf numFmtId="0" fontId="0" fillId="0" borderId="31" xfId="0" applyBorder="1"/>
    <xf numFmtId="165" fontId="0" fillId="0" borderId="10" xfId="1" applyNumberFormat="1" applyFont="1" applyBorder="1"/>
    <xf numFmtId="0" fontId="0" fillId="0" borderId="53" xfId="0" applyBorder="1"/>
    <xf numFmtId="164" fontId="0" fillId="0" borderId="42" xfId="1" applyFont="1" applyBorder="1"/>
    <xf numFmtId="164" fontId="0" fillId="0" borderId="54" xfId="1" applyFont="1" applyBorder="1"/>
    <xf numFmtId="165" fontId="7" fillId="0" borderId="41" xfId="1" applyNumberFormat="1" applyFont="1" applyBorder="1" applyAlignment="1">
      <alignment horizontal="center" vertical="center" wrapText="1"/>
    </xf>
    <xf numFmtId="165" fontId="7" fillId="0" borderId="42" xfId="1" applyNumberFormat="1" applyFont="1" applyBorder="1"/>
    <xf numFmtId="165" fontId="7" fillId="0" borderId="54" xfId="1" applyNumberFormat="1" applyFont="1" applyBorder="1"/>
    <xf numFmtId="165" fontId="0" fillId="3" borderId="13" xfId="1" applyNumberFormat="1" applyFont="1" applyFill="1" applyBorder="1"/>
    <xf numFmtId="0" fontId="0" fillId="3" borderId="56" xfId="0" applyFill="1" applyBorder="1"/>
    <xf numFmtId="0" fontId="0" fillId="3" borderId="14" xfId="0" applyFill="1" applyBorder="1"/>
    <xf numFmtId="0" fontId="0" fillId="3" borderId="57" xfId="0" applyFill="1" applyBorder="1"/>
    <xf numFmtId="0" fontId="0" fillId="3" borderId="58" xfId="0" applyFill="1" applyBorder="1"/>
    <xf numFmtId="165" fontId="0" fillId="3" borderId="44" xfId="1" applyNumberFormat="1" applyFont="1" applyFill="1" applyBorder="1"/>
    <xf numFmtId="0" fontId="10" fillId="11" borderId="54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5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6" xfId="0" applyFill="1" applyBorder="1"/>
    <xf numFmtId="43" fontId="0" fillId="3" borderId="5" xfId="0" applyNumberFormat="1" applyFill="1" applyBorder="1"/>
    <xf numFmtId="0" fontId="0" fillId="3" borderId="60" xfId="0" applyFill="1" applyBorder="1"/>
    <xf numFmtId="165" fontId="1" fillId="0" borderId="11" xfId="1" applyNumberFormat="1" applyFont="1" applyBorder="1" applyAlignment="1">
      <alignment horizontal="center" vertical="center" wrapText="1"/>
    </xf>
    <xf numFmtId="165" fontId="13" fillId="3" borderId="8" xfId="1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1" applyNumberFormat="1" applyFont="1" applyFill="1" applyBorder="1"/>
    <xf numFmtId="43" fontId="0" fillId="0" borderId="0" xfId="0" applyNumberFormat="1"/>
    <xf numFmtId="168" fontId="1" fillId="4" borderId="3" xfId="1" applyNumberFormat="1" applyFont="1" applyFill="1" applyBorder="1" applyAlignment="1">
      <alignment horizontal="center" vertical="center"/>
    </xf>
    <xf numFmtId="168" fontId="0" fillId="0" borderId="38" xfId="1" applyNumberFormat="1" applyFont="1" applyBorder="1" applyAlignment="1">
      <alignment horizontal="center" vertical="center" wrapText="1"/>
    </xf>
    <xf numFmtId="168" fontId="0" fillId="0" borderId="24" xfId="1" applyNumberFormat="1" applyFont="1" applyBorder="1" applyAlignment="1">
      <alignment horizontal="center" vertical="center" wrapText="1"/>
    </xf>
    <xf numFmtId="168" fontId="0" fillId="0" borderId="21" xfId="1" applyNumberFormat="1" applyFont="1" applyBorder="1"/>
    <xf numFmtId="168" fontId="0" fillId="0" borderId="43" xfId="1" applyNumberFormat="1" applyFont="1" applyBorder="1"/>
    <xf numFmtId="165" fontId="1" fillId="12" borderId="6" xfId="1" applyNumberFormat="1" applyFont="1" applyFill="1" applyBorder="1"/>
    <xf numFmtId="167" fontId="1" fillId="12" borderId="7" xfId="0" applyNumberFormat="1" applyFont="1" applyFill="1" applyBorder="1"/>
    <xf numFmtId="165" fontId="1" fillId="12" borderId="30" xfId="1" applyNumberFormat="1" applyFont="1" applyFill="1" applyBorder="1"/>
    <xf numFmtId="167" fontId="1" fillId="12" borderId="32" xfId="1" applyNumberFormat="1" applyFont="1" applyFill="1" applyBorder="1"/>
    <xf numFmtId="164" fontId="5" fillId="0" borderId="0" xfId="1" applyFont="1" applyBorder="1"/>
    <xf numFmtId="166" fontId="0" fillId="0" borderId="51" xfId="1" applyNumberFormat="1" applyFont="1" applyBorder="1"/>
    <xf numFmtId="165" fontId="0" fillId="0" borderId="54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3" applyFont="1"/>
    <xf numFmtId="9" fontId="0" fillId="0" borderId="0" xfId="0" applyNumberFormat="1"/>
    <xf numFmtId="165" fontId="1" fillId="5" borderId="6" xfId="0" applyNumberFormat="1" applyFont="1" applyFill="1" applyBorder="1"/>
    <xf numFmtId="0" fontId="0" fillId="5" borderId="27" xfId="0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2" fillId="0" borderId="8" xfId="1" applyNumberFormat="1" applyFont="1" applyBorder="1"/>
    <xf numFmtId="164" fontId="2" fillId="0" borderId="8" xfId="1" applyFont="1" applyBorder="1"/>
    <xf numFmtId="165" fontId="1" fillId="0" borderId="10" xfId="1" applyNumberFormat="1" applyFont="1" applyBorder="1"/>
    <xf numFmtId="165" fontId="18" fillId="0" borderId="0" xfId="1" applyNumberFormat="1" applyFont="1" applyBorder="1"/>
    <xf numFmtId="0" fontId="16" fillId="3" borderId="0" xfId="0" applyFont="1" applyFill="1"/>
    <xf numFmtId="165" fontId="16" fillId="0" borderId="0" xfId="1" applyNumberFormat="1" applyFont="1"/>
    <xf numFmtId="0" fontId="16" fillId="0" borderId="0" xfId="0" applyFont="1"/>
    <xf numFmtId="164" fontId="17" fillId="0" borderId="0" xfId="1" applyFont="1"/>
    <xf numFmtId="165" fontId="17" fillId="0" borderId="0" xfId="1" applyNumberFormat="1" applyFont="1"/>
    <xf numFmtId="168" fontId="16" fillId="0" borderId="0" xfId="1" applyNumberFormat="1" applyFont="1"/>
    <xf numFmtId="167" fontId="16" fillId="0" borderId="0" xfId="0" applyNumberFormat="1" applyFont="1"/>
    <xf numFmtId="168" fontId="0" fillId="13" borderId="6" xfId="1" applyNumberFormat="1" applyFont="1" applyFill="1" applyBorder="1"/>
    <xf numFmtId="165" fontId="12" fillId="3" borderId="22" xfId="0" applyNumberFormat="1" applyFont="1" applyFill="1" applyBorder="1"/>
    <xf numFmtId="166" fontId="19" fillId="0" borderId="8" xfId="0" applyNumberFormat="1" applyFont="1" applyBorder="1"/>
    <xf numFmtId="37" fontId="19" fillId="0" borderId="8" xfId="0" applyNumberFormat="1" applyFont="1" applyBorder="1"/>
    <xf numFmtId="1" fontId="16" fillId="0" borderId="0" xfId="0" applyNumberFormat="1" applyFont="1"/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1" applyFont="1" applyBorder="1" applyAlignment="1">
      <alignment horizontal="center" vertical="center" wrapText="1"/>
    </xf>
    <xf numFmtId="164" fontId="0" fillId="0" borderId="35" xfId="1" applyFont="1" applyBorder="1" applyAlignment="1">
      <alignment horizontal="center" vertical="center" wrapText="1"/>
    </xf>
    <xf numFmtId="164" fontId="0" fillId="0" borderId="36" xfId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1" applyNumberFormat="1" applyFont="1" applyBorder="1" applyAlignment="1">
      <alignment horizontal="center" vertical="center" wrapText="1"/>
    </xf>
    <xf numFmtId="165" fontId="8" fillId="0" borderId="36" xfId="1" applyNumberFormat="1" applyFont="1" applyBorder="1" applyAlignment="1">
      <alignment horizontal="center" vertical="center" wrapText="1"/>
    </xf>
    <xf numFmtId="17" fontId="6" fillId="3" borderId="55" xfId="0" applyNumberFormat="1" applyFont="1" applyFill="1" applyBorder="1" applyAlignment="1">
      <alignment horizontal="center"/>
    </xf>
    <xf numFmtId="0" fontId="6" fillId="3" borderId="55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6" xr:uid="{00000000-0005-0000-0000-000001000000}"/>
    <cellStyle name="Comma 10" xfId="2" xr:uid="{00000000-0005-0000-0000-000002000000}"/>
    <cellStyle name="Comma 2" xfId="4" xr:uid="{00000000-0005-0000-0000-000003000000}"/>
    <cellStyle name="Comma 3" xfId="8" xr:uid="{00000000-0005-0000-0000-000004000000}"/>
    <cellStyle name="Hyperlink 2" xfId="5" xr:uid="{00000000-0005-0000-0000-000007000000}"/>
    <cellStyle name="Normal" xfId="0" builtinId="0"/>
    <cellStyle name="Normal 2" xfId="7" xr:uid="{00000000-0005-0000-0000-000009000000}"/>
    <cellStyle name="Percent" xfId="3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236483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workbookViewId="0">
      <selection activeCell="D3" sqref="D3"/>
    </sheetView>
  </sheetViews>
  <sheetFormatPr defaultColWidth="11.5703125" defaultRowHeight="15"/>
  <cols>
    <col min="1" max="1" width="18.42578125" style="151" customWidth="1"/>
    <col min="2" max="2" width="11.5703125" style="152"/>
    <col min="3" max="3" width="11.5703125" style="153"/>
    <col min="4" max="4" width="13.42578125" style="152" customWidth="1"/>
    <col min="5" max="5" width="12.5703125" style="150" customWidth="1"/>
    <col min="6" max="6" width="12.5703125" style="154" customWidth="1"/>
    <col min="7" max="7" width="11.5703125" style="150"/>
    <col min="8" max="8" width="11.5703125" style="154"/>
    <col min="9" max="9" width="11.5703125" style="155"/>
    <col min="10" max="10" width="11.5703125" style="156"/>
    <col min="11" max="11" width="11.5703125" style="150"/>
    <col min="12" max="12" width="11.5703125" style="156"/>
    <col min="13" max="26" width="11.5703125" style="150"/>
  </cols>
  <sheetData>
    <row r="1" spans="1:15" s="144" customFormat="1" ht="60.75">
      <c r="A1" s="140" t="s">
        <v>0</v>
      </c>
      <c r="B1" s="140" t="s">
        <v>1</v>
      </c>
      <c r="C1" s="141" t="s">
        <v>2</v>
      </c>
      <c r="D1" s="140" t="s">
        <v>3</v>
      </c>
      <c r="E1" s="139" t="s">
        <v>4</v>
      </c>
      <c r="F1" s="142" t="s">
        <v>5</v>
      </c>
      <c r="G1" s="139" t="s">
        <v>6</v>
      </c>
      <c r="H1" s="142" t="s">
        <v>7</v>
      </c>
      <c r="I1" s="139" t="s">
        <v>8</v>
      </c>
      <c r="J1" s="142" t="s">
        <v>9</v>
      </c>
      <c r="K1" s="139" t="s">
        <v>10</v>
      </c>
      <c r="L1" s="143" t="s">
        <v>11</v>
      </c>
      <c r="M1" s="139" t="s">
        <v>12</v>
      </c>
      <c r="N1" s="139" t="s">
        <v>13</v>
      </c>
    </row>
    <row r="2" spans="1:15">
      <c r="A2" s="145" t="s">
        <v>14</v>
      </c>
      <c r="B2" s="146">
        <v>1</v>
      </c>
      <c r="C2" s="147">
        <v>5</v>
      </c>
      <c r="D2" s="146">
        <v>2018</v>
      </c>
      <c r="E2" s="148">
        <f>'FS Jimbaran May 2018'!P12</f>
        <v>13940.000000007331</v>
      </c>
      <c r="F2" s="157">
        <f>'FS Jimbaran May 2018'!O12/'FS Jimbaran May 2018'!P12</f>
        <v>1257.6479397416658</v>
      </c>
      <c r="G2" s="148">
        <f>'FS Jimbaran May 2018'!AB12</f>
        <v>513.75071999999182</v>
      </c>
      <c r="H2" s="157">
        <f>'FS Jimbaran May 2018'!AC12/'FS Jimbaran May 2018'!AB12</f>
        <v>10944.823707809121</v>
      </c>
      <c r="I2" s="148">
        <f>'FS Jimbaran May 2018'!AE12</f>
        <v>62.090000000011059</v>
      </c>
      <c r="J2" s="149">
        <f>'FS Jimbaran May 2018'!AF12/'FS Jimbaran May 2018'!AE12</f>
        <v>9150</v>
      </c>
      <c r="K2" s="148">
        <f>'FS Jimbaran May 2018'!Q12</f>
        <v>881</v>
      </c>
      <c r="L2" s="157">
        <f>'FS Jimbaran May 2018'!V12/'FS Jimbaran May 2018'!Q12</f>
        <v>9895.9004199772971</v>
      </c>
      <c r="M2" s="178">
        <v>66</v>
      </c>
      <c r="N2" s="179">
        <v>663</v>
      </c>
    </row>
    <row r="3" spans="1:15">
      <c r="A3" s="145" t="s">
        <v>14</v>
      </c>
      <c r="B3" s="146">
        <f>B2+1</f>
        <v>2</v>
      </c>
      <c r="C3" s="147">
        <v>5</v>
      </c>
      <c r="D3" s="146">
        <v>2018</v>
      </c>
      <c r="E3" s="148">
        <f>'FS Jimbaran May 2018'!P13</f>
        <v>25739.999999975225</v>
      </c>
      <c r="F3" s="157">
        <f>'FS Jimbaran May 2018'!O13/'FS Jimbaran May 2018'!P13</f>
        <v>1183.0587412588327</v>
      </c>
      <c r="G3" s="148">
        <f>'FS Jimbaran May 2018'!AB13</f>
        <v>133.76299999999998</v>
      </c>
      <c r="H3" s="157">
        <f>'FS Jimbaran May 2018'!AC13/'FS Jimbaran May 2018'!AB13</f>
        <v>10417.108909040617</v>
      </c>
      <c r="I3" s="148">
        <f>'FS Jimbaran May 2018'!AE13</f>
        <v>67.429999999993015</v>
      </c>
      <c r="J3" s="149">
        <f>'FS Jimbaran May 2018'!AF13/'FS Jimbaran May 2018'!AE13</f>
        <v>9150</v>
      </c>
      <c r="K3" s="148">
        <f>'FS Jimbaran May 2018'!Q13</f>
        <v>731</v>
      </c>
      <c r="L3" s="157">
        <f>'FS Jimbaran May 2018'!V13/'FS Jimbaran May 2018'!Q13</f>
        <v>10975.37948016416</v>
      </c>
      <c r="M3" s="178">
        <v>75</v>
      </c>
      <c r="N3" s="179">
        <v>547</v>
      </c>
    </row>
    <row r="4" spans="1:15">
      <c r="A4" s="145" t="s">
        <v>14</v>
      </c>
      <c r="B4" s="146">
        <f t="shared" ref="B4:B32" si="0">B3+1</f>
        <v>3</v>
      </c>
      <c r="C4" s="147">
        <v>5</v>
      </c>
      <c r="D4" s="146">
        <v>2018</v>
      </c>
      <c r="E4" s="148">
        <f>'FS Jimbaran May 2018'!P14</f>
        <v>27280.000000029871</v>
      </c>
      <c r="F4" s="157">
        <f>'FS Jimbaran May 2018'!O14/'FS Jimbaran May 2018'!P14</f>
        <v>1179.2628673019892</v>
      </c>
      <c r="G4" s="148">
        <f>'FS Jimbaran May 2018'!AB14</f>
        <v>204.21959999998825</v>
      </c>
      <c r="H4" s="157">
        <f>'FS Jimbaran May 2018'!AC14/'FS Jimbaran May 2018'!AB14</f>
        <v>12887.801165020557</v>
      </c>
      <c r="I4" s="148">
        <f>'FS Jimbaran May 2018'!AE14</f>
        <v>125.71999999999798</v>
      </c>
      <c r="J4" s="149">
        <f>'FS Jimbaran May 2018'!AF14/'FS Jimbaran May 2018'!AE14</f>
        <v>9150</v>
      </c>
      <c r="K4" s="148">
        <f>'FS Jimbaran May 2018'!Q14</f>
        <v>677</v>
      </c>
      <c r="L4" s="157">
        <f>'FS Jimbaran May 2018'!V14/'FS Jimbaran May 2018'!Q14</f>
        <v>10573.981861152142</v>
      </c>
      <c r="M4" s="178">
        <v>75</v>
      </c>
      <c r="N4" s="179">
        <v>530</v>
      </c>
    </row>
    <row r="5" spans="1:15">
      <c r="A5" s="145" t="s">
        <v>14</v>
      </c>
      <c r="B5" s="146">
        <f t="shared" si="0"/>
        <v>4</v>
      </c>
      <c r="C5" s="147">
        <v>5</v>
      </c>
      <c r="D5" s="146">
        <v>2018</v>
      </c>
      <c r="E5" s="148">
        <f>'FS Jimbaran May 2018'!P15</f>
        <v>26039.99999999769</v>
      </c>
      <c r="F5" s="157">
        <f>'FS Jimbaran May 2018'!O15/'FS Jimbaran May 2018'!P15</f>
        <v>1184.8822016128902</v>
      </c>
      <c r="G5" s="148">
        <f>'FS Jimbaran May 2018'!AB15</f>
        <v>0</v>
      </c>
      <c r="H5" s="157" t="e">
        <f>'FS Jimbaran May 2018'!AC15/'FS Jimbaran May 2018'!AB15</f>
        <v>#DIV/0!</v>
      </c>
      <c r="I5" s="148">
        <f>'FS Jimbaran May 2018'!AE15</f>
        <v>66.110000000000582</v>
      </c>
      <c r="J5" s="149">
        <f>'FS Jimbaran May 2018'!AF15/'FS Jimbaran May 2018'!AE15</f>
        <v>9150</v>
      </c>
      <c r="K5" s="148">
        <f>'FS Jimbaran May 2018'!Q15</f>
        <v>611</v>
      </c>
      <c r="L5" s="157">
        <f>'FS Jimbaran May 2018'!V15/'FS Jimbaran May 2018'!Q15</f>
        <v>6457.9696399345339</v>
      </c>
      <c r="M5" s="178">
        <v>87</v>
      </c>
      <c r="N5" s="179">
        <v>671</v>
      </c>
    </row>
    <row r="6" spans="1:15">
      <c r="A6" s="145" t="s">
        <v>14</v>
      </c>
      <c r="B6" s="146">
        <f t="shared" si="0"/>
        <v>5</v>
      </c>
      <c r="C6" s="147">
        <v>5</v>
      </c>
      <c r="D6" s="146">
        <v>2018</v>
      </c>
      <c r="E6" s="148">
        <f>'FS Jimbaran May 2018'!P16</f>
        <v>26279.999999998836</v>
      </c>
      <c r="F6" s="157">
        <f>'FS Jimbaran May 2018'!O16/'FS Jimbaran May 2018'!P16</f>
        <v>1181.5104623287707</v>
      </c>
      <c r="G6" s="148">
        <f>'FS Jimbaran May 2018'!AB16</f>
        <v>407.64904000000115</v>
      </c>
      <c r="H6" s="157">
        <f>'FS Jimbaran May 2018'!AC16/'FS Jimbaran May 2018'!AB16</f>
        <v>10863.361049789297</v>
      </c>
      <c r="I6" s="148">
        <f>'FS Jimbaran May 2018'!AE16</f>
        <v>65.30000000000291</v>
      </c>
      <c r="J6" s="149">
        <f>'FS Jimbaran May 2018'!AF16/'FS Jimbaran May 2018'!AE16</f>
        <v>9150</v>
      </c>
      <c r="K6" s="148">
        <f>'FS Jimbaran May 2018'!Q16</f>
        <v>751</v>
      </c>
      <c r="L6" s="157">
        <f>'FS Jimbaran May 2018'!V16/'FS Jimbaran May 2018'!Q16</f>
        <v>9944.5919174434093</v>
      </c>
      <c r="M6" s="178">
        <v>61</v>
      </c>
      <c r="N6" s="179">
        <v>658</v>
      </c>
    </row>
    <row r="7" spans="1:15">
      <c r="A7" s="145" t="s">
        <v>14</v>
      </c>
      <c r="B7" s="146">
        <f t="shared" si="0"/>
        <v>6</v>
      </c>
      <c r="C7" s="147">
        <v>5</v>
      </c>
      <c r="D7" s="146">
        <v>2018</v>
      </c>
      <c r="E7" s="148">
        <f>'FS Jimbaran May 2018'!P17</f>
        <v>26919.999999976993</v>
      </c>
      <c r="F7" s="157">
        <f>'FS Jimbaran May 2018'!O17/'FS Jimbaran May 2018'!P17</f>
        <v>1182.9130876672418</v>
      </c>
      <c r="G7" s="148">
        <f>'FS Jimbaran May 2018'!AB17</f>
        <v>557.81016000000466</v>
      </c>
      <c r="H7" s="157">
        <f>'FS Jimbaran May 2018'!AC17/'FS Jimbaran May 2018'!AB17</f>
        <v>10945.61374514942</v>
      </c>
      <c r="I7" s="148">
        <f>'FS Jimbaran May 2018'!AE17</f>
        <v>61.44999999999709</v>
      </c>
      <c r="J7" s="149">
        <f>'FS Jimbaran May 2018'!AF17/'FS Jimbaran May 2018'!AE17</f>
        <v>9150</v>
      </c>
      <c r="K7" s="148">
        <f>'FS Jimbaran May 2018'!Q17</f>
        <v>777</v>
      </c>
      <c r="L7" s="157">
        <f>'FS Jimbaran May 2018'!V17/'FS Jimbaran May 2018'!Q17</f>
        <v>10622.306731016732</v>
      </c>
      <c r="M7" s="178">
        <v>49</v>
      </c>
      <c r="N7" s="179">
        <v>670</v>
      </c>
    </row>
    <row r="8" spans="1:15">
      <c r="A8" s="145" t="s">
        <v>14</v>
      </c>
      <c r="B8" s="146">
        <f t="shared" si="0"/>
        <v>7</v>
      </c>
      <c r="C8" s="147">
        <v>5</v>
      </c>
      <c r="D8" s="146">
        <v>2018</v>
      </c>
      <c r="E8" s="148">
        <f>'FS Jimbaran May 2018'!P18</f>
        <v>26380.000000010114</v>
      </c>
      <c r="F8" s="157">
        <f>'FS Jimbaran May 2018'!O18/'FS Jimbaran May 2018'!P18</f>
        <v>1182.3911645185553</v>
      </c>
      <c r="G8" s="148">
        <f>'FS Jimbaran May 2018'!AB18</f>
        <v>171.02544000001288</v>
      </c>
      <c r="H8" s="157">
        <f>'FS Jimbaran May 2018'!AC18/'FS Jimbaran May 2018'!AB18</f>
        <v>10256.28288002065</v>
      </c>
      <c r="I8" s="148">
        <f>'FS Jimbaran May 2018'!AE18</f>
        <v>11.19999999999709</v>
      </c>
      <c r="J8" s="149">
        <f>'FS Jimbaran May 2018'!AF18/'FS Jimbaran May 2018'!AE18</f>
        <v>9150</v>
      </c>
      <c r="K8" s="148">
        <f>'FS Jimbaran May 2018'!Q18</f>
        <v>517</v>
      </c>
      <c r="L8" s="157">
        <f>'FS Jimbaran May 2018'!V18/'FS Jimbaran May 2018'!Q18</f>
        <v>11820.874003868472</v>
      </c>
      <c r="M8" s="178">
        <v>44</v>
      </c>
      <c r="N8" s="179">
        <v>440</v>
      </c>
    </row>
    <row r="9" spans="1:15">
      <c r="A9" s="145" t="s">
        <v>14</v>
      </c>
      <c r="B9" s="146">
        <f t="shared" si="0"/>
        <v>8</v>
      </c>
      <c r="C9" s="147">
        <v>5</v>
      </c>
      <c r="D9" s="146">
        <v>2018</v>
      </c>
      <c r="E9" s="148">
        <f>'FS Jimbaran May 2018'!P19</f>
        <v>25540.000000014628</v>
      </c>
      <c r="F9" s="157">
        <f>'FS Jimbaran May 2018'!O19/'FS Jimbaran May 2018'!P19</f>
        <v>1185.5098261550145</v>
      </c>
      <c r="G9" s="148">
        <f>'FS Jimbaran May 2018'!AB19</f>
        <v>139.73131999998006</v>
      </c>
      <c r="H9" s="157">
        <f>'FS Jimbaran May 2018'!AC19/'FS Jimbaran May 2018'!AB19</f>
        <v>10153</v>
      </c>
      <c r="I9" s="148">
        <f>'FS Jimbaran May 2018'!AE19</f>
        <v>0</v>
      </c>
      <c r="J9" s="149" t="e">
        <f>'FS Jimbaran May 2018'!AF19/'FS Jimbaran May 2018'!AE19</f>
        <v>#DIV/0!</v>
      </c>
      <c r="K9" s="148">
        <f>'FS Jimbaran May 2018'!Q19</f>
        <v>651</v>
      </c>
      <c r="L9" s="157">
        <f>'FS Jimbaran May 2018'!V19/'FS Jimbaran May 2018'!Q19</f>
        <v>11133.209677419354</v>
      </c>
      <c r="M9" s="178">
        <v>45</v>
      </c>
      <c r="N9" s="179">
        <v>535</v>
      </c>
      <c r="O9" s="150" t="s">
        <v>15</v>
      </c>
    </row>
    <row r="10" spans="1:15">
      <c r="A10" s="145" t="s">
        <v>14</v>
      </c>
      <c r="B10" s="146">
        <f t="shared" si="0"/>
        <v>9</v>
      </c>
      <c r="C10" s="147">
        <v>5</v>
      </c>
      <c r="D10" s="146">
        <v>2018</v>
      </c>
      <c r="E10" s="148">
        <f>'FS Jimbaran May 2018'!P20</f>
        <v>26079.999999980828</v>
      </c>
      <c r="F10" s="157">
        <f>'FS Jimbaran May 2018'!O20/'FS Jimbaran May 2018'!P20</f>
        <v>1180.5628217024853</v>
      </c>
      <c r="G10" s="148">
        <f>'FS Jimbaran May 2018'!AB20</f>
        <v>149.55620000000584</v>
      </c>
      <c r="H10" s="157">
        <f>'FS Jimbaran May 2018'!AC20/'FS Jimbaran May 2018'!AB20</f>
        <v>14005.491571730076</v>
      </c>
      <c r="I10" s="148">
        <f>'FS Jimbaran May 2018'!AE20</f>
        <v>82.899999999999181</v>
      </c>
      <c r="J10" s="149">
        <f>'FS Jimbaran May 2018'!AF20/'FS Jimbaran May 2018'!AE20</f>
        <v>9150</v>
      </c>
      <c r="K10" s="148">
        <f>'FS Jimbaran May 2018'!Q20</f>
        <v>271</v>
      </c>
      <c r="L10" s="157">
        <f>'FS Jimbaran May 2018'!V20/'FS Jimbaran May 2018'!Q20</f>
        <v>9611.6053505535056</v>
      </c>
      <c r="M10" s="178">
        <v>39</v>
      </c>
      <c r="N10" s="179">
        <v>433</v>
      </c>
    </row>
    <row r="11" spans="1:15">
      <c r="A11" s="145" t="s">
        <v>14</v>
      </c>
      <c r="B11" s="146">
        <f t="shared" si="0"/>
        <v>10</v>
      </c>
      <c r="C11" s="147">
        <v>5</v>
      </c>
      <c r="D11" s="146">
        <v>2018</v>
      </c>
      <c r="E11" s="148">
        <f>'FS Jimbaran May 2018'!P21</f>
        <v>26540.000000009626</v>
      </c>
      <c r="F11" s="157">
        <f>'FS Jimbaran May 2018'!O21/'FS Jimbaran May 2018'!P21</f>
        <v>1183.458655614113</v>
      </c>
      <c r="G11" s="148">
        <f>'FS Jimbaran May 2018'!AB21</f>
        <v>129.33908000000233</v>
      </c>
      <c r="H11" s="157">
        <f>'FS Jimbaran May 2018'!AC21/'FS Jimbaran May 2018'!AB21</f>
        <v>10153</v>
      </c>
      <c r="I11" s="148">
        <f>'FS Jimbaran May 2018'!AE21</f>
        <v>0</v>
      </c>
      <c r="J11" s="149" t="e">
        <f>'FS Jimbaran May 2018'!AF21/'FS Jimbaran May 2018'!AE21</f>
        <v>#DIV/0!</v>
      </c>
      <c r="K11" s="148">
        <f>'FS Jimbaran May 2018'!Q21</f>
        <v>365</v>
      </c>
      <c r="L11" s="157">
        <f>'FS Jimbaran May 2018'!V21/'FS Jimbaran May 2018'!Q21</f>
        <v>6284.1118904109589</v>
      </c>
      <c r="M11" s="178">
        <v>43</v>
      </c>
      <c r="N11" s="179">
        <v>601</v>
      </c>
    </row>
    <row r="12" spans="1:15">
      <c r="A12" s="145" t="s">
        <v>14</v>
      </c>
      <c r="B12" s="146">
        <f t="shared" si="0"/>
        <v>11</v>
      </c>
      <c r="C12" s="147">
        <v>5</v>
      </c>
      <c r="D12" s="146">
        <v>2018</v>
      </c>
      <c r="E12" s="148">
        <f>'FS Jimbaran May 2018'!P22</f>
        <v>28439.999999999654</v>
      </c>
      <c r="F12" s="157">
        <f>'FS Jimbaran May 2018'!O22/'FS Jimbaran May 2018'!P22</f>
        <v>1176.2877088607595</v>
      </c>
      <c r="G12" s="148">
        <f>'FS Jimbaran May 2018'!AB22</f>
        <v>832.45808000000238</v>
      </c>
      <c r="H12" s="157">
        <f>'FS Jimbaran May 2018'!AC22/'FS Jimbaran May 2018'!AB22</f>
        <v>11010.751299620995</v>
      </c>
      <c r="I12" s="148">
        <f>'FS Jimbaran May 2018'!AE22</f>
        <v>1355.8600000000006</v>
      </c>
      <c r="J12" s="149">
        <f>'FS Jimbaran May 2018'!AF22/'FS Jimbaran May 2018'!AE22</f>
        <v>9150</v>
      </c>
      <c r="K12" s="148">
        <f>'FS Jimbaran May 2018'!Q22</f>
        <v>440</v>
      </c>
      <c r="L12" s="157">
        <f>'FS Jimbaran May 2018'!V22/'FS Jimbaran May 2018'!Q22</f>
        <v>6680.4385227272733</v>
      </c>
      <c r="M12" s="178">
        <v>37</v>
      </c>
      <c r="N12" s="179">
        <v>438</v>
      </c>
    </row>
    <row r="13" spans="1:15">
      <c r="A13" s="145" t="s">
        <v>14</v>
      </c>
      <c r="B13" s="146">
        <f t="shared" si="0"/>
        <v>12</v>
      </c>
      <c r="C13" s="147">
        <v>5</v>
      </c>
      <c r="D13" s="146">
        <v>2018</v>
      </c>
      <c r="E13" s="148">
        <f>'FS Jimbaran May 2018'!P23</f>
        <v>27780.000000000055</v>
      </c>
      <c r="F13" s="157">
        <f>'FS Jimbaran May 2018'!O23/'FS Jimbaran May 2018'!P23</f>
        <v>1181.5274449244055</v>
      </c>
      <c r="G13" s="148">
        <f>'FS Jimbaran May 2018'!AB23</f>
        <v>135.38108000000233</v>
      </c>
      <c r="H13" s="157">
        <f>'FS Jimbaran May 2018'!AC23/'FS Jimbaran May 2018'!AB23</f>
        <v>10153</v>
      </c>
      <c r="I13" s="148">
        <f>'FS Jimbaran May 2018'!AE23</f>
        <v>423.23999999999978</v>
      </c>
      <c r="J13" s="149">
        <f>'FS Jimbaran May 2018'!AF23/'FS Jimbaran May 2018'!AE23</f>
        <v>9150</v>
      </c>
      <c r="K13" s="148">
        <f>'FS Jimbaran May 2018'!Q23</f>
        <v>547</v>
      </c>
      <c r="L13" s="157">
        <f>'FS Jimbaran May 2018'!V23/'FS Jimbaran May 2018'!Q23</f>
        <v>8985.7197989031083</v>
      </c>
      <c r="M13" s="178">
        <v>50</v>
      </c>
      <c r="N13" s="179">
        <v>369</v>
      </c>
    </row>
    <row r="14" spans="1:15">
      <c r="A14" s="145" t="s">
        <v>14</v>
      </c>
      <c r="B14" s="146">
        <f t="shared" si="0"/>
        <v>13</v>
      </c>
      <c r="C14" s="147">
        <v>5</v>
      </c>
      <c r="D14" s="146">
        <v>2018</v>
      </c>
      <c r="E14" s="148">
        <f>'FS Jimbaran May 2018'!P24</f>
        <v>27800.000000000113</v>
      </c>
      <c r="F14" s="157">
        <f>'FS Jimbaran May 2018'!O24/'FS Jimbaran May 2018'!P24</f>
        <v>1184.9807557553947</v>
      </c>
      <c r="G14" s="148">
        <f>'FS Jimbaran May 2018'!AB24</f>
        <v>146.0115599999871</v>
      </c>
      <c r="H14" s="157">
        <f>'FS Jimbaran May 2018'!AC24/'FS Jimbaran May 2018'!AB24</f>
        <v>10273.976722664984</v>
      </c>
      <c r="I14" s="148">
        <f>'FS Jimbaran May 2018'!AE24</f>
        <v>400.94999999999891</v>
      </c>
      <c r="J14" s="149">
        <f>'FS Jimbaran May 2018'!AF24/'FS Jimbaran May 2018'!AE24</f>
        <v>9150</v>
      </c>
      <c r="K14" s="148">
        <f>'FS Jimbaran May 2018'!Q24</f>
        <v>667</v>
      </c>
      <c r="L14" s="157">
        <f>'FS Jimbaran May 2018'!V24/'FS Jimbaran May 2018'!Q24</f>
        <v>8755.1330434782612</v>
      </c>
      <c r="M14" s="178">
        <v>103</v>
      </c>
      <c r="N14" s="179">
        <v>603</v>
      </c>
    </row>
    <row r="15" spans="1:15">
      <c r="A15" s="145" t="s">
        <v>14</v>
      </c>
      <c r="B15" s="146">
        <f t="shared" si="0"/>
        <v>14</v>
      </c>
      <c r="C15" s="147">
        <v>5</v>
      </c>
      <c r="D15" s="146">
        <v>2018</v>
      </c>
      <c r="E15" s="148">
        <f>'FS Jimbaran May 2018'!P25</f>
        <v>27619.999999999927</v>
      </c>
      <c r="F15" s="157">
        <f>'FS Jimbaran May 2018'!O25/'FS Jimbaran May 2018'!P25</f>
        <v>1184.0405441708926</v>
      </c>
      <c r="G15" s="148">
        <f>'FS Jimbaran May 2018'!AB25</f>
        <v>148.06583999999529</v>
      </c>
      <c r="H15" s="157">
        <f>'FS Jimbaran May 2018'!AC25/'FS Jimbaran May 2018'!AB25</f>
        <v>10272.298279738261</v>
      </c>
      <c r="I15" s="148">
        <f>'FS Jimbaran May 2018'!AE25</f>
        <v>113.18000000000029</v>
      </c>
      <c r="J15" s="149">
        <f>'FS Jimbaran May 2018'!AF25/'FS Jimbaran May 2018'!AE25</f>
        <v>9150</v>
      </c>
      <c r="K15" s="148">
        <f>'FS Jimbaran May 2018'!Q25</f>
        <v>746</v>
      </c>
      <c r="L15" s="157">
        <f>'FS Jimbaran May 2018'!V25/'FS Jimbaran May 2018'!Q25</f>
        <v>7990.8153083109928</v>
      </c>
      <c r="M15" s="178">
        <v>106</v>
      </c>
      <c r="N15" s="179">
        <v>564</v>
      </c>
    </row>
    <row r="16" spans="1:15">
      <c r="A16" s="145" t="s">
        <v>14</v>
      </c>
      <c r="B16" s="146">
        <f t="shared" si="0"/>
        <v>15</v>
      </c>
      <c r="C16" s="147">
        <v>5</v>
      </c>
      <c r="D16" s="146">
        <v>2018</v>
      </c>
      <c r="E16" s="148">
        <f>'FS Jimbaran May 2018'!P26</f>
        <v>27200.000000000073</v>
      </c>
      <c r="F16" s="157">
        <f>'FS Jimbaran May 2018'!O26/'FS Jimbaran May 2018'!P26</f>
        <v>1183.1311290441174</v>
      </c>
      <c r="G16" s="148">
        <f>'FS Jimbaran May 2018'!AB26</f>
        <v>166.46692000002696</v>
      </c>
      <c r="H16" s="157">
        <f>'FS Jimbaran May 2018'!AC26/'FS Jimbaran May 2018'!AB26</f>
        <v>10471.333516352628</v>
      </c>
      <c r="I16" s="148">
        <f>'FS Jimbaran May 2018'!AE26</f>
        <v>9.9999999999909051E-2</v>
      </c>
      <c r="J16" s="149">
        <f>'FS Jimbaran May 2018'!AF26/'FS Jimbaran May 2018'!AE26</f>
        <v>9150</v>
      </c>
      <c r="K16" s="148">
        <f>'FS Jimbaran May 2018'!Q26</f>
        <v>769</v>
      </c>
      <c r="L16" s="157">
        <f>'FS Jimbaran May 2018'!V26/'FS Jimbaran May 2018'!Q26</f>
        <v>8874.9646033810131</v>
      </c>
      <c r="M16" s="178">
        <v>104</v>
      </c>
      <c r="N16" s="179">
        <v>706</v>
      </c>
    </row>
    <row r="17" spans="1:14">
      <c r="A17" s="145" t="s">
        <v>14</v>
      </c>
      <c r="B17" s="146">
        <f t="shared" si="0"/>
        <v>16</v>
      </c>
      <c r="C17" s="147">
        <v>5</v>
      </c>
      <c r="D17" s="146">
        <v>2018</v>
      </c>
      <c r="E17" s="148">
        <f>'FS Jimbaran May 2018'!P27</f>
        <v>27020.0000000002</v>
      </c>
      <c r="F17" s="157">
        <f>'FS Jimbaran May 2018'!O27/'FS Jimbaran May 2018'!P27</f>
        <v>1181.7552124352319</v>
      </c>
      <c r="G17" s="148">
        <f>'FS Jimbaran May 2018'!AB27</f>
        <v>133.76987999999648</v>
      </c>
      <c r="H17" s="157">
        <f>'FS Jimbaran May 2018'!AC27/'FS Jimbaran May 2018'!AB27</f>
        <v>14328.080369362779</v>
      </c>
      <c r="I17" s="148">
        <f>'FS Jimbaran May 2018'!AE27</f>
        <v>365.10000000000036</v>
      </c>
      <c r="J17" s="149">
        <f>'FS Jimbaran May 2018'!AF27/'FS Jimbaran May 2018'!AE27</f>
        <v>9150</v>
      </c>
      <c r="K17" s="148">
        <f>'FS Jimbaran May 2018'!Q27</f>
        <v>757</v>
      </c>
      <c r="L17" s="157">
        <f>'FS Jimbaran May 2018'!V27/'FS Jimbaran May 2018'!Q27</f>
        <v>7943.3385336856009</v>
      </c>
      <c r="M17" s="178">
        <v>99</v>
      </c>
      <c r="N17" s="179">
        <v>599</v>
      </c>
    </row>
    <row r="18" spans="1:14">
      <c r="A18" s="145" t="s">
        <v>14</v>
      </c>
      <c r="B18" s="146">
        <f t="shared" si="0"/>
        <v>17</v>
      </c>
      <c r="C18" s="147">
        <v>5</v>
      </c>
      <c r="D18" s="146">
        <v>2018</v>
      </c>
      <c r="E18" s="148">
        <f>'FS Jimbaran May 2018'!P28</f>
        <v>26639.999999999658</v>
      </c>
      <c r="F18" s="157">
        <f>'FS Jimbaran May 2018'!O28/'FS Jimbaran May 2018'!P28</f>
        <v>1181.8739695945949</v>
      </c>
      <c r="G18" s="148">
        <f>'FS Jimbaran May 2018'!AB28</f>
        <v>782.72259999998823</v>
      </c>
      <c r="H18" s="157">
        <f>'FS Jimbaran May 2018'!AC28/'FS Jimbaran May 2018'!AB28</f>
        <v>10997.552080136706</v>
      </c>
      <c r="I18" s="148">
        <f>'FS Jimbaran May 2018'!AE28</f>
        <v>495.96000000000095</v>
      </c>
      <c r="J18" s="149">
        <f>'FS Jimbaran May 2018'!AF28/'FS Jimbaran May 2018'!AE28</f>
        <v>9150</v>
      </c>
      <c r="K18" s="148">
        <f>'FS Jimbaran May 2018'!Q28</f>
        <v>502</v>
      </c>
      <c r="L18" s="157">
        <f>'FS Jimbaran May 2018'!V28/'FS Jimbaran May 2018'!Q28</f>
        <v>5013.814800796813</v>
      </c>
      <c r="M18" s="178">
        <v>92</v>
      </c>
      <c r="N18" s="179">
        <v>463</v>
      </c>
    </row>
    <row r="19" spans="1:14">
      <c r="A19" s="145" t="s">
        <v>14</v>
      </c>
      <c r="B19" s="146">
        <f t="shared" si="0"/>
        <v>18</v>
      </c>
      <c r="C19" s="147">
        <v>5</v>
      </c>
      <c r="D19" s="146">
        <v>2018</v>
      </c>
      <c r="E19" s="148">
        <f>'FS Jimbaran May 2018'!P29</f>
        <v>25959.999999999905</v>
      </c>
      <c r="F19" s="157">
        <f>'FS Jimbaran May 2018'!O29/'FS Jimbaran May 2018'!P29</f>
        <v>1183.9252673343606</v>
      </c>
      <c r="G19" s="148">
        <f>'FS Jimbaran May 2018'!AB29</f>
        <v>166.82944000001288</v>
      </c>
      <c r="H19" s="157">
        <f>'FS Jimbaran May 2018'!AC29/'FS Jimbaran May 2018'!AB29</f>
        <v>10470.641778333584</v>
      </c>
      <c r="I19" s="148">
        <f>'FS Jimbaran May 2018'!AE29</f>
        <v>498.48</v>
      </c>
      <c r="J19" s="149">
        <f>'FS Jimbaran May 2018'!AF29/'FS Jimbaran May 2018'!AE29</f>
        <v>9150</v>
      </c>
      <c r="K19" s="148">
        <f>'FS Jimbaran May 2018'!Q29</f>
        <v>550</v>
      </c>
      <c r="L19" s="157">
        <f>'FS Jimbaran May 2018'!V29/'FS Jimbaran May 2018'!Q29</f>
        <v>5590.6021454545462</v>
      </c>
      <c r="M19" s="178">
        <v>94</v>
      </c>
      <c r="N19" s="179">
        <v>689</v>
      </c>
    </row>
    <row r="20" spans="1:14">
      <c r="A20" s="145" t="s">
        <v>14</v>
      </c>
      <c r="B20" s="146">
        <f t="shared" si="0"/>
        <v>19</v>
      </c>
      <c r="C20" s="147">
        <v>5</v>
      </c>
      <c r="D20" s="146">
        <v>2018</v>
      </c>
      <c r="E20" s="148">
        <f>'FS Jimbaran May 2018'!P30</f>
        <v>24579.999999999993</v>
      </c>
      <c r="F20" s="157">
        <f>'FS Jimbaran May 2018'!O30/'FS Jimbaran May 2018'!P30</f>
        <v>1185.3528685923534</v>
      </c>
      <c r="G20" s="148">
        <f>'FS Jimbaran May 2018'!AB30</f>
        <v>117.33219999997654</v>
      </c>
      <c r="H20" s="157">
        <f>'FS Jimbaran May 2018'!AC30/'FS Jimbaran May 2018'!AB30</f>
        <v>10303.546908691762</v>
      </c>
      <c r="I20" s="148">
        <f>'FS Jimbaran May 2018'!AE30</f>
        <v>521.32999999999993</v>
      </c>
      <c r="J20" s="149">
        <f>'FS Jimbaran May 2018'!AF30/'FS Jimbaran May 2018'!AE30</f>
        <v>9150</v>
      </c>
      <c r="K20" s="148">
        <f>'FS Jimbaran May 2018'!Q30</f>
        <v>988</v>
      </c>
      <c r="L20" s="157">
        <f>'FS Jimbaran May 2018'!V30/'FS Jimbaran May 2018'!Q30</f>
        <v>8236.3203036437262</v>
      </c>
      <c r="M20" s="178">
        <v>29</v>
      </c>
      <c r="N20" s="179">
        <v>446</v>
      </c>
    </row>
    <row r="21" spans="1:14">
      <c r="A21" s="145" t="s">
        <v>14</v>
      </c>
      <c r="B21" s="146">
        <f t="shared" si="0"/>
        <v>20</v>
      </c>
      <c r="C21" s="147">
        <v>5</v>
      </c>
      <c r="D21" s="146">
        <v>2018</v>
      </c>
      <c r="E21" s="148">
        <f>'FS Jimbaran May 2018'!P31</f>
        <v>24160.000000000302</v>
      </c>
      <c r="F21" s="157">
        <f>'FS Jimbaran May 2018'!O31/'FS Jimbaran May 2018'!P31</f>
        <v>1182.5512264072827</v>
      </c>
      <c r="G21" s="148">
        <f>'FS Jimbaran May 2018'!AB31</f>
        <v>110.20264000001875</v>
      </c>
      <c r="H21" s="157">
        <f>'FS Jimbaran May 2018'!AC31/'FS Jimbaran May 2018'!AB31</f>
        <v>10313.286541229838</v>
      </c>
      <c r="I21" s="148">
        <f>'FS Jimbaran May 2018'!AE31</f>
        <v>465.50000000000045</v>
      </c>
      <c r="J21" s="149">
        <f>'FS Jimbaran May 2018'!AF31/'FS Jimbaran May 2018'!AE31</f>
        <v>9149.9999999999982</v>
      </c>
      <c r="K21" s="148">
        <f>'FS Jimbaran May 2018'!Q31</f>
        <v>453</v>
      </c>
      <c r="L21" s="157">
        <f>'FS Jimbaran May 2018'!V31/'FS Jimbaran May 2018'!Q31</f>
        <v>11098.307924944813</v>
      </c>
      <c r="M21" s="178">
        <v>18</v>
      </c>
      <c r="N21" s="179">
        <v>367</v>
      </c>
    </row>
    <row r="22" spans="1:14">
      <c r="A22" s="145" t="s">
        <v>14</v>
      </c>
      <c r="B22" s="146">
        <f t="shared" si="0"/>
        <v>21</v>
      </c>
      <c r="C22" s="147">
        <v>5</v>
      </c>
      <c r="D22" s="146">
        <v>2018</v>
      </c>
      <c r="E22" s="148">
        <f>'FS Jimbaran May 2018'!P32</f>
        <v>24199.999999999622</v>
      </c>
      <c r="F22" s="157">
        <f>'FS Jimbaran May 2018'!O32/'FS Jimbaran May 2018'!P32</f>
        <v>1178.7989615702502</v>
      </c>
      <c r="G22" s="148">
        <f>'FS Jimbaran May 2018'!AB32</f>
        <v>126.87855999998709</v>
      </c>
      <c r="H22" s="157">
        <f>'FS Jimbaran May 2018'!AC32/'FS Jimbaran May 2018'!AB32</f>
        <v>10292.219738937782</v>
      </c>
      <c r="I22" s="148">
        <f>'FS Jimbaran May 2018'!AE32</f>
        <v>415.66999999999962</v>
      </c>
      <c r="J22" s="149">
        <f>'FS Jimbaran May 2018'!AF32/'FS Jimbaran May 2018'!AE32</f>
        <v>9150</v>
      </c>
      <c r="K22" s="148">
        <f>'FS Jimbaran May 2018'!Q32</f>
        <v>219</v>
      </c>
      <c r="L22" s="157">
        <f>'FS Jimbaran May 2018'!V32/'FS Jimbaran May 2018'!Q32</f>
        <v>17970.18</v>
      </c>
      <c r="M22" s="178">
        <v>20</v>
      </c>
      <c r="N22" s="179">
        <v>287</v>
      </c>
    </row>
    <row r="23" spans="1:14">
      <c r="A23" s="145" t="s">
        <v>14</v>
      </c>
      <c r="B23" s="146">
        <f t="shared" si="0"/>
        <v>22</v>
      </c>
      <c r="C23" s="147">
        <v>5</v>
      </c>
      <c r="D23" s="146">
        <v>2018</v>
      </c>
      <c r="E23" s="148">
        <f>'FS Jimbaran May 2018'!P33</f>
        <v>24140.000000000437</v>
      </c>
      <c r="F23" s="157">
        <f>'FS Jimbaran May 2018'!O33/'FS Jimbaran May 2018'!P33</f>
        <v>1188.4867531068735</v>
      </c>
      <c r="G23" s="148">
        <f>'FS Jimbaran May 2018'!AB33</f>
        <v>750.37775999999303</v>
      </c>
      <c r="H23" s="157">
        <f>'FS Jimbaran May 2018'!AC33/'FS Jimbaran May 2018'!AB33</f>
        <v>11778.248061722954</v>
      </c>
      <c r="I23" s="148">
        <f>'FS Jimbaran May 2018'!AE33</f>
        <v>346.15999999999985</v>
      </c>
      <c r="J23" s="149">
        <f>'FS Jimbaran May 2018'!AF33/'FS Jimbaran May 2018'!AE33</f>
        <v>9150</v>
      </c>
      <c r="K23" s="148">
        <f>'FS Jimbaran May 2018'!Q33</f>
        <v>981</v>
      </c>
      <c r="L23" s="157">
        <f>'FS Jimbaran May 2018'!V33/'FS Jimbaran May 2018'!Q33</f>
        <v>7964.315749235474</v>
      </c>
      <c r="M23" s="178">
        <v>27</v>
      </c>
      <c r="N23" s="179">
        <v>264</v>
      </c>
    </row>
    <row r="24" spans="1:14">
      <c r="A24" s="145" t="s">
        <v>14</v>
      </c>
      <c r="B24" s="146">
        <f t="shared" si="0"/>
        <v>23</v>
      </c>
      <c r="C24" s="147">
        <v>5</v>
      </c>
      <c r="D24" s="146">
        <v>2018</v>
      </c>
      <c r="E24" s="148">
        <f>'FS Jimbaran May 2018'!P34</f>
        <v>24879.999999999884</v>
      </c>
      <c r="F24" s="157">
        <f>'FS Jimbaran May 2018'!O34/'FS Jimbaran May 2018'!P34</f>
        <v>1183.7366768488746</v>
      </c>
      <c r="G24" s="148">
        <f>'FS Jimbaran May 2018'!AB34</f>
        <v>91.838400000011717</v>
      </c>
      <c r="H24" s="157">
        <f>'FS Jimbaran May 2018'!AC34/'FS Jimbaran May 2018'!AB34</f>
        <v>10153</v>
      </c>
      <c r="I24" s="148">
        <f>'FS Jimbaran May 2018'!AE34</f>
        <v>860.63999999999851</v>
      </c>
      <c r="J24" s="149">
        <f>'FS Jimbaran May 2018'!AF34/'FS Jimbaran May 2018'!AE34</f>
        <v>9150</v>
      </c>
      <c r="K24" s="148">
        <f>'FS Jimbaran May 2018'!Q34</f>
        <v>814</v>
      </c>
      <c r="L24" s="157">
        <f>'FS Jimbaran May 2018'!V34/'FS Jimbaran May 2018'!Q34</f>
        <v>8499.0022850122859</v>
      </c>
      <c r="M24" s="178">
        <v>35</v>
      </c>
      <c r="N24" s="179">
        <v>232</v>
      </c>
    </row>
    <row r="25" spans="1:14">
      <c r="A25" s="145" t="s">
        <v>14</v>
      </c>
      <c r="B25" s="146">
        <f t="shared" si="0"/>
        <v>24</v>
      </c>
      <c r="C25" s="147">
        <v>5</v>
      </c>
      <c r="D25" s="146">
        <v>2018</v>
      </c>
      <c r="E25" s="148">
        <f>'FS Jimbaran May 2018'!P35</f>
        <v>26460.000000000404</v>
      </c>
      <c r="F25" s="157">
        <f>'FS Jimbaran May 2018'!O35/'FS Jimbaran May 2018'!P35</f>
        <v>1177.1721904761912</v>
      </c>
      <c r="G25" s="148">
        <f>'FS Jimbaran May 2018'!AB35</f>
        <v>86.440879999996469</v>
      </c>
      <c r="H25" s="157">
        <f>'FS Jimbaran May 2018'!AC35/'FS Jimbaran May 2018'!AB35</f>
        <v>10153</v>
      </c>
      <c r="I25" s="148">
        <f>'FS Jimbaran May 2018'!AE35</f>
        <v>586.32000000000153</v>
      </c>
      <c r="J25" s="149">
        <f>'FS Jimbaran May 2018'!AF35/'FS Jimbaran May 2018'!AE35</f>
        <v>9150</v>
      </c>
      <c r="K25" s="148">
        <f>'FS Jimbaran May 2018'!Q35</f>
        <v>791</v>
      </c>
      <c r="L25" s="157">
        <f>'FS Jimbaran May 2018'!V35/'FS Jimbaran May 2018'!Q35</f>
        <v>8541.7948040455121</v>
      </c>
      <c r="M25" s="178">
        <v>40</v>
      </c>
      <c r="N25" s="179">
        <v>338</v>
      </c>
    </row>
    <row r="26" spans="1:14">
      <c r="A26" s="145" t="s">
        <v>14</v>
      </c>
      <c r="B26" s="146">
        <f>B25+1</f>
        <v>25</v>
      </c>
      <c r="C26" s="147">
        <v>5</v>
      </c>
      <c r="D26" s="146">
        <v>2018</v>
      </c>
      <c r="E26" s="148">
        <f>'FS Jimbaran May 2018'!P36</f>
        <v>24239.999999999327</v>
      </c>
      <c r="F26" s="157">
        <f>'FS Jimbaran May 2018'!O36/'FS Jimbaran May 2018'!P36</f>
        <v>1186.7244245049524</v>
      </c>
      <c r="G26" s="148">
        <f>'FS Jimbaran May 2018'!AB36</f>
        <v>101.30420000000585</v>
      </c>
      <c r="H26" s="157">
        <f>'FS Jimbaran May 2018'!AC36/'FS Jimbaran May 2018'!AB36</f>
        <v>10153</v>
      </c>
      <c r="I26" s="148">
        <f>'FS Jimbaran May 2018'!AE36</f>
        <v>510.20999999999913</v>
      </c>
      <c r="J26" s="149">
        <f>'FS Jimbaran May 2018'!AF36/'FS Jimbaran May 2018'!AE36</f>
        <v>9150</v>
      </c>
      <c r="K26" s="148">
        <f>'FS Jimbaran May 2018'!Q36</f>
        <v>832</v>
      </c>
      <c r="L26" s="157">
        <f>'FS Jimbaran May 2018'!V36/'FS Jimbaran May 2018'!Q36</f>
        <v>8433.2432572115395</v>
      </c>
      <c r="M26" s="178">
        <v>36</v>
      </c>
      <c r="N26" s="179">
        <v>418</v>
      </c>
    </row>
    <row r="27" spans="1:14">
      <c r="A27" s="145" t="s">
        <v>14</v>
      </c>
      <c r="B27" s="146">
        <f t="shared" si="0"/>
        <v>26</v>
      </c>
      <c r="C27" s="147">
        <v>5</v>
      </c>
      <c r="D27" s="146">
        <v>2018</v>
      </c>
      <c r="E27" s="148">
        <f>'FS Jimbaran May 2018'!P37</f>
        <v>24360.000000000684</v>
      </c>
      <c r="F27" s="157">
        <f>'FS Jimbaran May 2018'!O37/'FS Jimbaran May 2018'!P37</f>
        <v>1179.5391206896525</v>
      </c>
      <c r="G27" s="148">
        <f>'FS Jimbaran May 2018'!AB37</f>
        <v>125.50559999998826</v>
      </c>
      <c r="H27" s="157">
        <f>'FS Jimbaran May 2018'!AC37/'FS Jimbaran May 2018'!AB37</f>
        <v>10434.485447661327</v>
      </c>
      <c r="I27" s="148">
        <f>'FS Jimbaran May 2018'!AE37</f>
        <v>479.70000000000073</v>
      </c>
      <c r="J27" s="149">
        <f>'FS Jimbaran May 2018'!AF37/'FS Jimbaran May 2018'!AE37</f>
        <v>9150</v>
      </c>
      <c r="K27" s="148">
        <f>'FS Jimbaran May 2018'!Q37</f>
        <v>774</v>
      </c>
      <c r="L27" s="157">
        <f>'FS Jimbaran May 2018'!V37/'FS Jimbaran May 2018'!Q37</f>
        <v>7958.192209302325</v>
      </c>
      <c r="M27" s="178">
        <v>37</v>
      </c>
      <c r="N27" s="179">
        <v>399</v>
      </c>
    </row>
    <row r="28" spans="1:14">
      <c r="A28" s="145" t="s">
        <v>14</v>
      </c>
      <c r="B28" s="146">
        <f t="shared" si="0"/>
        <v>27</v>
      </c>
      <c r="C28" s="147">
        <v>5</v>
      </c>
      <c r="D28" s="146">
        <v>2018</v>
      </c>
      <c r="E28" s="148">
        <f>'FS Jimbaran May 2018'!P38</f>
        <v>24440</v>
      </c>
      <c r="F28" s="157">
        <f>'FS Jimbaran May 2018'!O38/'FS Jimbaran May 2018'!P38</f>
        <v>1182.7980368248766</v>
      </c>
      <c r="G28" s="148">
        <f>'FS Jimbaran May 2018'!AB38</f>
        <v>496.10808000000236</v>
      </c>
      <c r="H28" s="157">
        <f>'FS Jimbaran May 2018'!AC38/'FS Jimbaran May 2018'!AB38</f>
        <v>10972.982613465996</v>
      </c>
      <c r="I28" s="148">
        <f>'FS Jimbaran May 2018'!AE38</f>
        <v>486.44999999999891</v>
      </c>
      <c r="J28" s="149">
        <f>'FS Jimbaran May 2018'!AF38/'FS Jimbaran May 2018'!AE38</f>
        <v>9150</v>
      </c>
      <c r="K28" s="148">
        <f>'FS Jimbaran May 2018'!Q38</f>
        <v>732</v>
      </c>
      <c r="L28" s="157">
        <f>'FS Jimbaran May 2018'!V38/'FS Jimbaran May 2018'!Q38</f>
        <v>8596.1986612021865</v>
      </c>
      <c r="M28" s="178">
        <v>32</v>
      </c>
      <c r="N28" s="179">
        <v>477</v>
      </c>
    </row>
    <row r="29" spans="1:14">
      <c r="A29" s="145" t="s">
        <v>14</v>
      </c>
      <c r="B29" s="146">
        <f t="shared" si="0"/>
        <v>28</v>
      </c>
      <c r="C29" s="147">
        <v>5</v>
      </c>
      <c r="D29" s="146">
        <v>2018</v>
      </c>
      <c r="E29" s="148">
        <f>'FS Jimbaran May 2018'!P39</f>
        <v>23759.999999999891</v>
      </c>
      <c r="F29" s="157">
        <f>'FS Jimbaran May 2018'!O39/'FS Jimbaran May 2018'!P39</f>
        <v>1182.7770606060608</v>
      </c>
      <c r="G29" s="148">
        <f>'FS Jimbaran May 2018'!AB39</f>
        <v>368.94340000001171</v>
      </c>
      <c r="H29" s="157">
        <f>'FS Jimbaran May 2018'!AC39/'FS Jimbaran May 2018'!AB39</f>
        <v>12403.789687523815</v>
      </c>
      <c r="I29" s="148">
        <f>'FS Jimbaran May 2018'!AE39</f>
        <v>366.11000000000058</v>
      </c>
      <c r="J29" s="149">
        <f>'FS Jimbaran May 2018'!AF39/'FS Jimbaran May 2018'!AE39</f>
        <v>9150</v>
      </c>
      <c r="K29" s="148">
        <f>'FS Jimbaran May 2018'!Q39</f>
        <v>667</v>
      </c>
      <c r="L29" s="157">
        <f>'FS Jimbaran May 2018'!V39/'FS Jimbaran May 2018'!Q39</f>
        <v>9509.8136131934025</v>
      </c>
      <c r="M29" s="178">
        <v>44</v>
      </c>
      <c r="N29" s="179">
        <v>363</v>
      </c>
    </row>
    <row r="30" spans="1:14">
      <c r="A30" s="145" t="s">
        <v>14</v>
      </c>
      <c r="B30" s="146">
        <f t="shared" si="0"/>
        <v>29</v>
      </c>
      <c r="C30" s="147">
        <v>5</v>
      </c>
      <c r="D30" s="146">
        <v>2018</v>
      </c>
      <c r="E30" s="148">
        <f>'FS Jimbaran May 2018'!P40</f>
        <v>22699.999999999891</v>
      </c>
      <c r="F30" s="157">
        <f>'FS Jimbaran May 2018'!O40/'FS Jimbaran May 2018'!P40</f>
        <v>1183.8691625550664</v>
      </c>
      <c r="G30" s="148">
        <f>'FS Jimbaran May 2018'!AB40</f>
        <v>121.44075999999295</v>
      </c>
      <c r="H30" s="157">
        <f>'FS Jimbaran May 2018'!AC40/'FS Jimbaran May 2018'!AB40</f>
        <v>10298.453635171594</v>
      </c>
      <c r="I30" s="148">
        <f>'FS Jimbaran May 2018'!AE40</f>
        <v>333.81000000000085</v>
      </c>
      <c r="J30" s="149">
        <f>'FS Jimbaran May 2018'!AF40/'FS Jimbaran May 2018'!AE40</f>
        <v>9150</v>
      </c>
      <c r="K30" s="148">
        <f>'FS Jimbaran May 2018'!Q40</f>
        <v>817</v>
      </c>
      <c r="L30" s="157">
        <f>'FS Jimbaran May 2018'!V40/'FS Jimbaran May 2018'!Q40</f>
        <v>8987.7650428396573</v>
      </c>
      <c r="M30" s="178">
        <v>37</v>
      </c>
      <c r="N30" s="179">
        <v>412</v>
      </c>
    </row>
    <row r="31" spans="1:14">
      <c r="A31" s="145" t="s">
        <v>14</v>
      </c>
      <c r="B31" s="146">
        <f t="shared" si="0"/>
        <v>30</v>
      </c>
      <c r="C31" s="147">
        <v>5</v>
      </c>
      <c r="D31" s="146">
        <v>2018</v>
      </c>
      <c r="E31" s="148">
        <f>'FS Jimbaran May 2018'!P41</f>
        <v>23199.999999999989</v>
      </c>
      <c r="F31" s="157">
        <f>'FS Jimbaran May 2018'!O41/'FS Jimbaran May 2018'!P41</f>
        <v>1183.2000672413817</v>
      </c>
      <c r="G31" s="148">
        <f>'FS Jimbaran May 2018'!AB41</f>
        <v>124.33748000001405</v>
      </c>
      <c r="H31" s="157">
        <f>'FS Jimbaran May 2018'!AC41/'FS Jimbaran May 2018'!AB41</f>
        <v>10437.129934111548</v>
      </c>
      <c r="I31" s="148">
        <f>'FS Jimbaran May 2018'!AE41</f>
        <v>395.14999999999964</v>
      </c>
      <c r="J31" s="149">
        <f>'FS Jimbaran May 2018'!AF41/'FS Jimbaran May 2018'!AE41</f>
        <v>9150</v>
      </c>
      <c r="K31" s="148">
        <f>'FS Jimbaran May 2018'!Q41</f>
        <v>688</v>
      </c>
      <c r="L31" s="157">
        <f>'FS Jimbaran May 2018'!V41/'FS Jimbaran May 2018'!Q41</f>
        <v>9382.9750872093045</v>
      </c>
      <c r="M31" s="178">
        <v>44</v>
      </c>
      <c r="N31" s="179">
        <v>530</v>
      </c>
    </row>
    <row r="32" spans="1:14">
      <c r="A32" s="145" t="s">
        <v>14</v>
      </c>
      <c r="B32" s="146">
        <f t="shared" si="0"/>
        <v>31</v>
      </c>
      <c r="C32" s="147">
        <v>5</v>
      </c>
      <c r="D32" s="146">
        <v>2018</v>
      </c>
      <c r="E32" s="148">
        <f>'FS Jimbaran May 2018'!P42</f>
        <v>34420.000000000087</v>
      </c>
      <c r="F32" s="157">
        <f>'FS Jimbaran May 2018'!O42/'FS Jimbaran May 2018'!P42</f>
        <v>1152.974805636258</v>
      </c>
      <c r="G32" s="148">
        <f>'FS Jimbaran May 2018'!AB42</f>
        <v>123.86099999999999</v>
      </c>
      <c r="H32" s="157">
        <f>'FS Jimbaran May 2018'!AC42/'FS Jimbaran May 2018'!AB42</f>
        <v>10153</v>
      </c>
      <c r="I32" s="148">
        <f>'FS Jimbaran May 2018'!AE42</f>
        <v>659.57999999999811</v>
      </c>
      <c r="J32" s="149">
        <f>'FS Jimbaran May 2018'!AF42/'FS Jimbaran May 2018'!AE42</f>
        <v>9150</v>
      </c>
      <c r="K32" s="148">
        <f>'FS Jimbaran May 2018'!Q42</f>
        <v>745</v>
      </c>
      <c r="L32" s="157">
        <f>'FS Jimbaran May 2018'!V42/'FS Jimbaran May 2018'!Q42</f>
        <v>8635.3065100671138</v>
      </c>
      <c r="M32" s="178">
        <v>47</v>
      </c>
      <c r="N32" s="179">
        <v>377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62"/>
  <sheetViews>
    <sheetView tabSelected="1" zoomScale="62" zoomScaleNormal="62" workbookViewId="0">
      <pane xSplit="4" ySplit="10" topLeftCell="S39" activePane="bottomRight" state="frozen"/>
      <selection pane="bottomRight" activeCell="AB47" sqref="AB47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0.28515625" style="3" customWidth="1"/>
    <col min="4" max="4" width="10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0" bestFit="1" customWidth="1"/>
    <col min="14" max="14" width="20.42578125" style="64" customWidth="1"/>
    <col min="15" max="15" width="18.85546875" customWidth="1"/>
    <col min="16" max="16" width="15.140625" style="64" customWidth="1"/>
    <col min="17" max="17" width="19.710937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7.85546875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" bestFit="1" customWidth="1"/>
    <col min="29" max="29" width="19" style="3" customWidth="1"/>
    <col min="30" max="30" width="10.5703125" customWidth="1"/>
    <col min="31" max="31" width="13.28515625" style="82" bestFit="1" customWidth="1"/>
    <col min="32" max="32" width="20.7109375" bestFit="1" customWidth="1"/>
    <col min="33" max="33" width="9.42578125" style="37" bestFit="1" customWidth="1"/>
    <col min="34" max="34" width="2.28515625" style="7" customWidth="1"/>
  </cols>
  <sheetData>
    <row r="5" spans="1:34">
      <c r="N5" s="158"/>
      <c r="S5" s="159"/>
    </row>
    <row r="6" spans="1:34" s="22" customFormat="1" ht="18.75">
      <c r="B6" s="22" t="s">
        <v>16</v>
      </c>
      <c r="C6" s="30"/>
      <c r="E6" s="30"/>
      <c r="F6" s="30"/>
      <c r="H6" s="30"/>
      <c r="L6" s="30"/>
      <c r="M6" s="55"/>
      <c r="N6" s="61"/>
      <c r="P6" s="61"/>
      <c r="Y6" s="30"/>
      <c r="AC6" s="30"/>
      <c r="AE6" s="79"/>
      <c r="AG6" s="33"/>
    </row>
    <row r="7" spans="1:34" s="11" customFormat="1">
      <c r="A7" s="26"/>
      <c r="B7" s="183" t="s">
        <v>17</v>
      </c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5"/>
      <c r="AH7" s="26"/>
    </row>
    <row r="8" spans="1:34" s="7" customFormat="1" ht="15.75" customHeight="1">
      <c r="A8" s="23"/>
      <c r="B8" s="186" t="s">
        <v>18</v>
      </c>
      <c r="C8" s="189" t="s">
        <v>19</v>
      </c>
      <c r="D8" s="192" t="s">
        <v>13</v>
      </c>
      <c r="E8" s="195" t="s">
        <v>20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6" t="s">
        <v>21</v>
      </c>
      <c r="R8" s="197"/>
      <c r="S8" s="197"/>
      <c r="T8" s="197"/>
      <c r="U8" s="197"/>
      <c r="V8" s="197"/>
      <c r="W8" s="198"/>
      <c r="X8" s="199" t="s">
        <v>22</v>
      </c>
      <c r="Y8" s="199"/>
      <c r="Z8" s="199"/>
      <c r="AA8" s="199"/>
      <c r="AB8" s="199"/>
      <c r="AC8" s="199"/>
      <c r="AD8" s="199"/>
      <c r="AE8" s="199"/>
      <c r="AF8" s="199"/>
      <c r="AG8" s="200"/>
      <c r="AH8" s="25"/>
    </row>
    <row r="9" spans="1:34" ht="15" customHeight="1">
      <c r="B9" s="187"/>
      <c r="C9" s="190"/>
      <c r="D9" s="193"/>
      <c r="E9" s="201" t="s">
        <v>23</v>
      </c>
      <c r="F9" s="202"/>
      <c r="G9" s="202"/>
      <c r="H9" s="202"/>
      <c r="I9" s="203"/>
      <c r="J9" s="204" t="s">
        <v>24</v>
      </c>
      <c r="K9" s="204"/>
      <c r="L9" s="204"/>
      <c r="M9" s="204"/>
      <c r="N9" s="205"/>
      <c r="O9" s="192" t="s">
        <v>25</v>
      </c>
      <c r="P9" s="206" t="s">
        <v>26</v>
      </c>
      <c r="Q9" s="49"/>
      <c r="R9" s="49" t="s">
        <v>27</v>
      </c>
      <c r="S9" s="49"/>
      <c r="T9" s="50"/>
      <c r="U9" s="161"/>
      <c r="V9" s="181" t="s">
        <v>28</v>
      </c>
      <c r="W9" s="182"/>
      <c r="X9" s="199" t="s">
        <v>29</v>
      </c>
      <c r="Y9" s="199"/>
      <c r="Z9" s="199"/>
      <c r="AA9" s="199"/>
      <c r="AB9" s="199"/>
      <c r="AC9" s="199"/>
      <c r="AD9" s="200"/>
      <c r="AE9" s="127" t="s">
        <v>30</v>
      </c>
      <c r="AF9" s="32"/>
      <c r="AG9" s="34"/>
    </row>
    <row r="10" spans="1:34" ht="61.5" customHeight="1">
      <c r="A10" s="24"/>
      <c r="B10" s="188"/>
      <c r="C10" s="191"/>
      <c r="D10" s="194"/>
      <c r="E10" s="92" t="s">
        <v>31</v>
      </c>
      <c r="F10" s="77" t="s">
        <v>32</v>
      </c>
      <c r="G10" s="122" t="s">
        <v>33</v>
      </c>
      <c r="H10" s="16" t="s">
        <v>32</v>
      </c>
      <c r="I10" s="93" t="s">
        <v>34</v>
      </c>
      <c r="J10" s="92" t="s">
        <v>31</v>
      </c>
      <c r="K10" s="78" t="s">
        <v>32</v>
      </c>
      <c r="L10" s="122" t="s">
        <v>33</v>
      </c>
      <c r="M10" s="56" t="s">
        <v>32</v>
      </c>
      <c r="N10" s="85" t="s">
        <v>35</v>
      </c>
      <c r="O10" s="194"/>
      <c r="P10" s="207"/>
      <c r="Q10" s="162" t="s">
        <v>36</v>
      </c>
      <c r="R10" s="51" t="s">
        <v>37</v>
      </c>
      <c r="S10" s="51" t="s">
        <v>38</v>
      </c>
      <c r="T10" s="20" t="s">
        <v>39</v>
      </c>
      <c r="U10" s="20" t="s">
        <v>40</v>
      </c>
      <c r="V10" s="20" t="s">
        <v>41</v>
      </c>
      <c r="W10" s="12" t="s">
        <v>42</v>
      </c>
      <c r="X10" s="114" t="s">
        <v>43</v>
      </c>
      <c r="Y10" s="44" t="s">
        <v>44</v>
      </c>
      <c r="Z10" s="43" t="s">
        <v>45</v>
      </c>
      <c r="AA10" s="43" t="s">
        <v>46</v>
      </c>
      <c r="AB10" s="43" t="s">
        <v>47</v>
      </c>
      <c r="AC10" s="44" t="s">
        <v>41</v>
      </c>
      <c r="AD10" s="45" t="s">
        <v>42</v>
      </c>
      <c r="AE10" s="128" t="s">
        <v>48</v>
      </c>
      <c r="AF10" s="43" t="s">
        <v>41</v>
      </c>
      <c r="AG10" s="47" t="s">
        <v>42</v>
      </c>
      <c r="AH10" s="24"/>
    </row>
    <row r="11" spans="1:34">
      <c r="A11" s="24"/>
      <c r="B11" s="53"/>
      <c r="C11" s="94"/>
      <c r="D11" s="163"/>
      <c r="E11" s="164"/>
      <c r="F11" s="83"/>
      <c r="G11" s="17"/>
      <c r="H11" s="18"/>
      <c r="I11" s="95"/>
      <c r="J11" s="84"/>
      <c r="K11" s="17"/>
      <c r="L11" s="18"/>
      <c r="M11" s="57"/>
      <c r="N11" s="86"/>
      <c r="O11" s="52"/>
      <c r="P11" s="103"/>
      <c r="Q11" s="84"/>
      <c r="R11" s="17"/>
      <c r="S11" s="17"/>
      <c r="T11" s="19"/>
      <c r="U11" s="19"/>
      <c r="V11" s="19"/>
      <c r="W11" s="95"/>
      <c r="X11" s="115"/>
      <c r="Y11" s="41"/>
      <c r="Z11" s="38"/>
      <c r="AA11" s="38"/>
      <c r="AB11" s="38"/>
      <c r="AC11" s="41"/>
      <c r="AD11" s="42"/>
      <c r="AE11" s="129"/>
      <c r="AF11" s="38"/>
      <c r="AG11" s="46"/>
      <c r="AH11" s="24"/>
    </row>
    <row r="12" spans="1:34">
      <c r="A12" s="29"/>
      <c r="B12" s="54">
        <v>1</v>
      </c>
      <c r="C12" s="178">
        <v>66</v>
      </c>
      <c r="D12" s="179">
        <v>663</v>
      </c>
      <c r="E12" s="99">
        <v>8320.0000000069849</v>
      </c>
      <c r="F12" s="2">
        <v>9048574.0800075959</v>
      </c>
      <c r="G12" s="31">
        <v>3840.0000000001455</v>
      </c>
      <c r="H12" s="2">
        <v>6264397.4400002379</v>
      </c>
      <c r="I12" s="96">
        <f>F12+H12</f>
        <v>15312971.520007834</v>
      </c>
      <c r="J12" s="99">
        <v>1260.0000000002183</v>
      </c>
      <c r="K12" s="2">
        <v>1370336.9400002374</v>
      </c>
      <c r="L12" s="165">
        <v>519.99999999998181</v>
      </c>
      <c r="M12" s="166">
        <v>848303.81999997038</v>
      </c>
      <c r="N12" s="87">
        <f>+K12+M12</f>
        <v>2218640.7600002079</v>
      </c>
      <c r="O12" s="101">
        <f>N12+I12</f>
        <v>17531612.28000804</v>
      </c>
      <c r="P12" s="104">
        <f>L12+J12+G12+E12</f>
        <v>13940.000000007331</v>
      </c>
      <c r="Q12" s="167">
        <f>T12+R12</f>
        <v>881</v>
      </c>
      <c r="R12" s="2">
        <v>344</v>
      </c>
      <c r="S12" s="2">
        <v>6181741.9199999999</v>
      </c>
      <c r="T12" s="27">
        <v>537</v>
      </c>
      <c r="U12" s="27">
        <v>2536546.35</v>
      </c>
      <c r="V12" s="27">
        <f t="shared" ref="V12:V39" si="0">U12+S12</f>
        <v>8718288.2699999996</v>
      </c>
      <c r="W12" s="117">
        <f t="shared" ref="W12:W39" si="1">V12/$AG$48</f>
        <v>671.87328925739564</v>
      </c>
      <c r="X12" s="123">
        <v>113.75071999999179</v>
      </c>
      <c r="Y12" s="2"/>
      <c r="Z12" s="2">
        <v>400</v>
      </c>
      <c r="AA12" s="2">
        <v>0</v>
      </c>
      <c r="AB12" s="2">
        <f>X12+Y12+Z12+AA12</f>
        <v>513.75071999999182</v>
      </c>
      <c r="AC12" s="2">
        <v>5622911.0601599161</v>
      </c>
      <c r="AD12" s="39">
        <f t="shared" ref="AD12:AD39" si="2">AC12/$AG$48</f>
        <v>433.32861132744273</v>
      </c>
      <c r="AE12" s="130">
        <v>62.090000000011059</v>
      </c>
      <c r="AF12" s="2">
        <v>568123.50000010116</v>
      </c>
      <c r="AG12" s="35">
        <f t="shared" ref="AG12:AG42" si="3">AF12/$AG$48</f>
        <v>43.782333507250733</v>
      </c>
      <c r="AH12" s="6"/>
    </row>
    <row r="13" spans="1:34">
      <c r="A13" s="29"/>
      <c r="B13" s="54">
        <v>2</v>
      </c>
      <c r="C13" s="178">
        <v>75</v>
      </c>
      <c r="D13" s="179">
        <v>547</v>
      </c>
      <c r="E13" s="99">
        <v>18879.999999975553</v>
      </c>
      <c r="F13" s="2">
        <v>20533302.719973411</v>
      </c>
      <c r="G13" s="31">
        <v>4000</v>
      </c>
      <c r="H13" s="2">
        <v>6525414</v>
      </c>
      <c r="I13" s="96">
        <f t="shared" ref="I13:I42" si="4">F13+H13</f>
        <v>27058716.719973411</v>
      </c>
      <c r="J13" s="99">
        <v>2339.9999999996908</v>
      </c>
      <c r="K13" s="2">
        <v>2544911.4599996638</v>
      </c>
      <c r="L13" s="165">
        <v>519.99999999998181</v>
      </c>
      <c r="M13" s="166">
        <v>848303.81999997038</v>
      </c>
      <c r="N13" s="87">
        <f t="shared" ref="N13:N41" si="5">+K13+M13</f>
        <v>3393215.2799996343</v>
      </c>
      <c r="O13" s="101">
        <f t="shared" ref="O13:O39" si="6">N13+I13</f>
        <v>30451931.999973044</v>
      </c>
      <c r="P13" s="104">
        <f t="shared" ref="P13:P39" si="7">L13+J13+G13+E13</f>
        <v>25739.999999975225</v>
      </c>
      <c r="Q13" s="167">
        <f t="shared" ref="Q13:Q42" si="8">T13+R13</f>
        <v>731</v>
      </c>
      <c r="R13" s="2">
        <v>345</v>
      </c>
      <c r="S13" s="2">
        <v>6199712.1000000006</v>
      </c>
      <c r="T13" s="27">
        <v>386</v>
      </c>
      <c r="U13" s="27">
        <v>1823290.3</v>
      </c>
      <c r="V13" s="27">
        <f t="shared" si="0"/>
        <v>8023002.4000000004</v>
      </c>
      <c r="W13" s="117">
        <f t="shared" si="1"/>
        <v>618.29121098882638</v>
      </c>
      <c r="X13" s="123">
        <v>109.76299999999999</v>
      </c>
      <c r="Y13" s="2"/>
      <c r="Z13" s="2"/>
      <c r="AA13" s="2">
        <v>24</v>
      </c>
      <c r="AB13" s="2">
        <f t="shared" ref="AB13:AB42" si="9">X13+Y13+Z13+AA13</f>
        <v>133.76299999999998</v>
      </c>
      <c r="AC13" s="2">
        <v>1393423.7389999998</v>
      </c>
      <c r="AD13" s="39">
        <f t="shared" si="2"/>
        <v>107.3839453178885</v>
      </c>
      <c r="AE13" s="130">
        <v>67.429999999993015</v>
      </c>
      <c r="AF13" s="2">
        <v>616984.49999993609</v>
      </c>
      <c r="AG13" s="35">
        <f t="shared" si="3"/>
        <v>47.547797526060322</v>
      </c>
      <c r="AH13" s="6"/>
    </row>
    <row r="14" spans="1:34">
      <c r="A14" s="29"/>
      <c r="B14" s="54">
        <v>3</v>
      </c>
      <c r="C14" s="178">
        <v>75</v>
      </c>
      <c r="D14" s="179">
        <v>530</v>
      </c>
      <c r="E14" s="99">
        <v>20280.00000002794</v>
      </c>
      <c r="F14" s="2">
        <v>22055899.320030387</v>
      </c>
      <c r="G14" s="31">
        <v>4080.0000000017462</v>
      </c>
      <c r="H14" s="2">
        <v>6655922.2800028492</v>
      </c>
      <c r="I14" s="96">
        <f t="shared" si="4"/>
        <v>28711821.600033239</v>
      </c>
      <c r="J14" s="99">
        <v>2400.0000000000909</v>
      </c>
      <c r="K14" s="2">
        <v>2610165.6000000988</v>
      </c>
      <c r="L14" s="165">
        <v>520.0000000000955</v>
      </c>
      <c r="M14" s="166">
        <v>848303.82000015595</v>
      </c>
      <c r="N14" s="87">
        <f t="shared" si="5"/>
        <v>3458469.4200002546</v>
      </c>
      <c r="O14" s="101">
        <f t="shared" si="6"/>
        <v>32170291.020033494</v>
      </c>
      <c r="P14" s="104">
        <f t="shared" si="7"/>
        <v>27280.000000029871</v>
      </c>
      <c r="Q14" s="167">
        <f t="shared" si="8"/>
        <v>677</v>
      </c>
      <c r="R14" s="2">
        <v>299</v>
      </c>
      <c r="S14" s="2">
        <v>5373083.8200000003</v>
      </c>
      <c r="T14" s="27">
        <v>378</v>
      </c>
      <c r="U14" s="27">
        <v>1785501.9000000001</v>
      </c>
      <c r="V14" s="27">
        <f t="shared" si="0"/>
        <v>7158585.7200000007</v>
      </c>
      <c r="W14" s="117">
        <f t="shared" si="1"/>
        <v>551.67509781451895</v>
      </c>
      <c r="X14" s="123">
        <v>204.21959999998825</v>
      </c>
      <c r="Y14" s="2"/>
      <c r="Z14" s="2"/>
      <c r="AA14" s="2">
        <v>0</v>
      </c>
      <c r="AB14" s="2">
        <f t="shared" si="9"/>
        <v>204.21959999998825</v>
      </c>
      <c r="AC14" s="2">
        <v>2631941.5987998806</v>
      </c>
      <c r="AD14" s="39">
        <f t="shared" si="2"/>
        <v>202.83009741762584</v>
      </c>
      <c r="AE14" s="130">
        <v>125.71999999999798</v>
      </c>
      <c r="AF14" s="2">
        <v>1150337.9999999816</v>
      </c>
      <c r="AG14" s="35">
        <f t="shared" si="3"/>
        <v>88.650587349500626</v>
      </c>
      <c r="AH14" s="6"/>
    </row>
    <row r="15" spans="1:34">
      <c r="A15" s="29"/>
      <c r="B15" s="54">
        <v>4</v>
      </c>
      <c r="C15" s="178">
        <v>87</v>
      </c>
      <c r="D15" s="179">
        <v>671</v>
      </c>
      <c r="E15" s="99">
        <v>19279.999999998836</v>
      </c>
      <c r="F15" s="2">
        <v>20968330.319998737</v>
      </c>
      <c r="G15" s="31">
        <v>4119.9999999989814</v>
      </c>
      <c r="H15" s="2">
        <v>6721176.4199983394</v>
      </c>
      <c r="I15" s="96">
        <f t="shared" si="4"/>
        <v>27689506.739997078</v>
      </c>
      <c r="J15" s="99">
        <v>2099.9999999999091</v>
      </c>
      <c r="K15" s="2">
        <v>2283894.8999999012</v>
      </c>
      <c r="L15" s="165">
        <v>539.99999999996362</v>
      </c>
      <c r="M15" s="166">
        <v>880930.88999994064</v>
      </c>
      <c r="N15" s="87">
        <f t="shared" si="5"/>
        <v>3164825.7899998417</v>
      </c>
      <c r="O15" s="101">
        <f t="shared" si="6"/>
        <v>30854332.52999692</v>
      </c>
      <c r="P15" s="104">
        <f t="shared" si="7"/>
        <v>26039.99999999769</v>
      </c>
      <c r="Q15" s="167">
        <f t="shared" si="8"/>
        <v>611</v>
      </c>
      <c r="R15" s="2">
        <v>80</v>
      </c>
      <c r="S15" s="2">
        <v>1437614.4</v>
      </c>
      <c r="T15" s="27">
        <v>531</v>
      </c>
      <c r="U15" s="27">
        <v>2508205.0500000003</v>
      </c>
      <c r="V15" s="27">
        <f t="shared" si="0"/>
        <v>3945819.45</v>
      </c>
      <c r="W15" s="117">
        <f t="shared" si="1"/>
        <v>304.0838534566268</v>
      </c>
      <c r="X15" s="123">
        <v>0</v>
      </c>
      <c r="Y15" s="2"/>
      <c r="Z15" s="2"/>
      <c r="AA15" s="2">
        <v>0</v>
      </c>
      <c r="AB15" s="2">
        <f t="shared" si="9"/>
        <v>0</v>
      </c>
      <c r="AC15" s="2">
        <v>0</v>
      </c>
      <c r="AD15" s="39">
        <f t="shared" si="2"/>
        <v>0</v>
      </c>
      <c r="AE15" s="130">
        <v>66.110000000000582</v>
      </c>
      <c r="AF15" s="2">
        <v>604906.50000000536</v>
      </c>
      <c r="AG15" s="35">
        <f t="shared" si="3"/>
        <v>46.61700866748037</v>
      </c>
      <c r="AH15" s="6"/>
    </row>
    <row r="16" spans="1:34">
      <c r="A16" s="29"/>
      <c r="B16" s="54">
        <v>5</v>
      </c>
      <c r="C16" s="178">
        <v>61</v>
      </c>
      <c r="D16" s="179">
        <v>658</v>
      </c>
      <c r="E16" s="99">
        <v>19279.999999998836</v>
      </c>
      <c r="F16" s="2">
        <v>20968330.319998737</v>
      </c>
      <c r="G16" s="31">
        <v>4000</v>
      </c>
      <c r="H16" s="2">
        <v>6525414</v>
      </c>
      <c r="I16" s="96">
        <f t="shared" si="4"/>
        <v>27493744.319998737</v>
      </c>
      <c r="J16" s="99">
        <v>2460.0000000000364</v>
      </c>
      <c r="K16" s="2">
        <v>2675419.7400000393</v>
      </c>
      <c r="L16" s="165">
        <v>539.99999999996362</v>
      </c>
      <c r="M16" s="166">
        <v>880930.88999994064</v>
      </c>
      <c r="N16" s="87">
        <f t="shared" si="5"/>
        <v>3556350.6299999799</v>
      </c>
      <c r="O16" s="101">
        <f t="shared" si="6"/>
        <v>31050094.949998718</v>
      </c>
      <c r="P16" s="104">
        <f t="shared" si="7"/>
        <v>26279.999999998836</v>
      </c>
      <c r="Q16" s="167">
        <f t="shared" si="8"/>
        <v>751</v>
      </c>
      <c r="R16" s="2">
        <v>296</v>
      </c>
      <c r="S16" s="2">
        <v>5319173.28</v>
      </c>
      <c r="T16" s="27">
        <v>455</v>
      </c>
      <c r="U16" s="27">
        <v>2149215.25</v>
      </c>
      <c r="V16" s="27">
        <f t="shared" si="0"/>
        <v>7468388.5300000003</v>
      </c>
      <c r="W16" s="117">
        <f t="shared" si="1"/>
        <v>575.54999464399521</v>
      </c>
      <c r="X16" s="123">
        <v>133.64904000000115</v>
      </c>
      <c r="Y16" s="2">
        <v>250</v>
      </c>
      <c r="Z16" s="2"/>
      <c r="AA16" s="2">
        <v>24</v>
      </c>
      <c r="AB16" s="2">
        <f t="shared" si="9"/>
        <v>407.64904000000115</v>
      </c>
      <c r="AC16" s="2">
        <v>4428438.7031200118</v>
      </c>
      <c r="AD16" s="39">
        <f t="shared" si="2"/>
        <v>341.27681783341603</v>
      </c>
      <c r="AE16" s="130">
        <v>65.30000000000291</v>
      </c>
      <c r="AF16" s="2">
        <v>597495.00000002666</v>
      </c>
      <c r="AG16" s="35">
        <f t="shared" si="3"/>
        <v>46.04584277698649</v>
      </c>
      <c r="AH16" s="6"/>
    </row>
    <row r="17" spans="1:34">
      <c r="A17" s="29"/>
      <c r="B17" s="54">
        <v>6</v>
      </c>
      <c r="C17" s="178">
        <v>49</v>
      </c>
      <c r="D17" s="179">
        <v>670</v>
      </c>
      <c r="E17" s="99">
        <v>19599.999999976717</v>
      </c>
      <c r="F17" s="2">
        <v>21316352.399974678</v>
      </c>
      <c r="G17" s="31">
        <v>4159.9999999998545</v>
      </c>
      <c r="H17" s="2">
        <v>6786430.559999763</v>
      </c>
      <c r="I17" s="96">
        <f t="shared" si="4"/>
        <v>28102782.959974442</v>
      </c>
      <c r="J17" s="99">
        <v>2600.0000000003638</v>
      </c>
      <c r="K17" s="2">
        <v>2827679.4000003957</v>
      </c>
      <c r="L17" s="165">
        <v>560.00000000005912</v>
      </c>
      <c r="M17" s="166">
        <v>913557.96000009659</v>
      </c>
      <c r="N17" s="87">
        <f t="shared" si="5"/>
        <v>3741237.3600004921</v>
      </c>
      <c r="O17" s="101">
        <f t="shared" si="6"/>
        <v>31844020.319974933</v>
      </c>
      <c r="P17" s="104">
        <f t="shared" si="7"/>
        <v>26919.999999976993</v>
      </c>
      <c r="Q17" s="167">
        <f t="shared" si="8"/>
        <v>777</v>
      </c>
      <c r="R17" s="2">
        <v>346</v>
      </c>
      <c r="S17" s="2">
        <v>6217682.2800000003</v>
      </c>
      <c r="T17" s="27">
        <v>431</v>
      </c>
      <c r="U17" s="27">
        <v>2035850.05</v>
      </c>
      <c r="V17" s="27">
        <f t="shared" si="0"/>
        <v>8253532.3300000001</v>
      </c>
      <c r="W17" s="117">
        <f t="shared" si="1"/>
        <v>636.05695783552676</v>
      </c>
      <c r="X17" s="123">
        <v>133.81016000000469</v>
      </c>
      <c r="Y17" s="2"/>
      <c r="Z17" s="2">
        <v>400</v>
      </c>
      <c r="AA17" s="2">
        <v>24</v>
      </c>
      <c r="AB17" s="2">
        <f t="shared" si="9"/>
        <v>557.81016000000466</v>
      </c>
      <c r="AC17" s="2">
        <v>6105574.5544800479</v>
      </c>
      <c r="AD17" s="39">
        <f t="shared" si="2"/>
        <v>470.52498514421893</v>
      </c>
      <c r="AE17" s="130">
        <v>61.44999999999709</v>
      </c>
      <c r="AF17" s="2">
        <v>562267.49999997334</v>
      </c>
      <c r="AG17" s="35">
        <f t="shared" si="3"/>
        <v>43.331041939441953</v>
      </c>
      <c r="AH17" s="6"/>
    </row>
    <row r="18" spans="1:34">
      <c r="A18" s="29"/>
      <c r="B18" s="54">
        <v>7</v>
      </c>
      <c r="C18" s="178">
        <v>44</v>
      </c>
      <c r="D18" s="179">
        <v>440</v>
      </c>
      <c r="E18" s="99">
        <v>19760.000000009313</v>
      </c>
      <c r="F18" s="2">
        <v>21490363.44001013</v>
      </c>
      <c r="G18" s="31">
        <v>4040.0000000008731</v>
      </c>
      <c r="H18" s="2">
        <v>6590668.1400014246</v>
      </c>
      <c r="I18" s="96">
        <f t="shared" si="4"/>
        <v>28081031.580011554</v>
      </c>
      <c r="J18" s="99">
        <v>2019.9999999999818</v>
      </c>
      <c r="K18" s="2">
        <v>2196889.3799999803</v>
      </c>
      <c r="L18" s="165">
        <v>559.99999999994543</v>
      </c>
      <c r="M18" s="166">
        <v>913557.95999991102</v>
      </c>
      <c r="N18" s="87">
        <f t="shared" si="5"/>
        <v>3110447.3399998914</v>
      </c>
      <c r="O18" s="101">
        <f t="shared" si="6"/>
        <v>31191478.920011446</v>
      </c>
      <c r="P18" s="104">
        <f t="shared" si="7"/>
        <v>26380.000000010114</v>
      </c>
      <c r="Q18" s="167">
        <f t="shared" si="8"/>
        <v>517</v>
      </c>
      <c r="R18" s="2">
        <v>277</v>
      </c>
      <c r="S18" s="2">
        <v>4977739.8600000003</v>
      </c>
      <c r="T18" s="27">
        <v>240</v>
      </c>
      <c r="U18" s="27">
        <v>1133652</v>
      </c>
      <c r="V18" s="27">
        <f t="shared" si="0"/>
        <v>6111391.8600000003</v>
      </c>
      <c r="W18" s="117">
        <f t="shared" si="1"/>
        <v>470.97329472899776</v>
      </c>
      <c r="X18" s="123">
        <v>159.02544000001288</v>
      </c>
      <c r="Y18" s="2"/>
      <c r="Z18" s="2"/>
      <c r="AA18" s="2">
        <v>12</v>
      </c>
      <c r="AB18" s="2">
        <f t="shared" si="9"/>
        <v>171.02544000001288</v>
      </c>
      <c r="AC18" s="2">
        <v>1754085.2923201309</v>
      </c>
      <c r="AD18" s="39">
        <f t="shared" si="2"/>
        <v>135.17826188937738</v>
      </c>
      <c r="AE18" s="130">
        <v>11.19999999999709</v>
      </c>
      <c r="AF18" s="2">
        <v>102479.99999997337</v>
      </c>
      <c r="AG18" s="35">
        <f t="shared" si="3"/>
        <v>7.8976024364791986</v>
      </c>
      <c r="AH18" s="6"/>
    </row>
    <row r="19" spans="1:34">
      <c r="A19" s="29"/>
      <c r="B19" s="54">
        <v>8</v>
      </c>
      <c r="C19" s="178">
        <v>45</v>
      </c>
      <c r="D19" s="179">
        <v>535</v>
      </c>
      <c r="E19" s="99">
        <v>18640.00000001397</v>
      </c>
      <c r="F19" s="2">
        <v>20272286.160015192</v>
      </c>
      <c r="G19" s="31">
        <v>4040.0000000008731</v>
      </c>
      <c r="H19" s="2">
        <v>6590668.1400014246</v>
      </c>
      <c r="I19" s="96">
        <f t="shared" si="4"/>
        <v>26862954.300016616</v>
      </c>
      <c r="J19" s="99">
        <v>2299.9999999997272</v>
      </c>
      <c r="K19" s="2">
        <v>2501408.6999997031</v>
      </c>
      <c r="L19" s="165">
        <v>560.00000000005912</v>
      </c>
      <c r="M19" s="166">
        <v>913557.96000009659</v>
      </c>
      <c r="N19" s="87">
        <f t="shared" si="5"/>
        <v>3414966.6599997999</v>
      </c>
      <c r="O19" s="101">
        <f t="shared" si="6"/>
        <v>30277920.960016415</v>
      </c>
      <c r="P19" s="104">
        <f t="shared" si="7"/>
        <v>25540.000000014628</v>
      </c>
      <c r="Q19" s="167">
        <f t="shared" si="8"/>
        <v>651</v>
      </c>
      <c r="R19" s="2">
        <v>315</v>
      </c>
      <c r="S19" s="2">
        <v>5660606.7000000002</v>
      </c>
      <c r="T19" s="27">
        <v>336</v>
      </c>
      <c r="U19" s="27">
        <v>1587112.8</v>
      </c>
      <c r="V19" s="27">
        <f t="shared" si="0"/>
        <v>7247719.5</v>
      </c>
      <c r="W19" s="117">
        <f t="shared" si="1"/>
        <v>558.54417625031886</v>
      </c>
      <c r="X19" s="123">
        <v>139.73131999998006</v>
      </c>
      <c r="Y19" s="2"/>
      <c r="Z19" s="2"/>
      <c r="AA19" s="2">
        <v>0</v>
      </c>
      <c r="AB19" s="2">
        <f t="shared" si="9"/>
        <v>139.73131999998006</v>
      </c>
      <c r="AC19" s="2">
        <v>1418692.0919597975</v>
      </c>
      <c r="AD19" s="39">
        <f t="shared" si="2"/>
        <v>109.33124631224024</v>
      </c>
      <c r="AE19" s="130">
        <v>0</v>
      </c>
      <c r="AF19" s="2">
        <v>0</v>
      </c>
      <c r="AG19" s="35">
        <f t="shared" si="3"/>
        <v>0</v>
      </c>
      <c r="AH19" s="6"/>
    </row>
    <row r="20" spans="1:34">
      <c r="A20" s="29"/>
      <c r="B20" s="54">
        <v>9</v>
      </c>
      <c r="C20" s="178">
        <v>39</v>
      </c>
      <c r="D20" s="179">
        <v>433</v>
      </c>
      <c r="E20" s="99">
        <v>19199.999999982538</v>
      </c>
      <c r="F20" s="2">
        <v>20881324.799981009</v>
      </c>
      <c r="G20" s="31">
        <v>3919.9999999982538</v>
      </c>
      <c r="H20" s="2">
        <v>6394905.7199971518</v>
      </c>
      <c r="I20" s="96">
        <f t="shared" si="4"/>
        <v>27276230.519978162</v>
      </c>
      <c r="J20" s="99">
        <v>2420.0000000000728</v>
      </c>
      <c r="K20" s="2">
        <v>2631916.9800000791</v>
      </c>
      <c r="L20" s="165">
        <v>539.99999999996362</v>
      </c>
      <c r="M20" s="166">
        <v>880930.88999994064</v>
      </c>
      <c r="N20" s="87">
        <f t="shared" si="5"/>
        <v>3512847.8700000197</v>
      </c>
      <c r="O20" s="101">
        <f t="shared" si="6"/>
        <v>30789078.389978182</v>
      </c>
      <c r="P20" s="104">
        <f t="shared" si="7"/>
        <v>26079.999999980828</v>
      </c>
      <c r="Q20" s="167">
        <f t="shared" si="8"/>
        <v>271</v>
      </c>
      <c r="R20" s="2">
        <v>100</v>
      </c>
      <c r="S20" s="2">
        <v>1797018</v>
      </c>
      <c r="T20" s="27">
        <v>171</v>
      </c>
      <c r="U20" s="27">
        <v>807727.05</v>
      </c>
      <c r="V20" s="27">
        <f t="shared" si="0"/>
        <v>2604745.0499999998</v>
      </c>
      <c r="W20" s="117">
        <f t="shared" si="1"/>
        <v>200.73420036390004</v>
      </c>
      <c r="X20" s="123">
        <v>137.55620000000584</v>
      </c>
      <c r="Y20" s="2"/>
      <c r="Z20" s="2"/>
      <c r="AA20" s="2">
        <v>12</v>
      </c>
      <c r="AB20" s="2">
        <f t="shared" si="9"/>
        <v>149.55620000000584</v>
      </c>
      <c r="AC20" s="2">
        <v>2094608.0986000593</v>
      </c>
      <c r="AD20" s="39">
        <f t="shared" si="2"/>
        <v>161.42058960750575</v>
      </c>
      <c r="AE20" s="130">
        <v>82.899999999999181</v>
      </c>
      <c r="AF20" s="2">
        <v>758534.99999999255</v>
      </c>
      <c r="AG20" s="35">
        <f t="shared" si="3"/>
        <v>58.456360891454402</v>
      </c>
      <c r="AH20" s="6"/>
    </row>
    <row r="21" spans="1:34">
      <c r="A21" s="29"/>
      <c r="B21" s="54">
        <v>10</v>
      </c>
      <c r="C21" s="178">
        <v>43</v>
      </c>
      <c r="D21" s="179">
        <v>601</v>
      </c>
      <c r="E21" s="99">
        <v>19480.000000010477</v>
      </c>
      <c r="F21" s="2">
        <v>21185844.120011393</v>
      </c>
      <c r="G21" s="31">
        <v>4119.9999999989814</v>
      </c>
      <c r="H21" s="2">
        <v>6721176.4199983394</v>
      </c>
      <c r="I21" s="96">
        <f t="shared" si="4"/>
        <v>27907020.540009733</v>
      </c>
      <c r="J21" s="99">
        <v>2380.0000000001091</v>
      </c>
      <c r="K21" s="2">
        <v>2588414.2200001189</v>
      </c>
      <c r="L21" s="165">
        <v>560.00000000005912</v>
      </c>
      <c r="M21" s="166">
        <v>913557.96000009659</v>
      </c>
      <c r="N21" s="87">
        <f t="shared" si="5"/>
        <v>3501972.1800002158</v>
      </c>
      <c r="O21" s="101">
        <f t="shared" si="6"/>
        <v>31408992.720009949</v>
      </c>
      <c r="P21" s="104">
        <f t="shared" si="7"/>
        <v>26540.000000009626</v>
      </c>
      <c r="Q21" s="167">
        <f t="shared" si="8"/>
        <v>365</v>
      </c>
      <c r="R21" s="2">
        <v>43</v>
      </c>
      <c r="S21" s="2">
        <v>772717.74</v>
      </c>
      <c r="T21" s="27">
        <v>322</v>
      </c>
      <c r="U21" s="27">
        <v>1520983.1</v>
      </c>
      <c r="V21" s="27">
        <f t="shared" si="0"/>
        <v>2293700.84</v>
      </c>
      <c r="W21" s="117">
        <f t="shared" si="1"/>
        <v>176.76363527071712</v>
      </c>
      <c r="X21" s="123">
        <v>129.33908000000233</v>
      </c>
      <c r="Y21" s="2"/>
      <c r="Z21" s="2"/>
      <c r="AA21" s="2">
        <v>0</v>
      </c>
      <c r="AB21" s="2">
        <f t="shared" si="9"/>
        <v>129.33908000000233</v>
      </c>
      <c r="AC21" s="2">
        <v>1313179.6792400237</v>
      </c>
      <c r="AD21" s="39">
        <f t="shared" si="2"/>
        <v>101.19995154472755</v>
      </c>
      <c r="AE21" s="130">
        <v>0</v>
      </c>
      <c r="AF21" s="2">
        <v>0</v>
      </c>
      <c r="AG21" s="35">
        <f t="shared" si="3"/>
        <v>0</v>
      </c>
      <c r="AH21" s="6"/>
    </row>
    <row r="22" spans="1:34">
      <c r="A22" s="29"/>
      <c r="B22" s="54">
        <v>11</v>
      </c>
      <c r="C22" s="178">
        <v>37</v>
      </c>
      <c r="D22" s="179">
        <v>438</v>
      </c>
      <c r="E22" s="99">
        <v>21480</v>
      </c>
      <c r="F22" s="2">
        <v>23360982.120000001</v>
      </c>
      <c r="G22" s="31">
        <v>4080</v>
      </c>
      <c r="H22" s="2">
        <v>6655922.2800000012</v>
      </c>
      <c r="I22" s="96">
        <f t="shared" si="4"/>
        <v>30016904.400000002</v>
      </c>
      <c r="J22" s="99">
        <v>2319.999999999709</v>
      </c>
      <c r="K22" s="2">
        <v>2523160.0799996834</v>
      </c>
      <c r="L22" s="165">
        <v>559.99999999994543</v>
      </c>
      <c r="M22" s="166">
        <v>913557.95999991102</v>
      </c>
      <c r="N22" s="87">
        <f t="shared" si="5"/>
        <v>3436718.0399995944</v>
      </c>
      <c r="O22" s="101">
        <f t="shared" si="6"/>
        <v>33453622.439999595</v>
      </c>
      <c r="P22" s="104">
        <f t="shared" si="7"/>
        <v>28439.999999999654</v>
      </c>
      <c r="Q22" s="167">
        <f t="shared" si="8"/>
        <v>440</v>
      </c>
      <c r="R22" s="2">
        <v>65</v>
      </c>
      <c r="S22" s="2">
        <v>1168061.7</v>
      </c>
      <c r="T22" s="27">
        <v>375</v>
      </c>
      <c r="U22" s="27">
        <v>1771331.25</v>
      </c>
      <c r="V22" s="27">
        <f t="shared" si="0"/>
        <v>2939392.95</v>
      </c>
      <c r="W22" s="117">
        <f t="shared" si="1"/>
        <v>226.52377950522848</v>
      </c>
      <c r="X22" s="123">
        <v>146.45808000000233</v>
      </c>
      <c r="Y22" s="2">
        <v>250</v>
      </c>
      <c r="Z22" s="2">
        <v>400</v>
      </c>
      <c r="AA22" s="2">
        <v>36</v>
      </c>
      <c r="AB22" s="2">
        <f t="shared" si="9"/>
        <v>832.45808000000238</v>
      </c>
      <c r="AC22" s="2">
        <v>9165988.8862400241</v>
      </c>
      <c r="AD22" s="39">
        <f t="shared" si="2"/>
        <v>706.3752552764372</v>
      </c>
      <c r="AE22" s="130">
        <v>1355.8600000000006</v>
      </c>
      <c r="AF22" s="2">
        <v>12406119.000000006</v>
      </c>
      <c r="AG22" s="35">
        <f t="shared" si="3"/>
        <v>956.07528924352448</v>
      </c>
      <c r="AH22" s="6"/>
    </row>
    <row r="23" spans="1:34">
      <c r="A23" s="29"/>
      <c r="B23" s="54">
        <v>12</v>
      </c>
      <c r="C23" s="178">
        <v>50</v>
      </c>
      <c r="D23" s="179">
        <v>369</v>
      </c>
      <c r="E23" s="99">
        <v>20560</v>
      </c>
      <c r="F23" s="2">
        <v>22360418.640000001</v>
      </c>
      <c r="G23" s="31">
        <v>4279.9999999999991</v>
      </c>
      <c r="H23" s="2">
        <v>6982192.9799999986</v>
      </c>
      <c r="I23" s="96">
        <f t="shared" si="4"/>
        <v>29342611.619999997</v>
      </c>
      <c r="J23" s="99">
        <v>2420.0000000000728</v>
      </c>
      <c r="K23" s="2">
        <v>2631916.9800000791</v>
      </c>
      <c r="L23" s="165">
        <v>519.99999999998181</v>
      </c>
      <c r="M23" s="166">
        <v>848303.81999997038</v>
      </c>
      <c r="N23" s="87">
        <f t="shared" si="5"/>
        <v>3480220.8000000496</v>
      </c>
      <c r="O23" s="101">
        <f t="shared" si="6"/>
        <v>32822832.420000046</v>
      </c>
      <c r="P23" s="104">
        <f t="shared" si="7"/>
        <v>27780.000000000055</v>
      </c>
      <c r="Q23" s="167">
        <f t="shared" si="8"/>
        <v>547</v>
      </c>
      <c r="R23" s="2">
        <v>176</v>
      </c>
      <c r="S23" s="2">
        <v>3162751.68</v>
      </c>
      <c r="T23" s="27">
        <v>371</v>
      </c>
      <c r="U23" s="27">
        <v>1752437.05</v>
      </c>
      <c r="V23" s="27">
        <f t="shared" si="0"/>
        <v>4915188.7300000004</v>
      </c>
      <c r="W23" s="117">
        <f t="shared" si="1"/>
        <v>378.78811953369626</v>
      </c>
      <c r="X23" s="123">
        <v>135.38108000000233</v>
      </c>
      <c r="Y23" s="2"/>
      <c r="Z23" s="2"/>
      <c r="AA23" s="2">
        <v>0</v>
      </c>
      <c r="AB23" s="2">
        <f t="shared" si="9"/>
        <v>135.38108000000233</v>
      </c>
      <c r="AC23" s="2">
        <v>1374524.1052400237</v>
      </c>
      <c r="AD23" s="39">
        <f t="shared" si="2"/>
        <v>105.9274485025939</v>
      </c>
      <c r="AE23" s="130">
        <v>423.23999999999978</v>
      </c>
      <c r="AF23" s="2">
        <v>3872645.9999999981</v>
      </c>
      <c r="AG23" s="35">
        <f t="shared" si="3"/>
        <v>298.44475493002886</v>
      </c>
      <c r="AH23" s="6"/>
    </row>
    <row r="24" spans="1:34">
      <c r="A24" s="29"/>
      <c r="B24" s="54">
        <v>13</v>
      </c>
      <c r="C24" s="178">
        <v>103</v>
      </c>
      <c r="D24" s="179">
        <v>603</v>
      </c>
      <c r="E24" s="99">
        <v>20480.000000000004</v>
      </c>
      <c r="F24" s="2">
        <v>22273413.120000005</v>
      </c>
      <c r="G24" s="31">
        <v>4440.0000000000009</v>
      </c>
      <c r="H24" s="2">
        <v>7243209.5400000019</v>
      </c>
      <c r="I24" s="96">
        <f t="shared" si="4"/>
        <v>29516622.660000008</v>
      </c>
      <c r="J24" s="99">
        <v>2340.0000000001455</v>
      </c>
      <c r="K24" s="2">
        <v>2544911.4600001583</v>
      </c>
      <c r="L24" s="165">
        <v>539.99999999996362</v>
      </c>
      <c r="M24" s="166">
        <v>880930.88999994064</v>
      </c>
      <c r="N24" s="87">
        <f t="shared" si="5"/>
        <v>3425842.3500000988</v>
      </c>
      <c r="O24" s="101">
        <f t="shared" si="6"/>
        <v>32942465.010000106</v>
      </c>
      <c r="P24" s="104">
        <f t="shared" si="7"/>
        <v>27800.000000000113</v>
      </c>
      <c r="Q24" s="167">
        <f>T24+R24</f>
        <v>667</v>
      </c>
      <c r="R24" s="2">
        <v>203</v>
      </c>
      <c r="S24" s="2">
        <v>3647946.54</v>
      </c>
      <c r="T24" s="27">
        <v>464</v>
      </c>
      <c r="U24" s="27">
        <v>2191727.2000000002</v>
      </c>
      <c r="V24" s="27">
        <f t="shared" si="0"/>
        <v>5839673.7400000002</v>
      </c>
      <c r="W24" s="117">
        <f t="shared" si="1"/>
        <v>450.03338756127619</v>
      </c>
      <c r="X24" s="123">
        <v>134.0115599999871</v>
      </c>
      <c r="Y24" s="2"/>
      <c r="Z24" s="2"/>
      <c r="AA24" s="2">
        <v>12</v>
      </c>
      <c r="AB24" s="2">
        <f t="shared" si="9"/>
        <v>146.0115599999871</v>
      </c>
      <c r="AC24" s="2">
        <v>1500119.368679869</v>
      </c>
      <c r="AD24" s="39">
        <f t="shared" si="2"/>
        <v>115.60642448379049</v>
      </c>
      <c r="AE24" s="130">
        <v>400.94999999999891</v>
      </c>
      <c r="AF24" s="2">
        <v>3668692.4999999902</v>
      </c>
      <c r="AG24" s="35">
        <f t="shared" si="3"/>
        <v>282.72711579528118</v>
      </c>
      <c r="AH24" s="6"/>
    </row>
    <row r="25" spans="1:34">
      <c r="A25" s="29"/>
      <c r="B25" s="54">
        <v>14</v>
      </c>
      <c r="C25" s="178">
        <v>106</v>
      </c>
      <c r="D25" s="179">
        <v>564</v>
      </c>
      <c r="E25" s="99">
        <v>20559.999999999996</v>
      </c>
      <c r="F25" s="2">
        <v>22360418.639999997</v>
      </c>
      <c r="G25" s="31">
        <v>4359.9999999999991</v>
      </c>
      <c r="H25" s="2">
        <v>7112701.2599999998</v>
      </c>
      <c r="I25" s="96">
        <f t="shared" si="4"/>
        <v>29473119.899999999</v>
      </c>
      <c r="J25" s="99">
        <v>2159.9999999998545</v>
      </c>
      <c r="K25" s="2">
        <v>2349149.0399998422</v>
      </c>
      <c r="L25" s="165">
        <v>540.00000000007731</v>
      </c>
      <c r="M25" s="166">
        <v>880930.89000012621</v>
      </c>
      <c r="N25" s="87">
        <f t="shared" si="5"/>
        <v>3230079.9299999685</v>
      </c>
      <c r="O25" s="101">
        <f t="shared" si="6"/>
        <v>32703199.829999968</v>
      </c>
      <c r="P25" s="104">
        <f t="shared" si="7"/>
        <v>27619.999999999927</v>
      </c>
      <c r="Q25" s="167">
        <f t="shared" si="8"/>
        <v>746</v>
      </c>
      <c r="R25" s="2">
        <v>184</v>
      </c>
      <c r="S25" s="2">
        <v>3306513.12</v>
      </c>
      <c r="T25" s="27">
        <v>562</v>
      </c>
      <c r="U25" s="27">
        <v>2654635.1</v>
      </c>
      <c r="V25" s="27">
        <f t="shared" si="0"/>
        <v>5961148.2200000007</v>
      </c>
      <c r="W25" s="117">
        <f t="shared" si="1"/>
        <v>459.39479612117367</v>
      </c>
      <c r="X25" s="123">
        <v>136.06583999999529</v>
      </c>
      <c r="Y25" s="2"/>
      <c r="Z25" s="2"/>
      <c r="AA25" s="2">
        <v>12</v>
      </c>
      <c r="AB25" s="2">
        <f t="shared" si="9"/>
        <v>148.06583999999529</v>
      </c>
      <c r="AC25" s="2">
        <v>1520976.4735199523</v>
      </c>
      <c r="AD25" s="39">
        <f t="shared" si="2"/>
        <v>117.21377344947147</v>
      </c>
      <c r="AE25" s="130">
        <v>113.18000000000029</v>
      </c>
      <c r="AF25" s="2">
        <v>1035597.0000000027</v>
      </c>
      <c r="AG25" s="35">
        <f t="shared" si="3"/>
        <v>79.808093192941996</v>
      </c>
      <c r="AH25" s="6"/>
    </row>
    <row r="26" spans="1:34">
      <c r="A26" s="29"/>
      <c r="B26" s="54">
        <v>15</v>
      </c>
      <c r="C26" s="178">
        <v>104</v>
      </c>
      <c r="D26" s="179">
        <v>706</v>
      </c>
      <c r="E26" s="99">
        <v>20000</v>
      </c>
      <c r="F26" s="2">
        <v>21751380</v>
      </c>
      <c r="G26" s="31">
        <v>4280.0000000000009</v>
      </c>
      <c r="H26" s="2">
        <v>6982192.9800000023</v>
      </c>
      <c r="I26" s="96">
        <f t="shared" si="4"/>
        <v>28733572.980000004</v>
      </c>
      <c r="J26" s="99">
        <v>2420.0000000000728</v>
      </c>
      <c r="K26" s="2">
        <v>2631916.9800000791</v>
      </c>
      <c r="L26" s="165">
        <v>500</v>
      </c>
      <c r="M26" s="166">
        <v>815676.75</v>
      </c>
      <c r="N26" s="87">
        <f t="shared" si="5"/>
        <v>3447593.7300000791</v>
      </c>
      <c r="O26" s="101">
        <f t="shared" si="6"/>
        <v>32181166.710000083</v>
      </c>
      <c r="P26" s="104">
        <f t="shared" si="7"/>
        <v>27200.000000000073</v>
      </c>
      <c r="Q26" s="167">
        <f t="shared" si="8"/>
        <v>769</v>
      </c>
      <c r="R26" s="2">
        <v>241</v>
      </c>
      <c r="S26" s="2">
        <v>4330813.38</v>
      </c>
      <c r="T26" s="27">
        <v>528</v>
      </c>
      <c r="U26" s="27">
        <v>2494034.4</v>
      </c>
      <c r="V26" s="27">
        <f t="shared" si="0"/>
        <v>6824847.7799999993</v>
      </c>
      <c r="W26" s="117">
        <f t="shared" si="1"/>
        <v>525.95564457398177</v>
      </c>
      <c r="X26" s="123">
        <v>130.46692000002696</v>
      </c>
      <c r="Y26" s="2"/>
      <c r="Z26" s="2"/>
      <c r="AA26" s="2">
        <v>36</v>
      </c>
      <c r="AB26" s="2">
        <f t="shared" si="9"/>
        <v>166.46692000002696</v>
      </c>
      <c r="AC26" s="2">
        <v>1743130.6387602738</v>
      </c>
      <c r="AD26" s="39">
        <f t="shared" si="2"/>
        <v>134.3340435185232</v>
      </c>
      <c r="AE26" s="130">
        <v>9.9999999999909051E-2</v>
      </c>
      <c r="AF26" s="2">
        <v>914.99999999916781</v>
      </c>
      <c r="AG26" s="35">
        <f t="shared" si="3"/>
        <v>7.0514307468518472E-2</v>
      </c>
      <c r="AH26" s="6"/>
    </row>
    <row r="27" spans="1:34">
      <c r="A27" s="29"/>
      <c r="B27" s="54">
        <v>16</v>
      </c>
      <c r="C27" s="178">
        <v>99</v>
      </c>
      <c r="D27" s="179">
        <v>599</v>
      </c>
      <c r="E27" s="99">
        <v>20080</v>
      </c>
      <c r="F27" s="2">
        <v>21838385.52</v>
      </c>
      <c r="G27" s="31">
        <v>4160</v>
      </c>
      <c r="H27" s="2">
        <v>6786430.5600000005</v>
      </c>
      <c r="I27" s="96">
        <f t="shared" si="4"/>
        <v>28624816.079999998</v>
      </c>
      <c r="J27" s="99">
        <v>2260.0000000002183</v>
      </c>
      <c r="K27" s="2">
        <v>2457905.9400002374</v>
      </c>
      <c r="L27" s="165">
        <v>519.99999999998181</v>
      </c>
      <c r="M27" s="166">
        <v>848303.81999997038</v>
      </c>
      <c r="N27" s="87">
        <f t="shared" si="5"/>
        <v>3306209.7600002079</v>
      </c>
      <c r="O27" s="101">
        <f t="shared" si="6"/>
        <v>31931025.840000205</v>
      </c>
      <c r="P27" s="104">
        <f t="shared" si="7"/>
        <v>27020.0000000002</v>
      </c>
      <c r="Q27" s="167">
        <f t="shared" si="8"/>
        <v>757</v>
      </c>
      <c r="R27" s="2">
        <v>184</v>
      </c>
      <c r="S27" s="2">
        <v>3306513.12</v>
      </c>
      <c r="T27" s="27">
        <v>573</v>
      </c>
      <c r="U27" s="27">
        <v>2706594.15</v>
      </c>
      <c r="V27" s="27">
        <f t="shared" si="0"/>
        <v>6013107.2699999996</v>
      </c>
      <c r="W27" s="117">
        <f t="shared" si="1"/>
        <v>463.39901079601015</v>
      </c>
      <c r="X27" s="123">
        <v>133.76987999999648</v>
      </c>
      <c r="Y27" s="2"/>
      <c r="Z27" s="2"/>
      <c r="AA27" s="2">
        <v>0</v>
      </c>
      <c r="AB27" s="2">
        <f t="shared" si="9"/>
        <v>133.76987999999648</v>
      </c>
      <c r="AC27" s="2">
        <v>1916665.5916399641</v>
      </c>
      <c r="AD27" s="39">
        <f t="shared" si="2"/>
        <v>147.70748288891062</v>
      </c>
      <c r="AE27" s="130">
        <v>365.10000000000036</v>
      </c>
      <c r="AF27" s="2">
        <v>3340665.0000000033</v>
      </c>
      <c r="AG27" s="35">
        <f t="shared" si="3"/>
        <v>257.44773656779535</v>
      </c>
      <c r="AH27" s="6"/>
    </row>
    <row r="28" spans="1:34">
      <c r="A28" s="29"/>
      <c r="B28" s="54">
        <v>17</v>
      </c>
      <c r="C28" s="178">
        <v>92</v>
      </c>
      <c r="D28" s="179">
        <v>463</v>
      </c>
      <c r="E28" s="99">
        <v>19680.000000000007</v>
      </c>
      <c r="F28" s="2">
        <v>21403357.920000006</v>
      </c>
      <c r="G28" s="31">
        <v>4079.9999999999982</v>
      </c>
      <c r="H28" s="2">
        <v>6655922.2799999984</v>
      </c>
      <c r="I28" s="96">
        <f t="shared" si="4"/>
        <v>28059280.200000003</v>
      </c>
      <c r="J28" s="99">
        <v>2339.9999999996908</v>
      </c>
      <c r="K28" s="2">
        <v>2544911.4599996638</v>
      </c>
      <c r="L28" s="165">
        <v>539.99999999996362</v>
      </c>
      <c r="M28" s="166">
        <v>880930.88999994064</v>
      </c>
      <c r="N28" s="87">
        <f t="shared" si="5"/>
        <v>3425842.3499996043</v>
      </c>
      <c r="O28" s="101">
        <f t="shared" si="6"/>
        <v>31485122.549999606</v>
      </c>
      <c r="P28" s="104">
        <f t="shared" si="7"/>
        <v>26639.999999999658</v>
      </c>
      <c r="Q28" s="167">
        <f t="shared" si="8"/>
        <v>502</v>
      </c>
      <c r="R28" s="2">
        <v>11</v>
      </c>
      <c r="S28" s="2">
        <v>197671.98</v>
      </c>
      <c r="T28" s="27">
        <v>491</v>
      </c>
      <c r="U28" s="27">
        <v>2319263.0500000003</v>
      </c>
      <c r="V28" s="27">
        <f t="shared" si="0"/>
        <v>2516935.0300000003</v>
      </c>
      <c r="W28" s="117">
        <f t="shared" si="1"/>
        <v>193.967137250127</v>
      </c>
      <c r="X28" s="123">
        <v>132.72259999998826</v>
      </c>
      <c r="Y28" s="2">
        <v>250</v>
      </c>
      <c r="Z28" s="2">
        <v>400</v>
      </c>
      <c r="AA28" s="2">
        <v>0</v>
      </c>
      <c r="AB28" s="2">
        <f t="shared" si="9"/>
        <v>782.72259999998823</v>
      </c>
      <c r="AC28" s="2">
        <v>8608032.5577998813</v>
      </c>
      <c r="AD28" s="39">
        <f t="shared" si="2"/>
        <v>663.37645298390203</v>
      </c>
      <c r="AE28" s="130">
        <v>495.96000000000095</v>
      </c>
      <c r="AF28" s="2">
        <v>4538034.0000000084</v>
      </c>
      <c r="AG28" s="35">
        <f t="shared" si="3"/>
        <v>349.72275932118293</v>
      </c>
      <c r="AH28" s="6"/>
    </row>
    <row r="29" spans="1:34">
      <c r="A29" s="29"/>
      <c r="B29" s="54">
        <v>18</v>
      </c>
      <c r="C29" s="178">
        <v>94</v>
      </c>
      <c r="D29" s="179">
        <v>689</v>
      </c>
      <c r="E29" s="99">
        <v>19280</v>
      </c>
      <c r="F29" s="2">
        <v>20968330.32</v>
      </c>
      <c r="G29" s="31">
        <v>4079.9999999999982</v>
      </c>
      <c r="H29" s="2">
        <v>6655922.2799999984</v>
      </c>
      <c r="I29" s="96">
        <f t="shared" si="4"/>
        <v>27624252.599999998</v>
      </c>
      <c r="J29" s="99">
        <v>2079.9999999999272</v>
      </c>
      <c r="K29" s="2">
        <v>2262143.5199999209</v>
      </c>
      <c r="L29" s="165">
        <v>519.99999999998181</v>
      </c>
      <c r="M29" s="166">
        <v>848303.81999997038</v>
      </c>
      <c r="N29" s="87">
        <f t="shared" si="5"/>
        <v>3110447.3399998914</v>
      </c>
      <c r="O29" s="101">
        <f t="shared" si="6"/>
        <v>30734699.93999989</v>
      </c>
      <c r="P29" s="104">
        <f t="shared" si="7"/>
        <v>25959.999999999905</v>
      </c>
      <c r="Q29" s="167">
        <f t="shared" si="8"/>
        <v>550</v>
      </c>
      <c r="R29" s="2">
        <v>36</v>
      </c>
      <c r="S29" s="2">
        <v>646926.48</v>
      </c>
      <c r="T29" s="27">
        <v>514</v>
      </c>
      <c r="U29" s="27">
        <v>2427904.7000000002</v>
      </c>
      <c r="V29" s="27">
        <f t="shared" si="0"/>
        <v>3074831.18</v>
      </c>
      <c r="W29" s="117">
        <f t="shared" si="1"/>
        <v>236.96130190219088</v>
      </c>
      <c r="X29" s="123">
        <v>130.82944000001288</v>
      </c>
      <c r="Y29" s="2"/>
      <c r="Z29" s="2"/>
      <c r="AA29" s="2">
        <v>36</v>
      </c>
      <c r="AB29" s="2">
        <f t="shared" si="9"/>
        <v>166.82944000001288</v>
      </c>
      <c r="AC29" s="2">
        <v>1746811.3043201307</v>
      </c>
      <c r="AD29" s="39">
        <f t="shared" si="2"/>
        <v>134.61769333598417</v>
      </c>
      <c r="AE29" s="130">
        <v>498.48</v>
      </c>
      <c r="AF29" s="2">
        <v>4561092</v>
      </c>
      <c r="AG29" s="35">
        <f t="shared" si="3"/>
        <v>351.49971986939056</v>
      </c>
      <c r="AH29" s="6"/>
    </row>
    <row r="30" spans="1:34">
      <c r="A30" s="29"/>
      <c r="B30" s="54">
        <v>19</v>
      </c>
      <c r="C30" s="178">
        <v>29</v>
      </c>
      <c r="D30" s="179">
        <v>446</v>
      </c>
      <c r="E30" s="99">
        <v>18079.999999999985</v>
      </c>
      <c r="F30" s="2">
        <v>19663247.519999985</v>
      </c>
      <c r="G30" s="31">
        <v>3880.0000000000027</v>
      </c>
      <c r="H30" s="2">
        <v>6329651.5800000047</v>
      </c>
      <c r="I30" s="96">
        <f t="shared" si="4"/>
        <v>25992899.09999999</v>
      </c>
      <c r="J30" s="99">
        <v>2079.9999999999272</v>
      </c>
      <c r="K30" s="2">
        <v>2262143.5199999209</v>
      </c>
      <c r="L30" s="165">
        <v>540.00000000007731</v>
      </c>
      <c r="M30" s="166">
        <v>880930.89000012621</v>
      </c>
      <c r="N30" s="87">
        <f t="shared" si="5"/>
        <v>3143074.4100000472</v>
      </c>
      <c r="O30" s="101">
        <f t="shared" si="6"/>
        <v>29135973.510000039</v>
      </c>
      <c r="P30" s="104">
        <f t="shared" si="7"/>
        <v>24579.999999999993</v>
      </c>
      <c r="Q30" s="167">
        <f t="shared" si="8"/>
        <v>988</v>
      </c>
      <c r="R30" s="2">
        <v>262</v>
      </c>
      <c r="S30" s="2">
        <v>4708187.16</v>
      </c>
      <c r="T30" s="27">
        <v>726</v>
      </c>
      <c r="U30" s="27">
        <v>3429297.3000000003</v>
      </c>
      <c r="V30" s="27">
        <f t="shared" si="0"/>
        <v>8137484.4600000009</v>
      </c>
      <c r="W30" s="117">
        <f t="shared" si="1"/>
        <v>627.1137499816972</v>
      </c>
      <c r="X30" s="123">
        <v>105.33219999997654</v>
      </c>
      <c r="Y30" s="2"/>
      <c r="Z30" s="2"/>
      <c r="AA30" s="2">
        <v>12</v>
      </c>
      <c r="AB30" s="2">
        <f t="shared" si="9"/>
        <v>117.33219999997654</v>
      </c>
      <c r="AC30" s="2">
        <v>1208937.8265997618</v>
      </c>
      <c r="AD30" s="39">
        <f t="shared" si="2"/>
        <v>93.166572257109948</v>
      </c>
      <c r="AE30" s="130">
        <v>521.32999999999993</v>
      </c>
      <c r="AF30" s="2">
        <v>4770169.4999999991</v>
      </c>
      <c r="AG30" s="35">
        <f t="shared" si="3"/>
        <v>367.61223912596159</v>
      </c>
      <c r="AH30" s="6"/>
    </row>
    <row r="31" spans="1:34">
      <c r="A31" s="29"/>
      <c r="B31" s="54">
        <v>20</v>
      </c>
      <c r="C31" s="178">
        <v>18</v>
      </c>
      <c r="D31" s="179">
        <v>367</v>
      </c>
      <c r="E31" s="99">
        <v>17800.000000000011</v>
      </c>
      <c r="F31" s="2">
        <v>19358728.200000014</v>
      </c>
      <c r="G31" s="31">
        <v>3679.9999999999995</v>
      </c>
      <c r="H31" s="2">
        <v>6003380.8799999999</v>
      </c>
      <c r="I31" s="96">
        <f t="shared" si="4"/>
        <v>25362109.080000013</v>
      </c>
      <c r="J31" s="99">
        <v>2140.0000000003274</v>
      </c>
      <c r="K31" s="2">
        <v>2327397.6600003564</v>
      </c>
      <c r="L31" s="165">
        <v>539.99999999996362</v>
      </c>
      <c r="M31" s="166">
        <v>880930.88999994064</v>
      </c>
      <c r="N31" s="87">
        <f t="shared" si="5"/>
        <v>3208328.5500002969</v>
      </c>
      <c r="O31" s="101">
        <f t="shared" si="6"/>
        <v>28570437.630000308</v>
      </c>
      <c r="P31" s="104">
        <f t="shared" si="7"/>
        <v>24160.000000000302</v>
      </c>
      <c r="Q31" s="167">
        <f t="shared" si="8"/>
        <v>453</v>
      </c>
      <c r="R31" s="2">
        <v>218</v>
      </c>
      <c r="S31" s="2">
        <v>3917499.24</v>
      </c>
      <c r="T31" s="27">
        <v>235</v>
      </c>
      <c r="U31" s="27">
        <v>1110034.25</v>
      </c>
      <c r="V31" s="27">
        <f t="shared" si="0"/>
        <v>5027533.49</v>
      </c>
      <c r="W31" s="117">
        <f t="shared" si="1"/>
        <v>387.4459478933947</v>
      </c>
      <c r="X31" s="123">
        <v>98.202640000018746</v>
      </c>
      <c r="Y31" s="2"/>
      <c r="Z31" s="2"/>
      <c r="AA31" s="2">
        <v>12</v>
      </c>
      <c r="AB31" s="2">
        <f t="shared" si="9"/>
        <v>110.20264000001875</v>
      </c>
      <c r="AC31" s="2">
        <v>1136551.4039201904</v>
      </c>
      <c r="AD31" s="39">
        <f t="shared" si="2"/>
        <v>87.588125846860677</v>
      </c>
      <c r="AE31" s="130">
        <v>465.50000000000045</v>
      </c>
      <c r="AF31" s="2">
        <v>4259325.0000000037</v>
      </c>
      <c r="AG31" s="35">
        <f t="shared" si="3"/>
        <v>328.2441012662523</v>
      </c>
      <c r="AH31" s="6"/>
    </row>
    <row r="32" spans="1:34">
      <c r="A32" s="29"/>
      <c r="B32" s="54">
        <v>21</v>
      </c>
      <c r="C32" s="178">
        <v>20</v>
      </c>
      <c r="D32" s="179">
        <v>287</v>
      </c>
      <c r="E32" s="99">
        <v>18199.999999999989</v>
      </c>
      <c r="F32" s="2">
        <v>19793755.79999999</v>
      </c>
      <c r="G32" s="31">
        <v>3719.9999999999991</v>
      </c>
      <c r="H32" s="2">
        <v>6068635.0199999986</v>
      </c>
      <c r="I32" s="96">
        <f t="shared" si="4"/>
        <v>25862390.819999989</v>
      </c>
      <c r="J32" s="99">
        <v>1939.9999999995998</v>
      </c>
      <c r="K32" s="2">
        <v>2109883.8599995649</v>
      </c>
      <c r="L32" s="165">
        <v>340.00000000003183</v>
      </c>
      <c r="M32" s="166">
        <v>554660.19000005198</v>
      </c>
      <c r="N32" s="87">
        <f>+K32+M32</f>
        <v>2664544.049999617</v>
      </c>
      <c r="O32" s="101">
        <f t="shared" si="6"/>
        <v>28526934.869999606</v>
      </c>
      <c r="P32" s="104">
        <f t="shared" si="7"/>
        <v>24199.999999999622</v>
      </c>
      <c r="Q32" s="167">
        <f t="shared" si="8"/>
        <v>219</v>
      </c>
      <c r="R32" s="2">
        <v>219</v>
      </c>
      <c r="S32" s="2">
        <v>3935469.42</v>
      </c>
      <c r="T32" s="27">
        <v>0</v>
      </c>
      <c r="U32" s="27">
        <v>0</v>
      </c>
      <c r="V32" s="27">
        <f t="shared" si="0"/>
        <v>3935469.42</v>
      </c>
      <c r="W32" s="117">
        <f t="shared" si="1"/>
        <v>303.28623028970975</v>
      </c>
      <c r="X32" s="123">
        <v>114.87855999998709</v>
      </c>
      <c r="Y32" s="2"/>
      <c r="Z32" s="2"/>
      <c r="AA32" s="2">
        <v>12</v>
      </c>
      <c r="AB32" s="2">
        <f t="shared" si="9"/>
        <v>126.87855999998709</v>
      </c>
      <c r="AC32" s="2">
        <v>1305862.0196798688</v>
      </c>
      <c r="AD32" s="39">
        <f t="shared" si="2"/>
        <v>100.63601745054703</v>
      </c>
      <c r="AE32" s="130">
        <v>415.66999999999962</v>
      </c>
      <c r="AF32" s="2">
        <v>3803380.4999999963</v>
      </c>
      <c r="AG32" s="35">
        <f t="shared" si="3"/>
        <v>293.10682185465703</v>
      </c>
      <c r="AH32" s="6"/>
    </row>
    <row r="33" spans="1:34">
      <c r="A33" s="29"/>
      <c r="B33" s="54">
        <v>22</v>
      </c>
      <c r="C33" s="178">
        <v>27</v>
      </c>
      <c r="D33" s="179">
        <v>264</v>
      </c>
      <c r="E33" s="99">
        <v>17680.000000000007</v>
      </c>
      <c r="F33" s="2">
        <v>19228219.920000006</v>
      </c>
      <c r="G33" s="31">
        <v>3800.0000000000041</v>
      </c>
      <c r="H33" s="2">
        <v>6199143.3000000073</v>
      </c>
      <c r="I33" s="96">
        <f t="shared" si="4"/>
        <v>25427363.220000014</v>
      </c>
      <c r="J33" s="99">
        <v>1980.0000000004729</v>
      </c>
      <c r="K33" s="2">
        <v>2153386.6200005142</v>
      </c>
      <c r="L33" s="165">
        <v>679.99999999994998</v>
      </c>
      <c r="M33" s="166">
        <v>1109320.3799999184</v>
      </c>
      <c r="N33" s="87">
        <f t="shared" si="5"/>
        <v>3262707.0000004326</v>
      </c>
      <c r="O33" s="101">
        <f t="shared" si="6"/>
        <v>28690070.220000446</v>
      </c>
      <c r="P33" s="104">
        <f t="shared" si="7"/>
        <v>24140.000000000437</v>
      </c>
      <c r="Q33" s="167">
        <f t="shared" si="8"/>
        <v>981</v>
      </c>
      <c r="R33" s="2">
        <v>240</v>
      </c>
      <c r="S33" s="2">
        <v>4312843.2</v>
      </c>
      <c r="T33" s="27">
        <v>741</v>
      </c>
      <c r="U33" s="27">
        <v>3500150.5500000003</v>
      </c>
      <c r="V33" s="27">
        <f t="shared" si="0"/>
        <v>7812993.75</v>
      </c>
      <c r="W33" s="117">
        <f t="shared" si="1"/>
        <v>602.10693282799366</v>
      </c>
      <c r="X33" s="123">
        <v>100.37775999999296</v>
      </c>
      <c r="Y33" s="2">
        <v>250</v>
      </c>
      <c r="Z33" s="2">
        <v>400</v>
      </c>
      <c r="AA33" s="2">
        <v>0</v>
      </c>
      <c r="AB33" s="2">
        <f t="shared" si="9"/>
        <v>750.37775999999303</v>
      </c>
      <c r="AC33" s="2">
        <v>8838135.3972799294</v>
      </c>
      <c r="AD33" s="39">
        <f t="shared" si="2"/>
        <v>681.10928617788022</v>
      </c>
      <c r="AE33" s="130">
        <v>346.15999999999985</v>
      </c>
      <c r="AF33" s="2">
        <v>3167363.9999999986</v>
      </c>
      <c r="AG33" s="35">
        <f t="shared" si="3"/>
        <v>244.09232673324541</v>
      </c>
      <c r="AH33" s="6"/>
    </row>
    <row r="34" spans="1:34">
      <c r="A34" s="29"/>
      <c r="B34" s="54">
        <v>23</v>
      </c>
      <c r="C34" s="178">
        <v>35</v>
      </c>
      <c r="D34" s="179">
        <v>232</v>
      </c>
      <c r="E34" s="99">
        <v>18360.000000000015</v>
      </c>
      <c r="F34" s="2">
        <v>19967766.840000018</v>
      </c>
      <c r="G34" s="31">
        <v>3879.9999999999955</v>
      </c>
      <c r="H34" s="2">
        <v>6329651.5799999926</v>
      </c>
      <c r="I34" s="96">
        <f t="shared" si="4"/>
        <v>26297418.420000009</v>
      </c>
      <c r="J34" s="99">
        <v>2119.9999999998909</v>
      </c>
      <c r="K34" s="2">
        <v>2305646.2799998815</v>
      </c>
      <c r="L34" s="165">
        <v>519.99999999998181</v>
      </c>
      <c r="M34" s="166">
        <v>848303.81999997038</v>
      </c>
      <c r="N34" s="87">
        <f t="shared" si="5"/>
        <v>3153950.099999852</v>
      </c>
      <c r="O34" s="101">
        <f t="shared" si="6"/>
        <v>29451368.519999862</v>
      </c>
      <c r="P34" s="104">
        <f t="shared" si="7"/>
        <v>24879.999999999884</v>
      </c>
      <c r="Q34" s="167">
        <f t="shared" si="8"/>
        <v>814</v>
      </c>
      <c r="R34" s="2">
        <v>232</v>
      </c>
      <c r="S34" s="2">
        <v>4169081.7600000002</v>
      </c>
      <c r="T34" s="27">
        <v>582</v>
      </c>
      <c r="U34" s="27">
        <v>2749106.1</v>
      </c>
      <c r="V34" s="27">
        <f t="shared" si="0"/>
        <v>6918187.8600000003</v>
      </c>
      <c r="W34" s="117">
        <f t="shared" si="1"/>
        <v>533.14888074913165</v>
      </c>
      <c r="X34" s="123">
        <v>91.838400000011717</v>
      </c>
      <c r="Y34" s="2"/>
      <c r="Z34" s="2"/>
      <c r="AA34" s="2">
        <v>0</v>
      </c>
      <c r="AB34" s="2">
        <f t="shared" si="9"/>
        <v>91.838400000011717</v>
      </c>
      <c r="AC34" s="2">
        <v>932435.27520011901</v>
      </c>
      <c r="AD34" s="39">
        <f t="shared" si="2"/>
        <v>71.857953759577725</v>
      </c>
      <c r="AE34" s="130">
        <v>860.63999999999851</v>
      </c>
      <c r="AF34" s="2">
        <v>7874855.999999986</v>
      </c>
      <c r="AG34" s="35">
        <f t="shared" si="3"/>
        <v>606.87433579760818</v>
      </c>
      <c r="AH34" s="6"/>
    </row>
    <row r="35" spans="1:34">
      <c r="A35" s="29"/>
      <c r="B35" s="54">
        <v>24</v>
      </c>
      <c r="C35" s="178">
        <v>40</v>
      </c>
      <c r="D35" s="179">
        <v>338</v>
      </c>
      <c r="E35" s="99">
        <v>19920.000000000015</v>
      </c>
      <c r="F35" s="2">
        <v>21664374.480000019</v>
      </c>
      <c r="G35" s="31">
        <v>3840.0000000000036</v>
      </c>
      <c r="H35" s="2">
        <v>6264397.4400000069</v>
      </c>
      <c r="I35" s="96">
        <f t="shared" si="4"/>
        <v>27928771.920000024</v>
      </c>
      <c r="J35" s="99">
        <v>2180.000000000291</v>
      </c>
      <c r="K35" s="2">
        <v>2370900.4200003166</v>
      </c>
      <c r="L35" s="165">
        <v>520.0000000000955</v>
      </c>
      <c r="M35" s="166">
        <v>848303.82000015595</v>
      </c>
      <c r="N35" s="87">
        <f t="shared" si="5"/>
        <v>3219204.2400004724</v>
      </c>
      <c r="O35" s="101">
        <f t="shared" si="6"/>
        <v>31147976.160000496</v>
      </c>
      <c r="P35" s="104">
        <f t="shared" si="7"/>
        <v>26460.000000000404</v>
      </c>
      <c r="Q35" s="167">
        <f t="shared" si="8"/>
        <v>791</v>
      </c>
      <c r="R35" s="2">
        <v>228</v>
      </c>
      <c r="S35" s="2">
        <v>4097201.04</v>
      </c>
      <c r="T35" s="27">
        <v>563</v>
      </c>
      <c r="U35" s="27">
        <v>2659358.65</v>
      </c>
      <c r="V35" s="27">
        <f t="shared" si="0"/>
        <v>6756559.6899999995</v>
      </c>
      <c r="W35" s="117">
        <f t="shared" si="1"/>
        <v>520.69303542130172</v>
      </c>
      <c r="X35" s="123">
        <v>86.440879999996469</v>
      </c>
      <c r="Y35" s="2"/>
      <c r="Z35" s="2"/>
      <c r="AA35" s="2">
        <v>0</v>
      </c>
      <c r="AB35" s="2">
        <f t="shared" si="9"/>
        <v>86.440879999996469</v>
      </c>
      <c r="AC35" s="2">
        <v>877634.2546399642</v>
      </c>
      <c r="AD35" s="39">
        <f t="shared" si="2"/>
        <v>67.634723143871852</v>
      </c>
      <c r="AE35" s="130">
        <v>586.32000000000153</v>
      </c>
      <c r="AF35" s="2">
        <v>5364828.000000014</v>
      </c>
      <c r="AG35" s="35">
        <f t="shared" si="3"/>
        <v>413.43948754979459</v>
      </c>
      <c r="AH35" s="6"/>
    </row>
    <row r="36" spans="1:34">
      <c r="A36" s="29"/>
      <c r="B36" s="54">
        <v>25</v>
      </c>
      <c r="C36" s="178">
        <v>36</v>
      </c>
      <c r="D36" s="179">
        <v>418</v>
      </c>
      <c r="E36" s="99">
        <v>17639.999999999985</v>
      </c>
      <c r="F36" s="2">
        <v>19184717.159999985</v>
      </c>
      <c r="G36" s="31">
        <v>3879.9999999999955</v>
      </c>
      <c r="H36" s="2">
        <v>6329651.5799999926</v>
      </c>
      <c r="I36" s="96">
        <f t="shared" si="4"/>
        <v>25514368.73999998</v>
      </c>
      <c r="J36" s="99">
        <v>2179.9999999993815</v>
      </c>
      <c r="K36" s="2">
        <v>2370900.419999327</v>
      </c>
      <c r="L36" s="165">
        <v>539.99999999996362</v>
      </c>
      <c r="M36" s="166">
        <v>880930.88999994064</v>
      </c>
      <c r="N36" s="87">
        <f t="shared" si="5"/>
        <v>3251831.3099992676</v>
      </c>
      <c r="O36" s="101">
        <f t="shared" si="6"/>
        <v>28766200.049999248</v>
      </c>
      <c r="P36" s="104">
        <f t="shared" si="7"/>
        <v>24239.999999999327</v>
      </c>
      <c r="Q36" s="167">
        <f t="shared" si="8"/>
        <v>832</v>
      </c>
      <c r="R36" s="2">
        <v>233</v>
      </c>
      <c r="S36" s="2">
        <v>4187051.94</v>
      </c>
      <c r="T36" s="27">
        <v>599</v>
      </c>
      <c r="U36" s="27">
        <v>2829406.45</v>
      </c>
      <c r="V36" s="27">
        <f t="shared" si="0"/>
        <v>7016458.3900000006</v>
      </c>
      <c r="W36" s="117">
        <f t="shared" si="1"/>
        <v>540.72208115079354</v>
      </c>
      <c r="X36" s="123">
        <v>101.30420000000585</v>
      </c>
      <c r="Y36" s="2"/>
      <c r="Z36" s="2"/>
      <c r="AA36" s="2">
        <v>0</v>
      </c>
      <c r="AB36" s="2">
        <f t="shared" si="9"/>
        <v>101.30420000000585</v>
      </c>
      <c r="AC36" s="2">
        <v>1028541.5426000594</v>
      </c>
      <c r="AD36" s="39">
        <f t="shared" si="2"/>
        <v>79.264365660230425</v>
      </c>
      <c r="AE36" s="130">
        <v>510.20999999999913</v>
      </c>
      <c r="AF36" s="2">
        <v>4668421.4999999916</v>
      </c>
      <c r="AG36" s="35">
        <f t="shared" si="3"/>
        <v>359.77104813545463</v>
      </c>
      <c r="AH36" s="6"/>
    </row>
    <row r="37" spans="1:34">
      <c r="A37" s="29"/>
      <c r="B37" s="54">
        <v>26</v>
      </c>
      <c r="C37" s="178">
        <v>37</v>
      </c>
      <c r="D37" s="179">
        <v>399</v>
      </c>
      <c r="E37" s="99">
        <v>18039.999999999964</v>
      </c>
      <c r="F37" s="2">
        <v>19619744.759999961</v>
      </c>
      <c r="G37" s="31">
        <v>3600.0000000000086</v>
      </c>
      <c r="H37" s="2">
        <v>5872872.6000000145</v>
      </c>
      <c r="I37" s="96">
        <f t="shared" si="4"/>
        <v>25492617.359999977</v>
      </c>
      <c r="J37" s="99">
        <v>2200.0000000007276</v>
      </c>
      <c r="K37" s="2">
        <v>2392651.8000007914</v>
      </c>
      <c r="L37" s="165">
        <v>519.99999999998181</v>
      </c>
      <c r="M37" s="166">
        <v>848303.81999997038</v>
      </c>
      <c r="N37" s="87">
        <f t="shared" si="5"/>
        <v>3240955.6200007619</v>
      </c>
      <c r="O37" s="101">
        <f t="shared" si="6"/>
        <v>28733572.980000738</v>
      </c>
      <c r="P37" s="104">
        <f t="shared" si="7"/>
        <v>24360.000000000684</v>
      </c>
      <c r="Q37" s="167">
        <f t="shared" si="8"/>
        <v>774</v>
      </c>
      <c r="R37" s="2">
        <v>189</v>
      </c>
      <c r="S37" s="2">
        <v>3396364.02</v>
      </c>
      <c r="T37" s="27">
        <v>585</v>
      </c>
      <c r="U37" s="27">
        <v>2763276.75</v>
      </c>
      <c r="V37" s="27">
        <f t="shared" si="0"/>
        <v>6159640.7699999996</v>
      </c>
      <c r="W37" s="117">
        <f t="shared" si="1"/>
        <v>474.69158814404028</v>
      </c>
      <c r="X37" s="123">
        <v>101.50559999998826</v>
      </c>
      <c r="Y37" s="2"/>
      <c r="Z37" s="2"/>
      <c r="AA37" s="2">
        <v>24</v>
      </c>
      <c r="AB37" s="2">
        <f t="shared" si="9"/>
        <v>125.50559999998826</v>
      </c>
      <c r="AC37" s="2">
        <v>1309586.356799881</v>
      </c>
      <c r="AD37" s="39">
        <f t="shared" si="2"/>
        <v>100.92303280879533</v>
      </c>
      <c r="AE37" s="130">
        <v>479.70000000000073</v>
      </c>
      <c r="AF37" s="2">
        <v>4389255.0000000065</v>
      </c>
      <c r="AG37" s="35">
        <f t="shared" si="3"/>
        <v>338.25713292679126</v>
      </c>
      <c r="AH37" s="6"/>
    </row>
    <row r="38" spans="1:34">
      <c r="A38" s="29"/>
      <c r="B38" s="54">
        <v>27</v>
      </c>
      <c r="C38" s="178">
        <v>32</v>
      </c>
      <c r="D38" s="179">
        <v>477</v>
      </c>
      <c r="E38" s="99">
        <v>18160.000000000025</v>
      </c>
      <c r="F38" s="2">
        <v>19750253.040000029</v>
      </c>
      <c r="G38" s="31">
        <v>3759.9999999999909</v>
      </c>
      <c r="H38" s="2">
        <v>6133889.1599999862</v>
      </c>
      <c r="I38" s="96">
        <f t="shared" si="4"/>
        <v>25884142.200000014</v>
      </c>
      <c r="J38" s="99">
        <v>2000</v>
      </c>
      <c r="K38" s="2">
        <v>2175138</v>
      </c>
      <c r="L38" s="165">
        <v>519.99999999998181</v>
      </c>
      <c r="M38" s="166">
        <v>848303.81999997038</v>
      </c>
      <c r="N38" s="87">
        <f t="shared" si="5"/>
        <v>3023441.8199999705</v>
      </c>
      <c r="O38" s="101">
        <f t="shared" si="6"/>
        <v>28907584.019999985</v>
      </c>
      <c r="P38" s="104">
        <f t="shared" si="7"/>
        <v>24440</v>
      </c>
      <c r="Q38" s="167">
        <f t="shared" si="8"/>
        <v>732</v>
      </c>
      <c r="R38" s="2">
        <v>214</v>
      </c>
      <c r="S38" s="2">
        <v>3845618.52</v>
      </c>
      <c r="T38" s="27">
        <v>518</v>
      </c>
      <c r="U38" s="27">
        <v>2446798.9</v>
      </c>
      <c r="V38" s="27">
        <f t="shared" si="0"/>
        <v>6292417.4199999999</v>
      </c>
      <c r="W38" s="117">
        <f t="shared" si="1"/>
        <v>484.92399636562322</v>
      </c>
      <c r="X38" s="123">
        <v>96.108080000002332</v>
      </c>
      <c r="Y38" s="2"/>
      <c r="Z38" s="2">
        <v>400</v>
      </c>
      <c r="AA38" s="2">
        <v>0</v>
      </c>
      <c r="AB38" s="2">
        <f t="shared" si="9"/>
        <v>496.10808000000236</v>
      </c>
      <c r="AC38" s="2">
        <v>5443785.3362400234</v>
      </c>
      <c r="AD38" s="39">
        <f t="shared" si="2"/>
        <v>419.52432021048122</v>
      </c>
      <c r="AE38" s="130">
        <v>486.44999999999891</v>
      </c>
      <c r="AF38" s="2">
        <v>4451017.4999999898</v>
      </c>
      <c r="AG38" s="35">
        <f t="shared" si="3"/>
        <v>343.01684868091928</v>
      </c>
      <c r="AH38" s="6"/>
    </row>
    <row r="39" spans="1:34">
      <c r="A39" s="29"/>
      <c r="B39" s="54">
        <v>28</v>
      </c>
      <c r="C39" s="178">
        <v>44</v>
      </c>
      <c r="D39" s="179">
        <v>363</v>
      </c>
      <c r="E39" s="99">
        <v>17519.999999999982</v>
      </c>
      <c r="F39" s="2">
        <v>19054208.87999998</v>
      </c>
      <c r="G39" s="31">
        <v>3640.0000000000005</v>
      </c>
      <c r="H39" s="2">
        <v>5938126.7400000012</v>
      </c>
      <c r="I39" s="96">
        <f t="shared" si="4"/>
        <v>24992335.619999982</v>
      </c>
      <c r="J39" s="99">
        <v>2079.9999999999272</v>
      </c>
      <c r="K39" s="2">
        <v>2262143.5199999209</v>
      </c>
      <c r="L39" s="165">
        <v>519.99999999998181</v>
      </c>
      <c r="M39" s="166">
        <v>848303.81999997038</v>
      </c>
      <c r="N39" s="87">
        <f t="shared" si="5"/>
        <v>3110447.3399998914</v>
      </c>
      <c r="O39" s="101">
        <f t="shared" si="6"/>
        <v>28102782.959999874</v>
      </c>
      <c r="P39" s="104">
        <f t="shared" si="7"/>
        <v>23759.999999999891</v>
      </c>
      <c r="Q39" s="167">
        <f t="shared" si="8"/>
        <v>667</v>
      </c>
      <c r="R39" s="2">
        <v>241</v>
      </c>
      <c r="S39" s="2">
        <v>4330813.38</v>
      </c>
      <c r="T39" s="27">
        <v>426</v>
      </c>
      <c r="U39" s="27">
        <v>2012232.3</v>
      </c>
      <c r="V39" s="27">
        <f t="shared" si="0"/>
        <v>6343045.6799999997</v>
      </c>
      <c r="W39" s="117">
        <f t="shared" si="1"/>
        <v>488.82565395277004</v>
      </c>
      <c r="X39" s="123">
        <v>106.94340000001171</v>
      </c>
      <c r="Y39" s="2">
        <v>250</v>
      </c>
      <c r="Z39" s="2"/>
      <c r="AA39" s="2">
        <v>12</v>
      </c>
      <c r="AB39" s="2">
        <f t="shared" si="9"/>
        <v>368.94340000001171</v>
      </c>
      <c r="AC39" s="2">
        <v>4576296.3402001187</v>
      </c>
      <c r="AD39" s="39">
        <f t="shared" si="2"/>
        <v>352.67143956308246</v>
      </c>
      <c r="AE39" s="130">
        <v>366.11000000000058</v>
      </c>
      <c r="AF39" s="2">
        <v>3349906.5000000051</v>
      </c>
      <c r="AG39" s="35">
        <f t="shared" si="3"/>
        <v>258.15993107322817</v>
      </c>
      <c r="AH39" s="6"/>
    </row>
    <row r="40" spans="1:34">
      <c r="A40" s="29"/>
      <c r="B40" s="54">
        <v>29</v>
      </c>
      <c r="C40" s="178">
        <v>37</v>
      </c>
      <c r="D40" s="179">
        <v>412</v>
      </c>
      <c r="E40" s="99">
        <v>16560.000000000004</v>
      </c>
      <c r="F40" s="2">
        <v>18010142.640000004</v>
      </c>
      <c r="G40" s="31">
        <v>3519.9999999999959</v>
      </c>
      <c r="H40" s="2">
        <v>5742364.3199999938</v>
      </c>
      <c r="I40" s="96">
        <f t="shared" si="4"/>
        <v>23752506.959999997</v>
      </c>
      <c r="J40" s="99">
        <v>2119.9999999998909</v>
      </c>
      <c r="K40" s="2">
        <v>2305646.2799998815</v>
      </c>
      <c r="L40" s="165">
        <v>500</v>
      </c>
      <c r="M40" s="166">
        <v>815676.75</v>
      </c>
      <c r="N40" s="87">
        <f t="shared" si="5"/>
        <v>3121323.0299998815</v>
      </c>
      <c r="O40" s="101">
        <f t="shared" ref="O40:O41" si="10">N40+I40</f>
        <v>26873829.989999879</v>
      </c>
      <c r="P40" s="104">
        <f t="shared" ref="P40:P41" si="11">L40+J40+G40+E40</f>
        <v>22699.999999999891</v>
      </c>
      <c r="Q40" s="167">
        <f t="shared" si="8"/>
        <v>817</v>
      </c>
      <c r="R40" s="2">
        <v>263</v>
      </c>
      <c r="S40" s="2">
        <v>4726157.34</v>
      </c>
      <c r="T40" s="27">
        <v>554</v>
      </c>
      <c r="U40" s="27">
        <v>2616846.7000000002</v>
      </c>
      <c r="V40" s="27">
        <f t="shared" ref="V40:V41" si="12">U40+S40</f>
        <v>7343004.04</v>
      </c>
      <c r="W40" s="117">
        <f t="shared" ref="W40:W41" si="13">V40/$AG$48</f>
        <v>565.8872618793489</v>
      </c>
      <c r="X40" s="123">
        <v>109.44075999999295</v>
      </c>
      <c r="Y40" s="2"/>
      <c r="Z40" s="2"/>
      <c r="AA40" s="2">
        <v>12</v>
      </c>
      <c r="AB40" s="2">
        <f t="shared" si="9"/>
        <v>121.44075999999295</v>
      </c>
      <c r="AC40" s="2">
        <v>1250652.0362799284</v>
      </c>
      <c r="AD40" s="39">
        <f t="shared" ref="AD40:AD42" si="14">AC40/$AG$48</f>
        <v>96.381270188471902</v>
      </c>
      <c r="AE40" s="130">
        <v>333.81000000000085</v>
      </c>
      <c r="AF40" s="2">
        <v>3054361.5000000079</v>
      </c>
      <c r="AG40" s="35">
        <f t="shared" si="3"/>
        <v>235.38380976087618</v>
      </c>
      <c r="AH40" s="6"/>
    </row>
    <row r="41" spans="1:34">
      <c r="A41" s="29"/>
      <c r="B41" s="54">
        <v>30</v>
      </c>
      <c r="C41" s="178">
        <v>44</v>
      </c>
      <c r="D41" s="179">
        <v>530</v>
      </c>
      <c r="E41" s="99">
        <v>17000</v>
      </c>
      <c r="F41" s="2">
        <v>18488673</v>
      </c>
      <c r="G41" s="31">
        <v>3560.0000000000023</v>
      </c>
      <c r="H41" s="2">
        <v>5807618.4600000046</v>
      </c>
      <c r="I41" s="96">
        <f t="shared" si="4"/>
        <v>24296291.460000005</v>
      </c>
      <c r="J41" s="99">
        <v>2119.9999999998909</v>
      </c>
      <c r="K41" s="2">
        <v>2305646.2799998815</v>
      </c>
      <c r="L41" s="165">
        <v>520.0000000000955</v>
      </c>
      <c r="M41" s="166">
        <v>848303.82000015595</v>
      </c>
      <c r="N41" s="87">
        <f t="shared" si="5"/>
        <v>3153950.1000000373</v>
      </c>
      <c r="O41" s="101">
        <f t="shared" si="10"/>
        <v>27450241.560000043</v>
      </c>
      <c r="P41" s="104">
        <f t="shared" si="11"/>
        <v>23199.999999999989</v>
      </c>
      <c r="Q41" s="167">
        <f t="shared" si="8"/>
        <v>688</v>
      </c>
      <c r="R41" s="2">
        <v>242</v>
      </c>
      <c r="S41" s="2">
        <v>4348783.5600000005</v>
      </c>
      <c r="T41" s="27">
        <v>446</v>
      </c>
      <c r="U41" s="27">
        <v>2106703.3000000003</v>
      </c>
      <c r="V41" s="27">
        <f t="shared" si="12"/>
        <v>6455486.8600000013</v>
      </c>
      <c r="W41" s="117">
        <f t="shared" si="13"/>
        <v>497.4909129021147</v>
      </c>
      <c r="X41" s="123">
        <v>100.33748000001405</v>
      </c>
      <c r="Y41" s="2"/>
      <c r="Z41" s="2"/>
      <c r="AA41" s="2">
        <v>24</v>
      </c>
      <c r="AB41" s="2">
        <f t="shared" si="9"/>
        <v>124.33748000001405</v>
      </c>
      <c r="AC41" s="2">
        <v>1297726.4344401427</v>
      </c>
      <c r="AD41" s="39">
        <f t="shared" si="14"/>
        <v>100.00905006362801</v>
      </c>
      <c r="AE41" s="130">
        <v>395.14999999999964</v>
      </c>
      <c r="AF41" s="2">
        <v>3615622.4999999967</v>
      </c>
      <c r="AG41" s="35">
        <f t="shared" si="3"/>
        <v>278.63728596210387</v>
      </c>
      <c r="AH41" s="6"/>
    </row>
    <row r="42" spans="1:34">
      <c r="A42" s="29"/>
      <c r="B42" s="54">
        <v>31</v>
      </c>
      <c r="C42" s="178">
        <v>47</v>
      </c>
      <c r="D42" s="179">
        <v>377</v>
      </c>
      <c r="E42" s="99">
        <v>27360.000000000015</v>
      </c>
      <c r="F42" s="2">
        <v>29755887.840000018</v>
      </c>
      <c r="G42" s="31">
        <v>3640.0000000000005</v>
      </c>
      <c r="H42" s="2">
        <v>5938126.7400000012</v>
      </c>
      <c r="I42" s="96">
        <f t="shared" si="4"/>
        <v>35694014.580000021</v>
      </c>
      <c r="J42" s="99">
        <v>2920.0000000000728</v>
      </c>
      <c r="K42" s="2">
        <v>3175701.4800000791</v>
      </c>
      <c r="L42" s="165">
        <v>500</v>
      </c>
      <c r="M42" s="166">
        <v>815676.75</v>
      </c>
      <c r="N42" s="87">
        <f t="shared" ref="N42" si="15">+K42+M42</f>
        <v>3991378.2300000791</v>
      </c>
      <c r="O42" s="101">
        <f t="shared" ref="O42" si="16">N42+I42</f>
        <v>39685392.810000099</v>
      </c>
      <c r="P42" s="104">
        <f t="shared" ref="P42" si="17">L42+J42+G42+E42</f>
        <v>34420.000000000087</v>
      </c>
      <c r="Q42" s="167">
        <f t="shared" si="8"/>
        <v>745</v>
      </c>
      <c r="R42" s="2">
        <v>220</v>
      </c>
      <c r="S42" s="2">
        <v>3953439.6</v>
      </c>
      <c r="T42" s="27">
        <v>525</v>
      </c>
      <c r="U42" s="27">
        <v>2479863.75</v>
      </c>
      <c r="V42" s="27">
        <f t="shared" ref="V42" si="18">U42+S42</f>
        <v>6433303.3499999996</v>
      </c>
      <c r="W42" s="117">
        <f t="shared" ref="W42" si="19">V42/$AG$48</f>
        <v>495.78134476564202</v>
      </c>
      <c r="X42" s="123">
        <v>123.86099999999999</v>
      </c>
      <c r="Y42" s="2"/>
      <c r="Z42" s="2"/>
      <c r="AA42" s="2">
        <v>0</v>
      </c>
      <c r="AB42" s="2">
        <f t="shared" si="9"/>
        <v>123.86099999999999</v>
      </c>
      <c r="AC42" s="2">
        <v>1257560.733</v>
      </c>
      <c r="AD42" s="39">
        <f t="shared" si="14"/>
        <v>96.913687636260235</v>
      </c>
      <c r="AE42" s="130">
        <v>659.57999999999811</v>
      </c>
      <c r="AF42" s="2">
        <v>6035156.9999999823</v>
      </c>
      <c r="AG42" s="35">
        <f t="shared" si="3"/>
        <v>465.09826920127574</v>
      </c>
      <c r="AH42" s="6"/>
    </row>
    <row r="43" spans="1:34">
      <c r="A43" s="29"/>
      <c r="B43" s="112"/>
      <c r="C43" s="137"/>
      <c r="D43" s="138"/>
      <c r="E43" s="97"/>
      <c r="F43" s="97"/>
      <c r="G43" s="88"/>
      <c r="H43" s="89"/>
      <c r="I43" s="98"/>
      <c r="J43" s="100"/>
      <c r="K43" s="88"/>
      <c r="L43" s="89"/>
      <c r="M43" s="90"/>
      <c r="N43" s="91"/>
      <c r="O43" s="102"/>
      <c r="P43" s="105"/>
      <c r="Q43" s="167"/>
      <c r="R43" s="2"/>
      <c r="S43" s="2"/>
      <c r="T43" s="27"/>
      <c r="U43" s="27"/>
      <c r="V43" s="15"/>
      <c r="W43" s="118"/>
      <c r="X43" s="116"/>
      <c r="Y43" s="2"/>
      <c r="Z43" s="1"/>
      <c r="AA43" s="1">
        <v>456</v>
      </c>
      <c r="AB43" s="1"/>
      <c r="AC43" s="2"/>
      <c r="AD43" s="39"/>
      <c r="AE43" s="130"/>
      <c r="AF43" s="2"/>
      <c r="AG43" s="35"/>
      <c r="AH43" s="6"/>
    </row>
    <row r="44" spans="1:34" s="7" customFormat="1" ht="4.5" customHeight="1">
      <c r="B44" s="107"/>
      <c r="C44" s="108"/>
      <c r="D44" s="108"/>
      <c r="E44" s="106"/>
      <c r="F44" s="6"/>
      <c r="H44" s="6"/>
      <c r="L44" s="6"/>
      <c r="M44" s="58"/>
      <c r="N44" s="62"/>
      <c r="P44" s="62"/>
      <c r="Q44" s="119"/>
      <c r="W44" s="28"/>
      <c r="Y44" s="6"/>
      <c r="AE44" s="80"/>
      <c r="AG44" s="28"/>
    </row>
    <row r="45" spans="1:34" s="7" customFormat="1" ht="6" customHeight="1">
      <c r="B45" s="107"/>
      <c r="C45" s="108"/>
      <c r="D45" s="108"/>
      <c r="E45" s="106"/>
      <c r="F45" s="6"/>
      <c r="H45" s="6"/>
      <c r="L45" s="6"/>
      <c r="M45" s="58"/>
      <c r="N45" s="62"/>
      <c r="P45" s="62"/>
      <c r="Q45" s="119"/>
      <c r="W45" s="120"/>
      <c r="Y45" s="6"/>
      <c r="AC45" s="6"/>
      <c r="AE45" s="81"/>
      <c r="AF45" s="4"/>
      <c r="AG45" s="36"/>
    </row>
    <row r="46" spans="1:34" s="7" customFormat="1">
      <c r="B46" s="109"/>
      <c r="C46" s="110"/>
      <c r="D46" s="110"/>
      <c r="E46" s="111"/>
      <c r="F46" s="68"/>
      <c r="G46" s="67"/>
      <c r="H46" s="68"/>
      <c r="I46" s="67"/>
      <c r="J46" s="67"/>
      <c r="K46" s="67"/>
      <c r="L46" s="68"/>
      <c r="M46" s="69"/>
      <c r="N46" s="70"/>
      <c r="O46" s="67"/>
      <c r="P46" s="70"/>
      <c r="Q46" s="121"/>
      <c r="R46" s="72"/>
      <c r="S46" s="67"/>
      <c r="T46" s="67"/>
      <c r="U46" s="67"/>
      <c r="V46" s="67"/>
      <c r="W46" s="71"/>
      <c r="X46" s="73"/>
      <c r="Y46" s="68"/>
      <c r="Z46" s="73"/>
      <c r="AA46" s="73"/>
      <c r="AB46" s="73"/>
      <c r="AC46" s="68"/>
      <c r="AD46" s="67"/>
      <c r="AE46" s="131"/>
      <c r="AF46" s="74"/>
      <c r="AG46" s="75"/>
    </row>
    <row r="47" spans="1:34">
      <c r="A47" s="21"/>
      <c r="B47" s="65"/>
      <c r="C47" s="66">
        <f>SUM(C12:C43)</f>
        <v>1715</v>
      </c>
      <c r="D47" s="66">
        <f>SUM(D12:D43)</f>
        <v>15089</v>
      </c>
      <c r="E47" s="66">
        <f>SUM(E12:E43)</f>
        <v>587160.00000000105</v>
      </c>
      <c r="F47" s="66">
        <f>SUM(F12:F43)</f>
        <v>638577014.04000127</v>
      </c>
      <c r="G47" s="66">
        <f>SUM(G12:G43)</f>
        <v>122479.99999999971</v>
      </c>
      <c r="H47" s="66">
        <f t="shared" ref="H47:O47" si="20">SUM(H12:H43)</f>
        <v>199808176.67999956</v>
      </c>
      <c r="I47" s="66">
        <f t="shared" si="20"/>
        <v>838385190.72000098</v>
      </c>
      <c r="J47" s="66">
        <f t="shared" si="20"/>
        <v>68680.000000000306</v>
      </c>
      <c r="K47" s="66">
        <f t="shared" si="20"/>
        <v>74694238.920000315</v>
      </c>
      <c r="L47" s="66">
        <f t="shared" si="20"/>
        <v>16420.000000000069</v>
      </c>
      <c r="M47" s="66">
        <f t="shared" si="20"/>
        <v>26786824.470000122</v>
      </c>
      <c r="N47" s="66">
        <f t="shared" si="20"/>
        <v>101481063.39000042</v>
      </c>
      <c r="O47" s="66">
        <f t="shared" si="20"/>
        <v>939866254.11000133</v>
      </c>
      <c r="P47" s="76">
        <f>SUM(P12:P43)</f>
        <v>794740.00000000116</v>
      </c>
      <c r="Q47" s="160">
        <f>SUM(Q12:Q42)</f>
        <v>20711</v>
      </c>
      <c r="R47" s="48">
        <f>SUM(R12:R42)</f>
        <v>6546</v>
      </c>
      <c r="S47" s="48">
        <f t="shared" ref="S47:U47" si="21">SUM(S12:S42)</f>
        <v>117632798.28</v>
      </c>
      <c r="T47" s="48">
        <f t="shared" si="21"/>
        <v>14165</v>
      </c>
      <c r="U47" s="48">
        <f t="shared" si="21"/>
        <v>66909085.75</v>
      </c>
      <c r="V47" s="124">
        <f>SUM(V12:V42)</f>
        <v>184541884.03000003</v>
      </c>
      <c r="W47" s="113">
        <f>V47/$AG$48</f>
        <v>14221.686504178071</v>
      </c>
      <c r="X47" s="40">
        <f>SUM(X12:X41)</f>
        <v>3553.2599199999972</v>
      </c>
      <c r="Y47" s="125">
        <f>SUM(Y12:Y41)</f>
        <v>1250</v>
      </c>
      <c r="Z47" s="40">
        <f>SUM(Z12:Z42)</f>
        <v>2400</v>
      </c>
      <c r="AA47" s="40">
        <f>SUM(AA12:AA42)</f>
        <v>336</v>
      </c>
      <c r="AB47" s="177">
        <f>SUM(AB12:AB42)</f>
        <v>7663.1209199999985</v>
      </c>
      <c r="AC47" s="134">
        <f>SUM(AC12:AC43)</f>
        <v>84802808.700759977</v>
      </c>
      <c r="AD47" s="135">
        <f>AC47/$AG$48</f>
        <v>6535.3129256008533</v>
      </c>
      <c r="AE47" s="176">
        <f>SUM(AE12:AE43)</f>
        <v>10621.699999999997</v>
      </c>
      <c r="AF47" s="132">
        <f>SUM(AF12:AF43)</f>
        <v>97188554.99999997</v>
      </c>
      <c r="AG47" s="133">
        <f>AF47/AG48</f>
        <v>7489.8181963904353</v>
      </c>
      <c r="AH47" s="21"/>
    </row>
    <row r="48" spans="1:34">
      <c r="A48" s="21"/>
      <c r="B48" s="21"/>
      <c r="C48" s="4"/>
      <c r="D48" s="10"/>
      <c r="E48" s="4"/>
      <c r="F48" s="4"/>
      <c r="G48" s="10"/>
      <c r="H48" s="4"/>
      <c r="I48" s="8"/>
      <c r="J48" s="8"/>
      <c r="K48" s="8"/>
      <c r="L48" s="14"/>
      <c r="M48" s="59"/>
      <c r="N48" s="63"/>
      <c r="O48" s="9"/>
      <c r="P48" s="63"/>
      <c r="Q48" s="168" t="s">
        <v>49</v>
      </c>
      <c r="R48" s="10"/>
      <c r="S48" s="10"/>
      <c r="T48" s="126"/>
      <c r="U48" s="10"/>
      <c r="V48" s="10"/>
      <c r="W48" s="10"/>
      <c r="X48" s="13"/>
      <c r="Y48" s="6"/>
      <c r="Z48" s="13"/>
      <c r="AA48" s="13"/>
      <c r="AB48" s="6"/>
      <c r="AC48" s="4"/>
      <c r="AD48" s="10"/>
      <c r="AE48" s="81"/>
      <c r="AF48" s="10"/>
      <c r="AG48" s="136">
        <v>12976.09</v>
      </c>
      <c r="AH48" s="21"/>
    </row>
    <row r="49" spans="1:34">
      <c r="A49" s="21"/>
      <c r="B49" s="21"/>
      <c r="C49" s="4"/>
      <c r="D49" s="10"/>
      <c r="E49" s="4"/>
      <c r="F49" s="4"/>
      <c r="G49" s="10"/>
      <c r="H49" s="4"/>
      <c r="I49" s="8"/>
      <c r="J49" s="8"/>
      <c r="K49" s="8"/>
      <c r="L49" s="14"/>
      <c r="M49" s="59"/>
      <c r="N49" s="63"/>
      <c r="O49" s="9"/>
      <c r="P49" s="63"/>
      <c r="Q49" s="168"/>
      <c r="R49" s="10"/>
      <c r="S49" s="10"/>
      <c r="T49" s="126"/>
      <c r="U49" s="10"/>
      <c r="V49" s="10"/>
      <c r="W49" s="10"/>
      <c r="X49" s="13"/>
      <c r="Y49" s="6"/>
      <c r="Z49" s="13"/>
      <c r="AA49" s="13"/>
      <c r="AB49" s="6"/>
      <c r="AC49" s="4"/>
      <c r="AD49" s="10"/>
      <c r="AE49" s="81"/>
      <c r="AF49" s="10"/>
      <c r="AG49" s="136"/>
      <c r="AH49" s="21"/>
    </row>
    <row r="50" spans="1:34" s="171" customFormat="1">
      <c r="A50" s="169"/>
      <c r="B50" s="169"/>
      <c r="C50" s="170"/>
      <c r="E50" s="170"/>
      <c r="F50" s="170"/>
      <c r="H50" s="170"/>
      <c r="L50" s="170"/>
      <c r="M50" s="172"/>
      <c r="N50" s="173"/>
      <c r="P50" s="173">
        <f>O47/P47</f>
        <v>1182.6084683166821</v>
      </c>
      <c r="V50" s="180">
        <f>V47/Q47</f>
        <v>8910.3319023707227</v>
      </c>
      <c r="Y50" s="170"/>
      <c r="AC50" s="170">
        <f>AC47/AB47</f>
        <v>11066.353981108783</v>
      </c>
      <c r="AE50" s="174"/>
      <c r="AF50" s="171">
        <f>AF47/AE47</f>
        <v>9150</v>
      </c>
      <c r="AG50" s="175"/>
      <c r="AH50" s="169"/>
    </row>
    <row r="51" spans="1:34" s="171" customFormat="1">
      <c r="A51" s="169"/>
      <c r="B51" s="169"/>
      <c r="C51" s="170"/>
      <c r="E51" s="170"/>
      <c r="F51" s="170"/>
      <c r="H51" s="170"/>
      <c r="L51" s="170"/>
      <c r="M51" s="172"/>
      <c r="N51" s="173"/>
      <c r="P51" s="173"/>
      <c r="Y51" s="170"/>
      <c r="AC51" s="170"/>
      <c r="AE51" s="174"/>
      <c r="AG51" s="175"/>
      <c r="AH51" s="169"/>
    </row>
    <row r="52" spans="1:34" s="171" customFormat="1">
      <c r="A52" s="169"/>
      <c r="B52" s="169"/>
      <c r="C52" s="170"/>
      <c r="E52" s="170"/>
      <c r="F52" s="170"/>
      <c r="H52" s="170"/>
      <c r="L52" s="170"/>
      <c r="M52" s="172"/>
      <c r="N52" s="173"/>
      <c r="P52" s="173"/>
      <c r="Y52" s="170"/>
      <c r="AC52" s="170"/>
      <c r="AE52" s="174"/>
      <c r="AG52" s="175"/>
      <c r="AH52" s="169"/>
    </row>
    <row r="53" spans="1:34" s="171" customFormat="1">
      <c r="A53" s="169"/>
      <c r="B53" s="169"/>
      <c r="C53" s="170"/>
      <c r="E53" s="170"/>
      <c r="F53" s="170"/>
      <c r="H53" s="170"/>
      <c r="L53" s="170"/>
      <c r="M53" s="172"/>
      <c r="N53" s="173"/>
      <c r="P53" s="173"/>
      <c r="Y53" s="170"/>
      <c r="AC53" s="170"/>
      <c r="AE53" s="174"/>
      <c r="AG53" s="175"/>
      <c r="AH53" s="169"/>
    </row>
    <row r="54" spans="1:34" s="171" customFormat="1">
      <c r="A54" s="169"/>
      <c r="B54" s="169"/>
      <c r="C54" s="170"/>
      <c r="E54" s="170"/>
      <c r="F54" s="170"/>
      <c r="H54" s="170"/>
      <c r="L54" s="170"/>
      <c r="M54" s="172"/>
      <c r="N54" s="173"/>
      <c r="P54" s="173"/>
      <c r="Y54" s="170"/>
      <c r="AC54" s="170"/>
      <c r="AE54" s="174"/>
      <c r="AG54" s="175"/>
      <c r="AH54" s="169"/>
    </row>
    <row r="55" spans="1:34" s="171" customFormat="1">
      <c r="A55" s="169"/>
      <c r="B55" s="169"/>
      <c r="C55" s="170"/>
      <c r="E55" s="170"/>
      <c r="F55" s="170"/>
      <c r="H55" s="170"/>
      <c r="L55" s="170"/>
      <c r="M55" s="172"/>
      <c r="N55" s="173"/>
      <c r="P55" s="173"/>
      <c r="Y55" s="170"/>
      <c r="AC55" s="170"/>
      <c r="AE55" s="174"/>
      <c r="AG55" s="175"/>
      <c r="AH55" s="169"/>
    </row>
    <row r="56" spans="1:34" s="171" customFormat="1">
      <c r="A56" s="169"/>
      <c r="B56" s="169"/>
      <c r="C56" s="170"/>
      <c r="E56" s="170"/>
      <c r="F56" s="170"/>
      <c r="H56" s="170"/>
      <c r="L56" s="170"/>
      <c r="M56" s="172"/>
      <c r="N56" s="173"/>
      <c r="P56" s="173"/>
      <c r="Y56" s="170"/>
      <c r="AC56" s="170"/>
      <c r="AE56" s="174"/>
      <c r="AG56" s="175"/>
      <c r="AH56" s="169"/>
    </row>
    <row r="57" spans="1:34" s="171" customFormat="1">
      <c r="A57" s="169"/>
      <c r="B57" s="169"/>
      <c r="C57" s="170"/>
      <c r="E57" s="170"/>
      <c r="F57" s="170"/>
      <c r="H57" s="170"/>
      <c r="L57" s="170"/>
      <c r="M57" s="172"/>
      <c r="N57" s="173"/>
      <c r="P57" s="173"/>
      <c r="Y57" s="170"/>
      <c r="AC57" s="170"/>
      <c r="AE57" s="174"/>
      <c r="AG57" s="175"/>
      <c r="AH57" s="169"/>
    </row>
    <row r="58" spans="1:34" s="171" customFormat="1">
      <c r="A58" s="169"/>
      <c r="B58" s="169"/>
      <c r="C58" s="170"/>
      <c r="E58" s="170"/>
      <c r="F58" s="170"/>
      <c r="H58" s="170"/>
      <c r="L58" s="170"/>
      <c r="M58" s="172"/>
      <c r="N58" s="173"/>
      <c r="P58" s="173"/>
      <c r="Y58" s="170"/>
      <c r="AC58" s="170"/>
      <c r="AE58" s="174"/>
      <c r="AG58" s="175"/>
      <c r="AH58" s="169"/>
    </row>
    <row r="59" spans="1:34" s="171" customFormat="1">
      <c r="A59" s="169"/>
      <c r="B59" s="169"/>
      <c r="C59" s="170"/>
      <c r="E59" s="170"/>
      <c r="F59" s="170"/>
      <c r="H59" s="170"/>
      <c r="L59" s="170"/>
      <c r="M59" s="172"/>
      <c r="N59" s="173"/>
      <c r="P59" s="173"/>
      <c r="Y59" s="170"/>
      <c r="AC59" s="170"/>
      <c r="AE59" s="174"/>
      <c r="AG59" s="175"/>
      <c r="AH59" s="169"/>
    </row>
    <row r="60" spans="1:34" s="171" customFormat="1">
      <c r="A60" s="169"/>
      <c r="B60" s="169"/>
      <c r="C60" s="170"/>
      <c r="E60" s="170"/>
      <c r="F60" s="170"/>
      <c r="H60" s="170"/>
      <c r="L60" s="170"/>
      <c r="M60" s="172"/>
      <c r="N60" s="173"/>
      <c r="P60" s="173"/>
      <c r="Y60" s="170"/>
      <c r="AC60" s="170"/>
      <c r="AE60" s="174"/>
      <c r="AG60" s="175"/>
      <c r="AH60" s="169"/>
    </row>
    <row r="61" spans="1:34" s="171" customFormat="1">
      <c r="A61" s="169"/>
      <c r="B61" s="169"/>
      <c r="C61" s="170"/>
      <c r="E61" s="170"/>
      <c r="F61" s="170"/>
      <c r="H61" s="170"/>
      <c r="L61" s="170"/>
      <c r="M61" s="172"/>
      <c r="N61" s="173"/>
      <c r="P61" s="173"/>
      <c r="Y61" s="170"/>
      <c r="AC61" s="170"/>
      <c r="AE61" s="174"/>
      <c r="AG61" s="175"/>
      <c r="AH61" s="169"/>
    </row>
    <row r="62" spans="1:34" s="171" customFormat="1">
      <c r="A62" s="169"/>
      <c r="B62" s="169"/>
      <c r="C62" s="170"/>
      <c r="E62" s="170"/>
      <c r="F62" s="170"/>
      <c r="H62" s="170"/>
      <c r="L62" s="170"/>
      <c r="M62" s="172"/>
      <c r="N62" s="173"/>
      <c r="P62" s="173"/>
      <c r="Y62" s="170"/>
      <c r="AC62" s="170"/>
      <c r="AE62" s="174"/>
      <c r="AG62" s="175"/>
      <c r="AH62" s="169"/>
    </row>
  </sheetData>
  <mergeCells count="13">
    <mergeCell ref="V9:W9"/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6" sqref="B6:C3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2" t="s">
        <v>16</v>
      </c>
    </row>
    <row r="2" spans="1:3" ht="18">
      <c r="A2" s="208">
        <v>43221</v>
      </c>
      <c r="B2" s="209"/>
      <c r="C2" s="209"/>
    </row>
    <row r="3" spans="1:3">
      <c r="A3" s="211" t="s">
        <v>18</v>
      </c>
      <c r="B3" s="210" t="s">
        <v>19</v>
      </c>
      <c r="C3" s="210" t="s">
        <v>13</v>
      </c>
    </row>
    <row r="4" spans="1:3">
      <c r="A4" s="211"/>
      <c r="B4" s="210"/>
      <c r="C4" s="210"/>
    </row>
    <row r="5" spans="1:3">
      <c r="A5" s="211"/>
      <c r="B5" s="210"/>
      <c r="C5" s="210"/>
    </row>
    <row r="6" spans="1:3">
      <c r="A6" s="1">
        <v>1</v>
      </c>
      <c r="B6" s="178">
        <v>66</v>
      </c>
      <c r="C6" s="179">
        <v>663</v>
      </c>
    </row>
    <row r="7" spans="1:3">
      <c r="A7" s="1">
        <v>2</v>
      </c>
      <c r="B7" s="178">
        <v>75</v>
      </c>
      <c r="C7" s="179">
        <v>547</v>
      </c>
    </row>
    <row r="8" spans="1:3">
      <c r="A8" s="1">
        <f>A7+1</f>
        <v>3</v>
      </c>
      <c r="B8" s="178">
        <v>75</v>
      </c>
      <c r="C8" s="179">
        <v>530</v>
      </c>
    </row>
    <row r="9" spans="1:3">
      <c r="A9" s="1">
        <f>A8+1</f>
        <v>4</v>
      </c>
      <c r="B9" s="178">
        <v>87</v>
      </c>
      <c r="C9" s="179">
        <v>671</v>
      </c>
    </row>
    <row r="10" spans="1:3">
      <c r="A10" s="1">
        <f t="shared" ref="A10:A36" si="0">A9+1</f>
        <v>5</v>
      </c>
      <c r="B10" s="178">
        <v>61</v>
      </c>
      <c r="C10" s="179">
        <v>658</v>
      </c>
    </row>
    <row r="11" spans="1:3">
      <c r="A11" s="1">
        <f t="shared" si="0"/>
        <v>6</v>
      </c>
      <c r="B11" s="178">
        <v>49</v>
      </c>
      <c r="C11" s="179">
        <v>670</v>
      </c>
    </row>
    <row r="12" spans="1:3">
      <c r="A12" s="1">
        <f t="shared" si="0"/>
        <v>7</v>
      </c>
      <c r="B12" s="178">
        <v>44</v>
      </c>
      <c r="C12" s="179">
        <v>440</v>
      </c>
    </row>
    <row r="13" spans="1:3">
      <c r="A13" s="1">
        <f t="shared" si="0"/>
        <v>8</v>
      </c>
      <c r="B13" s="178">
        <v>45</v>
      </c>
      <c r="C13" s="179">
        <v>535</v>
      </c>
    </row>
    <row r="14" spans="1:3">
      <c r="A14" s="1">
        <f t="shared" si="0"/>
        <v>9</v>
      </c>
      <c r="B14" s="178">
        <v>39</v>
      </c>
      <c r="C14" s="179">
        <v>433</v>
      </c>
    </row>
    <row r="15" spans="1:3">
      <c r="A15" s="1">
        <f t="shared" si="0"/>
        <v>10</v>
      </c>
      <c r="B15" s="178">
        <v>43</v>
      </c>
      <c r="C15" s="179">
        <v>601</v>
      </c>
    </row>
    <row r="16" spans="1:3">
      <c r="A16" s="1">
        <f t="shared" si="0"/>
        <v>11</v>
      </c>
      <c r="B16" s="178">
        <v>37</v>
      </c>
      <c r="C16" s="179">
        <v>438</v>
      </c>
    </row>
    <row r="17" spans="1:3">
      <c r="A17" s="1">
        <f t="shared" si="0"/>
        <v>12</v>
      </c>
      <c r="B17" s="178">
        <v>50</v>
      </c>
      <c r="C17" s="179">
        <v>369</v>
      </c>
    </row>
    <row r="18" spans="1:3">
      <c r="A18" s="1">
        <f t="shared" si="0"/>
        <v>13</v>
      </c>
      <c r="B18" s="178">
        <v>103</v>
      </c>
      <c r="C18" s="179">
        <v>603</v>
      </c>
    </row>
    <row r="19" spans="1:3">
      <c r="A19" s="1">
        <f t="shared" si="0"/>
        <v>14</v>
      </c>
      <c r="B19" s="178">
        <v>106</v>
      </c>
      <c r="C19" s="179">
        <v>564</v>
      </c>
    </row>
    <row r="20" spans="1:3">
      <c r="A20" s="1">
        <f t="shared" si="0"/>
        <v>15</v>
      </c>
      <c r="B20" s="178">
        <v>104</v>
      </c>
      <c r="C20" s="179">
        <v>706</v>
      </c>
    </row>
    <row r="21" spans="1:3">
      <c r="A21" s="1">
        <f t="shared" si="0"/>
        <v>16</v>
      </c>
      <c r="B21" s="178">
        <v>99</v>
      </c>
      <c r="C21" s="179">
        <v>599</v>
      </c>
    </row>
    <row r="22" spans="1:3">
      <c r="A22" s="1">
        <f t="shared" si="0"/>
        <v>17</v>
      </c>
      <c r="B22" s="178">
        <v>92</v>
      </c>
      <c r="C22" s="179">
        <v>463</v>
      </c>
    </row>
    <row r="23" spans="1:3">
      <c r="A23" s="1">
        <f t="shared" si="0"/>
        <v>18</v>
      </c>
      <c r="B23" s="178">
        <v>94</v>
      </c>
      <c r="C23" s="179">
        <v>689</v>
      </c>
    </row>
    <row r="24" spans="1:3">
      <c r="A24" s="1">
        <f t="shared" si="0"/>
        <v>19</v>
      </c>
      <c r="B24" s="178">
        <v>29</v>
      </c>
      <c r="C24" s="179">
        <v>446</v>
      </c>
    </row>
    <row r="25" spans="1:3">
      <c r="A25" s="1">
        <f t="shared" si="0"/>
        <v>20</v>
      </c>
      <c r="B25" s="178">
        <v>18</v>
      </c>
      <c r="C25" s="179">
        <v>367</v>
      </c>
    </row>
    <row r="26" spans="1:3">
      <c r="A26" s="1">
        <f t="shared" si="0"/>
        <v>21</v>
      </c>
      <c r="B26" s="178">
        <v>20</v>
      </c>
      <c r="C26" s="179">
        <v>287</v>
      </c>
    </row>
    <row r="27" spans="1:3">
      <c r="A27" s="1">
        <f t="shared" si="0"/>
        <v>22</v>
      </c>
      <c r="B27" s="178">
        <v>27</v>
      </c>
      <c r="C27" s="179">
        <v>264</v>
      </c>
    </row>
    <row r="28" spans="1:3">
      <c r="A28" s="1">
        <f t="shared" si="0"/>
        <v>23</v>
      </c>
      <c r="B28" s="178">
        <v>35</v>
      </c>
      <c r="C28" s="179">
        <v>232</v>
      </c>
    </row>
    <row r="29" spans="1:3">
      <c r="A29" s="1">
        <f t="shared" si="0"/>
        <v>24</v>
      </c>
      <c r="B29" s="178">
        <v>40</v>
      </c>
      <c r="C29" s="179">
        <v>338</v>
      </c>
    </row>
    <row r="30" spans="1:3">
      <c r="A30" s="1">
        <f t="shared" si="0"/>
        <v>25</v>
      </c>
      <c r="B30" s="178">
        <v>36</v>
      </c>
      <c r="C30" s="179">
        <v>418</v>
      </c>
    </row>
    <row r="31" spans="1:3">
      <c r="A31" s="1">
        <f t="shared" si="0"/>
        <v>26</v>
      </c>
      <c r="B31" s="178">
        <v>37</v>
      </c>
      <c r="C31" s="179">
        <v>399</v>
      </c>
    </row>
    <row r="32" spans="1:3">
      <c r="A32" s="1">
        <f t="shared" si="0"/>
        <v>27</v>
      </c>
      <c r="B32" s="178">
        <v>32</v>
      </c>
      <c r="C32" s="179">
        <v>477</v>
      </c>
    </row>
    <row r="33" spans="1:3">
      <c r="A33" s="1">
        <f t="shared" si="0"/>
        <v>28</v>
      </c>
      <c r="B33" s="178">
        <v>44</v>
      </c>
      <c r="C33" s="179">
        <v>363</v>
      </c>
    </row>
    <row r="34" spans="1:3">
      <c r="A34" s="1">
        <f t="shared" si="0"/>
        <v>29</v>
      </c>
      <c r="B34" s="178">
        <v>37</v>
      </c>
      <c r="C34" s="179">
        <v>412</v>
      </c>
    </row>
    <row r="35" spans="1:3">
      <c r="A35" s="1">
        <f t="shared" si="0"/>
        <v>30</v>
      </c>
      <c r="B35" s="178">
        <v>44</v>
      </c>
      <c r="C35" s="179">
        <v>530</v>
      </c>
    </row>
    <row r="36" spans="1:3">
      <c r="A36" s="1">
        <f t="shared" si="0"/>
        <v>31</v>
      </c>
      <c r="B36" s="178">
        <v>47</v>
      </c>
      <c r="C36" s="179">
        <v>377</v>
      </c>
    </row>
    <row r="38" spans="1:3">
      <c r="B38" s="5">
        <f>SUM(B6:B36)</f>
        <v>1715</v>
      </c>
      <c r="C38" s="5">
        <f>SUM(C6:C36)</f>
        <v>15089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83DCDFB-6B77-4A2B-B473-FC3D8A03FFEB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