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l="1"/>
  <c r="CM7" i="7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<sst xmlns="http://schemas.openxmlformats.org/spreadsheetml/2006/main" count="313" uniqueCount="148">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</sst>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 t="e">
        <f>Submetering!E5+Submetering!F5+Submetering!G5+Submetering!H5+Submetering!J5-Submetering!AV5</f>
        <v>#VALUE!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 t="e">
        <f>'FS Desroches Daily'!CM7</f>
        <v>#VALUE!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 t="str">
        <f>'FS Desroches Daily'!X7</f>
        <v/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 t="str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 t="str">
        <f>'FS Desroches Daily'!D7</f>
        <v>0</v>
      </c>
      <c r="F5" s="32" t="str">
        <f>'FS Desroches Daily'!F7</f>
        <v>0</v>
      </c>
      <c r="G5" s="31" t="str">
        <f>'FS Desroches Daily'!H7</f>
        <v>0</v>
      </c>
      <c r="H5" s="32" t="str">
        <f>'FS Desroches Daily'!J7</f>
        <v>0</v>
      </c>
      <c r="I5" s="31" t="str">
        <f>'FS Desroches Daily'!L7</f>
        <v>0</v>
      </c>
      <c r="J5" s="32" t="str">
        <f>'FS Desroches Daily'!N7</f>
        <v/>
      </c>
      <c r="K5" s="13" t="str">
        <f>'FS Desroches Daily'!P7</f>
        <v/>
      </c>
      <c r="L5" s="31" t="str">
        <f>'FS Desroches Daily'!R7</f>
        <v/>
      </c>
      <c r="M5" s="31" t="str">
        <f>'FS Desroches Daily'!T7</f>
        <v/>
      </c>
      <c r="N5" s="31" t="str">
        <f>'FS Desroches Daily'!V7</f>
        <v/>
      </c>
      <c r="O5" s="31">
        <f>'FS Desroches Daily'!X8</f>
        <v>0</v>
      </c>
      <c r="P5" s="31" t="str">
        <f>'FS Desroches Daily'!Z7</f>
        <v/>
      </c>
      <c r="Q5" s="31" t="str">
        <f>'FS Desroches Daily'!AB7</f>
        <v/>
      </c>
      <c r="R5" s="31" t="str">
        <f>'FS Desroches Daily'!AD7</f>
        <v/>
      </c>
      <c r="S5" s="31" t="str">
        <f>'FS Desroches Daily'!AF7</f>
        <v/>
      </c>
      <c r="T5" s="31" t="str">
        <f>'FS Desroches Daily'!AH7</f>
        <v/>
      </c>
      <c r="U5" s="35" t="str">
        <f>'FS Desroches Daily'!AJ7</f>
        <v/>
      </c>
      <c r="V5" s="35" t="str">
        <f>'FS Desroches Daily'!AL7</f>
        <v/>
      </c>
      <c r="W5" s="35" t="str">
        <f>'FS Desroches Daily'!AN7</f>
        <v/>
      </c>
      <c r="X5" s="35" t="str">
        <f>'FS Desroches Daily'!AP7</f>
        <v/>
      </c>
      <c r="Y5" s="35" t="str">
        <f>'FS Desroches Daily'!AR7</f>
        <v/>
      </c>
      <c r="Z5" s="35" t="str">
        <f>'FS Desroches Daily'!AT7</f>
        <v/>
      </c>
      <c r="AA5" s="35" t="str">
        <f>'FS Desroches Daily'!AT7</f>
        <v/>
      </c>
      <c r="AB5" s="35" t="str">
        <f>'FS Desroches Daily'!AV7</f>
        <v/>
      </c>
      <c r="AC5" s="35" t="str">
        <f>'FS Desroches Daily'!AZ7</f>
        <v/>
      </c>
      <c r="AD5" s="35" t="str">
        <f>'FS Desroches Daily'!BB7</f>
        <v/>
      </c>
      <c r="AE5" s="35" t="str">
        <f>'FS Desroches Daily'!BD7</f>
        <v/>
      </c>
      <c r="AF5" s="31" t="str">
        <f>'FS Desroches Daily'!BF7</f>
        <v/>
      </c>
      <c r="AG5" s="32" t="str">
        <f>'FS Desroches Daily'!BH7</f>
        <v/>
      </c>
      <c r="AH5" s="32" t="str">
        <f>'FS Desroches Daily'!BJ7</f>
        <v/>
      </c>
      <c r="AI5" s="32" t="str">
        <f>'FS Desroches Daily'!BL7</f>
        <v/>
      </c>
      <c r="AJ5" s="32" t="str">
        <f>'FS Desroches Daily'!BN7</f>
        <v/>
      </c>
      <c r="AK5" s="32" t="str">
        <f>'FS Desroches Daily'!BP7</f>
        <v/>
      </c>
      <c r="AL5" s="32" t="str">
        <f>'FS Desroches Daily'!BR7</f>
        <v/>
      </c>
      <c r="AM5" s="32" t="str">
        <f>'FS Desroches Daily'!BT7</f>
        <v/>
      </c>
      <c r="AN5" s="32" t="str">
        <f>'FS Desroches Daily'!BV7</f>
        <v/>
      </c>
      <c r="AO5" s="32" t="str">
        <f>'FS Desroches Daily'!BX7</f>
        <v/>
      </c>
      <c r="AP5" s="32" t="str">
        <f>'FS Desroches Daily'!BZ7</f>
        <v/>
      </c>
      <c r="AQ5" s="31" t="str">
        <f>'FS Desroches Daily'!CB7</f>
        <v/>
      </c>
      <c r="AR5" s="31" t="str">
        <f>'FS Desroches Daily'!CD7</f>
        <v/>
      </c>
      <c r="AS5" s="31" t="str">
        <f>'FS Desroches Daily'!CF7</f>
        <v/>
      </c>
      <c r="AT5" s="31" t="str">
        <f>'FS Desroches Daily'!CH7</f>
        <v/>
      </c>
      <c r="AU5" s="31" t="str">
        <f>'FS Desroches Daily'!CJ7</f>
        <v/>
      </c>
      <c r="AV5" s="31" t="str">
        <f>'FS Desroches Daily'!CL7</f>
        <v/>
      </c>
      <c r="AW5" s="31" t="e">
        <f>'FS Desroches Daily'!CM7</f>
        <v>#VALUE!</v>
      </c>
      <c r="AX5" s="31" t="str">
        <f>IF(LPG!F12-LPG!F11&lt;0,"0",(LPG!F12-LPG!F11)*1.8315)</f>
        <v>0</v>
      </c>
      <c r="AY5" s="31" t="str">
        <f>IF(LPG!H12-LPG!H11&lt;0,"0",(LPG!H12-LPG!H11)*1.8315)</f>
        <v>0</v>
      </c>
      <c r="AZ5" s="31">
        <f>IF(LPG!J12-LPG!J13&lt;0,"0",(LPG!J12-LPG!J13)*1.8315)</f>
        <v>0</v>
      </c>
      <c r="BA5" s="31" t="str">
        <f>IF(LPG!M12-LPG!M11&lt;0,"0",(LPG!M12-LPG!M11)*1.8315)</f>
        <v>0</v>
      </c>
      <c r="BB5" s="31" t="str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8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4799.9999999999154</v>
      </c>
      <c r="F33" s="17">
        <f t="shared" ref="F33:BC33" si="1">SUM(F2:F32)</f>
        <v>1700.000000000035</v>
      </c>
      <c r="G33" s="17">
        <f t="shared" si="1"/>
        <v>4899.9999999996826</v>
      </c>
      <c r="H33" s="17">
        <f t="shared" si="1"/>
        <v>2299.9999999999691</v>
      </c>
      <c r="I33" s="17">
        <f t="shared" si="1"/>
        <v>4399.99999999996</v>
      </c>
      <c r="J33" s="17">
        <f t="shared" si="1"/>
        <v>1200.0000000000898</v>
      </c>
      <c r="K33" s="17">
        <f t="shared" si="1"/>
        <v>5</v>
      </c>
      <c r="L33" s="17">
        <f t="shared" si="1"/>
        <v>6</v>
      </c>
      <c r="M33" s="17">
        <f t="shared" si="1"/>
        <v>1014.2000000000698</v>
      </c>
      <c r="N33" s="17">
        <f t="shared" si="1"/>
        <v>425.70000000001164</v>
      </c>
      <c r="O33" s="17">
        <f t="shared" si="1"/>
        <v>180.00000000000682</v>
      </c>
      <c r="P33" s="17">
        <f t="shared" si="1"/>
        <v>1099.9999999996567</v>
      </c>
      <c r="Q33" s="17">
        <f t="shared" si="1"/>
        <v>189.99999999999773</v>
      </c>
      <c r="R33" s="17">
        <f t="shared" si="1"/>
        <v>290.00000000002046</v>
      </c>
      <c r="S33" s="17">
        <f t="shared" si="1"/>
        <v>459.99999999997954</v>
      </c>
      <c r="T33" s="17">
        <f t="shared" si="1"/>
        <v>3.6999999999998181</v>
      </c>
      <c r="U33" s="35">
        <f t="shared" si="1"/>
        <v>2759.9999999999909</v>
      </c>
      <c r="V33" s="35">
        <f t="shared" si="1"/>
        <v>539.99999999999204</v>
      </c>
      <c r="W33" s="35">
        <f t="shared" si="1"/>
        <v>189.99999999999773</v>
      </c>
      <c r="X33" s="35">
        <f t="shared" si="1"/>
        <v>229.99999999998977</v>
      </c>
      <c r="Y33" s="35">
        <f t="shared" si="1"/>
        <v>90.000000000003411</v>
      </c>
      <c r="Z33" s="35">
        <f t="shared" si="1"/>
        <v>69.999999999993179</v>
      </c>
      <c r="AA33" s="35">
        <f t="shared" si="1"/>
        <v>69.999999999993179</v>
      </c>
      <c r="AB33" s="35">
        <f t="shared" si="1"/>
        <v>60.000000000002274</v>
      </c>
      <c r="AC33" s="35">
        <f t="shared" si="1"/>
        <v>50.000000000011369</v>
      </c>
      <c r="AD33" s="35">
        <f t="shared" si="1"/>
        <v>50.000000000011369</v>
      </c>
      <c r="AE33" s="35">
        <f t="shared" si="1"/>
        <v>40.000000000020464</v>
      </c>
      <c r="AF33" s="17">
        <f t="shared" si="1"/>
        <v>60</v>
      </c>
      <c r="AG33" s="32">
        <f t="shared" si="1"/>
        <v>40.000000000020464</v>
      </c>
      <c r="AH33" s="32">
        <f t="shared" si="1"/>
        <v>40.000000000020464</v>
      </c>
      <c r="AI33" s="32">
        <f t="shared" si="1"/>
        <v>30.000000000001137</v>
      </c>
      <c r="AJ33" s="32">
        <f t="shared" si="1"/>
        <v>30.000000000001137</v>
      </c>
      <c r="AK33" s="32">
        <f t="shared" si="1"/>
        <v>49.999999999954525</v>
      </c>
      <c r="AL33" s="32">
        <f t="shared" si="1"/>
        <v>38</v>
      </c>
      <c r="AM33" s="32">
        <f t="shared" si="1"/>
        <v>29.999999999972715</v>
      </c>
      <c r="AN33" s="32">
        <f t="shared" si="1"/>
        <v>46</v>
      </c>
      <c r="AO33" s="32">
        <f t="shared" si="1"/>
        <v>30.000000000001137</v>
      </c>
      <c r="AP33" s="32">
        <f t="shared" si="1"/>
        <v>41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115.5</v>
      </c>
      <c r="AU33" s="17">
        <f t="shared" si="1"/>
        <v>577</v>
      </c>
      <c r="AV33" s="17">
        <f t="shared" si="1"/>
        <v>1209.9999999999227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16.483499999999999</v>
      </c>
      <c r="BC33" s="17">
        <f t="shared" si="1"/>
        <v>0</v>
      </c>
    </row>
    <row r="35" spans="5:55" x14ac:dyDescent="0.25">
      <c r="E35" s="38">
        <f>E33/E37</f>
        <v>0.79496522027163985</v>
      </c>
      <c r="G35" s="29">
        <f>G33-M36</f>
        <v>3460.0999999996011</v>
      </c>
      <c r="AE35" s="35">
        <f>SUM(U33:AE33)</f>
        <v>4150.0000000000055</v>
      </c>
      <c r="AG35" s="32">
        <f>SUM(AG33:AP33)</f>
        <v>374.99999999997158</v>
      </c>
    </row>
    <row r="36" spans="5:55" x14ac:dyDescent="0.25">
      <c r="G36" s="29">
        <f>G35-633*14</f>
        <v>-5401.9000000003989</v>
      </c>
      <c r="M36" s="29">
        <f>M33+N33</f>
        <v>1439.9000000000815</v>
      </c>
    </row>
    <row r="37" spans="5:55" x14ac:dyDescent="0.25">
      <c r="E37" s="17">
        <f>E33+F33+G33+H33+J33-633*14</f>
        <v>6037.9999999996908</v>
      </c>
      <c r="G37" s="37">
        <f>M36/E37</f>
        <v>0.23847300430608731</v>
      </c>
      <c r="M37" s="35">
        <f>AE35</f>
        <v>4150.0000000000055</v>
      </c>
    </row>
    <row r="38" spans="5:55" x14ac:dyDescent="0.25">
      <c r="L38" s="27">
        <f>M38/E37</f>
        <v>6.210665783371825E-2</v>
      </c>
      <c r="M38" s="29">
        <f>AG35</f>
        <v>374.99999999997158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C1" zoomScale="80" zoomScaleNormal="80" workbookViewId="0">
      <pane ySplit="1" topLeftCell="A2" activePane="bottomLeft" state="frozen"/>
      <selection pane="bottomLeft" activeCell="Q8" sqref="Q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0</v>
      </c>
      <c r="CO3" s="62">
        <v>0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0</v>
      </c>
      <c r="CO4" s="62">
        <v>0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0</v>
      </c>
      <c r="CO5" s="62">
        <v>0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0</v>
      </c>
      <c r="CO6" s="62">
        <v>0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/>
      <c r="D7" s="64" t="str">
        <f t="shared" si="0"/>
        <v>0</v>
      </c>
      <c r="E7" s="58"/>
      <c r="F7" s="64" t="str">
        <f t="shared" si="1"/>
        <v>0</v>
      </c>
      <c r="G7" s="58"/>
      <c r="H7" s="64" t="str">
        <f t="shared" si="2"/>
        <v>0</v>
      </c>
      <c r="I7" s="58"/>
      <c r="J7" s="64" t="str">
        <f t="shared" si="3"/>
        <v>0</v>
      </c>
      <c r="K7" s="58"/>
      <c r="L7" s="64" t="str">
        <f t="shared" si="4"/>
        <v>0</v>
      </c>
      <c r="M7" s="58"/>
      <c r="N7" s="64" t="str">
        <f t="shared" si="5"/>
        <v/>
      </c>
      <c r="O7" s="58"/>
      <c r="P7" s="67" t="str">
        <f t="shared" ref="P7:P10" si="43">IF((O7-O6&lt;0), "",O7-O6)</f>
        <v/>
      </c>
      <c r="Q7" s="58"/>
      <c r="R7" s="67" t="str">
        <f t="shared" si="6"/>
        <v/>
      </c>
      <c r="S7" s="58"/>
      <c r="T7" s="67" t="str">
        <f t="shared" si="7"/>
        <v/>
      </c>
      <c r="U7" s="58"/>
      <c r="V7" s="67" t="str">
        <f t="shared" si="8"/>
        <v/>
      </c>
      <c r="W7" s="58"/>
      <c r="X7" s="65" t="str">
        <f t="shared" si="9"/>
        <v/>
      </c>
      <c r="Y7" s="58"/>
      <c r="Z7" s="65" t="str">
        <f t="shared" si="10"/>
        <v/>
      </c>
      <c r="AA7" s="58"/>
      <c r="AB7" s="65" t="str">
        <f t="shared" si="11"/>
        <v/>
      </c>
      <c r="AC7" s="58"/>
      <c r="AD7" s="65" t="str">
        <f t="shared" si="12"/>
        <v/>
      </c>
      <c r="AE7" s="58"/>
      <c r="AF7" s="65" t="str">
        <f t="shared" si="13"/>
        <v/>
      </c>
      <c r="AG7" s="58"/>
      <c r="AH7" s="67" t="str">
        <f t="shared" si="14"/>
        <v/>
      </c>
      <c r="AI7" s="58"/>
      <c r="AJ7" s="65" t="str">
        <f t="shared" si="15"/>
        <v/>
      </c>
      <c r="AK7" s="58"/>
      <c r="AL7" s="65" t="str">
        <f t="shared" si="15"/>
        <v/>
      </c>
      <c r="AM7" s="58"/>
      <c r="AN7" s="65" t="str">
        <f t="shared" si="15"/>
        <v/>
      </c>
      <c r="AO7" s="58"/>
      <c r="AP7" s="65" t="str">
        <f t="shared" si="15"/>
        <v/>
      </c>
      <c r="AQ7" s="58"/>
      <c r="AR7" s="65" t="str">
        <f t="shared" si="16"/>
        <v/>
      </c>
      <c r="AS7" s="58"/>
      <c r="AT7" s="65" t="str">
        <f t="shared" si="17"/>
        <v/>
      </c>
      <c r="AU7" s="58"/>
      <c r="AV7" s="65" t="str">
        <f t="shared" si="18"/>
        <v/>
      </c>
      <c r="AW7" s="58"/>
      <c r="AX7" s="65" t="str">
        <f t="shared" si="19"/>
        <v/>
      </c>
      <c r="AY7" s="58"/>
      <c r="AZ7" s="65" t="str">
        <f t="shared" si="20"/>
        <v/>
      </c>
      <c r="BA7" s="58"/>
      <c r="BB7" s="65" t="str">
        <f t="shared" si="21"/>
        <v/>
      </c>
      <c r="BC7" s="58"/>
      <c r="BD7" s="65" t="str">
        <f t="shared" si="22"/>
        <v/>
      </c>
      <c r="BE7" s="59"/>
      <c r="BF7" s="67" t="str">
        <f t="shared" si="39"/>
        <v/>
      </c>
      <c r="BG7" s="60"/>
      <c r="BH7" s="65" t="str">
        <f t="shared" si="23"/>
        <v/>
      </c>
      <c r="BI7" s="60"/>
      <c r="BJ7" s="65" t="str">
        <f t="shared" si="40"/>
        <v/>
      </c>
      <c r="BK7" s="60"/>
      <c r="BL7" s="65" t="str">
        <f t="shared" si="24"/>
        <v/>
      </c>
      <c r="BM7" s="60"/>
      <c r="BN7" s="65" t="str">
        <f t="shared" si="25"/>
        <v/>
      </c>
      <c r="BO7" s="60"/>
      <c r="BP7" s="65" t="str">
        <f t="shared" si="26"/>
        <v/>
      </c>
      <c r="BQ7" s="60"/>
      <c r="BR7" s="65" t="str">
        <f t="shared" si="27"/>
        <v/>
      </c>
      <c r="BS7" s="60"/>
      <c r="BT7" s="65" t="str">
        <f t="shared" si="42"/>
        <v/>
      </c>
      <c r="BU7" s="60"/>
      <c r="BV7" s="65" t="str">
        <f t="shared" si="29"/>
        <v/>
      </c>
      <c r="BW7" s="60"/>
      <c r="BX7" s="65" t="str">
        <f t="shared" si="30"/>
        <v/>
      </c>
      <c r="BY7" s="60"/>
      <c r="BZ7" s="67" t="str">
        <f t="shared" si="31"/>
        <v/>
      </c>
      <c r="CA7" s="60"/>
      <c r="CB7" s="67" t="str">
        <f t="shared" si="32"/>
        <v/>
      </c>
      <c r="CC7" s="60"/>
      <c r="CD7" s="67" t="str">
        <f t="shared" si="33"/>
        <v/>
      </c>
      <c r="CE7" s="60"/>
      <c r="CF7" s="67" t="str">
        <f t="shared" si="34"/>
        <v/>
      </c>
      <c r="CG7" s="60"/>
      <c r="CH7" s="67" t="str">
        <f t="shared" si="35"/>
        <v/>
      </c>
      <c r="CI7" s="60"/>
      <c r="CJ7" s="67" t="str">
        <f t="shared" si="36"/>
        <v/>
      </c>
      <c r="CK7" s="60"/>
      <c r="CL7" s="64" t="str">
        <f t="shared" si="37"/>
        <v/>
      </c>
      <c r="CM7" s="65" t="e">
        <f t="shared" si="41"/>
        <v>#VALUE!</v>
      </c>
      <c r="CN7" s="62">
        <v>0</v>
      </c>
      <c r="CO7" s="62">
        <v>0</v>
      </c>
      <c r="CP7" s="68"/>
      <c r="CQ7" s="67" t="str">
        <f t="shared" si="38"/>
        <v/>
      </c>
      <c r="CR7" s="68"/>
      <c r="CS7" s="67" t="str">
        <f t="shared" si="38"/>
        <v/>
      </c>
      <c r="CT7" s="75"/>
      <c r="CU7" s="67" t="str">
        <f t="shared" si="38"/>
        <v/>
      </c>
      <c r="CV7" s="68"/>
      <c r="CW7" s="67" t="str">
        <f t="shared" si="38"/>
        <v/>
      </c>
    </row>
    <row r="8" spans="1:102" ht="25.5" customHeight="1" thickBot="1" x14ac:dyDescent="0.45">
      <c r="A8" s="63">
        <v>44079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"/>
        <v>0</v>
      </c>
      <c r="M8" s="58"/>
      <c r="N8" s="64">
        <f t="shared" si="5"/>
        <v>0</v>
      </c>
      <c r="O8" s="58"/>
      <c r="P8" s="67">
        <f t="shared" si="43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39"/>
        <v>0</v>
      </c>
      <c r="BG8" s="60"/>
      <c r="BH8" s="65">
        <f t="shared" si="23"/>
        <v>0</v>
      </c>
      <c r="BI8" s="60"/>
      <c r="BJ8" s="65">
        <f t="shared" si="40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2"/>
        <v>0</v>
      </c>
      <c r="BU8" s="60"/>
      <c r="BV8" s="65">
        <f t="shared" si="29"/>
        <v>0</v>
      </c>
      <c r="BW8" s="60"/>
      <c r="BX8" s="65">
        <f t="shared" si="30"/>
        <v>0</v>
      </c>
      <c r="BY8" s="60"/>
      <c r="BZ8" s="67">
        <f t="shared" si="31"/>
        <v>0</v>
      </c>
      <c r="CA8" s="60"/>
      <c r="CB8" s="67">
        <f t="shared" si="32"/>
        <v>0</v>
      </c>
      <c r="CC8" s="60"/>
      <c r="CD8" s="67">
        <f t="shared" si="33"/>
        <v>0</v>
      </c>
      <c r="CE8" s="60"/>
      <c r="CF8" s="67">
        <f t="shared" si="34"/>
        <v>0</v>
      </c>
      <c r="CG8" s="60"/>
      <c r="CH8" s="67">
        <f t="shared" si="35"/>
        <v>0</v>
      </c>
      <c r="CI8" s="60"/>
      <c r="CJ8" s="67">
        <f t="shared" si="36"/>
        <v>0</v>
      </c>
      <c r="CK8" s="60"/>
      <c r="CL8" s="64">
        <f t="shared" si="37"/>
        <v>0</v>
      </c>
      <c r="CM8" s="65">
        <f t="shared" si="41"/>
        <v>0</v>
      </c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44080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3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44081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44082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8</v>
      </c>
      <c r="CN11" s="62">
        <v>0</v>
      </c>
      <c r="CO11" s="62">
        <v>0</v>
      </c>
      <c r="CP11" s="68"/>
      <c r="CQ11" s="67">
        <v>8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44083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44084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44085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44086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44087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44088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44089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44090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44091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44092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44093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44094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44095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44096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44097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44098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44099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44100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44101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44102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44103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44104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44105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T11" sqref="T1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0"/>
        <v>-171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0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2020-09-04T12:56:57Z</dcterms:modified>
</cp:coreProperties>
</file>