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62913" calcOnSave="0"/>
</workbook>
</file>

<file path=xl/calcChain.xml><?xml version="1.0" encoding="utf-8"?>
<calcChain xmlns="http://schemas.openxmlformats.org/spreadsheetml/2006/main"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C32" i="6"/>
  <c r="D27" i="10" s="1"/>
  <c r="E32" i="6"/>
  <c r="J27" i="10" s="1"/>
  <c r="G32" i="6"/>
  <c r="K27" i="10" s="1"/>
  <c r="C33" i="6"/>
  <c r="D28" i="10" s="1"/>
  <c r="E33" i="6"/>
  <c r="J28" i="10" s="1"/>
  <c r="G33" i="6"/>
  <c r="K28" i="10" s="1"/>
  <c r="C34" i="6"/>
  <c r="D29" i="10" s="1"/>
  <c r="E34" i="6"/>
  <c r="G34" i="6"/>
  <c r="K29" i="10" s="1"/>
  <c r="C35" i="6"/>
  <c r="D30" i="10" s="1"/>
  <c r="E35" i="6"/>
  <c r="J30" i="10" s="1"/>
  <c r="G35" i="6"/>
  <c r="C36" i="6"/>
  <c r="D31" i="10" s="1"/>
  <c r="E36" i="6"/>
  <c r="J31" i="10" s="1"/>
  <c r="G36" i="6"/>
  <c r="K31" i="10" s="1"/>
  <c r="C37" i="6"/>
  <c r="E37" i="6"/>
  <c r="J32" i="10" s="1"/>
  <c r="G37" i="6"/>
  <c r="K32" i="10" s="1"/>
  <c r="C38" i="6"/>
  <c r="D33" i="10" s="1"/>
  <c r="E38" i="6"/>
  <c r="G38" i="6"/>
  <c r="K33" i="10" s="1"/>
  <c r="C39" i="6"/>
  <c r="D34" i="10" s="1"/>
  <c r="E39" i="6"/>
  <c r="J34" i="10" s="1"/>
  <c r="G39" i="6"/>
  <c r="C40" i="6"/>
  <c r="D35" i="10" s="1"/>
  <c r="E40" i="6"/>
  <c r="J35" i="10" s="1"/>
  <c r="G40" i="6"/>
  <c r="K35" i="10" s="1"/>
  <c r="C41" i="6"/>
  <c r="E41" i="6"/>
  <c r="J36" i="10" s="1"/>
  <c r="G41" i="6"/>
  <c r="K36" i="10" s="1"/>
  <c r="C42" i="6"/>
  <c r="D37" i="10" s="1"/>
  <c r="E42" i="6"/>
  <c r="G42" i="6"/>
  <c r="K37" i="10" s="1"/>
  <c r="C43" i="6"/>
  <c r="D38" i="10" s="1"/>
  <c r="E43" i="6"/>
  <c r="J38" i="10" s="1"/>
  <c r="G43" i="6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4" i="4" l="1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36" i="4" l="1"/>
  <c r="E36" i="4"/>
  <c r="C36" i="4"/>
  <c r="C32" i="4"/>
  <c r="E32" i="4"/>
  <c r="G32" i="4"/>
  <c r="C24" i="4"/>
  <c r="E24" i="4"/>
  <c r="G24" i="4"/>
  <c r="E12" i="4"/>
  <c r="C12" i="4"/>
  <c r="G12" i="4"/>
  <c r="E39" i="4"/>
  <c r="G39" i="4"/>
  <c r="C39" i="4"/>
  <c r="E35" i="4"/>
  <c r="G35" i="4"/>
  <c r="C35" i="4"/>
  <c r="G31" i="4"/>
  <c r="E31" i="4"/>
  <c r="C31" i="4"/>
  <c r="G27" i="4"/>
  <c r="E27" i="4"/>
  <c r="C27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8" i="4"/>
  <c r="E28" i="4"/>
  <c r="G28" i="4"/>
  <c r="C20" i="4"/>
  <c r="E20" i="4"/>
  <c r="G20" i="4"/>
  <c r="C8" i="4"/>
  <c r="G8" i="4"/>
  <c r="E8" i="4"/>
  <c r="C42" i="4"/>
  <c r="E42" i="4"/>
  <c r="G42" i="4"/>
  <c r="C38" i="4"/>
  <c r="E38" i="4"/>
  <c r="G38" i="4"/>
  <c r="C34" i="4"/>
  <c r="E34" i="4"/>
  <c r="G34" i="4"/>
  <c r="E30" i="4"/>
  <c r="G30" i="4"/>
  <c r="C30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37" i="4"/>
  <c r="E37" i="4"/>
  <c r="G37" i="4"/>
  <c r="C29" i="4"/>
  <c r="E29" i="4"/>
  <c r="G29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33" i="4"/>
  <c r="E33" i="4"/>
  <c r="G33" i="4"/>
  <c r="C11" i="4"/>
  <c r="G11" i="4"/>
  <c r="E11" i="4"/>
  <c r="G10" i="4"/>
  <c r="E10" i="4"/>
  <c r="C10" i="4"/>
  <c r="C13" i="4"/>
  <c r="E13" i="4"/>
  <c r="G13" i="4"/>
  <c r="I34" i="4"/>
  <c r="I33" i="4"/>
  <c r="I31" i="4"/>
  <c r="L31" i="4"/>
  <c r="N31" i="4" s="1"/>
  <c r="O31" i="4" s="1"/>
  <c r="U31" i="10" s="1"/>
  <c r="I32" i="4"/>
  <c r="L32" i="4"/>
  <c r="N32" i="4" s="1"/>
  <c r="O32" i="4" s="1"/>
  <c r="U32" i="10" s="1"/>
  <c r="L30" i="4"/>
  <c r="N30" i="4" s="1"/>
  <c r="O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P8" i="4" s="1"/>
  <c r="P30" i="4" l="1"/>
  <c r="U30" i="10"/>
  <c r="P31" i="4"/>
  <c r="W30" i="10"/>
  <c r="P32" i="4"/>
  <c r="W31" i="10"/>
  <c r="P12" i="4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U33" i="10" s="1"/>
  <c r="AE33" i="4"/>
  <c r="AD34" i="4"/>
  <c r="AE34" i="4"/>
  <c r="J35" i="4"/>
  <c r="K35" i="4" s="1"/>
  <c r="L34" i="4" s="1"/>
  <c r="N34" i="4" s="1"/>
  <c r="O34" i="4" s="1"/>
  <c r="U34" i="10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G4" i="4" l="1"/>
  <c r="C4" i="4"/>
  <c r="E4" i="4"/>
  <c r="P34" i="4"/>
  <c r="W33" i="10"/>
  <c r="P33" i="4"/>
  <c r="W32" i="10"/>
  <c r="P14" i="4"/>
  <c r="L13" i="4"/>
  <c r="N13" i="4" s="1"/>
  <c r="O13" i="4" s="1"/>
  <c r="U13" i="10" s="1"/>
  <c r="W13" i="10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1" i="10" s="1"/>
  <c r="W11" i="10" s="1"/>
  <c r="I9" i="4"/>
  <c r="L9" i="4"/>
  <c r="N9" i="4" s="1"/>
  <c r="O9" i="4" s="1"/>
  <c r="P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5" i="4"/>
  <c r="N35" i="4" s="1"/>
  <c r="O35" i="4" s="1"/>
  <c r="U35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W14" i="10" l="1"/>
  <c r="U15" i="10"/>
  <c r="W15" i="10" s="1"/>
  <c r="W18" i="10"/>
  <c r="P19" i="4"/>
  <c r="W20" i="10"/>
  <c r="AJ20" i="10" s="1"/>
  <c r="AK20" i="10" s="1"/>
  <c r="P21" i="4"/>
  <c r="W16" i="10"/>
  <c r="P17" i="4"/>
  <c r="W23" i="10"/>
  <c r="P24" i="4"/>
  <c r="W21" i="10"/>
  <c r="P22" i="4"/>
  <c r="P16" i="4"/>
  <c r="W22" i="10"/>
  <c r="AJ22" i="10" s="1"/>
  <c r="AK22" i="10" s="1"/>
  <c r="P23" i="4"/>
  <c r="W24" i="10"/>
  <c r="AJ24" i="10" s="1"/>
  <c r="AK24" i="10" s="1"/>
  <c r="P25" i="4"/>
  <c r="W27" i="10"/>
  <c r="P28" i="4"/>
  <c r="W26" i="10"/>
  <c r="P27" i="4"/>
  <c r="W19" i="10"/>
  <c r="P20" i="4"/>
  <c r="W17" i="10"/>
  <c r="P18" i="4"/>
  <c r="W25" i="10"/>
  <c r="P26" i="4"/>
  <c r="P41" i="4"/>
  <c r="W40" i="10"/>
  <c r="P40" i="4"/>
  <c r="W39" i="10"/>
  <c r="P39" i="4"/>
  <c r="W38" i="10"/>
  <c r="AJ38" i="10" s="1"/>
  <c r="AK38" i="10" s="1"/>
  <c r="P37" i="4"/>
  <c r="W36" i="10"/>
  <c r="P36" i="4"/>
  <c r="W35" i="10"/>
  <c r="AJ35" i="10" s="1"/>
  <c r="AK35" i="10" s="1"/>
  <c r="P38" i="4"/>
  <c r="W37" i="10"/>
  <c r="P35" i="4"/>
  <c r="W34" i="10"/>
  <c r="W28" i="10"/>
  <c r="AJ28" i="10" s="1"/>
  <c r="AK28" i="10" s="1"/>
  <c r="P29" i="4"/>
  <c r="P11" i="4"/>
  <c r="P13" i="4"/>
  <c r="AJ30" i="10"/>
  <c r="AK30" i="10" s="1"/>
  <c r="AJ31" i="10"/>
  <c r="AK31" i="10" s="1"/>
  <c r="P15" i="4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P10" i="4" l="1"/>
  <c r="U10" i="10"/>
  <c r="W10" i="10" s="1"/>
  <c r="W29" i="10"/>
  <c r="AJ29" i="10" s="1"/>
  <c r="AK29" i="10" s="1"/>
  <c r="W12" i="10"/>
  <c r="AJ12" i="10" s="1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<sst xmlns="http://schemas.openxmlformats.org/spreadsheetml/2006/main" count="127" uniqueCount="85">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</sst>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310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53248"/>
        <c:axId val="217654784"/>
      </c:lineChart>
      <c:dateAx>
        <c:axId val="2176532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17654784"/>
        <c:crosses val="autoZero"/>
        <c:auto val="1"/>
        <c:lblOffset val="100"/>
        <c:baseTimeUnit val="days"/>
      </c:dateAx>
      <c:valAx>
        <c:axId val="2176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176532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94208"/>
        <c:axId val="217695744"/>
      </c:lineChart>
      <c:dateAx>
        <c:axId val="2176942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17695744"/>
        <c:crosses val="autoZero"/>
        <c:auto val="1"/>
        <c:lblOffset val="100"/>
        <c:baseTimeUnit val="days"/>
      </c:dateAx>
      <c:valAx>
        <c:axId val="21769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176942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99808"/>
        <c:axId val="178601344"/>
      </c:lineChart>
      <c:dateAx>
        <c:axId val="1785998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8601344"/>
        <c:crosses val="autoZero"/>
        <c:auto val="1"/>
        <c:lblOffset val="100"/>
        <c:baseTimeUnit val="days"/>
      </c:dateAx>
      <c:valAx>
        <c:axId val="178601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85998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6" sqref="N6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8.1757000000000009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22016.882349999843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8.1757000000000009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/>
      <c r="O3" s="161">
        <f t="shared" ref="O3:O31" si="0">E3*F3+G3*H3+I3*J3+K3*L3</f>
        <v>23928.269289999695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8.1757000000000009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/>
      <c r="O4" s="161">
        <f t="shared" si="0"/>
        <v>22017.74776000054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8.1757000000000009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/>
      <c r="O5" s="161">
        <f t="shared" si="0"/>
        <v>23493.966229999845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8.1757000000000009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/>
      <c r="O6" s="161">
        <f t="shared" si="0"/>
        <v>21949.97694000023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8.1757000000000009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/>
      <c r="O7" s="161">
        <f t="shared" si="0"/>
        <v>25756.553879999999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8.1757000000000009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7</v>
      </c>
      <c r="N8" s="160"/>
      <c r="O8" s="161">
        <f t="shared" si="0"/>
        <v>21416.515410000542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8.1757000000000009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/>
      <c r="O9" s="161">
        <f t="shared" si="0"/>
        <v>22005.262349998458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8.1757000000000009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/>
      <c r="O10" s="161">
        <f t="shared" si="0"/>
        <v>21938.549290000385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8.1757000000000009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/>
      <c r="O11" s="161">
        <f t="shared" si="0"/>
        <v>18269.94387999977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8.1757000000000009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20</v>
      </c>
      <c r="N12" s="160"/>
      <c r="O12" s="161">
        <f t="shared" si="0"/>
        <v>20233.256230000003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8.1757000000000009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25</v>
      </c>
      <c r="N13" s="160"/>
      <c r="O13" s="161">
        <f t="shared" si="0"/>
        <v>22460.711640000849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8.1757000000000009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15</v>
      </c>
      <c r="N14" s="160"/>
      <c r="O14" s="161">
        <f t="shared" si="0"/>
        <v>22347.287759999999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8.1757000000000009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8</v>
      </c>
      <c r="N15" s="160"/>
      <c r="O15" s="161">
        <f t="shared" si="0"/>
        <v>19201.987759998767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8.1757000000000009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/>
      <c r="O16" s="161">
        <f t="shared" si="0"/>
        <v>15616.36776000077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8.1757000000000009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/>
      <c r="O17" s="161">
        <f t="shared" si="0"/>
        <v>19915.950820000002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8.1757000000000009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310</v>
      </c>
      <c r="L18" s="161">
        <v>12.67</v>
      </c>
      <c r="M18" s="160">
        <f>'Consommation du 01.12 au 31.12'!AC26</f>
        <v>7</v>
      </c>
      <c r="N18" s="160"/>
      <c r="O18" s="161">
        <f t="shared" si="0"/>
        <v>28413.916229999308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0</v>
      </c>
      <c r="F19" s="161">
        <v>0.99</v>
      </c>
      <c r="G19" s="161">
        <f>'Consommation du 01.12 au 31.12'!U27</f>
        <v>0</v>
      </c>
      <c r="H19" s="161">
        <v>8.1757000000000009</v>
      </c>
      <c r="I19" s="161">
        <f>'Consommation du 01.12 au 31.12'!Y27*1000</f>
        <v>0</v>
      </c>
      <c r="J19" s="161">
        <v>0.53</v>
      </c>
      <c r="K19" s="161">
        <f>'Consommation du 01.12 au 31.12'!D27</f>
        <v>0</v>
      </c>
      <c r="L19" s="161">
        <v>12.67</v>
      </c>
      <c r="M19" s="160">
        <f>'Consommation du 01.12 au 31.12'!AC27</f>
        <v>15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0</v>
      </c>
      <c r="F20" s="161">
        <v>0.99</v>
      </c>
      <c r="G20" s="161">
        <f>'Consommation du 01.12 au 31.12'!U28</f>
        <v>0</v>
      </c>
      <c r="H20" s="161">
        <v>8.1757000000000009</v>
      </c>
      <c r="I20" s="161">
        <f>'Consommation du 01.12 au 31.12'!Y28*1000</f>
        <v>0</v>
      </c>
      <c r="J20" s="161">
        <v>0.53</v>
      </c>
      <c r="K20" s="161">
        <f>'Consommation du 01.12 au 31.12'!D28</f>
        <v>0</v>
      </c>
      <c r="L20" s="161">
        <v>12.67</v>
      </c>
      <c r="M20" s="160">
        <f>'Consommation du 01.12 au 31.12'!AC28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0</v>
      </c>
      <c r="F21" s="161">
        <v>0.99</v>
      </c>
      <c r="G21" s="161">
        <f>'Consommation du 01.12 au 31.12'!U29</f>
        <v>0</v>
      </c>
      <c r="H21" s="161">
        <v>8.1757000000000009</v>
      </c>
      <c r="I21" s="161">
        <f>'Consommation du 01.12 au 31.12'!Y29*1000</f>
        <v>0</v>
      </c>
      <c r="J21" s="161">
        <v>0.53</v>
      </c>
      <c r="K21" s="161">
        <f>'Consommation du 01.12 au 31.12'!D29</f>
        <v>0</v>
      </c>
      <c r="L21" s="161">
        <v>12.67</v>
      </c>
      <c r="M21" s="160">
        <f>'Consommation du 01.12 au 31.12'!AC29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0</v>
      </c>
      <c r="F22" s="161">
        <v>0.99</v>
      </c>
      <c r="G22" s="161">
        <f>'Consommation du 01.12 au 31.12'!U30</f>
        <v>0</v>
      </c>
      <c r="H22" s="161">
        <v>8.1757000000000009</v>
      </c>
      <c r="I22" s="161">
        <f>'Consommation du 01.12 au 31.12'!Y30*1000</f>
        <v>0</v>
      </c>
      <c r="J22" s="161">
        <v>0.53</v>
      </c>
      <c r="K22" s="161">
        <f>'Consommation du 01.12 au 31.12'!D30</f>
        <v>0</v>
      </c>
      <c r="L22" s="161">
        <v>12.67</v>
      </c>
      <c r="M22" s="160">
        <f>'Consommation du 01.12 au 31.12'!AC30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0</v>
      </c>
      <c r="F23" s="161">
        <v>0.99</v>
      </c>
      <c r="G23" s="161">
        <f>'Consommation du 01.12 au 31.12'!U31</f>
        <v>0</v>
      </c>
      <c r="H23" s="161">
        <v>8.1757000000000009</v>
      </c>
      <c r="I23" s="161">
        <f>'Consommation du 01.12 au 31.12'!Y31*1000</f>
        <v>0</v>
      </c>
      <c r="J23" s="161">
        <v>0.53</v>
      </c>
      <c r="K23" s="161">
        <f>'Consommation du 01.12 au 31.12'!D31</f>
        <v>0</v>
      </c>
      <c r="L23" s="161">
        <v>12.67</v>
      </c>
      <c r="M23" s="160">
        <f>'Consommation du 01.12 au 31.12'!AC31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0</v>
      </c>
      <c r="F24" s="161">
        <v>0.99</v>
      </c>
      <c r="G24" s="161">
        <f>'Consommation du 01.12 au 31.12'!U32</f>
        <v>0</v>
      </c>
      <c r="H24" s="161">
        <v>8.1757000000000009</v>
      </c>
      <c r="I24" s="161">
        <f>'Consommation du 01.12 au 31.12'!Y32*1000</f>
        <v>0</v>
      </c>
      <c r="J24" s="161">
        <v>0.53</v>
      </c>
      <c r="K24" s="161">
        <f>'Consommation du 01.12 au 31.12'!D32</f>
        <v>0</v>
      </c>
      <c r="L24" s="161">
        <v>12.67</v>
      </c>
      <c r="M24" s="160">
        <f>'Consommation du 01.12 au 31.12'!AC32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0</v>
      </c>
      <c r="F25" s="161">
        <v>0.99</v>
      </c>
      <c r="G25" s="161">
        <f>'Consommation du 01.12 au 31.12'!U33</f>
        <v>0</v>
      </c>
      <c r="H25" s="161">
        <v>8.1757000000000009</v>
      </c>
      <c r="I25" s="161">
        <f>'Consommation du 01.12 au 31.12'!Y33*1000</f>
        <v>0</v>
      </c>
      <c r="J25" s="161">
        <v>0.53</v>
      </c>
      <c r="K25" s="161">
        <f>'Consommation du 01.12 au 31.12'!D33</f>
        <v>0</v>
      </c>
      <c r="L25" s="161">
        <v>12.67</v>
      </c>
      <c r="M25" s="160">
        <f>'Consommation du 01.12 au 31.12'!AC33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0</v>
      </c>
      <c r="F26" s="161">
        <v>0.99</v>
      </c>
      <c r="G26" s="161">
        <f>'Consommation du 01.12 au 31.12'!U34</f>
        <v>0</v>
      </c>
      <c r="H26" s="161">
        <v>8.1757000000000009</v>
      </c>
      <c r="I26" s="161">
        <f>'Consommation du 01.12 au 31.12'!Y34*1000</f>
        <v>0</v>
      </c>
      <c r="J26" s="161">
        <v>0.53</v>
      </c>
      <c r="K26" s="161">
        <f>'Consommation du 01.12 au 31.12'!D34</f>
        <v>0</v>
      </c>
      <c r="L26" s="161">
        <v>12.67</v>
      </c>
      <c r="M26" s="160">
        <f>'Consommation du 01.12 au 31.12'!AC34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0</v>
      </c>
      <c r="F27" s="161">
        <v>0.99</v>
      </c>
      <c r="G27" s="161">
        <f>'Consommation du 01.12 au 31.12'!U35</f>
        <v>0</v>
      </c>
      <c r="H27" s="161">
        <v>8.1757000000000009</v>
      </c>
      <c r="I27" s="161">
        <f>'Consommation du 01.12 au 31.12'!Y35*1000</f>
        <v>0</v>
      </c>
      <c r="J27" s="161">
        <v>0.53</v>
      </c>
      <c r="K27" s="161">
        <f>'Consommation du 01.12 au 31.12'!D35</f>
        <v>0</v>
      </c>
      <c r="L27" s="161">
        <v>12.67</v>
      </c>
      <c r="M27" s="160">
        <f>'Consommation du 01.12 au 31.12'!AC35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0</v>
      </c>
      <c r="F28" s="161">
        <v>0.99</v>
      </c>
      <c r="G28" s="161">
        <f>'Consommation du 01.12 au 31.12'!U36</f>
        <v>0</v>
      </c>
      <c r="H28" s="161">
        <v>8.1757000000000009</v>
      </c>
      <c r="I28" s="161">
        <f>'Consommation du 01.12 au 31.12'!Y36*1000</f>
        <v>0</v>
      </c>
      <c r="J28" s="161">
        <v>0.53</v>
      </c>
      <c r="K28" s="161">
        <f>'Consommation du 01.12 au 31.12'!D36</f>
        <v>0</v>
      </c>
      <c r="L28" s="161">
        <v>12.67</v>
      </c>
      <c r="M28" s="160">
        <f>'Consommation du 01.12 au 31.12'!AC36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8.1757000000000009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8.1757000000000009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8.1757000000000009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9.1757000000000009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370983.14557999902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U14" sqref="U14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206">
        <f t="shared" ref="F10:F40" si="0">D10*12.67</f>
        <v>2407.3000000000002</v>
      </c>
      <c r="G10" s="207"/>
      <c r="H10" s="20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 t="shared" ref="W10:W19" si="1">U10*8.1757</f>
        <v>1516.5923500000001</v>
      </c>
      <c r="X10" s="65">
        <v>17827.68</v>
      </c>
      <c r="Y10" s="154">
        <f t="shared" ref="Y10:Y40" si="2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3">(F10+O10+W10+Z10)</f>
        <v>22016.882349999847</v>
      </c>
      <c r="AK10" s="129">
        <f t="shared" ref="AK10:AK40" si="4">AJ10/AC10</f>
        <v>1693.6063346153728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206">
        <f t="shared" si="0"/>
        <v>2787.4</v>
      </c>
      <c r="G11" s="207"/>
      <c r="H11" s="20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5">L11+K11+J11</f>
        <v>11506</v>
      </c>
      <c r="N11" s="58"/>
      <c r="O11" s="59">
        <f t="shared" ref="O11:O40" si="6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si="1"/>
        <v>2123.2292900000002</v>
      </c>
      <c r="X11" s="65">
        <v>17841.25</v>
      </c>
      <c r="Y11" s="149">
        <f t="shared" si="2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3"/>
        <v>23928.269289999691</v>
      </c>
      <c r="AK11" s="129">
        <f t="shared" si="4"/>
        <v>1709.162092142835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206">
        <f t="shared" si="0"/>
        <v>2660.7</v>
      </c>
      <c r="G12" s="207"/>
      <c r="H12" s="20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5"/>
        <v>10340</v>
      </c>
      <c r="N12" s="58"/>
      <c r="O12" s="59">
        <f t="shared" si="6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1"/>
        <v>2426.5477600000004</v>
      </c>
      <c r="X12" s="65">
        <v>17855.64</v>
      </c>
      <c r="Y12" s="149">
        <f t="shared" si="2"/>
        <v>12.630000000001019</v>
      </c>
      <c r="Z12" s="64">
        <f t="shared" si="7"/>
        <v>6693.9000000005399</v>
      </c>
      <c r="AA12" s="58"/>
      <c r="AB12" s="84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3"/>
        <v>22017.74776000054</v>
      </c>
      <c r="AK12" s="129">
        <f t="shared" si="4"/>
        <v>1295.1616329412082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3">
        <f t="shared" si="0"/>
        <v>3674.3</v>
      </c>
      <c r="G13" s="204"/>
      <c r="H13" s="205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5"/>
        <v>9730</v>
      </c>
      <c r="N13" s="58"/>
      <c r="O13" s="59">
        <f t="shared" si="6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1"/>
        <v>2729.8662300000005</v>
      </c>
      <c r="X13" s="65">
        <v>17868.27</v>
      </c>
      <c r="Y13" s="149">
        <f t="shared" si="2"/>
        <v>14.069999999999709</v>
      </c>
      <c r="Z13" s="64">
        <f t="shared" si="7"/>
        <v>7457.0999999998457</v>
      </c>
      <c r="AA13" s="58"/>
      <c r="AB13" s="84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3"/>
        <v>23493.966229999845</v>
      </c>
      <c r="AK13" s="129">
        <f t="shared" si="4"/>
        <v>1305.2203461111026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206">
        <f t="shared" si="0"/>
        <v>2914.1</v>
      </c>
      <c r="G14" s="207"/>
      <c r="H14" s="20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5"/>
        <v>9236</v>
      </c>
      <c r="N14" s="58"/>
      <c r="O14" s="59">
        <f t="shared" si="6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1"/>
        <v>606.6369400000001</v>
      </c>
      <c r="X14" s="65">
        <v>17882.34</v>
      </c>
      <c r="Y14" s="149">
        <f t="shared" si="2"/>
        <v>17.520000000000437</v>
      </c>
      <c r="Z14" s="64">
        <f t="shared" si="7"/>
        <v>9285.6000000002314</v>
      </c>
      <c r="AA14" s="58"/>
      <c r="AB14" s="84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3"/>
        <v>21949.976940000233</v>
      </c>
      <c r="AK14" s="129">
        <f t="shared" si="4"/>
        <v>1097.4988470000117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9">
        <f t="shared" si="0"/>
        <v>5321.4</v>
      </c>
      <c r="G15" s="210"/>
      <c r="H15" s="211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5"/>
        <v>9512</v>
      </c>
      <c r="N15" s="58"/>
      <c r="O15" s="59">
        <f t="shared" si="6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1"/>
        <v>1213.2738800000002</v>
      </c>
      <c r="X15" s="65">
        <v>17899.86</v>
      </c>
      <c r="Y15" s="149">
        <f t="shared" si="2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3"/>
        <v>25756.553879999999</v>
      </c>
      <c r="AK15" s="129">
        <f t="shared" si="4"/>
        <v>1981.2733753846153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3">
        <f t="shared" si="0"/>
        <v>3294.2</v>
      </c>
      <c r="G16" s="204"/>
      <c r="H16" s="205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5"/>
        <v>9554</v>
      </c>
      <c r="N16" s="58"/>
      <c r="O16" s="59">
        <f t="shared" si="6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1"/>
        <v>909.95541000000014</v>
      </c>
      <c r="X16" s="65">
        <v>17918.36</v>
      </c>
      <c r="Y16" s="149">
        <f t="shared" si="2"/>
        <v>14.630000000001019</v>
      </c>
      <c r="Z16" s="64">
        <f t="shared" si="7"/>
        <v>7753.9000000005408</v>
      </c>
      <c r="AA16" s="58"/>
      <c r="AB16" s="61">
        <v>20</v>
      </c>
      <c r="AC16" s="78">
        <v>7</v>
      </c>
      <c r="AD16" s="79">
        <v>5.11E-2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3"/>
        <v>21416.515410000542</v>
      </c>
      <c r="AK16" s="129">
        <f t="shared" si="4"/>
        <v>3059.5022014286487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206">
        <f t="shared" si="0"/>
        <v>2660.7</v>
      </c>
      <c r="G17" s="207"/>
      <c r="H17" s="20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5"/>
        <v>9603</v>
      </c>
      <c r="N17" s="58"/>
      <c r="O17" s="59">
        <f t="shared" si="6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1"/>
        <v>1516.5923500000001</v>
      </c>
      <c r="X17" s="65">
        <v>17932.990000000002</v>
      </c>
      <c r="Y17" s="149">
        <f t="shared" si="2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3.5999999999999997E-2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3"/>
        <v>22005.262349998455</v>
      </c>
      <c r="AK17" s="129">
        <f t="shared" si="4"/>
        <v>4401.0524699996913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9">
        <f t="shared" si="0"/>
        <v>2407.3000000000002</v>
      </c>
      <c r="G18" s="210"/>
      <c r="H18" s="211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5"/>
        <v>9848</v>
      </c>
      <c r="N18" s="58"/>
      <c r="O18" s="59">
        <f t="shared" si="6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1"/>
        <v>2123.2292900000002</v>
      </c>
      <c r="X18" s="65">
        <v>17948.689999999999</v>
      </c>
      <c r="Y18" s="149">
        <f t="shared" si="2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3"/>
        <v>21938.549290000385</v>
      </c>
      <c r="AK18" s="129">
        <f t="shared" si="4"/>
        <v>3134.0784700000549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206">
        <f t="shared" si="0"/>
        <v>1773.8</v>
      </c>
      <c r="G19" s="207"/>
      <c r="H19" s="20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5"/>
        <v>7953</v>
      </c>
      <c r="N19" s="58"/>
      <c r="O19" s="59">
        <f t="shared" si="6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1"/>
        <v>1213.2738800000002</v>
      </c>
      <c r="X19" s="65">
        <v>17963.14</v>
      </c>
      <c r="Y19" s="149">
        <f t="shared" si="2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3"/>
        <v>18269.94387999977</v>
      </c>
      <c r="AK19" s="129">
        <f t="shared" si="4"/>
        <v>2609.9919828571101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3">
        <f t="shared" si="0"/>
        <v>2153.9</v>
      </c>
      <c r="G20" s="204"/>
      <c r="H20" s="205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5"/>
        <v>10151</v>
      </c>
      <c r="N20" s="58"/>
      <c r="O20" s="59">
        <f t="shared" si="6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>U20*8.1757</f>
        <v>2729.8662300000005</v>
      </c>
      <c r="X20" s="65">
        <v>17977.12</v>
      </c>
      <c r="Y20" s="149">
        <f t="shared" si="2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20</v>
      </c>
      <c r="AD20" s="79">
        <v>0.14929999999999999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3"/>
        <v>20233.256229999999</v>
      </c>
      <c r="AK20" s="129">
        <f t="shared" si="4"/>
        <v>1011.6628115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206">
        <f t="shared" si="0"/>
        <v>2534</v>
      </c>
      <c r="G21" s="207"/>
      <c r="H21" s="20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5"/>
        <v>9631</v>
      </c>
      <c r="N21" s="58"/>
      <c r="O21" s="59">
        <f t="shared" si="6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ref="W21:W40" si="9">U21*8.1757</f>
        <v>3639.8216400000006</v>
      </c>
      <c r="X21" s="65">
        <v>17987.12</v>
      </c>
      <c r="Y21" s="149">
        <f t="shared" si="2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25</v>
      </c>
      <c r="AD21" s="79">
        <v>0.17849999999999999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3"/>
        <v>22460.711640000845</v>
      </c>
      <c r="AK21" s="129">
        <f>AJ21/AC21</f>
        <v>898.42846560003386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9">
        <f t="shared" si="0"/>
        <v>4814.6000000000004</v>
      </c>
      <c r="G22" s="210"/>
      <c r="H22" s="211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5"/>
        <v>9236</v>
      </c>
      <c r="N22" s="58"/>
      <c r="O22" s="59">
        <f t="shared" si="6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9"/>
        <v>2426.5477600000004</v>
      </c>
      <c r="X22" s="65">
        <v>17999.86</v>
      </c>
      <c r="Y22" s="149">
        <f t="shared" si="2"/>
        <v>11.25</v>
      </c>
      <c r="Z22" s="64">
        <f t="shared" si="7"/>
        <v>5962.5</v>
      </c>
      <c r="AA22" s="58"/>
      <c r="AB22" s="61">
        <v>20</v>
      </c>
      <c r="AC22" s="78">
        <v>15</v>
      </c>
      <c r="AD22" s="79">
        <v>0.1095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3"/>
        <v>22347.287759999999</v>
      </c>
      <c r="AK22" s="129">
        <f t="shared" si="4"/>
        <v>1489.819184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206">
        <f t="shared" si="0"/>
        <v>1773.8</v>
      </c>
      <c r="G23" s="207"/>
      <c r="H23" s="20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5"/>
        <v>9366</v>
      </c>
      <c r="N23" s="58"/>
      <c r="O23" s="59">
        <f t="shared" si="6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9"/>
        <v>2426.5477600000004</v>
      </c>
      <c r="X23" s="65">
        <v>18011.11</v>
      </c>
      <c r="Y23" s="149">
        <f t="shared" si="2"/>
        <v>10.809999999997672</v>
      </c>
      <c r="Z23" s="64">
        <f t="shared" si="7"/>
        <v>5729.2999999987669</v>
      </c>
      <c r="AA23" s="58"/>
      <c r="AB23" s="61">
        <v>20</v>
      </c>
      <c r="AC23" s="78">
        <v>8</v>
      </c>
      <c r="AD23" s="79">
        <v>5.7599999999999998E-2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3"/>
        <v>19201.987759998767</v>
      </c>
      <c r="AK23" s="129">
        <f t="shared" si="4"/>
        <v>2400.2484699998458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206">
        <f t="shared" si="0"/>
        <v>2153.9</v>
      </c>
      <c r="G24" s="207"/>
      <c r="H24" s="20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5"/>
        <v>8658</v>
      </c>
      <c r="N24" s="58"/>
      <c r="O24" s="59">
        <f t="shared" si="6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9"/>
        <v>2426.5477600000004</v>
      </c>
      <c r="X24" s="65">
        <v>18021.919999999998</v>
      </c>
      <c r="Y24" s="149">
        <f t="shared" si="2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5.7599999999999998E-2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15616.367760000772</v>
      </c>
      <c r="AK24" s="129">
        <f t="shared" si="4"/>
        <v>1952.0459700000965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206">
        <f t="shared" si="0"/>
        <v>2407.3000000000002</v>
      </c>
      <c r="G25" s="207"/>
      <c r="H25" s="20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5"/>
        <v>10226</v>
      </c>
      <c r="N25" s="58"/>
      <c r="O25" s="59">
        <f t="shared" si="6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9"/>
        <v>1819.9108200000003</v>
      </c>
      <c r="X25" s="65">
        <v>18026.57</v>
      </c>
      <c r="Y25" s="149">
        <f t="shared" si="2"/>
        <v>10.5</v>
      </c>
      <c r="Z25" s="64">
        <f t="shared" si="7"/>
        <v>5565</v>
      </c>
      <c r="AA25" s="58"/>
      <c r="AB25" s="61">
        <v>20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19915.950820000002</v>
      </c>
      <c r="AK25" s="129">
        <f t="shared" si="4"/>
        <v>3983.1901640000006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310</v>
      </c>
      <c r="E26" s="151"/>
      <c r="F26" s="206">
        <f t="shared" si="0"/>
        <v>3927.7</v>
      </c>
      <c r="G26" s="207"/>
      <c r="H26" s="20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5"/>
        <v>11435</v>
      </c>
      <c r="N26" s="58"/>
      <c r="O26" s="59">
        <f t="shared" si="6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9"/>
        <v>2729.8662300000005</v>
      </c>
      <c r="X26" s="65">
        <v>18037.07</v>
      </c>
      <c r="Y26" s="149">
        <f t="shared" si="2"/>
        <v>19.68999999999869</v>
      </c>
      <c r="Z26" s="64">
        <f t="shared" si="7"/>
        <v>10435.699999999306</v>
      </c>
      <c r="AA26" s="85"/>
      <c r="AB26" s="61">
        <v>19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28413.916229999304</v>
      </c>
      <c r="AK26" s="129">
        <f t="shared" si="4"/>
        <v>4059.1308899999008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5"/>
        <v>0</v>
      </c>
      <c r="N27" s="58"/>
      <c r="O27" s="59">
        <f t="shared" si="6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9"/>
        <v>0</v>
      </c>
      <c r="X27" s="65">
        <v>18056.759999999998</v>
      </c>
      <c r="Y27" s="149">
        <f t="shared" si="2"/>
        <v>0</v>
      </c>
      <c r="Z27" s="64">
        <f t="shared" si="7"/>
        <v>0</v>
      </c>
      <c r="AA27" s="85"/>
      <c r="AB27" s="61">
        <v>22</v>
      </c>
      <c r="AC27" s="78">
        <v>15</v>
      </c>
      <c r="AD27" s="79">
        <v>0.1095</v>
      </c>
      <c r="AE27" s="83"/>
      <c r="AF27" s="83"/>
      <c r="AG27" s="80"/>
      <c r="AH27" s="81"/>
      <c r="AI27" s="44"/>
      <c r="AJ27" s="130">
        <f t="shared" si="3"/>
        <v>0</v>
      </c>
      <c r="AK27" s="129">
        <f t="shared" si="4"/>
        <v>0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5"/>
        <v>0</v>
      </c>
      <c r="N28" s="58"/>
      <c r="O28" s="59">
        <f t="shared" si="6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9"/>
        <v>0</v>
      </c>
      <c r="X28" s="65"/>
      <c r="Y28" s="149">
        <f t="shared" si="2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4"/>
        <v>#DIV/0!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5"/>
        <v>0</v>
      </c>
      <c r="N29" s="58"/>
      <c r="O29" s="59">
        <f t="shared" si="6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9"/>
        <v>0</v>
      </c>
      <c r="X29" s="65"/>
      <c r="Y29" s="149">
        <f t="shared" si="2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3"/>
        <v>0</v>
      </c>
      <c r="AK29" s="129" t="e">
        <f t="shared" si="4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5"/>
        <v>0</v>
      </c>
      <c r="N30" s="58"/>
      <c r="O30" s="59">
        <f t="shared" si="6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9"/>
        <v>0</v>
      </c>
      <c r="X30" s="65"/>
      <c r="Y30" s="149">
        <f t="shared" si="2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3"/>
        <v>0</v>
      </c>
      <c r="AK30" s="129" t="e">
        <f t="shared" si="4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5"/>
        <v>0</v>
      </c>
      <c r="N31" s="58"/>
      <c r="O31" s="59">
        <f t="shared" si="6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9"/>
        <v>0</v>
      </c>
      <c r="X31" s="65"/>
      <c r="Y31" s="149">
        <f t="shared" si="2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3"/>
        <v>0</v>
      </c>
      <c r="AK31" s="129" t="e">
        <f t="shared" si="4"/>
        <v>#DIV/0!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5"/>
        <v>0</v>
      </c>
      <c r="N32" s="58"/>
      <c r="O32" s="59">
        <f t="shared" si="6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9"/>
        <v>0</v>
      </c>
      <c r="X32" s="65"/>
      <c r="Y32" s="149">
        <f t="shared" si="2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3"/>
        <v>0</v>
      </c>
      <c r="AK32" s="129" t="e">
        <f t="shared" si="4"/>
        <v>#DIV/0!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5"/>
        <v>0</v>
      </c>
      <c r="N33" s="58"/>
      <c r="O33" s="59">
        <f t="shared" si="6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9"/>
        <v>0</v>
      </c>
      <c r="X33" s="65"/>
      <c r="Y33" s="149">
        <f t="shared" si="2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3"/>
        <v>0</v>
      </c>
      <c r="AK33" s="129" t="e">
        <f t="shared" si="4"/>
        <v>#DIV/0!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5"/>
        <v>0</v>
      </c>
      <c r="N34" s="58"/>
      <c r="O34" s="59">
        <f t="shared" si="6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9"/>
        <v>0</v>
      </c>
      <c r="X34" s="65"/>
      <c r="Y34" s="149">
        <f t="shared" si="2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3"/>
        <v>0</v>
      </c>
      <c r="AK34" s="129" t="e">
        <f t="shared" si="4"/>
        <v>#DIV/0!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5"/>
        <v>0</v>
      </c>
      <c r="N35" s="58"/>
      <c r="O35" s="59">
        <f t="shared" si="6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9"/>
        <v>0</v>
      </c>
      <c r="X35" s="65"/>
      <c r="Y35" s="149">
        <f t="shared" si="2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3"/>
        <v>0</v>
      </c>
      <c r="AK35" s="129" t="e">
        <f t="shared" si="4"/>
        <v>#DIV/0!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5"/>
        <v>0</v>
      </c>
      <c r="N36" s="58"/>
      <c r="O36" s="59">
        <f t="shared" si="6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9"/>
        <v>0</v>
      </c>
      <c r="X36" s="65"/>
      <c r="Y36" s="149">
        <f t="shared" si="2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3"/>
        <v>0</v>
      </c>
      <c r="AK36" s="129" t="e">
        <f t="shared" si="4"/>
        <v>#DIV/0!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5"/>
        <v>0</v>
      </c>
      <c r="N37" s="58"/>
      <c r="O37" s="59">
        <f t="shared" si="6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9"/>
        <v>0</v>
      </c>
      <c r="X37" s="65"/>
      <c r="Y37" s="149">
        <f t="shared" si="2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3"/>
        <v>0</v>
      </c>
      <c r="AK37" s="129" t="e">
        <f t="shared" si="4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5"/>
        <v>0</v>
      </c>
      <c r="N38" s="58"/>
      <c r="O38" s="59">
        <f t="shared" si="6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9"/>
        <v>0</v>
      </c>
      <c r="X38" s="65"/>
      <c r="Y38" s="149">
        <f t="shared" si="2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3"/>
        <v>0</v>
      </c>
      <c r="AK38" s="129" t="e">
        <f t="shared" si="4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5"/>
        <v>0</v>
      </c>
      <c r="N39" s="58"/>
      <c r="O39" s="59">
        <f t="shared" si="6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9"/>
        <v>0</v>
      </c>
      <c r="X39" s="65"/>
      <c r="Y39" s="149">
        <f t="shared" si="2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3"/>
        <v>0</v>
      </c>
      <c r="AK39" s="129" t="e">
        <f t="shared" si="4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5"/>
        <v>0</v>
      </c>
      <c r="N40" s="58"/>
      <c r="O40" s="59">
        <f t="shared" si="6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9"/>
        <v>0</v>
      </c>
      <c r="X40" s="65"/>
      <c r="Y40" s="149">
        <f t="shared" si="2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3"/>
        <v>0</v>
      </c>
      <c r="AK40" s="129" t="e">
        <f t="shared" si="4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49666.400000000009</v>
      </c>
      <c r="G41" s="213"/>
      <c r="H41" s="214"/>
      <c r="I41" s="102"/>
      <c r="J41" s="104">
        <f>SUM(J10:J40)</f>
        <v>53381</v>
      </c>
      <c r="K41" s="104">
        <f>SUM(K10:K40)</f>
        <v>77595</v>
      </c>
      <c r="L41" s="104">
        <f>SUM(L10:L40)</f>
        <v>36020</v>
      </c>
      <c r="M41" s="104">
        <f>SUM(M10:M40)</f>
        <v>166996</v>
      </c>
      <c r="N41" s="103"/>
      <c r="O41" s="104">
        <f>SUM(O10:O40)</f>
        <v>165326.04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4229.4000000000005</v>
      </c>
      <c r="V41" s="58"/>
      <c r="W41" s="104">
        <f>SUM(W10:W40)</f>
        <v>34578.305580000015</v>
      </c>
      <c r="X41" s="140"/>
      <c r="Y41" s="104">
        <f>SUM(Y10:Y40)</f>
        <v>229.07999999999811</v>
      </c>
      <c r="Z41" s="104">
        <f>SUM(Z10:Z40)</f>
        <v>121412.399999999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370983.14557999896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53381</v>
      </c>
      <c r="H43" s="187"/>
      <c r="I43" s="188"/>
      <c r="J43" s="189">
        <f>G43*F43</f>
        <v>34641.599950000003</v>
      </c>
      <c r="K43" s="190"/>
      <c r="L43" s="191">
        <f>J43+J44+J45</f>
        <v>148125.72650000002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77595</v>
      </c>
      <c r="H44" s="187"/>
      <c r="I44" s="188"/>
      <c r="J44" s="189">
        <f>G44*F44</f>
        <v>68753.049750000006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36020</v>
      </c>
      <c r="H45" s="201"/>
      <c r="I45" s="202"/>
      <c r="J45" s="189">
        <f>G45*F45</f>
        <v>44731.076800000003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8.1757000000000009</v>
      </c>
      <c r="G47" s="174">
        <f>U41</f>
        <v>4229.4000000000005</v>
      </c>
      <c r="H47" s="175"/>
      <c r="I47" s="176"/>
      <c r="J47" s="174">
        <f>G47*F47</f>
        <v>34578.305580000007</v>
      </c>
      <c r="K47" s="176"/>
      <c r="L47" s="177">
        <f>J47</f>
        <v>34578.305580000007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15" sqref="U1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O4*7.8338</f>
        <v>871.90194000000008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871.90194000000008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1743.8038800000002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1453.1699000000001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O10*7.9432</f>
        <v>1473.4636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15" si="16">O11*7.9432</f>
        <v>2062.8490400000001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2357.5417600000001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2652.2344800000001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>O16*8.1757</f>
        <v>909.95541000000014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ref="P17:P43" si="32">O17*8.1757</f>
        <v>1516.5923500000001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3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32"/>
        <v>2123.2292900000002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3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32"/>
        <v>1213.2738800000002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3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32"/>
        <v>2729.8662300000005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3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32"/>
        <v>3639.8216400000006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3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32"/>
        <v>2426.5477600000004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3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32"/>
        <v>2426.5477600000004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3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32"/>
        <v>2426.5477600000004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3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32"/>
        <v>1819.9108200000003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3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32"/>
        <v>2729.8662300000005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0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3"/>
        <v>0</v>
      </c>
      <c r="J27" s="18">
        <f t="shared" si="24"/>
        <v>237</v>
      </c>
      <c r="K27" s="18">
        <f t="shared" si="25"/>
        <v>59.25</v>
      </c>
      <c r="L27" s="18">
        <f t="shared" si="31"/>
        <v>0</v>
      </c>
      <c r="M27" s="18">
        <f t="shared" si="7"/>
        <v>28000</v>
      </c>
      <c r="N27" s="18">
        <f t="shared" si="29"/>
        <v>0</v>
      </c>
      <c r="O27" s="18">
        <f t="shared" si="30"/>
        <v>0</v>
      </c>
      <c r="P27" s="21">
        <f t="shared" si="32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/>
      <c r="C28" s="18">
        <f t="shared" si="18"/>
        <v>0</v>
      </c>
      <c r="D28" s="20"/>
      <c r="E28" s="18">
        <f t="shared" si="19"/>
        <v>0</v>
      </c>
      <c r="F28" s="20"/>
      <c r="G28" s="18">
        <f t="shared" si="20"/>
        <v>0</v>
      </c>
      <c r="H28" s="20"/>
      <c r="I28" s="18">
        <f t="shared" si="33"/>
        <v>0</v>
      </c>
      <c r="J28" s="18">
        <f t="shared" si="24"/>
        <v>0</v>
      </c>
      <c r="K28" s="18">
        <f t="shared" si="25"/>
        <v>0</v>
      </c>
      <c r="L28" s="18">
        <f t="shared" si="31"/>
        <v>0</v>
      </c>
      <c r="M28" s="18">
        <f t="shared" si="7"/>
        <v>28000</v>
      </c>
      <c r="N28" s="18">
        <f t="shared" si="29"/>
        <v>0</v>
      </c>
      <c r="O28" s="18">
        <f t="shared" si="30"/>
        <v>0</v>
      </c>
      <c r="P28" s="21">
        <f t="shared" si="32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/>
      <c r="C29" s="18">
        <f t="shared" si="18"/>
        <v>0</v>
      </c>
      <c r="D29" s="20"/>
      <c r="E29" s="18">
        <f t="shared" si="19"/>
        <v>0</v>
      </c>
      <c r="F29" s="20"/>
      <c r="G29" s="18">
        <f t="shared" si="20"/>
        <v>0</v>
      </c>
      <c r="H29" s="20"/>
      <c r="I29" s="18">
        <f t="shared" si="33"/>
        <v>0</v>
      </c>
      <c r="J29" s="18">
        <f t="shared" si="24"/>
        <v>0</v>
      </c>
      <c r="K29" s="18">
        <f t="shared" si="25"/>
        <v>0</v>
      </c>
      <c r="L29" s="18">
        <f t="shared" si="31"/>
        <v>0</v>
      </c>
      <c r="M29" s="18">
        <f t="shared" si="7"/>
        <v>28000</v>
      </c>
      <c r="N29" s="18">
        <f t="shared" si="29"/>
        <v>0</v>
      </c>
      <c r="O29" s="18">
        <f t="shared" si="30"/>
        <v>0</v>
      </c>
      <c r="P29" s="21">
        <f t="shared" si="32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/>
      <c r="C30" s="18">
        <f t="shared" si="18"/>
        <v>0</v>
      </c>
      <c r="D30" s="20"/>
      <c r="E30" s="18">
        <f t="shared" si="19"/>
        <v>0</v>
      </c>
      <c r="F30" s="20"/>
      <c r="G30" s="18">
        <f t="shared" si="20"/>
        <v>0</v>
      </c>
      <c r="H30" s="20"/>
      <c r="I30" s="18">
        <f t="shared" si="33"/>
        <v>0</v>
      </c>
      <c r="J30" s="18">
        <f t="shared" si="24"/>
        <v>0</v>
      </c>
      <c r="K30" s="18">
        <f t="shared" si="25"/>
        <v>0</v>
      </c>
      <c r="L30" s="18">
        <f t="shared" si="31"/>
        <v>0</v>
      </c>
      <c r="M30" s="18">
        <f t="shared" si="7"/>
        <v>28000</v>
      </c>
      <c r="N30" s="18">
        <f t="shared" si="29"/>
        <v>0</v>
      </c>
      <c r="O30" s="18">
        <f t="shared" si="30"/>
        <v>0</v>
      </c>
      <c r="P30" s="21">
        <f t="shared" si="32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/>
      <c r="C31" s="18">
        <f t="shared" si="18"/>
        <v>0</v>
      </c>
      <c r="D31" s="20"/>
      <c r="E31" s="18">
        <f t="shared" si="19"/>
        <v>0</v>
      </c>
      <c r="F31" s="20"/>
      <c r="G31" s="18">
        <f t="shared" si="20"/>
        <v>0</v>
      </c>
      <c r="H31" s="20"/>
      <c r="I31" s="18">
        <f t="shared" si="33"/>
        <v>0</v>
      </c>
      <c r="J31" s="18">
        <f t="shared" si="24"/>
        <v>0</v>
      </c>
      <c r="K31" s="18">
        <f t="shared" si="25"/>
        <v>0</v>
      </c>
      <c r="L31" s="18">
        <f t="shared" si="31"/>
        <v>0</v>
      </c>
      <c r="M31" s="18">
        <f t="shared" si="7"/>
        <v>28000</v>
      </c>
      <c r="N31" s="18">
        <f t="shared" si="29"/>
        <v>0</v>
      </c>
      <c r="O31" s="18">
        <f t="shared" si="30"/>
        <v>0</v>
      </c>
      <c r="P31" s="21">
        <f t="shared" si="32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/>
      <c r="C32" s="18">
        <f t="shared" si="18"/>
        <v>0</v>
      </c>
      <c r="D32" s="20"/>
      <c r="E32" s="18">
        <f t="shared" si="19"/>
        <v>0</v>
      </c>
      <c r="F32" s="20"/>
      <c r="G32" s="18">
        <f t="shared" si="20"/>
        <v>0</v>
      </c>
      <c r="H32" s="20"/>
      <c r="I32" s="18">
        <f t="shared" si="33"/>
        <v>0</v>
      </c>
      <c r="J32" s="18">
        <f t="shared" si="24"/>
        <v>0</v>
      </c>
      <c r="K32" s="18">
        <f t="shared" si="25"/>
        <v>0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32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1"/>
        <v>0</v>
      </c>
      <c r="AE32" s="49">
        <f t="shared" si="22"/>
        <v>0</v>
      </c>
    </row>
    <row r="33" spans="1:31" ht="32.25" customHeight="1" x14ac:dyDescent="0.3">
      <c r="A33" s="19">
        <f t="shared" si="14"/>
        <v>44189</v>
      </c>
      <c r="B33" s="20"/>
      <c r="C33" s="18">
        <f t="shared" si="18"/>
        <v>0</v>
      </c>
      <c r="D33" s="20"/>
      <c r="E33" s="18">
        <f t="shared" si="19"/>
        <v>0</v>
      </c>
      <c r="F33" s="20"/>
      <c r="G33" s="18">
        <f t="shared" si="20"/>
        <v>0</v>
      </c>
      <c r="H33" s="20"/>
      <c r="I33" s="18">
        <f t="shared" si="33"/>
        <v>0</v>
      </c>
      <c r="J33" s="18">
        <f t="shared" si="24"/>
        <v>0</v>
      </c>
      <c r="K33" s="18">
        <f t="shared" si="25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32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/>
      <c r="C34" s="18">
        <f t="shared" si="18"/>
        <v>0</v>
      </c>
      <c r="D34" s="20"/>
      <c r="E34" s="18">
        <f t="shared" si="19"/>
        <v>0</v>
      </c>
      <c r="F34" s="20"/>
      <c r="G34" s="18">
        <f t="shared" si="20"/>
        <v>0</v>
      </c>
      <c r="H34" s="20"/>
      <c r="I34" s="18">
        <f t="shared" si="33"/>
        <v>0</v>
      </c>
      <c r="J34" s="18">
        <f t="shared" si="24"/>
        <v>0</v>
      </c>
      <c r="K34" s="18">
        <f t="shared" si="25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32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1"/>
        <v>0</v>
      </c>
      <c r="AE34" s="49">
        <f t="shared" si="22"/>
        <v>0</v>
      </c>
    </row>
    <row r="35" spans="1:31" ht="32.25" customHeight="1" x14ac:dyDescent="0.3">
      <c r="A35" s="19">
        <f t="shared" si="14"/>
        <v>44191</v>
      </c>
      <c r="B35" s="20"/>
      <c r="C35" s="18">
        <f t="shared" si="18"/>
        <v>0</v>
      </c>
      <c r="D35" s="20"/>
      <c r="E35" s="18">
        <f t="shared" si="19"/>
        <v>0</v>
      </c>
      <c r="F35" s="20"/>
      <c r="G35" s="18">
        <f t="shared" si="20"/>
        <v>0</v>
      </c>
      <c r="H35" s="20"/>
      <c r="I35" s="18">
        <f t="shared" si="33"/>
        <v>0</v>
      </c>
      <c r="J35" s="18">
        <f t="shared" si="24"/>
        <v>0</v>
      </c>
      <c r="K35" s="18">
        <f t="shared" si="25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32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/>
      <c r="C36" s="18">
        <f t="shared" si="18"/>
        <v>0</v>
      </c>
      <c r="D36" s="20"/>
      <c r="E36" s="18">
        <f t="shared" si="19"/>
        <v>0</v>
      </c>
      <c r="F36" s="20"/>
      <c r="G36" s="18">
        <f t="shared" si="20"/>
        <v>0</v>
      </c>
      <c r="H36" s="20"/>
      <c r="I36" s="18">
        <f t="shared" si="33"/>
        <v>0</v>
      </c>
      <c r="J36" s="18">
        <f t="shared" si="24"/>
        <v>0</v>
      </c>
      <c r="K36" s="18">
        <f t="shared" si="25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32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/>
      <c r="C37" s="18">
        <f t="shared" si="18"/>
        <v>0</v>
      </c>
      <c r="D37" s="20"/>
      <c r="E37" s="18">
        <f t="shared" si="19"/>
        <v>0</v>
      </c>
      <c r="F37" s="20"/>
      <c r="G37" s="18">
        <f t="shared" si="20"/>
        <v>0</v>
      </c>
      <c r="H37" s="20"/>
      <c r="I37" s="18">
        <f t="shared" si="33"/>
        <v>0</v>
      </c>
      <c r="J37" s="18">
        <f t="shared" si="24"/>
        <v>0</v>
      </c>
      <c r="K37" s="18">
        <f t="shared" si="25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32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3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32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3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32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3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32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3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32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3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32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32</v>
      </c>
      <c r="D43" s="20"/>
      <c r="E43" s="18">
        <f>SUM(E10:E40)</f>
        <v>31</v>
      </c>
      <c r="F43" s="20"/>
      <c r="G43" s="18">
        <f>SUM(G10:G40)</f>
        <v>23</v>
      </c>
      <c r="H43" s="20"/>
      <c r="I43" s="18">
        <f>SUM(I10:I40)</f>
        <v>28</v>
      </c>
      <c r="J43" s="16"/>
      <c r="K43" s="16"/>
      <c r="L43" s="16"/>
      <c r="M43" s="16"/>
      <c r="N43" s="18">
        <f>SUM(N10:N40)</f>
        <v>7980</v>
      </c>
      <c r="O43" s="18">
        <f>N43*0.53</f>
        <v>4229.4000000000005</v>
      </c>
      <c r="P43" s="21">
        <f t="shared" si="32"/>
        <v>34578.305580000007</v>
      </c>
      <c r="Q43" s="265">
        <f>SUM(Q10:Q40)</f>
        <v>1909</v>
      </c>
      <c r="R43" s="266"/>
      <c r="S43" s="267"/>
      <c r="T43" s="265">
        <f>SUM(T10:T40)</f>
        <v>1969</v>
      </c>
      <c r="U43" s="266"/>
      <c r="V43" s="267"/>
      <c r="W43" s="265">
        <f>SUM(W10:W40)</f>
        <v>2393</v>
      </c>
      <c r="X43" s="266"/>
      <c r="Y43" s="267"/>
      <c r="Z43" s="265">
        <f>SUM(Z10:Z40)</f>
        <v>1165</v>
      </c>
      <c r="AA43" s="266"/>
      <c r="AB43" s="267"/>
      <c r="AC43" s="138">
        <f>SUM(AC10:AC40)</f>
        <v>7436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7436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7436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7980</v>
      </c>
      <c r="L47" s="29">
        <f>O43</f>
        <v>4229.4000000000005</v>
      </c>
      <c r="M47" s="29">
        <f>P43</f>
        <v>34578.305580000007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7436</v>
      </c>
      <c r="L48" s="27">
        <f>K48*0.53</f>
        <v>3941.0800000000004</v>
      </c>
      <c r="M48" s="27">
        <f>L48*8.1757</f>
        <v>32221.087756000008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G39" sqref="G39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3730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310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127245</v>
      </c>
      <c r="C32" s="41">
        <f t="shared" si="8"/>
        <v>0</v>
      </c>
      <c r="D32" s="42">
        <v>18879924</v>
      </c>
      <c r="E32" s="41">
        <f t="shared" si="9"/>
        <v>0</v>
      </c>
      <c r="F32" s="42">
        <v>33836652</v>
      </c>
      <c r="G32" s="41">
        <f t="shared" si="10"/>
        <v>0</v>
      </c>
      <c r="H32" s="42">
        <v>14988775</v>
      </c>
      <c r="I32" s="41">
        <f t="shared" si="3"/>
        <v>0</v>
      </c>
    </row>
    <row r="33" spans="1:9" ht="21" thickTop="1" thickBot="1" x14ac:dyDescent="0.35">
      <c r="A33" s="39">
        <f t="shared" si="4"/>
        <v>44184</v>
      </c>
      <c r="B33" s="40"/>
      <c r="C33" s="41">
        <f t="shared" si="8"/>
        <v>0</v>
      </c>
      <c r="D33" s="42"/>
      <c r="E33" s="41">
        <f t="shared" si="9"/>
        <v>0</v>
      </c>
      <c r="F33" s="42"/>
      <c r="G33" s="41">
        <f t="shared" si="10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44185</v>
      </c>
      <c r="B34" s="40"/>
      <c r="C34" s="41">
        <f t="shared" si="8"/>
        <v>0</v>
      </c>
      <c r="D34" s="42"/>
      <c r="E34" s="41">
        <f t="shared" si="9"/>
        <v>0</v>
      </c>
      <c r="F34" s="42"/>
      <c r="G34" s="41">
        <f t="shared" si="10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44186</v>
      </c>
      <c r="B35" s="40"/>
      <c r="C35" s="41">
        <f t="shared" si="8"/>
        <v>0</v>
      </c>
      <c r="D35" s="42"/>
      <c r="E35" s="41">
        <f t="shared" si="9"/>
        <v>0</v>
      </c>
      <c r="F35" s="42"/>
      <c r="G35" s="41">
        <f t="shared" si="10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44187</v>
      </c>
      <c r="B36" s="40"/>
      <c r="C36" s="41">
        <f t="shared" si="8"/>
        <v>0</v>
      </c>
      <c r="D36" s="42"/>
      <c r="E36" s="41">
        <f t="shared" si="9"/>
        <v>0</v>
      </c>
      <c r="F36" s="42"/>
      <c r="G36" s="41">
        <f t="shared" si="10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44188</v>
      </c>
      <c r="B37" s="40"/>
      <c r="C37" s="41">
        <f t="shared" si="8"/>
        <v>0</v>
      </c>
      <c r="D37" s="42"/>
      <c r="E37" s="41">
        <f t="shared" si="9"/>
        <v>0</v>
      </c>
      <c r="F37" s="42"/>
      <c r="G37" s="41">
        <f t="shared" si="10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44189</v>
      </c>
      <c r="B38" s="40"/>
      <c r="C38" s="41">
        <f t="shared" si="8"/>
        <v>0</v>
      </c>
      <c r="D38" s="42"/>
      <c r="E38" s="41">
        <f t="shared" si="9"/>
        <v>0</v>
      </c>
      <c r="F38" s="42"/>
      <c r="G38" s="41">
        <f t="shared" si="10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44190</v>
      </c>
      <c r="B39" s="40"/>
      <c r="C39" s="41">
        <f t="shared" si="8"/>
        <v>0</v>
      </c>
      <c r="D39" s="42"/>
      <c r="E39" s="41">
        <f t="shared" si="9"/>
        <v>0</v>
      </c>
      <c r="F39" s="42"/>
      <c r="G39" s="41">
        <f t="shared" si="10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44191</v>
      </c>
      <c r="B40" s="40"/>
      <c r="C40" s="41">
        <f t="shared" si="8"/>
        <v>0</v>
      </c>
      <c r="D40" s="42"/>
      <c r="E40" s="41">
        <f t="shared" si="9"/>
        <v>0</v>
      </c>
      <c r="F40" s="42"/>
      <c r="G40" s="41">
        <f t="shared" si="10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44192</v>
      </c>
      <c r="B41" s="40"/>
      <c r="C41" s="41">
        <f t="shared" si="8"/>
        <v>0</v>
      </c>
      <c r="D41" s="42"/>
      <c r="E41" s="41">
        <f t="shared" si="9"/>
        <v>0</v>
      </c>
      <c r="F41" s="42"/>
      <c r="G41" s="41">
        <f t="shared" si="10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44193</v>
      </c>
      <c r="B42" s="40"/>
      <c r="C42" s="41">
        <f t="shared" si="8"/>
        <v>0</v>
      </c>
      <c r="D42" s="42"/>
      <c r="E42" s="41">
        <f t="shared" si="9"/>
        <v>0</v>
      </c>
      <c r="F42" s="42"/>
      <c r="G42" s="41">
        <f t="shared" si="10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3920</v>
      </c>
      <c r="E48" s="41">
        <f>SUM(E15:E45)</f>
        <v>53381</v>
      </c>
      <c r="F48" s="53"/>
      <c r="G48" s="41">
        <f>SUM(G15:G45)</f>
        <v>77595</v>
      </c>
      <c r="H48" s="53"/>
      <c r="I48" s="41">
        <f>SUM(I15:I45)</f>
        <v>36020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1018" stopIfTrue="1" operator="lessThanOrEqual">
      <formula>0</formula>
    </cfRule>
  </conditionalFormatting>
  <conditionalFormatting sqref="C48">
    <cfRule type="cellIs" dxfId="47" priority="680" stopIfTrue="1" operator="lessThanOrEqual">
      <formula>0</formula>
    </cfRule>
  </conditionalFormatting>
  <conditionalFormatting sqref="C48">
    <cfRule type="cellIs" dxfId="46" priority="679" stopIfTrue="1" operator="lessThanOrEqual">
      <formula>0</formula>
    </cfRule>
  </conditionalFormatting>
  <conditionalFormatting sqref="C48">
    <cfRule type="cellIs" dxfId="45" priority="678" stopIfTrue="1" operator="lessThanOrEqual">
      <formula>0</formula>
    </cfRule>
  </conditionalFormatting>
  <conditionalFormatting sqref="C48">
    <cfRule type="cellIs" dxfId="44" priority="677" stopIfTrue="1" operator="lessThanOrEqual">
      <formula>0</formula>
    </cfRule>
  </conditionalFormatting>
  <conditionalFormatting sqref="E48">
    <cfRule type="cellIs" dxfId="43" priority="204" stopIfTrue="1" operator="lessThanOrEqual">
      <formula>0</formula>
    </cfRule>
  </conditionalFormatting>
  <conditionalFormatting sqref="E48">
    <cfRule type="cellIs" dxfId="42" priority="203" stopIfTrue="1" operator="lessThanOrEqual">
      <formula>0</formula>
    </cfRule>
  </conditionalFormatting>
  <conditionalFormatting sqref="E48">
    <cfRule type="cellIs" dxfId="41" priority="202" stopIfTrue="1" operator="lessThanOrEqual">
      <formula>0</formula>
    </cfRule>
  </conditionalFormatting>
  <conditionalFormatting sqref="E48">
    <cfRule type="cellIs" dxfId="40" priority="201" stopIfTrue="1" operator="lessThanOrEqual">
      <formula>0</formula>
    </cfRule>
  </conditionalFormatting>
  <conditionalFormatting sqref="G48">
    <cfRule type="cellIs" dxfId="39" priority="200" stopIfTrue="1" operator="lessThanOrEqual">
      <formula>0</formula>
    </cfRule>
  </conditionalFormatting>
  <conditionalFormatting sqref="G48">
    <cfRule type="cellIs" dxfId="38" priority="199" stopIfTrue="1" operator="lessThanOrEqual">
      <formula>0</formula>
    </cfRule>
  </conditionalFormatting>
  <conditionalFormatting sqref="G48">
    <cfRule type="cellIs" dxfId="37" priority="198" stopIfTrue="1" operator="lessThanOrEqual">
      <formula>0</formula>
    </cfRule>
  </conditionalFormatting>
  <conditionalFormatting sqref="G48">
    <cfRule type="cellIs" dxfId="36" priority="197" stopIfTrue="1" operator="lessThanOrEqual">
      <formula>0</formula>
    </cfRule>
  </conditionalFormatting>
  <conditionalFormatting sqref="I48">
    <cfRule type="cellIs" dxfId="35" priority="196" stopIfTrue="1" operator="lessThanOrEqual">
      <formula>0</formula>
    </cfRule>
  </conditionalFormatting>
  <conditionalFormatting sqref="I48">
    <cfRule type="cellIs" dxfId="34" priority="195" stopIfTrue="1" operator="lessThanOrEqual">
      <formula>0</formula>
    </cfRule>
  </conditionalFormatting>
  <conditionalFormatting sqref="I48">
    <cfRule type="cellIs" dxfId="33" priority="194" stopIfTrue="1" operator="lessThanOrEqual">
      <formula>0</formula>
    </cfRule>
  </conditionalFormatting>
  <conditionalFormatting sqref="I48">
    <cfRule type="cellIs" dxfId="32" priority="193" stopIfTrue="1" operator="lessThanOrEqual">
      <formula>0</formula>
    </cfRule>
  </conditionalFormatting>
  <conditionalFormatting sqref="C18:C47">
    <cfRule type="cellIs" dxfId="31" priority="32" stopIfTrue="1" operator="lessThanOrEqual">
      <formula>0</formula>
    </cfRule>
  </conditionalFormatting>
  <conditionalFormatting sqref="C18:C47">
    <cfRule type="cellIs" dxfId="30" priority="31" stopIfTrue="1" operator="lessThanOrEqual">
      <formula>0</formula>
    </cfRule>
  </conditionalFormatting>
  <conditionalFormatting sqref="C18:C47">
    <cfRule type="cellIs" dxfId="29" priority="30" stopIfTrue="1" operator="lessThanOrEqual">
      <formula>0</formula>
    </cfRule>
  </conditionalFormatting>
  <conditionalFormatting sqref="C18:C47">
    <cfRule type="cellIs" dxfId="28" priority="29" stopIfTrue="1" operator="lessThanOrEqual">
      <formula>0</formula>
    </cfRule>
  </conditionalFormatting>
  <conditionalFormatting sqref="C9">
    <cfRule type="cellIs" dxfId="27" priority="28" stopIfTrue="1" operator="lessThanOrEqual">
      <formula>0</formula>
    </cfRule>
  </conditionalFormatting>
  <conditionalFormatting sqref="C9">
    <cfRule type="cellIs" dxfId="26" priority="27" stopIfTrue="1" operator="lessThanOrEqual">
      <formula>0</formula>
    </cfRule>
  </conditionalFormatting>
  <conditionalFormatting sqref="C9">
    <cfRule type="cellIs" dxfId="25" priority="26" stopIfTrue="1" operator="lessThanOrEqual">
      <formula>0</formula>
    </cfRule>
  </conditionalFormatting>
  <conditionalFormatting sqref="C9">
    <cfRule type="cellIs" dxfId="24" priority="25" stopIfTrue="1" operator="lessThanOrEqual">
      <formula>0</formula>
    </cfRule>
  </conditionalFormatting>
  <conditionalFormatting sqref="C10:C12">
    <cfRule type="cellIs" dxfId="23" priority="24" stopIfTrue="1" operator="lessThanOrEqual">
      <formula>0</formula>
    </cfRule>
  </conditionalFormatting>
  <conditionalFormatting sqref="C10:C12">
    <cfRule type="cellIs" dxfId="22" priority="23" stopIfTrue="1" operator="lessThanOrEqual">
      <formula>0</formula>
    </cfRule>
  </conditionalFormatting>
  <conditionalFormatting sqref="C10:C12">
    <cfRule type="cellIs" dxfId="21" priority="22" stopIfTrue="1" operator="lessThanOrEqual">
      <formula>0</formula>
    </cfRule>
  </conditionalFormatting>
  <conditionalFormatting sqref="C10:C12">
    <cfRule type="cellIs" dxfId="20" priority="21" stopIfTrue="1" operator="lessThanOrEqual">
      <formula>0</formula>
    </cfRule>
  </conditionalFormatting>
  <conditionalFormatting sqref="C13">
    <cfRule type="cellIs" dxfId="19" priority="20" stopIfTrue="1" operator="lessThanOrEqual">
      <formula>0</formula>
    </cfRule>
  </conditionalFormatting>
  <conditionalFormatting sqref="C13">
    <cfRule type="cellIs" dxfId="18" priority="19" stopIfTrue="1" operator="lessThanOrEqual">
      <formula>0</formula>
    </cfRule>
  </conditionalFormatting>
  <conditionalFormatting sqref="C13">
    <cfRule type="cellIs" dxfId="17" priority="18" stopIfTrue="1" operator="lessThanOrEqual">
      <formula>0</formula>
    </cfRule>
  </conditionalFormatting>
  <conditionalFormatting sqref="C13">
    <cfRule type="cellIs" dxfId="16" priority="17" stopIfTrue="1" operator="lessThanOrEqual">
      <formula>0</formula>
    </cfRule>
  </conditionalFormatting>
  <conditionalFormatting sqref="C14">
    <cfRule type="cellIs" dxfId="15" priority="16" stopIfTrue="1" operator="lessThanOrEqual">
      <formula>0</formula>
    </cfRule>
  </conditionalFormatting>
  <conditionalFormatting sqref="C14">
    <cfRule type="cellIs" dxfId="14" priority="15" stopIfTrue="1" operator="lessThanOrEqual">
      <formula>0</formula>
    </cfRule>
  </conditionalFormatting>
  <conditionalFormatting sqref="C14">
    <cfRule type="cellIs" dxfId="13" priority="14" stopIfTrue="1" operator="lessThanOrEqual">
      <formula>0</formula>
    </cfRule>
  </conditionalFormatting>
  <conditionalFormatting sqref="C14">
    <cfRule type="cellIs" dxfId="12" priority="13" stopIfTrue="1" operator="lessThanOrEqual">
      <formula>0</formula>
    </cfRule>
  </conditionalFormatting>
  <conditionalFormatting sqref="C15">
    <cfRule type="cellIs" dxfId="11" priority="12" stopIfTrue="1" operator="lessThanOrEqual">
      <formula>0</formula>
    </cfRule>
  </conditionalFormatting>
  <conditionalFormatting sqref="C15">
    <cfRule type="cellIs" dxfId="10" priority="11" stopIfTrue="1" operator="lessThanOrEqual">
      <formula>0</formula>
    </cfRule>
  </conditionalFormatting>
  <conditionalFormatting sqref="C15">
    <cfRule type="cellIs" dxfId="9" priority="10" stopIfTrue="1" operator="lessThanOrEqual">
      <formula>0</formula>
    </cfRule>
  </conditionalFormatting>
  <conditionalFormatting sqref="C15">
    <cfRule type="cellIs" dxfId="8" priority="9" stopIfTrue="1" operator="lessThanOrEqual">
      <formula>0</formula>
    </cfRule>
  </conditionalFormatting>
  <conditionalFormatting sqref="C16">
    <cfRule type="cellIs" dxfId="7" priority="8" stopIfTrue="1" operator="lessThanOrEqual">
      <formula>0</formula>
    </cfRule>
  </conditionalFormatting>
  <conditionalFormatting sqref="C16">
    <cfRule type="cellIs" dxfId="6" priority="7" stopIfTrue="1" operator="lessThanOrEqual">
      <formula>0</formula>
    </cfRule>
  </conditionalFormatting>
  <conditionalFormatting sqref="C16">
    <cfRule type="cellIs" dxfId="5" priority="6" stopIfTrue="1" operator="lessThanOrEqual">
      <formula>0</formula>
    </cfRule>
  </conditionalFormatting>
  <conditionalFormatting sqref="C16">
    <cfRule type="cellIs" dxfId="4" priority="5" stopIfTrue="1" operator="lessThanOrEqual">
      <formula>0</formula>
    </cfRule>
  </conditionalFormatting>
  <conditionalFormatting sqref="C17">
    <cfRule type="cellIs" dxfId="3" priority="4" stopIfTrue="1" operator="lessThanOrEqual">
      <formula>0</formula>
    </cfRule>
  </conditionalFormatting>
  <conditionalFormatting sqref="C17">
    <cfRule type="cellIs" dxfId="2" priority="3" stopIfTrue="1" operator="lessThanOrEqual">
      <formula>0</formula>
    </cfRule>
  </conditionalFormatting>
  <conditionalFormatting sqref="C17">
    <cfRule type="cellIs" dxfId="1" priority="2" stopIfTrue="1" operator="lessThanOrEqual">
      <formula>0</formula>
    </cfRule>
  </conditionalFormatting>
  <conditionalFormatting sqref="C17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2020-01-07T10:49:37Z</cp:lastPrinted>
  <dcterms:created xsi:type="dcterms:W3CDTF">1996-10-21T11:03:58Z</dcterms:created>
  <dcterms:modified xsi:type="dcterms:W3CDTF">2020-12-18T15:02:37Z</dcterms:modified>
</cp:coreProperties>
</file>