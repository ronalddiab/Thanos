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21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21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21" i="2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1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1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21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<sst xmlns="http://schemas.openxmlformats.org/spreadsheetml/2006/main" count="511" uniqueCount="150">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</sst>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4713982.6678959997</v>
      </c>
      <c r="F19" s="139">
        <v>1.27</v>
      </c>
      <c r="G19" s="37">
        <f>Gas!C20*0.9147</f>
        <v>2145.8861999999999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4854342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 t="str">
        <f>BTU!R20</f>
        <v>0</v>
      </c>
      <c r="X19" s="35">
        <f>ELECT.!B20</f>
        <v>169</v>
      </c>
      <c r="Y19" s="35">
        <f t="shared" si="0"/>
        <v>4797412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 t="str">
        <f>ELECT.!F21</f>
        <v>0</v>
      </c>
      <c r="J20" s="37" t="str">
        <f>ELECT.!H21</f>
        <v>0</v>
      </c>
      <c r="K20" s="37">
        <f>ELECT.!K21</f>
        <v>0</v>
      </c>
      <c r="L20" s="37" t="str">
        <f>ELECT.!M21</f>
        <v>0</v>
      </c>
      <c r="M20" s="37">
        <f>ELECT.!O21</f>
        <v>0</v>
      </c>
      <c r="N20" s="37" t="str">
        <f>ELECT.!Q21</f>
        <v>0</v>
      </c>
      <c r="O20" s="37" t="str">
        <f>ELECT.!S21</f>
        <v>0</v>
      </c>
      <c r="P20" s="37">
        <f>ELECT.!W21*2</f>
        <v>0</v>
      </c>
      <c r="Q20" s="37">
        <f>ELECT.!D21</f>
        <v>0</v>
      </c>
      <c r="R20" s="142" t="str">
        <f>BTU!C21</f>
        <v>0</v>
      </c>
      <c r="S20" s="142" t="str">
        <f>BTU!F21</f>
        <v>0</v>
      </c>
      <c r="T20" s="142" t="str">
        <f>BTU!I21</f>
        <v>0</v>
      </c>
      <c r="U20" s="142" t="str">
        <f>BTU!O21</f>
        <v>0</v>
      </c>
      <c r="V20" s="142" t="str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20" sqref="T2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ref="B20:B32" si="17">B20</f>
        <v>47172</v>
      </c>
      <c r="C21" s="14">
        <f t="shared" si="9"/>
        <v>0</v>
      </c>
      <c r="D21" s="32">
        <f t="shared" ref="D20:D32" si="18">D20</f>
        <v>40696</v>
      </c>
      <c r="E21" s="14">
        <f t="shared" si="1"/>
        <v>0</v>
      </c>
      <c r="F21" s="32">
        <f t="shared" ref="F20:F32" si="19">F20</f>
        <v>21752</v>
      </c>
      <c r="G21" s="14">
        <f t="shared" si="2"/>
        <v>0</v>
      </c>
      <c r="H21" s="32">
        <f t="shared" ref="H20:H32" si="20">H20</f>
        <v>255754</v>
      </c>
      <c r="I21" s="14">
        <f t="shared" si="3"/>
        <v>0</v>
      </c>
      <c r="J21" s="32">
        <f t="shared" ref="J20:J32" si="21">J20</f>
        <v>319276</v>
      </c>
      <c r="K21" s="14">
        <f t="shared" si="4"/>
        <v>0</v>
      </c>
      <c r="L21" s="32">
        <f t="shared" ref="L20:L32" si="22">L20</f>
        <v>26227</v>
      </c>
      <c r="M21" s="14">
        <f t="shared" si="5"/>
        <v>0</v>
      </c>
      <c r="N21" s="32">
        <f t="shared" ref="N20:N32" si="23">N20</f>
        <v>226094</v>
      </c>
      <c r="O21" s="14">
        <f t="shared" si="6"/>
        <v>0</v>
      </c>
      <c r="P21" s="32">
        <f t="shared" si="12"/>
        <v>155890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4008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7"/>
        <v>47172</v>
      </c>
      <c r="C22" s="14">
        <f t="shared" si="9"/>
        <v>0</v>
      </c>
      <c r="D22" s="32">
        <f t="shared" si="18"/>
        <v>40696</v>
      </c>
      <c r="E22" s="14">
        <f t="shared" si="1"/>
        <v>0</v>
      </c>
      <c r="F22" s="32">
        <f t="shared" si="19"/>
        <v>21752</v>
      </c>
      <c r="G22" s="14">
        <f t="shared" si="2"/>
        <v>0</v>
      </c>
      <c r="H22" s="32">
        <f t="shared" si="20"/>
        <v>255754</v>
      </c>
      <c r="I22" s="14">
        <f t="shared" si="3"/>
        <v>0</v>
      </c>
      <c r="J22" s="32">
        <f t="shared" si="21"/>
        <v>319276</v>
      </c>
      <c r="K22" s="14">
        <f t="shared" si="4"/>
        <v>0</v>
      </c>
      <c r="L22" s="32">
        <f t="shared" si="22"/>
        <v>26227</v>
      </c>
      <c r="M22" s="14">
        <f t="shared" si="5"/>
        <v>0</v>
      </c>
      <c r="N22" s="32">
        <f t="shared" si="23"/>
        <v>226094</v>
      </c>
      <c r="O22" s="14">
        <f t="shared" si="6"/>
        <v>0</v>
      </c>
      <c r="P22" s="32">
        <f t="shared" si="12"/>
        <v>155890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4008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7"/>
        <v>47172</v>
      </c>
      <c r="C23" s="14">
        <f t="shared" si="9"/>
        <v>0</v>
      </c>
      <c r="D23" s="32">
        <f t="shared" si="18"/>
        <v>40696</v>
      </c>
      <c r="E23" s="14">
        <f t="shared" si="1"/>
        <v>0</v>
      </c>
      <c r="F23" s="32">
        <f t="shared" si="19"/>
        <v>21752</v>
      </c>
      <c r="G23" s="14">
        <f t="shared" si="2"/>
        <v>0</v>
      </c>
      <c r="H23" s="32">
        <f t="shared" si="20"/>
        <v>255754</v>
      </c>
      <c r="I23" s="14">
        <f t="shared" si="3"/>
        <v>0</v>
      </c>
      <c r="J23" s="32">
        <f t="shared" si="21"/>
        <v>319276</v>
      </c>
      <c r="K23" s="14">
        <f t="shared" si="4"/>
        <v>0</v>
      </c>
      <c r="L23" s="32">
        <f t="shared" si="22"/>
        <v>26227</v>
      </c>
      <c r="M23" s="14">
        <f t="shared" si="5"/>
        <v>0</v>
      </c>
      <c r="N23" s="32">
        <f t="shared" si="23"/>
        <v>226094</v>
      </c>
      <c r="O23" s="14">
        <f t="shared" si="6"/>
        <v>0</v>
      </c>
      <c r="P23" s="32">
        <f t="shared" si="12"/>
        <v>155890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4008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7"/>
        <v>47172</v>
      </c>
      <c r="C24" s="14">
        <f t="shared" si="9"/>
        <v>0</v>
      </c>
      <c r="D24" s="32">
        <f t="shared" si="18"/>
        <v>40696</v>
      </c>
      <c r="E24" s="14">
        <f t="shared" si="1"/>
        <v>0</v>
      </c>
      <c r="F24" s="32">
        <f t="shared" si="19"/>
        <v>21752</v>
      </c>
      <c r="G24" s="14">
        <f t="shared" si="2"/>
        <v>0</v>
      </c>
      <c r="H24" s="32">
        <f t="shared" si="20"/>
        <v>255754</v>
      </c>
      <c r="I24" s="14">
        <f t="shared" si="3"/>
        <v>0</v>
      </c>
      <c r="J24" s="32">
        <f t="shared" si="21"/>
        <v>319276</v>
      </c>
      <c r="K24" s="14">
        <f t="shared" si="4"/>
        <v>0</v>
      </c>
      <c r="L24" s="32">
        <f t="shared" si="22"/>
        <v>26227</v>
      </c>
      <c r="M24" s="14">
        <f t="shared" si="5"/>
        <v>0</v>
      </c>
      <c r="N24" s="32">
        <f t="shared" si="23"/>
        <v>226094</v>
      </c>
      <c r="O24" s="14">
        <f t="shared" si="6"/>
        <v>0</v>
      </c>
      <c r="P24" s="32">
        <f t="shared" si="12"/>
        <v>155890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4008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7"/>
        <v>47172</v>
      </c>
      <c r="C25" s="14">
        <f t="shared" si="9"/>
        <v>0</v>
      </c>
      <c r="D25" s="32">
        <f t="shared" si="18"/>
        <v>40696</v>
      </c>
      <c r="E25" s="14">
        <f t="shared" si="1"/>
        <v>0</v>
      </c>
      <c r="F25" s="32">
        <f t="shared" si="19"/>
        <v>21752</v>
      </c>
      <c r="G25" s="14">
        <f t="shared" si="2"/>
        <v>0</v>
      </c>
      <c r="H25" s="32">
        <f t="shared" si="20"/>
        <v>255754</v>
      </c>
      <c r="I25" s="14">
        <f t="shared" si="3"/>
        <v>0</v>
      </c>
      <c r="J25" s="32">
        <f t="shared" si="21"/>
        <v>319276</v>
      </c>
      <c r="K25" s="14">
        <f t="shared" si="4"/>
        <v>0</v>
      </c>
      <c r="L25" s="32">
        <f t="shared" si="22"/>
        <v>26227</v>
      </c>
      <c r="M25" s="14">
        <f t="shared" si="5"/>
        <v>0</v>
      </c>
      <c r="N25" s="32">
        <f t="shared" si="23"/>
        <v>226094</v>
      </c>
      <c r="O25" s="14">
        <f t="shared" si="6"/>
        <v>0</v>
      </c>
      <c r="P25" s="32">
        <f t="shared" si="12"/>
        <v>155890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4008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7"/>
        <v>47172</v>
      </c>
      <c r="C26" s="14">
        <f t="shared" si="9"/>
        <v>0</v>
      </c>
      <c r="D26" s="32">
        <f t="shared" si="18"/>
        <v>40696</v>
      </c>
      <c r="E26" s="14">
        <f t="shared" si="1"/>
        <v>0</v>
      </c>
      <c r="F26" s="32">
        <f t="shared" si="19"/>
        <v>21752</v>
      </c>
      <c r="G26" s="14">
        <f t="shared" si="2"/>
        <v>0</v>
      </c>
      <c r="H26" s="32">
        <f t="shared" si="20"/>
        <v>255754</v>
      </c>
      <c r="I26" s="14">
        <f t="shared" si="3"/>
        <v>0</v>
      </c>
      <c r="J26" s="32">
        <f t="shared" si="21"/>
        <v>319276</v>
      </c>
      <c r="K26" s="14">
        <f t="shared" si="4"/>
        <v>0</v>
      </c>
      <c r="L26" s="32">
        <f t="shared" si="22"/>
        <v>26227</v>
      </c>
      <c r="M26" s="14">
        <f t="shared" si="5"/>
        <v>0</v>
      </c>
      <c r="N26" s="32">
        <f t="shared" si="23"/>
        <v>226094</v>
      </c>
      <c r="O26" s="14">
        <f t="shared" si="6"/>
        <v>0</v>
      </c>
      <c r="P26" s="32">
        <f t="shared" si="12"/>
        <v>155890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4008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7"/>
        <v>47172</v>
      </c>
      <c r="C27" s="14">
        <f t="shared" si="9"/>
        <v>0</v>
      </c>
      <c r="D27" s="32">
        <f t="shared" si="18"/>
        <v>40696</v>
      </c>
      <c r="E27" s="14">
        <f t="shared" si="1"/>
        <v>0</v>
      </c>
      <c r="F27" s="32">
        <f t="shared" si="19"/>
        <v>21752</v>
      </c>
      <c r="G27" s="14">
        <f t="shared" si="2"/>
        <v>0</v>
      </c>
      <c r="H27" s="32">
        <f t="shared" si="20"/>
        <v>255754</v>
      </c>
      <c r="I27" s="14">
        <f t="shared" si="3"/>
        <v>0</v>
      </c>
      <c r="J27" s="32">
        <f t="shared" si="21"/>
        <v>319276</v>
      </c>
      <c r="K27" s="14">
        <f t="shared" si="4"/>
        <v>0</v>
      </c>
      <c r="L27" s="32">
        <f t="shared" si="22"/>
        <v>26227</v>
      </c>
      <c r="M27" s="14">
        <f t="shared" si="5"/>
        <v>0</v>
      </c>
      <c r="N27" s="32">
        <f t="shared" si="23"/>
        <v>226094</v>
      </c>
      <c r="O27" s="14">
        <f t="shared" si="6"/>
        <v>0</v>
      </c>
      <c r="P27" s="32">
        <f t="shared" si="12"/>
        <v>155890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4008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7"/>
        <v>47172</v>
      </c>
      <c r="C28" s="14">
        <f t="shared" si="9"/>
        <v>0</v>
      </c>
      <c r="D28" s="32">
        <f t="shared" si="18"/>
        <v>40696</v>
      </c>
      <c r="E28" s="14">
        <f t="shared" si="1"/>
        <v>0</v>
      </c>
      <c r="F28" s="32">
        <f t="shared" si="19"/>
        <v>21752</v>
      </c>
      <c r="G28" s="14">
        <f t="shared" si="2"/>
        <v>0</v>
      </c>
      <c r="H28" s="32">
        <f t="shared" si="20"/>
        <v>255754</v>
      </c>
      <c r="I28" s="14">
        <f t="shared" si="3"/>
        <v>0</v>
      </c>
      <c r="J28" s="32">
        <f t="shared" si="21"/>
        <v>319276</v>
      </c>
      <c r="K28" s="14">
        <f t="shared" si="4"/>
        <v>0</v>
      </c>
      <c r="L28" s="32">
        <f t="shared" si="22"/>
        <v>26227</v>
      </c>
      <c r="M28" s="14">
        <f t="shared" si="5"/>
        <v>0</v>
      </c>
      <c r="N28" s="32">
        <f t="shared" si="23"/>
        <v>226094</v>
      </c>
      <c r="O28" s="14">
        <f t="shared" si="6"/>
        <v>0</v>
      </c>
      <c r="P28" s="32">
        <f t="shared" si="12"/>
        <v>155890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4008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7"/>
        <v>47172</v>
      </c>
      <c r="C29" s="14">
        <f t="shared" si="9"/>
        <v>0</v>
      </c>
      <c r="D29" s="32">
        <f t="shared" si="18"/>
        <v>40696</v>
      </c>
      <c r="E29" s="14">
        <f t="shared" si="1"/>
        <v>0</v>
      </c>
      <c r="F29" s="32">
        <f t="shared" si="19"/>
        <v>21752</v>
      </c>
      <c r="G29" s="14">
        <f t="shared" si="2"/>
        <v>0</v>
      </c>
      <c r="H29" s="32">
        <f t="shared" si="20"/>
        <v>255754</v>
      </c>
      <c r="I29" s="14">
        <f t="shared" si="3"/>
        <v>0</v>
      </c>
      <c r="J29" s="32">
        <f t="shared" si="21"/>
        <v>319276</v>
      </c>
      <c r="K29" s="14">
        <f t="shared" si="4"/>
        <v>0</v>
      </c>
      <c r="L29" s="32">
        <f t="shared" si="22"/>
        <v>26227</v>
      </c>
      <c r="M29" s="14">
        <f t="shared" si="5"/>
        <v>0</v>
      </c>
      <c r="N29" s="32">
        <f t="shared" si="23"/>
        <v>226094</v>
      </c>
      <c r="O29" s="14">
        <f t="shared" si="6"/>
        <v>0</v>
      </c>
      <c r="P29" s="32">
        <f t="shared" si="12"/>
        <v>155890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4008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47172</v>
      </c>
      <c r="C30" s="14">
        <f t="shared" si="9"/>
        <v>0</v>
      </c>
      <c r="D30" s="32">
        <f t="shared" si="18"/>
        <v>40696</v>
      </c>
      <c r="E30" s="14">
        <f t="shared" si="1"/>
        <v>0</v>
      </c>
      <c r="F30" s="32">
        <f t="shared" si="19"/>
        <v>21752</v>
      </c>
      <c r="G30" s="14">
        <f t="shared" si="2"/>
        <v>0</v>
      </c>
      <c r="H30" s="32">
        <f t="shared" si="20"/>
        <v>255754</v>
      </c>
      <c r="I30" s="14">
        <f t="shared" si="3"/>
        <v>0</v>
      </c>
      <c r="J30" s="32">
        <f t="shared" si="21"/>
        <v>319276</v>
      </c>
      <c r="K30" s="14">
        <f t="shared" si="4"/>
        <v>0</v>
      </c>
      <c r="L30" s="32">
        <f t="shared" si="22"/>
        <v>26227</v>
      </c>
      <c r="M30" s="14">
        <f t="shared" si="5"/>
        <v>0</v>
      </c>
      <c r="N30" s="32">
        <f t="shared" si="23"/>
        <v>226094</v>
      </c>
      <c r="O30" s="14">
        <f t="shared" si="6"/>
        <v>0</v>
      </c>
      <c r="P30" s="32">
        <f t="shared" si="12"/>
        <v>155890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4008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47172</v>
      </c>
      <c r="C31" s="14">
        <f t="shared" si="9"/>
        <v>0</v>
      </c>
      <c r="D31" s="32">
        <f t="shared" si="18"/>
        <v>40696</v>
      </c>
      <c r="E31" s="14">
        <f t="shared" si="1"/>
        <v>0</v>
      </c>
      <c r="F31" s="32">
        <f t="shared" si="19"/>
        <v>21752</v>
      </c>
      <c r="G31" s="14">
        <f t="shared" si="2"/>
        <v>0</v>
      </c>
      <c r="H31" s="32">
        <f t="shared" si="20"/>
        <v>255754</v>
      </c>
      <c r="I31" s="14">
        <f t="shared" si="3"/>
        <v>0</v>
      </c>
      <c r="J31" s="32">
        <f t="shared" si="21"/>
        <v>319276</v>
      </c>
      <c r="K31" s="14">
        <f t="shared" si="4"/>
        <v>0</v>
      </c>
      <c r="L31" s="32">
        <f t="shared" si="22"/>
        <v>26227</v>
      </c>
      <c r="M31" s="14">
        <f t="shared" si="5"/>
        <v>0</v>
      </c>
      <c r="N31" s="32">
        <f t="shared" si="23"/>
        <v>226094</v>
      </c>
      <c r="O31" s="14">
        <f t="shared" si="6"/>
        <v>0</v>
      </c>
      <c r="P31" s="32">
        <f t="shared" si="12"/>
        <v>155890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4008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47172</v>
      </c>
      <c r="C32" s="14">
        <f t="shared" si="9"/>
        <v>0</v>
      </c>
      <c r="D32" s="32">
        <f t="shared" si="18"/>
        <v>40696</v>
      </c>
      <c r="E32" s="14">
        <f t="shared" si="1"/>
        <v>0</v>
      </c>
      <c r="F32" s="32">
        <f t="shared" si="19"/>
        <v>21752</v>
      </c>
      <c r="G32" s="14">
        <f t="shared" si="2"/>
        <v>0</v>
      </c>
      <c r="H32" s="32">
        <f t="shared" si="20"/>
        <v>255754</v>
      </c>
      <c r="I32" s="14">
        <f t="shared" si="3"/>
        <v>0</v>
      </c>
      <c r="J32" s="32">
        <f t="shared" si="21"/>
        <v>319276</v>
      </c>
      <c r="K32" s="14">
        <f t="shared" si="4"/>
        <v>0</v>
      </c>
      <c r="L32" s="32">
        <f t="shared" si="22"/>
        <v>26227</v>
      </c>
      <c r="M32" s="14">
        <f t="shared" si="5"/>
        <v>0</v>
      </c>
      <c r="N32" s="32">
        <f t="shared" si="23"/>
        <v>226094</v>
      </c>
      <c r="O32" s="14">
        <f t="shared" si="6"/>
        <v>0</v>
      </c>
      <c r="P32" s="32">
        <f t="shared" si="12"/>
        <v>155890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4008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13600</v>
      </c>
      <c r="D33" s="11"/>
      <c r="E33" s="14">
        <f>SUM(E3:E32)</f>
        <v>9280</v>
      </c>
      <c r="F33" s="11"/>
      <c r="G33" s="14">
        <f>SUM(G3:G32)</f>
        <v>1300</v>
      </c>
      <c r="H33" s="11"/>
      <c r="I33" s="14">
        <f>SUM(I3:I32)</f>
        <v>455</v>
      </c>
      <c r="J33" s="11"/>
      <c r="K33" s="14">
        <f>SUM(K3:K32)</f>
        <v>2872</v>
      </c>
      <c r="L33" s="11"/>
      <c r="M33" s="14">
        <f>SUM(M3:M32)</f>
        <v>3360</v>
      </c>
      <c r="N33" s="33"/>
      <c r="O33" s="14">
        <f>SUM(O3:O32)</f>
        <v>58</v>
      </c>
      <c r="P33" s="32"/>
      <c r="Q33" s="14">
        <f>SUM(Q3:Q32)</f>
        <v>1524</v>
      </c>
      <c r="R33" s="1"/>
      <c r="S33" s="14">
        <f>SUM(S3:S32)</f>
        <v>0</v>
      </c>
      <c r="T33" s="1"/>
      <c r="U33" s="14">
        <f>SUM(U3:U32)</f>
        <v>1760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G1" zoomScaleNormal="100" zoomScaleSheetLayoutView="110" workbookViewId="0">
      <pane ySplit="1" topLeftCell="A2" activePane="bottomLeft" state="frozen"/>
      <selection pane="bottomLeft" activeCell="V20" sqref="V20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39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5393441</v>
      </c>
      <c r="H20" s="39">
        <f t="shared" si="3"/>
        <v>4854342</v>
      </c>
      <c r="I20" s="152">
        <f t="shared" si="4"/>
        <v>4876074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4809525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 t="str">
        <f t="shared" si="2"/>
        <v>0</v>
      </c>
      <c r="G21" s="147"/>
      <c r="H21" s="39" t="str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 t="str">
        <f t="shared" si="5"/>
        <v>0</v>
      </c>
      <c r="N21" s="146"/>
      <c r="O21" s="130">
        <f t="shared" si="13"/>
        <v>0</v>
      </c>
      <c r="P21" s="149"/>
      <c r="Q21" s="130" t="str">
        <f t="shared" si="6"/>
        <v>0</v>
      </c>
      <c r="R21" s="146"/>
      <c r="S21" s="130" t="str">
        <f t="shared" si="7"/>
        <v>0</v>
      </c>
      <c r="T21" s="153">
        <v>0</v>
      </c>
      <c r="U21" s="150"/>
      <c r="V21" s="146"/>
      <c r="W21" s="130" t="str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168940.33008320004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168940.33008320004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168940.33008320004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168940.33008320004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168940.33008320004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168940.33008320004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168940.33008320004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168940.33008320004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168940.33008320004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168940.33008320004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168940.33008320004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168940.33008320004</v>
      </c>
    </row>
    <row r="33" spans="1:27" ht="16.5" thickBot="1" x14ac:dyDescent="0.3">
      <c r="A33" s="137" t="s">
        <v>23</v>
      </c>
      <c r="B33" s="137">
        <f>SUM(B3:B32)</f>
        <v>3715</v>
      </c>
      <c r="C33" s="137">
        <v>0</v>
      </c>
      <c r="D33" s="137">
        <f>SUM(D3:D32)</f>
        <v>11680</v>
      </c>
      <c r="E33" s="56">
        <v>0</v>
      </c>
      <c r="F33" s="56">
        <f>SUM(F3:F32)</f>
        <v>387307</v>
      </c>
      <c r="G33" s="56">
        <v>0</v>
      </c>
      <c r="H33" s="56">
        <f>SUM(H3:H32)</f>
        <v>5752619</v>
      </c>
      <c r="I33" s="56">
        <f>SUM(I3:I32)</f>
        <v>6139926</v>
      </c>
      <c r="J33" s="56">
        <v>0</v>
      </c>
      <c r="K33" s="56">
        <f>SUM(K2:K32)</f>
        <v>180613</v>
      </c>
      <c r="L33" s="56">
        <v>0</v>
      </c>
      <c r="M33" s="56">
        <f>SUM(M3:M32)</f>
        <v>121871</v>
      </c>
      <c r="N33" s="56">
        <v>0</v>
      </c>
      <c r="O33" s="56">
        <f>SUM(O3:O32)</f>
        <v>261954</v>
      </c>
      <c r="P33" s="56">
        <v>0</v>
      </c>
      <c r="Q33" s="56">
        <f>SUM(Q3:Q32)</f>
        <v>239004</v>
      </c>
      <c r="R33" s="56">
        <v>0</v>
      </c>
      <c r="S33" s="56">
        <f>SUM(S3:S32)</f>
        <v>193290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203956</v>
      </c>
      <c r="X33" s="56">
        <f>SUM(X3:X32)</f>
        <v>1200688</v>
      </c>
      <c r="Y33" s="56">
        <f>SUM(Y3:Y32)</f>
        <v>4939238</v>
      </c>
      <c r="Z33" s="56">
        <f>SUM(Z3:Z32)</f>
        <v>168940.33008320004</v>
      </c>
      <c r="AA33" s="56">
        <f>SUM(AA3:AA32)</f>
        <v>3630458.4088240024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20" sqref="K2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19280</v>
      </c>
      <c r="D33" s="3"/>
      <c r="E33" s="56">
        <f>SUM(E3:E32)</f>
        <v>8750</v>
      </c>
      <c r="F33" s="3"/>
      <c r="G33" s="56">
        <f>SUM(G3:G32)</f>
        <v>9625.4999999999982</v>
      </c>
      <c r="H33" s="3"/>
      <c r="I33" s="56">
        <f>SUM(I3:I32)</f>
        <v>97.875000000000014</v>
      </c>
      <c r="J33" s="56">
        <f>SUM(J3:J32)</f>
        <v>37753.375</v>
      </c>
      <c r="K33" s="56">
        <f>SUM(K3:K32)</f>
        <v>221234.77749999997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21" sqref="B2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>
        <v>18342687</v>
      </c>
      <c r="C20" s="45">
        <f t="shared" si="0"/>
        <v>2346</v>
      </c>
    </row>
    <row r="21" spans="1:9" ht="24" thickBot="1" x14ac:dyDescent="0.4">
      <c r="A21" s="9">
        <v>44731</v>
      </c>
      <c r="B21" s="133"/>
      <c r="C21" s="45" t="str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41433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I1" zoomScale="90" zoomScaleNormal="90" workbookViewId="0">
      <pane ySplit="1" topLeftCell="A2" activePane="bottomLeft" state="frozen"/>
      <selection pane="bottomLeft" activeCell="AI20" sqref="AI20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/>
      <c r="R20" s="44" t="str">
        <f t="shared" si="32"/>
        <v>0</v>
      </c>
      <c r="S20" s="28">
        <f t="shared" si="33"/>
        <v>0</v>
      </c>
      <c r="T20" s="8">
        <f t="shared" si="35"/>
        <v>21.266999999999825</v>
      </c>
      <c r="U20" s="30">
        <f t="shared" si="34"/>
        <v>40407.299999999668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 t="str">
        <f t="shared" si="22"/>
        <v>0</v>
      </c>
      <c r="D21" s="28">
        <f t="shared" si="23"/>
        <v>0</v>
      </c>
      <c r="E21" s="160"/>
      <c r="F21" s="44" t="str">
        <f t="shared" si="24"/>
        <v>0</v>
      </c>
      <c r="G21" s="28">
        <f t="shared" si="25"/>
        <v>0</v>
      </c>
      <c r="H21" s="160"/>
      <c r="I21" s="44" t="str">
        <f t="shared" si="26"/>
        <v>0</v>
      </c>
      <c r="J21" s="28">
        <f t="shared" si="27"/>
        <v>0</v>
      </c>
      <c r="K21" s="7"/>
      <c r="L21" s="44" t="str">
        <f t="shared" si="28"/>
        <v>0</v>
      </c>
      <c r="M21" s="28">
        <f t="shared" si="29"/>
        <v>0</v>
      </c>
      <c r="N21" s="160"/>
      <c r="O21" s="44" t="str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 t="str">
        <f t="shared" si="21"/>
        <v>0</v>
      </c>
      <c r="Z21" s="158"/>
      <c r="AA21" s="163" t="str">
        <f t="shared" si="21"/>
        <v>0</v>
      </c>
      <c r="AB21" s="158"/>
      <c r="AC21" s="163" t="str">
        <f t="shared" si="21"/>
        <v>0</v>
      </c>
      <c r="AD21" s="158"/>
      <c r="AE21" s="163" t="str">
        <f t="shared" si="21"/>
        <v>0</v>
      </c>
      <c r="AF21" s="158"/>
      <c r="AG21" s="163" t="str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235.91999999999825</v>
      </c>
      <c r="D33" s="137">
        <f>SUM(D3:D32)</f>
        <v>448247.99999999662</v>
      </c>
      <c r="E33" s="137"/>
      <c r="F33" s="44">
        <f>SUM(F2:F32)</f>
        <v>50.110000000000582</v>
      </c>
      <c r="G33" s="137">
        <f>SUM(G3:G32)</f>
        <v>95209.000000001077</v>
      </c>
      <c r="H33" s="137"/>
      <c r="I33" s="44">
        <f>SUM(I2:I32)</f>
        <v>139</v>
      </c>
      <c r="J33" s="137">
        <f>SUM(J3:J32)</f>
        <v>264100</v>
      </c>
      <c r="K33" s="137"/>
      <c r="L33" s="44">
        <f>SUM(L2:L32)</f>
        <v>40.6200000000008</v>
      </c>
      <c r="M33" s="137">
        <f>SUM(M3:M32)</f>
        <v>77178.000000001513</v>
      </c>
      <c r="N33" s="137"/>
      <c r="O33" s="44">
        <f>SUM(O2:O32)</f>
        <v>26.290999999999713</v>
      </c>
      <c r="P33" s="137">
        <f>SUM(P3:P32)</f>
        <v>49952.899999999441</v>
      </c>
      <c r="Q33" s="137"/>
      <c r="R33" s="44">
        <f>SUM(R3:R32)</f>
        <v>32.420000000000073</v>
      </c>
      <c r="S33" s="137">
        <f>SUM(S3:S32)</f>
        <v>61598.000000000131</v>
      </c>
      <c r="T33" s="137">
        <f>SUM(T3:T32)</f>
        <v>524.36099999999942</v>
      </c>
      <c r="U33" s="137">
        <f>SUM(U3:U32)</f>
        <v>996285.89999999898</v>
      </c>
      <c r="V33"/>
      <c r="W33" s="137" t="s">
        <v>141</v>
      </c>
      <c r="X33" s="137"/>
      <c r="Y33" s="137">
        <f>SUM(Y2:Y32)</f>
        <v>4680</v>
      </c>
      <c r="Z33" s="137"/>
      <c r="AA33" s="137">
        <f>SUM(AA2:AA32)</f>
        <v>109</v>
      </c>
      <c r="AB33" s="137"/>
      <c r="AC33" s="137">
        <f>SUM(AC2:AC32)</f>
        <v>1.3000000000000007</v>
      </c>
      <c r="AD33" s="137"/>
      <c r="AE33" s="137">
        <f>SUM(AE2:AE32)</f>
        <v>38</v>
      </c>
      <c r="AF33" s="137">
        <v>0</v>
      </c>
      <c r="AG33" s="137">
        <f>SUM(AG2:AG32)</f>
        <v>257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-6903928</v>
      </c>
      <c r="D7" s="105">
        <f t="shared" si="0"/>
        <v>-8767988.5600000005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21235</v>
      </c>
      <c r="D8" s="105">
        <f t="shared" si="0"/>
        <v>26968.45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4690</v>
      </c>
      <c r="D9" s="105">
        <f t="shared" si="0"/>
        <v>5956.3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8960</v>
      </c>
      <c r="D10" s="105">
        <f t="shared" si="0"/>
        <v>11379.2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1524</v>
      </c>
      <c r="D11" s="105">
        <f t="shared" si="0"/>
        <v>1935.48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4008</v>
      </c>
      <c r="K16" s="94">
        <f>(J16-I16)*160</f>
        <v>1760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319276</v>
      </c>
      <c r="K17" s="94">
        <f>(J17-I17)</f>
        <v>2872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26227</v>
      </c>
      <c r="K18" s="94">
        <f>(J18-I18)*160</f>
        <v>8960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155890</v>
      </c>
      <c r="K19" s="94">
        <f>J19-I19</f>
        <v>1524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47172</v>
      </c>
      <c r="K21" s="94">
        <f>(J21-I21)*120</f>
        <v>10200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40696</v>
      </c>
      <c r="K22" s="94">
        <f>(J22-I22)*160</f>
        <v>9280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21752</v>
      </c>
      <c r="K23" s="94">
        <f>(J23-I23)*20</f>
        <v>1300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255754</v>
      </c>
      <c r="K24" s="94">
        <f>J24-I24</f>
        <v>455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226094</v>
      </c>
      <c r="K25" s="94">
        <f>J25-I25</f>
        <v>58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2022-06-19T01:32:29Z</dcterms:modified>
</cp:coreProperties>
</file>