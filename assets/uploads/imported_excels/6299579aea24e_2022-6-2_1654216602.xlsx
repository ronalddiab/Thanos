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1DF34CDA-2514-40E5-8F56-D744F5C8EE34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<sst xmlns="http://schemas.openxmlformats.org/spreadsheetml/2006/main" count="66" uniqueCount="32">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</sst>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>
            <v>60</v>
          </cell>
          <cell r="S387">
            <v>69</v>
          </cell>
          <cell r="T387">
            <v>138</v>
          </cell>
          <cell r="U387">
            <v>78</v>
          </cell>
          <cell r="V387">
            <v>74</v>
          </cell>
          <cell r="W387">
            <v>81</v>
          </cell>
          <cell r="X387">
            <v>86</v>
          </cell>
          <cell r="Y387">
            <v>87</v>
          </cell>
          <cell r="Z387">
            <v>117</v>
          </cell>
          <cell r="AA387">
            <v>170</v>
          </cell>
          <cell r="AB387">
            <v>108</v>
          </cell>
          <cell r="AC387">
            <v>76</v>
          </cell>
          <cell r="AD387">
            <v>91</v>
          </cell>
          <cell r="AE387">
            <v>95</v>
          </cell>
          <cell r="AF387">
            <v>78</v>
          </cell>
          <cell r="AG387">
            <v>114</v>
          </cell>
          <cell r="AH387">
            <v>161</v>
          </cell>
          <cell r="AI387">
            <v>92</v>
          </cell>
          <cell r="AJ387">
            <v>63</v>
          </cell>
          <cell r="AK387">
            <v>55</v>
          </cell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>
            <v>98</v>
          </cell>
          <cell r="S388">
            <v>119</v>
          </cell>
          <cell r="T388">
            <v>263</v>
          </cell>
          <cell r="U388">
            <v>126</v>
          </cell>
          <cell r="V388">
            <v>114</v>
          </cell>
          <cell r="W388">
            <v>127</v>
          </cell>
          <cell r="X388">
            <v>129</v>
          </cell>
          <cell r="Y388">
            <v>127</v>
          </cell>
          <cell r="Z388">
            <v>220</v>
          </cell>
          <cell r="AA388">
            <v>347</v>
          </cell>
          <cell r="AB388">
            <v>194</v>
          </cell>
          <cell r="AC388">
            <v>121</v>
          </cell>
          <cell r="AD388">
            <v>137</v>
          </cell>
          <cell r="AE388">
            <v>150</v>
          </cell>
          <cell r="AF388">
            <v>123</v>
          </cell>
          <cell r="AG388">
            <v>217</v>
          </cell>
          <cell r="AH388">
            <v>332</v>
          </cell>
          <cell r="AI388">
            <v>170</v>
          </cell>
          <cell r="AJ388">
            <v>108</v>
          </cell>
          <cell r="AK388">
            <v>92</v>
          </cell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189.1</v>
          </cell>
          <cell r="S23">
            <v>206.6</v>
          </cell>
          <cell r="T23">
            <v>205.9</v>
          </cell>
          <cell r="U23">
            <v>202.1</v>
          </cell>
          <cell r="V23">
            <v>197</v>
          </cell>
          <cell r="W23">
            <v>195.6</v>
          </cell>
          <cell r="X23">
            <v>167.6</v>
          </cell>
          <cell r="Y23">
            <v>212.5</v>
          </cell>
          <cell r="Z23">
            <v>213</v>
          </cell>
          <cell r="AA23">
            <v>219.1</v>
          </cell>
          <cell r="AB23">
            <v>204.2</v>
          </cell>
          <cell r="AC23">
            <v>204.5</v>
          </cell>
          <cell r="AD23">
            <v>193.7</v>
          </cell>
          <cell r="AE23">
            <v>169.2</v>
          </cell>
          <cell r="AF23">
            <v>189.3</v>
          </cell>
          <cell r="AG23">
            <v>204.4</v>
          </cell>
          <cell r="AH23">
            <v>194.4</v>
          </cell>
          <cell r="AI23">
            <v>197</v>
          </cell>
          <cell r="AJ23">
            <v>173.3</v>
          </cell>
          <cell r="AK23">
            <v>181.2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137</v>
          </cell>
          <cell r="S41">
            <v>129</v>
          </cell>
          <cell r="T41">
            <v>169</v>
          </cell>
          <cell r="U41">
            <v>187</v>
          </cell>
          <cell r="V41">
            <v>138</v>
          </cell>
          <cell r="W41">
            <v>136</v>
          </cell>
          <cell r="X41">
            <v>116</v>
          </cell>
          <cell r="Y41">
            <v>135</v>
          </cell>
          <cell r="Z41">
            <v>135</v>
          </cell>
          <cell r="AA41">
            <v>198</v>
          </cell>
          <cell r="AB41">
            <v>198</v>
          </cell>
          <cell r="AC41">
            <v>151</v>
          </cell>
          <cell r="AD41">
            <v>133</v>
          </cell>
          <cell r="AE41">
            <v>127</v>
          </cell>
          <cell r="AF41">
            <v>138</v>
          </cell>
          <cell r="AG41">
            <v>131</v>
          </cell>
          <cell r="AH41">
            <v>188</v>
          </cell>
          <cell r="AI41">
            <v>189</v>
          </cell>
          <cell r="AJ41">
            <v>156</v>
          </cell>
          <cell r="AK41">
            <v>129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1680.4122</v>
          </cell>
          <cell r="S91">
            <v>1878.2058</v>
          </cell>
          <cell r="T91">
            <v>1629.0192</v>
          </cell>
          <cell r="U91">
            <v>2791.6122</v>
          </cell>
          <cell r="V91">
            <v>4515.9168</v>
          </cell>
          <cell r="W91">
            <v>2621.5985999999998</v>
          </cell>
          <cell r="X91">
            <v>1640.6867999999999</v>
          </cell>
          <cell r="Y91">
            <v>1472.8956000000001</v>
          </cell>
          <cell r="Z91">
            <v>1333.44</v>
          </cell>
          <cell r="AA91">
            <v>2247.402</v>
          </cell>
          <cell r="AB91">
            <v>2371.5785999999998</v>
          </cell>
          <cell r="AC91">
            <v>2021.8283999999999</v>
          </cell>
          <cell r="AD91">
            <v>1430.1143999999999</v>
          </cell>
          <cell r="AE91">
            <v>1179.261</v>
          </cell>
          <cell r="AF91">
            <v>1372.8876</v>
          </cell>
          <cell r="AG91">
            <v>1465.9505999999999</v>
          </cell>
          <cell r="AH91">
            <v>1141.758</v>
          </cell>
          <cell r="AI91">
            <v>730.33619999999996</v>
          </cell>
          <cell r="AJ91">
            <v>1168.7046</v>
          </cell>
          <cell r="AK91">
            <v>1587.0714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7748.9531999999999</v>
          </cell>
          <cell r="S115">
            <v>9823.2857999999997</v>
          </cell>
          <cell r="T115">
            <v>16227.1314</v>
          </cell>
          <cell r="U115">
            <v>5245.1417999999994</v>
          </cell>
          <cell r="V115">
            <v>3089.4137999999998</v>
          </cell>
          <cell r="W115">
            <v>3343.3229999999999</v>
          </cell>
          <cell r="X115">
            <v>7691.4485999999997</v>
          </cell>
          <cell r="Y115">
            <v>7978.4160000000002</v>
          </cell>
          <cell r="Z115">
            <v>10328.0484</v>
          </cell>
          <cell r="AA115">
            <v>7475.0423999999994</v>
          </cell>
          <cell r="AB115">
            <v>8034.8094000000001</v>
          </cell>
          <cell r="AC115">
            <v>7813.9583999999995</v>
          </cell>
          <cell r="AD115">
            <v>10443.3354</v>
          </cell>
          <cell r="AE115">
            <v>10910.594999999999</v>
          </cell>
          <cell r="AF115">
            <v>10603.626</v>
          </cell>
          <cell r="AG115">
            <v>12625.454399999999</v>
          </cell>
          <cell r="AH115">
            <v>11602.316999999999</v>
          </cell>
          <cell r="AI115">
            <v>11359.242</v>
          </cell>
          <cell r="AJ115">
            <v>8569.0187999999998</v>
          </cell>
          <cell r="AK115">
            <v>5851.5792000000001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14360</v>
          </cell>
          <cell r="S147">
            <v>15022</v>
          </cell>
          <cell r="T147">
            <v>15716</v>
          </cell>
          <cell r="U147">
            <v>15031</v>
          </cell>
          <cell r="V147">
            <v>14399</v>
          </cell>
          <cell r="W147">
            <v>14764</v>
          </cell>
          <cell r="X147">
            <v>14695</v>
          </cell>
          <cell r="Y147">
            <v>14533</v>
          </cell>
          <cell r="Z147">
            <v>15031</v>
          </cell>
          <cell r="AA147">
            <v>15475</v>
          </cell>
          <cell r="AB147">
            <v>15248</v>
          </cell>
          <cell r="AC147">
            <v>14968</v>
          </cell>
          <cell r="AD147">
            <v>15098</v>
          </cell>
          <cell r="AE147">
            <v>14464</v>
          </cell>
          <cell r="AF147">
            <v>14956</v>
          </cell>
          <cell r="AG147">
            <v>15284</v>
          </cell>
          <cell r="AH147">
            <v>15446</v>
          </cell>
          <cell r="AI147">
            <v>15693</v>
          </cell>
          <cell r="AJ147">
            <v>15018</v>
          </cell>
          <cell r="AK147">
            <v>14882</v>
          </cell>
        </row>
      </sheetData>
      <sheetData sheetId="8">
        <row r="3">
          <cell r="G3">
            <v>28.18</v>
          </cell>
        </row>
        <row r="23">
          <cell r="M23">
            <v>142.32349543256325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6" sqref="S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28.18</v>
      </c>
      <c r="G2" s="9">
        <f>'Otemachi Daily'!F5</f>
        <v>207.7</v>
      </c>
      <c r="H2" s="34">
        <f>[1]見込!$M$23</f>
        <v>142.32349543256325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28.18</v>
      </c>
      <c r="G3" s="9">
        <f>'Otemachi Daily'!F6</f>
        <v>204</v>
      </c>
      <c r="H3" s="34">
        <f>[1]見込!$M$23</f>
        <v>142.32349543256325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28.18</v>
      </c>
      <c r="G4" s="9">
        <f>'Otemachi Daily'!F7</f>
        <v>212.6</v>
      </c>
      <c r="H4" s="34">
        <f>[1]見込!$M$23</f>
        <v>142.32349543256325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28.18</v>
      </c>
      <c r="G5" s="9">
        <f>'Otemachi Daily'!F8</f>
        <v>213.8</v>
      </c>
      <c r="H5" s="34">
        <f>[1]見込!$M$23</f>
        <v>142.32349543256325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28.18</v>
      </c>
      <c r="G6" s="9">
        <f>'Otemachi Daily'!F9</f>
        <v>217.6</v>
      </c>
      <c r="H6" s="34">
        <f>[1]見込!$M$23</f>
        <v>142.32349543256325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28.18</v>
      </c>
      <c r="G7" s="9">
        <f>'Otemachi Daily'!F10</f>
        <v>203.7</v>
      </c>
      <c r="H7" s="34">
        <f>[1]見込!$M$23</f>
        <v>142.32349543256325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28.18</v>
      </c>
      <c r="G8" s="9">
        <f>'Otemachi Daily'!F11</f>
        <v>214.4</v>
      </c>
      <c r="H8" s="34">
        <f>[1]見込!$M$23</f>
        <v>142.32349543256325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28.18</v>
      </c>
      <c r="G9" s="9">
        <f>'Otemachi Daily'!F12</f>
        <v>199.8</v>
      </c>
      <c r="H9" s="34">
        <f>[1]見込!$M$23</f>
        <v>142.32349543256325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28.18</v>
      </c>
      <c r="G10" s="9">
        <f>'Otemachi Daily'!F13</f>
        <v>192.8</v>
      </c>
      <c r="H10" s="34">
        <f>[1]見込!$M$23</f>
        <v>142.32349543256325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28.18</v>
      </c>
      <c r="G11" s="9">
        <f>'Otemachi Daily'!F14</f>
        <v>185.1</v>
      </c>
      <c r="H11" s="34">
        <f>[1]見込!$M$23</f>
        <v>142.32349543256325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28.18</v>
      </c>
      <c r="G12" s="9">
        <f>'Otemachi Daily'!F15</f>
        <v>170.1</v>
      </c>
      <c r="H12" s="34">
        <f>[1]見込!$M$23</f>
        <v>142.32349543256325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14360</v>
      </c>
      <c r="F13" s="34">
        <f>[1]見込!$G$3</f>
        <v>28.18</v>
      </c>
      <c r="G13" s="9">
        <f>'Otemachi Daily'!F16</f>
        <v>189.1</v>
      </c>
      <c r="H13" s="34">
        <f>[1]見込!$M$23</f>
        <v>142.32349543256325</v>
      </c>
      <c r="I13" s="9">
        <f>'Otemachi Daily'!H16</f>
        <v>7748.9531999999999</v>
      </c>
      <c r="J13" s="34">
        <v>10.79</v>
      </c>
      <c r="K13" s="9">
        <f>'Otemachi Daily'!J16</f>
        <v>1680.4122</v>
      </c>
      <c r="L13" s="34">
        <v>7.22</v>
      </c>
      <c r="M13" s="9">
        <f>'Otemachi Daily'!L16</f>
        <v>137</v>
      </c>
      <c r="N13" s="34">
        <v>741</v>
      </c>
      <c r="O13" s="9">
        <f>'Otemachi Daily'!M16</f>
        <v>60</v>
      </c>
      <c r="P13" s="9">
        <f>'Otemachi Daily'!N16</f>
        <v>98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15022</v>
      </c>
      <c r="F14" s="34">
        <f>[1]見込!$G$3</f>
        <v>28.18</v>
      </c>
      <c r="G14" s="9">
        <f>'Otemachi Daily'!F17</f>
        <v>206.6</v>
      </c>
      <c r="H14" s="34">
        <f>[1]見込!$M$23</f>
        <v>142.32349543256325</v>
      </c>
      <c r="I14" s="9">
        <f>'Otemachi Daily'!H17</f>
        <v>9823.2857999999997</v>
      </c>
      <c r="J14" s="34">
        <v>10.79</v>
      </c>
      <c r="K14" s="9">
        <f>'Otemachi Daily'!J17</f>
        <v>1878.2058</v>
      </c>
      <c r="L14" s="34">
        <v>7.22</v>
      </c>
      <c r="M14" s="9">
        <f>'Otemachi Daily'!L17</f>
        <v>129</v>
      </c>
      <c r="N14" s="34">
        <v>741</v>
      </c>
      <c r="O14" s="9">
        <f>'Otemachi Daily'!M17</f>
        <v>69</v>
      </c>
      <c r="P14" s="9">
        <f>'Otemachi Daily'!N17</f>
        <v>119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15716</v>
      </c>
      <c r="F15" s="34">
        <f>[1]見込!$G$3</f>
        <v>28.18</v>
      </c>
      <c r="G15" s="9">
        <f>'Otemachi Daily'!F18</f>
        <v>205.9</v>
      </c>
      <c r="H15" s="34">
        <f>[1]見込!$M$23</f>
        <v>142.32349543256325</v>
      </c>
      <c r="I15" s="9">
        <f>'Otemachi Daily'!H18</f>
        <v>16227.1314</v>
      </c>
      <c r="J15" s="34">
        <v>10.79</v>
      </c>
      <c r="K15" s="9">
        <f>'Otemachi Daily'!J18</f>
        <v>1629.0192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138</v>
      </c>
      <c r="P15" s="9">
        <f>'Otemachi Daily'!N18</f>
        <v>263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15031</v>
      </c>
      <c r="F16" s="34">
        <f>[1]見込!$G$3</f>
        <v>28.18</v>
      </c>
      <c r="G16" s="9">
        <f>'Otemachi Daily'!F19</f>
        <v>202.1</v>
      </c>
      <c r="H16" s="34">
        <f>[1]見込!$M$23</f>
        <v>142.32349543256325</v>
      </c>
      <c r="I16" s="9">
        <f>'Otemachi Daily'!H19</f>
        <v>5245.1417999999994</v>
      </c>
      <c r="J16" s="34">
        <v>10.79</v>
      </c>
      <c r="K16" s="9">
        <f>'Otemachi Daily'!J19</f>
        <v>2791.6122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78</v>
      </c>
      <c r="P16" s="9">
        <f>'Otemachi Daily'!N19</f>
        <v>126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14399</v>
      </c>
      <c r="F17" s="34">
        <f>[1]見込!$G$3</f>
        <v>28.18</v>
      </c>
      <c r="G17" s="9">
        <f>'Otemachi Daily'!F20</f>
        <v>197</v>
      </c>
      <c r="H17" s="34">
        <f>[1]見込!$M$23</f>
        <v>142.32349543256325</v>
      </c>
      <c r="I17" s="9">
        <f>'Otemachi Daily'!H20</f>
        <v>3089.4137999999998</v>
      </c>
      <c r="J17" s="34">
        <v>10.79</v>
      </c>
      <c r="K17" s="9">
        <f>'Otemachi Daily'!J20</f>
        <v>4515.9168</v>
      </c>
      <c r="L17" s="34">
        <v>7.22</v>
      </c>
      <c r="M17" s="9">
        <f>'Otemachi Daily'!L20</f>
        <v>138</v>
      </c>
      <c r="N17" s="34">
        <v>741</v>
      </c>
      <c r="O17" s="9">
        <f>'Otemachi Daily'!M20</f>
        <v>74</v>
      </c>
      <c r="P17" s="9">
        <f>'Otemachi Daily'!N20</f>
        <v>114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14764</v>
      </c>
      <c r="F18" s="34">
        <f>[1]見込!$G$3</f>
        <v>28.18</v>
      </c>
      <c r="G18" s="9">
        <f>'Otemachi Daily'!F21</f>
        <v>195.6</v>
      </c>
      <c r="H18" s="34">
        <f>[1]見込!$M$23</f>
        <v>142.32349543256325</v>
      </c>
      <c r="I18" s="9">
        <f>'Otemachi Daily'!H21</f>
        <v>3343.3229999999999</v>
      </c>
      <c r="J18" s="34">
        <v>10.79</v>
      </c>
      <c r="K18" s="9">
        <f>'Otemachi Daily'!J21</f>
        <v>2621.5985999999998</v>
      </c>
      <c r="L18" s="34">
        <v>7.22</v>
      </c>
      <c r="M18" s="9">
        <f>'Otemachi Daily'!L21</f>
        <v>136</v>
      </c>
      <c r="N18" s="34">
        <v>741</v>
      </c>
      <c r="O18" s="9">
        <f>'Otemachi Daily'!M21</f>
        <v>81</v>
      </c>
      <c r="P18" s="9">
        <f>'Otemachi Daily'!N21</f>
        <v>127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14695</v>
      </c>
      <c r="F19" s="34">
        <f>[1]見込!$G$3</f>
        <v>28.18</v>
      </c>
      <c r="G19" s="9">
        <f>'Otemachi Daily'!F22</f>
        <v>167.6</v>
      </c>
      <c r="H19" s="34">
        <f>[1]見込!$M$23</f>
        <v>142.32349543256325</v>
      </c>
      <c r="I19" s="9">
        <f>'Otemachi Daily'!H22</f>
        <v>7691.4485999999997</v>
      </c>
      <c r="J19" s="34">
        <v>10.79</v>
      </c>
      <c r="K19" s="9">
        <f>'Otemachi Daily'!J22</f>
        <v>1640.6867999999999</v>
      </c>
      <c r="L19" s="34">
        <v>7.22</v>
      </c>
      <c r="M19" s="9">
        <f>'Otemachi Daily'!L22</f>
        <v>116</v>
      </c>
      <c r="N19" s="34">
        <v>741</v>
      </c>
      <c r="O19" s="9">
        <f>'Otemachi Daily'!M22</f>
        <v>86</v>
      </c>
      <c r="P19" s="9">
        <f>'Otemachi Daily'!N22</f>
        <v>129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14533</v>
      </c>
      <c r="F20" s="34">
        <f>[1]見込!$G$3</f>
        <v>28.18</v>
      </c>
      <c r="G20" s="9">
        <f>'Otemachi Daily'!F23</f>
        <v>212.5</v>
      </c>
      <c r="H20" s="34">
        <f>[1]見込!$M$23</f>
        <v>142.32349543256325</v>
      </c>
      <c r="I20" s="9">
        <f>'Otemachi Daily'!H23</f>
        <v>7978.4160000000002</v>
      </c>
      <c r="J20" s="34">
        <v>10.79</v>
      </c>
      <c r="K20" s="9">
        <f>'Otemachi Daily'!J23</f>
        <v>1472.8956000000001</v>
      </c>
      <c r="L20" s="34">
        <v>7.22</v>
      </c>
      <c r="M20" s="9">
        <f>'Otemachi Daily'!L23</f>
        <v>135</v>
      </c>
      <c r="N20" s="34">
        <v>741</v>
      </c>
      <c r="O20" s="9">
        <f>'Otemachi Daily'!M23</f>
        <v>87</v>
      </c>
      <c r="P20" s="9">
        <f>'Otemachi Daily'!N23</f>
        <v>127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15031</v>
      </c>
      <c r="F21" s="34">
        <f>[1]見込!$G$3</f>
        <v>28.18</v>
      </c>
      <c r="G21" s="9">
        <f>'Otemachi Daily'!F24</f>
        <v>213</v>
      </c>
      <c r="H21" s="34">
        <f>[1]見込!$M$23</f>
        <v>142.32349543256325</v>
      </c>
      <c r="I21" s="9">
        <f>'Otemachi Daily'!H24</f>
        <v>10328.0484</v>
      </c>
      <c r="J21" s="34">
        <v>10.79</v>
      </c>
      <c r="K21" s="9">
        <f>'Otemachi Daily'!J24</f>
        <v>1333.44</v>
      </c>
      <c r="L21" s="34">
        <v>7.22</v>
      </c>
      <c r="M21" s="9">
        <f>'Otemachi Daily'!L24</f>
        <v>135</v>
      </c>
      <c r="N21" s="34">
        <v>741</v>
      </c>
      <c r="O21" s="9">
        <f>'Otemachi Daily'!M24</f>
        <v>117</v>
      </c>
      <c r="P21" s="9">
        <f>'Otemachi Daily'!N24</f>
        <v>220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15475</v>
      </c>
      <c r="F22" s="34">
        <f>[1]見込!$G$3</f>
        <v>28.18</v>
      </c>
      <c r="G22" s="9">
        <f>'Otemachi Daily'!F25</f>
        <v>219.1</v>
      </c>
      <c r="H22" s="34">
        <f>[1]見込!$M$23</f>
        <v>142.32349543256325</v>
      </c>
      <c r="I22" s="9">
        <f>'Otemachi Daily'!H25</f>
        <v>7475.0423999999994</v>
      </c>
      <c r="J22" s="34">
        <v>10.79</v>
      </c>
      <c r="K22" s="9">
        <f>'Otemachi Daily'!J25</f>
        <v>2247.402</v>
      </c>
      <c r="L22" s="34">
        <v>7.22</v>
      </c>
      <c r="M22" s="9">
        <f>'Otemachi Daily'!L25</f>
        <v>198</v>
      </c>
      <c r="N22" s="34">
        <v>741</v>
      </c>
      <c r="O22" s="9">
        <f>'Otemachi Daily'!M25</f>
        <v>170</v>
      </c>
      <c r="P22" s="9">
        <f>'Otemachi Daily'!N25</f>
        <v>347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15248</v>
      </c>
      <c r="F23" s="34">
        <f>[1]見込!$G$3</f>
        <v>28.18</v>
      </c>
      <c r="G23" s="9">
        <f>'Otemachi Daily'!F26</f>
        <v>204.2</v>
      </c>
      <c r="H23" s="34">
        <f>[1]見込!$M$23</f>
        <v>142.32349543256325</v>
      </c>
      <c r="I23" s="9">
        <f>'Otemachi Daily'!H26</f>
        <v>8034.8094000000001</v>
      </c>
      <c r="J23" s="34">
        <v>10.79</v>
      </c>
      <c r="K23" s="9">
        <f>'Otemachi Daily'!J26</f>
        <v>2371.5785999999998</v>
      </c>
      <c r="L23" s="34">
        <v>7.22</v>
      </c>
      <c r="M23" s="9">
        <f>'Otemachi Daily'!L26</f>
        <v>198</v>
      </c>
      <c r="N23" s="34">
        <v>741</v>
      </c>
      <c r="O23" s="9">
        <f>'Otemachi Daily'!M26</f>
        <v>108</v>
      </c>
      <c r="P23" s="9">
        <f>'Otemachi Daily'!N26</f>
        <v>194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14968</v>
      </c>
      <c r="F24" s="34">
        <f>[1]見込!$G$3</f>
        <v>28.18</v>
      </c>
      <c r="G24" s="9">
        <f>'Otemachi Daily'!F27</f>
        <v>204.5</v>
      </c>
      <c r="H24" s="34">
        <f>[1]見込!$M$23</f>
        <v>142.32349543256325</v>
      </c>
      <c r="I24" s="9">
        <f>'Otemachi Daily'!H27</f>
        <v>7813.9583999999995</v>
      </c>
      <c r="J24" s="34">
        <v>10.79</v>
      </c>
      <c r="K24" s="9">
        <f>'Otemachi Daily'!J27</f>
        <v>2021.8283999999999</v>
      </c>
      <c r="L24" s="34">
        <v>7.22</v>
      </c>
      <c r="M24" s="9">
        <f>'Otemachi Daily'!L27</f>
        <v>151</v>
      </c>
      <c r="N24" s="34">
        <v>741</v>
      </c>
      <c r="O24" s="9">
        <f>'Otemachi Daily'!M27</f>
        <v>76</v>
      </c>
      <c r="P24" s="9">
        <f>'Otemachi Daily'!N27</f>
        <v>121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15098</v>
      </c>
      <c r="F25" s="34">
        <f>[1]見込!$G$3</f>
        <v>28.18</v>
      </c>
      <c r="G25" s="9">
        <f>'Otemachi Daily'!F28</f>
        <v>193.7</v>
      </c>
      <c r="H25" s="34">
        <f>[1]見込!$M$23</f>
        <v>142.32349543256325</v>
      </c>
      <c r="I25" s="9">
        <f>'Otemachi Daily'!H28</f>
        <v>10443.3354</v>
      </c>
      <c r="J25" s="34">
        <v>10.79</v>
      </c>
      <c r="K25" s="9">
        <f>'Otemachi Daily'!J28</f>
        <v>1430.1143999999999</v>
      </c>
      <c r="L25" s="34">
        <v>7.22</v>
      </c>
      <c r="M25" s="9">
        <f>'Otemachi Daily'!L28</f>
        <v>133</v>
      </c>
      <c r="N25" s="34">
        <v>741</v>
      </c>
      <c r="O25" s="9">
        <f>'Otemachi Daily'!M28</f>
        <v>91</v>
      </c>
      <c r="P25" s="9">
        <f>'Otemachi Daily'!N28</f>
        <v>137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14464</v>
      </c>
      <c r="F26" s="34">
        <f>[1]見込!$G$3</f>
        <v>28.18</v>
      </c>
      <c r="G26" s="9">
        <f>'Otemachi Daily'!F29</f>
        <v>169.2</v>
      </c>
      <c r="H26" s="34">
        <f>[1]見込!$M$23</f>
        <v>142.32349543256325</v>
      </c>
      <c r="I26" s="9">
        <f>'Otemachi Daily'!H29</f>
        <v>10910.594999999999</v>
      </c>
      <c r="J26" s="34">
        <v>10.79</v>
      </c>
      <c r="K26" s="9">
        <f>'Otemachi Daily'!J29</f>
        <v>1179.261</v>
      </c>
      <c r="L26" s="34">
        <v>7.22</v>
      </c>
      <c r="M26" s="9">
        <f>'Otemachi Daily'!L29</f>
        <v>127</v>
      </c>
      <c r="N26" s="34">
        <v>741</v>
      </c>
      <c r="O26" s="9">
        <f>'Otemachi Daily'!M29</f>
        <v>95</v>
      </c>
      <c r="P26" s="9">
        <f>'Otemachi Daily'!N29</f>
        <v>150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14956</v>
      </c>
      <c r="F27" s="34">
        <f>[1]見込!$G$3</f>
        <v>28.18</v>
      </c>
      <c r="G27" s="9">
        <f>'Otemachi Daily'!F30</f>
        <v>189.3</v>
      </c>
      <c r="H27" s="34">
        <f>[1]見込!$M$23</f>
        <v>142.32349543256325</v>
      </c>
      <c r="I27" s="9">
        <f>'Otemachi Daily'!H30</f>
        <v>10603.626</v>
      </c>
      <c r="J27" s="34">
        <v>10.79</v>
      </c>
      <c r="K27" s="9">
        <f>'Otemachi Daily'!J30</f>
        <v>1372.8876</v>
      </c>
      <c r="L27" s="34">
        <v>7.22</v>
      </c>
      <c r="M27" s="9">
        <f>'Otemachi Daily'!L30</f>
        <v>138</v>
      </c>
      <c r="N27" s="34">
        <v>741</v>
      </c>
      <c r="O27" s="9">
        <f>'Otemachi Daily'!M30</f>
        <v>78</v>
      </c>
      <c r="P27" s="9">
        <f>'Otemachi Daily'!N30</f>
        <v>123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15284</v>
      </c>
      <c r="F28" s="34">
        <f>[1]見込!$G$3</f>
        <v>28.18</v>
      </c>
      <c r="G28" s="9">
        <f>'Otemachi Daily'!F31</f>
        <v>204.4</v>
      </c>
      <c r="H28" s="34">
        <f>[1]見込!$M$23</f>
        <v>142.32349543256325</v>
      </c>
      <c r="I28" s="9">
        <f>'Otemachi Daily'!H31</f>
        <v>12625.454399999999</v>
      </c>
      <c r="J28" s="34">
        <v>10.79</v>
      </c>
      <c r="K28" s="9">
        <f>'Otemachi Daily'!J31</f>
        <v>1465.9505999999999</v>
      </c>
      <c r="L28" s="34">
        <v>7.22</v>
      </c>
      <c r="M28" s="9">
        <f>'Otemachi Daily'!L31</f>
        <v>131</v>
      </c>
      <c r="N28" s="34">
        <v>741</v>
      </c>
      <c r="O28" s="9">
        <f>'Otemachi Daily'!M31</f>
        <v>114</v>
      </c>
      <c r="P28" s="9">
        <f>'Otemachi Daily'!N31</f>
        <v>217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15446</v>
      </c>
      <c r="F29" s="34">
        <f>[1]見込!$G$3</f>
        <v>28.18</v>
      </c>
      <c r="G29" s="9">
        <f>'Otemachi Daily'!F32</f>
        <v>194.4</v>
      </c>
      <c r="H29" s="34">
        <f>[1]見込!$M$23</f>
        <v>142.32349543256325</v>
      </c>
      <c r="I29" s="9">
        <f>'Otemachi Daily'!H32</f>
        <v>11602.316999999999</v>
      </c>
      <c r="J29" s="34">
        <v>10.79</v>
      </c>
      <c r="K29" s="9">
        <f>'Otemachi Daily'!J32</f>
        <v>1141.758</v>
      </c>
      <c r="L29" s="34">
        <v>7.22</v>
      </c>
      <c r="M29" s="9">
        <f>'Otemachi Daily'!L32</f>
        <v>188</v>
      </c>
      <c r="N29" s="34">
        <v>741</v>
      </c>
      <c r="O29" s="9">
        <f>'Otemachi Daily'!M32</f>
        <v>161</v>
      </c>
      <c r="P29" s="9">
        <f>'Otemachi Daily'!N32</f>
        <v>332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15693</v>
      </c>
      <c r="F30" s="34">
        <f>[1]見込!$G$3</f>
        <v>28.18</v>
      </c>
      <c r="G30" s="9">
        <f>'Otemachi Daily'!F33</f>
        <v>197</v>
      </c>
      <c r="H30" s="34">
        <f>[1]見込!$M$23</f>
        <v>142.32349543256325</v>
      </c>
      <c r="I30" s="9">
        <f>'Otemachi Daily'!H33</f>
        <v>11359.242</v>
      </c>
      <c r="J30" s="34">
        <v>10.79</v>
      </c>
      <c r="K30" s="9">
        <f>'Otemachi Daily'!J33</f>
        <v>730.33619999999996</v>
      </c>
      <c r="L30" s="34">
        <v>7.22</v>
      </c>
      <c r="M30" s="9">
        <f>'Otemachi Daily'!L33</f>
        <v>189</v>
      </c>
      <c r="N30" s="34">
        <v>741</v>
      </c>
      <c r="O30" s="9">
        <f>'Otemachi Daily'!M33</f>
        <v>92</v>
      </c>
      <c r="P30" s="9">
        <f>'Otemachi Daily'!N33</f>
        <v>170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15018</v>
      </c>
      <c r="F31" s="34">
        <f>[1]見込!$G$3</f>
        <v>28.18</v>
      </c>
      <c r="G31" s="9">
        <f>'Otemachi Daily'!F34</f>
        <v>173.3</v>
      </c>
      <c r="H31" s="34">
        <f>[1]見込!$M$23</f>
        <v>142.32349543256325</v>
      </c>
      <c r="I31" s="9">
        <f>'Otemachi Daily'!H34</f>
        <v>8569.0187999999998</v>
      </c>
      <c r="J31" s="34">
        <v>10.79</v>
      </c>
      <c r="K31" s="9">
        <f>'Otemachi Daily'!J34</f>
        <v>1168.7046</v>
      </c>
      <c r="L31" s="34">
        <v>7.22</v>
      </c>
      <c r="M31" s="9">
        <f>'Otemachi Daily'!L34</f>
        <v>156</v>
      </c>
      <c r="N31" s="34">
        <v>741</v>
      </c>
      <c r="O31" s="9">
        <f>'Otemachi Daily'!M34</f>
        <v>63</v>
      </c>
      <c r="P31" s="9">
        <f>'Otemachi Daily'!N34</f>
        <v>108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14882</v>
      </c>
      <c r="F32" s="34">
        <f>[1]見込!$G$3</f>
        <v>28.18</v>
      </c>
      <c r="G32" s="9">
        <f>'Otemachi Daily'!F35</f>
        <v>181.2</v>
      </c>
      <c r="H32" s="34">
        <f>[1]見込!$M$23</f>
        <v>142.32349543256325</v>
      </c>
      <c r="I32" s="9">
        <f>'Otemachi Daily'!H35</f>
        <v>5851.5792000000001</v>
      </c>
      <c r="J32" s="34">
        <v>10.79</v>
      </c>
      <c r="K32" s="9">
        <f>'Otemachi Daily'!J35</f>
        <v>1587.0714</v>
      </c>
      <c r="L32" s="34">
        <v>7.22</v>
      </c>
      <c r="M32" s="9">
        <f>'Otemachi Daily'!L35</f>
        <v>129</v>
      </c>
      <c r="N32" s="34">
        <v>741</v>
      </c>
      <c r="O32" s="9">
        <f>'Otemachi Daily'!M35</f>
        <v>55</v>
      </c>
      <c r="P32" s="9">
        <f>'Otemachi Daily'!N35</f>
        <v>92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14360</v>
      </c>
      <c r="D16" s="35">
        <f t="shared" si="0"/>
        <v>14360</v>
      </c>
      <c r="E16" s="35">
        <f>[1]コスト!$R$23</f>
        <v>189.1</v>
      </c>
      <c r="F16" s="35">
        <f t="shared" si="0"/>
        <v>189.1</v>
      </c>
      <c r="G16" s="35">
        <f>[1]コスト!$R$115</f>
        <v>7748.9531999999999</v>
      </c>
      <c r="H16" s="35">
        <f t="shared" ref="H16" si="31">G16</f>
        <v>7748.9531999999999</v>
      </c>
      <c r="I16" s="35">
        <f>[1]コスト!$R$91</f>
        <v>1680.4122</v>
      </c>
      <c r="J16" s="35">
        <f t="shared" ref="J16" si="32">I16</f>
        <v>1680.4122</v>
      </c>
      <c r="K16" s="35">
        <f>[1]コスト!$R$41</f>
        <v>137</v>
      </c>
      <c r="L16" s="35">
        <f t="shared" ref="L16" si="33">K16</f>
        <v>137</v>
      </c>
      <c r="M16" s="35">
        <f>[1]使用量!$R$387</f>
        <v>60</v>
      </c>
      <c r="N16" s="35">
        <f>[1]使用量!$R$388</f>
        <v>98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15022</v>
      </c>
      <c r="D17" s="35">
        <f t="shared" si="0"/>
        <v>15022</v>
      </c>
      <c r="E17" s="35">
        <f>[1]コスト!$S$23</f>
        <v>206.6</v>
      </c>
      <c r="F17" s="35">
        <f t="shared" si="0"/>
        <v>206.6</v>
      </c>
      <c r="G17" s="35">
        <f>[1]コスト!$S$115</f>
        <v>9823.2857999999997</v>
      </c>
      <c r="H17" s="35">
        <f t="shared" ref="H17" si="34">G17</f>
        <v>9823.2857999999997</v>
      </c>
      <c r="I17" s="35">
        <f>[1]コスト!$S$91</f>
        <v>1878.2058</v>
      </c>
      <c r="J17" s="35">
        <f t="shared" ref="J17" si="35">I17</f>
        <v>1878.2058</v>
      </c>
      <c r="K17" s="35">
        <f>[1]コスト!$S$41</f>
        <v>129</v>
      </c>
      <c r="L17" s="35">
        <f t="shared" ref="L17" si="36">K17</f>
        <v>129</v>
      </c>
      <c r="M17" s="35">
        <f>[1]使用量!$S$387</f>
        <v>69</v>
      </c>
      <c r="N17" s="35">
        <f>[1]使用量!$S$388</f>
        <v>119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15716</v>
      </c>
      <c r="D18" s="35">
        <f t="shared" si="0"/>
        <v>15716</v>
      </c>
      <c r="E18" s="35">
        <f>[1]コスト!$T$23</f>
        <v>205.9</v>
      </c>
      <c r="F18" s="35">
        <f t="shared" si="0"/>
        <v>205.9</v>
      </c>
      <c r="G18" s="35">
        <f>[1]コスト!$T$115</f>
        <v>16227.1314</v>
      </c>
      <c r="H18" s="35">
        <f t="shared" ref="H18" si="37">G18</f>
        <v>16227.1314</v>
      </c>
      <c r="I18" s="35">
        <f>[1]コスト!$T$91</f>
        <v>1629.0192</v>
      </c>
      <c r="J18" s="35">
        <f t="shared" ref="J18" si="38">I18</f>
        <v>1629.0192</v>
      </c>
      <c r="K18" s="35">
        <f>[1]コスト!$T$41</f>
        <v>169</v>
      </c>
      <c r="L18" s="35">
        <f t="shared" ref="L18" si="39">K18</f>
        <v>169</v>
      </c>
      <c r="M18" s="35">
        <f>[1]使用量!$T$387</f>
        <v>138</v>
      </c>
      <c r="N18" s="35">
        <f>[1]使用量!$T$388</f>
        <v>263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15031</v>
      </c>
      <c r="D19" s="35">
        <f t="shared" si="0"/>
        <v>15031</v>
      </c>
      <c r="E19" s="35">
        <f>[1]コスト!$U$23</f>
        <v>202.1</v>
      </c>
      <c r="F19" s="35">
        <f t="shared" si="0"/>
        <v>202.1</v>
      </c>
      <c r="G19" s="35">
        <f>[1]コスト!$U$115</f>
        <v>5245.1417999999994</v>
      </c>
      <c r="H19" s="35">
        <f t="shared" ref="H19" si="40">G19</f>
        <v>5245.1417999999994</v>
      </c>
      <c r="I19" s="35">
        <f>[1]コスト!$U$91</f>
        <v>2791.6122</v>
      </c>
      <c r="J19" s="35">
        <f t="shared" ref="J19" si="41">I19</f>
        <v>2791.6122</v>
      </c>
      <c r="K19" s="35">
        <f>[1]コスト!$U$41</f>
        <v>187</v>
      </c>
      <c r="L19" s="35">
        <f t="shared" ref="L19" si="42">K19</f>
        <v>187</v>
      </c>
      <c r="M19" s="35">
        <f>[1]使用量!$U$387</f>
        <v>78</v>
      </c>
      <c r="N19" s="35">
        <f>[1]使用量!$U$388</f>
        <v>126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14399</v>
      </c>
      <c r="D20" s="35">
        <f t="shared" si="0"/>
        <v>14399</v>
      </c>
      <c r="E20" s="35">
        <f>[1]コスト!$V$23</f>
        <v>197</v>
      </c>
      <c r="F20" s="35">
        <f t="shared" si="0"/>
        <v>197</v>
      </c>
      <c r="G20" s="35">
        <f>[1]コスト!$V$115</f>
        <v>3089.4137999999998</v>
      </c>
      <c r="H20" s="35">
        <f t="shared" ref="H20" si="43">G20</f>
        <v>3089.4137999999998</v>
      </c>
      <c r="I20" s="35">
        <f>[1]コスト!$V$91</f>
        <v>4515.9168</v>
      </c>
      <c r="J20" s="35">
        <f t="shared" ref="J20" si="44">I20</f>
        <v>4515.9168</v>
      </c>
      <c r="K20" s="35">
        <f>[1]コスト!$V$41</f>
        <v>138</v>
      </c>
      <c r="L20" s="35">
        <f t="shared" ref="L20" si="45">K20</f>
        <v>138</v>
      </c>
      <c r="M20" s="35">
        <f>[1]使用量!$V$387</f>
        <v>74</v>
      </c>
      <c r="N20" s="35">
        <f>[1]使用量!$V$388</f>
        <v>114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14764</v>
      </c>
      <c r="D21" s="35">
        <f t="shared" si="0"/>
        <v>14764</v>
      </c>
      <c r="E21" s="35">
        <f>[1]コスト!$W$23</f>
        <v>195.6</v>
      </c>
      <c r="F21" s="35">
        <f t="shared" si="0"/>
        <v>195.6</v>
      </c>
      <c r="G21" s="35">
        <f>[1]コスト!$W$115</f>
        <v>3343.3229999999999</v>
      </c>
      <c r="H21" s="35">
        <f t="shared" ref="H21" si="46">G21</f>
        <v>3343.3229999999999</v>
      </c>
      <c r="I21" s="35">
        <f>[1]コスト!$W$91</f>
        <v>2621.5985999999998</v>
      </c>
      <c r="J21" s="35">
        <f t="shared" ref="J21" si="47">I21</f>
        <v>2621.5985999999998</v>
      </c>
      <c r="K21" s="35">
        <f>[1]コスト!$W$41</f>
        <v>136</v>
      </c>
      <c r="L21" s="35">
        <f t="shared" ref="L21" si="48">K21</f>
        <v>136</v>
      </c>
      <c r="M21" s="35">
        <f>[1]使用量!$W$387</f>
        <v>81</v>
      </c>
      <c r="N21" s="35">
        <f>[1]使用量!$W$388</f>
        <v>127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14695</v>
      </c>
      <c r="D22" s="35">
        <f t="shared" si="0"/>
        <v>14695</v>
      </c>
      <c r="E22" s="35">
        <f>[1]コスト!$X$23</f>
        <v>167.6</v>
      </c>
      <c r="F22" s="35">
        <f t="shared" si="0"/>
        <v>167.6</v>
      </c>
      <c r="G22" s="35">
        <f>[1]コスト!$X$115</f>
        <v>7691.4485999999997</v>
      </c>
      <c r="H22" s="35">
        <f t="shared" ref="H22" si="49">G22</f>
        <v>7691.4485999999997</v>
      </c>
      <c r="I22" s="35">
        <f>[1]コスト!$X$91</f>
        <v>1640.6867999999999</v>
      </c>
      <c r="J22" s="35">
        <f t="shared" ref="J22" si="50">I22</f>
        <v>1640.6867999999999</v>
      </c>
      <c r="K22" s="35">
        <f>[1]コスト!$X$41</f>
        <v>116</v>
      </c>
      <c r="L22" s="35">
        <f t="shared" ref="L22" si="51">K22</f>
        <v>116</v>
      </c>
      <c r="M22" s="35">
        <f>[1]使用量!$X$387</f>
        <v>86</v>
      </c>
      <c r="N22" s="35">
        <f>[1]使用量!$X$388</f>
        <v>129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14533</v>
      </c>
      <c r="D23" s="35">
        <f t="shared" si="0"/>
        <v>14533</v>
      </c>
      <c r="E23" s="35">
        <f>[1]コスト!$Y$23</f>
        <v>212.5</v>
      </c>
      <c r="F23" s="35">
        <f t="shared" si="0"/>
        <v>212.5</v>
      </c>
      <c r="G23" s="35">
        <f>[1]コスト!$Y$115</f>
        <v>7978.4160000000002</v>
      </c>
      <c r="H23" s="35">
        <f t="shared" ref="H23" si="52">G23</f>
        <v>7978.4160000000002</v>
      </c>
      <c r="I23" s="35">
        <f>[1]コスト!$Y$91</f>
        <v>1472.8956000000001</v>
      </c>
      <c r="J23" s="35">
        <f t="shared" ref="J23" si="53">I23</f>
        <v>1472.8956000000001</v>
      </c>
      <c r="K23" s="35">
        <f>[1]コスト!$Y$41</f>
        <v>135</v>
      </c>
      <c r="L23" s="35">
        <f t="shared" ref="L23" si="54">K23</f>
        <v>135</v>
      </c>
      <c r="M23" s="35">
        <f>[1]使用量!$Y$387</f>
        <v>87</v>
      </c>
      <c r="N23" s="35">
        <f>[1]使用量!$Y$388</f>
        <v>127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15031</v>
      </c>
      <c r="D24" s="35">
        <f t="shared" si="0"/>
        <v>15031</v>
      </c>
      <c r="E24" s="35">
        <f>[1]コスト!$Z$23</f>
        <v>213</v>
      </c>
      <c r="F24" s="35">
        <f t="shared" si="0"/>
        <v>213</v>
      </c>
      <c r="G24" s="35">
        <f>[1]コスト!$Z$115</f>
        <v>10328.0484</v>
      </c>
      <c r="H24" s="35">
        <f t="shared" ref="H24" si="55">G24</f>
        <v>10328.0484</v>
      </c>
      <c r="I24" s="35">
        <f>[1]コスト!$Z$91</f>
        <v>1333.44</v>
      </c>
      <c r="J24" s="35">
        <f t="shared" ref="J24" si="56">I24</f>
        <v>1333.44</v>
      </c>
      <c r="K24" s="35">
        <f>[1]コスト!$Z$41</f>
        <v>135</v>
      </c>
      <c r="L24" s="35">
        <f t="shared" ref="L24" si="57">K24</f>
        <v>135</v>
      </c>
      <c r="M24" s="35">
        <f>[1]使用量!$Z$387</f>
        <v>117</v>
      </c>
      <c r="N24" s="35">
        <f>[1]使用量!$Z$388</f>
        <v>220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15475</v>
      </c>
      <c r="D25" s="35">
        <f t="shared" si="0"/>
        <v>15475</v>
      </c>
      <c r="E25" s="35">
        <f>[1]コスト!$AA$23</f>
        <v>219.1</v>
      </c>
      <c r="F25" s="35">
        <f t="shared" si="0"/>
        <v>219.1</v>
      </c>
      <c r="G25" s="35">
        <f>[1]コスト!$AA$115</f>
        <v>7475.0423999999994</v>
      </c>
      <c r="H25" s="35">
        <f t="shared" ref="H25" si="58">G25</f>
        <v>7475.0423999999994</v>
      </c>
      <c r="I25" s="35">
        <f>[1]コスト!$AA$91</f>
        <v>2247.402</v>
      </c>
      <c r="J25" s="35">
        <f t="shared" ref="J25" si="59">I25</f>
        <v>2247.402</v>
      </c>
      <c r="K25" s="35">
        <f>[1]コスト!$AA$41</f>
        <v>198</v>
      </c>
      <c r="L25" s="35">
        <f t="shared" ref="L25" si="60">K25</f>
        <v>198</v>
      </c>
      <c r="M25" s="35">
        <f>[1]使用量!$AA$387</f>
        <v>170</v>
      </c>
      <c r="N25" s="35">
        <f>[1]使用量!$AA$388</f>
        <v>347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15248</v>
      </c>
      <c r="D26" s="35">
        <f t="shared" si="0"/>
        <v>15248</v>
      </c>
      <c r="E26" s="35">
        <f>[1]コスト!$AB$23</f>
        <v>204.2</v>
      </c>
      <c r="F26" s="35">
        <f t="shared" si="0"/>
        <v>204.2</v>
      </c>
      <c r="G26" s="35">
        <f>[1]コスト!$AB$115</f>
        <v>8034.8094000000001</v>
      </c>
      <c r="H26" s="35">
        <f t="shared" ref="H26" si="61">G26</f>
        <v>8034.8094000000001</v>
      </c>
      <c r="I26" s="35">
        <f>[1]コスト!$AB$91</f>
        <v>2371.5785999999998</v>
      </c>
      <c r="J26" s="35">
        <f t="shared" ref="J26" si="62">I26</f>
        <v>2371.5785999999998</v>
      </c>
      <c r="K26" s="35">
        <f>[1]コスト!$AB$41</f>
        <v>198</v>
      </c>
      <c r="L26" s="35">
        <f t="shared" ref="L26" si="63">K26</f>
        <v>198</v>
      </c>
      <c r="M26" s="35">
        <f>[1]使用量!$AB$387</f>
        <v>108</v>
      </c>
      <c r="N26" s="35">
        <f>[1]使用量!$AB$388</f>
        <v>194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14968</v>
      </c>
      <c r="D27" s="35">
        <f t="shared" si="0"/>
        <v>14968</v>
      </c>
      <c r="E27" s="35">
        <f>[1]コスト!$AC$23</f>
        <v>204.5</v>
      </c>
      <c r="F27" s="35">
        <f t="shared" si="0"/>
        <v>204.5</v>
      </c>
      <c r="G27" s="35">
        <f>[1]コスト!$AC$115</f>
        <v>7813.9583999999995</v>
      </c>
      <c r="H27" s="35">
        <f t="shared" ref="H27" si="64">G27</f>
        <v>7813.9583999999995</v>
      </c>
      <c r="I27" s="35">
        <f>[1]コスト!$AC$91</f>
        <v>2021.8283999999999</v>
      </c>
      <c r="J27" s="35">
        <f t="shared" ref="J27" si="65">I27</f>
        <v>2021.8283999999999</v>
      </c>
      <c r="K27" s="35">
        <f>[1]コスト!$AC$41</f>
        <v>151</v>
      </c>
      <c r="L27" s="35">
        <f t="shared" ref="L27" si="66">K27</f>
        <v>151</v>
      </c>
      <c r="M27" s="35">
        <f>[1]使用量!$AC$387</f>
        <v>76</v>
      </c>
      <c r="N27" s="35">
        <f>[1]使用量!$AC$388</f>
        <v>121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15098</v>
      </c>
      <c r="D28" s="35">
        <f t="shared" si="0"/>
        <v>15098</v>
      </c>
      <c r="E28" s="35">
        <f>[1]コスト!$AD$23</f>
        <v>193.7</v>
      </c>
      <c r="F28" s="35">
        <f t="shared" si="0"/>
        <v>193.7</v>
      </c>
      <c r="G28" s="35">
        <f>[1]コスト!$AD$115</f>
        <v>10443.3354</v>
      </c>
      <c r="H28" s="35">
        <f t="shared" ref="H28" si="67">G28</f>
        <v>10443.3354</v>
      </c>
      <c r="I28" s="35">
        <f>[1]コスト!$AD$91</f>
        <v>1430.1143999999999</v>
      </c>
      <c r="J28" s="35">
        <f t="shared" ref="J28" si="68">I28</f>
        <v>1430.1143999999999</v>
      </c>
      <c r="K28" s="35">
        <f>[1]コスト!$AD$41</f>
        <v>133</v>
      </c>
      <c r="L28" s="35">
        <f t="shared" ref="L28" si="69">K28</f>
        <v>133</v>
      </c>
      <c r="M28" s="35">
        <f>[1]使用量!$AD$387</f>
        <v>91</v>
      </c>
      <c r="N28" s="35">
        <f>[1]使用量!$AD$388</f>
        <v>137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14464</v>
      </c>
      <c r="D29" s="35">
        <f t="shared" si="0"/>
        <v>14464</v>
      </c>
      <c r="E29" s="35">
        <f>[1]コスト!$AE$23</f>
        <v>169.2</v>
      </c>
      <c r="F29" s="35">
        <f t="shared" si="0"/>
        <v>169.2</v>
      </c>
      <c r="G29" s="35">
        <f>[1]コスト!$AE$115</f>
        <v>10910.594999999999</v>
      </c>
      <c r="H29" s="35">
        <f t="shared" ref="H29" si="70">G29</f>
        <v>10910.594999999999</v>
      </c>
      <c r="I29" s="35">
        <f>[1]コスト!$AE$91</f>
        <v>1179.261</v>
      </c>
      <c r="J29" s="35">
        <f t="shared" ref="J29" si="71">I29</f>
        <v>1179.261</v>
      </c>
      <c r="K29" s="35">
        <f>[1]コスト!$AE$41</f>
        <v>127</v>
      </c>
      <c r="L29" s="35">
        <f t="shared" ref="L29" si="72">K29</f>
        <v>127</v>
      </c>
      <c r="M29" s="35">
        <f>[1]使用量!$AE$387</f>
        <v>95</v>
      </c>
      <c r="N29" s="35">
        <f>[1]使用量!$AE$388</f>
        <v>150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14956</v>
      </c>
      <c r="D30" s="35">
        <f t="shared" si="0"/>
        <v>14956</v>
      </c>
      <c r="E30" s="35">
        <f>[1]コスト!$AF$23</f>
        <v>189.3</v>
      </c>
      <c r="F30" s="35">
        <f t="shared" si="0"/>
        <v>189.3</v>
      </c>
      <c r="G30" s="35">
        <f>[1]コスト!$AF$115</f>
        <v>10603.626</v>
      </c>
      <c r="H30" s="35">
        <f t="shared" ref="H30" si="73">G30</f>
        <v>10603.626</v>
      </c>
      <c r="I30" s="35">
        <f>[1]コスト!$AF$91</f>
        <v>1372.8876</v>
      </c>
      <c r="J30" s="35">
        <f t="shared" ref="J30" si="74">I30</f>
        <v>1372.8876</v>
      </c>
      <c r="K30" s="35">
        <f>[1]コスト!$AF$41</f>
        <v>138</v>
      </c>
      <c r="L30" s="35">
        <f t="shared" ref="L30" si="75">K30</f>
        <v>138</v>
      </c>
      <c r="M30" s="35">
        <f>[1]使用量!$AF$387</f>
        <v>78</v>
      </c>
      <c r="N30" s="35">
        <f>[1]使用量!$AF$388</f>
        <v>123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15284</v>
      </c>
      <c r="D31" s="35">
        <f t="shared" si="0"/>
        <v>15284</v>
      </c>
      <c r="E31" s="35">
        <f>[1]コスト!$AG$23</f>
        <v>204.4</v>
      </c>
      <c r="F31" s="35">
        <f t="shared" si="0"/>
        <v>204.4</v>
      </c>
      <c r="G31" s="35">
        <f>[1]コスト!$AG$115</f>
        <v>12625.454399999999</v>
      </c>
      <c r="H31" s="35">
        <f t="shared" ref="H31" si="76">G31</f>
        <v>12625.454399999999</v>
      </c>
      <c r="I31" s="35">
        <f>[1]コスト!$AG$91</f>
        <v>1465.9505999999999</v>
      </c>
      <c r="J31" s="35">
        <f t="shared" ref="J31" si="77">I31</f>
        <v>1465.9505999999999</v>
      </c>
      <c r="K31" s="35">
        <f>[1]コスト!$AG$41</f>
        <v>131</v>
      </c>
      <c r="L31" s="35">
        <f t="shared" ref="L31" si="78">K31</f>
        <v>131</v>
      </c>
      <c r="M31" s="35">
        <f>[1]使用量!$AG$387</f>
        <v>114</v>
      </c>
      <c r="N31" s="35">
        <f>[1]使用量!$AG$388</f>
        <v>217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15446</v>
      </c>
      <c r="D32" s="35">
        <f t="shared" si="0"/>
        <v>15446</v>
      </c>
      <c r="E32" s="35">
        <f>[1]コスト!$AH$23</f>
        <v>194.4</v>
      </c>
      <c r="F32" s="35">
        <f t="shared" si="0"/>
        <v>194.4</v>
      </c>
      <c r="G32" s="35">
        <f>[1]コスト!$AH$115</f>
        <v>11602.316999999999</v>
      </c>
      <c r="H32" s="35">
        <f t="shared" ref="H32" si="79">G32</f>
        <v>11602.316999999999</v>
      </c>
      <c r="I32" s="35">
        <f>[1]コスト!$AH$91</f>
        <v>1141.758</v>
      </c>
      <c r="J32" s="35">
        <f t="shared" ref="J32" si="80">I32</f>
        <v>1141.758</v>
      </c>
      <c r="K32" s="35">
        <f>[1]コスト!$AH$41</f>
        <v>188</v>
      </c>
      <c r="L32" s="35">
        <f t="shared" ref="L32" si="81">K32</f>
        <v>188</v>
      </c>
      <c r="M32" s="35">
        <f>[1]使用量!$AH$387</f>
        <v>161</v>
      </c>
      <c r="N32" s="35">
        <f>[1]使用量!$AH$388</f>
        <v>332</v>
      </c>
      <c r="P32" s="37"/>
      <c r="Q32" s="37"/>
    </row>
    <row r="33" spans="1:17" ht="36" customHeight="1">
      <c r="A33" s="28">
        <v>44710</v>
      </c>
      <c r="C33" s="35">
        <f>[1]コスト!$AI$147</f>
        <v>15693</v>
      </c>
      <c r="D33" s="35">
        <f t="shared" si="0"/>
        <v>15693</v>
      </c>
      <c r="E33" s="35">
        <f>[1]コスト!$AI$23</f>
        <v>197</v>
      </c>
      <c r="F33" s="35">
        <f t="shared" si="0"/>
        <v>197</v>
      </c>
      <c r="G33" s="35">
        <f>[1]コスト!$AI$115</f>
        <v>11359.242</v>
      </c>
      <c r="H33" s="35">
        <f t="shared" ref="H33" si="82">G33</f>
        <v>11359.242</v>
      </c>
      <c r="I33" s="35">
        <f>[1]コスト!$AI$91</f>
        <v>730.33619999999996</v>
      </c>
      <c r="J33" s="35">
        <f t="shared" ref="J33" si="83">I33</f>
        <v>730.33619999999996</v>
      </c>
      <c r="K33" s="35">
        <f>[1]コスト!$AI$41</f>
        <v>189</v>
      </c>
      <c r="L33" s="35">
        <f t="shared" ref="L33" si="84">K33</f>
        <v>189</v>
      </c>
      <c r="M33" s="35">
        <f>[1]使用量!$AI$387</f>
        <v>92</v>
      </c>
      <c r="N33" s="35">
        <f>[1]使用量!$AI$388</f>
        <v>170</v>
      </c>
      <c r="P33" s="37"/>
      <c r="Q33" s="37"/>
    </row>
    <row r="34" spans="1:17" ht="45.6" customHeight="1">
      <c r="A34" s="28">
        <v>44711</v>
      </c>
      <c r="C34" s="35">
        <f>[1]コスト!$AJ$147</f>
        <v>15018</v>
      </c>
      <c r="D34" s="35">
        <f t="shared" si="0"/>
        <v>15018</v>
      </c>
      <c r="E34" s="35">
        <f>[1]コスト!$AJ$23</f>
        <v>173.3</v>
      </c>
      <c r="F34" s="35">
        <f t="shared" si="0"/>
        <v>173.3</v>
      </c>
      <c r="G34" s="35">
        <f>[1]コスト!$AJ$115</f>
        <v>8569.0187999999998</v>
      </c>
      <c r="H34" s="35">
        <f t="shared" ref="H34" si="85">G34</f>
        <v>8569.0187999999998</v>
      </c>
      <c r="I34" s="35">
        <f>[1]コスト!$AJ$91</f>
        <v>1168.7046</v>
      </c>
      <c r="J34" s="35">
        <f t="shared" ref="J34" si="86">I34</f>
        <v>1168.7046</v>
      </c>
      <c r="K34" s="35">
        <f>[1]コスト!$AJ$41</f>
        <v>156</v>
      </c>
      <c r="L34" s="35">
        <f t="shared" ref="L34" si="87">K34</f>
        <v>156</v>
      </c>
      <c r="M34" s="35">
        <f>[1]使用量!$AJ$387</f>
        <v>63</v>
      </c>
      <c r="N34" s="35">
        <f>[1]使用量!$AJ$388</f>
        <v>108</v>
      </c>
      <c r="P34" s="37"/>
      <c r="Q34" s="37"/>
    </row>
    <row r="35" spans="1:17" ht="47.45" customHeight="1">
      <c r="A35" s="28">
        <v>44712</v>
      </c>
      <c r="C35" s="35">
        <f>[1]コスト!$AK$147</f>
        <v>14882</v>
      </c>
      <c r="D35" s="35">
        <f t="shared" si="0"/>
        <v>14882</v>
      </c>
      <c r="E35" s="35">
        <f>[1]コスト!$AK$23</f>
        <v>181.2</v>
      </c>
      <c r="F35" s="35">
        <f t="shared" si="0"/>
        <v>181.2</v>
      </c>
      <c r="G35" s="35">
        <f>[1]コスト!$AK$115</f>
        <v>5851.5792000000001</v>
      </c>
      <c r="H35" s="35">
        <f t="shared" ref="H35" si="88">G35</f>
        <v>5851.5792000000001</v>
      </c>
      <c r="I35" s="35">
        <f>[1]コスト!$AK$91</f>
        <v>1587.0714</v>
      </c>
      <c r="J35" s="35">
        <f t="shared" ref="J35" si="89">I35</f>
        <v>1587.0714</v>
      </c>
      <c r="K35" s="35">
        <f>[1]コスト!$AK$41</f>
        <v>129</v>
      </c>
      <c r="L35" s="35">
        <f t="shared" ref="L35" si="90">K35</f>
        <v>129</v>
      </c>
      <c r="M35" s="35">
        <f>[1]使用量!$AK$387</f>
        <v>55</v>
      </c>
      <c r="N35" s="35">
        <f>[1]使用量!$AK$388</f>
        <v>92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2022-06-03T00:35:07Z</dcterms:modified>
</cp:coreProperties>
</file>