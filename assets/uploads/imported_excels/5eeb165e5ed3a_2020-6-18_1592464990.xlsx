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D16" i="7" l="1"/>
  <c r="CD17" i="7"/>
  <c r="CD18" i="7"/>
  <c r="CD19" i="7"/>
  <c r="CD20" i="7"/>
  <c r="CD21" i="7"/>
  <c r="CD22" i="7"/>
  <c r="CD23" i="7"/>
  <c r="CD24" i="7"/>
  <c r="E3" i="3" l="1"/>
  <c r="E4" i="3"/>
  <c r="E5" i="3"/>
  <c r="E6" i="3"/>
  <c r="E7" i="3"/>
  <c r="E8" i="3"/>
  <c r="E9" i="3"/>
  <c r="E10" i="3"/>
  <c r="E11" i="3"/>
  <c r="E12" i="3"/>
  <c r="E13" i="3"/>
  <c r="E14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E19" i="3" s="1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18" i="3" l="1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<sst xmlns="http://schemas.openxmlformats.org/spreadsheetml/2006/main" count="296" uniqueCount="138">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</sst>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" sqref="E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3459.9999999998513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4029.9999999997335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26.4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599.99999999993395</v>
      </c>
      <c r="F17" s="33">
        <f>'FS Desroches Daily'!F19</f>
        <v>500.00000000016701</v>
      </c>
      <c r="G17" s="32">
        <f>'FS Desroches Daily'!H19</f>
        <v>1599.9999999998238</v>
      </c>
      <c r="H17" s="33">
        <f>'FS Desroches Daily'!J19</f>
        <v>799.99999999991189</v>
      </c>
      <c r="I17" s="32">
        <f>'FS Desroches Daily'!L19</f>
        <v>1800.0000000000239</v>
      </c>
      <c r="J17" s="33">
        <f>'FS Desroches Daily'!N19</f>
        <v>399.99999999995595</v>
      </c>
      <c r="K17" s="13">
        <f>'FS Desroches Daily'!P19</f>
        <v>1</v>
      </c>
      <c r="L17" s="32">
        <f>'FS Desroches Daily'!R19</f>
        <v>3</v>
      </c>
      <c r="M17" s="32">
        <f>'FS Desroches Daily'!T19</f>
        <v>209</v>
      </c>
      <c r="N17" s="32">
        <f>'FS Desroches Daily'!V19</f>
        <v>91</v>
      </c>
      <c r="O17" s="32">
        <f>'FS Desroches Daily'!X19</f>
        <v>60.000000000002274</v>
      </c>
      <c r="P17" s="32">
        <f>'FS Desroches Daily'!Z19</f>
        <v>299.99999999974489</v>
      </c>
      <c r="Q17" s="32">
        <f>'FS Desroches Daily'!AB19</f>
        <v>50.000000000011369</v>
      </c>
      <c r="R17" s="32">
        <f>'FS Desroches Daily'!AD19</f>
        <v>99.999999999965894</v>
      </c>
      <c r="S17" s="32">
        <f>'FS Desroches Daily'!AF19</f>
        <v>169.99999999995907</v>
      </c>
      <c r="T17" s="32">
        <f>'FS Desroches Daily'!AH19</f>
        <v>1.2000000000000455</v>
      </c>
      <c r="U17" s="36">
        <f>'FS Desroches Daily'!AJ19</f>
        <v>189.99999999999773</v>
      </c>
      <c r="V17" s="36">
        <f>'FS Desroches Daily'!AL19</f>
        <v>4.0000000000020464E-2</v>
      </c>
      <c r="W17" s="36">
        <f>'FS Desroches Daily'!AN19</f>
        <v>4.9999999999982947E-2</v>
      </c>
      <c r="X17" s="36">
        <f>'FS Desroches Daily'!AP19</f>
        <v>3.0000000000001137E-2</v>
      </c>
      <c r="Y17" s="36">
        <f>'FS Desroches Daily'!AR19</f>
        <v>39.999999999992042</v>
      </c>
      <c r="Z17" s="36">
        <f>'FS Desroches Daily'!AU20</f>
        <v>265.75</v>
      </c>
      <c r="AA17" s="36">
        <f>'FS Desroches Daily'!AU20</f>
        <v>265.75</v>
      </c>
      <c r="AB17" s="36">
        <f>'FS Desroches Daily'!AV19</f>
        <v>19.99999999998181</v>
      </c>
      <c r="AC17" s="36">
        <f>'FS Desroches Daily'!AZ19</f>
        <v>19.99999999998181</v>
      </c>
      <c r="AD17" s="36">
        <f>'FS Desroches Daily'!BB19</f>
        <v>19.99999999998181</v>
      </c>
      <c r="AE17" s="36">
        <f>'FS Desroches Daily'!BD19</f>
        <v>10.000000000019327</v>
      </c>
      <c r="AF17" s="32">
        <f>'FS Desroches Daily'!BF19</f>
        <v>25</v>
      </c>
      <c r="AG17" s="33">
        <f>'FS Desroches Daily'!BH19</f>
        <v>20.000000000010232</v>
      </c>
      <c r="AH17" s="33">
        <f>'FS Desroches Daily'!BJ19</f>
        <v>19.99999999998181</v>
      </c>
      <c r="AI17" s="33">
        <f>'FS Desroches Daily'!BL19</f>
        <v>20.000000000010232</v>
      </c>
      <c r="AJ17" s="33">
        <f>'FS Desroches Daily'!BN19</f>
        <v>9.9999999999909051</v>
      </c>
      <c r="AK17" s="33">
        <f>'FS Desroches Daily'!BP19</f>
        <v>30.000000000029559</v>
      </c>
      <c r="AL17" s="33">
        <f>'FS Desroches Daily'!BR19</f>
        <v>6</v>
      </c>
      <c r="AM17" s="33">
        <f>'FS Desroches Daily'!BT19</f>
        <v>19.99999999998181</v>
      </c>
      <c r="AN17" s="33">
        <f>'FS Desroches Daily'!BV19</f>
        <v>13</v>
      </c>
      <c r="AO17" s="33">
        <f>'FS Desroches Daily'!BX19</f>
        <v>20.000000000010232</v>
      </c>
      <c r="AP17" s="33">
        <f>'FS Desroches Daily'!BZ19</f>
        <v>14</v>
      </c>
      <c r="AQ17" s="32">
        <f>'FS Desroches Daily'!CB19</f>
        <v>0.2000000000007276</v>
      </c>
      <c r="AR17" s="32">
        <f>'FS Desroches Daily'!CD19</f>
        <v>0.1000000000003638</v>
      </c>
      <c r="AS17" s="32">
        <f>'FS Desroches Daily'!CF19</f>
        <v>0</v>
      </c>
      <c r="AT17" s="32">
        <f>'FS Desroches Daily'!CH19</f>
        <v>70.899999999994179</v>
      </c>
      <c r="AU17" s="32">
        <f>'FS Desroches Daily'!CJ19</f>
        <v>202</v>
      </c>
      <c r="AV17" s="32">
        <f>'FS Desroches Daily'!CL19</f>
        <v>439.99999999994088</v>
      </c>
      <c r="AW17" s="32">
        <f>'FS Desroches Daily'!CM19</f>
        <v>25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799.99999999991189</v>
      </c>
      <c r="F18" s="33">
        <f>'FS Desroches Daily'!F20</f>
        <v>599.99999999993395</v>
      </c>
      <c r="G18" s="32">
        <f>'FS Desroches Daily'!H20</f>
        <v>1599.9999999998238</v>
      </c>
      <c r="H18" s="33">
        <f>'FS Desroches Daily'!J20</f>
        <v>1000.0000000001119</v>
      </c>
      <c r="I18" s="32">
        <f>'FS Desroches Daily'!L20</f>
        <v>1800.0000000000239</v>
      </c>
      <c r="J18" s="33">
        <f>'FS Desroches Daily'!N20</f>
        <v>399.99999999995595</v>
      </c>
      <c r="K18" s="13">
        <f>'FS Desroches Daily'!P20</f>
        <v>1</v>
      </c>
      <c r="L18" s="32">
        <f>'FS Desroches Daily'!R20</f>
        <v>3</v>
      </c>
      <c r="M18" s="32">
        <f>'FS Desroches Daily'!T20</f>
        <v>116</v>
      </c>
      <c r="N18" s="32">
        <f>'FS Desroches Daily'!V20</f>
        <v>51</v>
      </c>
      <c r="O18" s="32">
        <f>'FS Desroches Daily'!X20</f>
        <v>69.999999999993179</v>
      </c>
      <c r="P18" s="32">
        <f>'FS Desroches Daily'!Z20</f>
        <v>399.99999999995595</v>
      </c>
      <c r="Q18" s="32">
        <f>'FS Desroches Daily'!AB20</f>
        <v>60.000000000002274</v>
      </c>
      <c r="R18" s="32">
        <f>'FS Desroches Daily'!AD20</f>
        <v>100.00000000002274</v>
      </c>
      <c r="S18" s="32">
        <f>'FS Desroches Daily'!AF20</f>
        <v>160.00000000002501</v>
      </c>
      <c r="T18" s="32">
        <f>'FS Desroches Daily'!AH20</f>
        <v>1.2999999999999545</v>
      </c>
      <c r="U18" s="36">
        <f>'FS Desroches Daily'!AJ20</f>
        <v>259.99999999999091</v>
      </c>
      <c r="V18" s="36">
        <f>'FS Desroches Daily'!AL20</f>
        <v>2.9999999999972715E-2</v>
      </c>
      <c r="W18" s="36">
        <f>'FS Desroches Daily'!AN20</f>
        <v>2.0000000000010232E-2</v>
      </c>
      <c r="X18" s="36">
        <f>'FS Desroches Daily'!AP20</f>
        <v>0.12000000000000455</v>
      </c>
      <c r="Y18" s="36">
        <f>'FS Desroches Daily'!AR20</f>
        <v>19.99999999998181</v>
      </c>
      <c r="Z18" s="36">
        <f>'FS Desroches Daily'!AT20</f>
        <v>40.000000000020464</v>
      </c>
      <c r="AA18" s="36">
        <f>'FS Desroches Daily'!AT20</f>
        <v>40.000000000020464</v>
      </c>
      <c r="AB18" s="36">
        <f>'FS Desroches Daily'!AV20</f>
        <v>9.9999999999909051</v>
      </c>
      <c r="AC18" s="36">
        <f>'FS Desroches Daily'!AZ20</f>
        <v>29.999999999972715</v>
      </c>
      <c r="AD18" s="36">
        <f>'FS Desroches Daily'!BB20</f>
        <v>20.000000000038654</v>
      </c>
      <c r="AE18" s="36">
        <f>'FS Desroches Daily'!BD20</f>
        <v>30.000000000001137</v>
      </c>
      <c r="AF18" s="32">
        <f>'FS Desroches Daily'!BF20</f>
        <v>24</v>
      </c>
      <c r="AG18" s="33">
        <f>'FS Desroches Daily'!BH20</f>
        <v>19.99999999998181</v>
      </c>
      <c r="AH18" s="33">
        <f>'FS Desroches Daily'!BJ20</f>
        <v>29.999999999972715</v>
      </c>
      <c r="AI18" s="33">
        <f>'FS Desroches Daily'!BL20</f>
        <v>19.99999999998181</v>
      </c>
      <c r="AJ18" s="33">
        <f>'FS Desroches Daily'!BN20</f>
        <v>20.000000000010232</v>
      </c>
      <c r="AK18" s="33">
        <f>'FS Desroches Daily'!BP20</f>
        <v>39.99999999996362</v>
      </c>
      <c r="AL18" s="33">
        <f>'FS Desroches Daily'!BR20</f>
        <v>10</v>
      </c>
      <c r="AM18" s="33">
        <f>'FS Desroches Daily'!BT20</f>
        <v>10.000000000019327</v>
      </c>
      <c r="AN18" s="33">
        <f>'FS Desroches Daily'!BV20</f>
        <v>18</v>
      </c>
      <c r="AO18" s="33">
        <f>'FS Desroches Daily'!BX20</f>
        <v>20.000000000010232</v>
      </c>
      <c r="AP18" s="33">
        <f>'FS Desroches Daily'!BZ20</f>
        <v>25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69.700000000004366</v>
      </c>
      <c r="AU18" s="32">
        <f>'FS Desroches Daily'!CJ20</f>
        <v>205</v>
      </c>
      <c r="AV18" s="32">
        <f>'FS Desroches Daily'!CL20</f>
        <v>370.00000000000455</v>
      </c>
      <c r="AW18" s="32">
        <f>'FS Desroches Daily'!CM20</f>
        <v>26.4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 t="str">
        <f>'FS Desroches Daily'!D21</f>
        <v>0</v>
      </c>
      <c r="F19" s="33" t="str">
        <f>'FS Desroches Daily'!F21</f>
        <v>0</v>
      </c>
      <c r="G19" s="32" t="str">
        <f>'FS Desroches Daily'!H21</f>
        <v>0</v>
      </c>
      <c r="H19" s="33" t="str">
        <f>'FS Desroches Daily'!J21</f>
        <v>0</v>
      </c>
      <c r="I19" s="32" t="str">
        <f>'FS Desroches Daily'!L21</f>
        <v>0</v>
      </c>
      <c r="J19" s="33" t="str">
        <f>'FS Desroches Daily'!N21</f>
        <v/>
      </c>
      <c r="K19" s="13" t="str">
        <f>'FS Desroches Daily'!P21</f>
        <v/>
      </c>
      <c r="L19" s="32" t="str">
        <f>'FS Desroches Daily'!R21</f>
        <v/>
      </c>
      <c r="M19" s="32" t="str">
        <f>'FS Desroches Daily'!T21</f>
        <v/>
      </c>
      <c r="N19" s="32" t="str">
        <f>'FS Desroches Daily'!V21</f>
        <v/>
      </c>
      <c r="O19" s="32" t="str">
        <f>'FS Desroches Daily'!X21</f>
        <v/>
      </c>
      <c r="P19" s="32" t="str">
        <f>'FS Desroches Daily'!Z21</f>
        <v/>
      </c>
      <c r="Q19" s="32" t="str">
        <f>'FS Desroches Daily'!AB21</f>
        <v/>
      </c>
      <c r="R19" s="32" t="str">
        <f>'FS Desroches Daily'!AD21</f>
        <v/>
      </c>
      <c r="S19" s="32" t="str">
        <f>'FS Desroches Daily'!AF21</f>
        <v/>
      </c>
      <c r="T19" s="32" t="str">
        <f>'FS Desroches Daily'!AH21</f>
        <v/>
      </c>
      <c r="U19" s="36" t="str">
        <f>'FS Desroches Daily'!AJ21</f>
        <v/>
      </c>
      <c r="V19" s="36" t="str">
        <f>'FS Desroches Daily'!AL21</f>
        <v/>
      </c>
      <c r="W19" s="36" t="str">
        <f>'FS Desroches Daily'!AN21</f>
        <v/>
      </c>
      <c r="X19" s="36" t="str">
        <f>'FS Desroches Daily'!AP21</f>
        <v/>
      </c>
      <c r="Y19" s="36" t="str">
        <f>'FS Desroches Daily'!AR21</f>
        <v/>
      </c>
      <c r="Z19" s="36" t="str">
        <f>'FS Desroches Daily'!AT21</f>
        <v/>
      </c>
      <c r="AA19" s="36" t="str">
        <f>'FS Desroches Daily'!AT21</f>
        <v/>
      </c>
      <c r="AB19" s="36" t="str">
        <f>'FS Desroches Daily'!AV21</f>
        <v/>
      </c>
      <c r="AC19" s="36" t="str">
        <f>'FS Desroches Daily'!AZ21</f>
        <v/>
      </c>
      <c r="AD19" s="36" t="str">
        <f>'FS Desroches Daily'!BB21</f>
        <v/>
      </c>
      <c r="AE19" s="36" t="str">
        <f>'FS Desroches Daily'!BD21</f>
        <v/>
      </c>
      <c r="AF19" s="32" t="str">
        <f>'FS Desroches Daily'!BF21</f>
        <v/>
      </c>
      <c r="AG19" s="33" t="str">
        <f>'FS Desroches Daily'!BH21</f>
        <v/>
      </c>
      <c r="AH19" s="33" t="str">
        <f>'FS Desroches Daily'!BJ21</f>
        <v/>
      </c>
      <c r="AI19" s="33" t="str">
        <f>'FS Desroches Daily'!BL21</f>
        <v/>
      </c>
      <c r="AJ19" s="33" t="str">
        <f>'FS Desroches Daily'!BN21</f>
        <v/>
      </c>
      <c r="AK19" s="33" t="str">
        <f>'FS Desroches Daily'!BP21</f>
        <v/>
      </c>
      <c r="AL19" s="33" t="str">
        <f>'FS Desroches Daily'!BR21</f>
        <v/>
      </c>
      <c r="AM19" s="33" t="str">
        <f>'FS Desroches Daily'!BT21</f>
        <v/>
      </c>
      <c r="AN19" s="33" t="str">
        <f>'FS Desroches Daily'!BV21</f>
        <v/>
      </c>
      <c r="AO19" s="33" t="str">
        <f>'FS Desroches Daily'!BX21</f>
        <v/>
      </c>
      <c r="AP19" s="33" t="str">
        <f>'FS Desroches Daily'!BZ21</f>
        <v/>
      </c>
      <c r="AQ19" s="32" t="str">
        <f>'FS Desroches Daily'!CB21</f>
        <v/>
      </c>
      <c r="AR19" s="32" t="str">
        <f>'FS Desroches Daily'!CD21</f>
        <v/>
      </c>
      <c r="AS19" s="32" t="str">
        <f>'FS Desroches Daily'!CF21</f>
        <v/>
      </c>
      <c r="AT19" s="32" t="str">
        <f>'FS Desroches Daily'!CH21</f>
        <v/>
      </c>
      <c r="AU19" s="32" t="str">
        <f>'FS Desroches Daily'!CJ21</f>
        <v/>
      </c>
      <c r="AV19" s="32" t="str">
        <f>'FS Desroches Daily'!CL21</f>
        <v/>
      </c>
      <c r="AW19" s="32">
        <f>'FS Desroches Daily'!CM21</f>
        <v>0</v>
      </c>
      <c r="AX19" s="32" t="str">
        <f>IF(LPG!F26-LPG!F25&lt;0,"0",(LPG!F26-LPG!F25)*1.8315)</f>
        <v>0</v>
      </c>
      <c r="AY19" s="32" t="str">
        <f>IF(LPG!H26-LPG!H25&lt;0,"0",(LPG!H26-LPG!H25)*1.8315)</f>
        <v>0</v>
      </c>
      <c r="AZ19" s="32" t="str">
        <f>IF(LPG!J26-LPG!J25&lt;0,"0",(LPG!J26-LPG!J25)*1.8315)</f>
        <v>0</v>
      </c>
      <c r="BA19" s="32" t="str">
        <f>IF(LPG!M26-LPG!M25&lt;0,"0",(LPG!M26-LPG!M25)*1.8315)</f>
        <v>0</v>
      </c>
      <c r="BB19" s="32" t="str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11099.999999999891</v>
      </c>
      <c r="F33" s="17">
        <f t="shared" ref="F33:BC33" si="1">SUM(F2:F32)</f>
        <v>9799.999999999809</v>
      </c>
      <c r="G33" s="17">
        <f t="shared" si="1"/>
        <v>27299.999999999887</v>
      </c>
      <c r="H33" s="17">
        <f t="shared" si="1"/>
        <v>16800.000000000146</v>
      </c>
      <c r="I33" s="17">
        <f t="shared" si="1"/>
        <v>32000.000000000033</v>
      </c>
      <c r="J33" s="17">
        <f t="shared" si="1"/>
        <v>7800.00000000003</v>
      </c>
      <c r="K33" s="17">
        <f t="shared" si="1"/>
        <v>15</v>
      </c>
      <c r="L33" s="17">
        <f t="shared" si="1"/>
        <v>67</v>
      </c>
      <c r="M33" s="17">
        <f t="shared" si="1"/>
        <v>2879</v>
      </c>
      <c r="N33" s="17">
        <f t="shared" si="1"/>
        <v>1652</v>
      </c>
      <c r="O33" s="17">
        <f t="shared" si="1"/>
        <v>1259.9999999999909</v>
      </c>
      <c r="P33" s="17">
        <f t="shared" si="1"/>
        <v>6899.9999999999072</v>
      </c>
      <c r="Q33" s="17">
        <f t="shared" si="1"/>
        <v>1170.0000000000159</v>
      </c>
      <c r="R33" s="17">
        <f t="shared" si="1"/>
        <v>2079.9999999999841</v>
      </c>
      <c r="S33" s="17">
        <f t="shared" si="1"/>
        <v>2720.0000000000273</v>
      </c>
      <c r="T33" s="17">
        <f t="shared" si="1"/>
        <v>21</v>
      </c>
      <c r="U33" s="36">
        <f t="shared" si="1"/>
        <v>3259.9999999999909</v>
      </c>
      <c r="V33" s="36">
        <f t="shared" si="1"/>
        <v>360.31000000001353</v>
      </c>
      <c r="W33" s="36">
        <f t="shared" si="1"/>
        <v>350.21999999999412</v>
      </c>
      <c r="X33" s="36">
        <f t="shared" si="1"/>
        <v>310.29000000000212</v>
      </c>
      <c r="Y33" s="36">
        <f t="shared" si="1"/>
        <v>599.99999999999432</v>
      </c>
      <c r="Z33" s="36">
        <f t="shared" si="1"/>
        <v>805.75000000002046</v>
      </c>
      <c r="AA33" s="36">
        <f t="shared" si="1"/>
        <v>805.75000000002046</v>
      </c>
      <c r="AB33" s="36">
        <f t="shared" si="1"/>
        <v>319.99999999999318</v>
      </c>
      <c r="AC33" s="36">
        <f t="shared" si="1"/>
        <v>430.00000000000682</v>
      </c>
      <c r="AD33" s="36">
        <f t="shared" si="1"/>
        <v>320.00000000005002</v>
      </c>
      <c r="AE33" s="36">
        <f t="shared" si="1"/>
        <v>240.00000000000909</v>
      </c>
      <c r="AF33" s="17">
        <f t="shared" si="1"/>
        <v>434</v>
      </c>
      <c r="AG33" s="33">
        <f t="shared" si="1"/>
        <v>429.9999999999784</v>
      </c>
      <c r="AH33" s="33">
        <f t="shared" si="1"/>
        <v>479.99999999996135</v>
      </c>
      <c r="AI33" s="33">
        <f t="shared" si="1"/>
        <v>439.99999999999773</v>
      </c>
      <c r="AJ33" s="33">
        <f t="shared" si="1"/>
        <v>460.00000000000796</v>
      </c>
      <c r="AK33" s="33">
        <f t="shared" si="1"/>
        <v>689.99999999999773</v>
      </c>
      <c r="AL33" s="33">
        <f t="shared" si="1"/>
        <v>175</v>
      </c>
      <c r="AM33" s="33">
        <f t="shared" si="1"/>
        <v>170.00000000001592</v>
      </c>
      <c r="AN33" s="33">
        <f t="shared" si="1"/>
        <v>343</v>
      </c>
      <c r="AO33" s="33">
        <f t="shared" si="1"/>
        <v>520.00000000001023</v>
      </c>
      <c r="AP33" s="33">
        <f t="shared" si="1"/>
        <v>442</v>
      </c>
      <c r="AQ33" s="17">
        <f t="shared" si="1"/>
        <v>0.2000000000007276</v>
      </c>
      <c r="AR33" s="17">
        <f t="shared" si="1"/>
        <v>0.1000000000003638</v>
      </c>
      <c r="AS33" s="17">
        <f t="shared" si="1"/>
        <v>0</v>
      </c>
      <c r="AT33" s="17">
        <f t="shared" si="1"/>
        <v>965</v>
      </c>
      <c r="AU33" s="17">
        <f t="shared" si="1"/>
        <v>3410</v>
      </c>
      <c r="AV33" s="17">
        <f t="shared" si="1"/>
        <v>6649.9999999999773</v>
      </c>
      <c r="AW33" s="17">
        <f t="shared" si="1"/>
        <v>491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124.54199999999999</v>
      </c>
      <c r="BC33" s="17">
        <f t="shared" si="1"/>
        <v>0</v>
      </c>
    </row>
    <row r="35" spans="5:55" x14ac:dyDescent="0.25">
      <c r="E35" s="39">
        <f>E33/E37</f>
        <v>0.17360568050298619</v>
      </c>
      <c r="G35" s="30">
        <f>G33-M36</f>
        <v>22768.999999999887</v>
      </c>
      <c r="AE35" s="36">
        <f>SUM(U33:AE33)</f>
        <v>7802.3200000000952</v>
      </c>
      <c r="AG35" s="33">
        <f>SUM(AG33:AP33)</f>
        <v>4149.9999999999691</v>
      </c>
    </row>
    <row r="36" spans="5:55" x14ac:dyDescent="0.25">
      <c r="G36" s="30">
        <f>G35-633*14</f>
        <v>13906.999999999887</v>
      </c>
      <c r="M36" s="30">
        <f>M33+N33</f>
        <v>4531</v>
      </c>
    </row>
    <row r="37" spans="5:55" x14ac:dyDescent="0.25">
      <c r="E37" s="17">
        <f>E33+F33+G33+H33+J33-633*14</f>
        <v>63937.999999999767</v>
      </c>
      <c r="G37" s="38">
        <f>M36/E37</f>
        <v>7.0865525978291724E-2</v>
      </c>
      <c r="M37" s="36">
        <f>AE35</f>
        <v>7802.3200000000952</v>
      </c>
    </row>
    <row r="38" spans="5:55" x14ac:dyDescent="0.25">
      <c r="L38" s="28">
        <f>M38/E37</f>
        <v>6.4906628296161659E-2</v>
      </c>
      <c r="M38" s="30">
        <f>AG35</f>
        <v>4149.9999999999691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zoomScale="60" zoomScaleNormal="60" workbookViewId="0">
      <pane ySplit="1" topLeftCell="A2" activePane="bottomLeft" state="frozen"/>
      <selection pane="bottomLeft" activeCell="CR18" sqref="CR18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>
        <v>1.7197</v>
      </c>
      <c r="D19" s="66">
        <f t="shared" si="0"/>
        <v>599.99999999993395</v>
      </c>
      <c r="E19" s="60">
        <v>2.7197</v>
      </c>
      <c r="F19" s="66">
        <f t="shared" si="1"/>
        <v>500.00000000016701</v>
      </c>
      <c r="G19" s="60">
        <v>2.5768</v>
      </c>
      <c r="H19" s="66">
        <f t="shared" si="2"/>
        <v>1599.9999999998238</v>
      </c>
      <c r="I19" s="60">
        <v>1.246</v>
      </c>
      <c r="J19" s="66">
        <f t="shared" si="3"/>
        <v>799.99999999991189</v>
      </c>
      <c r="K19" s="60">
        <v>1.93</v>
      </c>
      <c r="L19" s="66">
        <f t="shared" si="4"/>
        <v>1800.0000000000239</v>
      </c>
      <c r="M19" s="60">
        <v>1.2078</v>
      </c>
      <c r="N19" s="66">
        <f t="shared" si="5"/>
        <v>399.99999999995595</v>
      </c>
      <c r="O19" s="60">
        <v>12590</v>
      </c>
      <c r="P19" s="69">
        <f t="shared" si="42"/>
        <v>1</v>
      </c>
      <c r="Q19" s="60">
        <v>5486</v>
      </c>
      <c r="R19" s="69">
        <f t="shared" si="6"/>
        <v>3</v>
      </c>
      <c r="S19" s="60">
        <v>833601</v>
      </c>
      <c r="T19" s="69">
        <f t="shared" si="7"/>
        <v>209</v>
      </c>
      <c r="U19" s="60">
        <v>339465</v>
      </c>
      <c r="V19" s="69">
        <f t="shared" si="8"/>
        <v>91</v>
      </c>
      <c r="W19" s="60">
        <v>333.36</v>
      </c>
      <c r="X19" s="67">
        <f t="shared" si="9"/>
        <v>60.000000000002274</v>
      </c>
      <c r="Y19" s="60">
        <v>2.3976999999999999</v>
      </c>
      <c r="Z19" s="67">
        <f t="shared" si="10"/>
        <v>299.99999999974489</v>
      </c>
      <c r="AA19" s="60">
        <v>327.85</v>
      </c>
      <c r="AB19" s="67">
        <f t="shared" si="11"/>
        <v>50.000000000011369</v>
      </c>
      <c r="AC19" s="60">
        <v>310.08999999999997</v>
      </c>
      <c r="AD19" s="67">
        <f t="shared" si="12"/>
        <v>99.999999999965894</v>
      </c>
      <c r="AE19" s="60">
        <v>485.21</v>
      </c>
      <c r="AF19" s="67">
        <f t="shared" si="13"/>
        <v>169.99999999995907</v>
      </c>
      <c r="AG19" s="60">
        <v>1253</v>
      </c>
      <c r="AH19" s="69">
        <f t="shared" si="14"/>
        <v>1.2000000000000455</v>
      </c>
      <c r="AI19" s="60">
        <v>420.48</v>
      </c>
      <c r="AJ19" s="67">
        <f t="shared" si="15"/>
        <v>189.99999999999773</v>
      </c>
      <c r="AK19" s="60">
        <v>150.86000000000001</v>
      </c>
      <c r="AL19" s="67">
        <f t="shared" si="43"/>
        <v>4.0000000000020464E-2</v>
      </c>
      <c r="AM19" s="60">
        <v>150.41999999999999</v>
      </c>
      <c r="AN19" s="67">
        <f t="shared" si="44"/>
        <v>4.9999999999982947E-2</v>
      </c>
      <c r="AO19" s="60">
        <v>146.97999999999999</v>
      </c>
      <c r="AP19" s="67">
        <f t="shared" si="45"/>
        <v>3.0000000000001137E-2</v>
      </c>
      <c r="AQ19" s="60">
        <v>218.12</v>
      </c>
      <c r="AR19" s="67">
        <f t="shared" si="16"/>
        <v>39.999999999992042</v>
      </c>
      <c r="AS19" s="60">
        <v>344.45</v>
      </c>
      <c r="AT19" s="67">
        <f t="shared" si="17"/>
        <v>19.99999999998181</v>
      </c>
      <c r="AU19" s="60">
        <v>265.74</v>
      </c>
      <c r="AV19" s="67">
        <f t="shared" si="18"/>
        <v>19.99999999998181</v>
      </c>
      <c r="AW19" s="60">
        <v>293.31</v>
      </c>
      <c r="AX19" s="67">
        <f t="shared" si="19"/>
        <v>9.9999999999909051</v>
      </c>
      <c r="AY19" s="60">
        <v>344.49</v>
      </c>
      <c r="AZ19" s="67">
        <f t="shared" si="20"/>
        <v>19.99999999998181</v>
      </c>
      <c r="BA19" s="60">
        <v>364.39</v>
      </c>
      <c r="BB19" s="67">
        <f t="shared" si="21"/>
        <v>19.99999999998181</v>
      </c>
      <c r="BC19" s="60">
        <v>231.02</v>
      </c>
      <c r="BD19" s="67">
        <f t="shared" si="22"/>
        <v>10.000000000019327</v>
      </c>
      <c r="BE19" s="61">
        <v>29267</v>
      </c>
      <c r="BF19" s="69">
        <f t="shared" si="38"/>
        <v>25</v>
      </c>
      <c r="BG19" s="62">
        <v>224.93</v>
      </c>
      <c r="BH19" s="67">
        <f t="shared" si="23"/>
        <v>20.000000000010232</v>
      </c>
      <c r="BI19" s="62">
        <v>282.5</v>
      </c>
      <c r="BJ19" s="67">
        <f t="shared" si="39"/>
        <v>19.99999999998181</v>
      </c>
      <c r="BK19" s="62">
        <v>230.46</v>
      </c>
      <c r="BL19" s="67">
        <f t="shared" si="24"/>
        <v>20.000000000010232</v>
      </c>
      <c r="BM19" s="62">
        <v>213.59</v>
      </c>
      <c r="BN19" s="67">
        <f t="shared" si="25"/>
        <v>9.9999999999909051</v>
      </c>
      <c r="BO19" s="62">
        <v>278.3</v>
      </c>
      <c r="BP19" s="67">
        <f t="shared" si="26"/>
        <v>30.000000000029559</v>
      </c>
      <c r="BQ19" s="62">
        <v>38841</v>
      </c>
      <c r="BR19" s="67">
        <f t="shared" si="27"/>
        <v>6</v>
      </c>
      <c r="BS19" s="62">
        <v>193.32</v>
      </c>
      <c r="BT19" s="67">
        <f t="shared" si="41"/>
        <v>19.99999999998181</v>
      </c>
      <c r="BU19" s="62">
        <v>30046</v>
      </c>
      <c r="BV19" s="67">
        <f t="shared" si="29"/>
        <v>13</v>
      </c>
      <c r="BW19" s="62">
        <v>223.84</v>
      </c>
      <c r="BX19" s="67">
        <f t="shared" si="30"/>
        <v>20.000000000010232</v>
      </c>
      <c r="BY19" s="62">
        <v>48882</v>
      </c>
      <c r="BZ19" s="69">
        <f t="shared" si="31"/>
        <v>14</v>
      </c>
      <c r="CA19" s="62">
        <v>27508.400000000001</v>
      </c>
      <c r="CB19" s="69">
        <f t="shared" si="32"/>
        <v>0.2000000000007276</v>
      </c>
      <c r="CC19" s="62">
        <v>11251.4</v>
      </c>
      <c r="CD19" s="69">
        <f t="shared" si="33"/>
        <v>0.1000000000003638</v>
      </c>
      <c r="CE19" s="62">
        <v>5488.9</v>
      </c>
      <c r="CF19" s="69">
        <f t="shared" si="34"/>
        <v>0</v>
      </c>
      <c r="CG19" s="62">
        <v>46309.2</v>
      </c>
      <c r="CH19" s="69">
        <f t="shared" si="35"/>
        <v>70.899999999994179</v>
      </c>
      <c r="CI19" s="62">
        <v>859600</v>
      </c>
      <c r="CJ19" s="69">
        <f t="shared" si="36"/>
        <v>202</v>
      </c>
      <c r="CK19" s="62">
        <v>573.30999999999995</v>
      </c>
      <c r="CL19" s="66">
        <f t="shared" si="37"/>
        <v>439.99999999994088</v>
      </c>
      <c r="CM19" s="67">
        <v>25</v>
      </c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>
        <v>1.7204999999999999</v>
      </c>
      <c r="D20" s="66">
        <f t="shared" si="0"/>
        <v>799.99999999991189</v>
      </c>
      <c r="E20" s="60">
        <v>2.7202999999999999</v>
      </c>
      <c r="F20" s="66">
        <f t="shared" si="1"/>
        <v>599.99999999993395</v>
      </c>
      <c r="G20" s="60">
        <v>2.5783999999999998</v>
      </c>
      <c r="H20" s="66">
        <f t="shared" si="2"/>
        <v>1599.9999999998238</v>
      </c>
      <c r="I20" s="60">
        <v>1.2470000000000001</v>
      </c>
      <c r="J20" s="66">
        <f t="shared" si="3"/>
        <v>1000.0000000001119</v>
      </c>
      <c r="K20" s="60">
        <v>1.9318</v>
      </c>
      <c r="L20" s="66">
        <f t="shared" si="4"/>
        <v>1800.0000000000239</v>
      </c>
      <c r="M20" s="60">
        <v>1.2081999999999999</v>
      </c>
      <c r="N20" s="66">
        <f t="shared" si="5"/>
        <v>399.99999999995595</v>
      </c>
      <c r="O20" s="60">
        <v>12591</v>
      </c>
      <c r="P20" s="69">
        <f t="shared" si="42"/>
        <v>1</v>
      </c>
      <c r="Q20" s="60">
        <v>5489</v>
      </c>
      <c r="R20" s="69">
        <f t="shared" si="6"/>
        <v>3</v>
      </c>
      <c r="S20" s="60">
        <v>833717</v>
      </c>
      <c r="T20" s="69">
        <f t="shared" si="7"/>
        <v>116</v>
      </c>
      <c r="U20" s="60">
        <v>339516</v>
      </c>
      <c r="V20" s="69">
        <f t="shared" si="8"/>
        <v>51</v>
      </c>
      <c r="W20" s="60">
        <v>333.43</v>
      </c>
      <c r="X20" s="67">
        <f t="shared" si="9"/>
        <v>69.999999999993179</v>
      </c>
      <c r="Y20" s="60">
        <v>2.3980999999999999</v>
      </c>
      <c r="Z20" s="67">
        <f t="shared" si="10"/>
        <v>399.99999999995595</v>
      </c>
      <c r="AA20" s="60">
        <v>327.91</v>
      </c>
      <c r="AB20" s="67">
        <f t="shared" si="11"/>
        <v>60.000000000002274</v>
      </c>
      <c r="AC20" s="60">
        <v>310.19</v>
      </c>
      <c r="AD20" s="67">
        <f t="shared" si="12"/>
        <v>100.00000000002274</v>
      </c>
      <c r="AE20" s="60">
        <v>485.37</v>
      </c>
      <c r="AF20" s="67">
        <f t="shared" si="13"/>
        <v>160.00000000002501</v>
      </c>
      <c r="AG20" s="60">
        <v>1254.3</v>
      </c>
      <c r="AH20" s="69">
        <f t="shared" si="14"/>
        <v>1.2999999999999545</v>
      </c>
      <c r="AI20" s="60">
        <v>420.74</v>
      </c>
      <c r="AJ20" s="67">
        <f t="shared" si="15"/>
        <v>259.99999999999091</v>
      </c>
      <c r="AK20" s="60">
        <v>150.88999999999999</v>
      </c>
      <c r="AL20" s="67">
        <f t="shared" si="43"/>
        <v>2.9999999999972715E-2</v>
      </c>
      <c r="AM20" s="60">
        <v>150.44</v>
      </c>
      <c r="AN20" s="67">
        <f t="shared" si="44"/>
        <v>2.0000000000010232E-2</v>
      </c>
      <c r="AO20" s="60">
        <v>147.1</v>
      </c>
      <c r="AP20" s="67">
        <f t="shared" si="45"/>
        <v>0.12000000000000455</v>
      </c>
      <c r="AQ20" s="60">
        <v>218.14</v>
      </c>
      <c r="AR20" s="67">
        <f t="shared" si="16"/>
        <v>19.99999999998181</v>
      </c>
      <c r="AS20" s="60">
        <v>344.49</v>
      </c>
      <c r="AT20" s="67">
        <f t="shared" si="17"/>
        <v>40.000000000020464</v>
      </c>
      <c r="AU20" s="60">
        <v>265.75</v>
      </c>
      <c r="AV20" s="67">
        <f t="shared" si="18"/>
        <v>9.9999999999909051</v>
      </c>
      <c r="AW20" s="60">
        <v>293.33</v>
      </c>
      <c r="AX20" s="67">
        <f t="shared" si="19"/>
        <v>19.99999999998181</v>
      </c>
      <c r="AY20" s="60">
        <v>344.52</v>
      </c>
      <c r="AZ20" s="67">
        <f t="shared" si="20"/>
        <v>29.999999999972715</v>
      </c>
      <c r="BA20" s="60">
        <v>364.41</v>
      </c>
      <c r="BB20" s="67">
        <f t="shared" si="21"/>
        <v>20.000000000038654</v>
      </c>
      <c r="BC20" s="60">
        <v>231.05</v>
      </c>
      <c r="BD20" s="67">
        <f t="shared" si="22"/>
        <v>30.000000000001137</v>
      </c>
      <c r="BE20" s="61">
        <v>29291</v>
      </c>
      <c r="BF20" s="69">
        <f t="shared" si="38"/>
        <v>24</v>
      </c>
      <c r="BG20" s="62">
        <v>224.95</v>
      </c>
      <c r="BH20" s="67">
        <f t="shared" si="23"/>
        <v>19.99999999998181</v>
      </c>
      <c r="BI20" s="62">
        <v>282.52999999999997</v>
      </c>
      <c r="BJ20" s="67">
        <f t="shared" si="39"/>
        <v>29.999999999972715</v>
      </c>
      <c r="BK20" s="62">
        <v>230.48</v>
      </c>
      <c r="BL20" s="67">
        <f t="shared" si="24"/>
        <v>19.99999999998181</v>
      </c>
      <c r="BM20" s="62">
        <v>213.61</v>
      </c>
      <c r="BN20" s="67">
        <f t="shared" si="25"/>
        <v>20.000000000010232</v>
      </c>
      <c r="BO20" s="62">
        <v>278.33999999999997</v>
      </c>
      <c r="BP20" s="67">
        <f t="shared" si="26"/>
        <v>39.99999999996362</v>
      </c>
      <c r="BQ20" s="62">
        <v>38851</v>
      </c>
      <c r="BR20" s="67">
        <f t="shared" si="27"/>
        <v>10</v>
      </c>
      <c r="BS20" s="62">
        <v>193.33</v>
      </c>
      <c r="BT20" s="67">
        <f t="shared" si="41"/>
        <v>10.000000000019327</v>
      </c>
      <c r="BU20" s="62">
        <v>30064</v>
      </c>
      <c r="BV20" s="67">
        <f t="shared" si="29"/>
        <v>18</v>
      </c>
      <c r="BW20" s="62">
        <v>223.86</v>
      </c>
      <c r="BX20" s="67">
        <f t="shared" si="30"/>
        <v>20.000000000010232</v>
      </c>
      <c r="BY20" s="62">
        <v>48907</v>
      </c>
      <c r="BZ20" s="69">
        <f t="shared" si="31"/>
        <v>25</v>
      </c>
      <c r="CA20" s="62">
        <v>27508.400000000001</v>
      </c>
      <c r="CB20" s="69">
        <f t="shared" si="32"/>
        <v>0</v>
      </c>
      <c r="CC20" s="62">
        <v>11251.4</v>
      </c>
      <c r="CD20" s="69">
        <f t="shared" si="33"/>
        <v>0</v>
      </c>
      <c r="CE20" s="62">
        <v>5488.9</v>
      </c>
      <c r="CF20" s="69">
        <f t="shared" si="34"/>
        <v>0</v>
      </c>
      <c r="CG20" s="62">
        <v>46378.9</v>
      </c>
      <c r="CH20" s="69">
        <f t="shared" si="35"/>
        <v>69.700000000004366</v>
      </c>
      <c r="CI20" s="62">
        <v>859805</v>
      </c>
      <c r="CJ20" s="69">
        <f t="shared" si="36"/>
        <v>205</v>
      </c>
      <c r="CK20" s="62">
        <v>573.67999999999995</v>
      </c>
      <c r="CL20" s="66">
        <f t="shared" si="37"/>
        <v>370.00000000000455</v>
      </c>
      <c r="CM20" s="67">
        <v>26.4</v>
      </c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 t="str">
        <f t="shared" si="0"/>
        <v>0</v>
      </c>
      <c r="E21" s="60"/>
      <c r="F21" s="66" t="str">
        <f t="shared" si="1"/>
        <v>0</v>
      </c>
      <c r="G21" s="60"/>
      <c r="H21" s="66" t="str">
        <f t="shared" si="2"/>
        <v>0</v>
      </c>
      <c r="I21" s="60"/>
      <c r="J21" s="66" t="str">
        <f t="shared" si="3"/>
        <v>0</v>
      </c>
      <c r="K21" s="60"/>
      <c r="L21" s="66" t="str">
        <f t="shared" si="4"/>
        <v>0</v>
      </c>
      <c r="M21" s="60"/>
      <c r="N21" s="66" t="str">
        <f t="shared" si="5"/>
        <v/>
      </c>
      <c r="O21" s="60"/>
      <c r="P21" s="69" t="str">
        <f t="shared" si="42"/>
        <v/>
      </c>
      <c r="Q21" s="60"/>
      <c r="R21" s="69" t="str">
        <f t="shared" si="6"/>
        <v/>
      </c>
      <c r="S21" s="60"/>
      <c r="T21" s="69" t="str">
        <f t="shared" si="7"/>
        <v/>
      </c>
      <c r="U21" s="60"/>
      <c r="V21" s="69" t="str">
        <f t="shared" si="8"/>
        <v/>
      </c>
      <c r="W21" s="60"/>
      <c r="X21" s="67" t="str">
        <f t="shared" si="9"/>
        <v/>
      </c>
      <c r="Y21" s="60"/>
      <c r="Z21" s="67" t="str">
        <f t="shared" si="10"/>
        <v/>
      </c>
      <c r="AA21" s="60"/>
      <c r="AB21" s="67" t="str">
        <f t="shared" si="11"/>
        <v/>
      </c>
      <c r="AC21" s="60"/>
      <c r="AD21" s="67" t="str">
        <f t="shared" si="12"/>
        <v/>
      </c>
      <c r="AE21" s="60"/>
      <c r="AF21" s="67" t="str">
        <f t="shared" si="13"/>
        <v/>
      </c>
      <c r="AG21" s="60"/>
      <c r="AH21" s="69" t="str">
        <f t="shared" si="14"/>
        <v/>
      </c>
      <c r="AI21" s="60"/>
      <c r="AJ21" s="67" t="str">
        <f t="shared" si="15"/>
        <v/>
      </c>
      <c r="AK21" s="60"/>
      <c r="AL21" s="67" t="str">
        <f t="shared" si="43"/>
        <v/>
      </c>
      <c r="AM21" s="60"/>
      <c r="AN21" s="67" t="str">
        <f t="shared" si="44"/>
        <v/>
      </c>
      <c r="AO21" s="60"/>
      <c r="AP21" s="67" t="str">
        <f t="shared" si="45"/>
        <v/>
      </c>
      <c r="AQ21" s="60"/>
      <c r="AR21" s="67" t="str">
        <f t="shared" si="16"/>
        <v/>
      </c>
      <c r="AS21" s="60"/>
      <c r="AT21" s="67" t="str">
        <f t="shared" si="17"/>
        <v/>
      </c>
      <c r="AU21" s="60"/>
      <c r="AV21" s="67" t="str">
        <f t="shared" si="18"/>
        <v/>
      </c>
      <c r="AW21" s="60"/>
      <c r="AX21" s="67" t="str">
        <f t="shared" si="19"/>
        <v/>
      </c>
      <c r="AY21" s="60"/>
      <c r="AZ21" s="67" t="str">
        <f t="shared" si="20"/>
        <v/>
      </c>
      <c r="BA21" s="60"/>
      <c r="BB21" s="67" t="str">
        <f t="shared" si="21"/>
        <v/>
      </c>
      <c r="BC21" s="60"/>
      <c r="BD21" s="67" t="str">
        <f t="shared" si="22"/>
        <v/>
      </c>
      <c r="BE21" s="61"/>
      <c r="BF21" s="69" t="str">
        <f t="shared" si="38"/>
        <v/>
      </c>
      <c r="BG21" s="62"/>
      <c r="BH21" s="67" t="str">
        <f t="shared" si="23"/>
        <v/>
      </c>
      <c r="BI21" s="62"/>
      <c r="BJ21" s="67" t="str">
        <f t="shared" si="39"/>
        <v/>
      </c>
      <c r="BK21" s="62"/>
      <c r="BL21" s="67" t="str">
        <f t="shared" si="24"/>
        <v/>
      </c>
      <c r="BM21" s="62"/>
      <c r="BN21" s="67" t="str">
        <f t="shared" si="25"/>
        <v/>
      </c>
      <c r="BO21" s="62"/>
      <c r="BP21" s="67" t="str">
        <f t="shared" si="26"/>
        <v/>
      </c>
      <c r="BQ21" s="62"/>
      <c r="BR21" s="67" t="str">
        <f t="shared" si="27"/>
        <v/>
      </c>
      <c r="BS21" s="62"/>
      <c r="BT21" s="67" t="str">
        <f t="shared" si="41"/>
        <v/>
      </c>
      <c r="BU21" s="62"/>
      <c r="BV21" s="67" t="str">
        <f t="shared" si="29"/>
        <v/>
      </c>
      <c r="BW21" s="62"/>
      <c r="BX21" s="67" t="str">
        <f t="shared" si="30"/>
        <v/>
      </c>
      <c r="BY21" s="62"/>
      <c r="BZ21" s="69" t="str">
        <f t="shared" si="31"/>
        <v/>
      </c>
      <c r="CA21" s="62"/>
      <c r="CB21" s="69" t="str">
        <f t="shared" si="32"/>
        <v/>
      </c>
      <c r="CC21" s="62"/>
      <c r="CD21" s="69" t="str">
        <f t="shared" si="33"/>
        <v/>
      </c>
      <c r="CE21" s="62"/>
      <c r="CF21" s="69" t="str">
        <f t="shared" si="34"/>
        <v/>
      </c>
      <c r="CG21" s="62"/>
      <c r="CH21" s="69" t="str">
        <f t="shared" si="35"/>
        <v/>
      </c>
      <c r="CI21" s="62"/>
      <c r="CJ21" s="69" t="str">
        <f t="shared" si="36"/>
        <v/>
      </c>
      <c r="CK21" s="62"/>
      <c r="CL21" s="66" t="str">
        <f t="shared" si="37"/>
        <v/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2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43"/>
        <v>0</v>
      </c>
      <c r="AM22" s="60"/>
      <c r="AN22" s="67">
        <f t="shared" si="44"/>
        <v>0</v>
      </c>
      <c r="AO22" s="60"/>
      <c r="AP22" s="67">
        <f t="shared" si="45"/>
        <v>0</v>
      </c>
      <c r="AQ22" s="60"/>
      <c r="AR22" s="67">
        <f t="shared" si="16"/>
        <v>0</v>
      </c>
      <c r="AS22" s="60"/>
      <c r="AT22" s="67">
        <f t="shared" si="17"/>
        <v>0</v>
      </c>
      <c r="AU22" s="60"/>
      <c r="AV22" s="67">
        <f t="shared" si="18"/>
        <v>0</v>
      </c>
      <c r="AW22" s="60"/>
      <c r="AX22" s="67">
        <f t="shared" si="19"/>
        <v>0</v>
      </c>
      <c r="AY22" s="60"/>
      <c r="AZ22" s="67">
        <f t="shared" si="20"/>
        <v>0</v>
      </c>
      <c r="BA22" s="60"/>
      <c r="BB22" s="67">
        <f t="shared" si="21"/>
        <v>0</v>
      </c>
      <c r="BC22" s="60"/>
      <c r="BD22" s="67">
        <f t="shared" si="22"/>
        <v>0</v>
      </c>
      <c r="BE22" s="61"/>
      <c r="BF22" s="69">
        <f t="shared" si="38"/>
        <v>0</v>
      </c>
      <c r="BG22" s="62"/>
      <c r="BH22" s="67">
        <f t="shared" si="23"/>
        <v>0</v>
      </c>
      <c r="BI22" s="62"/>
      <c r="BJ22" s="67">
        <f t="shared" si="39"/>
        <v>0</v>
      </c>
      <c r="BK22" s="62"/>
      <c r="BL22" s="67">
        <f t="shared" si="24"/>
        <v>0</v>
      </c>
      <c r="BM22" s="62"/>
      <c r="BN22" s="67">
        <f t="shared" si="25"/>
        <v>0</v>
      </c>
      <c r="BO22" s="62"/>
      <c r="BP22" s="67">
        <f t="shared" si="26"/>
        <v>0</v>
      </c>
      <c r="BQ22" s="62"/>
      <c r="BR22" s="67">
        <f t="shared" si="27"/>
        <v>0</v>
      </c>
      <c r="BS22" s="62"/>
      <c r="BT22" s="67">
        <f t="shared" si="41"/>
        <v>0</v>
      </c>
      <c r="BU22" s="62"/>
      <c r="BV22" s="67">
        <f t="shared" si="29"/>
        <v>0</v>
      </c>
      <c r="BW22" s="62"/>
      <c r="BX22" s="67">
        <f t="shared" si="30"/>
        <v>0</v>
      </c>
      <c r="BY22" s="62"/>
      <c r="BZ22" s="69">
        <f t="shared" si="31"/>
        <v>0</v>
      </c>
      <c r="CA22" s="62"/>
      <c r="CB22" s="69">
        <f t="shared" si="32"/>
        <v>0</v>
      </c>
      <c r="CC22" s="62"/>
      <c r="CD22" s="69">
        <f t="shared" si="33"/>
        <v>0</v>
      </c>
      <c r="CE22" s="62"/>
      <c r="CF22" s="69">
        <f t="shared" si="34"/>
        <v>0</v>
      </c>
      <c r="CG22" s="62"/>
      <c r="CH22" s="69">
        <f t="shared" si="35"/>
        <v>0</v>
      </c>
      <c r="CI22" s="62"/>
      <c r="CJ22" s="69">
        <f t="shared" si="36"/>
        <v>0</v>
      </c>
      <c r="CK22" s="62"/>
      <c r="CL22" s="66">
        <f t="shared" si="37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2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43"/>
        <v>0</v>
      </c>
      <c r="AM23" s="60"/>
      <c r="AN23" s="67">
        <f t="shared" si="44"/>
        <v>0</v>
      </c>
      <c r="AO23" s="60"/>
      <c r="AP23" s="67">
        <f t="shared" si="45"/>
        <v>0</v>
      </c>
      <c r="AQ23" s="60"/>
      <c r="AR23" s="67">
        <f t="shared" si="16"/>
        <v>0</v>
      </c>
      <c r="AS23" s="60"/>
      <c r="AT23" s="67">
        <f t="shared" si="17"/>
        <v>0</v>
      </c>
      <c r="AU23" s="60"/>
      <c r="AV23" s="67">
        <f t="shared" si="18"/>
        <v>0</v>
      </c>
      <c r="AW23" s="60"/>
      <c r="AX23" s="67">
        <f t="shared" si="19"/>
        <v>0</v>
      </c>
      <c r="AY23" s="60"/>
      <c r="AZ23" s="67">
        <f t="shared" si="20"/>
        <v>0</v>
      </c>
      <c r="BA23" s="60"/>
      <c r="BB23" s="67">
        <f t="shared" si="21"/>
        <v>0</v>
      </c>
      <c r="BC23" s="60"/>
      <c r="BD23" s="67">
        <f t="shared" si="22"/>
        <v>0</v>
      </c>
      <c r="BE23" s="61"/>
      <c r="BF23" s="69">
        <f t="shared" si="38"/>
        <v>0</v>
      </c>
      <c r="BG23" s="62"/>
      <c r="BH23" s="67">
        <f t="shared" si="23"/>
        <v>0</v>
      </c>
      <c r="BI23" s="62"/>
      <c r="BJ23" s="67">
        <f t="shared" si="39"/>
        <v>0</v>
      </c>
      <c r="BK23" s="62"/>
      <c r="BL23" s="67">
        <f t="shared" si="24"/>
        <v>0</v>
      </c>
      <c r="BM23" s="62"/>
      <c r="BN23" s="67">
        <f t="shared" si="25"/>
        <v>0</v>
      </c>
      <c r="BO23" s="62"/>
      <c r="BP23" s="67">
        <f t="shared" si="26"/>
        <v>0</v>
      </c>
      <c r="BQ23" s="62"/>
      <c r="BR23" s="67">
        <f t="shared" si="27"/>
        <v>0</v>
      </c>
      <c r="BS23" s="62"/>
      <c r="BT23" s="67">
        <f t="shared" si="41"/>
        <v>0</v>
      </c>
      <c r="BU23" s="62"/>
      <c r="BV23" s="67">
        <f t="shared" si="29"/>
        <v>0</v>
      </c>
      <c r="BW23" s="62"/>
      <c r="BX23" s="67">
        <f t="shared" si="30"/>
        <v>0</v>
      </c>
      <c r="BY23" s="62"/>
      <c r="BZ23" s="69">
        <f t="shared" si="31"/>
        <v>0</v>
      </c>
      <c r="CA23" s="62"/>
      <c r="CB23" s="69">
        <f t="shared" si="32"/>
        <v>0</v>
      </c>
      <c r="CC23" s="62"/>
      <c r="CD23" s="69">
        <f t="shared" si="33"/>
        <v>0</v>
      </c>
      <c r="CE23" s="62"/>
      <c r="CF23" s="69">
        <f t="shared" si="34"/>
        <v>0</v>
      </c>
      <c r="CG23" s="62"/>
      <c r="CH23" s="69">
        <f t="shared" si="35"/>
        <v>0</v>
      </c>
      <c r="CI23" s="62"/>
      <c r="CJ23" s="69">
        <f t="shared" si="36"/>
        <v>0</v>
      </c>
      <c r="CK23" s="62"/>
      <c r="CL23" s="66">
        <f t="shared" si="37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2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43"/>
        <v>0</v>
      </c>
      <c r="AM24" s="60"/>
      <c r="AN24" s="67">
        <f t="shared" si="44"/>
        <v>0</v>
      </c>
      <c r="AO24" s="60"/>
      <c r="AP24" s="67">
        <f t="shared" si="45"/>
        <v>0</v>
      </c>
      <c r="AQ24" s="60"/>
      <c r="AR24" s="67">
        <f t="shared" si="16"/>
        <v>0</v>
      </c>
      <c r="AS24" s="60"/>
      <c r="AT24" s="67">
        <f t="shared" si="17"/>
        <v>0</v>
      </c>
      <c r="AU24" s="60"/>
      <c r="AV24" s="67">
        <f t="shared" si="18"/>
        <v>0</v>
      </c>
      <c r="AW24" s="60"/>
      <c r="AX24" s="67">
        <f t="shared" si="19"/>
        <v>0</v>
      </c>
      <c r="AY24" s="60"/>
      <c r="AZ24" s="67">
        <f t="shared" si="20"/>
        <v>0</v>
      </c>
      <c r="BA24" s="60"/>
      <c r="BB24" s="67">
        <f t="shared" si="21"/>
        <v>0</v>
      </c>
      <c r="BC24" s="60"/>
      <c r="BD24" s="67">
        <f t="shared" si="22"/>
        <v>0</v>
      </c>
      <c r="BE24" s="61"/>
      <c r="BF24" s="69">
        <f t="shared" si="38"/>
        <v>0</v>
      </c>
      <c r="BG24" s="62"/>
      <c r="BH24" s="67">
        <f t="shared" si="23"/>
        <v>0</v>
      </c>
      <c r="BI24" s="62"/>
      <c r="BJ24" s="67">
        <f t="shared" si="39"/>
        <v>0</v>
      </c>
      <c r="BK24" s="62"/>
      <c r="BL24" s="67">
        <f t="shared" si="24"/>
        <v>0</v>
      </c>
      <c r="BM24" s="62"/>
      <c r="BN24" s="67">
        <f t="shared" si="25"/>
        <v>0</v>
      </c>
      <c r="BO24" s="62"/>
      <c r="BP24" s="67">
        <f t="shared" si="26"/>
        <v>0</v>
      </c>
      <c r="BQ24" s="62"/>
      <c r="BR24" s="67">
        <f t="shared" si="27"/>
        <v>0</v>
      </c>
      <c r="BS24" s="62"/>
      <c r="BT24" s="67">
        <f t="shared" si="41"/>
        <v>0</v>
      </c>
      <c r="BU24" s="62"/>
      <c r="BV24" s="67">
        <f t="shared" si="29"/>
        <v>0</v>
      </c>
      <c r="BW24" s="62"/>
      <c r="BX24" s="67">
        <f t="shared" si="30"/>
        <v>0</v>
      </c>
      <c r="BY24" s="62"/>
      <c r="BZ24" s="69">
        <f t="shared" si="31"/>
        <v>0</v>
      </c>
      <c r="CA24" s="62"/>
      <c r="CB24" s="69">
        <f t="shared" si="32"/>
        <v>0</v>
      </c>
      <c r="CC24" s="62"/>
      <c r="CD24" s="69">
        <f t="shared" si="33"/>
        <v>0</v>
      </c>
      <c r="CE24" s="62"/>
      <c r="CF24" s="69">
        <f t="shared" si="34"/>
        <v>0</v>
      </c>
      <c r="CG24" s="62"/>
      <c r="CH24" s="69">
        <f t="shared" si="35"/>
        <v>0</v>
      </c>
      <c r="CI24" s="62"/>
      <c r="CJ24" s="69">
        <f t="shared" si="36"/>
        <v>0</v>
      </c>
      <c r="CK24" s="62"/>
      <c r="CL24" s="66">
        <f t="shared" si="37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Y21" sqref="Y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81" t="s">
        <v>55</v>
      </c>
      <c r="F4" s="101"/>
      <c r="G4" s="101"/>
      <c r="H4" s="101"/>
      <c r="I4" s="101"/>
      <c r="J4" s="82"/>
      <c r="K4" s="89" t="s">
        <v>56</v>
      </c>
      <c r="L4" s="90"/>
      <c r="M4" s="91"/>
      <c r="N4" s="80" t="s">
        <v>35</v>
      </c>
      <c r="O4" s="80"/>
      <c r="P4" s="80"/>
      <c r="Q4" s="80"/>
    </row>
    <row r="5" spans="1:17" ht="33.75" customHeight="1" x14ac:dyDescent="0.25">
      <c r="A5" s="93"/>
      <c r="B5" s="96"/>
      <c r="C5" s="96"/>
      <c r="D5" s="99"/>
      <c r="E5" s="81" t="s">
        <v>57</v>
      </c>
      <c r="F5" s="82"/>
      <c r="G5" s="81" t="s">
        <v>58</v>
      </c>
      <c r="H5" s="82"/>
      <c r="I5" s="81" t="s">
        <v>59</v>
      </c>
      <c r="J5" s="82"/>
      <c r="K5" s="83" t="s">
        <v>60</v>
      </c>
      <c r="L5" s="84"/>
      <c r="M5" s="85"/>
      <c r="N5" s="86" t="s">
        <v>61</v>
      </c>
      <c r="O5" s="87"/>
      <c r="P5" s="87"/>
      <c r="Q5" s="88"/>
    </row>
    <row r="6" spans="1:17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29</v>
      </c>
      <c r="O24" s="40">
        <v>0</v>
      </c>
      <c r="P24" s="40">
        <v>85</v>
      </c>
      <c r="Q24" s="40">
        <v>2578</v>
      </c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25</v>
      </c>
      <c r="O25" s="40">
        <v>0</v>
      </c>
      <c r="P25" s="40">
        <v>85</v>
      </c>
      <c r="Q25" s="40">
        <v>2582</v>
      </c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2020-06-18T07:21:29Z</dcterms:modified>
</cp:coreProperties>
</file>