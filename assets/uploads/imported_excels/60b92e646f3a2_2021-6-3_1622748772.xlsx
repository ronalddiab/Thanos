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I3" i="3" s="1"/>
  <c r="CM6" i="7"/>
  <c r="I4" i="3" s="1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3" i="3" l="1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<sst xmlns="http://schemas.openxmlformats.org/spreadsheetml/2006/main" count="313" uniqueCount="148">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</sst>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 t="str">
        <f>'FS Desroches Daily'!X6</f>
        <v/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4000.0000000000036</v>
      </c>
      <c r="F33" s="17">
        <f t="shared" ref="F33:BC33" si="1">SUM(F2:F32)</f>
        <v>6699.9999999999281</v>
      </c>
      <c r="G33" s="17">
        <f t="shared" si="1"/>
        <v>5900.0000000000164</v>
      </c>
      <c r="H33" s="17">
        <f t="shared" si="1"/>
        <v>2700.0000000001464</v>
      </c>
      <c r="I33" s="17">
        <f t="shared" si="1"/>
        <v>4600.000000000382</v>
      </c>
      <c r="J33" s="17">
        <f t="shared" si="1"/>
        <v>2000.0000000000018</v>
      </c>
      <c r="K33" s="17">
        <f t="shared" si="1"/>
        <v>19</v>
      </c>
      <c r="L33" s="17">
        <f t="shared" si="1"/>
        <v>9</v>
      </c>
      <c r="M33" s="17">
        <f t="shared" si="1"/>
        <v>1329</v>
      </c>
      <c r="N33" s="17">
        <f t="shared" si="1"/>
        <v>594.5</v>
      </c>
      <c r="O33" s="17">
        <f t="shared" si="1"/>
        <v>319.99999999999318</v>
      </c>
      <c r="P33" s="17">
        <f t="shared" si="1"/>
        <v>5299.999999999638</v>
      </c>
      <c r="Q33" s="17">
        <f t="shared" si="1"/>
        <v>509.99999999999091</v>
      </c>
      <c r="R33" s="17">
        <f t="shared" si="1"/>
        <v>620.00000000000455</v>
      </c>
      <c r="S33" s="17">
        <f t="shared" si="1"/>
        <v>460.00000000003638</v>
      </c>
      <c r="T33" s="17">
        <f t="shared" si="1"/>
        <v>66</v>
      </c>
      <c r="U33" s="35">
        <f t="shared" si="1"/>
        <v>979.9999999999045</v>
      </c>
      <c r="V33" s="35">
        <f t="shared" si="1"/>
        <v>530.00000000000114</v>
      </c>
      <c r="W33" s="35">
        <f t="shared" si="1"/>
        <v>260.00000000001933</v>
      </c>
      <c r="X33" s="35">
        <f t="shared" si="1"/>
        <v>130.00000000002387</v>
      </c>
      <c r="Y33" s="35">
        <f t="shared" si="1"/>
        <v>400.00000000000568</v>
      </c>
      <c r="Z33" s="35">
        <f t="shared" si="1"/>
        <v>299.99999999995453</v>
      </c>
      <c r="AA33" s="35">
        <f t="shared" si="1"/>
        <v>299.99999999995453</v>
      </c>
      <c r="AB33" s="35">
        <f t="shared" si="1"/>
        <v>100.00000000002274</v>
      </c>
      <c r="AC33" s="35">
        <f t="shared" si="1"/>
        <v>99.999999999965894</v>
      </c>
      <c r="AD33" s="35">
        <f t="shared" si="1"/>
        <v>50.000000000011369</v>
      </c>
      <c r="AE33" s="35">
        <f t="shared" si="1"/>
        <v>60.000000000002274</v>
      </c>
      <c r="AF33" s="17">
        <f t="shared" si="1"/>
        <v>58</v>
      </c>
      <c r="AG33" s="32">
        <f t="shared" si="1"/>
        <v>49.999999999982947</v>
      </c>
      <c r="AH33" s="32">
        <f t="shared" si="1"/>
        <v>69.999999999993179</v>
      </c>
      <c r="AI33" s="32">
        <f t="shared" si="1"/>
        <v>50.000000000011369</v>
      </c>
      <c r="AJ33" s="32">
        <f t="shared" si="1"/>
        <v>79.999999999984084</v>
      </c>
      <c r="AK33" s="32">
        <f t="shared" si="1"/>
        <v>60.000000000002274</v>
      </c>
      <c r="AL33" s="32">
        <f t="shared" si="1"/>
        <v>49</v>
      </c>
      <c r="AM33" s="32">
        <f t="shared" si="1"/>
        <v>49.999999999982947</v>
      </c>
      <c r="AN33" s="32">
        <f t="shared" si="1"/>
        <v>88</v>
      </c>
      <c r="AO33" s="32">
        <f t="shared" si="1"/>
        <v>60.000000000002274</v>
      </c>
      <c r="AP33" s="32">
        <f t="shared" si="1"/>
        <v>72</v>
      </c>
      <c r="AQ33" s="17">
        <f t="shared" si="1"/>
        <v>56</v>
      </c>
      <c r="AR33" s="17">
        <f t="shared" si="1"/>
        <v>19.600000000000364</v>
      </c>
      <c r="AS33" s="17">
        <f t="shared" si="1"/>
        <v>4.3999999999996362</v>
      </c>
      <c r="AT33" s="17">
        <f t="shared" si="1"/>
        <v>66.700000000004366</v>
      </c>
      <c r="AU33" s="17">
        <f t="shared" si="1"/>
        <v>551</v>
      </c>
      <c r="AV33" s="17">
        <f t="shared" si="1"/>
        <v>1799.9999999999545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9.1574999999999989</v>
      </c>
      <c r="BC33" s="17">
        <f t="shared" si="1"/>
        <v>12</v>
      </c>
    </row>
    <row r="35" spans="5:55" x14ac:dyDescent="0.25">
      <c r="E35" s="38">
        <f>E33/E37</f>
        <v>0.32159511175429917</v>
      </c>
      <c r="G35" s="29">
        <f>G33-M36</f>
        <v>3976.5000000000164</v>
      </c>
      <c r="AE35" s="35">
        <f>SUM(U33:AE33)</f>
        <v>3209.9999999998658</v>
      </c>
      <c r="AG35" s="32">
        <f>SUM(AG33:AP33)</f>
        <v>628.99999999995907</v>
      </c>
    </row>
    <row r="36" spans="5:55" x14ac:dyDescent="0.25">
      <c r="G36" s="29">
        <f>G35-633*14</f>
        <v>-4885.4999999999836</v>
      </c>
      <c r="M36" s="29">
        <f>M33+N33</f>
        <v>1923.5</v>
      </c>
    </row>
    <row r="37" spans="5:55" x14ac:dyDescent="0.25">
      <c r="E37" s="17">
        <f>E33+F33+G33+H33+J33-633*14</f>
        <v>12438.000000000095</v>
      </c>
      <c r="G37" s="37">
        <f>M36/E37</f>
        <v>0.15464704936484847</v>
      </c>
      <c r="M37" s="35">
        <f>AE35</f>
        <v>3209.9999999998658</v>
      </c>
    </row>
    <row r="38" spans="5:55" x14ac:dyDescent="0.25">
      <c r="L38" s="27">
        <f>M38/E37</f>
        <v>5.057083132336021E-2</v>
      </c>
      <c r="M38" s="29">
        <f>AG35</f>
        <v>628.99999999995907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0" zoomScaleNormal="80" workbookViewId="0">
      <pane ySplit="1" topLeftCell="A2" activePane="bottomLeft" state="frozen"/>
      <selection pane="bottomLeft" activeCell="BN16" sqref="BN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>IF((O6-O5&lt;0), "",O6-O5)</f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39"/>
        <v/>
      </c>
      <c r="BG6" s="60"/>
      <c r="BH6" s="65" t="str">
        <f t="shared" si="23"/>
        <v/>
      </c>
      <c r="BI6" s="60"/>
      <c r="BJ6" s="65" t="str">
        <f t="shared" si="40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9"/>
        <v/>
      </c>
      <c r="BW6" s="60"/>
      <c r="BX6" s="65" t="str">
        <f t="shared" si="30"/>
        <v/>
      </c>
      <c r="BY6" s="60"/>
      <c r="BZ6" s="67" t="str">
        <f t="shared" si="31"/>
        <v/>
      </c>
      <c r="CA6" s="60"/>
      <c r="CB6" s="67" t="str">
        <f t="shared" si="32"/>
        <v/>
      </c>
      <c r="CC6" s="60"/>
      <c r="CD6" s="67" t="str">
        <f t="shared" si="33"/>
        <v/>
      </c>
      <c r="CE6" s="60"/>
      <c r="CF6" s="67" t="str">
        <f t="shared" si="34"/>
        <v/>
      </c>
      <c r="CG6" s="60"/>
      <c r="CH6" s="67" t="str">
        <f t="shared" si="35"/>
        <v/>
      </c>
      <c r="CI6" s="60"/>
      <c r="CJ6" s="67" t="str">
        <f t="shared" si="36"/>
        <v/>
      </c>
      <c r="CK6" s="60"/>
      <c r="CL6" s="64" t="str">
        <f t="shared" si="37"/>
        <v/>
      </c>
      <c r="CM6" s="65" t="e">
        <f t="shared" si="41"/>
        <v>#VALUE!</v>
      </c>
      <c r="CN6" s="62">
        <v>0</v>
      </c>
      <c r="CO6" s="62">
        <v>0</v>
      </c>
      <c r="CP6" s="68"/>
      <c r="CQ6" s="67" t="str">
        <f t="shared" si="38"/>
        <v/>
      </c>
      <c r="CR6" s="68"/>
      <c r="CS6" s="67" t="str">
        <f t="shared" si="38"/>
        <v/>
      </c>
      <c r="CT6" s="75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44351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3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44352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44353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44354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44355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44356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44357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44358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44359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44360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44361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44362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44363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44364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44365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44366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F12" sqref="F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0"/>
        <v>-197</v>
      </c>
    </row>
    <row r="11" spans="1:20" x14ac:dyDescent="0.25">
      <c r="A11" s="73">
        <v>44351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44365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2021-06-03T19:31:33Z</dcterms:modified>
</cp:coreProperties>
</file>