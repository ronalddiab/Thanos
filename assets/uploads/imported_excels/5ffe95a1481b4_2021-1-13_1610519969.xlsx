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20" yWindow="-120" windowWidth="19440" windowHeight="11160" firstSheet="2" activeTab="6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8" l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B36" i="4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G3" i="6"/>
  <c r="G4" i="6"/>
  <c r="G5" i="6"/>
  <c r="G6" i="6"/>
  <c r="G7" i="6"/>
  <c r="G8" i="6"/>
  <c r="G9" i="6"/>
  <c r="G10" i="6"/>
  <c r="G11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2" i="6"/>
  <c r="B34" i="4" l="1"/>
  <c r="B35" i="8"/>
  <c r="K33" i="6"/>
  <c r="J33" i="6"/>
  <c r="I33" i="6"/>
  <c r="E33" i="6"/>
  <c r="F33" i="6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4" i="4" s="1"/>
  <c r="D36" i="4" s="1"/>
  <c r="D33" i="4"/>
  <c r="C33" i="3"/>
  <c r="D33" i="3"/>
  <c r="E33" i="3"/>
  <c r="J33" i="3"/>
  <c r="K33" i="3"/>
  <c r="L33" i="3"/>
  <c r="I33" i="3" l="1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X26" i="8" s="1"/>
  <c r="U26" i="8"/>
  <c r="S26" i="8"/>
  <c r="Q26" i="8"/>
  <c r="R26" i="8" s="1"/>
  <c r="O26" i="8"/>
  <c r="P26" i="8" s="1"/>
  <c r="M26" i="8"/>
  <c r="K26" i="8"/>
  <c r="I26" i="8"/>
  <c r="J26" i="8" s="1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X22" i="8" s="1"/>
  <c r="U22" i="8"/>
  <c r="S22" i="8"/>
  <c r="T22" i="8" s="1"/>
  <c r="Q22" i="8"/>
  <c r="R22" i="8" s="1"/>
  <c r="O22" i="8"/>
  <c r="P22" i="8" s="1"/>
  <c r="M22" i="8"/>
  <c r="K22" i="8"/>
  <c r="I22" i="8"/>
  <c r="J22" i="8" s="1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X18" i="8" s="1"/>
  <c r="U18" i="8"/>
  <c r="S18" i="8"/>
  <c r="T18" i="8" s="1"/>
  <c r="Q18" i="8"/>
  <c r="R18" i="8" s="1"/>
  <c r="O18" i="8"/>
  <c r="P18" i="8" s="1"/>
  <c r="M18" i="8"/>
  <c r="K18" i="8"/>
  <c r="I18" i="8"/>
  <c r="J18" i="8" s="1"/>
  <c r="E18" i="8"/>
  <c r="C18" i="8"/>
  <c r="A18" i="8"/>
  <c r="W17" i="8"/>
  <c r="U17" i="8"/>
  <c r="S17" i="8"/>
  <c r="Q17" i="8"/>
  <c r="O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X10" i="8" s="1"/>
  <c r="U10" i="8"/>
  <c r="S10" i="8"/>
  <c r="T10" i="8" s="1"/>
  <c r="Q10" i="8"/>
  <c r="R10" i="8" s="1"/>
  <c r="O10" i="8"/>
  <c r="P10" i="8" s="1"/>
  <c r="M10" i="8"/>
  <c r="K10" i="8"/>
  <c r="I10" i="8"/>
  <c r="J10" i="8" s="1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J7" i="8" s="1"/>
  <c r="E7" i="8"/>
  <c r="C7" i="8"/>
  <c r="A7" i="8"/>
  <c r="W6" i="8"/>
  <c r="X6" i="8" s="1"/>
  <c r="U6" i="8"/>
  <c r="S6" i="8"/>
  <c r="T6" i="8" s="1"/>
  <c r="Q6" i="8"/>
  <c r="R6" i="8" s="1"/>
  <c r="O6" i="8"/>
  <c r="P6" i="8" s="1"/>
  <c r="M6" i="8"/>
  <c r="K6" i="8"/>
  <c r="I6" i="8"/>
  <c r="J6" i="8" s="1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R14" i="8" l="1"/>
  <c r="P14" i="8"/>
  <c r="X14" i="8"/>
  <c r="J14" i="8"/>
  <c r="T14" i="8"/>
  <c r="T26" i="8"/>
  <c r="R7" i="8"/>
  <c r="T8" i="8"/>
  <c r="J11" i="8"/>
  <c r="R11" i="8"/>
  <c r="T12" i="8"/>
  <c r="J15" i="8"/>
  <c r="R15" i="8"/>
  <c r="T16" i="8"/>
  <c r="J19" i="8"/>
  <c r="R19" i="8"/>
  <c r="T20" i="8"/>
  <c r="J23" i="8"/>
  <c r="R23" i="8"/>
  <c r="T24" i="8"/>
  <c r="R27" i="8"/>
  <c r="T28" i="8"/>
  <c r="R31" i="8"/>
  <c r="V32" i="8"/>
  <c r="P8" i="8"/>
  <c r="X12" i="8"/>
  <c r="X16" i="8"/>
  <c r="P20" i="8"/>
  <c r="X8" i="8"/>
  <c r="P12" i="8"/>
  <c r="P1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G33" i="6"/>
  <c r="H33" i="6" s="1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F35" i="2" l="1"/>
  <c r="O35" i="2"/>
  <c r="V9" i="2"/>
  <c r="T35" i="2"/>
  <c r="P35" i="2"/>
  <c r="K35" i="2"/>
  <c r="V32" i="2"/>
  <c r="V24" i="2"/>
  <c r="V16" i="2"/>
  <c r="F4" i="3"/>
  <c r="V5" i="2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V20" i="2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M20" i="3"/>
  <c r="C30" i="4"/>
  <c r="C25" i="4"/>
  <c r="C29" i="4"/>
  <c r="H15" i="4"/>
  <c r="D28" i="3"/>
  <c r="E8" i="3"/>
  <c r="D27" i="3"/>
  <c r="M27" i="3"/>
  <c r="D19" i="3"/>
  <c r="C18" i="4"/>
  <c r="C15" i="4"/>
  <c r="M15" i="3"/>
  <c r="H29" i="3"/>
  <c r="C14" i="4"/>
  <c r="C13" i="4"/>
  <c r="M17" i="3"/>
  <c r="K17" i="4"/>
  <c r="H17" i="4"/>
  <c r="F14" i="3"/>
  <c r="D11" i="3"/>
  <c r="D8" i="3"/>
  <c r="D12" i="3"/>
  <c r="D7" i="3"/>
  <c r="D5" i="3"/>
  <c r="D9" i="3"/>
  <c r="M4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<sst xmlns="http://schemas.openxmlformats.org/spreadsheetml/2006/main" count="197" uniqueCount="124">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</sst>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1" fontId="6" fillId="0" borderId="1" xfId="1" applyNumberForma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166" fontId="1" fillId="5" borderId="1" xfId="2" applyNumberFormat="1" applyFont="1" applyFill="1" applyBorder="1" applyAlignment="1">
      <alignment horizontal="center"/>
    </xf>
    <xf numFmtId="0" fontId="6" fillId="9" borderId="1" xfId="1" applyFill="1" applyBorder="1" applyAlignment="1">
      <alignment horizontal="center"/>
    </xf>
    <xf numFmtId="166" fontId="6" fillId="9" borderId="1" xfId="1" applyNumberFormat="1" applyFill="1" applyBorder="1" applyAlignment="1">
      <alignment horizontal="center"/>
    </xf>
    <xf numFmtId="166" fontId="6" fillId="9" borderId="1" xfId="1" applyNumberFormat="1" applyFill="1" applyBorder="1" applyAlignment="1">
      <alignment horizontal="left"/>
    </xf>
    <xf numFmtId="166" fontId="6" fillId="9" borderId="1" xfId="2" applyNumberFormat="1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43" fontId="6" fillId="0" borderId="0" xfId="1" applyNumberFormat="1"/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</c:v>
                </c:pt>
                <c:pt idx="1">
                  <c:v>-1935500</c:v>
                </c:pt>
                <c:pt idx="2">
                  <c:v>-187449.99999999997</c:v>
                </c:pt>
                <c:pt idx="3">
                  <c:v>-750470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-176927</c:v>
                </c:pt>
                <c:pt idx="3">
                  <c:v>0.77015862237080368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-31068</c:v>
                </c:pt>
                <c:pt idx="7">
                  <c:v>0.13523819473464271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-815</c:v>
                </c:pt>
                <c:pt idx="11">
                  <c:v>3.547673770720156E-3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1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3419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1"/>
                <c:pt idx="0">
                  <c:v>Total Consumption M3                       (Meter 1 : 2) 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-714069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766272"/>
        <c:axId val="143767808"/>
      </c:barChart>
      <c:catAx>
        <c:axId val="1437662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43767808"/>
        <c:crosses val="autoZero"/>
        <c:auto val="1"/>
        <c:lblAlgn val="ctr"/>
        <c:lblOffset val="100"/>
        <c:noMultiLvlLbl val="0"/>
      </c:catAx>
      <c:valAx>
        <c:axId val="1437678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3766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selection activeCell="J21" sqref="J21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85546875" style="44" customWidth="1"/>
    <col min="8" max="8" width="11.28515625" style="44" customWidth="1"/>
    <col min="9" max="11" width="10.28515625" style="44" bestFit="1" customWidth="1"/>
    <col min="12" max="16384" width="9.140625" style="44"/>
  </cols>
  <sheetData>
    <row r="1" spans="1:11" ht="60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6</v>
      </c>
      <c r="H1" s="43" t="s">
        <v>7</v>
      </c>
      <c r="I1" s="41" t="s">
        <v>8</v>
      </c>
      <c r="J1" s="41" t="s">
        <v>9</v>
      </c>
      <c r="K1" s="41" t="s">
        <v>10</v>
      </c>
    </row>
    <row r="2" spans="1:11" ht="15.75" x14ac:dyDescent="0.25">
      <c r="A2" s="45" t="s">
        <v>11</v>
      </c>
      <c r="B2" s="46">
        <v>1</v>
      </c>
      <c r="C2" s="47">
        <v>1</v>
      </c>
      <c r="D2" s="46">
        <v>2021</v>
      </c>
      <c r="E2" s="75">
        <v>19020</v>
      </c>
      <c r="F2" s="49">
        <v>0.13924</v>
      </c>
      <c r="G2" s="48">
        <f>'Water consumption'!B4</f>
        <v>306</v>
      </c>
      <c r="H2" s="83">
        <v>0.40400000000000003</v>
      </c>
      <c r="I2" s="73">
        <v>65</v>
      </c>
      <c r="J2" s="73">
        <v>182</v>
      </c>
      <c r="K2" s="73">
        <v>488</v>
      </c>
    </row>
    <row r="3" spans="1:11" ht="15.75" x14ac:dyDescent="0.25">
      <c r="A3" s="45" t="s">
        <v>11</v>
      </c>
      <c r="B3" s="46">
        <f>B2+1</f>
        <v>2</v>
      </c>
      <c r="C3" s="47">
        <v>1</v>
      </c>
      <c r="D3" s="46">
        <v>2021</v>
      </c>
      <c r="E3" s="75">
        <v>22270</v>
      </c>
      <c r="F3" s="49">
        <v>0.13924</v>
      </c>
      <c r="G3" s="48">
        <f>'Water consumption'!B5</f>
        <v>253</v>
      </c>
      <c r="H3" s="83">
        <v>0.40400000000000003</v>
      </c>
      <c r="I3" s="73">
        <v>57</v>
      </c>
      <c r="J3" s="73">
        <v>161</v>
      </c>
      <c r="K3" s="73">
        <v>468</v>
      </c>
    </row>
    <row r="4" spans="1:11" ht="15.75" x14ac:dyDescent="0.25">
      <c r="A4" s="45" t="s">
        <v>11</v>
      </c>
      <c r="B4" s="46">
        <f t="shared" ref="B4:B32" si="0">B3+1</f>
        <v>3</v>
      </c>
      <c r="C4" s="47">
        <v>1</v>
      </c>
      <c r="D4" s="46">
        <v>2021</v>
      </c>
      <c r="E4" s="75">
        <v>23276</v>
      </c>
      <c r="F4" s="49">
        <v>0.13924</v>
      </c>
      <c r="G4" s="48">
        <f>'Water consumption'!B6</f>
        <v>266</v>
      </c>
      <c r="H4" s="83">
        <v>0.40400000000000003</v>
      </c>
      <c r="I4" s="73">
        <v>55</v>
      </c>
      <c r="J4" s="73">
        <v>157</v>
      </c>
      <c r="K4" s="73">
        <v>427</v>
      </c>
    </row>
    <row r="5" spans="1:11" ht="15.75" x14ac:dyDescent="0.25">
      <c r="A5" s="45" t="s">
        <v>11</v>
      </c>
      <c r="B5" s="46">
        <f t="shared" si="0"/>
        <v>4</v>
      </c>
      <c r="C5" s="47">
        <v>1</v>
      </c>
      <c r="D5" s="46">
        <v>2021</v>
      </c>
      <c r="E5" s="75">
        <v>20044</v>
      </c>
      <c r="F5" s="49">
        <v>0.13924</v>
      </c>
      <c r="G5" s="48">
        <f>'Water consumption'!B7</f>
        <v>316</v>
      </c>
      <c r="H5" s="83">
        <v>0.40400000000000003</v>
      </c>
      <c r="I5" s="73">
        <v>55</v>
      </c>
      <c r="J5" s="73">
        <v>157</v>
      </c>
      <c r="K5" s="73">
        <v>415</v>
      </c>
    </row>
    <row r="6" spans="1:11" ht="15.75" x14ac:dyDescent="0.25">
      <c r="A6" s="45" t="s">
        <v>11</v>
      </c>
      <c r="B6" s="46">
        <f t="shared" si="0"/>
        <v>5</v>
      </c>
      <c r="C6" s="47">
        <v>1</v>
      </c>
      <c r="D6" s="46">
        <v>2021</v>
      </c>
      <c r="E6" s="75">
        <v>19110</v>
      </c>
      <c r="F6" s="49">
        <v>0.13924</v>
      </c>
      <c r="G6" s="48">
        <f>'Water consumption'!B8</f>
        <v>318</v>
      </c>
      <c r="H6" s="83">
        <v>0.40400000000000003</v>
      </c>
      <c r="I6" s="73">
        <v>60</v>
      </c>
      <c r="J6" s="73">
        <v>168</v>
      </c>
      <c r="K6" s="73">
        <v>428</v>
      </c>
    </row>
    <row r="7" spans="1:11" ht="15.75" x14ac:dyDescent="0.25">
      <c r="A7" s="45" t="s">
        <v>11</v>
      </c>
      <c r="B7" s="46">
        <f t="shared" si="0"/>
        <v>6</v>
      </c>
      <c r="C7" s="47">
        <v>1</v>
      </c>
      <c r="D7" s="46">
        <v>2021</v>
      </c>
      <c r="E7" s="75">
        <v>18760</v>
      </c>
      <c r="F7" s="49">
        <v>0.13924</v>
      </c>
      <c r="G7" s="48">
        <f>'Water consumption'!B9</f>
        <v>283</v>
      </c>
      <c r="H7" s="83">
        <v>0.40400000000000003</v>
      </c>
      <c r="I7" s="73">
        <v>59</v>
      </c>
      <c r="J7" s="73">
        <v>167</v>
      </c>
      <c r="K7" s="73">
        <v>430</v>
      </c>
    </row>
    <row r="8" spans="1:11" ht="15.75" x14ac:dyDescent="0.25">
      <c r="A8" s="45" t="s">
        <v>11</v>
      </c>
      <c r="B8" s="46">
        <f t="shared" si="0"/>
        <v>7</v>
      </c>
      <c r="C8" s="47">
        <v>1</v>
      </c>
      <c r="D8" s="46">
        <v>2021</v>
      </c>
      <c r="E8" s="75">
        <v>22080</v>
      </c>
      <c r="F8" s="49">
        <v>0.13924</v>
      </c>
      <c r="G8" s="48">
        <f>'Water consumption'!B10</f>
        <v>253</v>
      </c>
      <c r="H8" s="83">
        <v>0.40400000000000003</v>
      </c>
      <c r="I8" s="73">
        <v>58</v>
      </c>
      <c r="J8" s="73">
        <v>165</v>
      </c>
      <c r="K8" s="73">
        <v>448</v>
      </c>
    </row>
    <row r="9" spans="1:11" ht="15.75" x14ac:dyDescent="0.25">
      <c r="A9" s="45" t="s">
        <v>11</v>
      </c>
      <c r="B9" s="46">
        <f t="shared" si="0"/>
        <v>8</v>
      </c>
      <c r="C9" s="47">
        <v>1</v>
      </c>
      <c r="D9" s="46">
        <v>2021</v>
      </c>
      <c r="E9" s="75">
        <v>19940</v>
      </c>
      <c r="F9" s="49">
        <v>0.13924</v>
      </c>
      <c r="G9" s="48">
        <f>'Water consumption'!B11</f>
        <v>296</v>
      </c>
      <c r="H9" s="83">
        <v>0.40400000000000003</v>
      </c>
      <c r="I9" s="73">
        <v>61</v>
      </c>
      <c r="J9" s="73">
        <v>173</v>
      </c>
      <c r="K9" s="73">
        <v>450</v>
      </c>
    </row>
    <row r="10" spans="1:11" ht="15.75" x14ac:dyDescent="0.25">
      <c r="A10" s="45" t="s">
        <v>11</v>
      </c>
      <c r="B10" s="46">
        <f t="shared" si="0"/>
        <v>9</v>
      </c>
      <c r="C10" s="47">
        <v>1</v>
      </c>
      <c r="D10" s="46">
        <v>2021</v>
      </c>
      <c r="E10" s="75">
        <v>20900</v>
      </c>
      <c r="F10" s="49">
        <v>0.13924</v>
      </c>
      <c r="G10" s="48">
        <f>'Water consumption'!B12</f>
        <v>266</v>
      </c>
      <c r="H10" s="83">
        <v>0.40400000000000003</v>
      </c>
      <c r="I10" s="73">
        <v>55</v>
      </c>
      <c r="J10" s="73">
        <v>158</v>
      </c>
      <c r="K10" s="73">
        <v>427</v>
      </c>
    </row>
    <row r="11" spans="1:11" ht="15.75" x14ac:dyDescent="0.25">
      <c r="A11" s="45" t="s">
        <v>11</v>
      </c>
      <c r="B11" s="46">
        <f t="shared" si="0"/>
        <v>10</v>
      </c>
      <c r="C11" s="47">
        <v>1</v>
      </c>
      <c r="D11" s="46">
        <v>2021</v>
      </c>
      <c r="E11" s="75">
        <v>21480</v>
      </c>
      <c r="F11" s="49">
        <v>0.13924</v>
      </c>
      <c r="G11" s="48">
        <f>'Water consumption'!B13</f>
        <v>276</v>
      </c>
      <c r="H11" s="83">
        <v>0.40400000000000003</v>
      </c>
      <c r="I11" s="73">
        <v>42</v>
      </c>
      <c r="J11" s="73">
        <v>113</v>
      </c>
      <c r="K11" s="73">
        <v>371</v>
      </c>
    </row>
    <row r="12" spans="1:11" ht="15.75" x14ac:dyDescent="0.25">
      <c r="A12" s="45" t="s">
        <v>11</v>
      </c>
      <c r="B12" s="46">
        <f t="shared" si="0"/>
        <v>11</v>
      </c>
      <c r="C12" s="47">
        <v>1</v>
      </c>
      <c r="D12" s="46">
        <v>2021</v>
      </c>
      <c r="E12" s="75">
        <v>20740</v>
      </c>
      <c r="F12" s="49">
        <v>0.13924</v>
      </c>
      <c r="G12" s="48">
        <v>318</v>
      </c>
      <c r="H12" s="83">
        <v>0.40400000000000003</v>
      </c>
      <c r="I12" s="73">
        <v>50</v>
      </c>
      <c r="J12" s="73">
        <v>126</v>
      </c>
      <c r="K12" s="73">
        <v>380</v>
      </c>
    </row>
    <row r="13" spans="1:11" ht="15.75" x14ac:dyDescent="0.25">
      <c r="A13" s="45" t="s">
        <v>11</v>
      </c>
      <c r="B13" s="46">
        <f t="shared" si="0"/>
        <v>12</v>
      </c>
      <c r="C13" s="47">
        <v>1</v>
      </c>
      <c r="D13" s="46">
        <v>2021</v>
      </c>
      <c r="E13" s="75">
        <v>19420</v>
      </c>
      <c r="F13" s="49">
        <v>0.13924</v>
      </c>
      <c r="G13" s="48">
        <v>268</v>
      </c>
      <c r="H13" s="83">
        <v>0.40400000000000003</v>
      </c>
      <c r="I13" s="73"/>
      <c r="J13" s="73"/>
      <c r="K13" s="73"/>
    </row>
    <row r="14" spans="1:11" ht="15.75" x14ac:dyDescent="0.25">
      <c r="A14" s="45" t="s">
        <v>11</v>
      </c>
      <c r="B14" s="46">
        <f t="shared" si="0"/>
        <v>13</v>
      </c>
      <c r="C14" s="47">
        <v>1</v>
      </c>
      <c r="D14" s="46">
        <v>2021</v>
      </c>
      <c r="E14" s="75">
        <v>0</v>
      </c>
      <c r="F14" s="49">
        <v>0.13924</v>
      </c>
      <c r="G14" s="48">
        <f>'Water consumption'!B16</f>
        <v>0</v>
      </c>
      <c r="H14" s="83">
        <v>0.40400000000000003</v>
      </c>
      <c r="I14" s="73"/>
      <c r="J14" s="73"/>
      <c r="K14" s="73"/>
    </row>
    <row r="15" spans="1:11" ht="15.75" x14ac:dyDescent="0.25">
      <c r="A15" s="45" t="s">
        <v>11</v>
      </c>
      <c r="B15" s="46">
        <f t="shared" si="0"/>
        <v>14</v>
      </c>
      <c r="C15" s="47">
        <v>1</v>
      </c>
      <c r="D15" s="46">
        <v>2021</v>
      </c>
      <c r="E15" s="75">
        <v>0</v>
      </c>
      <c r="F15" s="49">
        <v>0.13924</v>
      </c>
      <c r="G15" s="48">
        <f>'Water consumption'!B17</f>
        <v>0</v>
      </c>
      <c r="H15" s="83">
        <v>0.40400000000000003</v>
      </c>
      <c r="I15" s="73"/>
      <c r="J15" s="73"/>
      <c r="K15" s="73"/>
    </row>
    <row r="16" spans="1:11" ht="15.75" x14ac:dyDescent="0.25">
      <c r="A16" s="45" t="s">
        <v>11</v>
      </c>
      <c r="B16" s="46">
        <f t="shared" si="0"/>
        <v>15</v>
      </c>
      <c r="C16" s="47">
        <v>1</v>
      </c>
      <c r="D16" s="46">
        <v>2021</v>
      </c>
      <c r="E16" s="75">
        <v>0</v>
      </c>
      <c r="F16" s="49">
        <v>0.13924</v>
      </c>
      <c r="G16" s="48">
        <f>'Water consumption'!B18</f>
        <v>0</v>
      </c>
      <c r="H16" s="83">
        <v>0.40400000000000003</v>
      </c>
      <c r="I16" s="73"/>
      <c r="J16" s="73"/>
      <c r="K16" s="73"/>
    </row>
    <row r="17" spans="1:11" ht="15.75" x14ac:dyDescent="0.25">
      <c r="A17" s="45" t="s">
        <v>11</v>
      </c>
      <c r="B17" s="46">
        <f t="shared" si="0"/>
        <v>16</v>
      </c>
      <c r="C17" s="47">
        <v>1</v>
      </c>
      <c r="D17" s="46">
        <v>2021</v>
      </c>
      <c r="E17" s="75">
        <v>0</v>
      </c>
      <c r="F17" s="49">
        <v>0.13924</v>
      </c>
      <c r="G17" s="48">
        <f>'Water consumption'!B19</f>
        <v>0</v>
      </c>
      <c r="H17" s="83">
        <v>0.40400000000000003</v>
      </c>
      <c r="I17" s="73"/>
      <c r="J17" s="73"/>
      <c r="K17" s="73"/>
    </row>
    <row r="18" spans="1:11" ht="15.75" x14ac:dyDescent="0.25">
      <c r="A18" s="45" t="s">
        <v>11</v>
      </c>
      <c r="B18" s="46">
        <f t="shared" si="0"/>
        <v>17</v>
      </c>
      <c r="C18" s="47">
        <v>1</v>
      </c>
      <c r="D18" s="46">
        <v>2021</v>
      </c>
      <c r="E18" s="75">
        <v>0</v>
      </c>
      <c r="F18" s="49">
        <v>0.13924</v>
      </c>
      <c r="G18" s="48">
        <f>'Water consumption'!B20</f>
        <v>0</v>
      </c>
      <c r="H18" s="83">
        <v>0.40400000000000003</v>
      </c>
      <c r="I18" s="73"/>
      <c r="J18" s="73"/>
      <c r="K18" s="73"/>
    </row>
    <row r="19" spans="1:11" ht="15.75" x14ac:dyDescent="0.25">
      <c r="A19" s="45" t="s">
        <v>11</v>
      </c>
      <c r="B19" s="46">
        <f t="shared" si="0"/>
        <v>18</v>
      </c>
      <c r="C19" s="47">
        <v>1</v>
      </c>
      <c r="D19" s="46">
        <v>2021</v>
      </c>
      <c r="E19" s="75">
        <v>0</v>
      </c>
      <c r="F19" s="49">
        <v>0.13924</v>
      </c>
      <c r="G19" s="48">
        <f>'Water consumption'!B21</f>
        <v>0</v>
      </c>
      <c r="H19" s="83">
        <v>0.40400000000000003</v>
      </c>
      <c r="I19" s="73"/>
      <c r="J19" s="73"/>
      <c r="K19" s="73"/>
    </row>
    <row r="20" spans="1:11" ht="15.75" x14ac:dyDescent="0.25">
      <c r="A20" s="45" t="s">
        <v>11</v>
      </c>
      <c r="B20" s="46">
        <f t="shared" si="0"/>
        <v>19</v>
      </c>
      <c r="C20" s="47">
        <v>1</v>
      </c>
      <c r="D20" s="46">
        <v>2021</v>
      </c>
      <c r="E20" s="75">
        <v>0</v>
      </c>
      <c r="F20" s="49">
        <v>0.13924</v>
      </c>
      <c r="G20" s="48">
        <f>'Water consumption'!B22</f>
        <v>0</v>
      </c>
      <c r="H20" s="83">
        <v>0.40400000000000003</v>
      </c>
      <c r="I20" s="73"/>
      <c r="J20" s="73"/>
      <c r="K20" s="73"/>
    </row>
    <row r="21" spans="1:11" ht="15.75" x14ac:dyDescent="0.25">
      <c r="A21" s="45" t="s">
        <v>11</v>
      </c>
      <c r="B21" s="46">
        <f t="shared" si="0"/>
        <v>20</v>
      </c>
      <c r="C21" s="47">
        <v>1</v>
      </c>
      <c r="D21" s="46">
        <v>2021</v>
      </c>
      <c r="E21" s="75">
        <v>0</v>
      </c>
      <c r="F21" s="49">
        <v>0.13924</v>
      </c>
      <c r="G21" s="48">
        <f>'Water consumption'!B23</f>
        <v>0</v>
      </c>
      <c r="H21" s="83">
        <v>0.40400000000000003</v>
      </c>
      <c r="I21" s="73"/>
      <c r="J21" s="73"/>
      <c r="K21" s="73"/>
    </row>
    <row r="22" spans="1:11" ht="15.75" x14ac:dyDescent="0.25">
      <c r="A22" s="45" t="s">
        <v>11</v>
      </c>
      <c r="B22" s="46">
        <f t="shared" si="0"/>
        <v>21</v>
      </c>
      <c r="C22" s="47">
        <v>1</v>
      </c>
      <c r="D22" s="46">
        <v>2021</v>
      </c>
      <c r="E22" s="75">
        <v>0</v>
      </c>
      <c r="F22" s="49">
        <v>0.13924</v>
      </c>
      <c r="G22" s="48">
        <f>'Water consumption'!B24</f>
        <v>0</v>
      </c>
      <c r="H22" s="83">
        <v>0.40400000000000003</v>
      </c>
      <c r="I22" s="73"/>
      <c r="J22" s="73"/>
      <c r="K22" s="73"/>
    </row>
    <row r="23" spans="1:11" ht="15.75" x14ac:dyDescent="0.25">
      <c r="A23" s="45" t="s">
        <v>11</v>
      </c>
      <c r="B23" s="46">
        <f t="shared" si="0"/>
        <v>22</v>
      </c>
      <c r="C23" s="47">
        <v>1</v>
      </c>
      <c r="D23" s="46">
        <v>2021</v>
      </c>
      <c r="E23" s="75">
        <v>0</v>
      </c>
      <c r="F23" s="49">
        <v>0.13924</v>
      </c>
      <c r="G23" s="48">
        <f>'Water consumption'!B25</f>
        <v>0</v>
      </c>
      <c r="H23" s="83">
        <v>0.40400000000000003</v>
      </c>
      <c r="I23" s="73"/>
      <c r="J23" s="73"/>
      <c r="K23" s="73"/>
    </row>
    <row r="24" spans="1:11" ht="15.75" x14ac:dyDescent="0.25">
      <c r="A24" s="45" t="s">
        <v>11</v>
      </c>
      <c r="B24" s="46">
        <f t="shared" si="0"/>
        <v>23</v>
      </c>
      <c r="C24" s="47">
        <v>1</v>
      </c>
      <c r="D24" s="46">
        <v>2021</v>
      </c>
      <c r="E24" s="75">
        <v>0</v>
      </c>
      <c r="F24" s="49">
        <v>0.13924</v>
      </c>
      <c r="G24" s="48">
        <f>'Water consumption'!B26</f>
        <v>0</v>
      </c>
      <c r="H24" s="83">
        <v>0.40400000000000003</v>
      </c>
      <c r="I24" s="73"/>
      <c r="J24" s="73"/>
      <c r="K24" s="73"/>
    </row>
    <row r="25" spans="1:11" ht="15.75" x14ac:dyDescent="0.25">
      <c r="A25" s="45" t="s">
        <v>11</v>
      </c>
      <c r="B25" s="46">
        <f t="shared" si="0"/>
        <v>24</v>
      </c>
      <c r="C25" s="47">
        <v>1</v>
      </c>
      <c r="D25" s="46">
        <v>2021</v>
      </c>
      <c r="E25" s="75">
        <v>0</v>
      </c>
      <c r="F25" s="49">
        <v>0.13924</v>
      </c>
      <c r="G25" s="48">
        <f>'Water consumption'!B27</f>
        <v>0</v>
      </c>
      <c r="H25" s="83">
        <v>0.40400000000000003</v>
      </c>
      <c r="I25" s="73"/>
      <c r="J25" s="73"/>
      <c r="K25" s="73"/>
    </row>
    <row r="26" spans="1:11" ht="15.75" x14ac:dyDescent="0.25">
      <c r="A26" s="45" t="s">
        <v>11</v>
      </c>
      <c r="B26" s="46">
        <f>B25+1</f>
        <v>25</v>
      </c>
      <c r="C26" s="47">
        <v>1</v>
      </c>
      <c r="D26" s="46">
        <v>2021</v>
      </c>
      <c r="E26" s="75">
        <v>0</v>
      </c>
      <c r="F26" s="49">
        <v>0.13924</v>
      </c>
      <c r="G26" s="48">
        <f>'Water consumption'!B28</f>
        <v>0</v>
      </c>
      <c r="H26" s="83">
        <v>0.40400000000000003</v>
      </c>
      <c r="I26" s="73"/>
      <c r="J26" s="73"/>
      <c r="K26" s="73"/>
    </row>
    <row r="27" spans="1:11" ht="15.75" x14ac:dyDescent="0.25">
      <c r="A27" s="45" t="s">
        <v>11</v>
      </c>
      <c r="B27" s="46">
        <f t="shared" si="0"/>
        <v>26</v>
      </c>
      <c r="C27" s="47">
        <v>1</v>
      </c>
      <c r="D27" s="46">
        <v>2021</v>
      </c>
      <c r="E27" s="75">
        <v>0</v>
      </c>
      <c r="F27" s="49">
        <v>0.13924</v>
      </c>
      <c r="G27" s="48">
        <f>'Water consumption'!B29</f>
        <v>0</v>
      </c>
      <c r="H27" s="83">
        <v>0.40400000000000003</v>
      </c>
      <c r="I27" s="73"/>
      <c r="J27" s="73"/>
      <c r="K27" s="73"/>
    </row>
    <row r="28" spans="1:11" ht="15.75" x14ac:dyDescent="0.25">
      <c r="A28" s="45" t="s">
        <v>11</v>
      </c>
      <c r="B28" s="46">
        <f t="shared" si="0"/>
        <v>27</v>
      </c>
      <c r="C28" s="47">
        <v>1</v>
      </c>
      <c r="D28" s="46">
        <v>2021</v>
      </c>
      <c r="E28" s="75">
        <v>0</v>
      </c>
      <c r="F28" s="49">
        <v>0.13924</v>
      </c>
      <c r="G28" s="48">
        <f>'Water consumption'!B30</f>
        <v>0</v>
      </c>
      <c r="H28" s="83">
        <v>0.40400000000000003</v>
      </c>
      <c r="I28" s="73"/>
      <c r="J28" s="73"/>
      <c r="K28" s="73"/>
    </row>
    <row r="29" spans="1:11" ht="15.75" x14ac:dyDescent="0.25">
      <c r="A29" s="45" t="s">
        <v>11</v>
      </c>
      <c r="B29" s="46">
        <f t="shared" si="0"/>
        <v>28</v>
      </c>
      <c r="C29" s="47">
        <v>1</v>
      </c>
      <c r="D29" s="46">
        <v>2021</v>
      </c>
      <c r="E29" s="75">
        <v>0</v>
      </c>
      <c r="F29" s="49">
        <v>0.13924</v>
      </c>
      <c r="G29" s="48">
        <f>'Water consumption'!B31</f>
        <v>0</v>
      </c>
      <c r="H29" s="83">
        <v>0.40400000000000003</v>
      </c>
      <c r="I29" s="73"/>
      <c r="J29" s="73"/>
      <c r="K29" s="73"/>
    </row>
    <row r="30" spans="1:11" ht="15.75" x14ac:dyDescent="0.25">
      <c r="A30" s="45" t="s">
        <v>11</v>
      </c>
      <c r="B30" s="46">
        <f t="shared" si="0"/>
        <v>29</v>
      </c>
      <c r="C30" s="47">
        <v>1</v>
      </c>
      <c r="D30" s="46">
        <v>2021</v>
      </c>
      <c r="E30" s="75">
        <v>0</v>
      </c>
      <c r="F30" s="49">
        <v>0.13924</v>
      </c>
      <c r="G30" s="48">
        <f>'Water consumption'!B32</f>
        <v>0</v>
      </c>
      <c r="H30" s="83">
        <v>0.40400000000000003</v>
      </c>
      <c r="I30" s="73"/>
      <c r="J30" s="73"/>
      <c r="K30" s="73"/>
    </row>
    <row r="31" spans="1:11" ht="15.75" x14ac:dyDescent="0.25">
      <c r="A31" s="45" t="s">
        <v>11</v>
      </c>
      <c r="B31" s="46">
        <f t="shared" si="0"/>
        <v>30</v>
      </c>
      <c r="C31" s="47">
        <v>1</v>
      </c>
      <c r="D31" s="46">
        <v>2021</v>
      </c>
      <c r="E31" s="75">
        <v>0</v>
      </c>
      <c r="F31" s="49">
        <v>0.13924</v>
      </c>
      <c r="G31" s="48">
        <f>'Water consumption'!B33</f>
        <v>0</v>
      </c>
      <c r="H31" s="83">
        <v>0.40400000000000003</v>
      </c>
      <c r="I31" s="73"/>
      <c r="J31" s="73"/>
      <c r="K31" s="73"/>
    </row>
    <row r="32" spans="1:11" ht="15.75" x14ac:dyDescent="0.25">
      <c r="A32" s="45" t="s">
        <v>11</v>
      </c>
      <c r="B32" s="46">
        <f t="shared" si="0"/>
        <v>31</v>
      </c>
      <c r="C32" s="47">
        <v>1</v>
      </c>
      <c r="D32" s="46">
        <v>2021</v>
      </c>
      <c r="E32" s="75">
        <v>0</v>
      </c>
      <c r="F32" s="49">
        <v>0.13924</v>
      </c>
      <c r="G32" s="48">
        <f>'Water consumption'!B34</f>
        <v>0</v>
      </c>
      <c r="H32" s="83">
        <v>0.40400000000000003</v>
      </c>
      <c r="I32" s="73"/>
      <c r="J32" s="73"/>
      <c r="K32" s="73"/>
    </row>
    <row r="33" spans="1:11" x14ac:dyDescent="0.2">
      <c r="A33" s="76" t="s">
        <v>55</v>
      </c>
      <c r="E33" s="77">
        <f>SUM(E2:E32)</f>
        <v>247040</v>
      </c>
      <c r="F33" s="82">
        <f>E33*F32</f>
        <v>34397.849600000001</v>
      </c>
      <c r="G33" s="78">
        <f>SUM(G2:G32)</f>
        <v>3419</v>
      </c>
      <c r="H33" s="82">
        <f>G33*H32</f>
        <v>1381.2760000000001</v>
      </c>
      <c r="I33" s="79">
        <f t="shared" ref="I33:K33" si="1">SUM(I2:I32)</f>
        <v>617</v>
      </c>
      <c r="J33" s="79">
        <f t="shared" si="1"/>
        <v>1727</v>
      </c>
      <c r="K33" s="79">
        <f t="shared" si="1"/>
        <v>4732</v>
      </c>
    </row>
  </sheetData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opLeftCell="A2" zoomScale="78" zoomScaleNormal="78" workbookViewId="0">
      <selection activeCell="E13" sqref="E1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08" t="s">
        <v>12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84"/>
      <c r="V1" s="84"/>
    </row>
    <row r="2" spans="1:25" s="17" customFormat="1" ht="33" customHeight="1" x14ac:dyDescent="0.25">
      <c r="A2" s="29" t="s">
        <v>2</v>
      </c>
      <c r="B2" s="115" t="s">
        <v>13</v>
      </c>
      <c r="C2" s="115" t="s">
        <v>14</v>
      </c>
      <c r="D2" s="115" t="s">
        <v>15</v>
      </c>
      <c r="E2" s="115" t="s">
        <v>16</v>
      </c>
      <c r="F2" s="115" t="s">
        <v>17</v>
      </c>
      <c r="G2" s="110" t="s">
        <v>18</v>
      </c>
      <c r="H2" s="112" t="s">
        <v>19</v>
      </c>
      <c r="I2" s="115" t="s">
        <v>20</v>
      </c>
      <c r="J2" s="117" t="s">
        <v>21</v>
      </c>
      <c r="K2" s="118"/>
      <c r="L2" s="119"/>
      <c r="M2" s="110" t="s">
        <v>22</v>
      </c>
      <c r="N2" s="112" t="s">
        <v>23</v>
      </c>
      <c r="O2" s="113" t="s">
        <v>24</v>
      </c>
      <c r="P2" s="112" t="s">
        <v>25</v>
      </c>
      <c r="Q2" s="120" t="s">
        <v>26</v>
      </c>
      <c r="R2" s="115" t="s">
        <v>27</v>
      </c>
      <c r="S2" s="115" t="s">
        <v>28</v>
      </c>
      <c r="T2" s="115" t="s">
        <v>29</v>
      </c>
      <c r="V2" s="122" t="s">
        <v>8</v>
      </c>
      <c r="W2" s="122" t="s">
        <v>9</v>
      </c>
      <c r="X2" s="122" t="s">
        <v>10</v>
      </c>
    </row>
    <row r="3" spans="1:25" s="17" customFormat="1" ht="45" customHeight="1" x14ac:dyDescent="0.25">
      <c r="A3" s="30"/>
      <c r="B3" s="116"/>
      <c r="C3" s="116"/>
      <c r="D3" s="116"/>
      <c r="E3" s="116"/>
      <c r="F3" s="116"/>
      <c r="G3" s="111"/>
      <c r="H3" s="112"/>
      <c r="I3" s="116"/>
      <c r="J3" s="18" t="s">
        <v>30</v>
      </c>
      <c r="K3" s="18" t="s">
        <v>31</v>
      </c>
      <c r="L3" s="18" t="s">
        <v>32</v>
      </c>
      <c r="M3" s="111"/>
      <c r="N3" s="112"/>
      <c r="O3" s="114"/>
      <c r="P3" s="112"/>
      <c r="Q3" s="121"/>
      <c r="R3" s="116"/>
      <c r="S3" s="116"/>
      <c r="T3" s="116"/>
      <c r="V3" s="122"/>
      <c r="W3" s="122"/>
      <c r="X3" s="122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2">
        <v>65</v>
      </c>
      <c r="W4" s="72">
        <v>182</v>
      </c>
      <c r="X4" s="72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2">
        <v>57</v>
      </c>
      <c r="W5" s="72">
        <v>161</v>
      </c>
      <c r="X5" s="72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2">
        <v>55</v>
      </c>
      <c r="W6" s="72">
        <v>157</v>
      </c>
      <c r="X6" s="72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2">
        <v>55</v>
      </c>
      <c r="W7" s="72">
        <v>157</v>
      </c>
      <c r="X7" s="72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2">
        <v>60</v>
      </c>
      <c r="W8" s="72">
        <v>168</v>
      </c>
      <c r="X8" s="72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2">
        <v>59</v>
      </c>
      <c r="W9" s="72">
        <v>167</v>
      </c>
      <c r="X9" s="72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2">
        <v>58</v>
      </c>
      <c r="W10" s="72">
        <v>165</v>
      </c>
      <c r="X10" s="72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2">
        <v>61</v>
      </c>
      <c r="W11" s="72">
        <v>173</v>
      </c>
      <c r="X11" s="72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2">
        <v>55</v>
      </c>
      <c r="W12" s="72">
        <v>158</v>
      </c>
      <c r="X12" s="72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2">
        <v>42</v>
      </c>
      <c r="W13" s="72">
        <v>113</v>
      </c>
      <c r="X13" s="72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2">
        <v>50</v>
      </c>
      <c r="W14" s="72">
        <v>126</v>
      </c>
      <c r="X14" s="72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2"/>
      <c r="W15" s="72"/>
      <c r="X15" s="72"/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2"/>
      <c r="W16" s="72"/>
      <c r="X16" s="72"/>
      <c r="Y16" s="17"/>
    </row>
    <row r="17" spans="1:25" ht="21" customHeight="1" x14ac:dyDescent="0.25">
      <c r="A17" s="8">
        <v>44210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2"/>
      <c r="W17" s="72"/>
      <c r="X17" s="72"/>
      <c r="Y17" s="17"/>
    </row>
    <row r="18" spans="1:25" ht="21" customHeight="1" x14ac:dyDescent="0.25">
      <c r="A18" s="8">
        <v>44211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2"/>
      <c r="W18" s="72"/>
      <c r="X18" s="72"/>
      <c r="Y18" s="17"/>
    </row>
    <row r="19" spans="1:25" ht="21" customHeight="1" x14ac:dyDescent="0.25">
      <c r="A19" s="8">
        <v>44212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2"/>
      <c r="W19" s="72"/>
      <c r="X19" s="72"/>
      <c r="Y19" s="17"/>
    </row>
    <row r="20" spans="1:25" ht="21" customHeight="1" x14ac:dyDescent="0.25">
      <c r="A20" s="8">
        <v>44213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2"/>
      <c r="W20" s="72"/>
      <c r="X20" s="72"/>
      <c r="Y20" s="17"/>
    </row>
    <row r="21" spans="1:25" ht="21" customHeight="1" x14ac:dyDescent="0.25">
      <c r="A21" s="8">
        <v>44214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2"/>
      <c r="W21" s="72"/>
      <c r="X21" s="72"/>
      <c r="Y21" s="17"/>
    </row>
    <row r="22" spans="1:25" ht="21" customHeight="1" x14ac:dyDescent="0.25">
      <c r="A22" s="8">
        <v>44215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2"/>
      <c r="W22" s="72"/>
      <c r="X22" s="72"/>
      <c r="Y22" s="17"/>
    </row>
    <row r="23" spans="1:25" ht="21" customHeight="1" x14ac:dyDescent="0.25">
      <c r="A23" s="8">
        <v>44216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2"/>
      <c r="W23" s="72"/>
      <c r="X23" s="72"/>
      <c r="Y23" s="17"/>
    </row>
    <row r="24" spans="1:25" ht="21" customHeight="1" x14ac:dyDescent="0.25">
      <c r="A24" s="8">
        <v>44217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2"/>
      <c r="W24" s="72"/>
      <c r="X24" s="72"/>
      <c r="Y24" s="17"/>
    </row>
    <row r="25" spans="1:25" ht="21" customHeight="1" x14ac:dyDescent="0.25">
      <c r="A25" s="8">
        <v>44218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2"/>
      <c r="W25" s="72"/>
      <c r="X25" s="72"/>
      <c r="Y25" s="17"/>
    </row>
    <row r="26" spans="1:25" ht="21" customHeight="1" x14ac:dyDescent="0.25">
      <c r="A26" s="8">
        <v>44219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2"/>
      <c r="W26" s="72"/>
      <c r="X26" s="72"/>
      <c r="Y26" s="17"/>
    </row>
    <row r="27" spans="1:25" ht="21" customHeight="1" x14ac:dyDescent="0.25">
      <c r="A27" s="8">
        <v>44220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2"/>
      <c r="W27" s="72"/>
      <c r="X27" s="72"/>
      <c r="Y27" s="17"/>
    </row>
    <row r="28" spans="1:25" ht="21" customHeight="1" x14ac:dyDescent="0.25">
      <c r="A28" s="8">
        <v>44221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2"/>
      <c r="W28" s="72"/>
      <c r="X28" s="72"/>
      <c r="Y28" s="17"/>
    </row>
    <row r="29" spans="1:25" ht="21" customHeight="1" x14ac:dyDescent="0.25">
      <c r="A29" s="8">
        <v>44222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2"/>
      <c r="W29" s="72"/>
      <c r="X29" s="72"/>
      <c r="Y29" s="17"/>
    </row>
    <row r="30" spans="1:25" ht="21" customHeight="1" x14ac:dyDescent="0.25">
      <c r="A30" s="8">
        <v>44223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2"/>
      <c r="W30" s="72"/>
      <c r="X30" s="72"/>
      <c r="Y30" s="17"/>
    </row>
    <row r="31" spans="1:25" ht="21" customHeight="1" x14ac:dyDescent="0.25">
      <c r="A31" s="8">
        <v>44224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2"/>
      <c r="W31" s="72"/>
      <c r="X31" s="72"/>
      <c r="Y31" s="17"/>
    </row>
    <row r="32" spans="1:25" ht="21" customHeight="1" x14ac:dyDescent="0.25">
      <c r="A32" s="8">
        <v>44225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2"/>
      <c r="W32" s="72"/>
      <c r="X32" s="72"/>
      <c r="Y32" s="17"/>
    </row>
    <row r="33" spans="1:25" ht="19.5" customHeight="1" x14ac:dyDescent="0.25">
      <c r="A33" s="8">
        <v>44226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2"/>
      <c r="W33" s="72"/>
      <c r="X33" s="72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2"/>
      <c r="W34" s="72"/>
      <c r="X34" s="72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85">
        <f>SUM(V4:V34)</f>
        <v>617</v>
      </c>
      <c r="W35" s="85">
        <f>SUM(W4:W34)</f>
        <v>1727</v>
      </c>
      <c r="X35" s="85">
        <f>SUM(X4:X34)</f>
        <v>4732</v>
      </c>
    </row>
    <row r="42" spans="1:25" x14ac:dyDescent="0.25">
      <c r="T42" s="15" t="s">
        <v>33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T11" sqref="T11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3" t="s">
        <v>34</v>
      </c>
      <c r="B2" s="115" t="s">
        <v>35</v>
      </c>
      <c r="C2" s="115" t="s">
        <v>36</v>
      </c>
      <c r="D2" s="115" t="s">
        <v>122</v>
      </c>
      <c r="E2" s="113" t="s">
        <v>37</v>
      </c>
      <c r="F2" s="123" t="s">
        <v>38</v>
      </c>
      <c r="G2" s="124"/>
      <c r="H2" s="125"/>
      <c r="I2" s="126" t="s">
        <v>39</v>
      </c>
      <c r="J2" s="126" t="s">
        <v>40</v>
      </c>
      <c r="K2" s="126" t="s">
        <v>41</v>
      </c>
      <c r="L2" s="126" t="s">
        <v>42</v>
      </c>
      <c r="M2" s="127" t="s">
        <v>43</v>
      </c>
      <c r="N2" s="127"/>
      <c r="O2" s="127"/>
      <c r="P2" s="127"/>
      <c r="Q2" s="127"/>
      <c r="R2" s="127"/>
      <c r="S2" s="126" t="s">
        <v>44</v>
      </c>
      <c r="T2" s="126"/>
      <c r="U2" s="128" t="s">
        <v>45</v>
      </c>
      <c r="V2" s="126" t="s">
        <v>46</v>
      </c>
    </row>
    <row r="3" spans="1:22" x14ac:dyDescent="0.25">
      <c r="A3" s="114"/>
      <c r="B3" s="116"/>
      <c r="C3" s="116"/>
      <c r="D3" s="116"/>
      <c r="E3" s="114"/>
      <c r="F3" s="6" t="s">
        <v>30</v>
      </c>
      <c r="G3" s="6" t="s">
        <v>31</v>
      </c>
      <c r="H3" s="6" t="s">
        <v>32</v>
      </c>
      <c r="I3" s="126"/>
      <c r="J3" s="126"/>
      <c r="K3" s="126"/>
      <c r="L3" s="126"/>
      <c r="M3" s="12" t="s">
        <v>47</v>
      </c>
      <c r="N3" s="12" t="s">
        <v>48</v>
      </c>
      <c r="O3" s="12" t="s">
        <v>49</v>
      </c>
      <c r="P3" s="12" t="s">
        <v>50</v>
      </c>
      <c r="Q3" s="12" t="s">
        <v>51</v>
      </c>
      <c r="R3" s="12" t="s">
        <v>52</v>
      </c>
      <c r="S3" s="12" t="s">
        <v>53</v>
      </c>
      <c r="T3" s="13" t="s">
        <v>54</v>
      </c>
      <c r="U3" s="128"/>
      <c r="V3" s="126"/>
    </row>
    <row r="4" spans="1:22" x14ac:dyDescent="0.25">
      <c r="A4" s="3">
        <f>'Kwh Reading'!A4</f>
        <v>44197</v>
      </c>
      <c r="B4" s="26">
        <f>TOTAL!E2</f>
        <v>19020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4864.5099999997674</v>
      </c>
    </row>
    <row r="5" spans="1:22" x14ac:dyDescent="0.25">
      <c r="A5" s="3">
        <f>'Kwh Reading'!A5</f>
        <v>44198</v>
      </c>
      <c r="B5" s="26">
        <f>TOTAL!E3</f>
        <v>22270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6656.9699999996283</v>
      </c>
    </row>
    <row r="6" spans="1:22" x14ac:dyDescent="0.25">
      <c r="A6" s="3">
        <f>'Kwh Reading'!A6</f>
        <v>44199</v>
      </c>
      <c r="B6" s="26">
        <f>TOTAL!E4</f>
        <v>23276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6631.5000000009786</v>
      </c>
    </row>
    <row r="7" spans="1:22" x14ac:dyDescent="0.25">
      <c r="A7" s="3">
        <f>'Kwh Reading'!A7</f>
        <v>44200</v>
      </c>
      <c r="B7" s="26">
        <f>TOTAL!E5</f>
        <v>20044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5819.4899999992667</v>
      </c>
    </row>
    <row r="8" spans="1:22" x14ac:dyDescent="0.25">
      <c r="A8" s="3">
        <f>'Kwh Reading'!A8</f>
        <v>44201</v>
      </c>
      <c r="B8" s="26">
        <f>TOTAL!E6</f>
        <v>19110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4977.5700000004108</v>
      </c>
    </row>
    <row r="9" spans="1:22" x14ac:dyDescent="0.25">
      <c r="A9" s="3">
        <f>'Kwh Reading'!A9</f>
        <v>44202</v>
      </c>
      <c r="B9" s="26">
        <f>TOTAL!E7</f>
        <v>18760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4788.4799999992938</v>
      </c>
    </row>
    <row r="10" spans="1:22" x14ac:dyDescent="0.25">
      <c r="A10" s="3">
        <f>'Kwh Reading'!A10</f>
        <v>44203</v>
      </c>
      <c r="B10" s="26">
        <f>TOTAL!E8</f>
        <v>22080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5376.3200000004144</v>
      </c>
    </row>
    <row r="11" spans="1:22" x14ac:dyDescent="0.25">
      <c r="A11" s="3">
        <f>'Kwh Reading'!A11</f>
        <v>44204</v>
      </c>
      <c r="B11" s="26">
        <f>TOTAL!E9</f>
        <v>19940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4249.3199999995213</v>
      </c>
    </row>
    <row r="12" spans="1:22" x14ac:dyDescent="0.25">
      <c r="A12" s="3">
        <f>'Kwh Reading'!A12</f>
        <v>44205</v>
      </c>
      <c r="B12" s="26">
        <v>20900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6472.7200000007069</v>
      </c>
    </row>
    <row r="13" spans="1:22" x14ac:dyDescent="0.25">
      <c r="A13" s="3">
        <f>'Kwh Reading'!A13</f>
        <v>44206</v>
      </c>
      <c r="B13" s="26">
        <v>21480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5913.7099999995371</v>
      </c>
    </row>
    <row r="14" spans="1:22" x14ac:dyDescent="0.25">
      <c r="A14" s="3">
        <f>'Kwh Reading'!A14</f>
        <v>44207</v>
      </c>
      <c r="B14" s="26">
        <f>TOTAL!E12</f>
        <v>20740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5216.150000000549</v>
      </c>
    </row>
    <row r="15" spans="1:22" x14ac:dyDescent="0.25">
      <c r="A15" s="3">
        <f>'Kwh Reading'!A15</f>
        <v>44208</v>
      </c>
      <c r="B15" s="26">
        <f>TOTAL!E13</f>
        <v>19420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4409.7199999998938</v>
      </c>
    </row>
    <row r="16" spans="1:22" x14ac:dyDescent="0.25">
      <c r="A16" s="3">
        <f>'Kwh Reading'!A16</f>
        <v>44209</v>
      </c>
      <c r="B16" s="26">
        <f>TOTAL!E14</f>
        <v>0</v>
      </c>
      <c r="C16" s="4">
        <f>('Kwh Reading'!T17-'Kwh Reading'!T16)*1000</f>
        <v>-341370</v>
      </c>
      <c r="D16" s="2">
        <f>('Kwh Reading'!F17-'Kwh Reading'!F16)*1000000</f>
        <v>-1965800</v>
      </c>
      <c r="E16" s="2">
        <f>('Kwh Reading'!C17-'Kwh Reading'!C16)*1000</f>
        <v>-190650</v>
      </c>
      <c r="F16" s="2">
        <f>('Kwh Reading'!J17-'Kwh Reading'!J16)*1000</f>
        <v>-276390</v>
      </c>
      <c r="G16" s="2">
        <f>('Kwh Reading'!K17-'Kwh Reading'!K16)*1000</f>
        <v>-288650</v>
      </c>
      <c r="H16" s="2">
        <f>('Kwh Reading'!L17-'Kwh Reading'!L16)*1000</f>
        <v>-198280</v>
      </c>
      <c r="I16" s="2">
        <f>('Kwh Reading'!R17-'Kwh Reading'!R16)*1000</f>
        <v>-116480</v>
      </c>
      <c r="J16" s="2">
        <f>('Kwh Reading'!S17-'Kwh Reading'!S16)*1000</f>
        <v>-92951</v>
      </c>
      <c r="K16" s="2">
        <f>('Kwh Reading'!I17-'Kwh Reading'!I16)*1000</f>
        <v>-184290</v>
      </c>
      <c r="L16" s="2">
        <f>('Kwh Reading'!B17-'Kwh Reading'!B16)*1000</f>
        <v>-767850</v>
      </c>
      <c r="M16" s="2">
        <f>('Kwh Reading'!M17-'Kwh Reading'!M16)*1000</f>
        <v>-394750</v>
      </c>
      <c r="N16" s="2">
        <f>('Kwh Reading'!H17-'Kwh Reading'!H16)*1000</f>
        <v>-490770</v>
      </c>
      <c r="O16" s="2">
        <f>('Kwh Reading'!P17-'Kwh Reading'!P16)*1000</f>
        <v>-456630</v>
      </c>
      <c r="P16" s="2">
        <f>('Kwh Reading'!G17-'Kwh Reading'!G16)*1000</f>
        <v>-593010</v>
      </c>
      <c r="Q16" s="2">
        <f>('Kwh Reading'!Q17-'Kwh Reading'!Q16)*1000</f>
        <v>-338020</v>
      </c>
      <c r="R16" s="2">
        <f>('Kwh Reading'!N17-'Kwh Reading'!N16)*1000</f>
        <v>-339490</v>
      </c>
      <c r="S16" s="34">
        <f>'Kwh Reading'!E17-'Kwh Reading'!E16</f>
        <v>-7677656.7400000002</v>
      </c>
      <c r="T16" s="34">
        <f>'Kwh Reading'!D17-'Kwh Reading'!D16</f>
        <v>-7089819.6799999997</v>
      </c>
      <c r="U16" s="27">
        <f>('Kwh Reading'!O17-'Kwh Reading'!O16)*1000</f>
        <v>-110580</v>
      </c>
      <c r="V16" s="16">
        <f t="shared" si="0"/>
        <v>21913437.420000002</v>
      </c>
    </row>
    <row r="17" spans="1:22" x14ac:dyDescent="0.25">
      <c r="A17" s="3">
        <f>'Kwh Reading'!A17</f>
        <v>44210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44211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44212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44213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44214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44215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44216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44217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44218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44219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44220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44221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44222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44223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44224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44225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7" t="s">
        <v>55</v>
      </c>
      <c r="B35" s="86">
        <f>SUM(B4:B34)</f>
        <v>247040</v>
      </c>
      <c r="C35" s="81">
        <f t="shared" ref="C35" si="1">SUM(C4:C34)</f>
        <v>-334740</v>
      </c>
      <c r="D35" s="81">
        <f t="shared" ref="D35" si="2">SUM(D4:D34)</f>
        <v>-1935500</v>
      </c>
      <c r="E35" s="81">
        <f t="shared" ref="E35" si="3">SUM(E4:E34)</f>
        <v>-187449.99999999997</v>
      </c>
      <c r="F35" s="81">
        <f t="shared" ref="F35" si="4">SUM(F4:F34)</f>
        <v>-272090</v>
      </c>
      <c r="G35" s="81">
        <f t="shared" ref="G35:U35" si="5">SUM(G4:G34)</f>
        <v>-283610.00000000006</v>
      </c>
      <c r="H35" s="81">
        <f t="shared" si="5"/>
        <v>-194770</v>
      </c>
      <c r="I35" s="81">
        <f t="shared" si="5"/>
        <v>-114300</v>
      </c>
      <c r="J35" s="81">
        <f t="shared" si="5"/>
        <v>-91218.000000000015</v>
      </c>
      <c r="K35" s="81">
        <f t="shared" si="5"/>
        <v>-181590</v>
      </c>
      <c r="L35" s="81">
        <f t="shared" si="5"/>
        <v>-754530</v>
      </c>
      <c r="M35" s="81">
        <f t="shared" si="5"/>
        <v>-387460</v>
      </c>
      <c r="N35" s="81">
        <f t="shared" si="5"/>
        <v>-482030</v>
      </c>
      <c r="O35" s="81">
        <f t="shared" si="5"/>
        <v>-447390</v>
      </c>
      <c r="P35" s="81">
        <f t="shared" si="5"/>
        <v>-583600</v>
      </c>
      <c r="Q35" s="81">
        <f t="shared" si="5"/>
        <v>-331310</v>
      </c>
      <c r="R35" s="81">
        <f t="shared" si="5"/>
        <v>-331810</v>
      </c>
      <c r="S35" s="81">
        <f t="shared" si="5"/>
        <v>-7644266.0700000003</v>
      </c>
      <c r="T35" s="81">
        <f t="shared" si="5"/>
        <v>-7066749.8099999996</v>
      </c>
      <c r="U35" s="81">
        <f t="shared" si="5"/>
        <v>-107360</v>
      </c>
      <c r="V35" s="81">
        <f>SUM(V4:V34)</f>
        <v>21978813.880000003</v>
      </c>
    </row>
    <row r="40" spans="1:22" x14ac:dyDescent="0.25">
      <c r="S40" s="8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2.5703125" style="15" customWidth="1"/>
    <col min="8" max="8" width="18.85546875" style="15" customWidth="1"/>
    <col min="9" max="9" width="26" style="15" customWidth="1"/>
    <col min="10" max="10" width="23.28515625" style="15" customWidth="1"/>
    <col min="11" max="11" width="10.42578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35</v>
      </c>
      <c r="C2" s="35" t="s">
        <v>56</v>
      </c>
      <c r="D2" s="35" t="s">
        <v>57</v>
      </c>
      <c r="E2" s="35" t="s">
        <v>58</v>
      </c>
      <c r="F2" s="35" t="s">
        <v>59</v>
      </c>
      <c r="G2" s="20" t="s">
        <v>60</v>
      </c>
      <c r="H2" s="74" t="s">
        <v>61</v>
      </c>
      <c r="I2" s="23" t="s">
        <v>43</v>
      </c>
      <c r="J2" s="23" t="s">
        <v>62</v>
      </c>
      <c r="K2" s="23" t="s">
        <v>63</v>
      </c>
      <c r="L2" s="38" t="s">
        <v>64</v>
      </c>
    </row>
    <row r="3" spans="1:12" x14ac:dyDescent="0.25">
      <c r="A3" s="14">
        <f>'Kwh Reading'!A4</f>
        <v>44197</v>
      </c>
      <c r="B3" s="90">
        <f>TOTAL!E2</f>
        <v>19020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4864.5099999997692</v>
      </c>
    </row>
    <row r="4" spans="1:12" x14ac:dyDescent="0.25">
      <c r="A4" s="14">
        <f>'Kwh Reading'!A5</f>
        <v>44198</v>
      </c>
      <c r="B4" s="90">
        <f>TOTAL!E3</f>
        <v>22270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6656.9699999996283</v>
      </c>
    </row>
    <row r="5" spans="1:12" x14ac:dyDescent="0.25">
      <c r="A5" s="14">
        <f>'Kwh Reading'!A6</f>
        <v>44199</v>
      </c>
      <c r="B5" s="90">
        <f>TOTAL!E4</f>
        <v>23276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6631.500000000975</v>
      </c>
    </row>
    <row r="6" spans="1:12" x14ac:dyDescent="0.25">
      <c r="A6" s="14">
        <f>'Kwh Reading'!A7</f>
        <v>44200</v>
      </c>
      <c r="B6" s="90">
        <f>TOTAL!E5</f>
        <v>20044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5819.4899999992649</v>
      </c>
    </row>
    <row r="7" spans="1:12" x14ac:dyDescent="0.25">
      <c r="A7" s="14">
        <f>'Kwh Reading'!A8</f>
        <v>44201</v>
      </c>
      <c r="B7" s="90">
        <f>TOTAL!E6</f>
        <v>19110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4977.5700000004117</v>
      </c>
    </row>
    <row r="8" spans="1:12" x14ac:dyDescent="0.25">
      <c r="A8" s="14">
        <f>'Kwh Reading'!A9</f>
        <v>44202</v>
      </c>
      <c r="B8" s="90">
        <f>TOTAL!E7</f>
        <v>18760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4788.4799999992929</v>
      </c>
    </row>
    <row r="9" spans="1:12" x14ac:dyDescent="0.25">
      <c r="A9" s="14">
        <f>'Kwh Reading'!A10</f>
        <v>44203</v>
      </c>
      <c r="B9" s="90">
        <f>TOTAL!E8</f>
        <v>22080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5376.3200000004181</v>
      </c>
    </row>
    <row r="10" spans="1:12" x14ac:dyDescent="0.25">
      <c r="A10" s="14">
        <f>'Kwh Reading'!A11</f>
        <v>44204</v>
      </c>
      <c r="B10" s="90">
        <f>TOTAL!E9</f>
        <v>19940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4249.3199999995231</v>
      </c>
    </row>
    <row r="11" spans="1:12" x14ac:dyDescent="0.25">
      <c r="A11" s="14">
        <f>'Kwh Reading'!A12</f>
        <v>44205</v>
      </c>
      <c r="B11" s="90">
        <f>TOTAL!E10</f>
        <v>20900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6472.7200000007042</v>
      </c>
    </row>
    <row r="12" spans="1:12" x14ac:dyDescent="0.25">
      <c r="A12" s="14">
        <f>'Kwh Reading'!A13</f>
        <v>44206</v>
      </c>
      <c r="B12" s="90">
        <f>TOTAL!E11</f>
        <v>21480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5913.7099999995426</v>
      </c>
    </row>
    <row r="13" spans="1:12" x14ac:dyDescent="0.25">
      <c r="A13" s="14">
        <f>'Kwh Reading'!A14</f>
        <v>44207</v>
      </c>
      <c r="B13" s="90">
        <f>TOTAL!E12</f>
        <v>20740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5216.150000000549</v>
      </c>
    </row>
    <row r="14" spans="1:12" x14ac:dyDescent="0.25">
      <c r="A14" s="14">
        <f>'Kwh Reading'!A15</f>
        <v>44208</v>
      </c>
      <c r="B14" s="90">
        <f>TOTAL!E13</f>
        <v>19420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4409.7199999998938</v>
      </c>
    </row>
    <row r="15" spans="1:12" x14ac:dyDescent="0.25">
      <c r="A15" s="14">
        <f>'Kwh Reading'!A16</f>
        <v>44209</v>
      </c>
      <c r="B15" s="90">
        <f>TOTAL!E14</f>
        <v>0</v>
      </c>
      <c r="C15" s="1">
        <f>'Kwh Consumption'!C16</f>
        <v>-341370</v>
      </c>
      <c r="D15" s="1">
        <f>'Kwh Consumption'!D16</f>
        <v>-1965800</v>
      </c>
      <c r="E15" s="1">
        <f>'Kwh Consumption'!E16</f>
        <v>-190650</v>
      </c>
      <c r="F15" s="1">
        <f>('Kwh Consumption'!F16+'Kwh Consumption'!G16+'Kwh Consumption'!H16)</f>
        <v>-763320</v>
      </c>
      <c r="G15" s="16">
        <f>('Kwh Consumption'!I16+'Kwh Consumption'!J16)</f>
        <v>-209431</v>
      </c>
      <c r="H15" s="1">
        <f>('Kwh Consumption'!K16+'Kwh Consumption'!L16)</f>
        <v>-952140</v>
      </c>
      <c r="I15" s="1">
        <f>('Kwh Consumption'!M16+'Kwh Consumption'!N16+'Kwh Consumption'!O16+'Kwh Consumption'!P16+'Kwh Consumption'!Q16+'Kwh Consumption'!R16)</f>
        <v>-2612670</v>
      </c>
      <c r="J15" s="1">
        <f>('Kwh Consumption'!S16+'Kwh Consumption'!T16)</f>
        <v>-14767476.42</v>
      </c>
      <c r="K15" s="1">
        <f>'Kwh Consumption'!U16</f>
        <v>-110580</v>
      </c>
      <c r="L15" s="32">
        <f t="shared" si="0"/>
        <v>21913437.420000002</v>
      </c>
    </row>
    <row r="16" spans="1:12" x14ac:dyDescent="0.25">
      <c r="A16" s="14">
        <f>'Kwh Reading'!A17</f>
        <v>44210</v>
      </c>
      <c r="B16" s="9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44211</v>
      </c>
      <c r="B17" s="9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44212</v>
      </c>
      <c r="B18" s="9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44213</v>
      </c>
      <c r="B19" s="9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44214</v>
      </c>
      <c r="B20" s="9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44215</v>
      </c>
      <c r="B21" s="9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44216</v>
      </c>
      <c r="B22" s="9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44217</v>
      </c>
      <c r="B23" s="9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44218</v>
      </c>
      <c r="B24" s="9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44219</v>
      </c>
      <c r="B25" s="9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44220</v>
      </c>
      <c r="B26" s="9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44221</v>
      </c>
      <c r="B27" s="9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44222</v>
      </c>
      <c r="B28" s="9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44223</v>
      </c>
      <c r="B29" s="9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44224</v>
      </c>
      <c r="B30" s="9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44225</v>
      </c>
      <c r="B31" s="9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44226</v>
      </c>
      <c r="B32" s="9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44227</v>
      </c>
      <c r="B33" s="9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92" t="s">
        <v>123</v>
      </c>
      <c r="B34" s="81">
        <f>SUM(B3:B33)</f>
        <v>247040</v>
      </c>
      <c r="C34" s="81">
        <f>SUM(C3:C33)</f>
        <v>-334740</v>
      </c>
      <c r="D34" s="81">
        <f t="shared" ref="D34:L34" si="1">SUM(D3:D33)</f>
        <v>-1935500</v>
      </c>
      <c r="E34" s="81">
        <f t="shared" si="1"/>
        <v>-187449.99999999997</v>
      </c>
      <c r="F34" s="81">
        <f t="shared" si="1"/>
        <v>-750470</v>
      </c>
      <c r="G34" s="81">
        <f t="shared" si="1"/>
        <v>-205518</v>
      </c>
      <c r="H34" s="81">
        <f t="shared" si="1"/>
        <v>-936120</v>
      </c>
      <c r="I34" s="81">
        <f t="shared" si="1"/>
        <v>-2563600</v>
      </c>
      <c r="J34" s="81">
        <f t="shared" si="1"/>
        <v>-14711015.879999999</v>
      </c>
      <c r="K34" s="81">
        <f t="shared" si="1"/>
        <v>-107360</v>
      </c>
      <c r="L34" s="81">
        <f t="shared" si="1"/>
        <v>21978813.880000003</v>
      </c>
      <c r="M34" s="91">
        <f>C34+D34+E34+F34+G34+H34+I34+J34+K34+L34</f>
        <v>247040.00000000373</v>
      </c>
    </row>
    <row r="36" spans="1:13" ht="15.75" x14ac:dyDescent="0.25">
      <c r="A36" s="92" t="s">
        <v>66</v>
      </c>
      <c r="B36" s="93">
        <f>TOTAL!F2</f>
        <v>0.13924</v>
      </c>
      <c r="C36" s="81">
        <f>C34*B36</f>
        <v>-46609.1976</v>
      </c>
      <c r="D36" s="81">
        <f>D34*B36</f>
        <v>-269499.02</v>
      </c>
      <c r="E36" s="81">
        <f>E34*B36</f>
        <v>-26100.537999999997</v>
      </c>
      <c r="F36" s="81">
        <f>F34*B36</f>
        <v>-104495.4428</v>
      </c>
      <c r="G36" s="81">
        <f>G34*B36</f>
        <v>-28616.32632</v>
      </c>
      <c r="H36" s="81">
        <f>H34*B36</f>
        <v>-130345.34880000001</v>
      </c>
      <c r="I36" s="81">
        <f>I34*B36</f>
        <v>-356955.66399999999</v>
      </c>
      <c r="J36" s="81">
        <f>J34*B36</f>
        <v>-2048361.8511311999</v>
      </c>
      <c r="K36" s="81">
        <f>K34*B36</f>
        <v>-14948.806399999999</v>
      </c>
      <c r="L36" s="81">
        <f>L34*B36</f>
        <v>3060330.0446512005</v>
      </c>
      <c r="M36" s="91">
        <f>C36+D36+E36+F36+G36+H36+I36+J36+K36+L36</f>
        <v>34397.849600000773</v>
      </c>
    </row>
    <row r="37" spans="1:13" x14ac:dyDescent="0.25">
      <c r="J37" s="8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A29" sqref="A29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65</v>
      </c>
      <c r="C2" s="36" t="s">
        <v>66</v>
      </c>
      <c r="D2" s="35" t="s">
        <v>67</v>
      </c>
      <c r="E2" s="35" t="s">
        <v>68</v>
      </c>
      <c r="F2" s="36" t="s">
        <v>69</v>
      </c>
      <c r="G2" s="35" t="s">
        <v>70</v>
      </c>
      <c r="H2" s="20" t="s">
        <v>71</v>
      </c>
      <c r="I2" s="21" t="s">
        <v>72</v>
      </c>
      <c r="J2" s="22" t="s">
        <v>73</v>
      </c>
      <c r="K2" s="23" t="s">
        <v>74</v>
      </c>
      <c r="L2" s="25" t="s">
        <v>75</v>
      </c>
      <c r="M2" s="25" t="s">
        <v>76</v>
      </c>
    </row>
    <row r="3" spans="1:13" x14ac:dyDescent="0.25">
      <c r="A3" s="14">
        <f>'Kwh Reading'!A4</f>
        <v>44197</v>
      </c>
      <c r="B3" s="11">
        <f>TOTAL!F2</f>
        <v>0.13924</v>
      </c>
      <c r="C3" s="11">
        <f>'Kwh Consumption'!B4*' Kwh area wise $ '!B3</f>
        <v>2648.3447999999999</v>
      </c>
      <c r="D3" s="1">
        <f>'Kwh Consumption'!C4*' Kwh area wise $ '!B3</f>
        <v>73.797199999996195</v>
      </c>
      <c r="E3" s="1">
        <f>'Kwh Consumption'!D4*' Kwh area wise $ '!B3</f>
        <v>362.02399999999108</v>
      </c>
      <c r="F3" s="1">
        <f>'Kwh Consumption'!E4*' Kwh area wise $ '!B3</f>
        <v>38.987200000000158</v>
      </c>
      <c r="G3" s="1">
        <f>('Kwh Consumption'!F4+'Kwh Consumption'!G4+'Kwh Consumption'!H4)*' Kwh area wise $ '!B3</f>
        <v>155.94880000000063</v>
      </c>
      <c r="H3" s="16">
        <f>('Kwh Consumption'!I4+'Kwh Consumption'!J4)*' Kwh area wise $ '!B3</f>
        <v>46.506159999998467</v>
      </c>
      <c r="I3" s="1">
        <f>('Kwh Consumption'!K4+'Kwh Consumption'!L4)*' Kwh area wise $ '!B3</f>
        <v>154.55640000000983</v>
      </c>
      <c r="J3" s="1">
        <f>('Kwh Consumption'!M4+'Kwh Consumption'!N4+'Kwh Consumption'!O4+'Kwh Consumption'!P4+'Kwh Consumption'!Q4+'Kwh Consumption'!R4)*' Kwh area wise $ '!B3</f>
        <v>499.87160000000443</v>
      </c>
      <c r="K3" s="1">
        <f>('Kwh Consumption'!S4+'Kwh Consumption'!T4)*' Kwh area wise $ '!B3</f>
        <v>607.29386760003115</v>
      </c>
      <c r="L3" s="1">
        <f>'Kwh Consumption'!U4*' Kwh area wise $ '!B3</f>
        <v>32.025200000000552</v>
      </c>
      <c r="M3" s="1">
        <f>'Kwh Consumption'!V4*' Kwh area wise $ '!B3</f>
        <v>677.33437239996761</v>
      </c>
    </row>
    <row r="4" spans="1:13" x14ac:dyDescent="0.25">
      <c r="A4" s="14">
        <f>'Kwh Reading'!A5</f>
        <v>44198</v>
      </c>
      <c r="B4" s="11">
        <f>TOTAL!F3</f>
        <v>0.13924</v>
      </c>
      <c r="C4" s="11">
        <f>'Kwh Consumption'!B5*' Kwh area wise $ '!B4</f>
        <v>3100.8748000000001</v>
      </c>
      <c r="D4" s="1">
        <f>'Kwh Consumption'!C5*' Kwh area wise $ '!B4</f>
        <v>82.151600000004436</v>
      </c>
      <c r="E4" s="1">
        <f>'Kwh Consumption'!D5*' Kwh area wise $ '!B4</f>
        <v>362.024000000022</v>
      </c>
      <c r="F4" s="1">
        <f>'Kwh Consumption'!E5*' Kwh area wise $ '!B4</f>
        <v>37.594800000001428</v>
      </c>
      <c r="G4" s="1">
        <f>('Kwh Consumption'!F5+'Kwh Consumption'!G5+'Kwh Consumption'!H5)*' Kwh area wise $ '!B4</f>
        <v>123.92360000000205</v>
      </c>
      <c r="H4" s="16">
        <f>('Kwh Consumption'!I5+'Kwh Consumption'!J5)*' Kwh area wise $ '!B4</f>
        <v>33.835320000001282</v>
      </c>
      <c r="I4" s="1">
        <f>('Kwh Consumption'!K5+'Kwh Consumption'!L5)*' Kwh area wise $ '!B4</f>
        <v>185.1891999999859</v>
      </c>
      <c r="J4" s="1">
        <f>('Kwh Consumption'!M5+'Kwh Consumption'!N5+'Kwh Consumption'!O5+'Kwh Consumption'!P5+'Kwh Consumption'!Q5+'Kwh Consumption'!R5)*' Kwh area wise $ '!B4</f>
        <v>611.26359999999806</v>
      </c>
      <c r="K4" s="1">
        <f>('Kwh Consumption'!S5+'Kwh Consumption'!T5)*' Kwh area wise $ '!B4</f>
        <v>694.81177720003632</v>
      </c>
      <c r="L4" s="1">
        <f>'Kwh Consumption'!U5*' Kwh area wise $ '!B4</f>
        <v>43.16440000000032</v>
      </c>
      <c r="M4" s="1">
        <f>'Kwh Consumption'!V5*' Kwh area wise $ '!B4</f>
        <v>926.91650279994826</v>
      </c>
    </row>
    <row r="5" spans="1:13" x14ac:dyDescent="0.25">
      <c r="A5" s="14">
        <f>'Kwh Reading'!A6</f>
        <v>44199</v>
      </c>
      <c r="B5" s="11">
        <f>TOTAL!F4</f>
        <v>0.13924</v>
      </c>
      <c r="C5" s="11">
        <f>'Kwh Consumption'!B6*' Kwh area wise $ '!B5</f>
        <v>3240.9502400000001</v>
      </c>
      <c r="D5" s="1">
        <f>'Kwh Consumption'!C6*' Kwh area wise $ '!B5</f>
        <v>76.582000000001585</v>
      </c>
      <c r="E5" s="1">
        <f>'Kwh Consumption'!D6*' Kwh area wise $ '!B5</f>
        <v>362.02399999999108</v>
      </c>
      <c r="F5" s="1">
        <f>'Kwh Consumption'!E6*' Kwh area wise $ '!B5</f>
        <v>34.81</v>
      </c>
      <c r="G5" s="1">
        <f>('Kwh Consumption'!F6+'Kwh Consumption'!G6+'Kwh Consumption'!H6)*' Kwh area wise $ '!B5</f>
        <v>186.58160000000049</v>
      </c>
      <c r="H5" s="16">
        <f>('Kwh Consumption'!I6+'Kwh Consumption'!J6)*' Kwh area wise $ '!B5</f>
        <v>45.531479999999746</v>
      </c>
      <c r="I5" s="1">
        <f>('Kwh Consumption'!K6+'Kwh Consumption'!L6)*' Kwh area wise $ '!B5</f>
        <v>200.50560000001155</v>
      </c>
      <c r="J5" s="1">
        <f>('Kwh Consumption'!M6+'Kwh Consumption'!N6+'Kwh Consumption'!O6+'Kwh Consumption'!P6+'Kwh Consumption'!Q6+'Kwh Consumption'!R6)*' Kwh area wise $ '!B5</f>
        <v>637.71919999998988</v>
      </c>
      <c r="K5" s="1">
        <f>('Kwh Consumption'!S6+'Kwh Consumption'!T6)*' Kwh area wise $ '!B5</f>
        <v>736.23149999987038</v>
      </c>
      <c r="L5" s="1">
        <f>'Kwh Consumption'!U6*' Kwh area wise $ '!B5</f>
        <v>37.594799999999445</v>
      </c>
      <c r="M5" s="1">
        <f>'Kwh Consumption'!V6*' Kwh area wise $ '!B5</f>
        <v>923.37006000013628</v>
      </c>
    </row>
    <row r="6" spans="1:13" x14ac:dyDescent="0.25">
      <c r="A6" s="14">
        <f>'Kwh Reading'!A7</f>
        <v>44200</v>
      </c>
      <c r="B6" s="11">
        <f>TOTAL!F5</f>
        <v>0.13924</v>
      </c>
      <c r="C6" s="11">
        <f>'Kwh Consumption'!B7*' Kwh area wise $ '!B6</f>
        <v>2790.9265599999999</v>
      </c>
      <c r="D6" s="1">
        <f>'Kwh Consumption'!C7*' Kwh area wise $ '!B6</f>
        <v>43.16440000000032</v>
      </c>
      <c r="E6" s="1">
        <f>'Kwh Consumption'!D7*' Kwh area wise $ '!B6</f>
        <v>348.09999999999258</v>
      </c>
      <c r="F6" s="1">
        <f>'Kwh Consumption'!E7*' Kwh area wise $ '!B6</f>
        <v>37.594800000001428</v>
      </c>
      <c r="G6" s="1">
        <f>('Kwh Consumption'!F7+'Kwh Consumption'!G7+'Kwh Consumption'!H7)*' Kwh area wise $ '!B6</f>
        <v>129.49319999999699</v>
      </c>
      <c r="H6" s="16">
        <f>('Kwh Consumption'!I7+'Kwh Consumption'!J7)*' Kwh area wise $ '!B6</f>
        <v>44.835280000000381</v>
      </c>
      <c r="I6" s="1">
        <f>('Kwh Consumption'!K7+'Kwh Consumption'!L7)*' Kwh area wise $ '!B6</f>
        <v>176.83479999999352</v>
      </c>
      <c r="J6" s="1">
        <f>('Kwh Consumption'!M7+'Kwh Consumption'!N7+'Kwh Consumption'!O7+'Kwh Consumption'!P7+'Kwh Consumption'!Q7+'Kwh Consumption'!R7)*' Kwh area wise $ '!B6</f>
        <v>536.07400000001905</v>
      </c>
      <c r="K6" s="1">
        <f>('Kwh Consumption'!S7+'Kwh Consumption'!T7)*' Kwh area wise $ '!B6</f>
        <v>626.92949240009852</v>
      </c>
      <c r="L6" s="1">
        <f>'Kwh Consumption'!U7*' Kwh area wise $ '!B6</f>
        <v>37.594799999999445</v>
      </c>
      <c r="M6" s="1">
        <f>'Kwh Consumption'!V7*' Kwh area wise $ '!B6</f>
        <v>810.30578759989794</v>
      </c>
    </row>
    <row r="7" spans="1:13" x14ac:dyDescent="0.25">
      <c r="A7" s="14">
        <f>'Kwh Reading'!A8</f>
        <v>44201</v>
      </c>
      <c r="B7" s="11">
        <f>TOTAL!F6</f>
        <v>0.13924</v>
      </c>
      <c r="C7" s="11">
        <f>'Kwh Consumption'!B8*' Kwh area wise $ '!B7</f>
        <v>2660.8764000000001</v>
      </c>
      <c r="D7" s="1">
        <f>'Kwh Consumption'!C8*' Kwh area wise $ '!B7</f>
        <v>119.74639999999398</v>
      </c>
      <c r="E7" s="1">
        <f>'Kwh Consumption'!D8*' Kwh area wise $ '!B7</f>
        <v>348.09999999999258</v>
      </c>
      <c r="F7" s="1">
        <f>'Kwh Consumption'!E8*' Kwh area wise $ '!B7</f>
        <v>40.379599999998895</v>
      </c>
      <c r="G7" s="1">
        <f>('Kwh Consumption'!F8+'Kwh Consumption'!G8+'Kwh Consumption'!H8)*' Kwh area wise $ '!B7</f>
        <v>167.08800000000238</v>
      </c>
      <c r="H7" s="16">
        <f>('Kwh Consumption'!I8+'Kwh Consumption'!J8)*' Kwh area wise $ '!B7</f>
        <v>41.911240000000269</v>
      </c>
      <c r="I7" s="1">
        <f>('Kwh Consumption'!K8+'Kwh Consumption'!L8)*' Kwh area wise $ '!B7</f>
        <v>167.08799999999843</v>
      </c>
      <c r="J7" s="1">
        <f>('Kwh Consumption'!M8+'Kwh Consumption'!N8+'Kwh Consumption'!O8+'Kwh Consumption'!P8+'Kwh Consumption'!Q8+'Kwh Consumption'!R8)*' Kwh area wise $ '!B7</f>
        <v>490.12479999999749</v>
      </c>
      <c r="K7" s="1">
        <f>('Kwh Consumption'!S8+'Kwh Consumption'!T8)*' Kwh area wise $ '!B7</f>
        <v>554.37431319995846</v>
      </c>
      <c r="L7" s="1">
        <f>'Kwh Consumption'!U8*' Kwh area wise $ '!B7</f>
        <v>38.987200000000158</v>
      </c>
      <c r="M7" s="1">
        <f>'Kwh Consumption'!V8*' Kwh area wise $ '!B7</f>
        <v>693.07684680005718</v>
      </c>
    </row>
    <row r="8" spans="1:13" x14ac:dyDescent="0.25">
      <c r="A8" s="14">
        <f>'Kwh Reading'!A9</f>
        <v>44202</v>
      </c>
      <c r="B8" s="11">
        <f>TOTAL!F7</f>
        <v>0.13924</v>
      </c>
      <c r="C8" s="11">
        <f>'Kwh Consumption'!B9*' Kwh area wise $ '!B8</f>
        <v>2612.1424000000002</v>
      </c>
      <c r="D8" s="1">
        <f>'Kwh Consumption'!C9*' Kwh area wise $ '!B8</f>
        <v>83.544000000003166</v>
      </c>
      <c r="E8" s="1">
        <f>'Kwh Consumption'!D9*' Kwh area wise $ '!B8</f>
        <v>334.176000000025</v>
      </c>
      <c r="F8" s="1">
        <f>'Kwh Consumption'!E9*' Kwh area wise $ '!B8</f>
        <v>34.81</v>
      </c>
      <c r="G8" s="1">
        <f>('Kwh Consumption'!F9+'Kwh Consumption'!G9+'Kwh Consumption'!H9)*' Kwh area wise $ '!B8</f>
        <v>137.8475999999973</v>
      </c>
      <c r="H8" s="16">
        <f>('Kwh Consumption'!I9+'Kwh Consumption'!J9)*' Kwh area wise $ '!B8</f>
        <v>49.151719999999223</v>
      </c>
      <c r="I8" s="1">
        <f>('Kwh Consumption'!K9+'Kwh Consumption'!L9)*' Kwh area wise $ '!B8</f>
        <v>176.83480000000935</v>
      </c>
      <c r="J8" s="1">
        <f>('Kwh Consumption'!M9+'Kwh Consumption'!N9+'Kwh Consumption'!O9+'Kwh Consumption'!P9+'Kwh Consumption'!Q9+'Kwh Consumption'!R9)*' Kwh area wise $ '!B8</f>
        <v>491.51719999999619</v>
      </c>
      <c r="K8" s="1">
        <f>('Kwh Consumption'!S9+'Kwh Consumption'!T9)*' Kwh area wise $ '!B8</f>
        <v>597.13352480006745</v>
      </c>
      <c r="L8" s="1">
        <f>'Kwh Consumption'!U9*' Kwh area wise $ '!B8</f>
        <v>40.37960000000087</v>
      </c>
      <c r="M8" s="1">
        <f>'Kwh Consumption'!V9*' Kwh area wise $ '!B8</f>
        <v>666.74795519990164</v>
      </c>
    </row>
    <row r="9" spans="1:13" x14ac:dyDescent="0.25">
      <c r="A9" s="14">
        <f>'Kwh Reading'!A10</f>
        <v>44203</v>
      </c>
      <c r="B9" s="11">
        <f>TOTAL!F8</f>
        <v>0.13924</v>
      </c>
      <c r="C9" s="11">
        <f>'Kwh Consumption'!B10*' Kwh area wise $ '!B9</f>
        <v>3074.4192000000003</v>
      </c>
      <c r="D9" s="1">
        <f>'Kwh Consumption'!C10*' Kwh area wise $ '!B9</f>
        <v>34.81</v>
      </c>
      <c r="E9" s="1">
        <f>'Kwh Consumption'!D10*' Kwh area wise $ '!B9</f>
        <v>375.94799999998952</v>
      </c>
      <c r="F9" s="1">
        <f>'Kwh Consumption'!E10*' Kwh area wise $ '!B9</f>
        <v>38.987200000000158</v>
      </c>
      <c r="G9" s="1">
        <f>('Kwh Consumption'!F10+'Kwh Consumption'!G10+'Kwh Consumption'!H10)*' Kwh area wise $ '!B9</f>
        <v>196.32839999999953</v>
      </c>
      <c r="H9" s="16">
        <f>('Kwh Consumption'!I10+'Kwh Consumption'!J10)*' Kwh area wise $ '!B9</f>
        <v>54.860559999998785</v>
      </c>
      <c r="I9" s="1">
        <f>('Kwh Consumption'!K10+'Kwh Consumption'!L10)*' Kwh area wise $ '!B9</f>
        <v>225.56880000000064</v>
      </c>
      <c r="J9" s="1">
        <f>('Kwh Consumption'!M10+'Kwh Consumption'!N10+'Kwh Consumption'!O10+'Kwh Consumption'!P10+'Kwh Consumption'!Q10+'Kwh Consumption'!R10)*' Kwh area wise $ '!B9</f>
        <v>648.85839999999553</v>
      </c>
      <c r="K9" s="1">
        <f>('Kwh Consumption'!S10+'Kwh Consumption'!T10)*' Kwh area wise $ '!B9</f>
        <v>712.86424319995854</v>
      </c>
      <c r="L9" s="1">
        <f>'Kwh Consumption'!U10*' Kwh area wise $ '!B9</f>
        <v>37.594799999999445</v>
      </c>
      <c r="M9" s="1">
        <f>'Kwh Consumption'!V10*' Kwh area wise $ '!B9</f>
        <v>748.5987968000577</v>
      </c>
    </row>
    <row r="10" spans="1:13" x14ac:dyDescent="0.25">
      <c r="A10" s="14">
        <f>'Kwh Reading'!A11</f>
        <v>44204</v>
      </c>
      <c r="B10" s="11">
        <f>TOTAL!F9</f>
        <v>0.13924</v>
      </c>
      <c r="C10" s="11">
        <f>'Kwh Consumption'!B11*' Kwh area wise $ '!B10</f>
        <v>2776.4456</v>
      </c>
      <c r="D10" s="1">
        <f>'Kwh Consumption'!C11*' Kwh area wise $ '!B10</f>
        <v>118.35399999999525</v>
      </c>
      <c r="E10" s="1">
        <f>'Kwh Consumption'!D11*' Kwh area wise $ '!B10</f>
        <v>348.09999999999258</v>
      </c>
      <c r="F10" s="1">
        <f>'Kwh Consumption'!E11*' Kwh area wise $ '!B10</f>
        <v>36.202399999998732</v>
      </c>
      <c r="G10" s="1">
        <f>('Kwh Consumption'!F11+'Kwh Consumption'!G11+'Kwh Consumption'!H11)*' Kwh area wise $ '!B10</f>
        <v>183.79680000000698</v>
      </c>
      <c r="H10" s="16">
        <f>('Kwh Consumption'!I11+'Kwh Consumption'!J11)*' Kwh area wise $ '!B10</f>
        <v>38.569480000002123</v>
      </c>
      <c r="I10" s="1">
        <f>('Kwh Consumption'!K11+'Kwh Consumption'!L11)*' Kwh area wise $ '!B10</f>
        <v>179.61959999999098</v>
      </c>
      <c r="J10" s="1">
        <f>('Kwh Consumption'!M11+'Kwh Consumption'!N11+'Kwh Consumption'!O11+'Kwh Consumption'!P11+'Kwh Consumption'!Q11+'Kwh Consumption'!R11)*' Kwh area wise $ '!B10</f>
        <v>566.70679999999118</v>
      </c>
      <c r="K10" s="1">
        <f>('Kwh Consumption'!S11+'Kwh Consumption'!T11)*' Kwh area wise $ '!B10</f>
        <v>677.21880320008825</v>
      </c>
      <c r="L10" s="1">
        <f>'Kwh Consumption'!U11*' Kwh area wise $ '!B10</f>
        <v>36.202400000000715</v>
      </c>
      <c r="M10" s="1">
        <f>'Kwh Consumption'!V11*' Kwh area wise $ '!B10</f>
        <v>591.6753167999334</v>
      </c>
    </row>
    <row r="11" spans="1:13" x14ac:dyDescent="0.25">
      <c r="A11" s="14">
        <f>'Kwh Reading'!A12</f>
        <v>44205</v>
      </c>
      <c r="B11" s="11">
        <f>TOTAL!F10</f>
        <v>0.13924</v>
      </c>
      <c r="C11" s="11">
        <f>'Kwh Consumption'!B12*' Kwh area wise $ '!B11</f>
        <v>2910.116</v>
      </c>
      <c r="D11" s="1">
        <f>'Kwh Consumption'!C12*' Kwh area wise $ '!B11</f>
        <v>75.189600000002855</v>
      </c>
      <c r="E11" s="1">
        <f>'Kwh Consumption'!D12*' Kwh area wise $ '!B11</f>
        <v>334.17599999999413</v>
      </c>
      <c r="F11" s="1">
        <f>'Kwh Consumption'!E12*' Kwh area wise $ '!B11</f>
        <v>34.81</v>
      </c>
      <c r="G11" s="1">
        <f>('Kwh Consumption'!F12+'Kwh Consumption'!G12+'Kwh Consumption'!H12)*' Kwh area wise $ '!B11</f>
        <v>107.2147999999856</v>
      </c>
      <c r="H11" s="16">
        <f>('Kwh Consumption'!I12+'Kwh Consumption'!J12)*' Kwh area wise $ '!B11</f>
        <v>54.164359999999412</v>
      </c>
      <c r="I11" s="1">
        <f>('Kwh Consumption'!K12+'Kwh Consumption'!L12)*' Kwh area wise $ '!B11</f>
        <v>181.01200000000554</v>
      </c>
      <c r="J11" s="1">
        <f>('Kwh Consumption'!M12+'Kwh Consumption'!N12+'Kwh Consumption'!O12+'Kwh Consumption'!P12+'Kwh Consumption'!Q12+'Kwh Consumption'!R12)*' Kwh area wise $ '!B11</f>
        <v>556.96000000000788</v>
      </c>
      <c r="K11" s="1">
        <f>('Kwh Consumption'!S12+'Kwh Consumption'!T12)*' Kwh area wise $ '!B11</f>
        <v>623.55570719990669</v>
      </c>
      <c r="L11" s="1">
        <f>'Kwh Consumption'!U12*' Kwh area wise $ '!B11</f>
        <v>41.771999999999608</v>
      </c>
      <c r="M11" s="1">
        <f>'Kwh Consumption'!V12*' Kwh area wise $ '!B11</f>
        <v>901.26153280009839</v>
      </c>
    </row>
    <row r="12" spans="1:13" x14ac:dyDescent="0.25">
      <c r="A12" s="14">
        <f>'Kwh Reading'!A13</f>
        <v>44206</v>
      </c>
      <c r="B12" s="11">
        <f>TOTAL!F11</f>
        <v>0.13924</v>
      </c>
      <c r="C12" s="11">
        <f>'Kwh Consumption'!B13*' Kwh area wise $ '!B12</f>
        <v>2990.8751999999999</v>
      </c>
      <c r="D12" s="1">
        <f>'Kwh Consumption'!C13*' Kwh area wise $ '!B12</f>
        <v>59.873200000000949</v>
      </c>
      <c r="E12" s="1">
        <f>'Kwh Consumption'!D13*' Kwh area wise $ '!B12</f>
        <v>348.1000000000235</v>
      </c>
      <c r="F12" s="1">
        <f>'Kwh Consumption'!E13*' Kwh area wise $ '!B12</f>
        <v>36.20240000000269</v>
      </c>
      <c r="G12" s="1">
        <f>('Kwh Consumption'!F13+'Kwh Consumption'!G13+'Kwh Consumption'!H13)*' Kwh area wise $ '!B12</f>
        <v>136.4552000000144</v>
      </c>
      <c r="H12" s="16">
        <f>('Kwh Consumption'!I13+'Kwh Consumption'!J13)*' Kwh area wise $ '!B12</f>
        <v>48.734000000001188</v>
      </c>
      <c r="I12" s="1">
        <f>('Kwh Consumption'!K13+'Kwh Consumption'!L13)*' Kwh area wise $ '!B12</f>
        <v>238.10040000000112</v>
      </c>
      <c r="J12" s="1">
        <f>('Kwh Consumption'!M13+'Kwh Consumption'!N13+'Kwh Consumption'!O13+'Kwh Consumption'!P13+'Kwh Consumption'!Q13+'Kwh Consumption'!R13)*' Kwh area wise $ '!B12</f>
        <v>600.12440000001618</v>
      </c>
      <c r="K12" s="1">
        <f>('Kwh Consumption'!S13+'Kwh Consumption'!T13)*' Kwh area wise $ '!B12</f>
        <v>666.44301960000519</v>
      </c>
      <c r="L12" s="1">
        <f>'Kwh Consumption'!U13*' Kwh area wise $ '!B12</f>
        <v>33.41759999999929</v>
      </c>
      <c r="M12" s="1">
        <f>'Kwh Consumption'!V13*' Kwh area wise $ '!B12</f>
        <v>823.42498039993552</v>
      </c>
    </row>
    <row r="13" spans="1:13" x14ac:dyDescent="0.25">
      <c r="A13" s="14">
        <f>'Kwh Reading'!A14</f>
        <v>44207</v>
      </c>
      <c r="B13" s="11">
        <f>TOTAL!F12</f>
        <v>0.13924</v>
      </c>
      <c r="C13" s="11">
        <f>'Kwh Consumption'!B14*' Kwh area wise $ '!B13</f>
        <v>2887.8375999999998</v>
      </c>
      <c r="D13" s="1">
        <f>'Kwh Consumption'!C14*' Kwh area wise $ '!B13</f>
        <v>103.03760000000126</v>
      </c>
      <c r="E13" s="1">
        <f>'Kwh Consumption'!D14*' Kwh area wise $ '!B13</f>
        <v>348.09999999999258</v>
      </c>
      <c r="F13" s="1">
        <f>'Kwh Consumption'!E14*' Kwh area wise $ '!B13</f>
        <v>34.81</v>
      </c>
      <c r="G13" s="1">
        <f>('Kwh Consumption'!F14+'Kwh Consumption'!G14+'Kwh Consumption'!H14)*' Kwh area wise $ '!B13</f>
        <v>119.74639999999795</v>
      </c>
      <c r="H13" s="16">
        <f>('Kwh Consumption'!I14+'Kwh Consumption'!J14)*' Kwh area wise $ '!B13</f>
        <v>43.999839999998372</v>
      </c>
      <c r="I13" s="1">
        <f>('Kwh Consumption'!K14+'Kwh Consumption'!L14)*' Kwh area wise $ '!B13</f>
        <v>160.12599999999287</v>
      </c>
      <c r="J13" s="1">
        <f>('Kwh Consumption'!M14+'Kwh Consumption'!N14+'Kwh Consumption'!O14+'Kwh Consumption'!P14+'Kwh Consumption'!Q14+'Kwh Consumption'!R14)*' Kwh area wise $ '!B13</f>
        <v>618.2255999999918</v>
      </c>
      <c r="K13" s="1">
        <f>('Kwh Consumption'!S14+'Kwh Consumption'!T14)*' Kwh area wise $ '!B13</f>
        <v>697.29303399994819</v>
      </c>
      <c r="L13" s="1">
        <f>'Kwh Consumption'!U14*' Kwh area wise $ '!B13</f>
        <v>36.202400000000715</v>
      </c>
      <c r="M13" s="1">
        <f>'Kwh Consumption'!V14*' Kwh area wise $ '!B13</f>
        <v>726.29672600007643</v>
      </c>
    </row>
    <row r="14" spans="1:13" x14ac:dyDescent="0.25">
      <c r="A14" s="14">
        <f>'Kwh Reading'!A15</f>
        <v>44208</v>
      </c>
      <c r="B14" s="11">
        <f>TOTAL!F13</f>
        <v>0.13924</v>
      </c>
      <c r="C14" s="11">
        <f>'Kwh Consumption'!B15*' Kwh area wise $ '!B14</f>
        <v>2704.0408000000002</v>
      </c>
      <c r="D14" s="1">
        <f>'Kwh Consumption'!C15*' Kwh area wise $ '!B14</f>
        <v>52.911199999999369</v>
      </c>
      <c r="E14" s="1">
        <f>'Kwh Consumption'!D15*' Kwh area wise $ '!B14</f>
        <v>348.09999999999258</v>
      </c>
      <c r="F14" s="1">
        <f>'Kwh Consumption'!E15*' Kwh area wise $ '!B14</f>
        <v>40.379599999998895</v>
      </c>
      <c r="G14" s="1">
        <f>('Kwh Consumption'!F15+'Kwh Consumption'!G15+'Kwh Consumption'!H15)*' Kwh area wise $ '!B14</f>
        <v>144.80959999999098</v>
      </c>
      <c r="H14" s="16">
        <f>('Kwh Consumption'!I15+'Kwh Consumption'!J15)*' Kwh area wise $ '!B14</f>
        <v>42.746680000000303</v>
      </c>
      <c r="I14" s="1">
        <f>('Kwh Consumption'!K15+'Kwh Consumption'!L15)*' Kwh area wise $ '!B14</f>
        <v>185.18920000000571</v>
      </c>
      <c r="J14" s="1">
        <f>('Kwh Consumption'!M15+'Kwh Consumption'!N15+'Kwh Consumption'!O15+'Kwh Consumption'!P15+'Kwh Consumption'!Q15+'Kwh Consumption'!R15)*' Kwh area wise $ '!B14</f>
        <v>575.06119999999135</v>
      </c>
      <c r="K14" s="1">
        <f>('Kwh Consumption'!S15+'Kwh Consumption'!T15)*' Kwh area wise $ '!B14</f>
        <v>667.41630720003627</v>
      </c>
      <c r="L14" s="1">
        <f>'Kwh Consumption'!U15*' Kwh area wise $ '!B14</f>
        <v>33.41759999999929</v>
      </c>
      <c r="M14" s="1">
        <f>'Kwh Consumption'!V15*' Kwh area wise $ '!B14</f>
        <v>614.00941279998528</v>
      </c>
    </row>
    <row r="15" spans="1:13" x14ac:dyDescent="0.25">
      <c r="A15" s="14">
        <f>'Kwh Reading'!A16</f>
        <v>44209</v>
      </c>
      <c r="B15" s="11">
        <f>TOTAL!F14</f>
        <v>0.13924</v>
      </c>
      <c r="C15" s="11">
        <f>'Kwh Consumption'!B16*' Kwh area wise $ '!B15</f>
        <v>0</v>
      </c>
      <c r="D15" s="1">
        <f>'Kwh Consumption'!C16*' Kwh area wise $ '!B15</f>
        <v>-47532.358800000002</v>
      </c>
      <c r="E15" s="1">
        <f>'Kwh Consumption'!D16*' Kwh area wise $ '!B15</f>
        <v>-273717.99200000003</v>
      </c>
      <c r="F15" s="1">
        <f>'Kwh Consumption'!E16*' Kwh area wise $ '!B15</f>
        <v>-26546.106</v>
      </c>
      <c r="G15" s="1">
        <f>('Kwh Consumption'!F16+'Kwh Consumption'!G16+'Kwh Consumption'!H16)*' Kwh area wise $ '!B15</f>
        <v>-106284.6768</v>
      </c>
      <c r="H15" s="16">
        <f>('Kwh Consumption'!I16+'Kwh Consumption'!J16)*' Kwh area wise $ '!B15</f>
        <v>-29161.172440000002</v>
      </c>
      <c r="I15" s="1">
        <f>('Kwh Consumption'!K16+'Kwh Consumption'!L16)*' Kwh area wise $ '!B15</f>
        <v>-132575.9736</v>
      </c>
      <c r="J15" s="1">
        <f>('Kwh Consumption'!M16+'Kwh Consumption'!N16+'Kwh Consumption'!O16+'Kwh Consumption'!P16+'Kwh Consumption'!Q16+'Kwh Consumption'!R16)*' Kwh area wise $ '!B15</f>
        <v>-363788.17080000002</v>
      </c>
      <c r="K15" s="1">
        <f>('Kwh Consumption'!S16+'Kwh Consumption'!T16)*' Kwh area wise $ '!B15</f>
        <v>-2056223.4167208001</v>
      </c>
      <c r="L15" s="1">
        <f>'Kwh Consumption'!U16*' Kwh area wise $ '!B15</f>
        <v>-15397.1592</v>
      </c>
      <c r="M15" s="1">
        <f>'Kwh Consumption'!V16*' Kwh area wise $ '!B15</f>
        <v>3051227.0263608005</v>
      </c>
    </row>
    <row r="16" spans="1:13" x14ac:dyDescent="0.25">
      <c r="A16" s="14">
        <f>'Kwh Reading'!A17</f>
        <v>44210</v>
      </c>
      <c r="B16" s="11">
        <f>TOTAL!F15</f>
        <v>0.13924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44211</v>
      </c>
      <c r="B17" s="11">
        <f>TOTAL!F16</f>
        <v>0.13924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44212</v>
      </c>
      <c r="B18" s="11">
        <f>TOTAL!F17</f>
        <v>0.13924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44213</v>
      </c>
      <c r="B19" s="11">
        <f>TOTAL!F18</f>
        <v>0.13924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44214</v>
      </c>
      <c r="B20" s="11">
        <f>TOTAL!F19</f>
        <v>0.13924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44215</v>
      </c>
      <c r="B21" s="11">
        <f>TOTAL!F20</f>
        <v>0.13924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44216</v>
      </c>
      <c r="B22" s="11">
        <f>TOTAL!F21</f>
        <v>0.13924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44217</v>
      </c>
      <c r="B23" s="11">
        <f>TOTAL!F22</f>
        <v>0.13924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44218</v>
      </c>
      <c r="B24" s="11">
        <f>TOTAL!F23</f>
        <v>0.13924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44219</v>
      </c>
      <c r="B25" s="11">
        <f>TOTAL!F24</f>
        <v>0.13924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44220</v>
      </c>
      <c r="B26" s="11">
        <f>TOTAL!F25</f>
        <v>0.13924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44221</v>
      </c>
      <c r="B27" s="11">
        <f>TOTAL!F26</f>
        <v>0.13924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44222</v>
      </c>
      <c r="B28" s="11">
        <f>TOTAL!F27</f>
        <v>0.13924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44223</v>
      </c>
      <c r="B29" s="11">
        <f>TOTAL!F28</f>
        <v>0.13924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44224</v>
      </c>
      <c r="B30" s="11">
        <f>TOTAL!F29</f>
        <v>0.13924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44225</v>
      </c>
      <c r="B31" s="11">
        <f>TOTAL!F30</f>
        <v>0.13924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44226</v>
      </c>
      <c r="B32" s="11">
        <f>TOTAL!F31</f>
        <v>0.13924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44227</v>
      </c>
      <c r="B33" s="11">
        <f>TOTAL!F32</f>
        <v>0.13924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29" t="s">
        <v>55</v>
      </c>
      <c r="B34" s="129"/>
      <c r="C34" s="81">
        <f t="shared" ref="C34:L34" si="0">SUM(C3:C33)</f>
        <v>34397.849599999994</v>
      </c>
      <c r="D34" s="81">
        <f t="shared" si="0"/>
        <v>-46609.1976</v>
      </c>
      <c r="E34" s="81">
        <f t="shared" si="0"/>
        <v>-269499.02</v>
      </c>
      <c r="F34" s="81">
        <f t="shared" si="0"/>
        <v>-26100.537999999997</v>
      </c>
      <c r="G34" s="81">
        <f t="shared" si="0"/>
        <v>-104495.4428</v>
      </c>
      <c r="H34" s="81">
        <f t="shared" si="0"/>
        <v>-28616.326320000004</v>
      </c>
      <c r="I34" s="81">
        <f t="shared" si="0"/>
        <v>-130345.34879999999</v>
      </c>
      <c r="J34" s="81">
        <f t="shared" si="0"/>
        <v>-356955.66400000005</v>
      </c>
      <c r="K34" s="81">
        <f t="shared" si="0"/>
        <v>-2048361.8511312001</v>
      </c>
      <c r="L34" s="81">
        <f t="shared" si="0"/>
        <v>-14948.806399999999</v>
      </c>
      <c r="M34" s="81">
        <f>SUM(M3:M33)</f>
        <v>3060330.0446512005</v>
      </c>
      <c r="N34" s="91">
        <f>D34+E34+F34+G34+H34+I34+J34+K34+L34+M34</f>
        <v>34397.849600000307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I14" sqref="I1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50" t="s">
        <v>77</v>
      </c>
      <c r="C1" s="50" t="s">
        <v>78</v>
      </c>
      <c r="D1" s="50" t="s">
        <v>79</v>
      </c>
      <c r="E1" s="50" t="s">
        <v>80</v>
      </c>
      <c r="F1" s="50" t="s">
        <v>81</v>
      </c>
      <c r="G1" s="50" t="s">
        <v>82</v>
      </c>
      <c r="H1" s="50" t="s">
        <v>83</v>
      </c>
      <c r="I1" s="50" t="s">
        <v>84</v>
      </c>
      <c r="J1" s="50" t="s">
        <v>85</v>
      </c>
      <c r="K1" s="50" t="s">
        <v>86</v>
      </c>
      <c r="L1" s="50" t="s">
        <v>87</v>
      </c>
      <c r="M1" s="50" t="s">
        <v>88</v>
      </c>
      <c r="N1" s="50" t="s">
        <v>89</v>
      </c>
      <c r="O1" s="50" t="s">
        <v>90</v>
      </c>
      <c r="P1" s="50" t="s">
        <v>91</v>
      </c>
      <c r="Q1" s="50" t="s">
        <v>92</v>
      </c>
      <c r="R1" s="50" t="s">
        <v>93</v>
      </c>
    </row>
    <row r="2" spans="1:18" s="54" customFormat="1" ht="30.75" thickTop="1" x14ac:dyDescent="0.25">
      <c r="A2" s="51" t="s">
        <v>34</v>
      </c>
      <c r="B2" s="52" t="s">
        <v>94</v>
      </c>
      <c r="C2" s="52" t="s">
        <v>95</v>
      </c>
      <c r="D2" s="53" t="s">
        <v>96</v>
      </c>
      <c r="E2" s="53" t="s">
        <v>97</v>
      </c>
      <c r="F2" s="53" t="s">
        <v>98</v>
      </c>
      <c r="G2" s="53" t="s">
        <v>99</v>
      </c>
      <c r="H2" s="53" t="s">
        <v>100</v>
      </c>
      <c r="I2" s="53" t="s">
        <v>101</v>
      </c>
      <c r="J2" s="53" t="s">
        <v>102</v>
      </c>
      <c r="K2" s="53" t="s">
        <v>103</v>
      </c>
      <c r="L2" s="53" t="s">
        <v>104</v>
      </c>
      <c r="M2" s="53" t="s">
        <v>105</v>
      </c>
      <c r="N2" s="53" t="s">
        <v>106</v>
      </c>
      <c r="O2" s="53" t="s">
        <v>107</v>
      </c>
      <c r="P2" s="53" t="s">
        <v>108</v>
      </c>
      <c r="Q2" s="53" t="s">
        <v>109</v>
      </c>
      <c r="R2" s="53" t="s">
        <v>110</v>
      </c>
    </row>
    <row r="3" spans="1:18" x14ac:dyDescent="0.25">
      <c r="A3" s="55">
        <v>44197</v>
      </c>
      <c r="B3" s="33">
        <v>136859</v>
      </c>
      <c r="C3" s="33">
        <v>92869</v>
      </c>
      <c r="D3" s="33">
        <v>182994</v>
      </c>
      <c r="E3" s="56">
        <v>237039</v>
      </c>
      <c r="F3" s="33">
        <v>66831</v>
      </c>
      <c r="G3" s="56">
        <v>108009</v>
      </c>
      <c r="H3" s="33">
        <v>44506</v>
      </c>
      <c r="I3" s="57">
        <v>56807</v>
      </c>
      <c r="J3" s="56">
        <v>17981</v>
      </c>
      <c r="K3" s="56">
        <v>1024</v>
      </c>
      <c r="L3" s="56">
        <v>15993</v>
      </c>
      <c r="M3" s="56">
        <v>21558</v>
      </c>
      <c r="N3" s="56">
        <v>6567</v>
      </c>
      <c r="O3" s="56">
        <v>1512</v>
      </c>
      <c r="P3" s="33">
        <v>25641</v>
      </c>
      <c r="Q3" s="56">
        <v>815</v>
      </c>
      <c r="R3" s="56">
        <v>5252</v>
      </c>
    </row>
    <row r="4" spans="1:18" x14ac:dyDescent="0.25">
      <c r="A4" s="55">
        <v>44198</v>
      </c>
      <c r="B4" s="57">
        <v>137045</v>
      </c>
      <c r="C4" s="57">
        <v>93068</v>
      </c>
      <c r="D4" s="56">
        <v>183090</v>
      </c>
      <c r="E4" s="56">
        <v>237095</v>
      </c>
      <c r="F4" s="56">
        <v>66831</v>
      </c>
      <c r="G4" s="56">
        <v>108037</v>
      </c>
      <c r="H4" s="33">
        <v>44531</v>
      </c>
      <c r="I4" s="56">
        <v>56949</v>
      </c>
      <c r="J4" s="56">
        <v>17991</v>
      </c>
      <c r="K4" s="56">
        <v>1024</v>
      </c>
      <c r="L4" s="56">
        <v>16000</v>
      </c>
      <c r="M4" s="56">
        <v>21570</v>
      </c>
      <c r="N4" s="56">
        <v>5671</v>
      </c>
      <c r="O4" s="56">
        <v>1513</v>
      </c>
      <c r="P4" s="56">
        <v>25705</v>
      </c>
      <c r="Q4" s="33">
        <v>815</v>
      </c>
      <c r="R4" s="56">
        <v>5261</v>
      </c>
    </row>
    <row r="5" spans="1:18" x14ac:dyDescent="0.25">
      <c r="A5" s="55">
        <v>44199</v>
      </c>
      <c r="B5" s="56">
        <v>137205</v>
      </c>
      <c r="C5" s="33">
        <v>93269</v>
      </c>
      <c r="D5" s="56">
        <v>183208</v>
      </c>
      <c r="E5" s="56">
        <v>237155</v>
      </c>
      <c r="F5" s="56">
        <v>66832</v>
      </c>
      <c r="G5" s="56">
        <v>108062</v>
      </c>
      <c r="H5" s="33">
        <v>44557</v>
      </c>
      <c r="I5" s="56">
        <v>56969</v>
      </c>
      <c r="J5" s="56">
        <v>18002</v>
      </c>
      <c r="K5" s="56">
        <v>1024</v>
      </c>
      <c r="L5" s="56">
        <v>16007</v>
      </c>
      <c r="M5" s="56">
        <v>21585</v>
      </c>
      <c r="N5" s="56">
        <v>6575</v>
      </c>
      <c r="O5" s="56">
        <v>1513</v>
      </c>
      <c r="P5" s="56">
        <v>25705</v>
      </c>
      <c r="Q5" s="33">
        <v>815</v>
      </c>
      <c r="R5" s="56">
        <v>5270</v>
      </c>
    </row>
    <row r="6" spans="1:18" x14ac:dyDescent="0.25">
      <c r="A6" s="55">
        <v>44200</v>
      </c>
      <c r="B6" s="57">
        <v>137402</v>
      </c>
      <c r="C6" s="57">
        <v>93429</v>
      </c>
      <c r="D6" s="56">
        <v>183412</v>
      </c>
      <c r="E6" s="56">
        <v>237215</v>
      </c>
      <c r="F6" s="56">
        <v>66832</v>
      </c>
      <c r="G6" s="56">
        <v>108095</v>
      </c>
      <c r="H6" s="33">
        <v>44590</v>
      </c>
      <c r="I6" s="56">
        <v>56991</v>
      </c>
      <c r="J6" s="56">
        <v>18012</v>
      </c>
      <c r="K6" s="56">
        <v>1024</v>
      </c>
      <c r="L6" s="56">
        <v>16016</v>
      </c>
      <c r="M6" s="56">
        <v>21603</v>
      </c>
      <c r="N6" s="56">
        <v>6578</v>
      </c>
      <c r="O6" s="56">
        <v>1514</v>
      </c>
      <c r="P6" s="56">
        <v>25711</v>
      </c>
      <c r="Q6" s="33">
        <v>815</v>
      </c>
      <c r="R6" s="56">
        <v>5277</v>
      </c>
    </row>
    <row r="7" spans="1:18" x14ac:dyDescent="0.25">
      <c r="A7" s="55">
        <v>44201</v>
      </c>
      <c r="B7" s="57">
        <v>137514</v>
      </c>
      <c r="C7" s="33">
        <v>93635</v>
      </c>
      <c r="D7" s="56">
        <v>183553</v>
      </c>
      <c r="E7" s="56">
        <v>237288</v>
      </c>
      <c r="F7" s="56">
        <v>66833</v>
      </c>
      <c r="G7" s="56">
        <v>108120</v>
      </c>
      <c r="H7" s="33">
        <v>44607</v>
      </c>
      <c r="I7" s="56">
        <v>57009</v>
      </c>
      <c r="J7" s="56">
        <v>18023</v>
      </c>
      <c r="K7" s="56">
        <v>1024</v>
      </c>
      <c r="L7" s="56">
        <v>16024</v>
      </c>
      <c r="M7" s="56">
        <v>21618</v>
      </c>
      <c r="N7" s="56">
        <v>6581</v>
      </c>
      <c r="O7" s="56">
        <v>1515</v>
      </c>
      <c r="P7" s="56">
        <v>25711</v>
      </c>
      <c r="Q7" s="33">
        <v>815</v>
      </c>
      <c r="R7" s="56">
        <v>5280</v>
      </c>
    </row>
    <row r="8" spans="1:18" x14ac:dyDescent="0.25">
      <c r="A8" s="55">
        <v>44202</v>
      </c>
      <c r="B8" s="33">
        <v>137659</v>
      </c>
      <c r="C8" s="57">
        <v>93875</v>
      </c>
      <c r="D8" s="56">
        <v>183769</v>
      </c>
      <c r="E8" s="56">
        <v>237357</v>
      </c>
      <c r="F8" s="56">
        <v>66833</v>
      </c>
      <c r="G8" s="56">
        <v>108152</v>
      </c>
      <c r="H8" s="33">
        <v>44636</v>
      </c>
      <c r="I8" s="56">
        <v>57023</v>
      </c>
      <c r="J8" s="56">
        <v>18035</v>
      </c>
      <c r="K8" s="56">
        <v>1024</v>
      </c>
      <c r="L8" s="56">
        <v>16032</v>
      </c>
      <c r="M8" s="56">
        <v>21631</v>
      </c>
      <c r="N8" s="56">
        <v>6585</v>
      </c>
      <c r="O8" s="56">
        <v>1516</v>
      </c>
      <c r="P8" s="56">
        <v>25711</v>
      </c>
      <c r="Q8" s="33">
        <v>815</v>
      </c>
      <c r="R8" s="56">
        <v>5294</v>
      </c>
    </row>
    <row r="9" spans="1:18" x14ac:dyDescent="0.25">
      <c r="A9" s="55">
        <v>44203</v>
      </c>
      <c r="B9" s="33">
        <v>137795</v>
      </c>
      <c r="C9" s="33">
        <v>94076</v>
      </c>
      <c r="D9" s="56">
        <v>183929</v>
      </c>
      <c r="E9" s="56">
        <v>237424</v>
      </c>
      <c r="F9" s="56">
        <v>66834</v>
      </c>
      <c r="G9" s="56">
        <v>108179</v>
      </c>
      <c r="H9" s="33">
        <v>44663</v>
      </c>
      <c r="I9" s="56">
        <v>57041</v>
      </c>
      <c r="J9" s="56">
        <v>18046</v>
      </c>
      <c r="K9" s="56">
        <v>1024</v>
      </c>
      <c r="L9" s="56">
        <v>16039</v>
      </c>
      <c r="M9" s="56">
        <v>21645</v>
      </c>
      <c r="N9" s="56">
        <v>6588</v>
      </c>
      <c r="O9" s="56">
        <v>1518</v>
      </c>
      <c r="P9" s="56">
        <v>25711</v>
      </c>
      <c r="Q9" s="33">
        <v>815</v>
      </c>
      <c r="R9" s="56">
        <v>5303</v>
      </c>
    </row>
    <row r="10" spans="1:18" x14ac:dyDescent="0.25">
      <c r="A10" s="55">
        <v>44204</v>
      </c>
      <c r="B10" s="33">
        <v>137927</v>
      </c>
      <c r="C10" s="57">
        <v>94277</v>
      </c>
      <c r="D10" s="56">
        <v>184083</v>
      </c>
      <c r="E10" s="56">
        <v>237487</v>
      </c>
      <c r="F10" s="56">
        <v>66834</v>
      </c>
      <c r="G10" s="56">
        <v>108213</v>
      </c>
      <c r="H10" s="33">
        <v>44691</v>
      </c>
      <c r="I10" s="56">
        <v>57063</v>
      </c>
      <c r="J10" s="56">
        <v>18057</v>
      </c>
      <c r="K10" s="56">
        <v>1024</v>
      </c>
      <c r="L10" s="56">
        <v>16047</v>
      </c>
      <c r="M10" s="56">
        <v>21661</v>
      </c>
      <c r="N10" s="56">
        <v>6592</v>
      </c>
      <c r="O10" s="56">
        <v>1519</v>
      </c>
      <c r="P10" s="56">
        <v>25711</v>
      </c>
      <c r="Q10" s="33">
        <v>815</v>
      </c>
      <c r="R10" s="56">
        <v>5307</v>
      </c>
    </row>
    <row r="11" spans="1:18" x14ac:dyDescent="0.25">
      <c r="A11" s="55">
        <v>44205</v>
      </c>
      <c r="B11" s="33">
        <v>138118</v>
      </c>
      <c r="C11" s="33">
        <v>94443</v>
      </c>
      <c r="D11" s="56">
        <v>184261</v>
      </c>
      <c r="E11" s="56">
        <v>237548</v>
      </c>
      <c r="F11" s="56">
        <v>66834</v>
      </c>
      <c r="G11" s="56">
        <v>108246</v>
      </c>
      <c r="H11" s="33">
        <v>44728</v>
      </c>
      <c r="I11" s="56">
        <v>57080</v>
      </c>
      <c r="J11" s="56">
        <v>18069</v>
      </c>
      <c r="K11" s="56">
        <v>1024</v>
      </c>
      <c r="L11" s="56">
        <v>16056</v>
      </c>
      <c r="M11" s="56">
        <v>21675</v>
      </c>
      <c r="N11" s="56">
        <v>6598</v>
      </c>
      <c r="O11" s="56">
        <v>1521</v>
      </c>
      <c r="P11" s="56">
        <v>25714</v>
      </c>
      <c r="Q11" s="33">
        <v>815</v>
      </c>
      <c r="R11" s="56">
        <v>5319</v>
      </c>
    </row>
    <row r="12" spans="1:18" x14ac:dyDescent="0.25">
      <c r="A12" s="55">
        <v>44206</v>
      </c>
      <c r="B12" s="33">
        <v>138253</v>
      </c>
      <c r="C12" s="57">
        <v>94594</v>
      </c>
      <c r="D12" s="56">
        <v>184379</v>
      </c>
      <c r="E12" s="56">
        <v>237605</v>
      </c>
      <c r="F12" s="56">
        <v>66834</v>
      </c>
      <c r="G12" s="56">
        <v>108267</v>
      </c>
      <c r="H12" s="33">
        <v>44775</v>
      </c>
      <c r="I12" s="56">
        <v>57096</v>
      </c>
      <c r="J12" s="56">
        <v>18079</v>
      </c>
      <c r="K12" s="56">
        <v>1024</v>
      </c>
      <c r="L12" s="56">
        <v>16063</v>
      </c>
      <c r="M12" s="56">
        <v>21686</v>
      </c>
      <c r="N12" s="56">
        <v>6604</v>
      </c>
      <c r="O12" s="56">
        <v>1522</v>
      </c>
      <c r="P12" s="56">
        <v>25714</v>
      </c>
      <c r="Q12" s="33">
        <v>815</v>
      </c>
      <c r="R12" s="56">
        <v>5328</v>
      </c>
    </row>
    <row r="13" spans="1:18" x14ac:dyDescent="0.25">
      <c r="A13" s="55">
        <v>44207</v>
      </c>
      <c r="B13" s="33">
        <v>138437</v>
      </c>
      <c r="C13" s="33">
        <v>94760</v>
      </c>
      <c r="D13" s="56">
        <v>184551</v>
      </c>
      <c r="E13" s="56">
        <v>237669</v>
      </c>
      <c r="F13" s="56">
        <v>66836</v>
      </c>
      <c r="G13" s="56">
        <v>108292</v>
      </c>
      <c r="H13" s="33">
        <v>44806</v>
      </c>
      <c r="I13" s="56">
        <v>57130</v>
      </c>
      <c r="J13" s="56">
        <v>18091</v>
      </c>
      <c r="K13" s="56">
        <v>1024</v>
      </c>
      <c r="L13" s="56">
        <v>16071</v>
      </c>
      <c r="M13" s="56">
        <v>21706</v>
      </c>
      <c r="N13" s="56">
        <v>6607</v>
      </c>
      <c r="O13" s="56">
        <v>1524</v>
      </c>
      <c r="P13" s="56">
        <v>25730</v>
      </c>
      <c r="Q13" s="33">
        <v>815</v>
      </c>
      <c r="R13" s="56">
        <v>5336</v>
      </c>
    </row>
    <row r="14" spans="1:18" x14ac:dyDescent="0.25">
      <c r="A14" s="55">
        <v>44208</v>
      </c>
      <c r="B14" s="33">
        <v>138623</v>
      </c>
      <c r="C14" s="57">
        <v>94917</v>
      </c>
      <c r="D14" s="56">
        <v>184731</v>
      </c>
      <c r="E14" s="56">
        <v>237728</v>
      </c>
      <c r="F14" s="56">
        <v>66836</v>
      </c>
      <c r="G14" s="56">
        <v>108314</v>
      </c>
      <c r="H14" s="33">
        <v>44835</v>
      </c>
      <c r="I14" s="56">
        <v>57150</v>
      </c>
      <c r="J14" s="56">
        <v>18102</v>
      </c>
      <c r="K14" s="56">
        <v>1024</v>
      </c>
      <c r="L14" s="56">
        <v>16078</v>
      </c>
      <c r="M14" s="56">
        <v>21720</v>
      </c>
      <c r="N14" s="56">
        <v>6610</v>
      </c>
      <c r="O14" s="56">
        <v>1525</v>
      </c>
      <c r="P14" s="56">
        <v>25730</v>
      </c>
      <c r="Q14" s="33">
        <v>815</v>
      </c>
      <c r="R14" s="56">
        <v>5339</v>
      </c>
    </row>
    <row r="15" spans="1:18" x14ac:dyDescent="0.25">
      <c r="A15" s="55">
        <v>44209</v>
      </c>
      <c r="B15" s="33">
        <v>138819</v>
      </c>
      <c r="C15" s="33">
        <v>95084</v>
      </c>
      <c r="D15" s="56">
        <v>184907</v>
      </c>
      <c r="E15" s="56">
        <v>237795</v>
      </c>
      <c r="F15" s="56">
        <v>66837</v>
      </c>
      <c r="G15" s="56">
        <v>108341</v>
      </c>
      <c r="H15" s="33">
        <v>44867</v>
      </c>
      <c r="I15" s="56">
        <v>57179</v>
      </c>
      <c r="J15" s="56">
        <v>18113</v>
      </c>
      <c r="K15" s="56">
        <v>1024</v>
      </c>
      <c r="L15" s="56">
        <v>16085</v>
      </c>
      <c r="M15" s="56">
        <v>21736</v>
      </c>
      <c r="N15" s="56">
        <v>6673</v>
      </c>
      <c r="O15" s="56">
        <v>1526</v>
      </c>
      <c r="P15" s="56">
        <v>25739</v>
      </c>
      <c r="Q15" s="33">
        <v>815</v>
      </c>
      <c r="R15" s="56">
        <v>5349</v>
      </c>
    </row>
    <row r="16" spans="1:18" x14ac:dyDescent="0.25">
      <c r="A16" s="55">
        <v>44210</v>
      </c>
      <c r="B16" s="33"/>
      <c r="C16" s="57"/>
      <c r="D16" s="56"/>
      <c r="E16" s="56"/>
      <c r="F16" s="56"/>
      <c r="G16" s="56"/>
      <c r="H16" s="33"/>
      <c r="I16" s="56"/>
      <c r="J16" s="56"/>
      <c r="K16" s="33"/>
      <c r="L16" s="56"/>
      <c r="M16" s="56"/>
      <c r="N16" s="56"/>
      <c r="O16" s="56"/>
      <c r="P16" s="56"/>
      <c r="Q16" s="33"/>
      <c r="R16" s="56"/>
    </row>
    <row r="17" spans="1:22" x14ac:dyDescent="0.25">
      <c r="A17" s="55">
        <v>44211</v>
      </c>
      <c r="B17" s="33"/>
      <c r="C17" s="33"/>
      <c r="D17" s="56"/>
      <c r="E17" s="56"/>
      <c r="F17" s="56"/>
      <c r="G17" s="56"/>
      <c r="H17" s="33"/>
      <c r="I17" s="56"/>
      <c r="J17" s="56"/>
      <c r="K17" s="33"/>
      <c r="L17" s="56"/>
      <c r="M17" s="56"/>
      <c r="N17" s="56"/>
      <c r="O17" s="56"/>
      <c r="P17" s="56"/>
      <c r="Q17" s="33"/>
      <c r="R17" s="56"/>
    </row>
    <row r="18" spans="1:22" x14ac:dyDescent="0.25">
      <c r="A18" s="55">
        <v>44212</v>
      </c>
      <c r="B18" s="33"/>
      <c r="C18" s="57"/>
      <c r="D18" s="56"/>
      <c r="E18" s="56"/>
      <c r="F18" s="56"/>
      <c r="G18" s="56"/>
      <c r="H18" s="33"/>
      <c r="I18" s="56"/>
      <c r="J18" s="33"/>
      <c r="K18" s="56"/>
      <c r="L18" s="56"/>
      <c r="M18" s="56"/>
      <c r="N18" s="56"/>
      <c r="O18" s="56"/>
      <c r="P18" s="56"/>
      <c r="Q18" s="33"/>
      <c r="R18" s="56"/>
    </row>
    <row r="19" spans="1:22" x14ac:dyDescent="0.25">
      <c r="A19" s="55">
        <v>44213</v>
      </c>
      <c r="B19" s="33"/>
      <c r="C19" s="33"/>
      <c r="D19" s="56"/>
      <c r="E19" s="56"/>
      <c r="F19" s="56"/>
      <c r="G19" s="56"/>
      <c r="H19" s="33"/>
      <c r="I19" s="56"/>
      <c r="J19" s="56"/>
      <c r="K19" s="56"/>
      <c r="L19" s="56"/>
      <c r="M19" s="56"/>
      <c r="N19" s="56"/>
      <c r="O19" s="56"/>
      <c r="P19" s="56"/>
      <c r="Q19" s="33"/>
      <c r="R19" s="56"/>
    </row>
    <row r="20" spans="1:22" x14ac:dyDescent="0.25">
      <c r="A20" s="55">
        <v>44214</v>
      </c>
      <c r="B20" s="33"/>
      <c r="C20" s="57"/>
      <c r="E20" s="56"/>
      <c r="F20" s="56"/>
      <c r="G20" s="56"/>
      <c r="H20" s="33"/>
      <c r="I20" s="56"/>
      <c r="J20" s="56"/>
      <c r="K20" s="56"/>
      <c r="L20" s="56"/>
      <c r="M20" s="56"/>
      <c r="N20" s="56"/>
      <c r="O20" s="56"/>
      <c r="P20" s="56"/>
      <c r="Q20" s="33"/>
      <c r="R20" s="56"/>
    </row>
    <row r="21" spans="1:22" x14ac:dyDescent="0.25">
      <c r="A21" s="55">
        <v>44215</v>
      </c>
      <c r="B21" s="33"/>
      <c r="C21" s="33"/>
      <c r="D21" s="56"/>
      <c r="E21" s="56"/>
      <c r="F21" s="56"/>
      <c r="G21" s="56"/>
      <c r="H21" s="33"/>
      <c r="I21" s="56"/>
      <c r="J21" s="56"/>
      <c r="K21" s="56"/>
      <c r="L21" s="56"/>
      <c r="M21" s="56"/>
      <c r="N21" s="56"/>
      <c r="O21" s="56"/>
      <c r="P21" s="56"/>
      <c r="Q21" s="33"/>
      <c r="R21" s="56"/>
    </row>
    <row r="22" spans="1:22" x14ac:dyDescent="0.25">
      <c r="A22" s="55">
        <v>44216</v>
      </c>
      <c r="B22" s="33"/>
      <c r="C22" s="57"/>
      <c r="D22" s="56"/>
      <c r="E22" s="56"/>
      <c r="F22" s="56"/>
      <c r="G22" s="56"/>
      <c r="H22" s="33"/>
      <c r="I22" s="56"/>
      <c r="J22" s="56"/>
      <c r="K22" s="56"/>
      <c r="L22" s="56"/>
      <c r="M22" s="56"/>
      <c r="N22" s="56"/>
      <c r="O22" s="56"/>
      <c r="P22" s="56"/>
      <c r="Q22" s="33"/>
      <c r="R22" s="56"/>
    </row>
    <row r="23" spans="1:22" x14ac:dyDescent="0.25">
      <c r="A23" s="55">
        <v>44217</v>
      </c>
      <c r="B23" s="33"/>
      <c r="C23" s="33"/>
      <c r="D23" s="56"/>
      <c r="E23" s="56"/>
      <c r="F23" s="56"/>
      <c r="G23" s="56"/>
      <c r="H23" s="33"/>
      <c r="I23" s="56"/>
      <c r="J23" s="56"/>
      <c r="K23" s="56"/>
      <c r="L23" s="56"/>
      <c r="M23" s="56"/>
      <c r="N23" s="56"/>
      <c r="O23" s="56"/>
      <c r="P23" s="56"/>
      <c r="Q23" s="33"/>
      <c r="R23" s="56"/>
    </row>
    <row r="24" spans="1:22" x14ac:dyDescent="0.25">
      <c r="A24" s="55">
        <v>44218</v>
      </c>
      <c r="B24" s="33"/>
      <c r="C24" s="57"/>
      <c r="D24" s="56"/>
      <c r="E24" s="56"/>
      <c r="F24" s="56"/>
      <c r="G24" s="56"/>
      <c r="H24" s="33"/>
      <c r="I24" s="56"/>
      <c r="J24" s="56"/>
      <c r="K24" s="56"/>
      <c r="L24" s="56"/>
      <c r="M24" s="56"/>
      <c r="N24" s="56"/>
      <c r="O24" s="56"/>
      <c r="P24" s="56"/>
      <c r="Q24" s="33"/>
      <c r="R24" s="56"/>
    </row>
    <row r="25" spans="1:22" x14ac:dyDescent="0.25">
      <c r="A25" s="55">
        <v>44219</v>
      </c>
      <c r="B25" s="33"/>
      <c r="C25" s="33"/>
      <c r="D25" s="56"/>
      <c r="E25" s="56"/>
      <c r="F25" s="56"/>
      <c r="G25" s="56"/>
      <c r="H25" s="33"/>
      <c r="I25" s="56"/>
      <c r="J25" s="56"/>
      <c r="K25" s="56"/>
      <c r="L25" s="56"/>
      <c r="M25" s="56"/>
      <c r="N25" s="56"/>
      <c r="O25" s="56"/>
      <c r="P25" s="56"/>
      <c r="Q25" s="33"/>
      <c r="R25" s="56"/>
    </row>
    <row r="26" spans="1:22" x14ac:dyDescent="0.25">
      <c r="A26" s="55">
        <v>44220</v>
      </c>
      <c r="B26" s="33"/>
      <c r="C26" s="57"/>
      <c r="D26" s="56"/>
      <c r="E26" s="56"/>
      <c r="F26" s="56"/>
      <c r="G26" s="56"/>
      <c r="H26" s="33"/>
      <c r="I26" s="56"/>
      <c r="J26" s="56"/>
      <c r="K26" s="56"/>
      <c r="L26" s="56"/>
      <c r="M26" s="56"/>
      <c r="N26" s="56"/>
      <c r="O26" s="56"/>
      <c r="P26" s="56"/>
      <c r="Q26" s="33"/>
      <c r="R26" s="56"/>
    </row>
    <row r="27" spans="1:22" x14ac:dyDescent="0.25">
      <c r="A27" s="55">
        <v>44221</v>
      </c>
      <c r="B27" s="33"/>
      <c r="C27" s="33"/>
      <c r="D27" s="56"/>
      <c r="E27" s="56"/>
      <c r="F27" s="56"/>
      <c r="G27" s="56"/>
      <c r="H27" s="33"/>
      <c r="I27" s="56"/>
      <c r="J27" s="56"/>
      <c r="K27" s="56"/>
      <c r="L27" s="56"/>
      <c r="M27" s="56"/>
      <c r="N27" s="56"/>
      <c r="O27" s="56"/>
      <c r="P27" s="56"/>
      <c r="Q27" s="33"/>
      <c r="R27" s="56"/>
    </row>
    <row r="28" spans="1:22" x14ac:dyDescent="0.25">
      <c r="A28" s="55">
        <v>44222</v>
      </c>
      <c r="B28" s="33"/>
      <c r="C28" s="57"/>
      <c r="D28" s="56"/>
      <c r="E28" s="56"/>
      <c r="F28" s="56"/>
      <c r="G28" s="56"/>
      <c r="H28" s="33"/>
      <c r="I28" s="56"/>
      <c r="J28" s="56"/>
      <c r="K28" s="56"/>
      <c r="L28" s="56"/>
      <c r="M28" s="56"/>
      <c r="N28" s="56"/>
      <c r="O28" s="56"/>
      <c r="P28" s="56"/>
      <c r="Q28" s="33"/>
      <c r="R28" s="56"/>
    </row>
    <row r="29" spans="1:22" x14ac:dyDescent="0.25">
      <c r="A29" s="55">
        <v>44223</v>
      </c>
      <c r="B29" s="33"/>
      <c r="C29" s="33"/>
      <c r="D29" s="56"/>
      <c r="E29" s="56"/>
      <c r="F29" s="56"/>
      <c r="G29" s="56"/>
      <c r="H29" s="33"/>
      <c r="J29" s="56"/>
      <c r="K29" s="56"/>
      <c r="L29" s="56"/>
      <c r="M29" s="56"/>
      <c r="N29" s="56"/>
      <c r="O29" s="56"/>
      <c r="P29" s="56"/>
      <c r="Q29" s="56"/>
      <c r="R29" s="56"/>
    </row>
    <row r="30" spans="1:22" x14ac:dyDescent="0.25">
      <c r="A30" s="55">
        <v>44224</v>
      </c>
      <c r="B30" s="33"/>
      <c r="C30" s="57"/>
      <c r="D30" s="56"/>
      <c r="E30" s="56"/>
      <c r="F30" s="56"/>
      <c r="G30" s="56"/>
      <c r="H30" s="33"/>
      <c r="I30" s="56"/>
      <c r="J30" s="56"/>
      <c r="K30" s="56"/>
      <c r="L30" s="56"/>
      <c r="M30" s="56"/>
      <c r="N30" s="56"/>
      <c r="O30" s="56"/>
      <c r="P30" s="56"/>
      <c r="Q30" s="56"/>
      <c r="R30" s="56"/>
    </row>
    <row r="31" spans="1:22" x14ac:dyDescent="0.25">
      <c r="A31" s="55">
        <v>44225</v>
      </c>
      <c r="B31" s="33"/>
      <c r="C31" s="33"/>
      <c r="D31" s="56"/>
      <c r="F31" s="56"/>
      <c r="G31" s="56"/>
      <c r="H31" s="33"/>
      <c r="I31" s="56"/>
      <c r="K31" s="56"/>
      <c r="L31" s="56"/>
      <c r="M31" s="56"/>
      <c r="N31" s="56"/>
      <c r="O31" s="56"/>
      <c r="P31" s="56"/>
      <c r="Q31" s="56"/>
      <c r="R31" s="56"/>
      <c r="S31" s="58"/>
      <c r="T31" s="58"/>
      <c r="U31" s="58"/>
      <c r="V31" s="58"/>
    </row>
    <row r="32" spans="1:22" x14ac:dyDescent="0.25">
      <c r="A32" s="55">
        <v>44226</v>
      </c>
      <c r="B32" s="33"/>
      <c r="C32" s="57"/>
      <c r="D32" s="56"/>
      <c r="E32" s="56"/>
      <c r="F32" s="56"/>
      <c r="G32" s="56"/>
      <c r="H32" s="57"/>
      <c r="I32" s="33"/>
      <c r="J32" s="56"/>
      <c r="K32" s="56"/>
      <c r="L32" s="56"/>
      <c r="M32" s="56"/>
      <c r="N32" s="56"/>
      <c r="O32" s="56"/>
      <c r="P32" s="56"/>
      <c r="Q32" s="56"/>
      <c r="R32" s="56"/>
      <c r="S32" s="59"/>
      <c r="T32" s="58"/>
      <c r="U32" s="58"/>
      <c r="V32" s="58"/>
    </row>
    <row r="33" spans="1:22" x14ac:dyDescent="0.25">
      <c r="A33" s="55">
        <v>44227</v>
      </c>
      <c r="B33" s="33"/>
      <c r="C33" s="33"/>
      <c r="D33" s="56"/>
      <c r="E33" s="56"/>
      <c r="F33" s="56"/>
      <c r="G33" s="56"/>
      <c r="H33" s="57"/>
      <c r="I33" s="33"/>
      <c r="J33" s="56"/>
      <c r="K33" s="56"/>
      <c r="L33" s="56"/>
      <c r="M33" s="56"/>
      <c r="N33" s="56"/>
      <c r="O33" s="56"/>
      <c r="P33" s="56"/>
      <c r="Q33" s="56"/>
      <c r="R33" s="56"/>
      <c r="S33" s="59"/>
      <c r="T33" s="58"/>
      <c r="U33" s="58"/>
      <c r="V33" s="58"/>
    </row>
    <row r="34" spans="1:22" x14ac:dyDescent="0.25">
      <c r="A34" s="55">
        <v>44228</v>
      </c>
      <c r="B34" s="33"/>
      <c r="C34" s="57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zoomScale="70" zoomScaleNormal="70" workbookViewId="0">
      <pane ySplit="3" topLeftCell="A4" activePane="bottomLeft" state="frozen"/>
      <selection activeCell="C25" sqref="C25"/>
      <selection pane="bottomLeft" activeCell="K4" sqref="K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9.5703125" customWidth="1"/>
    <col min="6" max="6" width="10.42578125" customWidth="1"/>
    <col min="7" max="7" width="12.28515625" customWidth="1"/>
    <col min="8" max="8" width="13.5703125" customWidth="1"/>
    <col min="9" max="12" width="9.5703125" customWidth="1"/>
    <col min="13" max="13" width="10.28515625" customWidth="1"/>
    <col min="14" max="17" width="9.5703125" customWidth="1"/>
    <col min="18" max="18" width="11.42578125" customWidth="1"/>
    <col min="19" max="20" width="11.5703125" customWidth="1"/>
    <col min="21" max="24" width="9.5703125" customWidth="1"/>
    <col min="25" max="25" width="14.28515625" customWidth="1"/>
    <col min="26" max="26" width="12.28515625" customWidth="1"/>
  </cols>
  <sheetData>
    <row r="1" spans="1:26" ht="15.75" thickBot="1" x14ac:dyDescent="0.3"/>
    <row r="2" spans="1:26" s="60" customFormat="1" ht="45" customHeight="1" thickTop="1" x14ac:dyDescent="0.25">
      <c r="A2" s="130" t="s">
        <v>34</v>
      </c>
      <c r="B2" s="131" t="s">
        <v>111</v>
      </c>
      <c r="C2" s="131" t="s">
        <v>112</v>
      </c>
      <c r="D2" s="131"/>
      <c r="E2" s="132" t="s">
        <v>100</v>
      </c>
      <c r="F2" s="133"/>
      <c r="G2" s="134" t="s">
        <v>115</v>
      </c>
      <c r="H2" s="133"/>
      <c r="I2" s="134" t="s">
        <v>113</v>
      </c>
      <c r="J2" s="133"/>
      <c r="K2" s="134" t="s">
        <v>114</v>
      </c>
      <c r="L2" s="133"/>
      <c r="M2" s="134" t="s">
        <v>110</v>
      </c>
      <c r="N2" s="133"/>
      <c r="O2" s="134" t="s">
        <v>109</v>
      </c>
      <c r="P2" s="133"/>
      <c r="Q2" s="134" t="s">
        <v>116</v>
      </c>
      <c r="R2" s="133"/>
      <c r="S2" s="134" t="s">
        <v>117</v>
      </c>
      <c r="T2" s="133"/>
      <c r="U2" s="134" t="s">
        <v>118</v>
      </c>
      <c r="V2" s="133"/>
      <c r="W2" s="134" t="s">
        <v>102</v>
      </c>
      <c r="X2" s="135"/>
      <c r="Y2" s="136" t="s">
        <v>55</v>
      </c>
      <c r="Z2" s="136"/>
    </row>
    <row r="3" spans="1:26" ht="30" x14ac:dyDescent="0.35">
      <c r="A3" s="130"/>
      <c r="B3" s="131"/>
      <c r="C3" s="61" t="s">
        <v>119</v>
      </c>
      <c r="D3" s="61" t="s">
        <v>120</v>
      </c>
      <c r="E3" s="80" t="s">
        <v>119</v>
      </c>
      <c r="F3" s="63" t="s">
        <v>121</v>
      </c>
      <c r="G3" s="62" t="s">
        <v>119</v>
      </c>
      <c r="H3" s="63" t="s">
        <v>121</v>
      </c>
      <c r="I3" s="62" t="s">
        <v>119</v>
      </c>
      <c r="J3" s="63" t="s">
        <v>121</v>
      </c>
      <c r="K3" s="62" t="s">
        <v>119</v>
      </c>
      <c r="L3" s="63" t="s">
        <v>121</v>
      </c>
      <c r="M3" s="62" t="s">
        <v>119</v>
      </c>
      <c r="N3" s="63" t="s">
        <v>121</v>
      </c>
      <c r="O3" s="62" t="s">
        <v>119</v>
      </c>
      <c r="P3" s="63" t="s">
        <v>121</v>
      </c>
      <c r="Q3" s="62" t="s">
        <v>119</v>
      </c>
      <c r="R3" s="63" t="s">
        <v>121</v>
      </c>
      <c r="S3" s="62" t="s">
        <v>119</v>
      </c>
      <c r="T3" s="63" t="s">
        <v>121</v>
      </c>
      <c r="U3" s="62" t="s">
        <v>119</v>
      </c>
      <c r="V3" s="63" t="s">
        <v>121</v>
      </c>
      <c r="W3" s="62" t="s">
        <v>119</v>
      </c>
      <c r="X3" s="64" t="s">
        <v>121</v>
      </c>
      <c r="Y3" s="65" t="s">
        <v>119</v>
      </c>
      <c r="Z3" s="65" t="s">
        <v>121</v>
      </c>
    </row>
    <row r="4" spans="1:26" x14ac:dyDescent="0.25">
      <c r="A4" s="8">
        <f>'Water Reading'!A3</f>
        <v>44197</v>
      </c>
      <c r="B4" s="66">
        <v>306</v>
      </c>
      <c r="C4" s="67">
        <f>('Water Reading'!B4-'Water Reading'!B3)+('Water Reading'!C4-'Water Reading'!C3)</f>
        <v>385</v>
      </c>
      <c r="D4" s="68">
        <f>C4/B4</f>
        <v>1.2581699346405228</v>
      </c>
      <c r="E4" s="95">
        <f>'Water Reading'!H4-'Water Reading'!H3</f>
        <v>25</v>
      </c>
      <c r="F4" s="96">
        <f>E4/C4</f>
        <v>6.4935064935064929E-2</v>
      </c>
      <c r="G4" s="100">
        <f>('Water Reading'!D4-'Water Reading'!D3)-('Water Reading'!R4-'Water Reading'!R3)-('Water Reading'!Q4-'Water Reading'!Q3)</f>
        <v>87</v>
      </c>
      <c r="H4" s="96">
        <f>G4/C4</f>
        <v>0.22597402597402597</v>
      </c>
      <c r="I4" s="97">
        <f>'Water Reading'!P4-'Water Reading'!P3</f>
        <v>64</v>
      </c>
      <c r="J4" s="69">
        <f>I4/C4</f>
        <v>0.16623376623376623</v>
      </c>
      <c r="K4" s="98">
        <f>('Water Reading'!I4-'Water Reading'!I3)</f>
        <v>142</v>
      </c>
      <c r="L4" s="69">
        <f>K4/C4</f>
        <v>0.36883116883116884</v>
      </c>
      <c r="M4" s="97">
        <f>'Water Reading'!R4-'Water Reading'!R3</f>
        <v>9</v>
      </c>
      <c r="N4" s="99">
        <f>M4/C4</f>
        <v>2.3376623376623377E-2</v>
      </c>
      <c r="O4" s="97">
        <f>'Water Reading'!Q4-'Water Reading'!Q3</f>
        <v>0</v>
      </c>
      <c r="P4" s="106">
        <f>O4/C4</f>
        <v>0</v>
      </c>
      <c r="Q4" s="98">
        <f>'Water Reading'!F4-'Water Reading'!F3</f>
        <v>0</v>
      </c>
      <c r="R4" s="107">
        <f>Q4/C4</f>
        <v>0</v>
      </c>
      <c r="S4" s="97">
        <f>'Water Reading'!E4-'Water Reading'!E3</f>
        <v>56</v>
      </c>
      <c r="T4" s="107">
        <f>S4/C4</f>
        <v>0.14545454545454545</v>
      </c>
      <c r="U4" s="97">
        <f>'Water Reading'!G4-'Water Reading'!G3</f>
        <v>28</v>
      </c>
      <c r="V4" s="107">
        <f>U4/C4</f>
        <v>7.2727272727272724E-2</v>
      </c>
      <c r="W4" s="97">
        <f>'Water Reading'!J4-'Water Reading'!J3</f>
        <v>10</v>
      </c>
      <c r="X4" s="107">
        <f>W4/C4</f>
        <v>2.5974025974025976E-2</v>
      </c>
      <c r="Y4" s="67">
        <f t="shared" ref="Y4:Y34" si="0">E4+I4+K4+M4+O4+G4+Q4+S4+U4+W4</f>
        <v>421</v>
      </c>
      <c r="Z4" s="68">
        <f t="shared" ref="Z4:Z35" si="1">Y4/B4</f>
        <v>1.3758169934640523</v>
      </c>
    </row>
    <row r="5" spans="1:26" x14ac:dyDescent="0.25">
      <c r="A5" s="8">
        <f>'Water Reading'!A4</f>
        <v>44198</v>
      </c>
      <c r="B5" s="66">
        <v>253</v>
      </c>
      <c r="C5" s="67">
        <f>('Water Reading'!B5-'Water Reading'!B4)+('Water Reading'!C5-'Water Reading'!C4)</f>
        <v>361</v>
      </c>
      <c r="D5" s="68">
        <f t="shared" ref="D5:D34" si="2">C5/B5</f>
        <v>1.4268774703557312</v>
      </c>
      <c r="E5" s="95">
        <f>'Water Reading'!H5-'Water Reading'!H4</f>
        <v>26</v>
      </c>
      <c r="F5" s="96">
        <f t="shared" ref="F5:F34" si="3">E5/C5</f>
        <v>7.2022160664819951E-2</v>
      </c>
      <c r="G5" s="100">
        <f>('Water Reading'!D5-'Water Reading'!D4)-('Water Reading'!R5-'Water Reading'!R4)-('Water Reading'!Q5-'Water Reading'!Q4)</f>
        <v>109</v>
      </c>
      <c r="H5" s="96">
        <f t="shared" ref="H5:H34" si="4">G5/C5</f>
        <v>0.30193905817174516</v>
      </c>
      <c r="I5" s="97">
        <f>'Water Reading'!P5-'Water Reading'!P4</f>
        <v>0</v>
      </c>
      <c r="J5" s="69">
        <f t="shared" ref="J5:J34" si="5">I5/C5</f>
        <v>0</v>
      </c>
      <c r="K5" s="98">
        <f>('Water Reading'!I5-'Water Reading'!I4)</f>
        <v>20</v>
      </c>
      <c r="L5" s="69">
        <f t="shared" ref="L5:L34" si="6">K5/C5</f>
        <v>5.5401662049861494E-2</v>
      </c>
      <c r="M5" s="97">
        <f>'Water Reading'!R5-'Water Reading'!R4</f>
        <v>9</v>
      </c>
      <c r="N5" s="99">
        <f t="shared" ref="N5:N34" si="7">M5/C5</f>
        <v>2.4930747922437674E-2</v>
      </c>
      <c r="O5" s="97">
        <f>'Water Reading'!Q5-'Water Reading'!Q4</f>
        <v>0</v>
      </c>
      <c r="P5" s="106">
        <f t="shared" ref="P5:P34" si="8">O5/C5</f>
        <v>0</v>
      </c>
      <c r="Q5" s="98">
        <f>'Water Reading'!F5-'Water Reading'!F4</f>
        <v>1</v>
      </c>
      <c r="R5" s="107">
        <f t="shared" ref="R5:R34" si="9">Q5/C5</f>
        <v>2.7700831024930748E-3</v>
      </c>
      <c r="S5" s="97">
        <f>'Water Reading'!E5-'Water Reading'!E4</f>
        <v>60</v>
      </c>
      <c r="T5" s="107">
        <f t="shared" ref="T5:T34" si="10">S5/C5</f>
        <v>0.16620498614958448</v>
      </c>
      <c r="U5" s="97">
        <f>'Water Reading'!G5-'Water Reading'!G4</f>
        <v>25</v>
      </c>
      <c r="V5" s="107">
        <f t="shared" ref="V5:V34" si="11">U5/C5</f>
        <v>6.9252077562326875E-2</v>
      </c>
      <c r="W5" s="97">
        <f>'Water Reading'!J5-'Water Reading'!J4</f>
        <v>11</v>
      </c>
      <c r="X5" s="107">
        <f t="shared" ref="X5:X34" si="12">W5/C5</f>
        <v>3.0470914127423823E-2</v>
      </c>
      <c r="Y5" s="67">
        <f t="shared" si="0"/>
        <v>261</v>
      </c>
      <c r="Z5" s="68">
        <f t="shared" si="1"/>
        <v>1.0316205533596838</v>
      </c>
    </row>
    <row r="6" spans="1:26" x14ac:dyDescent="0.25">
      <c r="A6" s="8">
        <f>'Water Reading'!A5</f>
        <v>44199</v>
      </c>
      <c r="B6" s="66">
        <v>266</v>
      </c>
      <c r="C6" s="67">
        <f>('Water Reading'!B6-'Water Reading'!B5)+('Water Reading'!C6-'Water Reading'!C5)</f>
        <v>357</v>
      </c>
      <c r="D6" s="68">
        <f t="shared" si="2"/>
        <v>1.3421052631578947</v>
      </c>
      <c r="E6" s="95">
        <f>'Water Reading'!H6-'Water Reading'!H5</f>
        <v>33</v>
      </c>
      <c r="F6" s="96">
        <f t="shared" si="3"/>
        <v>9.2436974789915971E-2</v>
      </c>
      <c r="G6" s="100">
        <f>('Water Reading'!D6-'Water Reading'!D5)-('Water Reading'!R6-'Water Reading'!R5)-('Water Reading'!Q6-'Water Reading'!Q5)</f>
        <v>197</v>
      </c>
      <c r="H6" s="96">
        <f t="shared" si="4"/>
        <v>0.55182072829131656</v>
      </c>
      <c r="I6" s="97">
        <f>'Water Reading'!P6-'Water Reading'!P5</f>
        <v>6</v>
      </c>
      <c r="J6" s="69">
        <f t="shared" si="5"/>
        <v>1.680672268907563E-2</v>
      </c>
      <c r="K6" s="98">
        <f>('Water Reading'!I6-'Water Reading'!I5)</f>
        <v>22</v>
      </c>
      <c r="L6" s="69">
        <f t="shared" si="6"/>
        <v>6.1624649859943981E-2</v>
      </c>
      <c r="M6" s="97">
        <f>'Water Reading'!R6-'Water Reading'!R5</f>
        <v>7</v>
      </c>
      <c r="N6" s="99">
        <f t="shared" si="7"/>
        <v>1.9607843137254902E-2</v>
      </c>
      <c r="O6" s="97">
        <f>'Water Reading'!Q6-'Water Reading'!Q5</f>
        <v>0</v>
      </c>
      <c r="P6" s="106">
        <f t="shared" si="8"/>
        <v>0</v>
      </c>
      <c r="Q6" s="98">
        <f>'Water Reading'!F6-'Water Reading'!F5</f>
        <v>0</v>
      </c>
      <c r="R6" s="107">
        <f t="shared" si="9"/>
        <v>0</v>
      </c>
      <c r="S6" s="97">
        <f>'Water Reading'!E6-'Water Reading'!E5</f>
        <v>60</v>
      </c>
      <c r="T6" s="107">
        <f t="shared" si="10"/>
        <v>0.16806722689075632</v>
      </c>
      <c r="U6" s="97">
        <f>'Water Reading'!G6-'Water Reading'!G5</f>
        <v>33</v>
      </c>
      <c r="V6" s="107">
        <f t="shared" si="11"/>
        <v>9.2436974789915971E-2</v>
      </c>
      <c r="W6" s="97">
        <f>'Water Reading'!J6-'Water Reading'!J5</f>
        <v>10</v>
      </c>
      <c r="X6" s="107">
        <f t="shared" si="12"/>
        <v>2.8011204481792718E-2</v>
      </c>
      <c r="Y6" s="67">
        <f t="shared" si="0"/>
        <v>368</v>
      </c>
      <c r="Z6" s="68">
        <f t="shared" si="1"/>
        <v>1.3834586466165413</v>
      </c>
    </row>
    <row r="7" spans="1:26" x14ac:dyDescent="0.25">
      <c r="A7" s="8">
        <f>'Water Reading'!A6</f>
        <v>44200</v>
      </c>
      <c r="B7" s="66">
        <v>316</v>
      </c>
      <c r="C7" s="67">
        <f>('Water Reading'!B7-'Water Reading'!B6)+('Water Reading'!C7-'Water Reading'!C6)</f>
        <v>318</v>
      </c>
      <c r="D7" s="68">
        <f t="shared" si="2"/>
        <v>1.0063291139240507</v>
      </c>
      <c r="E7" s="95">
        <f>'Water Reading'!H7-'Water Reading'!H6</f>
        <v>17</v>
      </c>
      <c r="F7" s="96">
        <f t="shared" si="3"/>
        <v>5.3459119496855348E-2</v>
      </c>
      <c r="G7" s="100">
        <f>('Water Reading'!D7-'Water Reading'!D6)-('Water Reading'!R7-'Water Reading'!R6)-('Water Reading'!Q7-'Water Reading'!Q6)</f>
        <v>138</v>
      </c>
      <c r="H7" s="96">
        <f t="shared" si="4"/>
        <v>0.43396226415094341</v>
      </c>
      <c r="I7" s="97">
        <f>'Water Reading'!P7-'Water Reading'!P6</f>
        <v>0</v>
      </c>
      <c r="J7" s="69">
        <f t="shared" si="5"/>
        <v>0</v>
      </c>
      <c r="K7" s="98">
        <f>('Water Reading'!I7-'Water Reading'!I6)</f>
        <v>18</v>
      </c>
      <c r="L7" s="69">
        <f t="shared" si="6"/>
        <v>5.6603773584905662E-2</v>
      </c>
      <c r="M7" s="97">
        <f>'Water Reading'!R7-'Water Reading'!R6</f>
        <v>3</v>
      </c>
      <c r="N7" s="99">
        <f t="shared" si="7"/>
        <v>9.433962264150943E-3</v>
      </c>
      <c r="O7" s="97">
        <f>'Water Reading'!Q7-'Water Reading'!Q6</f>
        <v>0</v>
      </c>
      <c r="P7" s="106">
        <f t="shared" si="8"/>
        <v>0</v>
      </c>
      <c r="Q7" s="98">
        <f>'Water Reading'!F7-'Water Reading'!F6</f>
        <v>1</v>
      </c>
      <c r="R7" s="107">
        <f t="shared" si="9"/>
        <v>3.1446540880503146E-3</v>
      </c>
      <c r="S7" s="97">
        <f>'Water Reading'!E7-'Water Reading'!E6</f>
        <v>73</v>
      </c>
      <c r="T7" s="107">
        <f t="shared" si="10"/>
        <v>0.22955974842767296</v>
      </c>
      <c r="U7" s="97">
        <f>'Water Reading'!G7-'Water Reading'!G6</f>
        <v>25</v>
      </c>
      <c r="V7" s="107">
        <f t="shared" si="11"/>
        <v>7.8616352201257858E-2</v>
      </c>
      <c r="W7" s="97">
        <f>'Water Reading'!J7-'Water Reading'!J6</f>
        <v>11</v>
      </c>
      <c r="X7" s="107">
        <f t="shared" si="12"/>
        <v>3.4591194968553458E-2</v>
      </c>
      <c r="Y7" s="67">
        <f t="shared" si="0"/>
        <v>286</v>
      </c>
      <c r="Z7" s="68">
        <f t="shared" si="1"/>
        <v>0.90506329113924056</v>
      </c>
    </row>
    <row r="8" spans="1:26" x14ac:dyDescent="0.25">
      <c r="A8" s="8">
        <f>'Water Reading'!A7</f>
        <v>44201</v>
      </c>
      <c r="B8" s="66">
        <v>318</v>
      </c>
      <c r="C8" s="67">
        <f>('Water Reading'!B8-'Water Reading'!B7)+('Water Reading'!C8-'Water Reading'!C7)</f>
        <v>385</v>
      </c>
      <c r="D8" s="68">
        <f t="shared" si="2"/>
        <v>1.2106918238993711</v>
      </c>
      <c r="E8" s="95">
        <f>'Water Reading'!H8-'Water Reading'!H7</f>
        <v>29</v>
      </c>
      <c r="F8" s="96">
        <f t="shared" si="3"/>
        <v>7.5324675324675322E-2</v>
      </c>
      <c r="G8" s="100">
        <f>('Water Reading'!D8-'Water Reading'!D7)-('Water Reading'!R8-'Water Reading'!R7)-('Water Reading'!Q8-'Water Reading'!Q7)</f>
        <v>202</v>
      </c>
      <c r="H8" s="96">
        <f t="shared" si="4"/>
        <v>0.52467532467532463</v>
      </c>
      <c r="I8" s="97">
        <f>'Water Reading'!P8-'Water Reading'!P7</f>
        <v>0</v>
      </c>
      <c r="J8" s="69">
        <f t="shared" si="5"/>
        <v>0</v>
      </c>
      <c r="K8" s="98">
        <f>('Water Reading'!I8-'Water Reading'!I7)</f>
        <v>14</v>
      </c>
      <c r="L8" s="69">
        <f t="shared" si="6"/>
        <v>3.6363636363636362E-2</v>
      </c>
      <c r="M8" s="97">
        <f>'Water Reading'!R8-'Water Reading'!R7</f>
        <v>14</v>
      </c>
      <c r="N8" s="99">
        <f t="shared" si="7"/>
        <v>3.6363636363636362E-2</v>
      </c>
      <c r="O8" s="97">
        <f>'Water Reading'!Q8-'Water Reading'!Q7</f>
        <v>0</v>
      </c>
      <c r="P8" s="106">
        <f t="shared" si="8"/>
        <v>0</v>
      </c>
      <c r="Q8" s="98">
        <f>'Water Reading'!F8-'Water Reading'!F7</f>
        <v>0</v>
      </c>
      <c r="R8" s="107">
        <f t="shared" si="9"/>
        <v>0</v>
      </c>
      <c r="S8" s="97">
        <f>'Water Reading'!E8-'Water Reading'!E7</f>
        <v>69</v>
      </c>
      <c r="T8" s="107">
        <f t="shared" si="10"/>
        <v>0.17922077922077922</v>
      </c>
      <c r="U8" s="97">
        <f>'Water Reading'!G8-'Water Reading'!G7</f>
        <v>32</v>
      </c>
      <c r="V8" s="107">
        <f t="shared" si="11"/>
        <v>8.3116883116883117E-2</v>
      </c>
      <c r="W8" s="97">
        <f>'Water Reading'!J8-'Water Reading'!J7</f>
        <v>12</v>
      </c>
      <c r="X8" s="107">
        <f t="shared" si="12"/>
        <v>3.1168831168831169E-2</v>
      </c>
      <c r="Y8" s="67">
        <f t="shared" si="0"/>
        <v>372</v>
      </c>
      <c r="Z8" s="68">
        <f t="shared" si="1"/>
        <v>1.1698113207547169</v>
      </c>
    </row>
    <row r="9" spans="1:26" x14ac:dyDescent="0.25">
      <c r="A9" s="8">
        <f>'Water Reading'!A8</f>
        <v>44202</v>
      </c>
      <c r="B9" s="66">
        <v>283</v>
      </c>
      <c r="C9" s="67">
        <f>('Water Reading'!B9-'Water Reading'!B8)+('Water Reading'!C9-'Water Reading'!C8)</f>
        <v>337</v>
      </c>
      <c r="D9" s="68">
        <f t="shared" si="2"/>
        <v>1.1908127208480566</v>
      </c>
      <c r="E9" s="95">
        <f>'Water Reading'!H9-'Water Reading'!H8</f>
        <v>27</v>
      </c>
      <c r="F9" s="96">
        <f t="shared" si="3"/>
        <v>8.0118694362017809E-2</v>
      </c>
      <c r="G9" s="100">
        <f>('Water Reading'!D9-'Water Reading'!D8)-('Water Reading'!R9-'Water Reading'!R8)-('Water Reading'!Q9-'Water Reading'!Q8)</f>
        <v>151</v>
      </c>
      <c r="H9" s="96">
        <f t="shared" si="4"/>
        <v>0.44807121661721067</v>
      </c>
      <c r="I9" s="97">
        <f>'Water Reading'!P9-'Water Reading'!P8</f>
        <v>0</v>
      </c>
      <c r="J9" s="69">
        <f t="shared" si="5"/>
        <v>0</v>
      </c>
      <c r="K9" s="98">
        <f>('Water Reading'!I9-'Water Reading'!I8)</f>
        <v>18</v>
      </c>
      <c r="L9" s="69">
        <f t="shared" si="6"/>
        <v>5.3412462908011868E-2</v>
      </c>
      <c r="M9" s="97">
        <f>'Water Reading'!R9-'Water Reading'!R8</f>
        <v>9</v>
      </c>
      <c r="N9" s="99">
        <f t="shared" si="7"/>
        <v>2.6706231454005934E-2</v>
      </c>
      <c r="O9" s="97">
        <f>'Water Reading'!Q9-'Water Reading'!Q8</f>
        <v>0</v>
      </c>
      <c r="P9" s="106">
        <f t="shared" si="8"/>
        <v>0</v>
      </c>
      <c r="Q9" s="98">
        <f>'Water Reading'!F9-'Water Reading'!F8</f>
        <v>1</v>
      </c>
      <c r="R9" s="107">
        <f t="shared" si="9"/>
        <v>2.967359050445104E-3</v>
      </c>
      <c r="S9" s="97">
        <f>'Water Reading'!E9-'Water Reading'!E8</f>
        <v>67</v>
      </c>
      <c r="T9" s="107">
        <f t="shared" si="10"/>
        <v>0.19881305637982197</v>
      </c>
      <c r="U9" s="97">
        <f>'Water Reading'!G9-'Water Reading'!G8</f>
        <v>27</v>
      </c>
      <c r="V9" s="107">
        <f t="shared" si="11"/>
        <v>8.0118694362017809E-2</v>
      </c>
      <c r="W9" s="97">
        <f>'Water Reading'!J9-'Water Reading'!J8</f>
        <v>11</v>
      </c>
      <c r="X9" s="107">
        <f t="shared" si="12"/>
        <v>3.2640949554896145E-2</v>
      </c>
      <c r="Y9" s="67">
        <f t="shared" si="0"/>
        <v>311</v>
      </c>
      <c r="Z9" s="68">
        <f t="shared" si="1"/>
        <v>1.0989399293286219</v>
      </c>
    </row>
    <row r="10" spans="1:26" x14ac:dyDescent="0.25">
      <c r="A10" s="8">
        <f>'Water Reading'!A9</f>
        <v>44203</v>
      </c>
      <c r="B10" s="66">
        <v>253</v>
      </c>
      <c r="C10" s="67">
        <f>('Water Reading'!B10-'Water Reading'!B9)+('Water Reading'!C10-'Water Reading'!C9)</f>
        <v>333</v>
      </c>
      <c r="D10" s="68">
        <f t="shared" si="2"/>
        <v>1.3162055335968379</v>
      </c>
      <c r="E10" s="95">
        <f>'Water Reading'!H10-'Water Reading'!H9</f>
        <v>28</v>
      </c>
      <c r="F10" s="96">
        <f t="shared" si="3"/>
        <v>8.408408408408409E-2</v>
      </c>
      <c r="G10" s="100">
        <f>('Water Reading'!D10-'Water Reading'!D9)-('Water Reading'!R10-'Water Reading'!R9)-('Water Reading'!Q10-'Water Reading'!Q9)</f>
        <v>150</v>
      </c>
      <c r="H10" s="96">
        <f t="shared" si="4"/>
        <v>0.45045045045045046</v>
      </c>
      <c r="I10" s="97">
        <f>'Water Reading'!P10-'Water Reading'!P9</f>
        <v>0</v>
      </c>
      <c r="J10" s="69">
        <f t="shared" si="5"/>
        <v>0</v>
      </c>
      <c r="K10" s="98">
        <f>('Water Reading'!I10-'Water Reading'!I9)</f>
        <v>22</v>
      </c>
      <c r="L10" s="69">
        <f t="shared" si="6"/>
        <v>6.6066066066066062E-2</v>
      </c>
      <c r="M10" s="97">
        <f>'Water Reading'!R10-'Water Reading'!R9</f>
        <v>4</v>
      </c>
      <c r="N10" s="99">
        <f t="shared" si="7"/>
        <v>1.2012012012012012E-2</v>
      </c>
      <c r="O10" s="97">
        <f>'Water Reading'!Q10-'Water Reading'!Q9</f>
        <v>0</v>
      </c>
      <c r="P10" s="106">
        <f t="shared" si="8"/>
        <v>0</v>
      </c>
      <c r="Q10" s="98">
        <f>'Water Reading'!F10-'Water Reading'!F9</f>
        <v>0</v>
      </c>
      <c r="R10" s="107">
        <f t="shared" si="9"/>
        <v>0</v>
      </c>
      <c r="S10" s="97">
        <f>'Water Reading'!E10-'Water Reading'!E9</f>
        <v>63</v>
      </c>
      <c r="T10" s="107">
        <f t="shared" si="10"/>
        <v>0.1891891891891892</v>
      </c>
      <c r="U10" s="97">
        <f>'Water Reading'!G10-'Water Reading'!G9</f>
        <v>34</v>
      </c>
      <c r="V10" s="107">
        <f t="shared" si="11"/>
        <v>0.1021021021021021</v>
      </c>
      <c r="W10" s="97">
        <f>'Water Reading'!J10-'Water Reading'!J9</f>
        <v>11</v>
      </c>
      <c r="X10" s="107">
        <f t="shared" si="12"/>
        <v>3.3033033033033031E-2</v>
      </c>
      <c r="Y10" s="67">
        <f t="shared" si="0"/>
        <v>312</v>
      </c>
      <c r="Z10" s="68">
        <f t="shared" si="1"/>
        <v>1.233201581027668</v>
      </c>
    </row>
    <row r="11" spans="1:26" x14ac:dyDescent="0.25">
      <c r="A11" s="8">
        <f>'Water Reading'!A10</f>
        <v>44204</v>
      </c>
      <c r="B11" s="66">
        <v>296</v>
      </c>
      <c r="C11" s="67">
        <f>('Water Reading'!B11-'Water Reading'!B10)+('Water Reading'!C11-'Water Reading'!C10)</f>
        <v>357</v>
      </c>
      <c r="D11" s="68">
        <f t="shared" si="2"/>
        <v>1.2060810810810811</v>
      </c>
      <c r="E11" s="95">
        <f>'Water Reading'!H11-'Water Reading'!H10</f>
        <v>37</v>
      </c>
      <c r="F11" s="96">
        <f t="shared" si="3"/>
        <v>0.10364145658263306</v>
      </c>
      <c r="G11" s="100">
        <f>('Water Reading'!D11-'Water Reading'!D10)-('Water Reading'!R11-'Water Reading'!R10)-('Water Reading'!Q11-'Water Reading'!Q10)</f>
        <v>166</v>
      </c>
      <c r="H11" s="96">
        <f t="shared" si="4"/>
        <v>0.46498599439775912</v>
      </c>
      <c r="I11" s="97">
        <f>'Water Reading'!P11-'Water Reading'!P10</f>
        <v>3</v>
      </c>
      <c r="J11" s="69">
        <f t="shared" si="5"/>
        <v>8.4033613445378148E-3</v>
      </c>
      <c r="K11" s="98">
        <f>('Water Reading'!I11-'Water Reading'!I10)</f>
        <v>17</v>
      </c>
      <c r="L11" s="69">
        <f t="shared" si="6"/>
        <v>4.7619047619047616E-2</v>
      </c>
      <c r="M11" s="97">
        <f>'Water Reading'!R11-'Water Reading'!R10</f>
        <v>12</v>
      </c>
      <c r="N11" s="99">
        <f t="shared" si="7"/>
        <v>3.3613445378151259E-2</v>
      </c>
      <c r="O11" s="105">
        <f>'Water Reading'!Q11-'Water Reading'!Q10</f>
        <v>0</v>
      </c>
      <c r="P11" s="106">
        <f t="shared" si="8"/>
        <v>0</v>
      </c>
      <c r="Q11" s="98">
        <f>'Water Reading'!F11-'Water Reading'!F10</f>
        <v>0</v>
      </c>
      <c r="R11" s="107">
        <f t="shared" si="9"/>
        <v>0</v>
      </c>
      <c r="S11" s="97">
        <f>'Water Reading'!E11-'Water Reading'!E10</f>
        <v>61</v>
      </c>
      <c r="T11" s="107">
        <f t="shared" si="10"/>
        <v>0.17086834733893558</v>
      </c>
      <c r="U11" s="97">
        <f>'Water Reading'!G11-'Water Reading'!G10</f>
        <v>33</v>
      </c>
      <c r="V11" s="107">
        <f t="shared" si="11"/>
        <v>9.2436974789915971E-2</v>
      </c>
      <c r="W11" s="97">
        <f>'Water Reading'!J11-'Water Reading'!J10</f>
        <v>12</v>
      </c>
      <c r="X11" s="107">
        <f t="shared" si="12"/>
        <v>3.3613445378151259E-2</v>
      </c>
      <c r="Y11" s="67">
        <f t="shared" si="0"/>
        <v>341</v>
      </c>
      <c r="Z11" s="68">
        <f t="shared" si="1"/>
        <v>1.152027027027027</v>
      </c>
    </row>
    <row r="12" spans="1:26" x14ac:dyDescent="0.25">
      <c r="A12" s="8">
        <f>'Water Reading'!A11</f>
        <v>44205</v>
      </c>
      <c r="B12" s="66">
        <v>266</v>
      </c>
      <c r="C12" s="67">
        <f>('Water Reading'!B12-'Water Reading'!B11)+('Water Reading'!C12-'Water Reading'!C11)</f>
        <v>286</v>
      </c>
      <c r="D12" s="68">
        <f t="shared" si="2"/>
        <v>1.0751879699248121</v>
      </c>
      <c r="E12" s="95">
        <f>'Water Reading'!H12-'Water Reading'!H11</f>
        <v>47</v>
      </c>
      <c r="F12" s="96">
        <f t="shared" si="3"/>
        <v>0.16433566433566432</v>
      </c>
      <c r="G12" s="100">
        <f>('Water Reading'!D12-'Water Reading'!D11)-('Water Reading'!R12-'Water Reading'!R11)-('Water Reading'!Q12-'Water Reading'!Q11)</f>
        <v>109</v>
      </c>
      <c r="H12" s="96">
        <f t="shared" si="4"/>
        <v>0.38111888111888109</v>
      </c>
      <c r="I12" s="97">
        <f>'Water Reading'!P12-'Water Reading'!P11</f>
        <v>0</v>
      </c>
      <c r="J12" s="69">
        <f t="shared" si="5"/>
        <v>0</v>
      </c>
      <c r="K12" s="98">
        <f>('Water Reading'!I12-'Water Reading'!I11)</f>
        <v>16</v>
      </c>
      <c r="L12" s="69">
        <f t="shared" si="6"/>
        <v>5.5944055944055944E-2</v>
      </c>
      <c r="M12" s="97">
        <f>'Water Reading'!R12-'Water Reading'!R11</f>
        <v>9</v>
      </c>
      <c r="N12" s="99">
        <f t="shared" si="7"/>
        <v>3.1468531468531472E-2</v>
      </c>
      <c r="O12" s="105">
        <f>'Water Reading'!Q12-'Water Reading'!Q11</f>
        <v>0</v>
      </c>
      <c r="P12" s="106">
        <f t="shared" si="8"/>
        <v>0</v>
      </c>
      <c r="Q12" s="98">
        <f>'Water Reading'!F12-'Water Reading'!F11</f>
        <v>0</v>
      </c>
      <c r="R12" s="107">
        <f t="shared" si="9"/>
        <v>0</v>
      </c>
      <c r="S12" s="97">
        <f>'Water Reading'!E12-'Water Reading'!E11</f>
        <v>57</v>
      </c>
      <c r="T12" s="107">
        <f t="shared" si="10"/>
        <v>0.1993006993006993</v>
      </c>
      <c r="U12" s="97">
        <f>'Water Reading'!G12-'Water Reading'!G11</f>
        <v>21</v>
      </c>
      <c r="V12" s="107">
        <f t="shared" si="11"/>
        <v>7.3426573426573424E-2</v>
      </c>
      <c r="W12" s="97">
        <f>'Water Reading'!J12-'Water Reading'!J11</f>
        <v>10</v>
      </c>
      <c r="X12" s="107">
        <f t="shared" si="12"/>
        <v>3.4965034965034968E-2</v>
      </c>
      <c r="Y12" s="67">
        <f t="shared" si="0"/>
        <v>269</v>
      </c>
      <c r="Z12" s="68">
        <f t="shared" si="1"/>
        <v>1.0112781954887218</v>
      </c>
    </row>
    <row r="13" spans="1:26" x14ac:dyDescent="0.25">
      <c r="A13" s="8">
        <f>'Water Reading'!A12</f>
        <v>44206</v>
      </c>
      <c r="B13" s="66">
        <v>276</v>
      </c>
      <c r="C13" s="67">
        <f>('Water Reading'!B13-'Water Reading'!B12)+('Water Reading'!C13-'Water Reading'!C12)</f>
        <v>350</v>
      </c>
      <c r="D13" s="68">
        <f t="shared" si="2"/>
        <v>1.2681159420289856</v>
      </c>
      <c r="E13" s="94">
        <f>'Water Reading'!H13-'Water Reading'!H12</f>
        <v>31</v>
      </c>
      <c r="F13" s="96">
        <f t="shared" si="3"/>
        <v>8.8571428571428565E-2</v>
      </c>
      <c r="G13" s="100">
        <f>('Water Reading'!D13-'Water Reading'!D12)-('Water Reading'!R13-'Water Reading'!R12)-('Water Reading'!Q13-'Water Reading'!Q12)</f>
        <v>164</v>
      </c>
      <c r="H13" s="96">
        <f t="shared" si="4"/>
        <v>0.46857142857142858</v>
      </c>
      <c r="I13" s="97">
        <f>'Water Reading'!P13-'Water Reading'!P12</f>
        <v>16</v>
      </c>
      <c r="J13" s="69">
        <f t="shared" si="5"/>
        <v>4.5714285714285714E-2</v>
      </c>
      <c r="K13" s="98">
        <f>('Water Reading'!I13-'Water Reading'!I12)</f>
        <v>34</v>
      </c>
      <c r="L13" s="69">
        <f t="shared" si="6"/>
        <v>9.7142857142857142E-2</v>
      </c>
      <c r="M13" s="97">
        <f>'Water Reading'!R13-'Water Reading'!R12</f>
        <v>8</v>
      </c>
      <c r="N13" s="99">
        <f t="shared" si="7"/>
        <v>2.2857142857142857E-2</v>
      </c>
      <c r="O13" s="97">
        <f>'Water Reading'!Q13-'Water Reading'!Q12</f>
        <v>0</v>
      </c>
      <c r="P13" s="106">
        <f t="shared" si="8"/>
        <v>0</v>
      </c>
      <c r="Q13" s="98">
        <f>'Water Reading'!F13-'Water Reading'!F12</f>
        <v>2</v>
      </c>
      <c r="R13" s="107">
        <f t="shared" si="9"/>
        <v>5.7142857142857143E-3</v>
      </c>
      <c r="S13" s="101">
        <f>'Water Reading'!E13-'Water Reading'!E12</f>
        <v>64</v>
      </c>
      <c r="T13" s="107">
        <f t="shared" si="10"/>
        <v>0.18285714285714286</v>
      </c>
      <c r="U13" s="97">
        <f>'Water Reading'!G13-'Water Reading'!G12</f>
        <v>25</v>
      </c>
      <c r="V13" s="107">
        <f t="shared" si="11"/>
        <v>7.1428571428571425E-2</v>
      </c>
      <c r="W13" s="97">
        <f>'Water Reading'!J13-'Water Reading'!J12</f>
        <v>12</v>
      </c>
      <c r="X13" s="107">
        <f t="shared" si="12"/>
        <v>3.4285714285714287E-2</v>
      </c>
      <c r="Y13" s="67">
        <f t="shared" si="0"/>
        <v>356</v>
      </c>
      <c r="Z13" s="68">
        <f t="shared" si="1"/>
        <v>1.2898550724637681</v>
      </c>
    </row>
    <row r="14" spans="1:26" x14ac:dyDescent="0.25">
      <c r="A14" s="8">
        <f>'Water Reading'!A13</f>
        <v>44207</v>
      </c>
      <c r="B14" s="66">
        <v>318</v>
      </c>
      <c r="C14" s="67">
        <f>('Water Reading'!B14-'Water Reading'!B13)+('Water Reading'!C14-'Water Reading'!C13)</f>
        <v>343</v>
      </c>
      <c r="D14" s="68">
        <f t="shared" si="2"/>
        <v>1.078616352201258</v>
      </c>
      <c r="E14" s="95">
        <f>'Water Reading'!H14-'Water Reading'!H13</f>
        <v>29</v>
      </c>
      <c r="F14" s="96">
        <f t="shared" si="3"/>
        <v>8.4548104956268216E-2</v>
      </c>
      <c r="G14" s="100">
        <f>('Water Reading'!D14-'Water Reading'!D13)-('Water Reading'!R14-'Water Reading'!R13)-('Water Reading'!Q14-'Water Reading'!Q13)</f>
        <v>177</v>
      </c>
      <c r="H14" s="96">
        <f t="shared" si="4"/>
        <v>0.51603498542274051</v>
      </c>
      <c r="I14" s="97">
        <f>'Water Reading'!P14-'Water Reading'!P13</f>
        <v>0</v>
      </c>
      <c r="J14" s="69">
        <f t="shared" si="5"/>
        <v>0</v>
      </c>
      <c r="K14" s="98">
        <f>('Water Reading'!I14-'Water Reading'!I13)</f>
        <v>20</v>
      </c>
      <c r="L14" s="69">
        <f t="shared" si="6"/>
        <v>5.8309037900874633E-2</v>
      </c>
      <c r="M14" s="97">
        <f>'Water Reading'!R14-'Water Reading'!R13</f>
        <v>3</v>
      </c>
      <c r="N14" s="99">
        <f t="shared" si="7"/>
        <v>8.7463556851311956E-3</v>
      </c>
      <c r="O14" s="97">
        <f>'Water Reading'!Q14-'Water Reading'!Q13</f>
        <v>0</v>
      </c>
      <c r="P14" s="106">
        <f t="shared" si="8"/>
        <v>0</v>
      </c>
      <c r="Q14" s="98">
        <f>'Water Reading'!F14-'Water Reading'!F13</f>
        <v>0</v>
      </c>
      <c r="R14" s="107">
        <f t="shared" si="9"/>
        <v>0</v>
      </c>
      <c r="S14" s="101">
        <f>'Water Reading'!E14-'Water Reading'!E13</f>
        <v>59</v>
      </c>
      <c r="T14" s="107">
        <f t="shared" si="10"/>
        <v>0.17201166180758018</v>
      </c>
      <c r="U14" s="97">
        <f>'Water Reading'!G14-'Water Reading'!G13</f>
        <v>22</v>
      </c>
      <c r="V14" s="107">
        <f t="shared" si="11"/>
        <v>6.4139941690962099E-2</v>
      </c>
      <c r="W14" s="97">
        <f>'Water Reading'!J14-'Water Reading'!J13</f>
        <v>11</v>
      </c>
      <c r="X14" s="107">
        <f t="shared" si="12"/>
        <v>3.2069970845481049E-2</v>
      </c>
      <c r="Y14" s="67">
        <f t="shared" si="0"/>
        <v>321</v>
      </c>
      <c r="Z14" s="68">
        <f t="shared" si="1"/>
        <v>1.0094339622641511</v>
      </c>
    </row>
    <row r="15" spans="1:26" x14ac:dyDescent="0.25">
      <c r="A15" s="8">
        <f>'Water Reading'!A14</f>
        <v>44208</v>
      </c>
      <c r="B15" s="66">
        <v>268</v>
      </c>
      <c r="C15" s="67">
        <f>('Water Reading'!B15-'Water Reading'!B14)+('Water Reading'!C15-'Water Reading'!C14)</f>
        <v>363</v>
      </c>
      <c r="D15" s="68">
        <f t="shared" si="2"/>
        <v>1.3544776119402986</v>
      </c>
      <c r="E15" s="94">
        <f>'Water Reading'!H15-'Water Reading'!H14</f>
        <v>32</v>
      </c>
      <c r="F15" s="96">
        <f t="shared" si="3"/>
        <v>8.8154269972451793E-2</v>
      </c>
      <c r="G15" s="100">
        <f>('Water Reading'!D15-'Water Reading'!D14)-('Water Reading'!R15-'Water Reading'!R14)-('Water Reading'!Q15-'Water Reading'!Q14)</f>
        <v>166</v>
      </c>
      <c r="H15" s="96">
        <f t="shared" si="4"/>
        <v>0.45730027548209368</v>
      </c>
      <c r="I15" s="97">
        <f>'Water Reading'!P15-'Water Reading'!P14</f>
        <v>9</v>
      </c>
      <c r="J15" s="69">
        <f t="shared" si="5"/>
        <v>2.4793388429752067E-2</v>
      </c>
      <c r="K15" s="98">
        <f>('Water Reading'!I15-'Water Reading'!I14)</f>
        <v>29</v>
      </c>
      <c r="L15" s="69">
        <f t="shared" si="6"/>
        <v>7.9889807162534437E-2</v>
      </c>
      <c r="M15" s="97">
        <f>'Water Reading'!R15-'Water Reading'!R14</f>
        <v>10</v>
      </c>
      <c r="N15" s="99">
        <f t="shared" si="7"/>
        <v>2.7548209366391185E-2</v>
      </c>
      <c r="O15" s="97">
        <f>'Water Reading'!Q15-'Water Reading'!Q14</f>
        <v>0</v>
      </c>
      <c r="P15" s="106">
        <f t="shared" si="8"/>
        <v>0</v>
      </c>
      <c r="Q15" s="98">
        <f>'Water Reading'!F15-'Water Reading'!F14</f>
        <v>1</v>
      </c>
      <c r="R15" s="107">
        <f t="shared" si="9"/>
        <v>2.7548209366391185E-3</v>
      </c>
      <c r="S15" s="101">
        <f>'Water Reading'!E15-'Water Reading'!E14</f>
        <v>67</v>
      </c>
      <c r="T15" s="107">
        <f t="shared" si="10"/>
        <v>0.18457300275482094</v>
      </c>
      <c r="U15" s="97">
        <f>'Water Reading'!G15-'Water Reading'!G14</f>
        <v>27</v>
      </c>
      <c r="V15" s="107">
        <f t="shared" si="11"/>
        <v>7.43801652892562E-2</v>
      </c>
      <c r="W15" s="97">
        <f>'Water Reading'!J15-'Water Reading'!J14</f>
        <v>11</v>
      </c>
      <c r="X15" s="107">
        <f t="shared" si="12"/>
        <v>3.0303030303030304E-2</v>
      </c>
      <c r="Y15" s="67">
        <f t="shared" si="0"/>
        <v>352</v>
      </c>
      <c r="Z15" s="68">
        <f t="shared" si="1"/>
        <v>1.3134328358208955</v>
      </c>
    </row>
    <row r="16" spans="1:26" x14ac:dyDescent="0.25">
      <c r="A16" s="8">
        <f>'Water Reading'!A15</f>
        <v>44209</v>
      </c>
      <c r="B16" s="66">
        <v>0</v>
      </c>
      <c r="C16" s="67">
        <f>('Water Reading'!B16-'Water Reading'!B15)+('Water Reading'!C16-'Water Reading'!C15)</f>
        <v>-233903</v>
      </c>
      <c r="D16" s="68" t="e">
        <f t="shared" si="2"/>
        <v>#DIV/0!</v>
      </c>
      <c r="E16" s="94">
        <f>'Water Reading'!H16-'Water Reading'!H15</f>
        <v>-44867</v>
      </c>
      <c r="F16" s="96">
        <f t="shared" si="3"/>
        <v>0.19181883088288734</v>
      </c>
      <c r="G16" s="100">
        <f>('Water Reading'!D16-'Water Reading'!D15)-('Water Reading'!R16-'Water Reading'!R15)-('Water Reading'!Q16-'Water Reading'!Q15)</f>
        <v>-178743</v>
      </c>
      <c r="H16" s="96">
        <f t="shared" si="4"/>
        <v>0.76417574806650623</v>
      </c>
      <c r="I16" s="97">
        <f>'Water Reading'!P16-'Water Reading'!P15</f>
        <v>-25739</v>
      </c>
      <c r="J16" s="69">
        <f t="shared" si="5"/>
        <v>0.11004134192378892</v>
      </c>
      <c r="K16" s="97">
        <f>('Water Reading'!I16-'Water Reading'!I15)-('Water Reading'!P16-'Water Reading'!P15)</f>
        <v>-31440</v>
      </c>
      <c r="L16" s="69">
        <f t="shared" si="6"/>
        <v>0.13441469327028727</v>
      </c>
      <c r="M16" s="97">
        <f>'Water Reading'!R16-'Water Reading'!R15</f>
        <v>-5349</v>
      </c>
      <c r="N16" s="99">
        <f t="shared" si="7"/>
        <v>2.2868454017263565E-2</v>
      </c>
      <c r="O16" s="97">
        <f>'Water Reading'!Q16-'Water Reading'!Q15</f>
        <v>-815</v>
      </c>
      <c r="P16" s="106">
        <f t="shared" si="8"/>
        <v>3.4843503503589096E-3</v>
      </c>
      <c r="Q16" s="98">
        <f>'Water Reading'!F16-'Water Reading'!F15</f>
        <v>-66837</v>
      </c>
      <c r="R16" s="107">
        <f t="shared" si="9"/>
        <v>0.28574665566495511</v>
      </c>
      <c r="S16" s="101">
        <f>'Water Reading'!E16-'Water Reading'!E15</f>
        <v>-237795</v>
      </c>
      <c r="T16" s="107">
        <f t="shared" si="10"/>
        <v>1.0166393761516526</v>
      </c>
      <c r="U16" s="97">
        <f>'Water Reading'!G16-'Water Reading'!G15</f>
        <v>-108341</v>
      </c>
      <c r="V16" s="107">
        <f t="shared" si="11"/>
        <v>0.46318773166654553</v>
      </c>
      <c r="W16" s="97">
        <f>'Water Reading'!J16-'Water Reading'!J15</f>
        <v>-18113</v>
      </c>
      <c r="X16" s="107">
        <f t="shared" si="12"/>
        <v>7.7438083308037947E-2</v>
      </c>
      <c r="Y16" s="67">
        <f t="shared" si="0"/>
        <v>-718039</v>
      </c>
      <c r="Z16" s="68" t="e">
        <f t="shared" si="1"/>
        <v>#DIV/0!</v>
      </c>
    </row>
    <row r="17" spans="1:26" x14ac:dyDescent="0.25">
      <c r="A17" s="8">
        <f>'Water Reading'!A16</f>
        <v>44210</v>
      </c>
      <c r="B17" s="66">
        <v>0</v>
      </c>
      <c r="C17" s="67">
        <f>('Water Reading'!B17-'Water Reading'!B16)+('Water Reading'!C17-'Water Reading'!C16)</f>
        <v>0</v>
      </c>
      <c r="D17" s="68" t="e">
        <f t="shared" si="2"/>
        <v>#DIV/0!</v>
      </c>
      <c r="E17" s="94">
        <f>'Water Reading'!H17-'Water Reading'!H16</f>
        <v>0</v>
      </c>
      <c r="F17" s="96" t="e">
        <f t="shared" si="3"/>
        <v>#DIV/0!</v>
      </c>
      <c r="G17" s="100">
        <f>('Water Reading'!D17-'Water Reading'!D16)-('Water Reading'!R17-'Water Reading'!R16)-('Water Reading'!Q17-'Water Reading'!Q16)</f>
        <v>0</v>
      </c>
      <c r="H17" s="96" t="e">
        <f t="shared" si="4"/>
        <v>#DIV/0!</v>
      </c>
      <c r="I17" s="97">
        <f>'Water Reading'!P17-'Water Reading'!P16</f>
        <v>0</v>
      </c>
      <c r="J17" s="69" t="e">
        <f t="shared" si="5"/>
        <v>#DIV/0!</v>
      </c>
      <c r="K17" s="97">
        <f>('Water Reading'!I17-'Water Reading'!I16)-('Water Reading'!P17-'Water Reading'!P16)</f>
        <v>0</v>
      </c>
      <c r="L17" s="69" t="e">
        <f t="shared" si="6"/>
        <v>#DIV/0!</v>
      </c>
      <c r="M17" s="97">
        <f>'Water Reading'!R17-'Water Reading'!R16</f>
        <v>0</v>
      </c>
      <c r="N17" s="99" t="e">
        <f t="shared" si="7"/>
        <v>#DIV/0!</v>
      </c>
      <c r="O17" s="97">
        <f>'Water Reading'!Q17-'Water Reading'!Q16</f>
        <v>0</v>
      </c>
      <c r="P17" s="106" t="e">
        <f t="shared" si="8"/>
        <v>#DIV/0!</v>
      </c>
      <c r="Q17" s="98">
        <f>'Water Reading'!F17-'Water Reading'!F16</f>
        <v>0</v>
      </c>
      <c r="R17" s="107" t="e">
        <f t="shared" si="9"/>
        <v>#DIV/0!</v>
      </c>
      <c r="S17" s="101">
        <f>'Water Reading'!E17-'Water Reading'!E16</f>
        <v>0</v>
      </c>
      <c r="T17" s="107" t="e">
        <f t="shared" si="10"/>
        <v>#DIV/0!</v>
      </c>
      <c r="U17" s="97">
        <f>'Water Reading'!G17-'Water Reading'!G16</f>
        <v>0</v>
      </c>
      <c r="V17" s="107" t="e">
        <f t="shared" si="11"/>
        <v>#DIV/0!</v>
      </c>
      <c r="W17" s="97">
        <f>'Water Reading'!J17-'Water Reading'!J16</f>
        <v>0</v>
      </c>
      <c r="X17" s="107" t="e">
        <f t="shared" si="12"/>
        <v>#DIV/0!</v>
      </c>
      <c r="Y17" s="67">
        <f t="shared" si="0"/>
        <v>0</v>
      </c>
      <c r="Z17" s="68" t="e">
        <f t="shared" si="1"/>
        <v>#DIV/0!</v>
      </c>
    </row>
    <row r="18" spans="1:26" x14ac:dyDescent="0.25">
      <c r="A18" s="8">
        <f>'Water Reading'!A17</f>
        <v>44211</v>
      </c>
      <c r="B18" s="66">
        <v>0</v>
      </c>
      <c r="C18" s="67">
        <f>('Water Reading'!B18-'Water Reading'!B17)+('Water Reading'!C18-'Water Reading'!C17)</f>
        <v>0</v>
      </c>
      <c r="D18" s="68" t="e">
        <f t="shared" si="2"/>
        <v>#DIV/0!</v>
      </c>
      <c r="E18" s="94">
        <f>'Water Reading'!H18-'Water Reading'!H17</f>
        <v>0</v>
      </c>
      <c r="F18" s="96" t="e">
        <f t="shared" si="3"/>
        <v>#DIV/0!</v>
      </c>
      <c r="G18" s="100">
        <f>('Water Reading'!D18-'Water Reading'!D17)-('Water Reading'!R18-'Water Reading'!R17)-('Water Reading'!Q18-'Water Reading'!Q17)</f>
        <v>0</v>
      </c>
      <c r="H18" s="96" t="e">
        <f t="shared" si="4"/>
        <v>#DIV/0!</v>
      </c>
      <c r="I18" s="97">
        <f>'Water Reading'!P18-'Water Reading'!P17</f>
        <v>0</v>
      </c>
      <c r="J18" s="69" t="e">
        <f t="shared" si="5"/>
        <v>#DIV/0!</v>
      </c>
      <c r="K18" s="97">
        <f>('Water Reading'!I18-'Water Reading'!I17)-('Water Reading'!P18-'Water Reading'!P17)</f>
        <v>0</v>
      </c>
      <c r="L18" s="69" t="e">
        <f t="shared" si="6"/>
        <v>#DIV/0!</v>
      </c>
      <c r="M18" s="97">
        <f>'Water Reading'!R18-'Water Reading'!R17</f>
        <v>0</v>
      </c>
      <c r="N18" s="99" t="e">
        <f t="shared" si="7"/>
        <v>#DIV/0!</v>
      </c>
      <c r="O18" s="97">
        <f>'Water Reading'!Q18-'Water Reading'!Q17</f>
        <v>0</v>
      </c>
      <c r="P18" s="106" t="e">
        <f t="shared" si="8"/>
        <v>#DIV/0!</v>
      </c>
      <c r="Q18" s="98">
        <f>'Water Reading'!F18-'Water Reading'!F17</f>
        <v>0</v>
      </c>
      <c r="R18" s="107" t="e">
        <f t="shared" si="9"/>
        <v>#DIV/0!</v>
      </c>
      <c r="S18" s="101">
        <f>'Water Reading'!E18-'Water Reading'!E17</f>
        <v>0</v>
      </c>
      <c r="T18" s="107" t="e">
        <f t="shared" si="10"/>
        <v>#DIV/0!</v>
      </c>
      <c r="U18" s="97">
        <f>'Water Reading'!G18-'Water Reading'!G17</f>
        <v>0</v>
      </c>
      <c r="V18" s="107" t="e">
        <f t="shared" si="11"/>
        <v>#DIV/0!</v>
      </c>
      <c r="W18" s="97">
        <f>'Water Reading'!J18-'Water Reading'!J17</f>
        <v>0</v>
      </c>
      <c r="X18" s="107" t="e">
        <f t="shared" si="12"/>
        <v>#DIV/0!</v>
      </c>
      <c r="Y18" s="67">
        <f t="shared" si="0"/>
        <v>0</v>
      </c>
      <c r="Z18" s="68" t="e">
        <f t="shared" si="1"/>
        <v>#DIV/0!</v>
      </c>
    </row>
    <row r="19" spans="1:26" x14ac:dyDescent="0.25">
      <c r="A19" s="8">
        <f>'Water Reading'!A18</f>
        <v>44212</v>
      </c>
      <c r="B19" s="66">
        <v>0</v>
      </c>
      <c r="C19" s="67">
        <f>('Water Reading'!B19-'Water Reading'!B18)+('Water Reading'!C19-'Water Reading'!C18)</f>
        <v>0</v>
      </c>
      <c r="D19" s="68" t="e">
        <f t="shared" si="2"/>
        <v>#DIV/0!</v>
      </c>
      <c r="E19" s="94">
        <f>'Water Reading'!H19-'Water Reading'!H18</f>
        <v>0</v>
      </c>
      <c r="F19" s="96" t="e">
        <f t="shared" si="3"/>
        <v>#DIV/0!</v>
      </c>
      <c r="G19" s="100">
        <f>('Water Reading'!D19-'Water Reading'!D18)-('Water Reading'!R19-'Water Reading'!R18)-('Water Reading'!Q19-'Water Reading'!Q18)</f>
        <v>0</v>
      </c>
      <c r="H19" s="96" t="e">
        <f t="shared" si="4"/>
        <v>#DIV/0!</v>
      </c>
      <c r="I19" s="97">
        <f>'Water Reading'!P19-'Water Reading'!P18</f>
        <v>0</v>
      </c>
      <c r="J19" s="69" t="e">
        <f t="shared" si="5"/>
        <v>#DIV/0!</v>
      </c>
      <c r="K19" s="97">
        <f>('Water Reading'!I19-'Water Reading'!I18)</f>
        <v>0</v>
      </c>
      <c r="L19" s="69" t="e">
        <f t="shared" si="6"/>
        <v>#DIV/0!</v>
      </c>
      <c r="M19" s="97">
        <f>'Water Reading'!R19-'Water Reading'!R18</f>
        <v>0</v>
      </c>
      <c r="N19" s="99" t="e">
        <f t="shared" si="7"/>
        <v>#DIV/0!</v>
      </c>
      <c r="O19" s="97">
        <f>'Water Reading'!Q19-'Water Reading'!Q18</f>
        <v>0</v>
      </c>
      <c r="P19" s="106" t="e">
        <f t="shared" si="8"/>
        <v>#DIV/0!</v>
      </c>
      <c r="Q19" s="98">
        <f>'Water Reading'!F19-'Water Reading'!F18</f>
        <v>0</v>
      </c>
      <c r="R19" s="107" t="e">
        <f t="shared" si="9"/>
        <v>#DIV/0!</v>
      </c>
      <c r="S19" s="101">
        <f>'Water Reading'!E19-'Water Reading'!E18</f>
        <v>0</v>
      </c>
      <c r="T19" s="107" t="e">
        <f t="shared" si="10"/>
        <v>#DIV/0!</v>
      </c>
      <c r="U19" s="97">
        <f>'Water Reading'!G19-'Water Reading'!G18</f>
        <v>0</v>
      </c>
      <c r="V19" s="107" t="e">
        <f t="shared" si="11"/>
        <v>#DIV/0!</v>
      </c>
      <c r="W19" s="97">
        <f>'Water Reading'!J19-'Water Reading'!J18</f>
        <v>0</v>
      </c>
      <c r="X19" s="107" t="e">
        <f t="shared" si="12"/>
        <v>#DIV/0!</v>
      </c>
      <c r="Y19" s="67">
        <f t="shared" si="0"/>
        <v>0</v>
      </c>
      <c r="Z19" s="68" t="e">
        <f t="shared" si="1"/>
        <v>#DIV/0!</v>
      </c>
    </row>
    <row r="20" spans="1:26" x14ac:dyDescent="0.25">
      <c r="A20" s="8">
        <f>'Water Reading'!A19</f>
        <v>44213</v>
      </c>
      <c r="B20" s="66">
        <v>0</v>
      </c>
      <c r="C20" s="67">
        <f>('Water Reading'!B20-'Water Reading'!B19)+('Water Reading'!C20-'Water Reading'!C19)</f>
        <v>0</v>
      </c>
      <c r="D20" s="68" t="e">
        <f t="shared" si="2"/>
        <v>#DIV/0!</v>
      </c>
      <c r="E20" s="94">
        <f>'Water Reading'!H20-'Water Reading'!H19</f>
        <v>0</v>
      </c>
      <c r="F20" s="96" t="e">
        <f t="shared" si="3"/>
        <v>#DIV/0!</v>
      </c>
      <c r="G20" s="100">
        <f>('Water Reading'!D20-'Water Reading'!D19)-('Water Reading'!R20-'Water Reading'!R19)-('Water Reading'!Q20-'Water Reading'!Q19)</f>
        <v>0</v>
      </c>
      <c r="H20" s="96" t="e">
        <f t="shared" si="4"/>
        <v>#DIV/0!</v>
      </c>
      <c r="I20" s="97">
        <f>'Water Reading'!P20-'Water Reading'!P19</f>
        <v>0</v>
      </c>
      <c r="J20" s="69" t="e">
        <f t="shared" si="5"/>
        <v>#DIV/0!</v>
      </c>
      <c r="K20" s="97">
        <f>('Water Reading'!I20-'Water Reading'!I19)</f>
        <v>0</v>
      </c>
      <c r="L20" s="69" t="e">
        <f t="shared" si="6"/>
        <v>#DIV/0!</v>
      </c>
      <c r="M20" s="97">
        <f>'Water Reading'!R20-'Water Reading'!R19</f>
        <v>0</v>
      </c>
      <c r="N20" s="99" t="e">
        <f t="shared" si="7"/>
        <v>#DIV/0!</v>
      </c>
      <c r="O20" s="97">
        <f>'Water Reading'!Q20-'Water Reading'!Q19</f>
        <v>0</v>
      </c>
      <c r="P20" s="106" t="e">
        <f t="shared" si="8"/>
        <v>#DIV/0!</v>
      </c>
      <c r="Q20" s="98">
        <f>'Water Reading'!F20-'Water Reading'!F19</f>
        <v>0</v>
      </c>
      <c r="R20" s="107" t="e">
        <f t="shared" si="9"/>
        <v>#DIV/0!</v>
      </c>
      <c r="S20" s="101">
        <f>'Water Reading'!E20-'Water Reading'!E19</f>
        <v>0</v>
      </c>
      <c r="T20" s="107" t="e">
        <f t="shared" si="10"/>
        <v>#DIV/0!</v>
      </c>
      <c r="U20" s="97">
        <f>'Water Reading'!G20-'Water Reading'!G19</f>
        <v>0</v>
      </c>
      <c r="V20" s="107" t="e">
        <f t="shared" si="11"/>
        <v>#DIV/0!</v>
      </c>
      <c r="W20" s="97">
        <f>'Water Reading'!J20-'Water Reading'!J19</f>
        <v>0</v>
      </c>
      <c r="X20" s="107" t="e">
        <f t="shared" si="12"/>
        <v>#DIV/0!</v>
      </c>
      <c r="Y20" s="67">
        <f t="shared" si="0"/>
        <v>0</v>
      </c>
      <c r="Z20" s="68" t="e">
        <f t="shared" si="1"/>
        <v>#DIV/0!</v>
      </c>
    </row>
    <row r="21" spans="1:26" x14ac:dyDescent="0.25">
      <c r="A21" s="8">
        <f>'Water Reading'!A20</f>
        <v>44214</v>
      </c>
      <c r="B21" s="66">
        <v>0</v>
      </c>
      <c r="C21" s="67">
        <f>('Water Reading'!B21-'Water Reading'!B20)+('Water Reading'!C21-'Water Reading'!C20)</f>
        <v>0</v>
      </c>
      <c r="D21" s="68" t="e">
        <f t="shared" si="2"/>
        <v>#DIV/0!</v>
      </c>
      <c r="E21" s="94">
        <f>'Water Reading'!H21-'Water Reading'!H20</f>
        <v>0</v>
      </c>
      <c r="F21" s="96" t="e">
        <f t="shared" si="3"/>
        <v>#DIV/0!</v>
      </c>
      <c r="G21" s="100">
        <f>('Water Reading'!D21-'Water Reading'!D20)-('Water Reading'!R21-'Water Reading'!R20)-('Water Reading'!Q21-'Water Reading'!Q20)</f>
        <v>0</v>
      </c>
      <c r="H21" s="96" t="e">
        <f t="shared" si="4"/>
        <v>#DIV/0!</v>
      </c>
      <c r="I21" s="97">
        <f>'Water Reading'!P21-'Water Reading'!P20</f>
        <v>0</v>
      </c>
      <c r="J21" s="69" t="e">
        <f t="shared" si="5"/>
        <v>#DIV/0!</v>
      </c>
      <c r="K21" s="97">
        <f>('Water Reading'!I21-'Water Reading'!I20)-('Water Reading'!P21-'Water Reading'!P20)</f>
        <v>0</v>
      </c>
      <c r="L21" s="69" t="e">
        <f t="shared" si="6"/>
        <v>#DIV/0!</v>
      </c>
      <c r="M21" s="97">
        <f>'Water Reading'!R21-'Water Reading'!R20</f>
        <v>0</v>
      </c>
      <c r="N21" s="99" t="e">
        <f t="shared" si="7"/>
        <v>#DIV/0!</v>
      </c>
      <c r="O21" s="97">
        <f>'Water Reading'!Q21-'Water Reading'!Q20</f>
        <v>0</v>
      </c>
      <c r="P21" s="106" t="e">
        <f t="shared" si="8"/>
        <v>#DIV/0!</v>
      </c>
      <c r="Q21" s="98">
        <f>'Water Reading'!F21-'Water Reading'!F20</f>
        <v>0</v>
      </c>
      <c r="R21" s="107" t="e">
        <f t="shared" si="9"/>
        <v>#DIV/0!</v>
      </c>
      <c r="S21" s="101">
        <f>'Water Reading'!E21-'Water Reading'!E20</f>
        <v>0</v>
      </c>
      <c r="T21" s="107" t="e">
        <f t="shared" si="10"/>
        <v>#DIV/0!</v>
      </c>
      <c r="U21" s="97">
        <f>'Water Reading'!G21-'Water Reading'!G20</f>
        <v>0</v>
      </c>
      <c r="V21" s="107" t="e">
        <f t="shared" si="11"/>
        <v>#DIV/0!</v>
      </c>
      <c r="W21" s="97">
        <f>'Water Reading'!J21-'Water Reading'!J20</f>
        <v>0</v>
      </c>
      <c r="X21" s="107" t="e">
        <f t="shared" si="12"/>
        <v>#DIV/0!</v>
      </c>
      <c r="Y21" s="67">
        <f t="shared" si="0"/>
        <v>0</v>
      </c>
      <c r="Z21" s="68" t="e">
        <f t="shared" si="1"/>
        <v>#DIV/0!</v>
      </c>
    </row>
    <row r="22" spans="1:26" x14ac:dyDescent="0.25">
      <c r="A22" s="8">
        <f>'Water Reading'!A21</f>
        <v>44215</v>
      </c>
      <c r="B22" s="66">
        <v>0</v>
      </c>
      <c r="C22" s="67">
        <f>('Water Reading'!B22-'Water Reading'!B21)+('Water Reading'!C22-'Water Reading'!C21)</f>
        <v>0</v>
      </c>
      <c r="D22" s="68" t="e">
        <f t="shared" si="2"/>
        <v>#DIV/0!</v>
      </c>
      <c r="E22" s="94">
        <f>'Water Reading'!H22-'Water Reading'!H21</f>
        <v>0</v>
      </c>
      <c r="F22" s="96" t="e">
        <f t="shared" si="3"/>
        <v>#DIV/0!</v>
      </c>
      <c r="G22" s="100">
        <f>('Water Reading'!D22-'Water Reading'!D21)-('Water Reading'!R22-'Water Reading'!R21)-('Water Reading'!Q22-'Water Reading'!Q21)</f>
        <v>0</v>
      </c>
      <c r="H22" s="96" t="e">
        <f t="shared" si="4"/>
        <v>#DIV/0!</v>
      </c>
      <c r="I22" s="97">
        <f>'Water Reading'!P22-'Water Reading'!P21</f>
        <v>0</v>
      </c>
      <c r="J22" s="69" t="e">
        <f t="shared" si="5"/>
        <v>#DIV/0!</v>
      </c>
      <c r="K22" s="97">
        <f>('Water Reading'!I22-'Water Reading'!I21)-('Water Reading'!P22-'Water Reading'!P21)</f>
        <v>0</v>
      </c>
      <c r="L22" s="69" t="e">
        <f t="shared" si="6"/>
        <v>#DIV/0!</v>
      </c>
      <c r="M22" s="97">
        <f>'Water Reading'!R22-'Water Reading'!R21</f>
        <v>0</v>
      </c>
      <c r="N22" s="99" t="e">
        <f t="shared" si="7"/>
        <v>#DIV/0!</v>
      </c>
      <c r="O22" s="97">
        <f>'Water Reading'!Q22-'Water Reading'!Q21</f>
        <v>0</v>
      </c>
      <c r="P22" s="106" t="e">
        <f t="shared" si="8"/>
        <v>#DIV/0!</v>
      </c>
      <c r="Q22" s="98">
        <f>'Water Reading'!F22-'Water Reading'!F21</f>
        <v>0</v>
      </c>
      <c r="R22" s="107" t="e">
        <f t="shared" si="9"/>
        <v>#DIV/0!</v>
      </c>
      <c r="S22" s="101">
        <f>'Water Reading'!E22-'Water Reading'!E21</f>
        <v>0</v>
      </c>
      <c r="T22" s="107" t="e">
        <f t="shared" si="10"/>
        <v>#DIV/0!</v>
      </c>
      <c r="U22" s="97">
        <f>'Water Reading'!G22-'Water Reading'!G21</f>
        <v>0</v>
      </c>
      <c r="V22" s="107" t="e">
        <f t="shared" si="11"/>
        <v>#DIV/0!</v>
      </c>
      <c r="W22" s="97">
        <f>'Water Reading'!J22-'Water Reading'!J21</f>
        <v>0</v>
      </c>
      <c r="X22" s="107" t="e">
        <f t="shared" si="12"/>
        <v>#DIV/0!</v>
      </c>
      <c r="Y22" s="67">
        <f t="shared" si="0"/>
        <v>0</v>
      </c>
      <c r="Z22" s="68" t="e">
        <f t="shared" si="1"/>
        <v>#DIV/0!</v>
      </c>
    </row>
    <row r="23" spans="1:26" x14ac:dyDescent="0.25">
      <c r="A23" s="8">
        <f>'Water Reading'!A22</f>
        <v>44216</v>
      </c>
      <c r="B23" s="66">
        <v>0</v>
      </c>
      <c r="C23" s="67">
        <f>('Water Reading'!B23-'Water Reading'!B22)+('Water Reading'!C23-'Water Reading'!C22)</f>
        <v>0</v>
      </c>
      <c r="D23" s="68" t="e">
        <f t="shared" si="2"/>
        <v>#DIV/0!</v>
      </c>
      <c r="E23" s="94">
        <f>'Water Reading'!H23-'Water Reading'!H22</f>
        <v>0</v>
      </c>
      <c r="F23" s="96" t="e">
        <f t="shared" si="3"/>
        <v>#DIV/0!</v>
      </c>
      <c r="G23" s="100">
        <f>('Water Reading'!D23-'Water Reading'!D22)-('Water Reading'!R23-'Water Reading'!R22)-('Water Reading'!Q23-'Water Reading'!Q22)</f>
        <v>0</v>
      </c>
      <c r="H23" s="96" t="e">
        <f t="shared" si="4"/>
        <v>#DIV/0!</v>
      </c>
      <c r="I23" s="97">
        <f>'Water Reading'!P23-'Water Reading'!P22</f>
        <v>0</v>
      </c>
      <c r="J23" s="69" t="e">
        <f t="shared" si="5"/>
        <v>#DIV/0!</v>
      </c>
      <c r="K23" s="97">
        <f>('Water Reading'!I23-'Water Reading'!I22)-('Water Reading'!P23-'Water Reading'!P22)</f>
        <v>0</v>
      </c>
      <c r="L23" s="69" t="e">
        <f t="shared" si="6"/>
        <v>#DIV/0!</v>
      </c>
      <c r="M23" s="97">
        <f>'Water Reading'!R23-'Water Reading'!R22</f>
        <v>0</v>
      </c>
      <c r="N23" s="99" t="e">
        <f t="shared" si="7"/>
        <v>#DIV/0!</v>
      </c>
      <c r="O23" s="97">
        <f>'Water Reading'!Q23-'Water Reading'!Q22</f>
        <v>0</v>
      </c>
      <c r="P23" s="106" t="e">
        <f t="shared" si="8"/>
        <v>#DIV/0!</v>
      </c>
      <c r="Q23" s="98">
        <f>'Water Reading'!F23-'Water Reading'!F22</f>
        <v>0</v>
      </c>
      <c r="R23" s="107" t="e">
        <f t="shared" si="9"/>
        <v>#DIV/0!</v>
      </c>
      <c r="S23" s="101">
        <f>'Water Reading'!E23-'Water Reading'!E22</f>
        <v>0</v>
      </c>
      <c r="T23" s="107" t="e">
        <f t="shared" si="10"/>
        <v>#DIV/0!</v>
      </c>
      <c r="U23" s="97">
        <f>'Water Reading'!G23-'Water Reading'!G22</f>
        <v>0</v>
      </c>
      <c r="V23" s="107" t="e">
        <f t="shared" si="11"/>
        <v>#DIV/0!</v>
      </c>
      <c r="W23" s="97">
        <f>'Water Reading'!J23-'Water Reading'!J22</f>
        <v>0</v>
      </c>
      <c r="X23" s="107" t="e">
        <f t="shared" si="12"/>
        <v>#DIV/0!</v>
      </c>
      <c r="Y23" s="67">
        <f t="shared" si="0"/>
        <v>0</v>
      </c>
      <c r="Z23" s="68" t="e">
        <f t="shared" si="1"/>
        <v>#DIV/0!</v>
      </c>
    </row>
    <row r="24" spans="1:26" x14ac:dyDescent="0.25">
      <c r="A24" s="8">
        <f>'Water Reading'!A23</f>
        <v>44217</v>
      </c>
      <c r="B24" s="66">
        <v>0</v>
      </c>
      <c r="C24" s="67">
        <f>('Water Reading'!B24-'Water Reading'!B23)+('Water Reading'!C24-'Water Reading'!C23)</f>
        <v>0</v>
      </c>
      <c r="D24" s="68" t="e">
        <f t="shared" si="2"/>
        <v>#DIV/0!</v>
      </c>
      <c r="E24" s="94">
        <f>'Water Reading'!H24-'Water Reading'!H23</f>
        <v>0</v>
      </c>
      <c r="F24" s="96" t="e">
        <f t="shared" si="3"/>
        <v>#DIV/0!</v>
      </c>
      <c r="G24" s="100">
        <f>('Water Reading'!D24-'Water Reading'!D23)-('Water Reading'!R24-'Water Reading'!R23)-('Water Reading'!Q24-'Water Reading'!Q23)</f>
        <v>0</v>
      </c>
      <c r="H24" s="96" t="e">
        <f t="shared" si="4"/>
        <v>#DIV/0!</v>
      </c>
      <c r="I24" s="97">
        <f>'Water Reading'!P24-'Water Reading'!P23</f>
        <v>0</v>
      </c>
      <c r="J24" s="69" t="e">
        <f t="shared" si="5"/>
        <v>#DIV/0!</v>
      </c>
      <c r="K24" s="97">
        <f>('Water Reading'!I24-'Water Reading'!I23)</f>
        <v>0</v>
      </c>
      <c r="L24" s="69" t="e">
        <f t="shared" si="6"/>
        <v>#DIV/0!</v>
      </c>
      <c r="M24" s="97">
        <f>'Water Reading'!R24-'Water Reading'!R23</f>
        <v>0</v>
      </c>
      <c r="N24" s="99" t="e">
        <f t="shared" si="7"/>
        <v>#DIV/0!</v>
      </c>
      <c r="O24" s="97">
        <f>'Water Reading'!Q24-'Water Reading'!Q23</f>
        <v>0</v>
      </c>
      <c r="P24" s="106" t="e">
        <f t="shared" si="8"/>
        <v>#DIV/0!</v>
      </c>
      <c r="Q24" s="98">
        <f>'Water Reading'!F24-'Water Reading'!F23</f>
        <v>0</v>
      </c>
      <c r="R24" s="107" t="e">
        <f t="shared" si="9"/>
        <v>#DIV/0!</v>
      </c>
      <c r="S24" s="101">
        <f>'Water Reading'!E24-'Water Reading'!E23</f>
        <v>0</v>
      </c>
      <c r="T24" s="107" t="e">
        <f t="shared" si="10"/>
        <v>#DIV/0!</v>
      </c>
      <c r="U24" s="97">
        <f>'Water Reading'!G24-'Water Reading'!G23</f>
        <v>0</v>
      </c>
      <c r="V24" s="107" t="e">
        <f t="shared" si="11"/>
        <v>#DIV/0!</v>
      </c>
      <c r="W24" s="97">
        <f>'Water Reading'!J24-'Water Reading'!J23</f>
        <v>0</v>
      </c>
      <c r="X24" s="107" t="e">
        <f t="shared" si="12"/>
        <v>#DIV/0!</v>
      </c>
      <c r="Y24" s="67">
        <f t="shared" si="0"/>
        <v>0</v>
      </c>
      <c r="Z24" s="68" t="e">
        <f t="shared" si="1"/>
        <v>#DIV/0!</v>
      </c>
    </row>
    <row r="25" spans="1:26" x14ac:dyDescent="0.25">
      <c r="A25" s="8">
        <f>'Water Reading'!A24</f>
        <v>44218</v>
      </c>
      <c r="B25" s="66">
        <v>0</v>
      </c>
      <c r="C25" s="67">
        <f>('Water Reading'!B25-'Water Reading'!B24)+('Water Reading'!C25-'Water Reading'!C24)</f>
        <v>0</v>
      </c>
      <c r="D25" s="68" t="e">
        <f t="shared" si="2"/>
        <v>#DIV/0!</v>
      </c>
      <c r="E25" s="94">
        <f>'Water Reading'!H25-'Water Reading'!H24</f>
        <v>0</v>
      </c>
      <c r="F25" s="96" t="e">
        <f t="shared" si="3"/>
        <v>#DIV/0!</v>
      </c>
      <c r="G25" s="100">
        <f>('Water Reading'!D25-'Water Reading'!D24)-('Water Reading'!R25-'Water Reading'!R24)-('Water Reading'!Q25-'Water Reading'!Q24)</f>
        <v>0</v>
      </c>
      <c r="H25" s="96" t="e">
        <f t="shared" si="4"/>
        <v>#DIV/0!</v>
      </c>
      <c r="I25" s="97">
        <f>'Water Reading'!P25-'Water Reading'!P24</f>
        <v>0</v>
      </c>
      <c r="J25" s="69" t="e">
        <f t="shared" si="5"/>
        <v>#DIV/0!</v>
      </c>
      <c r="K25" s="97">
        <f>('Water Reading'!I25-'Water Reading'!I24)</f>
        <v>0</v>
      </c>
      <c r="L25" s="69" t="e">
        <f t="shared" si="6"/>
        <v>#DIV/0!</v>
      </c>
      <c r="M25" s="97">
        <f>'Water Reading'!R25-'Water Reading'!R24</f>
        <v>0</v>
      </c>
      <c r="N25" s="99" t="e">
        <f t="shared" si="7"/>
        <v>#DIV/0!</v>
      </c>
      <c r="O25" s="97">
        <f>'Water Reading'!Q25-'Water Reading'!Q24</f>
        <v>0</v>
      </c>
      <c r="P25" s="106" t="e">
        <f t="shared" si="8"/>
        <v>#DIV/0!</v>
      </c>
      <c r="Q25" s="98">
        <f>'Water Reading'!F25-'Water Reading'!F24</f>
        <v>0</v>
      </c>
      <c r="R25" s="107" t="e">
        <f t="shared" si="9"/>
        <v>#DIV/0!</v>
      </c>
      <c r="S25" s="101">
        <f>'Water Reading'!E25-'Water Reading'!E24</f>
        <v>0</v>
      </c>
      <c r="T25" s="107" t="e">
        <f t="shared" si="10"/>
        <v>#DIV/0!</v>
      </c>
      <c r="U25" s="97">
        <f>'Water Reading'!G25-'Water Reading'!G24</f>
        <v>0</v>
      </c>
      <c r="V25" s="107" t="e">
        <f t="shared" si="11"/>
        <v>#DIV/0!</v>
      </c>
      <c r="W25" s="97">
        <f>'Water Reading'!J25-'Water Reading'!J24</f>
        <v>0</v>
      </c>
      <c r="X25" s="107" t="e">
        <f t="shared" si="12"/>
        <v>#DIV/0!</v>
      </c>
      <c r="Y25" s="67">
        <f t="shared" si="0"/>
        <v>0</v>
      </c>
      <c r="Z25" s="68" t="e">
        <f t="shared" si="1"/>
        <v>#DIV/0!</v>
      </c>
    </row>
    <row r="26" spans="1:26" x14ac:dyDescent="0.25">
      <c r="A26" s="8">
        <f>'Water Reading'!A25</f>
        <v>44219</v>
      </c>
      <c r="B26" s="66">
        <v>0</v>
      </c>
      <c r="C26" s="67">
        <f>('Water Reading'!B26-'Water Reading'!B25)+('Water Reading'!C26-'Water Reading'!C25)</f>
        <v>0</v>
      </c>
      <c r="D26" s="68" t="e">
        <f t="shared" si="2"/>
        <v>#DIV/0!</v>
      </c>
      <c r="E26" s="94">
        <f>'Water Reading'!H26-'Water Reading'!H25</f>
        <v>0</v>
      </c>
      <c r="F26" s="96" t="e">
        <f t="shared" si="3"/>
        <v>#DIV/0!</v>
      </c>
      <c r="G26" s="100">
        <f>('Water Reading'!D26-'Water Reading'!D25)-('Water Reading'!R26-'Water Reading'!R25)-('Water Reading'!Q26-'Water Reading'!Q25)</f>
        <v>0</v>
      </c>
      <c r="H26" s="96" t="e">
        <f t="shared" si="4"/>
        <v>#DIV/0!</v>
      </c>
      <c r="I26" s="97">
        <f>'Water Reading'!P26-'Water Reading'!P25</f>
        <v>0</v>
      </c>
      <c r="J26" s="69" t="e">
        <f t="shared" si="5"/>
        <v>#DIV/0!</v>
      </c>
      <c r="K26" s="97">
        <f>('Water Reading'!I26-'Water Reading'!I25)-('Water Reading'!P26-'Water Reading'!P25)</f>
        <v>0</v>
      </c>
      <c r="L26" s="69" t="e">
        <f t="shared" si="6"/>
        <v>#DIV/0!</v>
      </c>
      <c r="M26" s="97">
        <f>'Water Reading'!R26-'Water Reading'!R25</f>
        <v>0</v>
      </c>
      <c r="N26" s="99" t="e">
        <f t="shared" si="7"/>
        <v>#DIV/0!</v>
      </c>
      <c r="O26" s="97">
        <f>'Water Reading'!Q26-'Water Reading'!Q25</f>
        <v>0</v>
      </c>
      <c r="P26" s="106" t="e">
        <f t="shared" si="8"/>
        <v>#DIV/0!</v>
      </c>
      <c r="Q26" s="98">
        <f>'Water Reading'!F26-'Water Reading'!F25</f>
        <v>0</v>
      </c>
      <c r="R26" s="107" t="e">
        <f t="shared" si="9"/>
        <v>#DIV/0!</v>
      </c>
      <c r="S26" s="101">
        <f>'Water Reading'!E26-'Water Reading'!E25</f>
        <v>0</v>
      </c>
      <c r="T26" s="107" t="e">
        <f t="shared" si="10"/>
        <v>#DIV/0!</v>
      </c>
      <c r="U26" s="97">
        <f>'Water Reading'!G26-'Water Reading'!G25</f>
        <v>0</v>
      </c>
      <c r="V26" s="107" t="e">
        <f t="shared" si="11"/>
        <v>#DIV/0!</v>
      </c>
      <c r="W26" s="97">
        <f>'Water Reading'!J26-'Water Reading'!J25</f>
        <v>0</v>
      </c>
      <c r="X26" s="107" t="e">
        <f t="shared" si="12"/>
        <v>#DIV/0!</v>
      </c>
      <c r="Y26" s="67">
        <f t="shared" si="0"/>
        <v>0</v>
      </c>
      <c r="Z26" s="68" t="e">
        <f t="shared" si="1"/>
        <v>#DIV/0!</v>
      </c>
    </row>
    <row r="27" spans="1:26" x14ac:dyDescent="0.25">
      <c r="A27" s="8">
        <f>'Water Reading'!A26</f>
        <v>44220</v>
      </c>
      <c r="B27" s="66">
        <v>0</v>
      </c>
      <c r="C27" s="67">
        <f>('Water Reading'!B27-'Water Reading'!B26)+('Water Reading'!C27-'Water Reading'!C26)</f>
        <v>0</v>
      </c>
      <c r="D27" s="68" t="e">
        <f t="shared" si="2"/>
        <v>#DIV/0!</v>
      </c>
      <c r="E27" s="94">
        <f>'Water Reading'!H27-'Water Reading'!H26</f>
        <v>0</v>
      </c>
      <c r="F27" s="96" t="e">
        <f t="shared" si="3"/>
        <v>#DIV/0!</v>
      </c>
      <c r="G27" s="100">
        <f>('Water Reading'!D27-'Water Reading'!D26)-('Water Reading'!R27-'Water Reading'!R26)-('Water Reading'!Q27-'Water Reading'!Q26)</f>
        <v>0</v>
      </c>
      <c r="H27" s="96" t="e">
        <f t="shared" si="4"/>
        <v>#DIV/0!</v>
      </c>
      <c r="I27" s="97">
        <f>'Water Reading'!P27-'Water Reading'!P26</f>
        <v>0</v>
      </c>
      <c r="J27" s="69" t="e">
        <f t="shared" si="5"/>
        <v>#DIV/0!</v>
      </c>
      <c r="K27" s="97">
        <f>('Water Reading'!I27-'Water Reading'!I26)-('Water Reading'!P27-'Water Reading'!P26)</f>
        <v>0</v>
      </c>
      <c r="L27" s="69" t="e">
        <f t="shared" si="6"/>
        <v>#DIV/0!</v>
      </c>
      <c r="M27" s="97">
        <f>'Water Reading'!R27-'Water Reading'!R26</f>
        <v>0</v>
      </c>
      <c r="N27" s="99" t="e">
        <f t="shared" si="7"/>
        <v>#DIV/0!</v>
      </c>
      <c r="O27" s="97">
        <f>'Water Reading'!Q27-'Water Reading'!Q26</f>
        <v>0</v>
      </c>
      <c r="P27" s="106" t="e">
        <f t="shared" si="8"/>
        <v>#DIV/0!</v>
      </c>
      <c r="Q27" s="98">
        <f>'Water Reading'!F27-'Water Reading'!F26</f>
        <v>0</v>
      </c>
      <c r="R27" s="107" t="e">
        <f t="shared" si="9"/>
        <v>#DIV/0!</v>
      </c>
      <c r="S27" s="101">
        <f>'Water Reading'!E27-'Water Reading'!E26</f>
        <v>0</v>
      </c>
      <c r="T27" s="107" t="e">
        <f t="shared" si="10"/>
        <v>#DIV/0!</v>
      </c>
      <c r="U27" s="97">
        <f>'Water Reading'!G27-'Water Reading'!G26</f>
        <v>0</v>
      </c>
      <c r="V27" s="107" t="e">
        <f t="shared" si="11"/>
        <v>#DIV/0!</v>
      </c>
      <c r="W27" s="97">
        <f>'Water Reading'!J27-'Water Reading'!J26</f>
        <v>0</v>
      </c>
      <c r="X27" s="107" t="e">
        <f t="shared" si="12"/>
        <v>#DIV/0!</v>
      </c>
      <c r="Y27" s="67">
        <f t="shared" si="0"/>
        <v>0</v>
      </c>
      <c r="Z27" s="68" t="e">
        <f t="shared" si="1"/>
        <v>#DIV/0!</v>
      </c>
    </row>
    <row r="28" spans="1:26" x14ac:dyDescent="0.25">
      <c r="A28" s="8">
        <f>'Water Reading'!A27</f>
        <v>44221</v>
      </c>
      <c r="B28" s="66">
        <v>0</v>
      </c>
      <c r="C28" s="67">
        <f>('Water Reading'!B28-'Water Reading'!B27)+('Water Reading'!C28-'Water Reading'!C27)</f>
        <v>0</v>
      </c>
      <c r="D28" s="68" t="e">
        <f t="shared" si="2"/>
        <v>#DIV/0!</v>
      </c>
      <c r="E28" s="94">
        <f>'Water Reading'!H28-'Water Reading'!H27</f>
        <v>0</v>
      </c>
      <c r="F28" s="96" t="e">
        <f t="shared" si="3"/>
        <v>#DIV/0!</v>
      </c>
      <c r="G28" s="100">
        <f>('Water Reading'!D28-'Water Reading'!D27)-('Water Reading'!R28-'Water Reading'!R27)-('Water Reading'!Q28-'Water Reading'!Q27)</f>
        <v>0</v>
      </c>
      <c r="H28" s="96" t="e">
        <f t="shared" si="4"/>
        <v>#DIV/0!</v>
      </c>
      <c r="I28" s="97">
        <f>'Water Reading'!P28-'Water Reading'!P27</f>
        <v>0</v>
      </c>
      <c r="J28" s="69" t="e">
        <f t="shared" si="5"/>
        <v>#DIV/0!</v>
      </c>
      <c r="K28" s="97">
        <f>('Water Reading'!I28-'Water Reading'!I27)</f>
        <v>0</v>
      </c>
      <c r="L28" s="69" t="e">
        <f t="shared" si="6"/>
        <v>#DIV/0!</v>
      </c>
      <c r="M28" s="97">
        <f>'Water Reading'!R28-'Water Reading'!R27</f>
        <v>0</v>
      </c>
      <c r="N28" s="99" t="e">
        <f t="shared" si="7"/>
        <v>#DIV/0!</v>
      </c>
      <c r="O28" s="97">
        <f>'Water Reading'!Q28-'Water Reading'!Q27</f>
        <v>0</v>
      </c>
      <c r="P28" s="106" t="e">
        <f t="shared" si="8"/>
        <v>#DIV/0!</v>
      </c>
      <c r="Q28" s="98">
        <f>'Water Reading'!F28-'Water Reading'!F27</f>
        <v>0</v>
      </c>
      <c r="R28" s="107" t="e">
        <f t="shared" si="9"/>
        <v>#DIV/0!</v>
      </c>
      <c r="S28" s="101">
        <f>'Water Reading'!E28-'Water Reading'!E27</f>
        <v>0</v>
      </c>
      <c r="T28" s="107" t="e">
        <f t="shared" si="10"/>
        <v>#DIV/0!</v>
      </c>
      <c r="U28" s="97">
        <f>'Water Reading'!G28-'Water Reading'!G27</f>
        <v>0</v>
      </c>
      <c r="V28" s="107" t="e">
        <f t="shared" si="11"/>
        <v>#DIV/0!</v>
      </c>
      <c r="W28" s="97">
        <f>'Water Reading'!J28-'Water Reading'!J27</f>
        <v>0</v>
      </c>
      <c r="X28" s="107" t="e">
        <f t="shared" si="12"/>
        <v>#DIV/0!</v>
      </c>
      <c r="Y28" s="67">
        <f t="shared" si="0"/>
        <v>0</v>
      </c>
      <c r="Z28" s="68" t="e">
        <f t="shared" si="1"/>
        <v>#DIV/0!</v>
      </c>
    </row>
    <row r="29" spans="1:26" x14ac:dyDescent="0.25">
      <c r="A29" s="8">
        <f>'Water Reading'!A28</f>
        <v>44222</v>
      </c>
      <c r="B29" s="66">
        <v>0</v>
      </c>
      <c r="C29" s="67">
        <f>('Water Reading'!B29-'Water Reading'!B28)+('Water Reading'!C29-'Water Reading'!C28)</f>
        <v>0</v>
      </c>
      <c r="D29" s="68" t="e">
        <f t="shared" si="2"/>
        <v>#DIV/0!</v>
      </c>
      <c r="E29" s="94">
        <f>'Water Reading'!H29-'Water Reading'!H28</f>
        <v>0</v>
      </c>
      <c r="F29" s="96" t="e">
        <f t="shared" si="3"/>
        <v>#DIV/0!</v>
      </c>
      <c r="G29" s="100">
        <f>('Water Reading'!D29-'Water Reading'!D28)-('Water Reading'!R29-'Water Reading'!R28)-('Water Reading'!Q29-'Water Reading'!Q28)</f>
        <v>0</v>
      </c>
      <c r="H29" s="96" t="e">
        <f t="shared" si="4"/>
        <v>#DIV/0!</v>
      </c>
      <c r="I29" s="97">
        <f>'Water Reading'!P29-'Water Reading'!P28</f>
        <v>0</v>
      </c>
      <c r="J29" s="69" t="e">
        <f t="shared" si="5"/>
        <v>#DIV/0!</v>
      </c>
      <c r="K29" s="97">
        <f>('Water Reading'!I29-'Water Reading'!I28)</f>
        <v>0</v>
      </c>
      <c r="L29" s="69" t="e">
        <f t="shared" si="6"/>
        <v>#DIV/0!</v>
      </c>
      <c r="M29" s="97">
        <f>'Water Reading'!R29-'Water Reading'!R28</f>
        <v>0</v>
      </c>
      <c r="N29" s="99" t="e">
        <f t="shared" si="7"/>
        <v>#DIV/0!</v>
      </c>
      <c r="O29" s="97">
        <f>'Water Reading'!Q29-'Water Reading'!Q28</f>
        <v>0</v>
      </c>
      <c r="P29" s="106" t="e">
        <f t="shared" si="8"/>
        <v>#DIV/0!</v>
      </c>
      <c r="Q29" s="98">
        <f>'Water Reading'!F29-'Water Reading'!F28</f>
        <v>0</v>
      </c>
      <c r="R29" s="107" t="e">
        <f t="shared" si="9"/>
        <v>#DIV/0!</v>
      </c>
      <c r="S29" s="101">
        <f>'Water Reading'!E29-'Water Reading'!E28</f>
        <v>0</v>
      </c>
      <c r="T29" s="107" t="e">
        <f t="shared" si="10"/>
        <v>#DIV/0!</v>
      </c>
      <c r="U29" s="97">
        <f>'Water Reading'!G29-'Water Reading'!G28</f>
        <v>0</v>
      </c>
      <c r="V29" s="107" t="e">
        <f t="shared" si="11"/>
        <v>#DIV/0!</v>
      </c>
      <c r="W29" s="97">
        <f>'Water Reading'!J29-'Water Reading'!J28</f>
        <v>0</v>
      </c>
      <c r="X29" s="107" t="e">
        <f t="shared" si="12"/>
        <v>#DIV/0!</v>
      </c>
      <c r="Y29" s="67">
        <f t="shared" si="0"/>
        <v>0</v>
      </c>
      <c r="Z29" s="68" t="e">
        <f t="shared" si="1"/>
        <v>#DIV/0!</v>
      </c>
    </row>
    <row r="30" spans="1:26" x14ac:dyDescent="0.25">
      <c r="A30" s="8">
        <f>'Water Reading'!A29</f>
        <v>44223</v>
      </c>
      <c r="B30" s="66">
        <v>0</v>
      </c>
      <c r="C30" s="67">
        <f>('Water Reading'!B30-'Water Reading'!B29)+('Water Reading'!C30-'Water Reading'!C29)</f>
        <v>0</v>
      </c>
      <c r="D30" s="68" t="e">
        <f t="shared" si="2"/>
        <v>#DIV/0!</v>
      </c>
      <c r="E30" s="94">
        <f>'Water Reading'!H30-'Water Reading'!H29</f>
        <v>0</v>
      </c>
      <c r="F30" s="96" t="e">
        <f t="shared" si="3"/>
        <v>#DIV/0!</v>
      </c>
      <c r="G30" s="100">
        <f>('Water Reading'!D30-'Water Reading'!D29)-('Water Reading'!R30-'Water Reading'!R29)-('Water Reading'!Q30-'Water Reading'!Q29)</f>
        <v>0</v>
      </c>
      <c r="H30" s="96" t="e">
        <f t="shared" si="4"/>
        <v>#DIV/0!</v>
      </c>
      <c r="I30" s="97">
        <f>'Water Reading'!P30-'Water Reading'!P29</f>
        <v>0</v>
      </c>
      <c r="J30" s="69" t="e">
        <f t="shared" si="5"/>
        <v>#DIV/0!</v>
      </c>
      <c r="K30" s="97">
        <f>('Water Reading'!I30-'Water Reading'!I29)-('Water Reading'!P30-'Water Reading'!P29)</f>
        <v>0</v>
      </c>
      <c r="L30" s="69" t="e">
        <f t="shared" si="6"/>
        <v>#DIV/0!</v>
      </c>
      <c r="M30" s="97">
        <f>'Water Reading'!R30-'Water Reading'!R29</f>
        <v>0</v>
      </c>
      <c r="N30" s="99" t="e">
        <f t="shared" si="7"/>
        <v>#DIV/0!</v>
      </c>
      <c r="O30" s="97">
        <f>'Water Reading'!Q30-'Water Reading'!Q29</f>
        <v>0</v>
      </c>
      <c r="P30" s="106" t="e">
        <f t="shared" si="8"/>
        <v>#DIV/0!</v>
      </c>
      <c r="Q30" s="98">
        <f>'Water Reading'!F30-'Water Reading'!F29</f>
        <v>0</v>
      </c>
      <c r="R30" s="107" t="e">
        <f t="shared" si="9"/>
        <v>#DIV/0!</v>
      </c>
      <c r="S30" s="101">
        <f>'Water Reading'!E30-'Water Reading'!E29</f>
        <v>0</v>
      </c>
      <c r="T30" s="107" t="e">
        <f t="shared" si="10"/>
        <v>#DIV/0!</v>
      </c>
      <c r="U30" s="97">
        <f>'Water Reading'!G30-'Water Reading'!G29</f>
        <v>0</v>
      </c>
      <c r="V30" s="107" t="e">
        <f t="shared" si="11"/>
        <v>#DIV/0!</v>
      </c>
      <c r="W30" s="97">
        <f>'Water Reading'!J30-'Water Reading'!J29</f>
        <v>0</v>
      </c>
      <c r="X30" s="107" t="e">
        <f t="shared" si="12"/>
        <v>#DIV/0!</v>
      </c>
      <c r="Y30" s="67">
        <f t="shared" si="0"/>
        <v>0</v>
      </c>
      <c r="Z30" s="68" t="e">
        <f t="shared" si="1"/>
        <v>#DIV/0!</v>
      </c>
    </row>
    <row r="31" spans="1:26" x14ac:dyDescent="0.25">
      <c r="A31" s="8">
        <f>'Water Reading'!A30</f>
        <v>44224</v>
      </c>
      <c r="B31" s="66">
        <v>0</v>
      </c>
      <c r="C31" s="67">
        <f>('Water Reading'!B31-'Water Reading'!B30)+('Water Reading'!C31-'Water Reading'!C30)</f>
        <v>0</v>
      </c>
      <c r="D31" s="68" t="e">
        <f t="shared" si="2"/>
        <v>#DIV/0!</v>
      </c>
      <c r="E31" s="94">
        <f>'Water Reading'!H31-'Water Reading'!H30</f>
        <v>0</v>
      </c>
      <c r="F31" s="96" t="e">
        <f t="shared" si="3"/>
        <v>#DIV/0!</v>
      </c>
      <c r="G31" s="100">
        <f>('Water Reading'!D31-'Water Reading'!D30)-('Water Reading'!R31-'Water Reading'!R30)-('Water Reading'!Q31-'Water Reading'!Q30)</f>
        <v>0</v>
      </c>
      <c r="H31" s="96" t="e">
        <f t="shared" si="4"/>
        <v>#DIV/0!</v>
      </c>
      <c r="I31" s="97">
        <f>'Water Reading'!P31-'Water Reading'!P30</f>
        <v>0</v>
      </c>
      <c r="J31" s="69" t="e">
        <f t="shared" si="5"/>
        <v>#DIV/0!</v>
      </c>
      <c r="K31" s="97">
        <f>('Water Reading'!I31-'Water Reading'!I30)-('Water Reading'!P31-'Water Reading'!P30)</f>
        <v>0</v>
      </c>
      <c r="L31" s="69" t="e">
        <f t="shared" si="6"/>
        <v>#DIV/0!</v>
      </c>
      <c r="M31" s="97">
        <f>'Water Reading'!R31-'Water Reading'!R30</f>
        <v>0</v>
      </c>
      <c r="N31" s="99" t="e">
        <f t="shared" si="7"/>
        <v>#DIV/0!</v>
      </c>
      <c r="O31" s="97">
        <f>'Water Reading'!Q31-'Water Reading'!Q30</f>
        <v>0</v>
      </c>
      <c r="P31" s="106" t="e">
        <f t="shared" si="8"/>
        <v>#DIV/0!</v>
      </c>
      <c r="Q31" s="98">
        <f>'Water Reading'!F31-'Water Reading'!F30</f>
        <v>0</v>
      </c>
      <c r="R31" s="107" t="e">
        <f t="shared" si="9"/>
        <v>#DIV/0!</v>
      </c>
      <c r="S31" s="101">
        <f>'Water Reading'!E31-'Water Reading'!E30</f>
        <v>0</v>
      </c>
      <c r="T31" s="107" t="e">
        <f t="shared" si="10"/>
        <v>#DIV/0!</v>
      </c>
      <c r="U31" s="97">
        <f>'Water Reading'!G31-'Water Reading'!G30</f>
        <v>0</v>
      </c>
      <c r="V31" s="107" t="e">
        <f t="shared" si="11"/>
        <v>#DIV/0!</v>
      </c>
      <c r="W31" s="97">
        <f>'Water Reading'!J31-'Water Reading'!J30</f>
        <v>0</v>
      </c>
      <c r="X31" s="107" t="e">
        <f t="shared" si="12"/>
        <v>#DIV/0!</v>
      </c>
      <c r="Y31" s="67">
        <f t="shared" si="0"/>
        <v>0</v>
      </c>
      <c r="Z31" s="68" t="e">
        <f t="shared" si="1"/>
        <v>#DIV/0!</v>
      </c>
    </row>
    <row r="32" spans="1:26" x14ac:dyDescent="0.25">
      <c r="A32" s="8">
        <f>'Water Reading'!A31</f>
        <v>44225</v>
      </c>
      <c r="B32" s="66">
        <v>0</v>
      </c>
      <c r="C32" s="67">
        <f>('Water Reading'!B32-'Water Reading'!B31)+('Water Reading'!C32-'Water Reading'!C31)</f>
        <v>0</v>
      </c>
      <c r="D32" s="68" t="e">
        <f t="shared" si="2"/>
        <v>#DIV/0!</v>
      </c>
      <c r="E32" s="94">
        <f>'Water Reading'!H32-'Water Reading'!H31</f>
        <v>0</v>
      </c>
      <c r="F32" s="96" t="e">
        <f t="shared" si="3"/>
        <v>#DIV/0!</v>
      </c>
      <c r="G32" s="100">
        <f>('Water Reading'!D32-'Water Reading'!D31)-('Water Reading'!R32-'Water Reading'!R31)-('Water Reading'!Q32-'Water Reading'!Q31)</f>
        <v>0</v>
      </c>
      <c r="H32" s="96" t="e">
        <f t="shared" si="4"/>
        <v>#DIV/0!</v>
      </c>
      <c r="I32" s="97">
        <f>'Water Reading'!P32-'Water Reading'!P31</f>
        <v>0</v>
      </c>
      <c r="J32" s="69" t="e">
        <f t="shared" si="5"/>
        <v>#DIV/0!</v>
      </c>
      <c r="K32" s="97">
        <f>('Water Reading'!I32-'Water Reading'!I31)-('Water Reading'!P32-'Water Reading'!P31)</f>
        <v>0</v>
      </c>
      <c r="L32" s="69" t="e">
        <f t="shared" si="6"/>
        <v>#DIV/0!</v>
      </c>
      <c r="M32" s="97">
        <f>'Water Reading'!R32-'Water Reading'!R31</f>
        <v>0</v>
      </c>
      <c r="N32" s="99" t="e">
        <f t="shared" si="7"/>
        <v>#DIV/0!</v>
      </c>
      <c r="O32" s="97">
        <f>'Water Reading'!Q32-'Water Reading'!Q31</f>
        <v>0</v>
      </c>
      <c r="P32" s="106" t="e">
        <f t="shared" si="8"/>
        <v>#DIV/0!</v>
      </c>
      <c r="Q32" s="98">
        <f>'Water Reading'!F32-'Water Reading'!F31</f>
        <v>0</v>
      </c>
      <c r="R32" s="107" t="e">
        <f t="shared" si="9"/>
        <v>#DIV/0!</v>
      </c>
      <c r="S32" s="101">
        <f>'Water Reading'!E32-'Water Reading'!E31</f>
        <v>0</v>
      </c>
      <c r="T32" s="107" t="e">
        <f t="shared" si="10"/>
        <v>#DIV/0!</v>
      </c>
      <c r="U32" s="97">
        <f>'Water Reading'!G32-'Water Reading'!G31</f>
        <v>0</v>
      </c>
      <c r="V32" s="107" t="e">
        <f t="shared" si="11"/>
        <v>#DIV/0!</v>
      </c>
      <c r="W32" s="97">
        <f>'Water Reading'!J32-'Water Reading'!J31</f>
        <v>0</v>
      </c>
      <c r="X32" s="107" t="e">
        <f t="shared" si="12"/>
        <v>#DIV/0!</v>
      </c>
      <c r="Y32" s="67">
        <f t="shared" si="0"/>
        <v>0</v>
      </c>
      <c r="Z32" s="68" t="e">
        <f t="shared" si="1"/>
        <v>#DIV/0!</v>
      </c>
    </row>
    <row r="33" spans="1:26" x14ac:dyDescent="0.25">
      <c r="A33" s="8">
        <f>'Water Reading'!A32</f>
        <v>44226</v>
      </c>
      <c r="B33" s="66">
        <v>0</v>
      </c>
      <c r="C33" s="67">
        <f>('Water Reading'!B33-'Water Reading'!B32)+('Water Reading'!C33-'Water Reading'!C32)</f>
        <v>0</v>
      </c>
      <c r="D33" s="68" t="e">
        <f t="shared" si="2"/>
        <v>#DIV/0!</v>
      </c>
      <c r="E33" s="94">
        <f>'Water Reading'!H33-'Water Reading'!H32</f>
        <v>0</v>
      </c>
      <c r="F33" s="96" t="e">
        <f t="shared" si="3"/>
        <v>#DIV/0!</v>
      </c>
      <c r="G33" s="100">
        <f>('Water Reading'!D33-'Water Reading'!D32)-('Water Reading'!R33-'Water Reading'!R32)-('Water Reading'!Q33-'Water Reading'!Q32)</f>
        <v>0</v>
      </c>
      <c r="H33" s="96" t="e">
        <f t="shared" si="4"/>
        <v>#DIV/0!</v>
      </c>
      <c r="I33" s="97">
        <f>'Water Reading'!P33-'Water Reading'!P32</f>
        <v>0</v>
      </c>
      <c r="J33" s="69" t="e">
        <f t="shared" si="5"/>
        <v>#DIV/0!</v>
      </c>
      <c r="K33" s="97">
        <f>('Water Reading'!I33-'Water Reading'!I32)-('Water Reading'!P33-'Water Reading'!P32)</f>
        <v>0</v>
      </c>
      <c r="L33" s="69" t="e">
        <f t="shared" si="6"/>
        <v>#DIV/0!</v>
      </c>
      <c r="M33" s="97">
        <f>'Water Reading'!R33-'Water Reading'!R32</f>
        <v>0</v>
      </c>
      <c r="N33" s="99" t="e">
        <f t="shared" si="7"/>
        <v>#DIV/0!</v>
      </c>
      <c r="O33" s="97">
        <f>'Water Reading'!Q33-'Water Reading'!Q32</f>
        <v>0</v>
      </c>
      <c r="P33" s="106" t="e">
        <f t="shared" si="8"/>
        <v>#DIV/0!</v>
      </c>
      <c r="Q33" s="98">
        <f>'Water Reading'!F33-'Water Reading'!F32</f>
        <v>0</v>
      </c>
      <c r="R33" s="107" t="e">
        <f t="shared" si="9"/>
        <v>#DIV/0!</v>
      </c>
      <c r="S33" s="101">
        <f>'Water Reading'!E33-'Water Reading'!E32</f>
        <v>0</v>
      </c>
      <c r="T33" s="107" t="e">
        <f t="shared" si="10"/>
        <v>#DIV/0!</v>
      </c>
      <c r="U33" s="97">
        <f>'Water Reading'!G33-'Water Reading'!G32</f>
        <v>0</v>
      </c>
      <c r="V33" s="107" t="e">
        <f t="shared" si="11"/>
        <v>#DIV/0!</v>
      </c>
      <c r="W33" s="97">
        <f>'Water Reading'!J33-'Water Reading'!J32</f>
        <v>0</v>
      </c>
      <c r="X33" s="107" t="e">
        <f t="shared" si="12"/>
        <v>#DIV/0!</v>
      </c>
      <c r="Y33" s="67">
        <f t="shared" si="0"/>
        <v>0</v>
      </c>
      <c r="Z33" s="68" t="e">
        <f t="shared" si="1"/>
        <v>#DIV/0!</v>
      </c>
    </row>
    <row r="34" spans="1:26" x14ac:dyDescent="0.25">
      <c r="A34" s="8">
        <f>'Water Reading'!A33</f>
        <v>44227</v>
      </c>
      <c r="B34" s="66">
        <v>0</v>
      </c>
      <c r="C34" s="67">
        <f>('Water Reading'!B34-'Water Reading'!B33)+('Water Reading'!C34-'Water Reading'!C33)</f>
        <v>0</v>
      </c>
      <c r="D34" s="68" t="e">
        <f t="shared" si="2"/>
        <v>#DIV/0!</v>
      </c>
      <c r="E34" s="94">
        <f>'Water Reading'!H34-'Water Reading'!H33</f>
        <v>0</v>
      </c>
      <c r="F34" s="96" t="e">
        <f t="shared" si="3"/>
        <v>#DIV/0!</v>
      </c>
      <c r="G34" s="100">
        <f>('Water Reading'!D34-'Water Reading'!D33)-('Water Reading'!R34-'Water Reading'!R33)-('Water Reading'!Q34-'Water Reading'!Q33)</f>
        <v>0</v>
      </c>
      <c r="H34" s="96" t="e">
        <f t="shared" si="4"/>
        <v>#DIV/0!</v>
      </c>
      <c r="I34" s="97">
        <f>'Water Reading'!P34-'Water Reading'!P33</f>
        <v>0</v>
      </c>
      <c r="J34" s="69" t="e">
        <f t="shared" si="5"/>
        <v>#DIV/0!</v>
      </c>
      <c r="K34" s="97">
        <f>('Water Reading'!I34-'Water Reading'!I33)-('Water Reading'!P34-'Water Reading'!P33)</f>
        <v>0</v>
      </c>
      <c r="L34" s="69" t="e">
        <f t="shared" si="6"/>
        <v>#DIV/0!</v>
      </c>
      <c r="M34" s="97">
        <f>'Water Reading'!R34-'Water Reading'!R33</f>
        <v>0</v>
      </c>
      <c r="N34" s="99" t="e">
        <f t="shared" si="7"/>
        <v>#DIV/0!</v>
      </c>
      <c r="O34" s="97">
        <f>'Water Reading'!Q34-'Water Reading'!Q33</f>
        <v>0</v>
      </c>
      <c r="P34" s="106" t="e">
        <f t="shared" si="8"/>
        <v>#DIV/0!</v>
      </c>
      <c r="Q34" s="98">
        <f>'Water Reading'!F34-'Water Reading'!F33</f>
        <v>0</v>
      </c>
      <c r="R34" s="107" t="e">
        <f t="shared" si="9"/>
        <v>#DIV/0!</v>
      </c>
      <c r="S34" s="101">
        <f>'Water Reading'!E34-'Water Reading'!E33</f>
        <v>0</v>
      </c>
      <c r="T34" s="107" t="e">
        <f t="shared" si="10"/>
        <v>#DIV/0!</v>
      </c>
      <c r="U34" s="97">
        <f>'Water Reading'!G34-'Water Reading'!G33</f>
        <v>0</v>
      </c>
      <c r="V34" s="107" t="e">
        <f t="shared" si="11"/>
        <v>#DIV/0!</v>
      </c>
      <c r="W34" s="97">
        <f>'Water Reading'!J34-'Water Reading'!J33</f>
        <v>0</v>
      </c>
      <c r="X34" s="107" t="e">
        <f t="shared" si="12"/>
        <v>#DIV/0!</v>
      </c>
      <c r="Y34" s="67">
        <f t="shared" si="0"/>
        <v>0</v>
      </c>
      <c r="Z34" s="68" t="e">
        <f t="shared" si="1"/>
        <v>#DIV/0!</v>
      </c>
    </row>
    <row r="35" spans="1:26" ht="24" customHeight="1" x14ac:dyDescent="0.25">
      <c r="A35" s="70" t="s">
        <v>55</v>
      </c>
      <c r="B35" s="104">
        <f>SUM(B4:B34)</f>
        <v>3419</v>
      </c>
      <c r="C35" s="81">
        <f>SUM(C4:C34)</f>
        <v>-229728</v>
      </c>
      <c r="D35" s="103">
        <f>C35/B35</f>
        <v>-67.191576484352154</v>
      </c>
      <c r="E35" s="7">
        <f>SUM(E4:E34)</f>
        <v>-44506</v>
      </c>
      <c r="F35" s="102">
        <f>E35/C35</f>
        <v>0.19373345869898315</v>
      </c>
      <c r="G35" s="81">
        <f>SUM(G4:G34)</f>
        <v>-176927</v>
      </c>
      <c r="H35" s="102">
        <f>G35/C35</f>
        <v>0.77015862237080368</v>
      </c>
      <c r="I35" s="7">
        <f>SUM(I4:I34)</f>
        <v>-25641</v>
      </c>
      <c r="J35" s="102">
        <f>I35/C35</f>
        <v>0.11161460509820309</v>
      </c>
      <c r="K35" s="7">
        <f>SUM(K4:K34)</f>
        <v>-31068</v>
      </c>
      <c r="L35" s="102">
        <f>K35/C35</f>
        <v>0.13523819473464271</v>
      </c>
      <c r="M35" s="7">
        <f>SUM(M4:M34)</f>
        <v>-5252</v>
      </c>
      <c r="N35" s="102">
        <f>M35/C35</f>
        <v>2.2861819194873938E-2</v>
      </c>
      <c r="O35" s="7">
        <f>SUM(O4:O34)</f>
        <v>-815</v>
      </c>
      <c r="P35" s="102">
        <f>O35/C35</f>
        <v>3.547673770720156E-3</v>
      </c>
      <c r="Q35" s="7">
        <f>SUM(Q4:Q34)</f>
        <v>-66831</v>
      </c>
      <c r="R35" s="102">
        <f>Q35/C35</f>
        <v>0.2909136021730046</v>
      </c>
      <c r="S35" s="81">
        <f>SUM(S4:S34)</f>
        <v>-237039</v>
      </c>
      <c r="T35" s="102">
        <f>S35/C35</f>
        <v>1.0318245925616381</v>
      </c>
      <c r="U35" s="7">
        <f>SUM(U4:U34)</f>
        <v>-108009</v>
      </c>
      <c r="V35" s="102">
        <f>U35/C35</f>
        <v>0.47016036356038443</v>
      </c>
      <c r="W35" s="7">
        <f>SUM(W4:W34)</f>
        <v>-17981</v>
      </c>
      <c r="X35" s="102">
        <f>W35/C35</f>
        <v>7.8270824627385424E-2</v>
      </c>
      <c r="Y35" s="81">
        <f>SUM(Y4:Y34)</f>
        <v>-714069</v>
      </c>
      <c r="Z35" s="102">
        <f t="shared" si="1"/>
        <v>-208.85317344252707</v>
      </c>
    </row>
    <row r="64" spans="4:4" x14ac:dyDescent="0.25">
      <c r="D64" s="71"/>
    </row>
    <row r="65" spans="4:4" x14ac:dyDescent="0.25">
      <c r="D65" s="71"/>
    </row>
    <row r="66" spans="4:4" x14ac:dyDescent="0.25">
      <c r="D66" s="71"/>
    </row>
    <row r="67" spans="4:4" x14ac:dyDescent="0.25">
      <c r="D67" s="71"/>
    </row>
    <row r="68" spans="4:4" x14ac:dyDescent="0.25">
      <c r="D68" s="71"/>
    </row>
    <row r="69" spans="4:4" x14ac:dyDescent="0.25">
      <c r="D69" s="71"/>
    </row>
    <row r="70" spans="4:4" x14ac:dyDescent="0.25">
      <c r="D70" s="71"/>
    </row>
    <row r="71" spans="4:4" x14ac:dyDescent="0.25">
      <c r="D71" s="71"/>
    </row>
    <row r="72" spans="4:4" x14ac:dyDescent="0.25">
      <c r="D72" s="71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2021-01-13T05:03:58Z</dcterms:modified>
  <cp:category/>
  <cp:contentStatus/>
</cp:coreProperties>
</file>