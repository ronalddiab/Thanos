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4" l="1"/>
  <c r="Y11" i="4"/>
  <c r="Y12" i="4"/>
  <c r="Y13" i="4"/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6" i="2" s="1"/>
  <c r="P28" i="2" s="1"/>
  <c r="P29" i="2" s="1"/>
  <c r="P30" i="2" s="1"/>
  <c r="P31" i="2" s="1"/>
  <c r="P32" i="2" s="1"/>
  <c r="N29" i="2"/>
  <c r="N30" i="2" s="1"/>
  <c r="N31" i="2" s="1"/>
  <c r="N32" i="2" s="1"/>
  <c r="L29" i="2"/>
  <c r="L30" i="2" s="1"/>
  <c r="L31" i="2" s="1"/>
  <c r="L32" i="2" s="1"/>
  <c r="J29" i="2"/>
  <c r="J30" i="2" s="1"/>
  <c r="J31" i="2" s="1"/>
  <c r="J32" i="2" s="1"/>
  <c r="H29" i="2"/>
  <c r="H30" i="2" s="1"/>
  <c r="H31" i="2" s="1"/>
  <c r="H32" i="2" s="1"/>
  <c r="F29" i="2"/>
  <c r="F30" i="2" s="1"/>
  <c r="F31" i="2" s="1"/>
  <c r="F32" i="2" s="1"/>
  <c r="D29" i="2"/>
  <c r="D30" i="2" s="1"/>
  <c r="D31" i="2" s="1"/>
  <c r="D32" i="2" s="1"/>
  <c r="B29" i="2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X29" i="4"/>
  <c r="Y29" i="4" s="1"/>
  <c r="X19" i="4"/>
  <c r="Y19" i="4" s="1"/>
  <c r="X14" i="4"/>
  <c r="Y14" i="4" s="1"/>
  <c r="X16" i="4"/>
  <c r="Y16" i="4" s="1"/>
  <c r="X11" i="4"/>
  <c r="X23" i="4"/>
  <c r="Y23" i="4" s="1"/>
  <c r="X10" i="4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<sst xmlns="http://schemas.openxmlformats.org/spreadsheetml/2006/main" count="511" uniqueCount="150">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</sst>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K26" sqref="F26:K27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1048.2462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1516.5726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84675.790399999998</v>
      </c>
      <c r="F21" s="139">
        <v>1.27</v>
      </c>
      <c r="G21" s="37">
        <f>Gas!C22*0.9147</f>
        <v>1207.404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324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56810.774584000006</v>
      </c>
      <c r="F22" s="139">
        <v>1.27</v>
      </c>
      <c r="G22" s="37">
        <f>Gas!C23*0.9147</f>
        <v>1716.8918999999999</v>
      </c>
      <c r="H22" s="140">
        <v>3.65</v>
      </c>
      <c r="I22" s="142">
        <f>Submetering!H22+Submetering!AD22+Submetering!AE22</f>
        <v>796</v>
      </c>
      <c r="J22" s="142">
        <v>10.029999999999999</v>
      </c>
      <c r="K22" s="37">
        <f>ELECT.!B23</f>
        <v>324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72057.308296000003</v>
      </c>
      <c r="F23" s="139">
        <v>1.27</v>
      </c>
      <c r="G23" s="37">
        <f>Gas!C24*0.9147</f>
        <v>2389.1963999999998</v>
      </c>
      <c r="H23" s="140">
        <v>3.65</v>
      </c>
      <c r="I23" s="142">
        <f>Submetering!H23+Submetering!AD23+Submetering!AE23</f>
        <v>796</v>
      </c>
      <c r="J23" s="142">
        <v>10.029999999999999</v>
      </c>
      <c r="K23" s="37">
        <f>ELECT.!B24</f>
        <v>137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65295.501511999995</v>
      </c>
      <c r="F24" s="139">
        <v>1.27</v>
      </c>
      <c r="G24" s="37">
        <f>Gas!C25*0.9147</f>
        <v>2119.3598999999999</v>
      </c>
      <c r="H24" s="140">
        <v>3.65</v>
      </c>
      <c r="I24" s="142">
        <f>Submetering!H24+Submetering!AD24+Submetering!AE24</f>
        <v>726</v>
      </c>
      <c r="J24" s="142">
        <v>10.029999999999999</v>
      </c>
      <c r="K24" s="37">
        <f>ELECT.!B25</f>
        <v>200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85437.013547999988</v>
      </c>
      <c r="F25" s="139">
        <v>1.27</v>
      </c>
      <c r="G25" s="37">
        <f>Gas!C26*0.9147</f>
        <v>2076.3689999999997</v>
      </c>
      <c r="H25" s="140">
        <v>3.65</v>
      </c>
      <c r="I25" s="142">
        <f>Submetering!H25+Submetering!AD25+Submetering!AE25</f>
        <v>806</v>
      </c>
      <c r="J25" s="142">
        <v>10.029999999999999</v>
      </c>
      <c r="K25" s="37">
        <f>ELECT.!B26</f>
        <v>240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76871.431731999997</v>
      </c>
      <c r="F26" s="139">
        <v>1.27</v>
      </c>
      <c r="G26" s="37">
        <f>Gas!C27*0.9147</f>
        <v>1608.9573</v>
      </c>
      <c r="H26" s="140">
        <v>3.65</v>
      </c>
      <c r="I26" s="142">
        <f>Submetering!H26+Submetering!AD26+Submetering!AE26</f>
        <v>1056</v>
      </c>
      <c r="J26" s="142">
        <v>10.029999999999999</v>
      </c>
      <c r="K26" s="37">
        <f>ELECT.!B27</f>
        <v>169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71821.114371999982</v>
      </c>
      <c r="F27" s="139">
        <v>1.27</v>
      </c>
      <c r="G27" s="37">
        <f>Gas!C28*0.9147</f>
        <v>1931.8463999999999</v>
      </c>
      <c r="H27" s="140">
        <v>3.65</v>
      </c>
      <c r="I27" s="142">
        <f>Submetering!H27+Submetering!AD27+Submetering!AE27</f>
        <v>726</v>
      </c>
      <c r="J27" s="142">
        <v>10.029999999999999</v>
      </c>
      <c r="K27" s="37">
        <f>ELECT.!B28</f>
        <v>213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2" sqref="G4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940</v>
      </c>
      <c r="F21" s="37">
        <f>Water!E22</f>
        <v>500</v>
      </c>
      <c r="G21" s="37">
        <f>Water!G22</f>
        <v>410.4</v>
      </c>
      <c r="H21" s="37">
        <f>Water!I22</f>
        <v>5.0759999999999996</v>
      </c>
      <c r="I21" s="37">
        <f>ELECT.!F22</f>
        <v>25290</v>
      </c>
      <c r="J21" s="37">
        <f>ELECT.!H22</f>
        <v>62556</v>
      </c>
      <c r="K21" s="37">
        <f>ELECT.!K22</f>
        <v>11842</v>
      </c>
      <c r="L21" s="37">
        <f>ELECT.!M22</f>
        <v>7919</v>
      </c>
      <c r="M21" s="37">
        <f>ELECT.!O22</f>
        <v>17160</v>
      </c>
      <c r="N21" s="37">
        <f>ELECT.!Q22</f>
        <v>18534</v>
      </c>
      <c r="O21" s="37">
        <f>ELECT.!S22</f>
        <v>12328</v>
      </c>
      <c r="P21" s="37">
        <f>ELECT.!W22*2</f>
        <v>27772</v>
      </c>
      <c r="Q21" s="37">
        <f>ELECT.!D22</f>
        <v>480</v>
      </c>
      <c r="R21" s="142">
        <f>BTU!C22</f>
        <v>8.1190000000024156</v>
      </c>
      <c r="S21" s="142">
        <f>BTU!F22</f>
        <v>2.5760000000000218</v>
      </c>
      <c r="T21" s="142">
        <f>BTU!I22</f>
        <v>4</v>
      </c>
      <c r="U21" s="142">
        <f>BTU!O22</f>
        <v>0.97499999999990905</v>
      </c>
      <c r="V21" s="142">
        <f>BTU!L22</f>
        <v>1.430000000000291</v>
      </c>
      <c r="W21" s="142">
        <f>BTU!R22</f>
        <v>1.2600000000002183</v>
      </c>
      <c r="X21" s="35">
        <f>ELECT.!B22</f>
        <v>324</v>
      </c>
      <c r="Y21" s="35">
        <f t="shared" si="0"/>
        <v>-7709</v>
      </c>
      <c r="Z21">
        <f>'Mall, Citadel, Rotana'!C22+'Mall, Citadel, Rotana'!E22+'Mall, Citadel, Rotana'!G22+'Mall, Citadel, Rotana'!I22</f>
        <v>1361</v>
      </c>
      <c r="AA21">
        <f>'Mall, Citadel, Rotana'!K22+'Mall, Citadel, Rotana'!M22</f>
        <v>347</v>
      </c>
      <c r="AB21">
        <f>'Mall, Citadel, Rotana'!O22</f>
        <v>3</v>
      </c>
      <c r="AC21">
        <f>'Mall, Citadel, Rotana'!Q22+'Mall, Citadel, Rotana'!S22</f>
        <v>244</v>
      </c>
      <c r="AD21" s="35">
        <f t="shared" si="1"/>
        <v>97.653783199999992</v>
      </c>
      <c r="AE21" s="35">
        <f t="shared" si="2"/>
        <v>643.27021679999996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990</v>
      </c>
      <c r="F22" s="37">
        <f>Water!E23</f>
        <v>380</v>
      </c>
      <c r="G22" s="37">
        <f>Water!G23</f>
        <v>529.20000000000005</v>
      </c>
      <c r="H22" s="37">
        <f>Water!I23</f>
        <v>4.266</v>
      </c>
      <c r="I22" s="37">
        <f>ELECT.!F23</f>
        <v>16958</v>
      </c>
      <c r="J22" s="37">
        <f>ELECT.!H23</f>
        <v>42415</v>
      </c>
      <c r="K22" s="37">
        <f>ELECT.!K23</f>
        <v>8696</v>
      </c>
      <c r="L22" s="37">
        <f>ELECT.!M23</f>
        <v>5353</v>
      </c>
      <c r="M22" s="37">
        <f>ELECT.!O23</f>
        <v>11432</v>
      </c>
      <c r="N22" s="37">
        <f>ELECT.!Q23</f>
        <v>10097</v>
      </c>
      <c r="O22" s="37">
        <f>ELECT.!S23</f>
        <v>8298</v>
      </c>
      <c r="P22" s="37">
        <f>ELECT.!W23*2</f>
        <v>18728</v>
      </c>
      <c r="Q22" s="37">
        <f>ELECT.!D23</f>
        <v>640</v>
      </c>
      <c r="R22" s="142">
        <f>BTU!C23</f>
        <v>20.114999999997963</v>
      </c>
      <c r="S22" s="142">
        <f>BTU!F23</f>
        <v>3.1000000000003638</v>
      </c>
      <c r="T22" s="142">
        <f>BTU!I23</f>
        <v>4</v>
      </c>
      <c r="U22" s="142">
        <f>BTU!O23</f>
        <v>0.87700000000040745</v>
      </c>
      <c r="V22" s="142">
        <f>BTU!L23</f>
        <v>1.8899999999994179</v>
      </c>
      <c r="W22" s="142">
        <f>BTU!R23</f>
        <v>2.2299999999995634</v>
      </c>
      <c r="X22" s="35">
        <f>ELECT.!B23</f>
        <v>324</v>
      </c>
      <c r="Y22" s="35">
        <f t="shared" si="0"/>
        <v>-3231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346</v>
      </c>
      <c r="AB22">
        <f>'Mall, Citadel, Rotana'!O23</f>
        <v>3</v>
      </c>
      <c r="AC22">
        <f>'Mall, Citadel, Rotana'!Q23+'Mall, Citadel, Rotana'!S23</f>
        <v>256</v>
      </c>
      <c r="AD22" s="35">
        <f t="shared" si="1"/>
        <v>104.35054120000001</v>
      </c>
      <c r="AE22" s="35">
        <f t="shared" si="2"/>
        <v>687.38345879999997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990</v>
      </c>
      <c r="F23" s="37">
        <f>Water!E24</f>
        <v>430</v>
      </c>
      <c r="G23" s="37">
        <f>Water!G24</f>
        <v>399.6</v>
      </c>
      <c r="H23" s="37">
        <f>Water!I24</f>
        <v>4.4279999999999999</v>
      </c>
      <c r="I23" s="37">
        <f>ELECT.!F24</f>
        <v>21916</v>
      </c>
      <c r="J23" s="37">
        <f>ELECT.!H24</f>
        <v>53353</v>
      </c>
      <c r="K23" s="37">
        <f>ELECT.!K24</f>
        <v>10450</v>
      </c>
      <c r="L23" s="37">
        <f>ELECT.!M24</f>
        <v>6824</v>
      </c>
      <c r="M23" s="37">
        <f>ELECT.!O24</f>
        <v>14916</v>
      </c>
      <c r="N23" s="37">
        <f>ELECT.!Q24</f>
        <v>12966</v>
      </c>
      <c r="O23" s="37">
        <f>ELECT.!S24</f>
        <v>10396</v>
      </c>
      <c r="P23" s="37">
        <f>ELECT.!W24*2</f>
        <v>23598</v>
      </c>
      <c r="Q23" s="37">
        <f>ELECT.!D24</f>
        <v>640</v>
      </c>
      <c r="R23" s="142">
        <f>BTU!C24</f>
        <v>6.625</v>
      </c>
      <c r="S23" s="142">
        <f>BTU!F24</f>
        <v>3.7409999999999854</v>
      </c>
      <c r="T23" s="142">
        <f>BTU!I24</f>
        <v>11</v>
      </c>
      <c r="U23" s="142">
        <f>BTU!O24</f>
        <v>2.5989999999997053</v>
      </c>
      <c r="V23" s="142">
        <f>BTU!L24</f>
        <v>2.6499999999996362</v>
      </c>
      <c r="W23" s="142">
        <f>BTU!R24</f>
        <v>2.0300000000006548</v>
      </c>
      <c r="X23" s="35">
        <f>ELECT.!B24</f>
        <v>137</v>
      </c>
      <c r="Y23" s="35">
        <f t="shared" si="0"/>
        <v>-3881</v>
      </c>
      <c r="Z23">
        <f>'Mall, Citadel, Rotana'!C24+'Mall, Citadel, Rotana'!E24+'Mall, Citadel, Rotana'!G24+'Mall, Citadel, Rotana'!I24</f>
        <v>1549</v>
      </c>
      <c r="AA23">
        <f>'Mall, Citadel, Rotana'!K24+'Mall, Citadel, Rotana'!M24</f>
        <v>409</v>
      </c>
      <c r="AB23">
        <f>'Mall, Citadel, Rotana'!O24</f>
        <v>3</v>
      </c>
      <c r="AC23">
        <f>'Mall, Citadel, Rotana'!Q24+'Mall, Citadel, Rotana'!S24</f>
        <v>246</v>
      </c>
      <c r="AD23" s="35">
        <f t="shared" si="1"/>
        <v>104.32918960000001</v>
      </c>
      <c r="AE23" s="35">
        <f t="shared" si="2"/>
        <v>687.24281040000005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920</v>
      </c>
      <c r="F24" s="37">
        <f>Water!E25</f>
        <v>500</v>
      </c>
      <c r="G24" s="37">
        <f>Water!G25</f>
        <v>467.1</v>
      </c>
      <c r="H24" s="37">
        <f>Water!I25</f>
        <v>4.9139999999999997</v>
      </c>
      <c r="I24" s="37">
        <f>ELECT.!F25</f>
        <v>19917</v>
      </c>
      <c r="J24" s="37">
        <f>ELECT.!H25</f>
        <v>48275</v>
      </c>
      <c r="K24" s="37">
        <f>ELECT.!K25</f>
        <v>9178</v>
      </c>
      <c r="L24" s="37">
        <f>ELECT.!M25</f>
        <v>6162</v>
      </c>
      <c r="M24" s="37">
        <f>ELECT.!O25</f>
        <v>13552</v>
      </c>
      <c r="N24" s="37">
        <f>ELECT.!Q25</f>
        <v>11911</v>
      </c>
      <c r="O24" s="37">
        <f>ELECT.!S25</f>
        <v>9410</v>
      </c>
      <c r="P24" s="37">
        <f>ELECT.!W25*2</f>
        <v>21308</v>
      </c>
      <c r="Q24" s="37">
        <f>ELECT.!D25</f>
        <v>640</v>
      </c>
      <c r="R24" s="142">
        <f>BTU!C25</f>
        <v>6.3950000000004366</v>
      </c>
      <c r="S24" s="142">
        <f>BTU!F25</f>
        <v>1.9160000000001673</v>
      </c>
      <c r="T24" s="142">
        <f>BTU!I25</f>
        <v>5</v>
      </c>
      <c r="U24" s="142">
        <f>BTU!O25</f>
        <v>0.8160000000002583</v>
      </c>
      <c r="V24" s="142">
        <f>BTU!L25</f>
        <v>1</v>
      </c>
      <c r="W24" s="142">
        <f>BTU!R25</f>
        <v>1.1499999999996362</v>
      </c>
      <c r="X24" s="35">
        <f>ELECT.!B25</f>
        <v>200</v>
      </c>
      <c r="Y24" s="35">
        <f t="shared" si="0"/>
        <v>-3329</v>
      </c>
      <c r="Z24">
        <f>'Mall, Citadel, Rotana'!C25+'Mall, Citadel, Rotana'!E25+'Mall, Citadel, Rotana'!G25+'Mall, Citadel, Rotana'!I25</f>
        <v>1381</v>
      </c>
      <c r="AA24">
        <f>'Mall, Citadel, Rotana'!K25+'Mall, Citadel, Rotana'!M25</f>
        <v>347</v>
      </c>
      <c r="AB24">
        <f>'Mall, Citadel, Rotana'!O25</f>
        <v>4</v>
      </c>
      <c r="AC24">
        <f>'Mall, Citadel, Rotana'!Q25+'Mall, Citadel, Rotana'!S25</f>
        <v>251</v>
      </c>
      <c r="AD24" s="35">
        <f t="shared" si="1"/>
        <v>95.039134799999999</v>
      </c>
      <c r="AE24" s="35">
        <f t="shared" si="2"/>
        <v>626.04686519999996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1000</v>
      </c>
      <c r="F25" s="37">
        <f>Water!E26</f>
        <v>460</v>
      </c>
      <c r="G25" s="37">
        <f>Water!G26</f>
        <v>510.3</v>
      </c>
      <c r="H25" s="37">
        <f>Water!I26</f>
        <v>3.8609999999999998</v>
      </c>
      <c r="I25" s="37">
        <f>ELECT.!F26</f>
        <v>26119</v>
      </c>
      <c r="J25" s="37">
        <f>ELECT.!H26</f>
        <v>62185</v>
      </c>
      <c r="K25" s="37">
        <f>ELECT.!K26</f>
        <v>9668</v>
      </c>
      <c r="L25" s="37">
        <f>ELECT.!M26</f>
        <v>7951</v>
      </c>
      <c r="M25" s="37">
        <f>ELECT.!O26</f>
        <v>17942</v>
      </c>
      <c r="N25" s="37">
        <f>ELECT.!Q26</f>
        <v>15977</v>
      </c>
      <c r="O25" s="37">
        <f>ELECT.!S26</f>
        <v>12167</v>
      </c>
      <c r="P25" s="37">
        <f>ELECT.!W26*2</f>
        <v>27930</v>
      </c>
      <c r="Q25" s="37">
        <f>ELECT.!D26</f>
        <v>800</v>
      </c>
      <c r="R25" s="142">
        <f>BTU!C26</f>
        <v>12.707999999998719</v>
      </c>
      <c r="S25" s="142">
        <f>BTU!F26</f>
        <v>2.0599999999994907</v>
      </c>
      <c r="T25" s="142">
        <f>BTU!I26</f>
        <v>6</v>
      </c>
      <c r="U25" s="142">
        <f>BTU!O26</f>
        <v>1.5679999999997563</v>
      </c>
      <c r="V25" s="142">
        <f>BTU!L26</f>
        <v>2.1400000000012369</v>
      </c>
      <c r="W25" s="142">
        <f>BTU!R26</f>
        <v>2.2300000000004729</v>
      </c>
      <c r="X25" s="35">
        <f>ELECT.!B26</f>
        <v>240</v>
      </c>
      <c r="Y25" s="35">
        <f t="shared" si="0"/>
        <v>-3331</v>
      </c>
      <c r="Z25">
        <f>'Mall, Citadel, Rotana'!C26+'Mall, Citadel, Rotana'!E26+'Mall, Citadel, Rotana'!G26+'Mall, Citadel, Rotana'!I26</f>
        <v>1388</v>
      </c>
      <c r="AA25">
        <f>'Mall, Citadel, Rotana'!K26+'Mall, Citadel, Rotana'!M26</f>
        <v>222</v>
      </c>
      <c r="AB25">
        <f>'Mall, Citadel, Rotana'!O26</f>
        <v>3</v>
      </c>
      <c r="AC25">
        <f>'Mall, Citadel, Rotana'!Q26+'Mall, Citadel, Rotana'!S26</f>
        <v>0</v>
      </c>
      <c r="AD25" s="35">
        <f t="shared" si="1"/>
        <v>105.7219202</v>
      </c>
      <c r="AE25" s="35">
        <f t="shared" si="2"/>
        <v>696.41707980000001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1250</v>
      </c>
      <c r="F26" s="37">
        <f>Water!E27</f>
        <v>510</v>
      </c>
      <c r="G26" s="37">
        <f>Water!G27</f>
        <v>607.5</v>
      </c>
      <c r="H26" s="37">
        <f>Water!I27</f>
        <v>4.4820000000000002</v>
      </c>
      <c r="I26" s="37">
        <f>ELECT.!F27</f>
        <v>22596</v>
      </c>
      <c r="J26" s="37">
        <f>ELECT.!H27</f>
        <v>56846</v>
      </c>
      <c r="K26" s="37">
        <f>ELECT.!K27</f>
        <v>8676</v>
      </c>
      <c r="L26" s="37">
        <f>ELECT.!M27</f>
        <v>7114</v>
      </c>
      <c r="M26" s="37">
        <f>ELECT.!O27</f>
        <v>15254</v>
      </c>
      <c r="N26" s="37">
        <f>ELECT.!Q27</f>
        <v>14459</v>
      </c>
      <c r="O26" s="37">
        <f>ELECT.!S27</f>
        <v>11325</v>
      </c>
      <c r="P26" s="37">
        <f>ELECT.!W27*2</f>
        <v>25598</v>
      </c>
      <c r="Q26" s="37">
        <f>ELECT.!D27</f>
        <v>800</v>
      </c>
      <c r="R26" s="142">
        <f>BTU!C27</f>
        <v>14.051000000003114</v>
      </c>
      <c r="S26" s="142">
        <f>BTU!F27</f>
        <v>2.3600000000005821</v>
      </c>
      <c r="T26" s="142">
        <f>BTU!I27</f>
        <v>7</v>
      </c>
      <c r="U26" s="142">
        <f>BTU!O27</f>
        <v>1.5300000000002001</v>
      </c>
      <c r="V26" s="142">
        <f>BTU!L27</f>
        <v>2.4599999999991269</v>
      </c>
      <c r="W26" s="142">
        <f>BTU!R27</f>
        <v>2.0099999999993088</v>
      </c>
      <c r="X26" s="35">
        <f>ELECT.!B27</f>
        <v>169</v>
      </c>
      <c r="Y26" s="35">
        <f t="shared" si="0"/>
        <v>-2984</v>
      </c>
      <c r="Z26">
        <f>'Mall, Citadel, Rotana'!C27+'Mall, Citadel, Rotana'!E27+'Mall, Citadel, Rotana'!G27+'Mall, Citadel, Rotana'!I27</f>
        <v>1245</v>
      </c>
      <c r="AA26">
        <f>'Mall, Citadel, Rotana'!K27+'Mall, Citadel, Rotana'!M27</f>
        <v>321</v>
      </c>
      <c r="AB26">
        <f>'Mall, Citadel, Rotana'!O27</f>
        <v>3</v>
      </c>
      <c r="AC26">
        <f>'Mall, Citadel, Rotana'!Q27+'Mall, Citadel, Rotana'!S27</f>
        <v>-96</v>
      </c>
      <c r="AD26" s="35">
        <f t="shared" si="1"/>
        <v>138.5900724</v>
      </c>
      <c r="AE26" s="35">
        <f t="shared" si="2"/>
        <v>912.92792759999998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920</v>
      </c>
      <c r="F27" s="37">
        <f>Water!E28</f>
        <v>510</v>
      </c>
      <c r="G27" s="37">
        <f>Water!G28</f>
        <v>510.3</v>
      </c>
      <c r="H27" s="37">
        <f>Water!I28</f>
        <v>4.4279999999999999</v>
      </c>
      <c r="I27" s="37">
        <f>ELECT.!F28</f>
        <v>21071</v>
      </c>
      <c r="J27" s="37">
        <f>ELECT.!H28</f>
        <v>53771</v>
      </c>
      <c r="K27" s="37">
        <f>ELECT.!K28</f>
        <v>9598</v>
      </c>
      <c r="L27" s="37">
        <f>ELECT.!M28</f>
        <v>6788</v>
      </c>
      <c r="M27" s="37">
        <f>ELECT.!O28</f>
        <v>14124</v>
      </c>
      <c r="N27" s="37">
        <f>ELECT.!Q28</f>
        <v>13247</v>
      </c>
      <c r="O27" s="37">
        <f>ELECT.!S28</f>
        <v>10477</v>
      </c>
      <c r="P27" s="37">
        <f>ELECT.!W28*2</f>
        <v>24106</v>
      </c>
      <c r="Q27" s="37">
        <f>ELECT.!D28</f>
        <v>800</v>
      </c>
      <c r="R27" s="142">
        <f>BTU!C28</f>
        <v>12.698999999996886</v>
      </c>
      <c r="S27" s="142">
        <f>BTU!F28</f>
        <v>2.8930000000000291</v>
      </c>
      <c r="T27" s="142">
        <f>BTU!I28</f>
        <v>8</v>
      </c>
      <c r="U27" s="142">
        <f>BTU!O28</f>
        <v>1.6469999999999345</v>
      </c>
      <c r="V27" s="142">
        <f>BTU!L28</f>
        <v>2.2299999999995634</v>
      </c>
      <c r="W27" s="142">
        <f>BTU!R28</f>
        <v>2.1100000000005821</v>
      </c>
      <c r="X27" s="35">
        <f>ELECT.!B28</f>
        <v>213</v>
      </c>
      <c r="Y27" s="35">
        <f t="shared" si="0"/>
        <v>-3498</v>
      </c>
      <c r="Z27">
        <f>'Mall, Citadel, Rotana'!C28+'Mall, Citadel, Rotana'!E28+'Mall, Citadel, Rotana'!G28+'Mall, Citadel, Rotana'!I28</f>
        <v>1685</v>
      </c>
      <c r="AA27">
        <f>'Mall, Citadel, Rotana'!K28+'Mall, Citadel, Rotana'!M28</f>
        <v>351</v>
      </c>
      <c r="AB27">
        <f>'Mall, Citadel, Rotana'!O28</f>
        <v>3</v>
      </c>
      <c r="AC27">
        <f>'Mall, Citadel, Rotana'!Q28+'Mall, Citadel, Rotana'!S28</f>
        <v>0</v>
      </c>
      <c r="AD27" s="35">
        <f t="shared" si="1"/>
        <v>95.103189600000007</v>
      </c>
      <c r="AE27" s="35">
        <f t="shared" si="2"/>
        <v>626.46881039999994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 t="str">
        <f>ELECT.!F29</f>
        <v>0</v>
      </c>
      <c r="J28" s="37" t="str">
        <f>ELECT.!H29</f>
        <v>0</v>
      </c>
      <c r="K28" s="37">
        <f>ELECT.!K29</f>
        <v>0</v>
      </c>
      <c r="L28" s="37" t="str">
        <f>ELECT.!M29</f>
        <v>0</v>
      </c>
      <c r="M28" s="37">
        <f>ELECT.!O29</f>
        <v>0</v>
      </c>
      <c r="N28" s="37" t="str">
        <f>ELECT.!Q29</f>
        <v>0</v>
      </c>
      <c r="O28" s="37" t="str">
        <f>ELECT.!S29</f>
        <v>0</v>
      </c>
      <c r="P28" s="37">
        <f>ELECT.!W29*2</f>
        <v>0</v>
      </c>
      <c r="Q28" s="37">
        <f>ELECT.!D29</f>
        <v>0</v>
      </c>
      <c r="R28" s="142" t="str">
        <f>BTU!C29</f>
        <v>0</v>
      </c>
      <c r="S28" s="142" t="str">
        <f>BTU!F29</f>
        <v>0</v>
      </c>
      <c r="T28" s="142" t="str">
        <f>BTU!I29</f>
        <v>0</v>
      </c>
      <c r="U28" s="142" t="str">
        <f>BTU!O29</f>
        <v>0</v>
      </c>
      <c r="V28" s="142" t="str">
        <f>BTU!L29</f>
        <v>0</v>
      </c>
      <c r="W28" s="142" t="str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8" sqref="U2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5" thickBot="1" x14ac:dyDescent="0.25">
      <c r="A22" s="9">
        <v>44732</v>
      </c>
      <c r="B22" s="32">
        <v>47182</v>
      </c>
      <c r="C22" s="14">
        <f t="shared" si="9"/>
        <v>800</v>
      </c>
      <c r="D22" s="32">
        <v>40702</v>
      </c>
      <c r="E22" s="14">
        <f t="shared" si="1"/>
        <v>480</v>
      </c>
      <c r="F22" s="32">
        <v>21758</v>
      </c>
      <c r="G22" s="14">
        <f t="shared" si="2"/>
        <v>60</v>
      </c>
      <c r="H22" s="32">
        <v>255795</v>
      </c>
      <c r="I22" s="14">
        <f t="shared" si="3"/>
        <v>21</v>
      </c>
      <c r="J22" s="32">
        <v>319601</v>
      </c>
      <c r="K22" s="14">
        <f t="shared" si="4"/>
        <v>167</v>
      </c>
      <c r="L22" s="32">
        <v>26234</v>
      </c>
      <c r="M22" s="14">
        <f t="shared" si="5"/>
        <v>180</v>
      </c>
      <c r="N22" s="32">
        <v>226100</v>
      </c>
      <c r="O22" s="14">
        <f t="shared" si="6"/>
        <v>3</v>
      </c>
      <c r="P22" s="32">
        <v>157148</v>
      </c>
      <c r="Q22" s="14">
        <f t="shared" si="0"/>
        <v>244</v>
      </c>
      <c r="R22" s="1">
        <f t="shared" si="10"/>
        <v>55047</v>
      </c>
      <c r="S22" s="14">
        <f t="shared" si="7"/>
        <v>0</v>
      </c>
      <c r="T22" s="32">
        <v>4009</v>
      </c>
      <c r="U22" s="14">
        <f t="shared" si="8"/>
        <v>0</v>
      </c>
    </row>
    <row r="23" spans="1:23" ht="13.5" thickBot="1" x14ac:dyDescent="0.25">
      <c r="A23" s="9">
        <v>44733</v>
      </c>
      <c r="B23" s="32">
        <v>47186</v>
      </c>
      <c r="C23" s="14">
        <f t="shared" si="9"/>
        <v>640</v>
      </c>
      <c r="D23" s="32">
        <v>40705</v>
      </c>
      <c r="E23" s="14">
        <f t="shared" si="1"/>
        <v>480</v>
      </c>
      <c r="F23" s="32">
        <v>21761</v>
      </c>
      <c r="G23" s="14">
        <f t="shared" si="2"/>
        <v>60</v>
      </c>
      <c r="H23" s="32">
        <v>255819</v>
      </c>
      <c r="I23" s="14">
        <f t="shared" si="3"/>
        <v>24</v>
      </c>
      <c r="J23" s="32">
        <v>319767</v>
      </c>
      <c r="K23" s="14">
        <f t="shared" si="4"/>
        <v>166</v>
      </c>
      <c r="L23" s="32">
        <v>26237</v>
      </c>
      <c r="M23" s="14">
        <f t="shared" si="5"/>
        <v>180</v>
      </c>
      <c r="N23" s="32">
        <v>226103</v>
      </c>
      <c r="O23" s="14">
        <f t="shared" si="6"/>
        <v>3</v>
      </c>
      <c r="P23" s="32">
        <v>157404</v>
      </c>
      <c r="Q23" s="14">
        <f t="shared" si="0"/>
        <v>256</v>
      </c>
      <c r="R23" s="1">
        <f t="shared" si="10"/>
        <v>55047</v>
      </c>
      <c r="S23" s="14">
        <f t="shared" si="7"/>
        <v>0</v>
      </c>
      <c r="T23" s="32">
        <v>4010</v>
      </c>
      <c r="U23" s="14">
        <f t="shared" si="8"/>
        <v>160</v>
      </c>
    </row>
    <row r="24" spans="1:23" s="132" customFormat="1" ht="13.5" thickBot="1" x14ac:dyDescent="0.25">
      <c r="A24" s="9">
        <v>44734</v>
      </c>
      <c r="B24" s="32">
        <v>47191</v>
      </c>
      <c r="C24" s="14">
        <f t="shared" si="9"/>
        <v>800</v>
      </c>
      <c r="D24" s="32">
        <v>40709</v>
      </c>
      <c r="E24" s="14">
        <f t="shared" si="1"/>
        <v>640</v>
      </c>
      <c r="F24" s="32">
        <v>21764</v>
      </c>
      <c r="G24" s="14">
        <f t="shared" si="2"/>
        <v>60</v>
      </c>
      <c r="H24" s="32">
        <v>255868</v>
      </c>
      <c r="I24" s="14">
        <f t="shared" si="3"/>
        <v>49</v>
      </c>
      <c r="J24" s="32">
        <v>319936</v>
      </c>
      <c r="K24" s="14">
        <f t="shared" si="4"/>
        <v>169</v>
      </c>
      <c r="L24" s="32">
        <v>26241</v>
      </c>
      <c r="M24" s="14">
        <f t="shared" si="5"/>
        <v>240</v>
      </c>
      <c r="N24" s="32">
        <v>226106</v>
      </c>
      <c r="O24" s="14">
        <f t="shared" si="6"/>
        <v>3</v>
      </c>
      <c r="P24" s="32">
        <v>157650</v>
      </c>
      <c r="Q24" s="14">
        <f t="shared" si="0"/>
        <v>246</v>
      </c>
      <c r="R24" s="1">
        <f t="shared" si="10"/>
        <v>55047</v>
      </c>
      <c r="S24" s="14">
        <f t="shared" si="7"/>
        <v>0</v>
      </c>
      <c r="T24" s="32">
        <v>4011</v>
      </c>
      <c r="U24" s="14">
        <f t="shared" si="8"/>
        <v>160</v>
      </c>
    </row>
    <row r="25" spans="1:23" ht="13.5" thickBot="1" x14ac:dyDescent="0.25">
      <c r="A25" s="9">
        <v>44735</v>
      </c>
      <c r="B25" s="32">
        <v>47196</v>
      </c>
      <c r="C25" s="14">
        <f t="shared" si="9"/>
        <v>800</v>
      </c>
      <c r="D25" s="32">
        <v>40712</v>
      </c>
      <c r="E25" s="14">
        <f t="shared" si="1"/>
        <v>480</v>
      </c>
      <c r="F25" s="32">
        <v>21768</v>
      </c>
      <c r="G25" s="14">
        <f t="shared" si="2"/>
        <v>80</v>
      </c>
      <c r="H25" s="32">
        <v>255889</v>
      </c>
      <c r="I25" s="14">
        <f t="shared" si="3"/>
        <v>21</v>
      </c>
      <c r="J25" s="32">
        <v>320103</v>
      </c>
      <c r="K25" s="14">
        <f t="shared" si="4"/>
        <v>167</v>
      </c>
      <c r="L25" s="32">
        <v>26244</v>
      </c>
      <c r="M25" s="14">
        <f t="shared" si="5"/>
        <v>180</v>
      </c>
      <c r="N25" s="32">
        <v>226110</v>
      </c>
      <c r="O25" s="14">
        <f t="shared" si="6"/>
        <v>4</v>
      </c>
      <c r="P25" s="32">
        <v>157901</v>
      </c>
      <c r="Q25" s="14">
        <f t="shared" si="0"/>
        <v>251</v>
      </c>
      <c r="R25" s="1">
        <f t="shared" si="10"/>
        <v>55047</v>
      </c>
      <c r="S25" s="14">
        <f t="shared" si="7"/>
        <v>0</v>
      </c>
      <c r="T25" s="32">
        <v>4011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v>47201</v>
      </c>
      <c r="C26" s="14">
        <f t="shared" si="9"/>
        <v>800</v>
      </c>
      <c r="D26" s="32">
        <v>40715</v>
      </c>
      <c r="E26" s="14">
        <f t="shared" si="1"/>
        <v>480</v>
      </c>
      <c r="F26" s="32">
        <v>21772</v>
      </c>
      <c r="G26" s="14">
        <f t="shared" si="2"/>
        <v>80</v>
      </c>
      <c r="H26" s="32">
        <v>255917</v>
      </c>
      <c r="I26" s="14">
        <f t="shared" si="3"/>
        <v>28</v>
      </c>
      <c r="J26" s="32">
        <v>320205</v>
      </c>
      <c r="K26" s="14">
        <f t="shared" si="4"/>
        <v>102</v>
      </c>
      <c r="L26" s="32">
        <v>26246</v>
      </c>
      <c r="M26" s="14">
        <f t="shared" si="5"/>
        <v>120</v>
      </c>
      <c r="N26" s="32">
        <v>226113</v>
      </c>
      <c r="O26" s="14">
        <f t="shared" si="6"/>
        <v>3</v>
      </c>
      <c r="P26" s="32">
        <f t="shared" si="12"/>
        <v>157901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v>4012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44737</v>
      </c>
      <c r="B27" s="32">
        <v>47205</v>
      </c>
      <c r="C27" s="14">
        <f t="shared" si="9"/>
        <v>640</v>
      </c>
      <c r="D27" s="32">
        <v>40718</v>
      </c>
      <c r="E27" s="14">
        <f t="shared" si="1"/>
        <v>480</v>
      </c>
      <c r="F27" s="32">
        <v>21776</v>
      </c>
      <c r="G27" s="14">
        <f t="shared" si="2"/>
        <v>80</v>
      </c>
      <c r="H27" s="32">
        <v>255962</v>
      </c>
      <c r="I27" s="14">
        <f t="shared" si="3"/>
        <v>45</v>
      </c>
      <c r="J27" s="32">
        <v>320346</v>
      </c>
      <c r="K27" s="14">
        <f t="shared" si="4"/>
        <v>141</v>
      </c>
      <c r="L27" s="32">
        <v>26249</v>
      </c>
      <c r="M27" s="14">
        <f t="shared" si="5"/>
        <v>180</v>
      </c>
      <c r="N27" s="32">
        <v>226116</v>
      </c>
      <c r="O27" s="14">
        <f t="shared" si="6"/>
        <v>3</v>
      </c>
      <c r="P27" s="32">
        <v>157805</v>
      </c>
      <c r="Q27" s="14">
        <f t="shared" si="0"/>
        <v>-96</v>
      </c>
      <c r="R27" s="1">
        <f t="shared" si="10"/>
        <v>55047</v>
      </c>
      <c r="S27" s="14">
        <f t="shared" si="7"/>
        <v>0</v>
      </c>
      <c r="T27" s="32">
        <v>4012</v>
      </c>
      <c r="U27" s="14">
        <f>(T27-T26)*800/5</f>
        <v>0</v>
      </c>
    </row>
    <row r="28" spans="1:23" ht="13.5" thickBot="1" x14ac:dyDescent="0.25">
      <c r="A28" s="9">
        <v>44738</v>
      </c>
      <c r="B28" s="32">
        <v>47210</v>
      </c>
      <c r="C28" s="14">
        <f t="shared" si="9"/>
        <v>800</v>
      </c>
      <c r="D28" s="32">
        <v>40723</v>
      </c>
      <c r="E28" s="14">
        <f t="shared" si="1"/>
        <v>800</v>
      </c>
      <c r="F28" s="32">
        <v>21779</v>
      </c>
      <c r="G28" s="14">
        <f t="shared" si="2"/>
        <v>60</v>
      </c>
      <c r="H28" s="32">
        <v>255987</v>
      </c>
      <c r="I28" s="14">
        <f t="shared" si="3"/>
        <v>25</v>
      </c>
      <c r="J28" s="32">
        <v>320517</v>
      </c>
      <c r="K28" s="14">
        <f t="shared" si="4"/>
        <v>171</v>
      </c>
      <c r="L28" s="32">
        <v>26252</v>
      </c>
      <c r="M28" s="14">
        <f t="shared" si="5"/>
        <v>180</v>
      </c>
      <c r="N28" s="32">
        <v>226119</v>
      </c>
      <c r="O28" s="14">
        <f t="shared" si="6"/>
        <v>3</v>
      </c>
      <c r="P28" s="32">
        <f t="shared" si="12"/>
        <v>157805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v>4013</v>
      </c>
      <c r="U28" s="14">
        <f t="shared" si="8"/>
        <v>160</v>
      </c>
    </row>
    <row r="29" spans="1:23" ht="13.5" thickBot="1" x14ac:dyDescent="0.25">
      <c r="A29" s="9">
        <v>44739</v>
      </c>
      <c r="B29" s="32">
        <f t="shared" ref="B29:B32" si="17">B28</f>
        <v>47210</v>
      </c>
      <c r="C29" s="14">
        <f t="shared" si="9"/>
        <v>0</v>
      </c>
      <c r="D29" s="32">
        <f t="shared" ref="D29:D32" si="18">D28</f>
        <v>40723</v>
      </c>
      <c r="E29" s="14">
        <f t="shared" si="1"/>
        <v>0</v>
      </c>
      <c r="F29" s="32">
        <f t="shared" ref="F29:F32" si="19">F28</f>
        <v>21779</v>
      </c>
      <c r="G29" s="14">
        <f t="shared" si="2"/>
        <v>0</v>
      </c>
      <c r="H29" s="32">
        <f t="shared" ref="H29:H32" si="20">H28</f>
        <v>255987</v>
      </c>
      <c r="I29" s="14">
        <f t="shared" si="3"/>
        <v>0</v>
      </c>
      <c r="J29" s="32">
        <f t="shared" ref="J29:J32" si="21">J28</f>
        <v>320517</v>
      </c>
      <c r="K29" s="14">
        <f t="shared" si="4"/>
        <v>0</v>
      </c>
      <c r="L29" s="32">
        <f t="shared" ref="L29:L32" si="22">L28</f>
        <v>26252</v>
      </c>
      <c r="M29" s="14">
        <f t="shared" si="5"/>
        <v>0</v>
      </c>
      <c r="N29" s="32">
        <f t="shared" ref="N29:N32" si="23">N28</f>
        <v>226119</v>
      </c>
      <c r="O29" s="14">
        <f t="shared" si="6"/>
        <v>0</v>
      </c>
      <c r="P29" s="32">
        <f t="shared" si="12"/>
        <v>157805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4013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47210</v>
      </c>
      <c r="C30" s="14">
        <f t="shared" si="9"/>
        <v>0</v>
      </c>
      <c r="D30" s="32">
        <f t="shared" si="18"/>
        <v>40723</v>
      </c>
      <c r="E30" s="14">
        <f t="shared" si="1"/>
        <v>0</v>
      </c>
      <c r="F30" s="32">
        <f t="shared" si="19"/>
        <v>21779</v>
      </c>
      <c r="G30" s="14">
        <f t="shared" si="2"/>
        <v>0</v>
      </c>
      <c r="H30" s="32">
        <f t="shared" si="20"/>
        <v>255987</v>
      </c>
      <c r="I30" s="14">
        <f t="shared" si="3"/>
        <v>0</v>
      </c>
      <c r="J30" s="32">
        <f t="shared" si="21"/>
        <v>320517</v>
      </c>
      <c r="K30" s="14">
        <f t="shared" si="4"/>
        <v>0</v>
      </c>
      <c r="L30" s="32">
        <f t="shared" si="22"/>
        <v>26252</v>
      </c>
      <c r="M30" s="14">
        <f t="shared" si="5"/>
        <v>0</v>
      </c>
      <c r="N30" s="32">
        <f t="shared" si="23"/>
        <v>226119</v>
      </c>
      <c r="O30" s="14">
        <f t="shared" si="6"/>
        <v>0</v>
      </c>
      <c r="P30" s="32">
        <f t="shared" si="12"/>
        <v>157805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4013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47210</v>
      </c>
      <c r="C31" s="14">
        <f t="shared" si="9"/>
        <v>0</v>
      </c>
      <c r="D31" s="32">
        <f t="shared" si="18"/>
        <v>40723</v>
      </c>
      <c r="E31" s="14">
        <f t="shared" si="1"/>
        <v>0</v>
      </c>
      <c r="F31" s="32">
        <f t="shared" si="19"/>
        <v>21779</v>
      </c>
      <c r="G31" s="14">
        <f t="shared" si="2"/>
        <v>0</v>
      </c>
      <c r="H31" s="32">
        <f t="shared" si="20"/>
        <v>255987</v>
      </c>
      <c r="I31" s="14">
        <f t="shared" si="3"/>
        <v>0</v>
      </c>
      <c r="J31" s="32">
        <f t="shared" si="21"/>
        <v>320517</v>
      </c>
      <c r="K31" s="14">
        <f t="shared" si="4"/>
        <v>0</v>
      </c>
      <c r="L31" s="32">
        <f t="shared" si="22"/>
        <v>26252</v>
      </c>
      <c r="M31" s="14">
        <f t="shared" si="5"/>
        <v>0</v>
      </c>
      <c r="N31" s="32">
        <f t="shared" si="23"/>
        <v>226119</v>
      </c>
      <c r="O31" s="14">
        <f t="shared" si="6"/>
        <v>0</v>
      </c>
      <c r="P31" s="32">
        <f t="shared" si="12"/>
        <v>157805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4013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47210</v>
      </c>
      <c r="C32" s="14">
        <f t="shared" si="9"/>
        <v>0</v>
      </c>
      <c r="D32" s="32">
        <f t="shared" si="18"/>
        <v>40723</v>
      </c>
      <c r="E32" s="14">
        <f t="shared" si="1"/>
        <v>0</v>
      </c>
      <c r="F32" s="32">
        <f t="shared" si="19"/>
        <v>21779</v>
      </c>
      <c r="G32" s="14">
        <f t="shared" si="2"/>
        <v>0</v>
      </c>
      <c r="H32" s="32">
        <f t="shared" si="20"/>
        <v>255987</v>
      </c>
      <c r="I32" s="14">
        <f t="shared" si="3"/>
        <v>0</v>
      </c>
      <c r="J32" s="32">
        <f t="shared" si="21"/>
        <v>320517</v>
      </c>
      <c r="K32" s="14">
        <f t="shared" si="4"/>
        <v>0</v>
      </c>
      <c r="L32" s="32">
        <f t="shared" si="22"/>
        <v>26252</v>
      </c>
      <c r="M32" s="14">
        <f t="shared" si="5"/>
        <v>0</v>
      </c>
      <c r="N32" s="32">
        <f t="shared" si="23"/>
        <v>226119</v>
      </c>
      <c r="O32" s="14">
        <f t="shared" si="6"/>
        <v>0</v>
      </c>
      <c r="P32" s="32">
        <f t="shared" si="12"/>
        <v>157805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4013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19680</v>
      </c>
      <c r="D33" s="11"/>
      <c r="E33" s="14">
        <f>SUM(E3:E32)</f>
        <v>13600</v>
      </c>
      <c r="F33" s="11"/>
      <c r="G33" s="14">
        <f>SUM(G3:G32)</f>
        <v>1840</v>
      </c>
      <c r="H33" s="11"/>
      <c r="I33" s="14">
        <f>SUM(I3:I32)</f>
        <v>688</v>
      </c>
      <c r="J33" s="11"/>
      <c r="K33" s="14">
        <f>SUM(K3:K32)</f>
        <v>4113</v>
      </c>
      <c r="L33" s="11"/>
      <c r="M33" s="14">
        <f>SUM(M3:M32)</f>
        <v>4860</v>
      </c>
      <c r="N33" s="33"/>
      <c r="O33" s="14">
        <f>SUM(O3:O32)</f>
        <v>83</v>
      </c>
      <c r="P33" s="32"/>
      <c r="Q33" s="14">
        <f>SUM(Q3:Q32)</f>
        <v>3439</v>
      </c>
      <c r="R33" s="1"/>
      <c r="S33" s="14">
        <f>SUM(S3:S32)</f>
        <v>0</v>
      </c>
      <c r="T33" s="1"/>
      <c r="U33" s="14">
        <f>SUM(U3:U32)</f>
        <v>2560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29" sqref="B2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si="10"/>
        <v>6760</v>
      </c>
      <c r="Z13" s="3">
        <f t="shared" ref="Z13" si="24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145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5" thickBot="1" x14ac:dyDescent="0.3">
      <c r="A22" s="9">
        <v>44732</v>
      </c>
      <c r="B22" s="39">
        <v>324</v>
      </c>
      <c r="C22" s="145">
        <v>19756</v>
      </c>
      <c r="D22" s="39">
        <f t="shared" si="1"/>
        <v>480</v>
      </c>
      <c r="E22" s="146">
        <v>31529162</v>
      </c>
      <c r="F22" s="39">
        <f t="shared" si="2"/>
        <v>25290</v>
      </c>
      <c r="G22" s="147">
        <v>708745</v>
      </c>
      <c r="H22" s="39">
        <f t="shared" si="3"/>
        <v>62556</v>
      </c>
      <c r="I22" s="148">
        <f t="shared" si="4"/>
        <v>87846</v>
      </c>
      <c r="J22" s="146">
        <v>25272</v>
      </c>
      <c r="K22" s="39">
        <f t="shared" si="12"/>
        <v>11842</v>
      </c>
      <c r="L22" s="149">
        <v>231055</v>
      </c>
      <c r="M22" s="39">
        <f t="shared" si="5"/>
        <v>7919</v>
      </c>
      <c r="N22" s="146">
        <v>6792942</v>
      </c>
      <c r="O22" s="39">
        <f t="shared" si="13"/>
        <v>17160</v>
      </c>
      <c r="P22" s="149">
        <v>6903575</v>
      </c>
      <c r="Q22" s="39">
        <f t="shared" si="6"/>
        <v>18534</v>
      </c>
      <c r="R22" s="146">
        <v>21438494</v>
      </c>
      <c r="S22" s="39">
        <f t="shared" si="7"/>
        <v>12328</v>
      </c>
      <c r="T22" s="146">
        <v>0</v>
      </c>
      <c r="U22" s="150"/>
      <c r="V22" s="146">
        <v>9388410</v>
      </c>
      <c r="W22" s="39">
        <f t="shared" si="8"/>
        <v>13886</v>
      </c>
      <c r="X22" s="19">
        <f t="shared" si="9"/>
        <v>81669</v>
      </c>
      <c r="Y22" s="151">
        <f t="shared" si="10"/>
        <v>6177</v>
      </c>
      <c r="Z22" s="3">
        <f t="shared" si="11"/>
        <v>11529.885244800002</v>
      </c>
      <c r="AA22" s="3">
        <f>SUM(Z1:Z22)</f>
        <v>189354.34720800005</v>
      </c>
    </row>
    <row r="23" spans="1:27" ht="16.5" thickBot="1" x14ac:dyDescent="0.3">
      <c r="A23" s="9">
        <v>44733</v>
      </c>
      <c r="B23" s="39">
        <v>324</v>
      </c>
      <c r="C23" s="145">
        <v>19760</v>
      </c>
      <c r="D23" s="39">
        <f t="shared" si="1"/>
        <v>640</v>
      </c>
      <c r="E23" s="146">
        <v>31546120</v>
      </c>
      <c r="F23" s="39">
        <f t="shared" si="2"/>
        <v>16958</v>
      </c>
      <c r="G23" s="147">
        <v>751160</v>
      </c>
      <c r="H23" s="39">
        <f t="shared" si="3"/>
        <v>42415</v>
      </c>
      <c r="I23" s="148">
        <f t="shared" si="4"/>
        <v>59373</v>
      </c>
      <c r="J23" s="146">
        <v>29620</v>
      </c>
      <c r="K23" s="39">
        <f t="shared" si="12"/>
        <v>8696</v>
      </c>
      <c r="L23" s="149">
        <v>236408</v>
      </c>
      <c r="M23" s="39">
        <f t="shared" si="5"/>
        <v>5353</v>
      </c>
      <c r="N23" s="146">
        <v>6798658</v>
      </c>
      <c r="O23" s="39">
        <f t="shared" si="13"/>
        <v>11432</v>
      </c>
      <c r="P23" s="149">
        <v>6913672</v>
      </c>
      <c r="Q23" s="39">
        <f t="shared" si="6"/>
        <v>10097</v>
      </c>
      <c r="R23" s="146">
        <v>21446792</v>
      </c>
      <c r="S23" s="39">
        <f t="shared" si="7"/>
        <v>8298</v>
      </c>
      <c r="T23" s="146">
        <v>0</v>
      </c>
      <c r="U23" s="150"/>
      <c r="V23" s="146">
        <v>9397774</v>
      </c>
      <c r="W23" s="39">
        <f t="shared" si="8"/>
        <v>9364</v>
      </c>
      <c r="X23" s="19">
        <f t="shared" si="9"/>
        <v>53240</v>
      </c>
      <c r="Y23" s="151">
        <f t="shared" si="10"/>
        <v>6133</v>
      </c>
      <c r="Z23" s="3">
        <f t="shared" si="11"/>
        <v>7403.5461344000005</v>
      </c>
      <c r="AA23" s="3">
        <f>SUM(Z1:Z23)</f>
        <v>196757.89334240006</v>
      </c>
    </row>
    <row r="24" spans="1:27" ht="16.5" thickBot="1" x14ac:dyDescent="0.3">
      <c r="A24" s="9">
        <v>44734</v>
      </c>
      <c r="B24" s="39">
        <v>137</v>
      </c>
      <c r="C24" s="145">
        <v>19764</v>
      </c>
      <c r="D24" s="39">
        <f t="shared" si="1"/>
        <v>640</v>
      </c>
      <c r="E24" s="146">
        <v>31568036</v>
      </c>
      <c r="F24" s="39">
        <f t="shared" si="2"/>
        <v>21916</v>
      </c>
      <c r="G24" s="147">
        <v>804513</v>
      </c>
      <c r="H24" s="39">
        <f t="shared" si="3"/>
        <v>53353</v>
      </c>
      <c r="I24" s="148">
        <f t="shared" si="4"/>
        <v>75269</v>
      </c>
      <c r="J24" s="146">
        <v>34845</v>
      </c>
      <c r="K24" s="39">
        <f t="shared" si="12"/>
        <v>10450</v>
      </c>
      <c r="L24" s="149">
        <v>243232</v>
      </c>
      <c r="M24" s="39">
        <f t="shared" si="5"/>
        <v>6824</v>
      </c>
      <c r="N24" s="146">
        <v>6806116</v>
      </c>
      <c r="O24" s="39">
        <f t="shared" si="13"/>
        <v>14916</v>
      </c>
      <c r="P24" s="149">
        <v>6926638</v>
      </c>
      <c r="Q24" s="39">
        <f t="shared" si="6"/>
        <v>12966</v>
      </c>
      <c r="R24" s="146">
        <v>21457188</v>
      </c>
      <c r="S24" s="39">
        <f t="shared" si="7"/>
        <v>10396</v>
      </c>
      <c r="T24" s="146">
        <v>0</v>
      </c>
      <c r="U24" s="150"/>
      <c r="V24" s="146">
        <v>9409573</v>
      </c>
      <c r="W24" s="39">
        <f t="shared" si="8"/>
        <v>11799</v>
      </c>
      <c r="X24" s="19">
        <f t="shared" si="9"/>
        <v>67351</v>
      </c>
      <c r="Y24" s="151">
        <f t="shared" si="10"/>
        <v>7918</v>
      </c>
      <c r="Z24" s="3">
        <f t="shared" si="11"/>
        <v>9423.48524</v>
      </c>
      <c r="AA24" s="3">
        <f>SUM(Z1:Z24)</f>
        <v>206181.37858240007</v>
      </c>
    </row>
    <row r="25" spans="1:27" ht="16.5" thickBot="1" x14ac:dyDescent="0.3">
      <c r="A25" s="9">
        <v>44735</v>
      </c>
      <c r="B25" s="39">
        <v>200</v>
      </c>
      <c r="C25" s="145">
        <v>19768</v>
      </c>
      <c r="D25" s="39">
        <f t="shared" si="1"/>
        <v>640</v>
      </c>
      <c r="E25" s="146">
        <v>31587953</v>
      </c>
      <c r="F25" s="39">
        <f t="shared" si="2"/>
        <v>19917</v>
      </c>
      <c r="G25" s="147">
        <v>852788</v>
      </c>
      <c r="H25" s="39">
        <f t="shared" si="3"/>
        <v>48275</v>
      </c>
      <c r="I25" s="148">
        <f t="shared" si="4"/>
        <v>68192</v>
      </c>
      <c r="J25" s="146">
        <v>39434</v>
      </c>
      <c r="K25" s="39">
        <f t="shared" si="12"/>
        <v>9178</v>
      </c>
      <c r="L25" s="149">
        <v>249394</v>
      </c>
      <c r="M25" s="39">
        <f t="shared" si="5"/>
        <v>6162</v>
      </c>
      <c r="N25" s="146">
        <v>6812892</v>
      </c>
      <c r="O25" s="39">
        <f t="shared" si="13"/>
        <v>13552</v>
      </c>
      <c r="P25" s="149">
        <v>6938549</v>
      </c>
      <c r="Q25" s="39">
        <f t="shared" si="6"/>
        <v>11911</v>
      </c>
      <c r="R25" s="146">
        <v>21466598</v>
      </c>
      <c r="S25" s="39">
        <f t="shared" si="7"/>
        <v>9410</v>
      </c>
      <c r="T25" s="146">
        <v>0</v>
      </c>
      <c r="U25" s="150"/>
      <c r="V25" s="146">
        <v>9420227</v>
      </c>
      <c r="W25" s="39">
        <f t="shared" si="8"/>
        <v>10654</v>
      </c>
      <c r="X25" s="19">
        <f t="shared" si="9"/>
        <v>60867</v>
      </c>
      <c r="Y25" s="151">
        <f t="shared" si="10"/>
        <v>7325</v>
      </c>
      <c r="Z25" s="3">
        <f t="shared" si="11"/>
        <v>8556.0653567999998</v>
      </c>
      <c r="AA25" s="3">
        <f>SUM(Z1:Z25)</f>
        <v>214737.44393920008</v>
      </c>
    </row>
    <row r="26" spans="1:27" ht="16.5" thickBot="1" x14ac:dyDescent="0.3">
      <c r="A26" s="9">
        <v>44736</v>
      </c>
      <c r="B26" s="39">
        <v>240</v>
      </c>
      <c r="C26" s="145">
        <v>19773</v>
      </c>
      <c r="D26" s="39">
        <f t="shared" si="1"/>
        <v>800</v>
      </c>
      <c r="E26" s="146">
        <v>31614072</v>
      </c>
      <c r="F26" s="39">
        <f t="shared" si="2"/>
        <v>26119</v>
      </c>
      <c r="G26" s="147">
        <v>914973</v>
      </c>
      <c r="H26" s="39">
        <f t="shared" si="3"/>
        <v>62185</v>
      </c>
      <c r="I26" s="148">
        <f t="shared" si="4"/>
        <v>88304</v>
      </c>
      <c r="J26" s="146">
        <v>44268</v>
      </c>
      <c r="K26" s="39">
        <f t="shared" si="12"/>
        <v>9668</v>
      </c>
      <c r="L26" s="149">
        <v>257345</v>
      </c>
      <c r="M26" s="39">
        <f t="shared" si="5"/>
        <v>7951</v>
      </c>
      <c r="N26" s="146">
        <v>6821863</v>
      </c>
      <c r="O26" s="39">
        <f t="shared" si="13"/>
        <v>17942</v>
      </c>
      <c r="P26" s="149">
        <v>6954526</v>
      </c>
      <c r="Q26" s="39">
        <f t="shared" si="6"/>
        <v>15977</v>
      </c>
      <c r="R26" s="146">
        <v>21478765</v>
      </c>
      <c r="S26" s="39">
        <f t="shared" si="7"/>
        <v>12167</v>
      </c>
      <c r="T26" s="146">
        <v>0</v>
      </c>
      <c r="U26" s="150"/>
      <c r="V26" s="146">
        <v>9434192</v>
      </c>
      <c r="W26" s="39">
        <f t="shared" si="8"/>
        <v>13965</v>
      </c>
      <c r="X26" s="19">
        <f t="shared" si="9"/>
        <v>77670</v>
      </c>
      <c r="Y26" s="151">
        <f t="shared" si="10"/>
        <v>10634</v>
      </c>
      <c r="Z26" s="3">
        <f t="shared" si="11"/>
        <v>11253.019398400002</v>
      </c>
      <c r="AA26" s="3">
        <f>SUM(Z1:Z26)</f>
        <v>225990.46333760009</v>
      </c>
    </row>
    <row r="27" spans="1:27" ht="16.5" thickBot="1" x14ac:dyDescent="0.3">
      <c r="A27" s="9">
        <v>44737</v>
      </c>
      <c r="B27" s="39">
        <v>169</v>
      </c>
      <c r="C27" s="145">
        <v>19778</v>
      </c>
      <c r="D27" s="39">
        <f t="shared" si="1"/>
        <v>800</v>
      </c>
      <c r="E27" s="146">
        <v>31636668</v>
      </c>
      <c r="F27" s="39">
        <f t="shared" si="2"/>
        <v>22596</v>
      </c>
      <c r="G27" s="147">
        <v>971819</v>
      </c>
      <c r="H27" s="39">
        <f t="shared" si="3"/>
        <v>56846</v>
      </c>
      <c r="I27" s="148">
        <f t="shared" si="4"/>
        <v>79442</v>
      </c>
      <c r="J27" s="146">
        <v>48606</v>
      </c>
      <c r="K27" s="39">
        <f t="shared" si="12"/>
        <v>8676</v>
      </c>
      <c r="L27" s="149">
        <v>264459</v>
      </c>
      <c r="M27" s="39">
        <f t="shared" si="5"/>
        <v>7114</v>
      </c>
      <c r="N27" s="146">
        <v>6829490</v>
      </c>
      <c r="O27" s="39">
        <f t="shared" si="13"/>
        <v>15254</v>
      </c>
      <c r="P27" s="149">
        <v>6968985</v>
      </c>
      <c r="Q27" s="39">
        <f t="shared" si="6"/>
        <v>14459</v>
      </c>
      <c r="R27" s="146">
        <v>21490090</v>
      </c>
      <c r="S27" s="39">
        <f t="shared" si="7"/>
        <v>11325</v>
      </c>
      <c r="T27" s="146">
        <v>0</v>
      </c>
      <c r="U27" s="150"/>
      <c r="V27" s="146">
        <v>9446991</v>
      </c>
      <c r="W27" s="39">
        <f t="shared" si="8"/>
        <v>12799</v>
      </c>
      <c r="X27" s="19">
        <f t="shared" si="9"/>
        <v>69627</v>
      </c>
      <c r="Y27" s="151">
        <f t="shared" si="10"/>
        <v>9815</v>
      </c>
      <c r="Z27" s="3">
        <f t="shared" si="11"/>
        <v>10156.753068800001</v>
      </c>
      <c r="AA27" s="3">
        <f>SUM(Z1:Z27)</f>
        <v>236147.21640640008</v>
      </c>
    </row>
    <row r="28" spans="1:27" ht="16.5" thickBot="1" x14ac:dyDescent="0.3">
      <c r="A28" s="9">
        <v>44738</v>
      </c>
      <c r="B28" s="39">
        <v>213</v>
      </c>
      <c r="C28" s="145">
        <v>19783</v>
      </c>
      <c r="D28" s="39">
        <f t="shared" si="1"/>
        <v>800</v>
      </c>
      <c r="E28" s="146">
        <v>31657739</v>
      </c>
      <c r="F28" s="39">
        <f t="shared" si="2"/>
        <v>21071</v>
      </c>
      <c r="G28" s="147">
        <v>1025590</v>
      </c>
      <c r="H28" s="39">
        <f t="shared" si="3"/>
        <v>53771</v>
      </c>
      <c r="I28" s="148">
        <f t="shared" si="4"/>
        <v>74842</v>
      </c>
      <c r="J28" s="146">
        <v>53405</v>
      </c>
      <c r="K28" s="39">
        <f t="shared" si="12"/>
        <v>9598</v>
      </c>
      <c r="L28" s="149">
        <v>271247</v>
      </c>
      <c r="M28" s="39">
        <f t="shared" si="5"/>
        <v>6788</v>
      </c>
      <c r="N28" s="146">
        <v>6836552</v>
      </c>
      <c r="O28" s="39">
        <f t="shared" si="13"/>
        <v>14124</v>
      </c>
      <c r="P28" s="149">
        <v>6982232</v>
      </c>
      <c r="Q28" s="39">
        <f t="shared" si="6"/>
        <v>13247</v>
      </c>
      <c r="R28" s="146">
        <v>21500567</v>
      </c>
      <c r="S28" s="39">
        <f t="shared" si="7"/>
        <v>10477</v>
      </c>
      <c r="T28" s="146">
        <v>0</v>
      </c>
      <c r="U28" s="150"/>
      <c r="V28" s="146">
        <v>9459044</v>
      </c>
      <c r="W28" s="39">
        <f t="shared" si="8"/>
        <v>12053</v>
      </c>
      <c r="X28" s="19">
        <f t="shared" si="9"/>
        <v>66287</v>
      </c>
      <c r="Y28" s="151">
        <f t="shared" si="10"/>
        <v>8555</v>
      </c>
      <c r="Z28" s="3">
        <f t="shared" si="11"/>
        <v>9430.8183840000002</v>
      </c>
      <c r="AA28" s="3">
        <f>SUM(Z1:Z28)</f>
        <v>245578.0347904001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 t="str">
        <f t="shared" si="2"/>
        <v>0</v>
      </c>
      <c r="G29" s="147"/>
      <c r="H29" s="39" t="str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 t="str">
        <f t="shared" si="5"/>
        <v>0</v>
      </c>
      <c r="N29" s="146"/>
      <c r="O29" s="39">
        <f t="shared" si="13"/>
        <v>0</v>
      </c>
      <c r="P29" s="149"/>
      <c r="Q29" s="39" t="str">
        <f t="shared" si="6"/>
        <v>0</v>
      </c>
      <c r="R29" s="146"/>
      <c r="S29" s="39" t="str">
        <f t="shared" si="7"/>
        <v>0</v>
      </c>
      <c r="T29" s="146">
        <v>0</v>
      </c>
      <c r="U29" s="150"/>
      <c r="V29" s="146"/>
      <c r="W29" s="39" t="str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245578.0347904001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245578.0347904001</v>
      </c>
    </row>
    <row r="31" spans="1:27" ht="16.5" thickBot="1" x14ac:dyDescent="0.3">
      <c r="A31" s="9">
        <v>44741</v>
      </c>
      <c r="B31" s="39"/>
      <c r="C31" s="145"/>
      <c r="D31" s="39">
        <f t="shared" ref="D31:D32" si="25">IF((C31-C30)&lt;0,"0",(C31-C30))*160</f>
        <v>0</v>
      </c>
      <c r="E31" s="146"/>
      <c r="F31" s="39">
        <f t="shared" ref="F31:F32" si="26">IF((E31-E30)&lt;0,"0",(E31-E30))</f>
        <v>0</v>
      </c>
      <c r="G31" s="147"/>
      <c r="H31" s="39">
        <f t="shared" si="3"/>
        <v>0</v>
      </c>
      <c r="I31" s="148">
        <f t="shared" ref="I31:I32" si="27">F31+H31</f>
        <v>0</v>
      </c>
      <c r="J31" s="146"/>
      <c r="K31" s="39">
        <f t="shared" ref="K31:K32" si="28">(IF((J31-J30)&lt;0,"0",(J31-J30)))*2</f>
        <v>0</v>
      </c>
      <c r="L31" s="149"/>
      <c r="M31" s="39">
        <f t="shared" ref="M31:M32" si="29">IF((L31-L30)&lt;0,"0",(L31-L30))</f>
        <v>0</v>
      </c>
      <c r="N31" s="146"/>
      <c r="O31" s="39">
        <f t="shared" ref="O31:O32" si="30">(IF((N31-N30)&lt;0,"0",(N31-N30)))*2</f>
        <v>0</v>
      </c>
      <c r="P31" s="149"/>
      <c r="Q31" s="39">
        <f t="shared" ref="Q31:Q32" si="31">IF((P31-P30)&lt;0,"0",(P31-P30))</f>
        <v>0</v>
      </c>
      <c r="R31" s="146"/>
      <c r="S31" s="39">
        <f t="shared" ref="S31:S32" si="32">IF((R31-R30)&lt;0,"0",(R31-R30))</f>
        <v>0</v>
      </c>
      <c r="T31" s="146">
        <v>0</v>
      </c>
      <c r="U31" s="150"/>
      <c r="V31" s="146"/>
      <c r="W31" s="39">
        <f t="shared" ref="W31:W32" si="33">IF((V31-V30)&lt;0,"0",(V31-V30))</f>
        <v>0</v>
      </c>
      <c r="X31" s="19">
        <f t="shared" ref="X31:X32" si="34">K31+M31+O31+Q31+S31+U31+W31</f>
        <v>0</v>
      </c>
      <c r="Y31" s="151">
        <f t="shared" ref="Y31:Y32" si="35">I31-X31</f>
        <v>0</v>
      </c>
      <c r="Z31" s="3">
        <f t="shared" ref="Z31:Z32" si="36">(0.93352*(W31+S31)+0.5568*(Q31+O31))*0.26</f>
        <v>0</v>
      </c>
      <c r="AA31" s="3">
        <f>SUM(Z1:Z31)</f>
        <v>245578.0347904001</v>
      </c>
    </row>
    <row r="32" spans="1:27" ht="16.5" thickBot="1" x14ac:dyDescent="0.3">
      <c r="A32" s="9">
        <v>44742</v>
      </c>
      <c r="B32" s="39"/>
      <c r="C32" s="145"/>
      <c r="D32" s="39">
        <f t="shared" si="25"/>
        <v>0</v>
      </c>
      <c r="E32" s="146"/>
      <c r="F32" s="39">
        <f t="shared" si="26"/>
        <v>0</v>
      </c>
      <c r="G32" s="147"/>
      <c r="H32" s="39">
        <f t="shared" si="3"/>
        <v>0</v>
      </c>
      <c r="I32" s="148">
        <f t="shared" si="27"/>
        <v>0</v>
      </c>
      <c r="J32" s="146"/>
      <c r="K32" s="39">
        <f t="shared" si="28"/>
        <v>0</v>
      </c>
      <c r="L32" s="149"/>
      <c r="M32" s="39">
        <f t="shared" si="29"/>
        <v>0</v>
      </c>
      <c r="N32" s="146"/>
      <c r="O32" s="39">
        <f t="shared" si="30"/>
        <v>0</v>
      </c>
      <c r="P32" s="149"/>
      <c r="Q32" s="39">
        <f t="shared" si="31"/>
        <v>0</v>
      </c>
      <c r="R32" s="146"/>
      <c r="S32" s="39">
        <f t="shared" si="32"/>
        <v>0</v>
      </c>
      <c r="T32" s="146">
        <v>0</v>
      </c>
      <c r="U32" s="150"/>
      <c r="V32" s="146"/>
      <c r="W32" s="39">
        <f t="shared" si="33"/>
        <v>0</v>
      </c>
      <c r="X32" s="19">
        <f t="shared" si="34"/>
        <v>0</v>
      </c>
      <c r="Y32" s="151">
        <f t="shared" si="35"/>
        <v>0</v>
      </c>
      <c r="Z32" s="3">
        <f t="shared" si="36"/>
        <v>0</v>
      </c>
      <c r="AA32" s="3">
        <f>SUM(Z1:Z32)</f>
        <v>245578.0347904001</v>
      </c>
    </row>
    <row r="33" spans="1:27" ht="16.5" thickBot="1" x14ac:dyDescent="0.3">
      <c r="A33" s="137" t="s">
        <v>23</v>
      </c>
      <c r="B33" s="137">
        <f>SUM(B3:B32)</f>
        <v>5622</v>
      </c>
      <c r="C33" s="137">
        <v>0</v>
      </c>
      <c r="D33" s="137">
        <f>SUM(D3:D32)</f>
        <v>17120</v>
      </c>
      <c r="E33" s="56">
        <v>0</v>
      </c>
      <c r="F33" s="56">
        <f>SUM(F3:F32)</f>
        <v>562161</v>
      </c>
      <c r="G33" s="56">
        <v>0</v>
      </c>
      <c r="H33" s="56">
        <f>SUM(H3:H32)</f>
        <v>1384768</v>
      </c>
      <c r="I33" s="56">
        <f>SUM(I3:I32)</f>
        <v>1946929</v>
      </c>
      <c r="J33" s="56">
        <v>0</v>
      </c>
      <c r="K33" s="56">
        <f>SUM(K2:K32)</f>
        <v>258923</v>
      </c>
      <c r="L33" s="56">
        <v>0</v>
      </c>
      <c r="M33" s="56">
        <f>SUM(M3:M32)</f>
        <v>176515</v>
      </c>
      <c r="N33" s="56">
        <v>0</v>
      </c>
      <c r="O33" s="56">
        <f>SUM(O3:O32)</f>
        <v>380592</v>
      </c>
      <c r="P33" s="56">
        <v>0</v>
      </c>
      <c r="Q33" s="56">
        <f>SUM(Q3:Q32)</f>
        <v>345976</v>
      </c>
      <c r="R33" s="56">
        <v>0</v>
      </c>
      <c r="S33" s="56">
        <f>SUM(S3:S32)</f>
        <v>278334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300098</v>
      </c>
      <c r="X33" s="56">
        <f>SUM(X3:X32)</f>
        <v>1740438</v>
      </c>
      <c r="Y33" s="56">
        <f>SUM(Y3:Y32)</f>
        <v>206491</v>
      </c>
      <c r="Z33" s="56">
        <f>SUM(Z3:Z32)</f>
        <v>245578.0347904001</v>
      </c>
      <c r="AA33" s="56">
        <f>SUM(AA3:AA32)</f>
        <v>4278057.8265568009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H28" sqref="H2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5" thickBot="1" x14ac:dyDescent="0.3">
      <c r="A22" s="9">
        <v>44732</v>
      </c>
      <c r="B22" s="3">
        <v>452284</v>
      </c>
      <c r="C22" s="39">
        <f t="shared" si="5"/>
        <v>940</v>
      </c>
      <c r="D22" s="3">
        <v>9765</v>
      </c>
      <c r="E22" s="39">
        <f t="shared" si="6"/>
        <v>500</v>
      </c>
      <c r="F22" s="3">
        <v>9705700</v>
      </c>
      <c r="G22" s="39">
        <f t="shared" si="3"/>
        <v>410.4</v>
      </c>
      <c r="H22" s="3">
        <v>797768</v>
      </c>
      <c r="I22" s="44">
        <f t="shared" si="4"/>
        <v>5.0759999999999996</v>
      </c>
      <c r="J22" s="19">
        <f t="shared" si="1"/>
        <v>1855.4760000000001</v>
      </c>
      <c r="K22" s="20">
        <f t="shared" si="2"/>
        <v>10873.089360000002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>
        <v>452383</v>
      </c>
      <c r="C23" s="39">
        <f t="shared" si="5"/>
        <v>990</v>
      </c>
      <c r="D23" s="3">
        <v>9803</v>
      </c>
      <c r="E23" s="39">
        <f t="shared" si="6"/>
        <v>380</v>
      </c>
      <c r="F23" s="3">
        <v>9725300</v>
      </c>
      <c r="G23" s="39">
        <f t="shared" si="3"/>
        <v>529.20000000000005</v>
      </c>
      <c r="H23" s="3">
        <v>797926</v>
      </c>
      <c r="I23" s="44">
        <f t="shared" si="4"/>
        <v>4.266</v>
      </c>
      <c r="J23" s="19">
        <f t="shared" si="1"/>
        <v>1903.4660000000001</v>
      </c>
      <c r="K23" s="20">
        <f t="shared" si="2"/>
        <v>11154.310760000002</v>
      </c>
      <c r="Q23" t="s">
        <v>12</v>
      </c>
    </row>
    <row r="24" spans="1:25" ht="16.5" thickBot="1" x14ac:dyDescent="0.3">
      <c r="A24" s="9">
        <v>44734</v>
      </c>
      <c r="B24" s="3">
        <v>452482</v>
      </c>
      <c r="C24" s="39">
        <f t="shared" si="5"/>
        <v>990</v>
      </c>
      <c r="D24" s="3">
        <v>9846</v>
      </c>
      <c r="E24" s="39">
        <f t="shared" si="6"/>
        <v>430</v>
      </c>
      <c r="F24" s="3">
        <v>9740100</v>
      </c>
      <c r="G24" s="39">
        <f t="shared" si="3"/>
        <v>399.6</v>
      </c>
      <c r="H24" s="3">
        <v>798090</v>
      </c>
      <c r="I24" s="44">
        <f t="shared" si="4"/>
        <v>4.4279999999999999</v>
      </c>
      <c r="J24" s="19">
        <f t="shared" si="1"/>
        <v>1824.028</v>
      </c>
      <c r="K24" s="20">
        <f t="shared" si="2"/>
        <v>10688.80408</v>
      </c>
    </row>
    <row r="25" spans="1:25" ht="17.25" customHeight="1" thickBot="1" x14ac:dyDescent="0.4">
      <c r="A25" s="9">
        <v>44735</v>
      </c>
      <c r="B25" s="3">
        <v>452574</v>
      </c>
      <c r="C25" s="39">
        <f t="shared" si="5"/>
        <v>920</v>
      </c>
      <c r="D25" s="3">
        <v>9896</v>
      </c>
      <c r="E25" s="39">
        <f t="shared" si="6"/>
        <v>500</v>
      </c>
      <c r="F25" s="3">
        <v>9757400</v>
      </c>
      <c r="G25" s="39">
        <f t="shared" si="3"/>
        <v>467.1</v>
      </c>
      <c r="H25" s="3">
        <v>798272</v>
      </c>
      <c r="I25" s="44">
        <f t="shared" si="4"/>
        <v>4.9139999999999997</v>
      </c>
      <c r="J25" s="19">
        <f t="shared" si="1"/>
        <v>1892.0139999999999</v>
      </c>
      <c r="K25" s="20">
        <f t="shared" si="2"/>
        <v>11087.20204</v>
      </c>
      <c r="Y25" s="55"/>
    </row>
    <row r="26" spans="1:25" ht="16.5" thickBot="1" x14ac:dyDescent="0.3">
      <c r="A26" s="9">
        <v>44736</v>
      </c>
      <c r="B26" s="3">
        <v>452674</v>
      </c>
      <c r="C26" s="39">
        <f t="shared" si="5"/>
        <v>1000</v>
      </c>
      <c r="D26" s="3">
        <v>9942</v>
      </c>
      <c r="E26" s="39">
        <f t="shared" si="6"/>
        <v>460</v>
      </c>
      <c r="F26" s="3">
        <v>9776300</v>
      </c>
      <c r="G26" s="39">
        <f t="shared" si="3"/>
        <v>510.3</v>
      </c>
      <c r="H26" s="3">
        <v>798415</v>
      </c>
      <c r="I26" s="44">
        <f t="shared" si="4"/>
        <v>3.8609999999999998</v>
      </c>
      <c r="J26" s="19">
        <f t="shared" si="1"/>
        <v>1974.1610000000001</v>
      </c>
      <c r="K26" s="20">
        <f t="shared" si="2"/>
        <v>11568.583460000002</v>
      </c>
      <c r="L26" t="s">
        <v>12</v>
      </c>
    </row>
    <row r="27" spans="1:25" ht="16.5" thickBot="1" x14ac:dyDescent="0.3">
      <c r="A27" s="9">
        <v>44737</v>
      </c>
      <c r="B27" s="3">
        <v>452799</v>
      </c>
      <c r="C27" s="39">
        <f t="shared" si="5"/>
        <v>1250</v>
      </c>
      <c r="D27" s="3">
        <v>9993</v>
      </c>
      <c r="E27" s="39">
        <f t="shared" si="6"/>
        <v>510</v>
      </c>
      <c r="F27" s="3">
        <v>9798800</v>
      </c>
      <c r="G27" s="39">
        <f t="shared" si="3"/>
        <v>607.5</v>
      </c>
      <c r="H27" s="3">
        <v>798581</v>
      </c>
      <c r="I27" s="44">
        <f t="shared" si="4"/>
        <v>4.4820000000000002</v>
      </c>
      <c r="J27" s="19">
        <f t="shared" si="1"/>
        <v>2371.982</v>
      </c>
      <c r="K27" s="20">
        <f t="shared" si="2"/>
        <v>13899.81452</v>
      </c>
      <c r="O27" t="s">
        <v>12</v>
      </c>
    </row>
    <row r="28" spans="1:25" ht="16.5" thickBot="1" x14ac:dyDescent="0.3">
      <c r="A28" s="9">
        <v>44738</v>
      </c>
      <c r="B28" s="3">
        <v>452891</v>
      </c>
      <c r="C28" s="39">
        <f t="shared" si="5"/>
        <v>920</v>
      </c>
      <c r="D28" s="3">
        <v>10044</v>
      </c>
      <c r="E28" s="39">
        <f t="shared" si="6"/>
        <v>510</v>
      </c>
      <c r="F28" s="3">
        <v>9817700</v>
      </c>
      <c r="G28" s="39">
        <f t="shared" si="3"/>
        <v>510.3</v>
      </c>
      <c r="H28" s="3">
        <v>798745</v>
      </c>
      <c r="I28" s="44">
        <f t="shared" si="4"/>
        <v>4.4279999999999999</v>
      </c>
      <c r="J28" s="19">
        <f t="shared" si="1"/>
        <v>1944.7280000000001</v>
      </c>
      <c r="K28" s="20">
        <f t="shared" si="2"/>
        <v>11396.106080000001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27230</v>
      </c>
      <c r="D33" s="3"/>
      <c r="E33" s="56">
        <f>SUM(E3:E32)</f>
        <v>12510</v>
      </c>
      <c r="F33" s="3"/>
      <c r="G33" s="56">
        <f>SUM(G3:G32)</f>
        <v>13470.299999999997</v>
      </c>
      <c r="H33" s="3"/>
      <c r="I33" s="56">
        <f>SUM(I3:I32)</f>
        <v>134.40600000000001</v>
      </c>
      <c r="J33" s="56">
        <f>SUM(J3:J32)</f>
        <v>53344.706000000006</v>
      </c>
      <c r="K33" s="56">
        <f>SUM(K3:K32)</f>
        <v>312599.97715999995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28" sqref="B2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18341487</v>
      </c>
      <c r="C20" s="45">
        <f t="shared" si="0"/>
        <v>1146</v>
      </c>
    </row>
    <row r="21" spans="1:9" ht="24" thickBot="1" x14ac:dyDescent="0.4">
      <c r="A21" s="9">
        <v>44731</v>
      </c>
      <c r="B21" s="133">
        <v>18343145</v>
      </c>
      <c r="C21" s="45">
        <f t="shared" si="0"/>
        <v>1658</v>
      </c>
    </row>
    <row r="22" spans="1:9" ht="24" thickBot="1" x14ac:dyDescent="0.4">
      <c r="A22" s="9">
        <v>44732</v>
      </c>
      <c r="B22" s="133">
        <v>18344465</v>
      </c>
      <c r="C22" s="45">
        <f t="shared" si="0"/>
        <v>1320</v>
      </c>
    </row>
    <row r="23" spans="1:9" ht="24" thickBot="1" x14ac:dyDescent="0.4">
      <c r="A23" s="9">
        <v>44733</v>
      </c>
      <c r="B23" s="133">
        <v>18346342</v>
      </c>
      <c r="C23" s="45">
        <f t="shared" si="0"/>
        <v>1877</v>
      </c>
      <c r="F23" t="s">
        <v>12</v>
      </c>
    </row>
    <row r="24" spans="1:9" ht="24" thickBot="1" x14ac:dyDescent="0.4">
      <c r="A24" s="9">
        <v>44734</v>
      </c>
      <c r="B24" s="133">
        <v>18348954</v>
      </c>
      <c r="C24" s="45">
        <f t="shared" si="0"/>
        <v>2612</v>
      </c>
      <c r="E24" t="s">
        <v>12</v>
      </c>
    </row>
    <row r="25" spans="1:9" ht="24" thickBot="1" x14ac:dyDescent="0.4">
      <c r="A25" s="9">
        <v>44735</v>
      </c>
      <c r="B25" s="133">
        <v>18351271</v>
      </c>
      <c r="C25" s="45">
        <f t="shared" si="0"/>
        <v>2317</v>
      </c>
    </row>
    <row r="26" spans="1:9" ht="24" thickBot="1" x14ac:dyDescent="0.4">
      <c r="A26" s="9">
        <v>44736</v>
      </c>
      <c r="B26" s="133">
        <v>18353541</v>
      </c>
      <c r="C26" s="45">
        <f t="shared" si="0"/>
        <v>2270</v>
      </c>
    </row>
    <row r="27" spans="1:9" ht="24" thickBot="1" x14ac:dyDescent="0.4">
      <c r="A27" s="9">
        <v>44737</v>
      </c>
      <c r="B27" s="133">
        <v>18355300</v>
      </c>
      <c r="C27" s="45">
        <f t="shared" si="0"/>
        <v>1759</v>
      </c>
    </row>
    <row r="28" spans="1:9" ht="24" thickBot="1" x14ac:dyDescent="0.4">
      <c r="A28" s="9">
        <v>44738</v>
      </c>
      <c r="B28" s="133">
        <v>18357412</v>
      </c>
      <c r="C28" s="45">
        <f t="shared" si="0"/>
        <v>2112</v>
      </c>
      <c r="I28" t="s">
        <v>12</v>
      </c>
    </row>
    <row r="29" spans="1:9" ht="24" thickBot="1" x14ac:dyDescent="0.4">
      <c r="A29" s="9">
        <v>44739</v>
      </c>
      <c r="B29" s="133"/>
      <c r="C29" s="45" t="str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56158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G1" zoomScale="90" zoomScaleNormal="90" workbookViewId="0">
      <pane ySplit="1" topLeftCell="A2" activePane="bottomLeft" state="frozen"/>
      <selection pane="bottomLeft" activeCell="Z31" sqref="Z31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5" thickBot="1" x14ac:dyDescent="0.25">
      <c r="A22" s="9">
        <v>44732</v>
      </c>
      <c r="B22" s="160">
        <v>23767.006000000001</v>
      </c>
      <c r="C22" s="44">
        <f t="shared" si="22"/>
        <v>8.1190000000024156</v>
      </c>
      <c r="D22" s="28">
        <f t="shared" si="23"/>
        <v>15426.100000004588</v>
      </c>
      <c r="E22" s="160">
        <v>4295.1229999999996</v>
      </c>
      <c r="F22" s="44">
        <f t="shared" si="24"/>
        <v>2.5760000000000218</v>
      </c>
      <c r="G22" s="28">
        <f t="shared" si="25"/>
        <v>4894.4000000000406</v>
      </c>
      <c r="H22" s="160">
        <v>5473</v>
      </c>
      <c r="I22" s="44">
        <f t="shared" si="26"/>
        <v>4</v>
      </c>
      <c r="J22" s="28">
        <f t="shared" si="27"/>
        <v>7600</v>
      </c>
      <c r="K22" s="7">
        <v>14019.26</v>
      </c>
      <c r="L22" s="44">
        <f t="shared" si="28"/>
        <v>1.430000000000291</v>
      </c>
      <c r="M22" s="28">
        <f t="shared" si="29"/>
        <v>2717.000000000553</v>
      </c>
      <c r="N22" s="160">
        <v>3588.9409999999998</v>
      </c>
      <c r="O22" s="44">
        <f t="shared" si="30"/>
        <v>0.97499999999990905</v>
      </c>
      <c r="P22" s="28">
        <f t="shared" si="31"/>
        <v>1852.499999999827</v>
      </c>
      <c r="Q22" s="160">
        <v>5392</v>
      </c>
      <c r="R22" s="44">
        <f t="shared" si="32"/>
        <v>1.2600000000002183</v>
      </c>
      <c r="S22" s="28">
        <f t="shared" si="33"/>
        <v>2394.0000000004143</v>
      </c>
      <c r="T22" s="8">
        <f t="shared" si="35"/>
        <v>18.360000000002856</v>
      </c>
      <c r="U22" s="30">
        <f t="shared" si="34"/>
        <v>34884.000000005421</v>
      </c>
      <c r="W22" s="157">
        <v>44732</v>
      </c>
      <c r="X22" s="158">
        <v>182450</v>
      </c>
      <c r="Y22" s="163">
        <f t="shared" si="21"/>
        <v>172</v>
      </c>
      <c r="Z22" s="158">
        <v>9436</v>
      </c>
      <c r="AA22" s="163">
        <f t="shared" si="21"/>
        <v>4</v>
      </c>
      <c r="AB22" s="158">
        <v>28.7</v>
      </c>
      <c r="AC22" s="163">
        <f t="shared" si="21"/>
        <v>0</v>
      </c>
      <c r="AD22" s="158">
        <v>541</v>
      </c>
      <c r="AE22" s="163">
        <f t="shared" si="21"/>
        <v>7</v>
      </c>
      <c r="AF22" s="158">
        <v>7862</v>
      </c>
      <c r="AG22" s="163">
        <f t="shared" si="21"/>
        <v>10</v>
      </c>
    </row>
    <row r="23" spans="1:33" ht="16.5" thickBot="1" x14ac:dyDescent="0.25">
      <c r="A23" s="9">
        <v>44733</v>
      </c>
      <c r="B23" s="160">
        <v>23787.120999999999</v>
      </c>
      <c r="C23" s="44">
        <f t="shared" si="22"/>
        <v>20.114999999997963</v>
      </c>
      <c r="D23" s="28">
        <f t="shared" si="23"/>
        <v>38218.499999996129</v>
      </c>
      <c r="E23" s="160">
        <v>4298.223</v>
      </c>
      <c r="F23" s="44">
        <f t="shared" si="24"/>
        <v>3.1000000000003638</v>
      </c>
      <c r="G23" s="28">
        <f t="shared" si="25"/>
        <v>5890.0000000006903</v>
      </c>
      <c r="H23" s="160">
        <v>5477</v>
      </c>
      <c r="I23" s="44">
        <f t="shared" si="26"/>
        <v>4</v>
      </c>
      <c r="J23" s="28">
        <f t="shared" si="27"/>
        <v>7600</v>
      </c>
      <c r="K23" s="7">
        <v>14021.15</v>
      </c>
      <c r="L23" s="44">
        <f t="shared" si="28"/>
        <v>1.8899999999994179</v>
      </c>
      <c r="M23" s="28">
        <f t="shared" si="29"/>
        <v>3590.9999999988941</v>
      </c>
      <c r="N23" s="160">
        <v>3589.8180000000002</v>
      </c>
      <c r="O23" s="44">
        <f t="shared" si="30"/>
        <v>0.87700000000040745</v>
      </c>
      <c r="P23" s="28">
        <f t="shared" si="31"/>
        <v>1666.3000000007742</v>
      </c>
      <c r="Q23" s="160">
        <v>5394.23</v>
      </c>
      <c r="R23" s="44">
        <f t="shared" si="32"/>
        <v>2.2299999999995634</v>
      </c>
      <c r="S23" s="28">
        <f t="shared" si="33"/>
        <v>4236.9999999991705</v>
      </c>
      <c r="T23" s="8">
        <f t="shared" si="35"/>
        <v>32.211999999997715</v>
      </c>
      <c r="U23" s="30">
        <f t="shared" si="34"/>
        <v>61202.799999995652</v>
      </c>
      <c r="W23" s="157">
        <v>44733</v>
      </c>
      <c r="X23" s="158">
        <v>182663</v>
      </c>
      <c r="Y23" s="163">
        <f t="shared" si="21"/>
        <v>213</v>
      </c>
      <c r="Z23" s="158">
        <v>9443</v>
      </c>
      <c r="AA23" s="163">
        <f t="shared" si="21"/>
        <v>7</v>
      </c>
      <c r="AB23" s="158">
        <v>28.7</v>
      </c>
      <c r="AC23" s="163">
        <f t="shared" si="21"/>
        <v>0</v>
      </c>
      <c r="AD23" s="158">
        <v>542</v>
      </c>
      <c r="AE23" s="163">
        <f t="shared" si="21"/>
        <v>1</v>
      </c>
      <c r="AF23" s="158">
        <v>7871</v>
      </c>
      <c r="AG23" s="163">
        <f t="shared" si="21"/>
        <v>9</v>
      </c>
    </row>
    <row r="24" spans="1:33" ht="16.5" thickBot="1" x14ac:dyDescent="0.25">
      <c r="A24" s="9">
        <v>44734</v>
      </c>
      <c r="B24" s="160">
        <v>23793.745999999999</v>
      </c>
      <c r="C24" s="44">
        <f t="shared" si="22"/>
        <v>6.625</v>
      </c>
      <c r="D24" s="28">
        <f t="shared" si="23"/>
        <v>12587.499999999998</v>
      </c>
      <c r="E24" s="160">
        <v>4301.9639999999999</v>
      </c>
      <c r="F24" s="44">
        <f t="shared" si="24"/>
        <v>3.7409999999999854</v>
      </c>
      <c r="G24" s="28">
        <f t="shared" si="25"/>
        <v>7107.8999999999724</v>
      </c>
      <c r="H24" s="160">
        <v>5488</v>
      </c>
      <c r="I24" s="44">
        <f t="shared" si="26"/>
        <v>11</v>
      </c>
      <c r="J24" s="28">
        <f t="shared" si="27"/>
        <v>20900</v>
      </c>
      <c r="K24" s="7">
        <v>14023.8</v>
      </c>
      <c r="L24" s="44">
        <f t="shared" si="28"/>
        <v>2.6499999999996362</v>
      </c>
      <c r="M24" s="28">
        <f t="shared" si="29"/>
        <v>5034.9999999993079</v>
      </c>
      <c r="N24" s="160">
        <v>3592.4169999999999</v>
      </c>
      <c r="O24" s="44">
        <f t="shared" si="30"/>
        <v>2.5989999999997053</v>
      </c>
      <c r="P24" s="28">
        <f t="shared" si="31"/>
        <v>4938.0999999994401</v>
      </c>
      <c r="Q24" s="160">
        <v>5396.26</v>
      </c>
      <c r="R24" s="44">
        <f t="shared" si="32"/>
        <v>2.0300000000006548</v>
      </c>
      <c r="S24" s="28">
        <f t="shared" si="33"/>
        <v>3857.0000000012442</v>
      </c>
      <c r="T24" s="8">
        <f t="shared" si="35"/>
        <v>28.644999999999982</v>
      </c>
      <c r="U24" s="30">
        <f t="shared" si="34"/>
        <v>54425.499999999964</v>
      </c>
      <c r="W24" s="157">
        <v>44734</v>
      </c>
      <c r="X24" s="158">
        <v>183017</v>
      </c>
      <c r="Y24" s="163">
        <f t="shared" si="21"/>
        <v>354</v>
      </c>
      <c r="Z24" s="158">
        <v>9446</v>
      </c>
      <c r="AA24" s="163">
        <f t="shared" si="21"/>
        <v>3</v>
      </c>
      <c r="AB24" s="158">
        <v>28.7</v>
      </c>
      <c r="AC24" s="163">
        <f t="shared" si="21"/>
        <v>0</v>
      </c>
      <c r="AD24" s="158">
        <v>545</v>
      </c>
      <c r="AE24" s="163">
        <f t="shared" si="21"/>
        <v>3</v>
      </c>
      <c r="AF24" s="158">
        <v>7882</v>
      </c>
      <c r="AG24" s="163">
        <f t="shared" si="21"/>
        <v>11</v>
      </c>
    </row>
    <row r="25" spans="1:33" ht="16.5" thickBot="1" x14ac:dyDescent="0.25">
      <c r="A25" s="9">
        <v>44735</v>
      </c>
      <c r="B25" s="160">
        <v>23800.141</v>
      </c>
      <c r="C25" s="44">
        <f t="shared" si="22"/>
        <v>6.3950000000004366</v>
      </c>
      <c r="D25" s="28">
        <f t="shared" si="23"/>
        <v>12150.500000000829</v>
      </c>
      <c r="E25" s="160">
        <v>4303.88</v>
      </c>
      <c r="F25" s="44">
        <f t="shared" si="24"/>
        <v>1.9160000000001673</v>
      </c>
      <c r="G25" s="28">
        <f t="shared" si="25"/>
        <v>3640.4000000003175</v>
      </c>
      <c r="H25" s="160">
        <v>5493</v>
      </c>
      <c r="I25" s="44">
        <f t="shared" si="26"/>
        <v>5</v>
      </c>
      <c r="J25" s="28">
        <f t="shared" si="27"/>
        <v>9500</v>
      </c>
      <c r="K25" s="7">
        <v>14024.8</v>
      </c>
      <c r="L25" s="44">
        <f t="shared" si="28"/>
        <v>1</v>
      </c>
      <c r="M25" s="28">
        <f t="shared" si="29"/>
        <v>1900</v>
      </c>
      <c r="N25" s="160">
        <v>3593.2330000000002</v>
      </c>
      <c r="O25" s="44">
        <f t="shared" si="30"/>
        <v>0.8160000000002583</v>
      </c>
      <c r="P25" s="28">
        <f t="shared" si="31"/>
        <v>1550.4000000004908</v>
      </c>
      <c r="Q25" s="160">
        <v>5397.41</v>
      </c>
      <c r="R25" s="44">
        <f t="shared" si="32"/>
        <v>1.1499999999996362</v>
      </c>
      <c r="S25" s="28">
        <f t="shared" si="33"/>
        <v>2184.9999999993088</v>
      </c>
      <c r="T25" s="8">
        <f t="shared" si="35"/>
        <v>16.277000000000498</v>
      </c>
      <c r="U25" s="30">
        <f t="shared" si="34"/>
        <v>30926.300000000945</v>
      </c>
      <c r="W25" s="157">
        <v>44735</v>
      </c>
      <c r="X25" s="158">
        <v>183164</v>
      </c>
      <c r="Y25" s="163">
        <f t="shared" si="21"/>
        <v>147</v>
      </c>
      <c r="Z25" s="158">
        <v>9448</v>
      </c>
      <c r="AA25" s="163">
        <f t="shared" si="21"/>
        <v>2</v>
      </c>
      <c r="AB25" s="158">
        <v>28.8</v>
      </c>
      <c r="AC25" s="163">
        <f t="shared" si="21"/>
        <v>0.10000000000000142</v>
      </c>
      <c r="AD25" s="158">
        <v>546</v>
      </c>
      <c r="AE25" s="163">
        <f t="shared" si="21"/>
        <v>1</v>
      </c>
      <c r="AF25" s="158">
        <v>7898</v>
      </c>
      <c r="AG25" s="163">
        <f t="shared" si="21"/>
        <v>16</v>
      </c>
    </row>
    <row r="26" spans="1:33" ht="16.5" thickBot="1" x14ac:dyDescent="0.25">
      <c r="A26" s="9">
        <v>44736</v>
      </c>
      <c r="B26" s="160">
        <v>23812.848999999998</v>
      </c>
      <c r="C26" s="44">
        <f t="shared" si="22"/>
        <v>12.707999999998719</v>
      </c>
      <c r="D26" s="28">
        <f t="shared" si="23"/>
        <v>24145.199999997567</v>
      </c>
      <c r="E26" s="160">
        <v>4305.9399999999996</v>
      </c>
      <c r="F26" s="44">
        <f t="shared" si="24"/>
        <v>2.0599999999994907</v>
      </c>
      <c r="G26" s="28">
        <f t="shared" si="25"/>
        <v>3913.9999999990318</v>
      </c>
      <c r="H26" s="160">
        <v>5499</v>
      </c>
      <c r="I26" s="44">
        <f t="shared" si="26"/>
        <v>6</v>
      </c>
      <c r="J26" s="28">
        <f t="shared" si="27"/>
        <v>11399.999999999998</v>
      </c>
      <c r="K26" s="7">
        <v>14026.94</v>
      </c>
      <c r="L26" s="44">
        <f>IF((K26-K25)&lt;0,"0",(K26-K25))</f>
        <v>2.1400000000012369</v>
      </c>
      <c r="M26" s="28">
        <f t="shared" si="29"/>
        <v>4066.0000000023501</v>
      </c>
      <c r="N26" s="160">
        <v>3594.8009999999999</v>
      </c>
      <c r="O26" s="44">
        <f t="shared" si="30"/>
        <v>1.5679999999997563</v>
      </c>
      <c r="P26" s="28">
        <f t="shared" si="31"/>
        <v>2979.1999999995369</v>
      </c>
      <c r="Q26" s="160">
        <v>5399.64</v>
      </c>
      <c r="R26" s="44">
        <f t="shared" si="32"/>
        <v>2.2300000000004729</v>
      </c>
      <c r="S26" s="28">
        <f t="shared" si="33"/>
        <v>4237.0000000008977</v>
      </c>
      <c r="T26" s="8">
        <f t="shared" si="35"/>
        <v>26.705999999999676</v>
      </c>
      <c r="U26" s="30">
        <f t="shared" si="34"/>
        <v>50741.399999999383</v>
      </c>
      <c r="V26" t="s">
        <v>12</v>
      </c>
      <c r="W26" s="157">
        <v>44736</v>
      </c>
      <c r="X26" s="158">
        <v>183430</v>
      </c>
      <c r="Y26" s="163">
        <f t="shared" si="21"/>
        <v>266</v>
      </c>
      <c r="Z26" s="158">
        <v>9457</v>
      </c>
      <c r="AA26" s="163">
        <f t="shared" si="21"/>
        <v>9</v>
      </c>
      <c r="AB26" s="158">
        <v>29</v>
      </c>
      <c r="AC26" s="163">
        <f t="shared" si="21"/>
        <v>0.19999999999999929</v>
      </c>
      <c r="AD26" s="158">
        <v>548</v>
      </c>
      <c r="AE26" s="163">
        <f t="shared" si="21"/>
        <v>2</v>
      </c>
      <c r="AF26" s="158">
        <v>7915</v>
      </c>
      <c r="AG26" s="163">
        <f t="shared" si="21"/>
        <v>17</v>
      </c>
    </row>
    <row r="27" spans="1:33" ht="16.5" thickBot="1" x14ac:dyDescent="0.25">
      <c r="A27" s="9">
        <v>44737</v>
      </c>
      <c r="B27" s="160">
        <v>23826.9</v>
      </c>
      <c r="C27" s="44">
        <f t="shared" si="22"/>
        <v>14.051000000003114</v>
      </c>
      <c r="D27" s="28">
        <f t="shared" si="23"/>
        <v>26696.900000005913</v>
      </c>
      <c r="E27" s="160">
        <v>4308.3</v>
      </c>
      <c r="F27" s="44">
        <f t="shared" si="24"/>
        <v>2.3600000000005821</v>
      </c>
      <c r="G27" s="28">
        <f t="shared" si="25"/>
        <v>4484.0000000011059</v>
      </c>
      <c r="H27" s="160">
        <v>5506</v>
      </c>
      <c r="I27" s="44">
        <f t="shared" si="26"/>
        <v>7</v>
      </c>
      <c r="J27" s="28">
        <f t="shared" si="27"/>
        <v>13299.999999999998</v>
      </c>
      <c r="K27" s="7">
        <v>14029.4</v>
      </c>
      <c r="L27" s="44">
        <f t="shared" si="28"/>
        <v>2.4599999999991269</v>
      </c>
      <c r="M27" s="28">
        <f t="shared" si="29"/>
        <v>4673.9999999983411</v>
      </c>
      <c r="N27" s="160">
        <v>3596.3310000000001</v>
      </c>
      <c r="O27" s="44">
        <f t="shared" si="30"/>
        <v>1.5300000000002001</v>
      </c>
      <c r="P27" s="28">
        <f t="shared" si="31"/>
        <v>2907.0000000003802</v>
      </c>
      <c r="Q27" s="160">
        <v>5401.65</v>
      </c>
      <c r="R27" s="44">
        <f t="shared" si="32"/>
        <v>2.0099999999993088</v>
      </c>
      <c r="S27" s="28">
        <f t="shared" si="33"/>
        <v>3818.9999999986862</v>
      </c>
      <c r="T27" s="8">
        <f t="shared" si="35"/>
        <v>29.411000000002332</v>
      </c>
      <c r="U27" s="30">
        <f t="shared" si="34"/>
        <v>55880.900000004433</v>
      </c>
      <c r="V27" t="s">
        <v>12</v>
      </c>
      <c r="W27" s="157">
        <v>44737</v>
      </c>
      <c r="X27" s="158">
        <v>183752</v>
      </c>
      <c r="Y27" s="163">
        <f t="shared" si="21"/>
        <v>322</v>
      </c>
      <c r="Z27" s="158">
        <v>9462</v>
      </c>
      <c r="AA27" s="163">
        <f t="shared" si="21"/>
        <v>5</v>
      </c>
      <c r="AB27" s="158">
        <v>29</v>
      </c>
      <c r="AC27" s="163">
        <f t="shared" si="21"/>
        <v>0</v>
      </c>
      <c r="AD27" s="158">
        <v>549</v>
      </c>
      <c r="AE27" s="163">
        <f t="shared" si="21"/>
        <v>1</v>
      </c>
      <c r="AF27" s="158">
        <v>7934</v>
      </c>
      <c r="AG27" s="163">
        <f t="shared" si="21"/>
        <v>19</v>
      </c>
    </row>
    <row r="28" spans="1:33" ht="16.5" thickBot="1" x14ac:dyDescent="0.25">
      <c r="A28" s="9">
        <v>44738</v>
      </c>
      <c r="B28" s="160">
        <v>23839.598999999998</v>
      </c>
      <c r="C28" s="44">
        <f t="shared" si="22"/>
        <v>12.698999999996886</v>
      </c>
      <c r="D28" s="28">
        <f t="shared" si="23"/>
        <v>24128.09999999408</v>
      </c>
      <c r="E28" s="160">
        <v>4311.1930000000002</v>
      </c>
      <c r="F28" s="44">
        <f t="shared" si="24"/>
        <v>2.8930000000000291</v>
      </c>
      <c r="G28" s="28">
        <f t="shared" si="25"/>
        <v>5496.7000000000544</v>
      </c>
      <c r="H28" s="160">
        <v>5514</v>
      </c>
      <c r="I28" s="44">
        <f t="shared" si="26"/>
        <v>8</v>
      </c>
      <c r="J28" s="28">
        <f t="shared" si="27"/>
        <v>15200</v>
      </c>
      <c r="K28" s="7">
        <v>14031.63</v>
      </c>
      <c r="L28" s="44">
        <f t="shared" si="28"/>
        <v>2.2299999999995634</v>
      </c>
      <c r="M28" s="28">
        <f t="shared" si="29"/>
        <v>4236.9999999991705</v>
      </c>
      <c r="N28" s="160">
        <v>3597.9780000000001</v>
      </c>
      <c r="O28" s="44">
        <f t="shared" si="30"/>
        <v>1.6469999999999345</v>
      </c>
      <c r="P28" s="28">
        <f t="shared" si="31"/>
        <v>3129.2999999998756</v>
      </c>
      <c r="Q28" s="160">
        <v>5403.76</v>
      </c>
      <c r="R28" s="44">
        <f t="shared" si="32"/>
        <v>2.1100000000005821</v>
      </c>
      <c r="S28" s="28">
        <f t="shared" si="33"/>
        <v>4009.0000000011059</v>
      </c>
      <c r="T28" s="8">
        <f t="shared" si="35"/>
        <v>29.578999999996995</v>
      </c>
      <c r="U28" s="30">
        <f t="shared" si="34"/>
        <v>56200.099999994287</v>
      </c>
      <c r="W28" s="157">
        <v>44738</v>
      </c>
      <c r="X28" s="158">
        <v>184014</v>
      </c>
      <c r="Y28" s="163">
        <f t="shared" si="21"/>
        <v>262</v>
      </c>
      <c r="Z28" s="158">
        <v>9467</v>
      </c>
      <c r="AA28" s="163">
        <f t="shared" si="21"/>
        <v>5</v>
      </c>
      <c r="AB28" s="158">
        <v>29</v>
      </c>
      <c r="AC28" s="163">
        <f t="shared" si="21"/>
        <v>0</v>
      </c>
      <c r="AD28" s="158">
        <v>552</v>
      </c>
      <c r="AE28" s="163">
        <f t="shared" si="21"/>
        <v>3</v>
      </c>
      <c r="AF28" s="158">
        <v>7949</v>
      </c>
      <c r="AG28" s="163">
        <f t="shared" si="21"/>
        <v>15</v>
      </c>
    </row>
    <row r="29" spans="1:33" ht="16.5" thickBot="1" x14ac:dyDescent="0.25">
      <c r="A29" s="9">
        <v>44739</v>
      </c>
      <c r="B29" s="160"/>
      <c r="C29" s="44" t="str">
        <f t="shared" si="22"/>
        <v>0</v>
      </c>
      <c r="D29" s="28">
        <f t="shared" si="23"/>
        <v>0</v>
      </c>
      <c r="E29" s="160"/>
      <c r="F29" s="44" t="str">
        <f t="shared" si="24"/>
        <v>0</v>
      </c>
      <c r="G29" s="28">
        <f t="shared" si="25"/>
        <v>0</v>
      </c>
      <c r="H29" s="160"/>
      <c r="I29" s="44" t="str">
        <f t="shared" si="26"/>
        <v>0</v>
      </c>
      <c r="J29" s="28">
        <f t="shared" si="27"/>
        <v>0</v>
      </c>
      <c r="K29" s="7"/>
      <c r="L29" s="44" t="str">
        <f t="shared" si="28"/>
        <v>0</v>
      </c>
      <c r="M29" s="28">
        <f t="shared" si="29"/>
        <v>0</v>
      </c>
      <c r="N29" s="160"/>
      <c r="O29" s="44" t="str">
        <f t="shared" si="30"/>
        <v>0</v>
      </c>
      <c r="P29" s="28">
        <f t="shared" si="31"/>
        <v>0</v>
      </c>
      <c r="Q29" s="160"/>
      <c r="R29" s="44" t="str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 t="str">
        <f t="shared" si="21"/>
        <v>0</v>
      </c>
      <c r="Z29" s="158"/>
      <c r="AA29" s="163" t="str">
        <f t="shared" si="21"/>
        <v>0</v>
      </c>
      <c r="AB29" s="158"/>
      <c r="AC29" s="163" t="str">
        <f t="shared" si="21"/>
        <v>0</v>
      </c>
      <c r="AD29" s="158"/>
      <c r="AE29" s="163" t="str">
        <f t="shared" si="21"/>
        <v>0</v>
      </c>
      <c r="AF29" s="158"/>
      <c r="AG29" s="163" t="str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337.06099999999788</v>
      </c>
      <c r="D33" s="137">
        <f>SUM(D3:D32)</f>
        <v>640415.89999999595</v>
      </c>
      <c r="E33" s="137"/>
      <c r="F33" s="44">
        <f>SUM(F2:F32)</f>
        <v>73.502000000000407</v>
      </c>
      <c r="G33" s="137">
        <f>SUM(G3:G32)</f>
        <v>139653.80000000072</v>
      </c>
      <c r="H33" s="137"/>
      <c r="I33" s="44">
        <f>SUM(I2:I32)</f>
        <v>195</v>
      </c>
      <c r="J33" s="137">
        <f>SUM(J3:J32)</f>
        <v>370500</v>
      </c>
      <c r="K33" s="137"/>
      <c r="L33" s="44">
        <f>SUM(L2:L32)</f>
        <v>58.719999999999345</v>
      </c>
      <c r="M33" s="137">
        <f>SUM(M3:M32)</f>
        <v>111567.99999999873</v>
      </c>
      <c r="N33" s="137"/>
      <c r="O33" s="44">
        <f>SUM(O2:O32)</f>
        <v>38.65099999999984</v>
      </c>
      <c r="P33" s="137">
        <f>SUM(P3:P32)</f>
        <v>73436.899999999674</v>
      </c>
      <c r="Q33" s="137"/>
      <c r="R33" s="44">
        <f>SUM(R3:R32)</f>
        <v>49.960000000000036</v>
      </c>
      <c r="S33" s="137">
        <f>SUM(S3:S32)</f>
        <v>94924.000000000058</v>
      </c>
      <c r="T33" s="137">
        <f>SUM(T3:T32)</f>
        <v>752.8939999999975</v>
      </c>
      <c r="U33" s="137">
        <f>SUM(U3:U32)</f>
        <v>1430498.5999999952</v>
      </c>
      <c r="V33"/>
      <c r="W33" s="137" t="s">
        <v>141</v>
      </c>
      <c r="X33" s="137"/>
      <c r="Y33" s="137">
        <f>SUM(Y2:Y32)</f>
        <v>6824</v>
      </c>
      <c r="Z33" s="137"/>
      <c r="AA33" s="137">
        <f>SUM(AA2:AA32)</f>
        <v>153</v>
      </c>
      <c r="AB33" s="137"/>
      <c r="AC33" s="137">
        <f>SUM(AC2:AC32)</f>
        <v>1.6000000000000014</v>
      </c>
      <c r="AD33" s="137"/>
      <c r="AE33" s="137">
        <f>SUM(AE2:AE32)</f>
        <v>57</v>
      </c>
      <c r="AF33" s="137">
        <v>0</v>
      </c>
      <c r="AG33" s="137">
        <f>SUM(AG2:AG32)</f>
        <v>383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J5" sqref="J5:J7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-6921562</v>
      </c>
      <c r="D7" s="105">
        <f t="shared" si="0"/>
        <v>-8790383.7400000002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30888</v>
      </c>
      <c r="D8" s="105">
        <f t="shared" si="0"/>
        <v>39227.760000000002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6756</v>
      </c>
      <c r="D9" s="105">
        <f t="shared" si="0"/>
        <v>8580.1200000000008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12960</v>
      </c>
      <c r="D10" s="105">
        <f t="shared" si="0"/>
        <v>16459.2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3439</v>
      </c>
      <c r="D11" s="105">
        <f t="shared" si="0"/>
        <v>4367.53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4013</v>
      </c>
      <c r="K16" s="94">
        <f>(J16-I16)*160</f>
        <v>2560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320517</v>
      </c>
      <c r="K17" s="94">
        <f>(J17-I17)</f>
        <v>4113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26252</v>
      </c>
      <c r="K18" s="94">
        <f>(J18-I18)*160</f>
        <v>12960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157805</v>
      </c>
      <c r="K19" s="94">
        <f>J19-I19</f>
        <v>3439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47210</v>
      </c>
      <c r="K21" s="94">
        <f>(J21-I21)*120</f>
        <v>14760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40723</v>
      </c>
      <c r="K22" s="94">
        <f>(J22-I22)*160</f>
        <v>13600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21779</v>
      </c>
      <c r="K23" s="94">
        <f>(J23-I23)*20</f>
        <v>1840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255987</v>
      </c>
      <c r="K24" s="94">
        <f>J24-I24</f>
        <v>688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226119</v>
      </c>
      <c r="K25" s="94">
        <f>J25-I25</f>
        <v>83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2022-06-27T00:07:24Z</dcterms:modified>
</cp:coreProperties>
</file>