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Z40" i="1" l="1"/>
  <c r="Y40" i="1"/>
  <c r="Y39" i="1"/>
  <c r="Z39" i="1" s="1"/>
  <c r="Z38" i="1"/>
  <c r="Y38" i="1"/>
  <c r="Y37" i="1"/>
  <c r="Z37" i="1" s="1"/>
  <c r="Z36" i="1"/>
  <c r="Y36" i="1"/>
  <c r="Y35" i="1"/>
  <c r="Z35" i="1" s="1"/>
  <c r="Z34" i="1"/>
  <c r="Y34" i="1"/>
  <c r="Y33" i="1"/>
  <c r="Z33" i="1" s="1"/>
  <c r="Z32" i="1"/>
  <c r="Y32" i="1"/>
  <c r="Y31" i="1"/>
  <c r="Z31" i="1" s="1"/>
  <c r="Z30" i="1"/>
  <c r="Y30" i="1"/>
  <c r="Y29" i="1"/>
  <c r="Z29" i="1" s="1"/>
  <c r="Z28" i="1"/>
  <c r="Y28" i="1"/>
  <c r="Y27" i="1"/>
  <c r="Z27" i="1" s="1"/>
  <c r="Z26" i="1"/>
  <c r="Y26" i="1"/>
  <c r="Y25" i="1"/>
  <c r="Z25" i="1" s="1"/>
  <c r="Z24" i="1"/>
  <c r="Y24" i="1"/>
  <c r="Y23" i="1"/>
  <c r="Z23" i="1" s="1"/>
  <c r="Z22" i="1"/>
  <c r="Y22" i="1"/>
  <c r="Y21" i="1"/>
  <c r="Z21" i="1" s="1"/>
  <c r="Z20" i="1"/>
  <c r="Y20" i="1"/>
  <c r="Y19" i="1"/>
  <c r="Z19" i="1" s="1"/>
  <c r="Z18" i="1"/>
  <c r="Y18" i="1"/>
  <c r="Y17" i="1"/>
  <c r="Z17" i="1" s="1"/>
  <c r="Z16" i="1"/>
  <c r="Y16" i="1"/>
  <c r="Y15" i="1"/>
  <c r="Z15" i="1" s="1"/>
  <c r="Z14" i="1"/>
  <c r="Y14" i="1"/>
  <c r="Y13" i="1"/>
  <c r="Z13" i="1" s="1"/>
  <c r="Z12" i="1"/>
  <c r="Y12" i="1"/>
  <c r="Y11" i="1"/>
  <c r="Z11" i="1" s="1"/>
  <c r="Z10" i="1"/>
  <c r="Y10" i="1"/>
  <c r="I47" i="6"/>
  <c r="G47" i="6"/>
  <c r="E47" i="6"/>
  <c r="C47" i="6"/>
  <c r="I46" i="6"/>
  <c r="G46" i="6"/>
  <c r="E46" i="6"/>
  <c r="C46" i="6"/>
  <c r="I45" i="6"/>
  <c r="G45" i="6"/>
  <c r="E45" i="6"/>
  <c r="C45" i="6"/>
  <c r="I44" i="6"/>
  <c r="G44" i="6"/>
  <c r="E44" i="6"/>
  <c r="C44" i="6"/>
  <c r="I43" i="6"/>
  <c r="G43" i="6"/>
  <c r="E43" i="6"/>
  <c r="C43" i="6"/>
  <c r="I42" i="6"/>
  <c r="G42" i="6"/>
  <c r="E42" i="6"/>
  <c r="C42" i="6"/>
  <c r="I41" i="6"/>
  <c r="G41" i="6"/>
  <c r="E41" i="6"/>
  <c r="C41" i="6"/>
  <c r="I40" i="6"/>
  <c r="G40" i="6"/>
  <c r="E40" i="6"/>
  <c r="C40" i="6"/>
  <c r="I39" i="6"/>
  <c r="G39" i="6"/>
  <c r="E39" i="6"/>
  <c r="C39" i="6"/>
  <c r="I38" i="6"/>
  <c r="G38" i="6"/>
  <c r="E38" i="6"/>
  <c r="C38" i="6"/>
  <c r="I37" i="6"/>
  <c r="G37" i="6"/>
  <c r="E37" i="6"/>
  <c r="C37" i="6"/>
  <c r="I36" i="6"/>
  <c r="G36" i="6"/>
  <c r="E36" i="6"/>
  <c r="C36" i="6"/>
  <c r="I35" i="6"/>
  <c r="G35" i="6"/>
  <c r="E35" i="6"/>
  <c r="C35" i="6"/>
  <c r="I34" i="6"/>
  <c r="G34" i="6"/>
  <c r="E34" i="6"/>
  <c r="C34" i="6"/>
  <c r="I33" i="6"/>
  <c r="G33" i="6"/>
  <c r="E33" i="6"/>
  <c r="C33" i="6"/>
  <c r="I32" i="6"/>
  <c r="G32" i="6"/>
  <c r="E32" i="6"/>
  <c r="C32" i="6"/>
  <c r="I31" i="6"/>
  <c r="G31" i="6"/>
  <c r="E31" i="6"/>
  <c r="C31" i="6"/>
  <c r="I30" i="6"/>
  <c r="G30" i="6"/>
  <c r="E30" i="6"/>
  <c r="C30" i="6"/>
  <c r="I29" i="6"/>
  <c r="G29" i="6"/>
  <c r="E29" i="6"/>
  <c r="C29" i="6"/>
  <c r="I28" i="6"/>
  <c r="G28" i="6"/>
  <c r="E28" i="6"/>
  <c r="C28" i="6"/>
  <c r="I27" i="6"/>
  <c r="G27" i="6"/>
  <c r="E27" i="6"/>
  <c r="C27" i="6"/>
  <c r="I26" i="6"/>
  <c r="G26" i="6"/>
  <c r="E26" i="6"/>
  <c r="C26" i="6"/>
  <c r="I25" i="6"/>
  <c r="G25" i="6"/>
  <c r="E25" i="6"/>
  <c r="C25" i="6"/>
  <c r="I24" i="6"/>
  <c r="G24" i="6"/>
  <c r="E24" i="6"/>
  <c r="C24" i="6"/>
  <c r="I23" i="6"/>
  <c r="G23" i="6"/>
  <c r="E23" i="6"/>
  <c r="C23" i="6"/>
  <c r="I22" i="6"/>
  <c r="G22" i="6"/>
  <c r="E22" i="6"/>
  <c r="C22" i="6"/>
  <c r="I21" i="6"/>
  <c r="G21" i="6"/>
  <c r="E21" i="6"/>
  <c r="C21" i="6"/>
  <c r="I20" i="6"/>
  <c r="G20" i="6"/>
  <c r="E20" i="6"/>
  <c r="C20" i="6"/>
  <c r="I19" i="6"/>
  <c r="G19" i="6"/>
  <c r="E19" i="6"/>
  <c r="C19" i="6"/>
  <c r="I18" i="6"/>
  <c r="G18" i="6"/>
  <c r="E18" i="6"/>
  <c r="C18" i="6"/>
  <c r="I17" i="6"/>
  <c r="G17" i="6"/>
  <c r="E17" i="6"/>
  <c r="C17" i="6"/>
  <c r="I16" i="6"/>
  <c r="I48" i="6" s="1"/>
  <c r="G16" i="6"/>
  <c r="G48" i="6" s="1"/>
  <c r="E16" i="6"/>
  <c r="E48" i="6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M48" i="4"/>
  <c r="P43" i="4"/>
  <c r="C43" i="4"/>
  <c r="M42" i="4"/>
  <c r="J42" i="4"/>
  <c r="K42" i="4" s="1"/>
  <c r="M41" i="4"/>
  <c r="K41" i="4"/>
  <c r="J41" i="4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K33" i="4"/>
  <c r="J33" i="4"/>
  <c r="M32" i="4"/>
  <c r="K32" i="4"/>
  <c r="J32" i="4"/>
  <c r="M31" i="4"/>
  <c r="K31" i="4"/>
  <c r="J31" i="4"/>
  <c r="M30" i="4"/>
  <c r="J30" i="4"/>
  <c r="K30" i="4" s="1"/>
  <c r="M29" i="4"/>
  <c r="K29" i="4"/>
  <c r="J29" i="4"/>
  <c r="M28" i="4"/>
  <c r="K28" i="4"/>
  <c r="J28" i="4"/>
  <c r="M27" i="4"/>
  <c r="K27" i="4"/>
  <c r="J27" i="4"/>
  <c r="M26" i="4"/>
  <c r="J26" i="4"/>
  <c r="K26" i="4" s="1"/>
  <c r="M25" i="4"/>
  <c r="K25" i="4"/>
  <c r="J25" i="4"/>
  <c r="M24" i="4"/>
  <c r="J24" i="4"/>
  <c r="K24" i="4" s="1"/>
  <c r="M23" i="4"/>
  <c r="J23" i="4"/>
  <c r="K23" i="4" s="1"/>
  <c r="M22" i="4"/>
  <c r="J22" i="4"/>
  <c r="K22" i="4" s="1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M17" i="4"/>
  <c r="K17" i="4"/>
  <c r="J17" i="4"/>
  <c r="M16" i="4"/>
  <c r="K16" i="4"/>
  <c r="J16" i="4"/>
  <c r="M15" i="4"/>
  <c r="K15" i="4"/>
  <c r="J15" i="4"/>
  <c r="M14" i="4"/>
  <c r="J14" i="4"/>
  <c r="K14" i="4" s="1"/>
  <c r="M13" i="4"/>
  <c r="K13" i="4"/>
  <c r="J13" i="4"/>
  <c r="M12" i="4"/>
  <c r="K12" i="4"/>
  <c r="J12" i="4"/>
  <c r="M11" i="4"/>
  <c r="K11" i="4"/>
  <c r="J11" i="4"/>
  <c r="J10" i="4"/>
  <c r="J9" i="4"/>
  <c r="J8" i="4"/>
  <c r="M7" i="4"/>
  <c r="K7" i="4"/>
  <c r="J7" i="4"/>
  <c r="M6" i="4"/>
  <c r="K6" i="4"/>
  <c r="J6" i="4"/>
  <c r="M5" i="4"/>
  <c r="K5" i="4"/>
  <c r="J5" i="4"/>
  <c r="M4" i="4"/>
  <c r="K4" i="4"/>
  <c r="J4" i="4"/>
  <c r="K11" i="1" l="1"/>
  <c r="L11" i="1"/>
  <c r="K12" i="1"/>
  <c r="L13" i="1"/>
  <c r="K14" i="1"/>
  <c r="L14" i="1"/>
  <c r="K15" i="1"/>
  <c r="L15" i="1"/>
  <c r="K16" i="1"/>
  <c r="K17" i="1"/>
  <c r="L17" i="1"/>
  <c r="K18" i="1"/>
  <c r="L18" i="1"/>
  <c r="K19" i="1"/>
  <c r="L19" i="1"/>
  <c r="K21" i="1"/>
  <c r="L21" i="1"/>
  <c r="K22" i="1"/>
  <c r="L22" i="1"/>
  <c r="L23" i="1"/>
  <c r="K24" i="1"/>
  <c r="K25" i="1"/>
  <c r="L25" i="1"/>
  <c r="L26" i="1"/>
  <c r="J27" i="1"/>
  <c r="K27" i="1"/>
  <c r="L27" i="1"/>
  <c r="K28" i="1"/>
  <c r="L29" i="1"/>
  <c r="K30" i="1"/>
  <c r="L30" i="1"/>
  <c r="K31" i="1"/>
  <c r="L31" i="1"/>
  <c r="K32" i="1"/>
  <c r="K33" i="1"/>
  <c r="L33" i="1"/>
  <c r="K34" i="1"/>
  <c r="L34" i="1"/>
  <c r="K35" i="1"/>
  <c r="L35" i="1"/>
  <c r="J36" i="1"/>
  <c r="K37" i="1"/>
  <c r="L37" i="1"/>
  <c r="J38" i="1"/>
  <c r="K38" i="1"/>
  <c r="L38" i="1"/>
  <c r="L39" i="1"/>
  <c r="L40" i="1"/>
  <c r="K40" i="1"/>
  <c r="J40" i="1"/>
  <c r="D40" i="1"/>
  <c r="K39" i="1"/>
  <c r="J39" i="1"/>
  <c r="D39" i="1"/>
  <c r="D38" i="1"/>
  <c r="J37" i="1"/>
  <c r="D37" i="1"/>
  <c r="L36" i="1"/>
  <c r="K36" i="1"/>
  <c r="D36" i="1"/>
  <c r="J35" i="1"/>
  <c r="D35" i="1"/>
  <c r="J34" i="1"/>
  <c r="D34" i="1"/>
  <c r="J33" i="1"/>
  <c r="D33" i="1"/>
  <c r="L32" i="1"/>
  <c r="J32" i="1"/>
  <c r="D32" i="1"/>
  <c r="J31" i="1"/>
  <c r="D31" i="1"/>
  <c r="J30" i="1"/>
  <c r="D30" i="1"/>
  <c r="K29" i="1"/>
  <c r="J29" i="1"/>
  <c r="D29" i="1"/>
  <c r="L28" i="1"/>
  <c r="J28" i="1"/>
  <c r="D28" i="1"/>
  <c r="D27" i="1"/>
  <c r="K26" i="1"/>
  <c r="J26" i="1"/>
  <c r="D26" i="1"/>
  <c r="J25" i="1"/>
  <c r="D25" i="1"/>
  <c r="L24" i="1"/>
  <c r="J24" i="1"/>
  <c r="D24" i="1"/>
  <c r="K23" i="1"/>
  <c r="J23" i="1"/>
  <c r="D23" i="1"/>
  <c r="J22" i="1"/>
  <c r="D22" i="1"/>
  <c r="J21" i="1"/>
  <c r="D21" i="1"/>
  <c r="L20" i="1"/>
  <c r="K20" i="1"/>
  <c r="J20" i="1"/>
  <c r="D20" i="1"/>
  <c r="J19" i="1"/>
  <c r="D19" i="1"/>
  <c r="J18" i="1"/>
  <c r="D18" i="1"/>
  <c r="J17" i="1"/>
  <c r="D17" i="1"/>
  <c r="L16" i="1"/>
  <c r="J16" i="1"/>
  <c r="D16" i="1"/>
  <c r="J15" i="1"/>
  <c r="D15" i="1"/>
  <c r="J14" i="1"/>
  <c r="D14" i="1"/>
  <c r="K13" i="1"/>
  <c r="J13" i="1"/>
  <c r="D13" i="1"/>
  <c r="L12" i="1"/>
  <c r="J12" i="1"/>
  <c r="D12" i="1"/>
  <c r="J11" i="1"/>
  <c r="D11" i="1"/>
  <c r="D10" i="1" l="1"/>
  <c r="J10" i="1"/>
  <c r="K10" i="1"/>
  <c r="L10" i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M5" i="10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30" i="10"/>
  <c r="M12" i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C37" i="4" l="1"/>
  <c r="I37" i="4"/>
  <c r="L37" i="4"/>
  <c r="N37" i="4" s="1"/>
  <c r="O37" i="4" s="1"/>
  <c r="P37" i="4" s="1"/>
  <c r="G37" i="4"/>
  <c r="E37" i="4"/>
  <c r="C29" i="4"/>
  <c r="L29" i="4"/>
  <c r="N29" i="4" s="1"/>
  <c r="O29" i="4" s="1"/>
  <c r="P29" i="4" s="1"/>
  <c r="G29" i="4"/>
  <c r="E29" i="4"/>
  <c r="I29" i="4"/>
  <c r="C21" i="4"/>
  <c r="I21" i="4"/>
  <c r="L21" i="4"/>
  <c r="N21" i="4" s="1"/>
  <c r="O21" i="4" s="1"/>
  <c r="P21" i="4" s="1"/>
  <c r="G21" i="4"/>
  <c r="E21" i="4"/>
  <c r="C13" i="4"/>
  <c r="L13" i="4"/>
  <c r="N13" i="4" s="1"/>
  <c r="O13" i="4" s="1"/>
  <c r="P13" i="4" s="1"/>
  <c r="G13" i="4"/>
  <c r="E13" i="4"/>
  <c r="I13" i="4"/>
  <c r="L5" i="4"/>
  <c r="N5" i="4" s="1"/>
  <c r="O5" i="4" s="1"/>
  <c r="P5" i="4" s="1"/>
  <c r="G5" i="4"/>
  <c r="I5" i="4"/>
  <c r="E5" i="4"/>
  <c r="C5" i="4"/>
  <c r="L39" i="4"/>
  <c r="N39" i="4" s="1"/>
  <c r="O39" i="4" s="1"/>
  <c r="P39" i="4" s="1"/>
  <c r="G39" i="4"/>
  <c r="I39" i="4"/>
  <c r="E39" i="4"/>
  <c r="C39" i="4"/>
  <c r="L35" i="4"/>
  <c r="N35" i="4" s="1"/>
  <c r="O35" i="4" s="1"/>
  <c r="P35" i="4" s="1"/>
  <c r="G35" i="4"/>
  <c r="E35" i="4"/>
  <c r="C35" i="4"/>
  <c r="I35" i="4"/>
  <c r="L31" i="4"/>
  <c r="N31" i="4" s="1"/>
  <c r="O31" i="4" s="1"/>
  <c r="P31" i="4" s="1"/>
  <c r="G31" i="4"/>
  <c r="C31" i="4"/>
  <c r="I31" i="4"/>
  <c r="E31" i="4"/>
  <c r="L27" i="4"/>
  <c r="N27" i="4" s="1"/>
  <c r="O27" i="4" s="1"/>
  <c r="P27" i="4" s="1"/>
  <c r="G27" i="4"/>
  <c r="I27" i="4"/>
  <c r="E27" i="4"/>
  <c r="C27" i="4"/>
  <c r="L23" i="4"/>
  <c r="N23" i="4" s="1"/>
  <c r="O23" i="4" s="1"/>
  <c r="P23" i="4" s="1"/>
  <c r="G23" i="4"/>
  <c r="I23" i="4"/>
  <c r="E23" i="4"/>
  <c r="C23" i="4"/>
  <c r="L19" i="4"/>
  <c r="N19" i="4" s="1"/>
  <c r="O19" i="4" s="1"/>
  <c r="P19" i="4" s="1"/>
  <c r="G19" i="4"/>
  <c r="E19" i="4"/>
  <c r="C19" i="4"/>
  <c r="I19" i="4"/>
  <c r="L15" i="4"/>
  <c r="N15" i="4" s="1"/>
  <c r="O15" i="4" s="1"/>
  <c r="P15" i="4" s="1"/>
  <c r="G15" i="4"/>
  <c r="C15" i="4"/>
  <c r="I15" i="4"/>
  <c r="E15" i="4"/>
  <c r="L11" i="4"/>
  <c r="N11" i="4" s="1"/>
  <c r="O11" i="4" s="1"/>
  <c r="P11" i="4" s="1"/>
  <c r="G11" i="4"/>
  <c r="I11" i="4"/>
  <c r="E11" i="4"/>
  <c r="C11" i="4"/>
  <c r="E4" i="4"/>
  <c r="C4" i="4"/>
  <c r="I4" i="4"/>
  <c r="L4" i="4"/>
  <c r="N4" i="4" s="1"/>
  <c r="O4" i="4" s="1"/>
  <c r="P4" i="4" s="1"/>
  <c r="G4" i="4"/>
  <c r="I40" i="4"/>
  <c r="G40" i="4"/>
  <c r="L40" i="4"/>
  <c r="N40" i="4" s="1"/>
  <c r="O40" i="4" s="1"/>
  <c r="P40" i="4" s="1"/>
  <c r="E40" i="4"/>
  <c r="C40" i="4"/>
  <c r="I36" i="4"/>
  <c r="L36" i="4"/>
  <c r="N36" i="4" s="1"/>
  <c r="O36" i="4" s="1"/>
  <c r="P36" i="4" s="1"/>
  <c r="E36" i="4"/>
  <c r="C36" i="4"/>
  <c r="G36" i="4"/>
  <c r="I32" i="4"/>
  <c r="C32" i="4"/>
  <c r="G32" i="4"/>
  <c r="L32" i="4"/>
  <c r="N32" i="4" s="1"/>
  <c r="O32" i="4" s="1"/>
  <c r="P32" i="4" s="1"/>
  <c r="E32" i="4"/>
  <c r="I28" i="4"/>
  <c r="G28" i="4"/>
  <c r="L28" i="4"/>
  <c r="N28" i="4" s="1"/>
  <c r="O28" i="4" s="1"/>
  <c r="P28" i="4" s="1"/>
  <c r="E28" i="4"/>
  <c r="C28" i="4"/>
  <c r="I24" i="4"/>
  <c r="G24" i="4"/>
  <c r="L24" i="4"/>
  <c r="N24" i="4" s="1"/>
  <c r="O24" i="4" s="1"/>
  <c r="P24" i="4" s="1"/>
  <c r="E24" i="4"/>
  <c r="C24" i="4"/>
  <c r="I20" i="4"/>
  <c r="L20" i="4"/>
  <c r="N20" i="4" s="1"/>
  <c r="O20" i="4" s="1"/>
  <c r="P20" i="4" s="1"/>
  <c r="E20" i="4"/>
  <c r="C20" i="4"/>
  <c r="G20" i="4"/>
  <c r="I16" i="4"/>
  <c r="C16" i="4"/>
  <c r="G16" i="4"/>
  <c r="L16" i="4"/>
  <c r="N16" i="4" s="1"/>
  <c r="O16" i="4" s="1"/>
  <c r="P16" i="4" s="1"/>
  <c r="E16" i="4"/>
  <c r="I12" i="4"/>
  <c r="G12" i="4"/>
  <c r="L12" i="4"/>
  <c r="N12" i="4" s="1"/>
  <c r="O12" i="4" s="1"/>
  <c r="P12" i="4" s="1"/>
  <c r="E12" i="4"/>
  <c r="C12" i="4"/>
  <c r="L8" i="4"/>
  <c r="N8" i="4" s="1"/>
  <c r="O8" i="4" s="1"/>
  <c r="P8" i="4" s="1"/>
  <c r="E8" i="4"/>
  <c r="C8" i="4"/>
  <c r="I8" i="4"/>
  <c r="G8" i="4"/>
  <c r="C7" i="4"/>
  <c r="L7" i="4"/>
  <c r="N7" i="4" s="1"/>
  <c r="O7" i="4" s="1"/>
  <c r="P7" i="4" s="1"/>
  <c r="G7" i="4"/>
  <c r="E7" i="4"/>
  <c r="I7" i="4"/>
  <c r="C41" i="4"/>
  <c r="E41" i="4"/>
  <c r="I41" i="4"/>
  <c r="L41" i="4"/>
  <c r="N41" i="4" s="1"/>
  <c r="O41" i="4" s="1"/>
  <c r="P41" i="4" s="1"/>
  <c r="G41" i="4"/>
  <c r="C33" i="4"/>
  <c r="I33" i="4"/>
  <c r="L33" i="4"/>
  <c r="N33" i="4" s="1"/>
  <c r="O33" i="4" s="1"/>
  <c r="P33" i="4" s="1"/>
  <c r="G33" i="4"/>
  <c r="E33" i="4"/>
  <c r="C25" i="4"/>
  <c r="E25" i="4"/>
  <c r="I25" i="4"/>
  <c r="L25" i="4"/>
  <c r="N25" i="4" s="1"/>
  <c r="O25" i="4" s="1"/>
  <c r="P25" i="4" s="1"/>
  <c r="G25" i="4"/>
  <c r="C17" i="4"/>
  <c r="I17" i="4"/>
  <c r="L17" i="4"/>
  <c r="N17" i="4" s="1"/>
  <c r="O17" i="4" s="1"/>
  <c r="P17" i="4" s="1"/>
  <c r="G17" i="4"/>
  <c r="E17" i="4"/>
  <c r="C9" i="4"/>
  <c r="G9" i="4"/>
  <c r="L9" i="4"/>
  <c r="N9" i="4" s="1"/>
  <c r="O9" i="4" s="1"/>
  <c r="P9" i="4" s="1"/>
  <c r="E9" i="4"/>
  <c r="I9" i="4"/>
  <c r="I6" i="4"/>
  <c r="G6" i="4"/>
  <c r="L6" i="4"/>
  <c r="N6" i="4" s="1"/>
  <c r="O6" i="4" s="1"/>
  <c r="P6" i="4" s="1"/>
  <c r="E6" i="4"/>
  <c r="C6" i="4"/>
  <c r="E42" i="4"/>
  <c r="I42" i="4"/>
  <c r="G42" i="4"/>
  <c r="L42" i="4"/>
  <c r="N42" i="4" s="1"/>
  <c r="O42" i="4" s="1"/>
  <c r="P42" i="4" s="1"/>
  <c r="C42" i="4"/>
  <c r="E38" i="4"/>
  <c r="I38" i="4"/>
  <c r="G38" i="4"/>
  <c r="L38" i="4"/>
  <c r="N38" i="4" s="1"/>
  <c r="O38" i="4" s="1"/>
  <c r="P38" i="4" s="1"/>
  <c r="C38" i="4"/>
  <c r="E34" i="4"/>
  <c r="G34" i="4"/>
  <c r="L34" i="4"/>
  <c r="N34" i="4" s="1"/>
  <c r="O34" i="4" s="1"/>
  <c r="P34" i="4" s="1"/>
  <c r="C34" i="4"/>
  <c r="I34" i="4"/>
  <c r="E30" i="4"/>
  <c r="L30" i="4"/>
  <c r="N30" i="4" s="1"/>
  <c r="O30" i="4" s="1"/>
  <c r="P30" i="4" s="1"/>
  <c r="C30" i="4"/>
  <c r="I30" i="4"/>
  <c r="G30" i="4"/>
  <c r="E26" i="4"/>
  <c r="I26" i="4"/>
  <c r="G26" i="4"/>
  <c r="L26" i="4"/>
  <c r="N26" i="4" s="1"/>
  <c r="O26" i="4" s="1"/>
  <c r="P26" i="4" s="1"/>
  <c r="C26" i="4"/>
  <c r="E22" i="4"/>
  <c r="I22" i="4"/>
  <c r="G22" i="4"/>
  <c r="L22" i="4"/>
  <c r="N22" i="4" s="1"/>
  <c r="O22" i="4" s="1"/>
  <c r="P22" i="4" s="1"/>
  <c r="C22" i="4"/>
  <c r="E18" i="4"/>
  <c r="G18" i="4"/>
  <c r="L18" i="4"/>
  <c r="N18" i="4" s="1"/>
  <c r="O18" i="4" s="1"/>
  <c r="P18" i="4" s="1"/>
  <c r="C18" i="4"/>
  <c r="I18" i="4"/>
  <c r="E14" i="4"/>
  <c r="L14" i="4"/>
  <c r="N14" i="4" s="1"/>
  <c r="O14" i="4" s="1"/>
  <c r="P14" i="4" s="1"/>
  <c r="C14" i="4"/>
  <c r="I14" i="4"/>
  <c r="G14" i="4"/>
  <c r="I10" i="4"/>
  <c r="G10" i="4"/>
  <c r="E10" i="4"/>
  <c r="L10" i="4"/>
  <c r="N10" i="4" s="1"/>
  <c r="O10" i="4" s="1"/>
  <c r="P10" i="4" s="1"/>
  <c r="C10" i="4"/>
  <c r="I22" i="10"/>
  <c r="AC43" i="4"/>
  <c r="K48" i="4" s="1"/>
  <c r="L48" i="4" s="1"/>
  <c r="I20" i="10"/>
  <c r="I32" i="10"/>
  <c r="M39" i="1"/>
  <c r="E31" i="10" s="1"/>
  <c r="I31" i="10"/>
  <c r="M37" i="1"/>
  <c r="O37" i="1" s="1"/>
  <c r="M38" i="1"/>
  <c r="E30" i="10" s="1"/>
  <c r="U38" i="1"/>
  <c r="W38" i="1" s="1"/>
  <c r="I28" i="10"/>
  <c r="I29" i="10"/>
  <c r="M34" i="1"/>
  <c r="E26" i="10" s="1"/>
  <c r="M35" i="1"/>
  <c r="O35" i="1" s="1"/>
  <c r="I26" i="10"/>
  <c r="I25" i="10"/>
  <c r="M31" i="1"/>
  <c r="E23" i="10" s="1"/>
  <c r="M32" i="1"/>
  <c r="E24" i="10" s="1"/>
  <c r="I23" i="10"/>
  <c r="I21" i="10"/>
  <c r="I19" i="10"/>
  <c r="M27" i="1"/>
  <c r="E19" i="10" s="1"/>
  <c r="I18" i="10"/>
  <c r="I17" i="10"/>
  <c r="M22" i="1"/>
  <c r="E14" i="10" s="1"/>
  <c r="M17" i="1"/>
  <c r="E9" i="10" s="1"/>
  <c r="M15" i="1"/>
  <c r="O15" i="1" s="1"/>
  <c r="I10" i="10"/>
  <c r="Y41" i="1"/>
  <c r="I3" i="10"/>
  <c r="I8" i="10"/>
  <c r="I12" i="10"/>
  <c r="I6" i="10"/>
  <c r="I4" i="10"/>
  <c r="I9" i="10"/>
  <c r="I13" i="10"/>
  <c r="I7" i="10"/>
  <c r="I15" i="10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D41" i="1"/>
  <c r="G46" i="1" s="1"/>
  <c r="J46" i="1" s="1"/>
  <c r="L46" i="1" s="1"/>
  <c r="G43" i="1"/>
  <c r="J43" i="1" s="1"/>
  <c r="M30" i="1"/>
  <c r="F31" i="1"/>
  <c r="F33" i="1"/>
  <c r="I24" i="10"/>
  <c r="U24" i="1" l="1"/>
  <c r="W24" i="1" s="1"/>
  <c r="O38" i="1"/>
  <c r="O22" i="1"/>
  <c r="G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U26" i="1"/>
  <c r="U13" i="1"/>
  <c r="W13" i="1" s="1"/>
  <c r="U20" i="1"/>
  <c r="W20" i="1" s="1"/>
  <c r="U21" i="1"/>
  <c r="W21" i="1" s="1"/>
  <c r="U15" i="1"/>
  <c r="W15" i="1" s="1"/>
  <c r="U14" i="1"/>
  <c r="W14" i="1" s="1"/>
  <c r="U22" i="1"/>
  <c r="W22" i="1" s="1"/>
  <c r="U18" i="1"/>
  <c r="W18" i="1" s="1"/>
  <c r="U16" i="1"/>
  <c r="W16" i="1" s="1"/>
  <c r="U17" i="1"/>
  <c r="W17" i="1" s="1"/>
  <c r="U19" i="1"/>
  <c r="W19" i="1" s="1"/>
  <c r="U12" i="1"/>
  <c r="W12" i="1" s="1"/>
  <c r="O39" i="1"/>
  <c r="O40" i="1"/>
  <c r="U40" i="1"/>
  <c r="W40" i="1" s="1"/>
  <c r="U39" i="1"/>
  <c r="W39" i="1" s="1"/>
  <c r="U36" i="1"/>
  <c r="W36" i="1" s="1"/>
  <c r="U37" i="1"/>
  <c r="W37" i="1" s="1"/>
  <c r="O34" i="1"/>
  <c r="U35" i="1"/>
  <c r="W35" i="1" s="1"/>
  <c r="E25" i="10"/>
  <c r="U34" i="1"/>
  <c r="W34" i="1" s="1"/>
  <c r="U33" i="1"/>
  <c r="W33" i="1" s="1"/>
  <c r="U30" i="1"/>
  <c r="W30" i="1" s="1"/>
  <c r="U31" i="1"/>
  <c r="W31" i="1" s="1"/>
  <c r="U32" i="1"/>
  <c r="W32" i="1" s="1"/>
  <c r="U29" i="1"/>
  <c r="W29" i="1" s="1"/>
  <c r="U28" i="1"/>
  <c r="W28" i="1" s="1"/>
  <c r="U27" i="1"/>
  <c r="W27" i="1" s="1"/>
  <c r="U25" i="1"/>
  <c r="W25" i="1" s="1"/>
  <c r="U23" i="1"/>
  <c r="W23" i="1" s="1"/>
  <c r="E18" i="10"/>
  <c r="O32" i="1"/>
  <c r="O29" i="1"/>
  <c r="O23" i="1"/>
  <c r="O10" i="1"/>
  <c r="F41" i="1"/>
  <c r="O36" i="1"/>
  <c r="E27" i="10"/>
  <c r="Z41" i="1"/>
  <c r="M41" i="1"/>
  <c r="G30" i="10"/>
  <c r="G4" i="10"/>
  <c r="O4" i="10" s="1"/>
  <c r="O30" i="1"/>
  <c r="E22" i="10"/>
  <c r="G13" i="10" l="1"/>
  <c r="O13" i="10" s="1"/>
  <c r="G10" i="10"/>
  <c r="O10" i="10" s="1"/>
  <c r="G5" i="10"/>
  <c r="O5" i="10" s="1"/>
  <c r="U10" i="1"/>
  <c r="W10" i="1" s="1"/>
  <c r="G17" i="10"/>
  <c r="O17" i="10" s="1"/>
  <c r="U11" i="1"/>
  <c r="W11" i="1" s="1"/>
  <c r="G18" i="10"/>
  <c r="O18" i="10" s="1"/>
  <c r="W26" i="1"/>
  <c r="G28" i="10"/>
  <c r="O28" i="10" s="1"/>
  <c r="G14" i="10"/>
  <c r="O14" i="10" s="1"/>
  <c r="G22" i="10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<sst xmlns="http://schemas.openxmlformats.org/spreadsheetml/2006/main" count="125" uniqueCount="82">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</sst>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49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4" fillId="0" borderId="50" xfId="0" applyFont="1" applyBorder="1" applyAlignment="1">
      <alignment horizontal="center" vertical="center" wrapText="1"/>
    </xf>
    <xf numFmtId="0" fontId="26" fillId="17" borderId="7" xfId="0" applyFont="1" applyFill="1" applyBorder="1" applyAlignment="1">
      <alignment horizontal="center" vertical="center" wrapText="1"/>
    </xf>
    <xf numFmtId="2" fontId="7" fillId="17" borderId="21" xfId="0" applyNumberFormat="1" applyFont="1" applyFill="1" applyBorder="1" applyAlignment="1">
      <alignment horizontal="center" vertical="center"/>
    </xf>
    <xf numFmtId="0" fontId="26" fillId="17" borderId="51" xfId="0" applyFont="1" applyFill="1" applyBorder="1" applyAlignment="1">
      <alignment horizontal="center" vertical="center" wrapText="1"/>
    </xf>
    <xf numFmtId="0" fontId="26" fillId="17" borderId="6" xfId="0" applyFont="1" applyFill="1" applyBorder="1" applyAlignment="1">
      <alignment horizontal="center" vertical="center" wrapText="1"/>
    </xf>
    <xf numFmtId="0" fontId="26" fillId="17" borderId="52" xfId="0" applyFont="1" applyFill="1" applyBorder="1" applyAlignment="1">
      <alignment horizontal="center" vertical="center" wrapText="1"/>
    </xf>
    <xf numFmtId="0" fontId="26" fillId="17" borderId="16" xfId="0" applyFont="1" applyFill="1" applyBorder="1" applyAlignment="1">
      <alignment horizontal="center" vertical="center" wrapText="1"/>
    </xf>
    <xf numFmtId="0" fontId="26" fillId="17" borderId="2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3 2" xfId="3"/>
  </cellStyles>
  <dxfs count="7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370</c:v>
                </c:pt>
                <c:pt idx="1">
                  <c:v>350</c:v>
                </c:pt>
                <c:pt idx="2">
                  <c:v>360</c:v>
                </c:pt>
                <c:pt idx="3">
                  <c:v>410</c:v>
                </c:pt>
                <c:pt idx="4">
                  <c:v>350</c:v>
                </c:pt>
                <c:pt idx="5">
                  <c:v>330</c:v>
                </c:pt>
                <c:pt idx="6">
                  <c:v>350</c:v>
                </c:pt>
                <c:pt idx="7">
                  <c:v>310</c:v>
                </c:pt>
                <c:pt idx="8">
                  <c:v>270</c:v>
                </c:pt>
                <c:pt idx="9">
                  <c:v>300</c:v>
                </c:pt>
                <c:pt idx="10">
                  <c:v>310</c:v>
                </c:pt>
                <c:pt idx="11">
                  <c:v>320</c:v>
                </c:pt>
                <c:pt idx="12">
                  <c:v>330</c:v>
                </c:pt>
                <c:pt idx="13">
                  <c:v>340</c:v>
                </c:pt>
                <c:pt idx="14">
                  <c:v>300</c:v>
                </c:pt>
                <c:pt idx="15">
                  <c:v>300</c:v>
                </c:pt>
                <c:pt idx="16">
                  <c:v>330</c:v>
                </c:pt>
                <c:pt idx="17">
                  <c:v>350</c:v>
                </c:pt>
                <c:pt idx="18">
                  <c:v>360</c:v>
                </c:pt>
                <c:pt idx="19">
                  <c:v>300</c:v>
                </c:pt>
                <c:pt idx="20">
                  <c:v>310</c:v>
                </c:pt>
                <c:pt idx="21">
                  <c:v>360</c:v>
                </c:pt>
                <c:pt idx="22">
                  <c:v>310</c:v>
                </c:pt>
                <c:pt idx="23">
                  <c:v>330</c:v>
                </c:pt>
                <c:pt idx="24">
                  <c:v>320</c:v>
                </c:pt>
                <c:pt idx="25">
                  <c:v>310</c:v>
                </c:pt>
                <c:pt idx="26">
                  <c:v>300</c:v>
                </c:pt>
                <c:pt idx="27">
                  <c:v>340</c:v>
                </c:pt>
                <c:pt idx="28">
                  <c:v>300</c:v>
                </c:pt>
                <c:pt idx="29">
                  <c:v>300</c:v>
                </c:pt>
                <c:pt idx="30">
                  <c:v>310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35712"/>
        <c:axId val="86437248"/>
      </c:lineChart>
      <c:dateAx>
        <c:axId val="8643571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7248"/>
        <c:crosses val="autoZero"/>
        <c:auto val="1"/>
        <c:lblOffset val="100"/>
        <c:baseTimeUnit val="days"/>
      </c:dateAx>
      <c:valAx>
        <c:axId val="8643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57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4606</c:v>
                </c:pt>
                <c:pt idx="1">
                  <c:v>4289</c:v>
                </c:pt>
                <c:pt idx="2">
                  <c:v>4218</c:v>
                </c:pt>
                <c:pt idx="3">
                  <c:v>4290</c:v>
                </c:pt>
                <c:pt idx="4">
                  <c:v>4138</c:v>
                </c:pt>
                <c:pt idx="5">
                  <c:v>4186</c:v>
                </c:pt>
                <c:pt idx="6">
                  <c:v>4317</c:v>
                </c:pt>
                <c:pt idx="7">
                  <c:v>4074</c:v>
                </c:pt>
                <c:pt idx="8">
                  <c:v>4129</c:v>
                </c:pt>
                <c:pt idx="9">
                  <c:v>4099</c:v>
                </c:pt>
                <c:pt idx="10">
                  <c:v>4222</c:v>
                </c:pt>
                <c:pt idx="11">
                  <c:v>4314</c:v>
                </c:pt>
                <c:pt idx="12">
                  <c:v>4563</c:v>
                </c:pt>
                <c:pt idx="13">
                  <c:v>4961</c:v>
                </c:pt>
                <c:pt idx="14">
                  <c:v>4990</c:v>
                </c:pt>
                <c:pt idx="15">
                  <c:v>4730</c:v>
                </c:pt>
                <c:pt idx="16">
                  <c:v>4740</c:v>
                </c:pt>
                <c:pt idx="17">
                  <c:v>4788</c:v>
                </c:pt>
                <c:pt idx="18">
                  <c:v>4431</c:v>
                </c:pt>
                <c:pt idx="19">
                  <c:v>4393</c:v>
                </c:pt>
                <c:pt idx="20">
                  <c:v>4652</c:v>
                </c:pt>
                <c:pt idx="21">
                  <c:v>4637</c:v>
                </c:pt>
                <c:pt idx="22">
                  <c:v>4450</c:v>
                </c:pt>
                <c:pt idx="23">
                  <c:v>4301</c:v>
                </c:pt>
                <c:pt idx="24">
                  <c:v>3786</c:v>
                </c:pt>
                <c:pt idx="25">
                  <c:v>4098</c:v>
                </c:pt>
                <c:pt idx="26">
                  <c:v>3972</c:v>
                </c:pt>
                <c:pt idx="27">
                  <c:v>4606</c:v>
                </c:pt>
                <c:pt idx="28">
                  <c:v>3534</c:v>
                </c:pt>
                <c:pt idx="29">
                  <c:v>3365</c:v>
                </c:pt>
                <c:pt idx="30">
                  <c:v>3857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6701</c:v>
                </c:pt>
                <c:pt idx="1">
                  <c:v>6866</c:v>
                </c:pt>
                <c:pt idx="2">
                  <c:v>6555</c:v>
                </c:pt>
                <c:pt idx="3">
                  <c:v>6732</c:v>
                </c:pt>
                <c:pt idx="4">
                  <c:v>6398</c:v>
                </c:pt>
                <c:pt idx="5">
                  <c:v>6125</c:v>
                </c:pt>
                <c:pt idx="6">
                  <c:v>6445</c:v>
                </c:pt>
                <c:pt idx="7">
                  <c:v>6756</c:v>
                </c:pt>
                <c:pt idx="8">
                  <c:v>6480</c:v>
                </c:pt>
                <c:pt idx="9">
                  <c:v>6541</c:v>
                </c:pt>
                <c:pt idx="10">
                  <c:v>6595</c:v>
                </c:pt>
                <c:pt idx="11">
                  <c:v>6859</c:v>
                </c:pt>
                <c:pt idx="12">
                  <c:v>6847</c:v>
                </c:pt>
                <c:pt idx="13">
                  <c:v>7337</c:v>
                </c:pt>
                <c:pt idx="14">
                  <c:v>7519</c:v>
                </c:pt>
                <c:pt idx="15">
                  <c:v>7447</c:v>
                </c:pt>
                <c:pt idx="16">
                  <c:v>7543</c:v>
                </c:pt>
                <c:pt idx="17">
                  <c:v>7043</c:v>
                </c:pt>
                <c:pt idx="18">
                  <c:v>6886</c:v>
                </c:pt>
                <c:pt idx="19">
                  <c:v>6817</c:v>
                </c:pt>
                <c:pt idx="20">
                  <c:v>7061</c:v>
                </c:pt>
                <c:pt idx="21">
                  <c:v>7211</c:v>
                </c:pt>
                <c:pt idx="22">
                  <c:v>7066</c:v>
                </c:pt>
                <c:pt idx="23">
                  <c:v>6724</c:v>
                </c:pt>
                <c:pt idx="24">
                  <c:v>6799</c:v>
                </c:pt>
                <c:pt idx="25">
                  <c:v>6046</c:v>
                </c:pt>
                <c:pt idx="26">
                  <c:v>6075</c:v>
                </c:pt>
                <c:pt idx="27">
                  <c:v>6072</c:v>
                </c:pt>
                <c:pt idx="28">
                  <c:v>5963</c:v>
                </c:pt>
                <c:pt idx="29">
                  <c:v>6122</c:v>
                </c:pt>
                <c:pt idx="30">
                  <c:v>6317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3142</c:v>
                </c:pt>
                <c:pt idx="1">
                  <c:v>3145</c:v>
                </c:pt>
                <c:pt idx="2">
                  <c:v>3007</c:v>
                </c:pt>
                <c:pt idx="3">
                  <c:v>3045</c:v>
                </c:pt>
                <c:pt idx="4">
                  <c:v>2973</c:v>
                </c:pt>
                <c:pt idx="5">
                  <c:v>2906</c:v>
                </c:pt>
                <c:pt idx="6">
                  <c:v>3031</c:v>
                </c:pt>
                <c:pt idx="7">
                  <c:v>2923</c:v>
                </c:pt>
                <c:pt idx="8">
                  <c:v>2935</c:v>
                </c:pt>
                <c:pt idx="9">
                  <c:v>3003</c:v>
                </c:pt>
                <c:pt idx="10">
                  <c:v>3118</c:v>
                </c:pt>
                <c:pt idx="11">
                  <c:v>3081</c:v>
                </c:pt>
                <c:pt idx="12">
                  <c:v>3367</c:v>
                </c:pt>
                <c:pt idx="13">
                  <c:v>3320</c:v>
                </c:pt>
                <c:pt idx="14">
                  <c:v>3433</c:v>
                </c:pt>
                <c:pt idx="15">
                  <c:v>3330</c:v>
                </c:pt>
                <c:pt idx="16">
                  <c:v>3363</c:v>
                </c:pt>
                <c:pt idx="17">
                  <c:v>3245</c:v>
                </c:pt>
                <c:pt idx="18">
                  <c:v>3194</c:v>
                </c:pt>
                <c:pt idx="19">
                  <c:v>3029</c:v>
                </c:pt>
                <c:pt idx="20">
                  <c:v>3141</c:v>
                </c:pt>
                <c:pt idx="21">
                  <c:v>3187</c:v>
                </c:pt>
                <c:pt idx="22">
                  <c:v>3216</c:v>
                </c:pt>
                <c:pt idx="23">
                  <c:v>3105</c:v>
                </c:pt>
                <c:pt idx="24">
                  <c:v>2912</c:v>
                </c:pt>
                <c:pt idx="25">
                  <c:v>2763</c:v>
                </c:pt>
                <c:pt idx="26">
                  <c:v>2636</c:v>
                </c:pt>
                <c:pt idx="27">
                  <c:v>2642</c:v>
                </c:pt>
                <c:pt idx="28">
                  <c:v>2763</c:v>
                </c:pt>
                <c:pt idx="29">
                  <c:v>2740</c:v>
                </c:pt>
                <c:pt idx="30">
                  <c:v>2820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48448"/>
        <c:axId val="84249984"/>
      </c:lineChart>
      <c:dateAx>
        <c:axId val="842484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49984"/>
        <c:crosses val="autoZero"/>
        <c:auto val="1"/>
        <c:lblOffset val="100"/>
        <c:baseTimeUnit val="days"/>
      </c:dateAx>
      <c:valAx>
        <c:axId val="842499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1558.2</c:v>
                </c:pt>
                <c:pt idx="1">
                  <c:v>853.30000000000007</c:v>
                </c:pt>
                <c:pt idx="2">
                  <c:v>1817.9</c:v>
                </c:pt>
                <c:pt idx="3">
                  <c:v>1669.5</c:v>
                </c:pt>
                <c:pt idx="4">
                  <c:v>1892.1000000000001</c:v>
                </c:pt>
                <c:pt idx="5">
                  <c:v>1335.6000000000001</c:v>
                </c:pt>
                <c:pt idx="6">
                  <c:v>1595.3000000000002</c:v>
                </c:pt>
                <c:pt idx="7">
                  <c:v>1298.5</c:v>
                </c:pt>
                <c:pt idx="8">
                  <c:v>1966.3000000000002</c:v>
                </c:pt>
                <c:pt idx="9">
                  <c:v>1409.8000000000002</c:v>
                </c:pt>
                <c:pt idx="10">
                  <c:v>2040.5</c:v>
                </c:pt>
                <c:pt idx="11">
                  <c:v>1558.2</c:v>
                </c:pt>
                <c:pt idx="12">
                  <c:v>1372.7</c:v>
                </c:pt>
                <c:pt idx="13">
                  <c:v>1855</c:v>
                </c:pt>
                <c:pt idx="14">
                  <c:v>1706.6000000000001</c:v>
                </c:pt>
                <c:pt idx="15">
                  <c:v>1075.9000000000001</c:v>
                </c:pt>
                <c:pt idx="16">
                  <c:v>1484</c:v>
                </c:pt>
                <c:pt idx="17">
                  <c:v>1632.4</c:v>
                </c:pt>
                <c:pt idx="18">
                  <c:v>1521.1000000000001</c:v>
                </c:pt>
                <c:pt idx="19">
                  <c:v>1075.9000000000001</c:v>
                </c:pt>
                <c:pt idx="20">
                  <c:v>1113</c:v>
                </c:pt>
                <c:pt idx="21">
                  <c:v>1001.7</c:v>
                </c:pt>
                <c:pt idx="22">
                  <c:v>742</c:v>
                </c:pt>
                <c:pt idx="23">
                  <c:v>1113</c:v>
                </c:pt>
                <c:pt idx="24">
                  <c:v>742</c:v>
                </c:pt>
                <c:pt idx="25">
                  <c:v>779.1</c:v>
                </c:pt>
                <c:pt idx="26">
                  <c:v>704.90000000000009</c:v>
                </c:pt>
                <c:pt idx="27">
                  <c:v>890.40000000000009</c:v>
                </c:pt>
                <c:pt idx="28">
                  <c:v>890.40000000000009</c:v>
                </c:pt>
                <c:pt idx="29">
                  <c:v>779.1</c:v>
                </c:pt>
                <c:pt idx="30">
                  <c:v>890.40000000000009</c:v>
                </c:pt>
                <c:pt idx="31">
                  <c:v>482.3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62272"/>
        <c:axId val="84276352"/>
      </c:lineChart>
      <c:dateAx>
        <c:axId val="8426227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76352"/>
        <c:crosses val="autoZero"/>
        <c:auto val="1"/>
        <c:lblOffset val="100"/>
        <c:baseTimeUnit val="days"/>
      </c:dateAx>
      <c:valAx>
        <c:axId val="842763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6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P4" sqref="P4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0" t="s">
        <v>76</v>
      </c>
    </row>
    <row r="2" spans="1:15" x14ac:dyDescent="0.2">
      <c r="A2" s="109" t="s">
        <v>74</v>
      </c>
      <c r="B2">
        <v>1</v>
      </c>
      <c r="C2">
        <v>1</v>
      </c>
      <c r="D2" s="121">
        <v>2019</v>
      </c>
      <c r="E2" s="108">
        <f>'Consommation du 01.01 au 31.01'!M10</f>
        <v>15890</v>
      </c>
      <c r="F2" s="108">
        <v>1.002</v>
      </c>
      <c r="G2" s="108">
        <f>'Consommation du 01.01 au 31.01'!U10</f>
        <v>853.30000000000007</v>
      </c>
      <c r="H2" s="108">
        <v>9.65</v>
      </c>
      <c r="I2" s="108">
        <f>'Consommation du 01.01 au 31.01'!Y10*1000</f>
        <v>8989.9999999997817</v>
      </c>
      <c r="J2" s="108">
        <v>0.53</v>
      </c>
      <c r="K2" s="108">
        <f>'Consommation du 01.01 au 31.01'!D10</f>
        <v>380</v>
      </c>
      <c r="L2" s="108">
        <v>12.67</v>
      </c>
      <c r="M2" s="121">
        <f>'Consommation du 01.01 au 31.01'!AC10</f>
        <v>122</v>
      </c>
      <c r="N2" s="121">
        <v>278</v>
      </c>
      <c r="O2" s="108">
        <f>E2*F2+G2*H2+I2*J2+K2*L2</f>
        <v>33735.424999999886</v>
      </c>
    </row>
    <row r="3" spans="1:15" x14ac:dyDescent="0.2">
      <c r="A3" s="109" t="s">
        <v>74</v>
      </c>
      <c r="B3">
        <f>B2+1</f>
        <v>2</v>
      </c>
      <c r="C3">
        <v>1</v>
      </c>
      <c r="D3" s="121">
        <v>2019</v>
      </c>
      <c r="E3" s="108">
        <f>'Consommation du 01.01 au 31.01'!M11</f>
        <v>14449</v>
      </c>
      <c r="F3" s="108">
        <v>1.002</v>
      </c>
      <c r="G3" s="108">
        <f>'Consommation du 01.01 au 31.01'!U11</f>
        <v>853.30000000000007</v>
      </c>
      <c r="H3" s="108">
        <v>9.65</v>
      </c>
      <c r="I3" s="108">
        <f>'Consommation du 01.01 au 31.01'!Y11*1000</f>
        <v>10340.000000000146</v>
      </c>
      <c r="J3" s="108">
        <v>0.53</v>
      </c>
      <c r="K3" s="108">
        <f>'Consommation du 01.01 au 31.01'!D11</f>
        <v>370</v>
      </c>
      <c r="L3" s="108">
        <v>12.67</v>
      </c>
      <c r="M3" s="121">
        <f>'Consommation du 01.01 au 31.01'!AC11</f>
        <v>111</v>
      </c>
      <c r="N3" s="121">
        <v>254</v>
      </c>
      <c r="O3" s="108">
        <f t="shared" ref="O3:O29" si="0">E3*F3+G3*H3+I3*J3+K3*L3</f>
        <v>32880.343000000081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1">
        <v>2019</v>
      </c>
      <c r="E4" s="108">
        <f>'Consommation du 01.01 au 31.01'!M12</f>
        <v>14300</v>
      </c>
      <c r="F4" s="108">
        <v>1.002</v>
      </c>
      <c r="G4" s="108">
        <f>'Consommation du 01.01 au 31.01'!U12</f>
        <v>1817.9</v>
      </c>
      <c r="H4" s="108">
        <v>9.65</v>
      </c>
      <c r="I4" s="108">
        <f>'Consommation du 01.01 au 31.01'!Y12*1000</f>
        <v>9590.0000000001455</v>
      </c>
      <c r="J4" s="108">
        <v>0.53</v>
      </c>
      <c r="K4" s="108">
        <f>'Consommation du 01.01 au 31.01'!D12</f>
        <v>350</v>
      </c>
      <c r="L4" s="108">
        <v>12.67</v>
      </c>
      <c r="M4" s="121">
        <f>'Consommation du 01.01 au 31.01'!AC12</f>
        <v>112</v>
      </c>
      <c r="N4" s="121">
        <v>252</v>
      </c>
      <c r="O4" s="108">
        <f t="shared" si="0"/>
        <v>41388.535000000076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1">
        <v>2019</v>
      </c>
      <c r="E5" s="108">
        <f>'Consommation du 01.01 au 31.01'!M13</f>
        <v>13780</v>
      </c>
      <c r="F5" s="108">
        <v>1.002</v>
      </c>
      <c r="G5" s="108">
        <f>'Consommation du 01.01 au 31.01'!U13</f>
        <v>1669.5</v>
      </c>
      <c r="H5" s="108">
        <v>9.65</v>
      </c>
      <c r="I5" s="108">
        <f>'Consommation du 01.01 au 31.01'!Y13*1000</f>
        <v>11259.999999998399</v>
      </c>
      <c r="J5" s="108">
        <v>0.53</v>
      </c>
      <c r="K5" s="108">
        <f>'Consommation du 01.01 au 31.01'!D13</f>
        <v>360</v>
      </c>
      <c r="L5" s="108">
        <v>12.67</v>
      </c>
      <c r="M5" s="121">
        <f>'Consommation du 01.01 au 31.01'!AC13</f>
        <v>89</v>
      </c>
      <c r="N5" s="121">
        <v>206</v>
      </c>
      <c r="O5" s="108">
        <f t="shared" si="0"/>
        <v>40447.234999999149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1">
        <v>2019</v>
      </c>
      <c r="E6" s="108">
        <f>'Consommation du 01.01 au 31.01'!M14</f>
        <v>14067</v>
      </c>
      <c r="F6" s="108">
        <v>1.002</v>
      </c>
      <c r="G6" s="108">
        <f>'Consommation du 01.01 au 31.01'!U14</f>
        <v>1892.1000000000001</v>
      </c>
      <c r="H6" s="108">
        <v>9.65</v>
      </c>
      <c r="I6" s="108">
        <f>'Consommation du 01.01 au 31.01'!Y14*1000</f>
        <v>11450.000000000728</v>
      </c>
      <c r="J6" s="108">
        <v>0.53</v>
      </c>
      <c r="K6" s="108">
        <f>'Consommation du 01.01 au 31.01'!D14</f>
        <v>410</v>
      </c>
      <c r="L6" s="108">
        <v>12.67</v>
      </c>
      <c r="M6" s="121">
        <f>'Consommation du 01.01 au 31.01'!AC14</f>
        <v>76</v>
      </c>
      <c r="N6" s="121">
        <v>177</v>
      </c>
      <c r="O6" s="108">
        <f t="shared" si="0"/>
        <v>43617.099000000388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1">
        <v>2019</v>
      </c>
      <c r="E7" s="108">
        <f>'Consommation du 01.01 au 31.01'!M15</f>
        <v>13509</v>
      </c>
      <c r="F7" s="108">
        <v>1.002</v>
      </c>
      <c r="G7" s="108">
        <f>'Consommation du 01.01 au 31.01'!U15</f>
        <v>1335.6000000000001</v>
      </c>
      <c r="H7" s="108">
        <v>9.65</v>
      </c>
      <c r="I7" s="108">
        <f>'Consommation du 01.01 au 31.01'!Y15*1000</f>
        <v>10069.999999999709</v>
      </c>
      <c r="J7" s="108">
        <v>0.53</v>
      </c>
      <c r="K7" s="108">
        <f>'Consommation du 01.01 au 31.01'!D15</f>
        <v>350</v>
      </c>
      <c r="L7" s="108">
        <v>12.67</v>
      </c>
      <c r="M7" s="121">
        <f>'Consommation du 01.01 au 31.01'!AC15</f>
        <v>52</v>
      </c>
      <c r="N7" s="121">
        <v>121</v>
      </c>
      <c r="O7" s="108">
        <f t="shared" si="0"/>
        <v>36196.15799999985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1">
        <v>2019</v>
      </c>
      <c r="E8" s="108">
        <f>'Consommation du 01.01 au 31.01'!M16</f>
        <v>13217</v>
      </c>
      <c r="F8" s="108">
        <v>1.002</v>
      </c>
      <c r="G8" s="108">
        <f>'Consommation du 01.01 au 31.01'!U16</f>
        <v>1595.3000000000002</v>
      </c>
      <c r="H8" s="108">
        <v>9.65</v>
      </c>
      <c r="I8" s="108">
        <f>'Consommation du 01.01 au 31.01'!Y16*1000</f>
        <v>11370.0000000008</v>
      </c>
      <c r="J8" s="108">
        <v>0.53</v>
      </c>
      <c r="K8" s="108">
        <f>'Consommation du 01.01 au 31.01'!D16</f>
        <v>330</v>
      </c>
      <c r="L8" s="108">
        <v>12.67</v>
      </c>
      <c r="M8" s="121">
        <f>'Consommation du 01.01 au 31.01'!AC16</f>
        <v>60</v>
      </c>
      <c r="N8" s="121">
        <v>113</v>
      </c>
      <c r="O8" s="108">
        <f t="shared" si="0"/>
        <v>38845.279000000424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1">
        <v>2019</v>
      </c>
      <c r="E9" s="108">
        <f>'Consommation du 01.01 au 31.01'!M17</f>
        <v>13793</v>
      </c>
      <c r="F9" s="108">
        <v>1.002</v>
      </c>
      <c r="G9" s="108">
        <f>'Consommation du 01.01 au 31.01'!U17</f>
        <v>1298.5</v>
      </c>
      <c r="H9" s="108">
        <v>9.65</v>
      </c>
      <c r="I9" s="108">
        <f>'Consommation du 01.01 au 31.01'!Y17*1000</f>
        <v>9549.9999999992724</v>
      </c>
      <c r="J9" s="108">
        <v>0.53</v>
      </c>
      <c r="K9" s="108">
        <f>'Consommation du 01.01 au 31.01'!D17</f>
        <v>350</v>
      </c>
      <c r="L9" s="108">
        <v>12.67</v>
      </c>
      <c r="M9" s="121">
        <f>'Consommation du 01.01 au 31.01'!AC17</f>
        <v>54</v>
      </c>
      <c r="N9" s="121">
        <v>101</v>
      </c>
      <c r="O9" s="108">
        <f t="shared" si="0"/>
        <v>35847.110999999612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1">
        <v>2019</v>
      </c>
      <c r="E10" s="108">
        <f>'Consommation du 01.01 au 31.01'!M18</f>
        <v>13753</v>
      </c>
      <c r="F10" s="108">
        <v>1.002</v>
      </c>
      <c r="G10" s="108">
        <f>'Consommation du 01.01 au 31.01'!U18</f>
        <v>1966.3000000000002</v>
      </c>
      <c r="H10" s="108">
        <v>9.65</v>
      </c>
      <c r="I10" s="108">
        <f>'Consommation du 01.01 au 31.01'!Y18*1000</f>
        <v>11430.000000000291</v>
      </c>
      <c r="J10" s="108">
        <v>0.53</v>
      </c>
      <c r="K10" s="108">
        <f>'Consommation du 01.01 au 31.01'!D18</f>
        <v>310</v>
      </c>
      <c r="L10" s="108">
        <v>12.67</v>
      </c>
      <c r="M10" s="121">
        <f>'Consommation du 01.01 au 31.01'!AC18</f>
        <v>56</v>
      </c>
      <c r="N10" s="121">
        <v>103</v>
      </c>
      <c r="O10" s="108">
        <f t="shared" si="0"/>
        <v>42740.901000000151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1">
        <v>2019</v>
      </c>
      <c r="E11" s="108">
        <f>'Consommation du 01.01 au 31.01'!M19</f>
        <v>13544</v>
      </c>
      <c r="F11" s="108">
        <v>1.002</v>
      </c>
      <c r="G11" s="108">
        <f>'Consommation du 01.01 au 31.01'!U19</f>
        <v>1409.8000000000002</v>
      </c>
      <c r="H11" s="108">
        <v>9.65</v>
      </c>
      <c r="I11" s="108">
        <f>'Consommation du 01.01 au 31.01'!Y19*1000</f>
        <v>10190.000000000509</v>
      </c>
      <c r="J11" s="108">
        <v>0.53</v>
      </c>
      <c r="K11" s="108">
        <f>'Consommation du 01.01 au 31.01'!D19</f>
        <v>270</v>
      </c>
      <c r="L11" s="108">
        <v>12.67</v>
      </c>
      <c r="M11" s="121">
        <f>'Consommation du 01.01 au 31.01'!AC19</f>
        <v>59</v>
      </c>
      <c r="N11" s="121">
        <v>101</v>
      </c>
      <c r="O11" s="108">
        <f t="shared" si="0"/>
        <v>35997.258000000271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1">
        <v>2019</v>
      </c>
      <c r="E12" s="108">
        <f>'Consommation du 01.01 au 31.01'!M20</f>
        <v>13643</v>
      </c>
      <c r="F12" s="108">
        <v>1.002</v>
      </c>
      <c r="G12" s="108">
        <f>'Consommation du 01.01 au 31.01'!U20</f>
        <v>2040.5</v>
      </c>
      <c r="H12" s="108">
        <v>9.65</v>
      </c>
      <c r="I12" s="108">
        <f>'Consommation du 01.01 au 31.01'!Y20*1000</f>
        <v>11159.999999999854</v>
      </c>
      <c r="J12" s="108">
        <v>0.53</v>
      </c>
      <c r="K12" s="108">
        <f>'Consommation du 01.01 au 31.01'!D20</f>
        <v>300</v>
      </c>
      <c r="L12" s="108">
        <v>12.67</v>
      </c>
      <c r="M12" s="121">
        <f>'Consommation du 01.01 au 31.01'!AC20</f>
        <v>95</v>
      </c>
      <c r="N12" s="121">
        <v>154</v>
      </c>
      <c r="O12" s="108">
        <f t="shared" si="0"/>
        <v>43076.910999999927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1">
        <v>2019</v>
      </c>
      <c r="E13" s="108">
        <f>'Consommation du 01.01 au 31.01'!M21</f>
        <v>13935</v>
      </c>
      <c r="F13" s="108">
        <v>1.002</v>
      </c>
      <c r="G13" s="108">
        <f>'Consommation du 01.01 au 31.01'!U21</f>
        <v>1558.2</v>
      </c>
      <c r="H13" s="108">
        <v>9.65</v>
      </c>
      <c r="I13" s="108">
        <f>'Consommation du 01.01 au 31.01'!Y21*1000</f>
        <v>12119.999999998981</v>
      </c>
      <c r="J13" s="108">
        <v>0.53</v>
      </c>
      <c r="K13" s="108">
        <f>'Consommation du 01.01 au 31.01'!D21</f>
        <v>310</v>
      </c>
      <c r="L13" s="108">
        <v>12.67</v>
      </c>
      <c r="M13" s="121">
        <f>'Consommation du 01.01 au 31.01'!AC21</f>
        <v>62</v>
      </c>
      <c r="N13" s="121">
        <v>111</v>
      </c>
      <c r="O13" s="108">
        <f t="shared" si="0"/>
        <v>39350.799999999457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1">
        <v>2019</v>
      </c>
      <c r="E14" s="108">
        <f>'Consommation du 01.01 au 31.01'!M22</f>
        <v>14254</v>
      </c>
      <c r="F14" s="108">
        <v>1.002</v>
      </c>
      <c r="G14" s="108">
        <f>'Consommation du 01.01 au 31.01'!U22</f>
        <v>1372.7</v>
      </c>
      <c r="H14" s="108">
        <v>9.65</v>
      </c>
      <c r="I14" s="108">
        <f>'Consommation du 01.01 au 31.01'!Y22*1000</f>
        <v>14590.000000000146</v>
      </c>
      <c r="J14" s="108">
        <v>0.53</v>
      </c>
      <c r="K14" s="108">
        <f>'Consommation du 01.01 au 31.01'!D22</f>
        <v>320</v>
      </c>
      <c r="L14" s="108">
        <v>12.67</v>
      </c>
      <c r="M14" s="121">
        <f>'Consommation du 01.01 au 31.01'!AC22</f>
        <v>34</v>
      </c>
      <c r="N14" s="121">
        <v>58</v>
      </c>
      <c r="O14" s="108">
        <f t="shared" si="0"/>
        <v>39316.163000000081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1">
        <v>2019</v>
      </c>
      <c r="E15" s="108">
        <f>'Consommation du 01.01 au 31.01'!M23</f>
        <v>14777</v>
      </c>
      <c r="F15" s="108">
        <v>1.002</v>
      </c>
      <c r="G15" s="108">
        <f>'Consommation du 01.01 au 31.01'!U23</f>
        <v>1855</v>
      </c>
      <c r="H15" s="108">
        <v>9.65</v>
      </c>
      <c r="I15" s="108">
        <f>'Consommation du 01.01 au 31.01'!Y23*1000</f>
        <v>14390.000000001237</v>
      </c>
      <c r="J15" s="108">
        <v>0.53</v>
      </c>
      <c r="K15" s="108">
        <f>'Consommation du 01.01 au 31.01'!D23</f>
        <v>330</v>
      </c>
      <c r="L15" s="108">
        <v>12.67</v>
      </c>
      <c r="M15" s="121">
        <f>'Consommation du 01.01 au 31.01'!AC23</f>
        <v>93</v>
      </c>
      <c r="N15" s="121">
        <v>110</v>
      </c>
      <c r="O15" s="108">
        <f t="shared" si="0"/>
        <v>44515.104000000654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1">
        <v>2019</v>
      </c>
      <c r="E16" s="108">
        <f>'Consommation du 01.01 au 31.01'!M24</f>
        <v>15618</v>
      </c>
      <c r="F16" s="108">
        <v>1.002</v>
      </c>
      <c r="G16" s="108">
        <f>'Consommation du 01.01 au 31.01'!U24</f>
        <v>1706.6000000000001</v>
      </c>
      <c r="H16" s="108">
        <v>9.65</v>
      </c>
      <c r="I16" s="108">
        <f>'Consommation du 01.01 au 31.01'!Y24*1000</f>
        <v>18439.99999999869</v>
      </c>
      <c r="J16" s="108">
        <v>0.53</v>
      </c>
      <c r="K16" s="108">
        <f>'Consommation du 01.01 au 31.01'!D24</f>
        <v>340</v>
      </c>
      <c r="L16" s="108">
        <v>12.67</v>
      </c>
      <c r="M16" s="121">
        <f>'Consommation du 01.01 au 31.01'!AC24</f>
        <v>125</v>
      </c>
      <c r="N16" s="121">
        <v>143</v>
      </c>
      <c r="O16" s="108">
        <f t="shared" si="0"/>
        <v>46198.925999999308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1">
        <v>2019</v>
      </c>
      <c r="E17" s="108">
        <f>'Consommation du 01.01 au 31.01'!M25</f>
        <v>15942</v>
      </c>
      <c r="F17" s="108">
        <v>1.002</v>
      </c>
      <c r="G17" s="108">
        <f>'Consommation du 01.01 au 31.01'!U25</f>
        <v>1075.9000000000001</v>
      </c>
      <c r="H17" s="108">
        <v>9.65</v>
      </c>
      <c r="I17" s="108">
        <f>'Consommation du 01.01 au 31.01'!Y25*1000</f>
        <v>15920.000000000073</v>
      </c>
      <c r="J17" s="108">
        <v>0.53</v>
      </c>
      <c r="K17" s="108">
        <f>'Consommation du 01.01 au 31.01'!D25</f>
        <v>300</v>
      </c>
      <c r="L17" s="108">
        <v>12.67</v>
      </c>
      <c r="M17" s="121">
        <f>'Consommation du 01.01 au 31.01'!AC25</f>
        <v>130</v>
      </c>
      <c r="N17" s="121">
        <v>142</v>
      </c>
      <c r="O17" s="108">
        <f t="shared" si="0"/>
        <v>38594.919000000038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1">
        <v>2019</v>
      </c>
      <c r="E18" s="108">
        <f>'Consommation du 01.01 au 31.01'!M26</f>
        <v>15507</v>
      </c>
      <c r="F18" s="108">
        <v>1.002</v>
      </c>
      <c r="G18" s="108">
        <f>'Consommation du 01.01 au 31.01'!U26</f>
        <v>1484</v>
      </c>
      <c r="H18" s="108">
        <v>9.65</v>
      </c>
      <c r="I18" s="108">
        <f>'Consommation du 01.01 au 31.01'!Y26*1000</f>
        <v>13610.000000000582</v>
      </c>
      <c r="J18" s="108">
        <v>0.53</v>
      </c>
      <c r="K18" s="108">
        <f>'Consommation du 01.01 au 31.01'!D26</f>
        <v>300</v>
      </c>
      <c r="L18" s="108">
        <v>12.67</v>
      </c>
      <c r="M18" s="121">
        <f>'Consommation du 01.01 au 31.01'!AC26</f>
        <v>110</v>
      </c>
      <c r="N18" s="121">
        <v>141</v>
      </c>
      <c r="O18" s="108">
        <f t="shared" si="0"/>
        <v>40872.91400000031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1">
        <v>2019</v>
      </c>
      <c r="E19" s="108">
        <f>'Consommation du 01.01 au 31.01'!M27</f>
        <v>15646</v>
      </c>
      <c r="F19" s="108">
        <v>1.002</v>
      </c>
      <c r="G19" s="108">
        <f>'Consommation du 01.01 au 31.01'!U27</f>
        <v>1632.4</v>
      </c>
      <c r="H19" s="108">
        <v>9.65</v>
      </c>
      <c r="I19" s="108">
        <f>'Consommation du 01.01 au 31.01'!Y27*1000</f>
        <v>13850.000000000364</v>
      </c>
      <c r="J19" s="108">
        <v>0.53</v>
      </c>
      <c r="K19" s="108">
        <f>'Consommation du 01.01 au 31.01'!D27</f>
        <v>330</v>
      </c>
      <c r="L19" s="108">
        <v>12.67</v>
      </c>
      <c r="M19" s="121">
        <f>'Consommation du 01.01 au 31.01'!AC27</f>
        <v>118</v>
      </c>
      <c r="N19" s="121">
        <v>200</v>
      </c>
      <c r="O19" s="108">
        <f t="shared" si="0"/>
        <v>42951.552000000192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1">
        <v>2019</v>
      </c>
      <c r="E20" s="108">
        <f>'Consommation du 01.01 au 31.01'!M28</f>
        <v>15076</v>
      </c>
      <c r="F20" s="108">
        <v>1.002</v>
      </c>
      <c r="G20" s="108">
        <f>'Consommation du 01.01 au 31.01'!U28</f>
        <v>1521.1000000000001</v>
      </c>
      <c r="H20" s="108">
        <v>9.65</v>
      </c>
      <c r="I20" s="108">
        <f>'Consommation du 01.01 au 31.01'!Y28*1000</f>
        <v>13260.000000000218</v>
      </c>
      <c r="J20" s="108">
        <v>0.53</v>
      </c>
      <c r="K20" s="108">
        <f>'Consommation du 01.01 au 31.01'!D28</f>
        <v>350</v>
      </c>
      <c r="L20" s="108">
        <v>12.67</v>
      </c>
      <c r="M20" s="121">
        <f>'Consommation du 01.01 au 31.01'!AC28</f>
        <v>129</v>
      </c>
      <c r="N20" s="121">
        <v>209</v>
      </c>
      <c r="O20" s="108">
        <f t="shared" si="0"/>
        <v>41247.067000000112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1">
        <v>2019</v>
      </c>
      <c r="E21" s="108">
        <f>'Consommation du 01.01 au 31.01'!M29</f>
        <v>14511</v>
      </c>
      <c r="F21" s="108">
        <v>1.002</v>
      </c>
      <c r="G21" s="108">
        <f>'Consommation du 01.01 au 31.01'!U29</f>
        <v>1075.9000000000001</v>
      </c>
      <c r="H21" s="108">
        <v>9.65</v>
      </c>
      <c r="I21" s="108">
        <f>'Consommation du 01.01 au 31.01'!Y29*1000</f>
        <v>11769.999999998618</v>
      </c>
      <c r="J21" s="108">
        <v>0.53</v>
      </c>
      <c r="K21" s="108">
        <f>'Consommation du 01.01 au 31.01'!D29</f>
        <v>360</v>
      </c>
      <c r="L21" s="108">
        <v>12.67</v>
      </c>
      <c r="M21" s="121">
        <f>'Consommation du 01.01 au 31.01'!AC29</f>
        <v>77</v>
      </c>
      <c r="N21" s="121">
        <v>90</v>
      </c>
      <c r="O21" s="108">
        <f t="shared" si="0"/>
        <v>35721.75699999927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1">
        <v>2019</v>
      </c>
      <c r="E22" s="108">
        <f>'Consommation du 01.01 au 31.01'!M30</f>
        <v>14239</v>
      </c>
      <c r="F22" s="108">
        <v>1.002</v>
      </c>
      <c r="G22" s="108">
        <f>'Consommation du 01.01 au 31.01'!U30</f>
        <v>1113</v>
      </c>
      <c r="H22" s="108">
        <v>9.65</v>
      </c>
      <c r="I22" s="108">
        <f>'Consommation du 01.01 au 31.01'!Y30*1000</f>
        <v>11510.000000000218</v>
      </c>
      <c r="J22" s="108">
        <v>0.53</v>
      </c>
      <c r="K22" s="108">
        <f>'Consommation du 01.01 au 31.01'!D30</f>
        <v>300</v>
      </c>
      <c r="L22" s="108">
        <v>12.67</v>
      </c>
      <c r="M22" s="121">
        <f>'Consommation du 01.01 au 31.01'!AC30</f>
        <v>115</v>
      </c>
      <c r="N22" s="121">
        <v>129</v>
      </c>
      <c r="O22" s="108">
        <f t="shared" si="0"/>
        <v>34909.228000000119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1">
        <v>2019</v>
      </c>
      <c r="E23" s="108">
        <f>'Consommation du 01.01 au 31.01'!M31</f>
        <v>14854</v>
      </c>
      <c r="F23" s="108">
        <v>1.002</v>
      </c>
      <c r="G23" s="108">
        <f>'Consommation du 01.01 au 31.01'!U31</f>
        <v>1001.7</v>
      </c>
      <c r="H23" s="108">
        <v>9.65</v>
      </c>
      <c r="I23" s="108">
        <f>'Consommation du 01.01 au 31.01'!Y31*1000</f>
        <v>15940.000000000509</v>
      </c>
      <c r="J23" s="108">
        <v>0.53</v>
      </c>
      <c r="K23" s="108">
        <f>'Consommation du 01.01 au 31.01'!D31</f>
        <v>310</v>
      </c>
      <c r="L23" s="108">
        <v>12.67</v>
      </c>
      <c r="M23" s="121">
        <f>'Consommation du 01.01 au 31.01'!AC31</f>
        <v>103</v>
      </c>
      <c r="N23" s="121">
        <v>114</v>
      </c>
      <c r="O23" s="108">
        <f t="shared" si="0"/>
        <v>36926.013000000268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1">
        <v>2019</v>
      </c>
      <c r="E24" s="108">
        <f>'Consommation du 01.01 au 31.01'!M32</f>
        <v>15035</v>
      </c>
      <c r="F24" s="108">
        <v>1.002</v>
      </c>
      <c r="G24" s="108">
        <f>'Consommation du 01.01 au 31.01'!U32</f>
        <v>742</v>
      </c>
      <c r="H24" s="108">
        <v>9.65</v>
      </c>
      <c r="I24" s="108">
        <f>'Consommation du 01.01 au 31.01'!Y32*1000</f>
        <v>18350.000000000364</v>
      </c>
      <c r="J24" s="108">
        <v>0.53</v>
      </c>
      <c r="K24" s="108">
        <f>'Consommation du 01.01 au 31.01'!D32</f>
        <v>360</v>
      </c>
      <c r="L24" s="108">
        <v>12.67</v>
      </c>
      <c r="M24" s="121">
        <f>'Consommation du 01.01 au 31.01'!AC32</f>
        <v>105</v>
      </c>
      <c r="N24">
        <v>116</v>
      </c>
      <c r="O24" s="108">
        <f t="shared" si="0"/>
        <v>36512.070000000189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1">
        <v>2019</v>
      </c>
      <c r="E25" s="108">
        <f>'Consommation du 01.01 au 31.01'!M33</f>
        <v>14732</v>
      </c>
      <c r="F25" s="108">
        <v>1.002</v>
      </c>
      <c r="G25" s="108">
        <f>'Consommation du 01.01 au 31.01'!U33</f>
        <v>1113</v>
      </c>
      <c r="H25" s="108">
        <v>9.65</v>
      </c>
      <c r="I25" s="108">
        <f>'Consommation du 01.01 au 31.01'!Y33*1000</f>
        <v>15250</v>
      </c>
      <c r="J25" s="108">
        <v>0.53</v>
      </c>
      <c r="K25" s="108">
        <f>'Consommation du 01.01 au 31.01'!D33</f>
        <v>310</v>
      </c>
      <c r="L25" s="108">
        <v>12.67</v>
      </c>
      <c r="M25" s="121">
        <f>'Consommation du 01.01 au 31.01'!AC33</f>
        <v>92</v>
      </c>
      <c r="N25" s="121">
        <v>116</v>
      </c>
      <c r="O25" s="108">
        <f t="shared" si="0"/>
        <v>37512.114000000001</v>
      </c>
    </row>
    <row r="26" spans="1:15" x14ac:dyDescent="0.2">
      <c r="A26" s="109" t="s">
        <v>74</v>
      </c>
      <c r="B26">
        <f>B25+1</f>
        <v>25</v>
      </c>
      <c r="C26">
        <v>1</v>
      </c>
      <c r="D26" s="121">
        <v>2019</v>
      </c>
      <c r="E26" s="108">
        <f>'Consommation du 01.01 au 31.01'!M34</f>
        <v>14130</v>
      </c>
      <c r="F26" s="108">
        <v>1.002</v>
      </c>
      <c r="G26" s="108">
        <f>'Consommation du 01.01 au 31.01'!U34</f>
        <v>742</v>
      </c>
      <c r="H26" s="108">
        <v>9.65</v>
      </c>
      <c r="I26" s="108">
        <f>'Consommation du 01.01 au 31.01'!Y34*1000</f>
        <v>13289.999999999054</v>
      </c>
      <c r="J26" s="108">
        <v>0.53</v>
      </c>
      <c r="K26" s="108">
        <f>'Consommation du 01.01 au 31.01'!D34</f>
        <v>330</v>
      </c>
      <c r="L26" s="108">
        <v>12.67</v>
      </c>
      <c r="M26" s="121">
        <f>'Consommation du 01.01 au 31.01'!AC34</f>
        <v>58</v>
      </c>
      <c r="N26" s="121">
        <v>96</v>
      </c>
      <c r="O26" s="108">
        <f t="shared" si="0"/>
        <v>32543.359999999499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1">
        <v>2019</v>
      </c>
      <c r="E27" s="108">
        <f>'Consommation du 01.01 au 31.01'!M35</f>
        <v>13497</v>
      </c>
      <c r="F27" s="108">
        <v>1.002</v>
      </c>
      <c r="G27" s="108">
        <f>'Consommation du 01.01 au 31.01'!U35</f>
        <v>779.1</v>
      </c>
      <c r="H27" s="108">
        <v>9.65</v>
      </c>
      <c r="I27" s="108">
        <f>'Consommation du 01.01 au 31.01'!Y35*1000</f>
        <v>11420.000000000073</v>
      </c>
      <c r="J27" s="108">
        <v>0.53</v>
      </c>
      <c r="K27" s="108">
        <f>'Consommation du 01.01 au 31.01'!D35</f>
        <v>320</v>
      </c>
      <c r="L27" s="108">
        <v>12.67</v>
      </c>
      <c r="M27" s="121">
        <f>'Consommation du 01.01 au 31.01'!AC35</f>
        <v>71</v>
      </c>
      <c r="N27" s="121">
        <v>129</v>
      </c>
      <c r="O27" s="108">
        <f t="shared" si="0"/>
        <v>31149.309000000041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1">
        <v>2019</v>
      </c>
      <c r="E28" s="108">
        <f>'Consommation du 01.01 au 31.01'!M36</f>
        <v>12907</v>
      </c>
      <c r="F28" s="108">
        <v>1.002</v>
      </c>
      <c r="G28" s="108">
        <f>'Consommation du 01.01 au 31.01'!U36</f>
        <v>704.90000000000009</v>
      </c>
      <c r="H28" s="108">
        <v>9.65</v>
      </c>
      <c r="I28" s="108">
        <f>'Consommation du 01.01 au 31.01'!Y36*1000</f>
        <v>11319.999999999709</v>
      </c>
      <c r="J28" s="108">
        <v>0.53</v>
      </c>
      <c r="K28" s="108">
        <f>'Consommation du 01.01 au 31.01'!D36</f>
        <v>310</v>
      </c>
      <c r="L28" s="108">
        <v>12.67</v>
      </c>
      <c r="M28" s="121">
        <f>'Consommation du 01.01 au 31.01'!AC36</f>
        <v>76</v>
      </c>
      <c r="N28" s="121">
        <v>125</v>
      </c>
      <c r="O28" s="108">
        <f t="shared" si="0"/>
        <v>29662.398999999848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1">
        <v>2019</v>
      </c>
      <c r="E29" s="108">
        <f>'Consommation du 01.01 au 31.01'!M37</f>
        <v>12683</v>
      </c>
      <c r="F29" s="108">
        <v>1.002</v>
      </c>
      <c r="G29" s="108">
        <f>'Consommation du 01.01 au 31.01'!U37</f>
        <v>890.40000000000009</v>
      </c>
      <c r="H29" s="108">
        <v>9.65</v>
      </c>
      <c r="I29" s="108">
        <f>'Consommation du 01.01 au 31.01'!Y37*1000</f>
        <v>15310.00000000131</v>
      </c>
      <c r="J29" s="108">
        <v>0.53</v>
      </c>
      <c r="K29" s="108">
        <f>'Consommation du 01.01 au 31.01'!D37</f>
        <v>300</v>
      </c>
      <c r="L29" s="108">
        <v>12.67</v>
      </c>
      <c r="M29" s="121">
        <f>'Consommation du 01.01 au 31.01'!AC37</f>
        <v>55</v>
      </c>
      <c r="N29" s="121">
        <v>93</v>
      </c>
      <c r="O29" s="108">
        <f t="shared" si="0"/>
        <v>33216.026000000697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1">
        <v>2019</v>
      </c>
      <c r="E30" s="108">
        <f>'Consommation du 01.01 au 31.01'!M38</f>
        <v>13320</v>
      </c>
      <c r="F30" s="108">
        <v>1.002</v>
      </c>
      <c r="G30" s="108">
        <f>'Consommation du 01.01 au 31.01'!U38</f>
        <v>890.40000000000009</v>
      </c>
      <c r="H30" s="108">
        <v>9.65</v>
      </c>
      <c r="I30" s="108">
        <f>'Consommation du 01.01 au 31.01'!Y38*1000</f>
        <v>13309.999999999491</v>
      </c>
      <c r="J30" s="108">
        <v>0.53</v>
      </c>
      <c r="K30" s="108">
        <f>'Consommation du 01.01 au 31.01'!D38</f>
        <v>340</v>
      </c>
      <c r="L30" s="108">
        <v>12.67</v>
      </c>
      <c r="M30" s="121">
        <f>'Consommation du 01.01 au 31.01'!AC38</f>
        <v>56</v>
      </c>
      <c r="N30" s="121">
        <v>96</v>
      </c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1">
        <v>2019</v>
      </c>
      <c r="E31" s="108">
        <f>'Consommation du 01.01 au 31.01'!M39</f>
        <v>12260</v>
      </c>
      <c r="F31" s="108">
        <v>1.002</v>
      </c>
      <c r="G31" s="108">
        <f>'Consommation du 01.01 au 31.01'!U39</f>
        <v>779.1</v>
      </c>
      <c r="H31" s="108">
        <v>9.65</v>
      </c>
      <c r="I31" s="108">
        <f>'Consommation du 01.01 au 31.01'!Y39*1000</f>
        <v>10989.999999999782</v>
      </c>
      <c r="J31" s="108">
        <v>0.53</v>
      </c>
      <c r="K31" s="108">
        <f>'Consommation du 01.01 au 31.01'!D39</f>
        <v>300</v>
      </c>
      <c r="L31" s="108">
        <v>12.67</v>
      </c>
      <c r="M31" s="121">
        <f>'Consommation du 01.01 au 31.01'!AC39</f>
        <v>50</v>
      </c>
      <c r="N31">
        <v>89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1">
        <v>2019</v>
      </c>
      <c r="E32" s="108">
        <f>'Consommation du 01.01 au 31.01'!M40</f>
        <v>12227</v>
      </c>
      <c r="F32" s="108">
        <v>1</v>
      </c>
      <c r="G32" s="108">
        <f>'Consommation du 01.01 au 31.01'!U40</f>
        <v>890.40000000000009</v>
      </c>
      <c r="H32" s="108">
        <v>9.65</v>
      </c>
      <c r="I32" s="108">
        <f>'Consommation du 01.01 au 31.01'!Y40*1000</f>
        <v>16030.000000000655</v>
      </c>
      <c r="J32" s="108">
        <v>0.53</v>
      </c>
      <c r="K32" s="108">
        <f>'Consommation du 01.01 au 31.01'!D40</f>
        <v>300</v>
      </c>
      <c r="L32" s="108">
        <v>12.67</v>
      </c>
      <c r="M32" s="121">
        <f>'Consommation du 01.01 au 31.01'!AC40</f>
        <v>54</v>
      </c>
      <c r="N32">
        <v>90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8" zoomScale="55" zoomScaleNormal="55" zoomScaleSheetLayoutView="50" workbookViewId="0">
      <selection activeCell="Z41" sqref="Z4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0" width="17.85546875" style="11" customWidth="1"/>
    <col min="11" max="11" width="19.42578125" style="11" customWidth="1"/>
    <col min="12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09"/>
      <c r="B2" s="210"/>
      <c r="C2" s="210"/>
      <c r="D2" s="210"/>
      <c r="E2" s="210"/>
      <c r="F2" s="211"/>
      <c r="G2" s="198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200"/>
      <c r="AD2" s="174"/>
      <c r="AE2" s="174"/>
      <c r="AF2" s="174"/>
      <c r="AJ2" s="63"/>
    </row>
    <row r="3" spans="1:37" ht="1.5" customHeight="1" x14ac:dyDescent="0.2"/>
    <row r="4" spans="1:37" ht="39" hidden="1" customHeight="1" x14ac:dyDescent="0.2">
      <c r="A4" s="212"/>
      <c r="B4" s="212"/>
      <c r="C4" s="21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12"/>
      <c r="B5" s="212"/>
      <c r="C5" s="212"/>
      <c r="D5" s="6"/>
      <c r="E5" s="6"/>
      <c r="F5" s="6"/>
      <c r="G5" s="6"/>
      <c r="H5" s="6"/>
      <c r="I5" s="6"/>
      <c r="J5" s="6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4"/>
      <c r="E7" s="154"/>
      <c r="F7" s="154"/>
      <c r="G7" s="154"/>
      <c r="H7" s="154"/>
      <c r="I7" s="154"/>
      <c r="J7" s="154"/>
      <c r="K7" s="154"/>
      <c r="L7" s="155"/>
      <c r="M7" s="155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4"/>
      <c r="AC7" s="14"/>
      <c r="AI7" s="6"/>
      <c r="AJ7" s="6"/>
      <c r="AK7" s="6"/>
    </row>
    <row r="8" spans="1:37" ht="2.25" customHeight="1" thickBot="1" x14ac:dyDescent="0.25">
      <c r="A8" s="154"/>
      <c r="B8" s="214" t="s">
        <v>1</v>
      </c>
      <c r="C8" s="4"/>
      <c r="D8" s="215" t="s">
        <v>4</v>
      </c>
      <c r="E8" s="5"/>
      <c r="F8" s="201" t="s">
        <v>12</v>
      </c>
      <c r="G8" s="202"/>
      <c r="H8" s="203"/>
      <c r="I8" s="5"/>
      <c r="J8" s="158" t="s">
        <v>3</v>
      </c>
      <c r="K8" s="158"/>
      <c r="L8" s="158"/>
      <c r="M8" s="158" t="s">
        <v>2</v>
      </c>
      <c r="N8" s="5"/>
      <c r="O8" s="207" t="s">
        <v>12</v>
      </c>
      <c r="P8" s="5"/>
      <c r="Q8" s="207" t="s">
        <v>5</v>
      </c>
      <c r="R8" s="5"/>
      <c r="S8" s="207" t="s">
        <v>6</v>
      </c>
      <c r="T8" s="5"/>
      <c r="U8" s="156" t="s">
        <v>39</v>
      </c>
      <c r="V8" s="5"/>
      <c r="W8" s="207" t="s">
        <v>12</v>
      </c>
      <c r="X8" s="71"/>
      <c r="Y8" s="71"/>
      <c r="Z8" s="71"/>
      <c r="AA8" s="219"/>
      <c r="AB8" s="217" t="s">
        <v>80</v>
      </c>
      <c r="AC8" s="207" t="s">
        <v>75</v>
      </c>
      <c r="AD8" s="224" t="s">
        <v>54</v>
      </c>
      <c r="AE8" s="222" t="s">
        <v>59</v>
      </c>
      <c r="AF8" s="222" t="s">
        <v>60</v>
      </c>
      <c r="AG8" s="220" t="s">
        <v>61</v>
      </c>
      <c r="AH8" s="220" t="s">
        <v>62</v>
      </c>
      <c r="AI8" s="75"/>
      <c r="AJ8" s="75"/>
      <c r="AK8" s="75"/>
    </row>
    <row r="9" spans="1:37" ht="116.25" customHeight="1" thickBot="1" x14ac:dyDescent="0.25">
      <c r="A9" s="154"/>
      <c r="B9" s="214"/>
      <c r="C9" s="4"/>
      <c r="D9" s="216"/>
      <c r="E9" s="5"/>
      <c r="F9" s="204"/>
      <c r="G9" s="205"/>
      <c r="H9" s="206"/>
      <c r="I9" s="5"/>
      <c r="J9" s="87" t="s">
        <v>7</v>
      </c>
      <c r="K9" s="87" t="s">
        <v>8</v>
      </c>
      <c r="L9" s="87" t="s">
        <v>9</v>
      </c>
      <c r="M9" s="158"/>
      <c r="N9" s="5"/>
      <c r="O9" s="208"/>
      <c r="P9" s="5"/>
      <c r="Q9" s="208"/>
      <c r="R9" s="5"/>
      <c r="S9" s="208"/>
      <c r="T9" s="5"/>
      <c r="U9" s="157"/>
      <c r="V9" s="5"/>
      <c r="W9" s="208"/>
      <c r="X9" s="130" t="s">
        <v>81</v>
      </c>
      <c r="Y9" s="101" t="s">
        <v>55</v>
      </c>
      <c r="Z9" s="102" t="s">
        <v>56</v>
      </c>
      <c r="AA9" s="219"/>
      <c r="AB9" s="218"/>
      <c r="AC9" s="213"/>
      <c r="AD9" s="225"/>
      <c r="AE9" s="223"/>
      <c r="AF9" s="223"/>
      <c r="AG9" s="221"/>
      <c r="AH9" s="221"/>
      <c r="AI9" s="103"/>
      <c r="AJ9" s="76"/>
      <c r="AK9" s="76"/>
    </row>
    <row r="10" spans="1:37" ht="32.25" customHeight="1" thickBot="1" x14ac:dyDescent="0.25">
      <c r="A10" s="14"/>
      <c r="B10" s="7">
        <v>43800</v>
      </c>
      <c r="C10" s="8"/>
      <c r="D10" s="110">
        <f>'Suivi EAU-ELEC'!C15</f>
        <v>380</v>
      </c>
      <c r="E10" s="111"/>
      <c r="F10" s="148">
        <f>D10*12.67</f>
        <v>4814.6000000000004</v>
      </c>
      <c r="G10" s="148"/>
      <c r="H10" s="149"/>
      <c r="I10" s="93"/>
      <c r="J10" s="117">
        <f>'Suivi EAU-ELEC'!E15</f>
        <v>5589</v>
      </c>
      <c r="K10" s="118">
        <f>'Suivi EAU-ELEC'!G15</f>
        <v>6916</v>
      </c>
      <c r="L10" s="118">
        <f>'Suivi EAU-ELEC'!I15</f>
        <v>3385</v>
      </c>
      <c r="M10" s="119">
        <f>L10+K10+J10</f>
        <v>15890</v>
      </c>
      <c r="N10" s="93"/>
      <c r="O10" s="96">
        <f>M10*1.002</f>
        <v>15921.78</v>
      </c>
      <c r="P10" s="92"/>
      <c r="Q10" s="91"/>
      <c r="R10" s="90"/>
      <c r="S10" s="91"/>
      <c r="T10" s="98"/>
      <c r="U10" s="97">
        <f>'Suvi Gaz'!O11</f>
        <v>853.30000000000007</v>
      </c>
      <c r="V10" s="93"/>
      <c r="W10" s="96">
        <f>U10*8.8038</f>
        <v>7512.2825400000011</v>
      </c>
      <c r="X10" s="285">
        <v>12137.53</v>
      </c>
      <c r="Y10" s="287">
        <f t="shared" ref="Y10:Y40" si="0">IF(X11&lt;X10,0,X11-X10)</f>
        <v>8.9899999999997817</v>
      </c>
      <c r="Z10" s="100">
        <f t="shared" ref="Z10:Z40" si="1">Y10*0.84*1000</f>
        <v>7551.5999999998166</v>
      </c>
      <c r="AA10" s="93"/>
      <c r="AB10" s="122">
        <v>18</v>
      </c>
      <c r="AC10" s="123">
        <v>122</v>
      </c>
      <c r="AD10" s="124">
        <v>0.89710000000000001</v>
      </c>
      <c r="AE10" s="134">
        <v>28.8</v>
      </c>
      <c r="AF10" s="144">
        <v>29</v>
      </c>
      <c r="AG10" s="125">
        <v>29.2</v>
      </c>
      <c r="AH10" s="145">
        <v>30</v>
      </c>
      <c r="AI10" s="72"/>
      <c r="AJ10" s="79"/>
      <c r="AK10" s="72"/>
    </row>
    <row r="11" spans="1:37" ht="32.25" customHeight="1" thickBot="1" x14ac:dyDescent="0.25">
      <c r="A11" s="14"/>
      <c r="B11" s="7">
        <f>B10+1</f>
        <v>43801</v>
      </c>
      <c r="C11" s="8"/>
      <c r="D11" s="110">
        <f>'Suivi EAU-ELEC'!C16</f>
        <v>370</v>
      </c>
      <c r="E11" s="90"/>
      <c r="F11" s="148">
        <f t="shared" ref="F11:F40" si="2">D11*12.67</f>
        <v>4687.8999999999996</v>
      </c>
      <c r="G11" s="148"/>
      <c r="H11" s="149"/>
      <c r="I11" s="93"/>
      <c r="J11" s="117">
        <f>'Suivi EAU-ELEC'!E16</f>
        <v>4606</v>
      </c>
      <c r="K11" s="118">
        <f>'Suivi EAU-ELEC'!G16</f>
        <v>6701</v>
      </c>
      <c r="L11" s="118">
        <f>'Suivi EAU-ELEC'!I16</f>
        <v>3142</v>
      </c>
      <c r="M11" s="119">
        <f t="shared" ref="M11:M40" si="3">L11+K11+J11</f>
        <v>14449</v>
      </c>
      <c r="N11" s="93"/>
      <c r="O11" s="96">
        <f t="shared" ref="O11:O40" si="4">M11*1.002</f>
        <v>14477.897999999999</v>
      </c>
      <c r="P11" s="92"/>
      <c r="Q11" s="91"/>
      <c r="R11" s="90"/>
      <c r="S11" s="91"/>
      <c r="T11" s="98"/>
      <c r="U11" s="97">
        <f>'Suvi Gaz'!O11</f>
        <v>853.30000000000007</v>
      </c>
      <c r="V11" s="93"/>
      <c r="W11" s="96">
        <f t="shared" ref="W11:W40" si="5">U11*8.8038</f>
        <v>7512.2825400000011</v>
      </c>
      <c r="X11" s="286">
        <v>12146.52</v>
      </c>
      <c r="Y11" s="288">
        <f t="shared" si="0"/>
        <v>10.340000000000146</v>
      </c>
      <c r="Z11" s="100">
        <f t="shared" si="1"/>
        <v>8685.6000000001222</v>
      </c>
      <c r="AA11" s="93"/>
      <c r="AB11" s="115">
        <v>17</v>
      </c>
      <c r="AC11" s="128">
        <v>111</v>
      </c>
      <c r="AD11" s="124">
        <v>0.8538</v>
      </c>
      <c r="AE11" s="134">
        <v>29</v>
      </c>
      <c r="AF11" s="129">
        <v>29.8</v>
      </c>
      <c r="AG11" s="132">
        <v>29.4</v>
      </c>
      <c r="AH11" s="133">
        <v>29.8</v>
      </c>
      <c r="AI11" s="142"/>
      <c r="AJ11" s="79"/>
      <c r="AK11" s="72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0">
        <f>'Suivi EAU-ELEC'!C17</f>
        <v>350</v>
      </c>
      <c r="E12" s="90"/>
      <c r="F12" s="148">
        <f t="shared" si="2"/>
        <v>4434.5</v>
      </c>
      <c r="G12" s="148"/>
      <c r="H12" s="149"/>
      <c r="I12" s="93"/>
      <c r="J12" s="117">
        <f>'Suivi EAU-ELEC'!E17</f>
        <v>4289</v>
      </c>
      <c r="K12" s="118">
        <f>'Suivi EAU-ELEC'!G17</f>
        <v>6866</v>
      </c>
      <c r="L12" s="118">
        <f>'Suivi EAU-ELEC'!I17</f>
        <v>3145</v>
      </c>
      <c r="M12" s="119">
        <f t="shared" si="3"/>
        <v>14300</v>
      </c>
      <c r="N12" s="93"/>
      <c r="O12" s="96">
        <f t="shared" si="4"/>
        <v>14328.6</v>
      </c>
      <c r="P12" s="92"/>
      <c r="Q12" s="91"/>
      <c r="R12" s="90"/>
      <c r="S12" s="91"/>
      <c r="T12" s="98"/>
      <c r="U12" s="97">
        <f>'Suvi Gaz'!O12</f>
        <v>1817.9</v>
      </c>
      <c r="V12" s="94"/>
      <c r="W12" s="96">
        <f t="shared" si="5"/>
        <v>16004.428020000003</v>
      </c>
      <c r="X12" s="135">
        <v>12156.86</v>
      </c>
      <c r="Y12" s="289">
        <f t="shared" si="0"/>
        <v>9.5900000000001455</v>
      </c>
      <c r="Z12" s="100">
        <f t="shared" si="1"/>
        <v>8055.6000000001222</v>
      </c>
      <c r="AA12" s="93"/>
      <c r="AB12" s="115">
        <v>17</v>
      </c>
      <c r="AC12" s="128">
        <v>112</v>
      </c>
      <c r="AD12" s="124">
        <v>0.85499999999999998</v>
      </c>
      <c r="AE12" s="134">
        <v>29.4</v>
      </c>
      <c r="AF12" s="129">
        <v>30</v>
      </c>
      <c r="AG12" s="132">
        <v>29.4</v>
      </c>
      <c r="AH12" s="133">
        <v>29.8</v>
      </c>
      <c r="AI12" s="72"/>
      <c r="AJ12" s="79"/>
      <c r="AK12" s="72"/>
    </row>
    <row r="13" spans="1:37" ht="32.25" customHeight="1" thickBot="1" x14ac:dyDescent="0.25">
      <c r="A13" s="5"/>
      <c r="B13" s="7">
        <f t="shared" si="6"/>
        <v>43803</v>
      </c>
      <c r="C13" s="8"/>
      <c r="D13" s="110">
        <f>'Suivi EAU-ELEC'!C18</f>
        <v>360</v>
      </c>
      <c r="E13" s="90"/>
      <c r="F13" s="148">
        <f t="shared" si="2"/>
        <v>4561.2</v>
      </c>
      <c r="G13" s="148"/>
      <c r="H13" s="149"/>
      <c r="I13" s="93"/>
      <c r="J13" s="117">
        <f>'Suivi EAU-ELEC'!E18</f>
        <v>4218</v>
      </c>
      <c r="K13" s="118">
        <f>'Suivi EAU-ELEC'!G18</f>
        <v>6555</v>
      </c>
      <c r="L13" s="118">
        <f>'Suivi EAU-ELEC'!I18</f>
        <v>3007</v>
      </c>
      <c r="M13" s="119">
        <f t="shared" si="3"/>
        <v>13780</v>
      </c>
      <c r="N13" s="93"/>
      <c r="O13" s="96">
        <f t="shared" si="4"/>
        <v>13807.56</v>
      </c>
      <c r="P13" s="92"/>
      <c r="Q13" s="91"/>
      <c r="R13" s="90"/>
      <c r="S13" s="91"/>
      <c r="T13" s="98"/>
      <c r="U13" s="97">
        <f>'Suvi Gaz'!O13</f>
        <v>1669.5</v>
      </c>
      <c r="V13" s="94"/>
      <c r="W13" s="96">
        <f t="shared" si="5"/>
        <v>14697.944100000001</v>
      </c>
      <c r="X13" s="135">
        <v>12166.45</v>
      </c>
      <c r="Y13" s="290">
        <f t="shared" si="0"/>
        <v>11.259999999998399</v>
      </c>
      <c r="Z13" s="100">
        <f t="shared" si="1"/>
        <v>9458.3999999986554</v>
      </c>
      <c r="AA13" s="93"/>
      <c r="AB13" s="115">
        <v>16</v>
      </c>
      <c r="AC13" s="128">
        <v>89</v>
      </c>
      <c r="AD13" s="124">
        <v>0.67420000000000002</v>
      </c>
      <c r="AE13" s="134">
        <v>29</v>
      </c>
      <c r="AF13" s="129">
        <v>30</v>
      </c>
      <c r="AG13" s="132">
        <v>29</v>
      </c>
      <c r="AH13" s="133">
        <v>30</v>
      </c>
      <c r="AI13" s="72"/>
      <c r="AJ13" s="79"/>
      <c r="AK13" s="72"/>
    </row>
    <row r="14" spans="1:37" ht="32.25" customHeight="1" thickBot="1" x14ac:dyDescent="0.25">
      <c r="A14" s="5"/>
      <c r="B14" s="7">
        <f t="shared" si="6"/>
        <v>43804</v>
      </c>
      <c r="C14" s="8"/>
      <c r="D14" s="110">
        <f>'Suivi EAU-ELEC'!C19</f>
        <v>410</v>
      </c>
      <c r="E14" s="112"/>
      <c r="F14" s="148">
        <f t="shared" si="2"/>
        <v>5194.7</v>
      </c>
      <c r="G14" s="148"/>
      <c r="H14" s="149"/>
      <c r="I14" s="94"/>
      <c r="J14" s="117">
        <f>'Suivi EAU-ELEC'!E19</f>
        <v>4290</v>
      </c>
      <c r="K14" s="118">
        <f>'Suivi EAU-ELEC'!G19</f>
        <v>6732</v>
      </c>
      <c r="L14" s="118">
        <f>'Suivi EAU-ELEC'!I19</f>
        <v>3045</v>
      </c>
      <c r="M14" s="119">
        <f t="shared" si="3"/>
        <v>14067</v>
      </c>
      <c r="N14" s="93"/>
      <c r="O14" s="96">
        <f t="shared" si="4"/>
        <v>14095.134</v>
      </c>
      <c r="P14" s="92"/>
      <c r="Q14" s="91"/>
      <c r="R14" s="90"/>
      <c r="S14" s="91"/>
      <c r="T14" s="98"/>
      <c r="U14" s="97">
        <f>'Suvi Gaz'!O14</f>
        <v>1892.1000000000001</v>
      </c>
      <c r="V14" s="94"/>
      <c r="W14" s="96">
        <f t="shared" si="5"/>
        <v>16657.669980000002</v>
      </c>
      <c r="X14" s="135">
        <v>12177.71</v>
      </c>
      <c r="Y14" s="290">
        <f t="shared" si="0"/>
        <v>11.450000000000728</v>
      </c>
      <c r="Z14" s="100">
        <f t="shared" si="1"/>
        <v>9618.0000000006112</v>
      </c>
      <c r="AA14" s="93"/>
      <c r="AB14" s="115">
        <v>17</v>
      </c>
      <c r="AC14" s="128">
        <v>76</v>
      </c>
      <c r="AD14" s="124">
        <v>0.59840000000000004</v>
      </c>
      <c r="AE14" s="134">
        <v>29</v>
      </c>
      <c r="AF14" s="129">
        <v>28.5</v>
      </c>
      <c r="AG14" s="132">
        <v>29</v>
      </c>
      <c r="AH14" s="133">
        <v>28</v>
      </c>
      <c r="AI14" s="72"/>
      <c r="AJ14" s="79"/>
      <c r="AK14" s="72"/>
    </row>
    <row r="15" spans="1:37" ht="32.25" customHeight="1" thickBot="1" x14ac:dyDescent="0.25">
      <c r="A15" s="5"/>
      <c r="B15" s="7">
        <f t="shared" si="6"/>
        <v>43805</v>
      </c>
      <c r="C15" s="8"/>
      <c r="D15" s="110">
        <f>'Suivi EAU-ELEC'!C20</f>
        <v>350</v>
      </c>
      <c r="E15" s="90"/>
      <c r="F15" s="148">
        <f t="shared" si="2"/>
        <v>4434.5</v>
      </c>
      <c r="G15" s="148"/>
      <c r="H15" s="149"/>
      <c r="I15" s="93"/>
      <c r="J15" s="117">
        <f>'Suivi EAU-ELEC'!E20</f>
        <v>4138</v>
      </c>
      <c r="K15" s="118">
        <f>'Suivi EAU-ELEC'!G20</f>
        <v>6398</v>
      </c>
      <c r="L15" s="118">
        <f>'Suivi EAU-ELEC'!I20</f>
        <v>2973</v>
      </c>
      <c r="M15" s="119">
        <f t="shared" si="3"/>
        <v>13509</v>
      </c>
      <c r="N15" s="93"/>
      <c r="O15" s="96">
        <f t="shared" si="4"/>
        <v>13536.018</v>
      </c>
      <c r="P15" s="92"/>
      <c r="Q15" s="91"/>
      <c r="R15" s="90"/>
      <c r="S15" s="91"/>
      <c r="T15" s="98"/>
      <c r="U15" s="97">
        <f>'Suvi Gaz'!O15</f>
        <v>1335.6000000000001</v>
      </c>
      <c r="V15" s="94"/>
      <c r="W15" s="96">
        <f t="shared" si="5"/>
        <v>11758.355280000002</v>
      </c>
      <c r="X15" s="135">
        <v>12189.16</v>
      </c>
      <c r="Y15" s="290">
        <f t="shared" si="0"/>
        <v>10.069999999999709</v>
      </c>
      <c r="Z15" s="100">
        <f t="shared" si="1"/>
        <v>8458.7999999997555</v>
      </c>
      <c r="AA15" s="93"/>
      <c r="AB15" s="115">
        <v>14</v>
      </c>
      <c r="AC15" s="128">
        <v>52</v>
      </c>
      <c r="AD15" s="124">
        <v>0.4194</v>
      </c>
      <c r="AE15" s="134">
        <v>28</v>
      </c>
      <c r="AF15" s="129">
        <v>28.5</v>
      </c>
      <c r="AG15" s="132">
        <v>29</v>
      </c>
      <c r="AH15" s="133">
        <v>29</v>
      </c>
      <c r="AI15" s="72"/>
      <c r="AJ15" s="79"/>
      <c r="AK15" s="72"/>
    </row>
    <row r="16" spans="1:37" ht="32.25" customHeight="1" thickBot="1" x14ac:dyDescent="0.25">
      <c r="A16" s="5"/>
      <c r="B16" s="7">
        <f t="shared" si="6"/>
        <v>43806</v>
      </c>
      <c r="C16" s="8"/>
      <c r="D16" s="110">
        <f>'Suivi EAU-ELEC'!C21</f>
        <v>330</v>
      </c>
      <c r="E16" s="112"/>
      <c r="F16" s="148">
        <f t="shared" si="2"/>
        <v>4181.1000000000004</v>
      </c>
      <c r="G16" s="148"/>
      <c r="H16" s="149"/>
      <c r="I16" s="94"/>
      <c r="J16" s="117">
        <f>'Suivi EAU-ELEC'!E21</f>
        <v>4186</v>
      </c>
      <c r="K16" s="118">
        <f>'Suivi EAU-ELEC'!G21</f>
        <v>6125</v>
      </c>
      <c r="L16" s="118">
        <f>'Suivi EAU-ELEC'!I21</f>
        <v>2906</v>
      </c>
      <c r="M16" s="119">
        <f t="shared" si="3"/>
        <v>13217</v>
      </c>
      <c r="N16" s="93"/>
      <c r="O16" s="96">
        <f t="shared" si="4"/>
        <v>13243.433999999999</v>
      </c>
      <c r="P16" s="92"/>
      <c r="Q16" s="91"/>
      <c r="R16" s="90"/>
      <c r="S16" s="91"/>
      <c r="T16" s="98"/>
      <c r="U16" s="97">
        <f>'Suvi Gaz'!O16</f>
        <v>1595.3000000000002</v>
      </c>
      <c r="V16" s="94"/>
      <c r="W16" s="96">
        <f t="shared" si="5"/>
        <v>14044.702140000003</v>
      </c>
      <c r="X16" s="135">
        <v>12199.23</v>
      </c>
      <c r="Y16" s="290">
        <f t="shared" si="0"/>
        <v>11.3700000000008</v>
      </c>
      <c r="Z16" s="100">
        <f t="shared" si="1"/>
        <v>9550.8000000006723</v>
      </c>
      <c r="AA16" s="93"/>
      <c r="AB16" s="115">
        <v>12</v>
      </c>
      <c r="AC16" s="128">
        <v>60</v>
      </c>
      <c r="AD16" s="124">
        <v>0.44440000000000002</v>
      </c>
      <c r="AE16" s="134">
        <v>28</v>
      </c>
      <c r="AF16" s="129">
        <v>28</v>
      </c>
      <c r="AG16" s="132">
        <v>29</v>
      </c>
      <c r="AH16" s="133">
        <v>28.5</v>
      </c>
      <c r="AI16" s="72"/>
      <c r="AJ16" s="79"/>
      <c r="AK16" s="72"/>
    </row>
    <row r="17" spans="1:37" ht="32.25" customHeight="1" thickBot="1" x14ac:dyDescent="0.25">
      <c r="A17" s="5"/>
      <c r="B17" s="7">
        <f t="shared" si="6"/>
        <v>43807</v>
      </c>
      <c r="C17" s="8"/>
      <c r="D17" s="110">
        <f>'Suivi EAU-ELEC'!C22</f>
        <v>350</v>
      </c>
      <c r="E17" s="112"/>
      <c r="F17" s="148">
        <f t="shared" si="2"/>
        <v>4434.5</v>
      </c>
      <c r="G17" s="148"/>
      <c r="H17" s="149"/>
      <c r="I17" s="94"/>
      <c r="J17" s="117">
        <f>'Suivi EAU-ELEC'!E22</f>
        <v>4317</v>
      </c>
      <c r="K17" s="118">
        <f>'Suivi EAU-ELEC'!G22</f>
        <v>6445</v>
      </c>
      <c r="L17" s="118">
        <f>'Suivi EAU-ELEC'!I22</f>
        <v>3031</v>
      </c>
      <c r="M17" s="119">
        <f t="shared" si="3"/>
        <v>13793</v>
      </c>
      <c r="N17" s="93"/>
      <c r="O17" s="96">
        <f t="shared" si="4"/>
        <v>13820.585999999999</v>
      </c>
      <c r="P17" s="92"/>
      <c r="Q17" s="91"/>
      <c r="R17" s="90"/>
      <c r="S17" s="91"/>
      <c r="T17" s="98"/>
      <c r="U17" s="97">
        <f>'Suvi Gaz'!O17</f>
        <v>1298.5</v>
      </c>
      <c r="V17" s="94"/>
      <c r="W17" s="96">
        <f t="shared" si="5"/>
        <v>11431.7343</v>
      </c>
      <c r="X17" s="135">
        <v>12210.6</v>
      </c>
      <c r="Y17" s="290">
        <f t="shared" si="0"/>
        <v>9.5499999999992724</v>
      </c>
      <c r="Z17" s="100">
        <f t="shared" si="1"/>
        <v>8021.9999999993888</v>
      </c>
      <c r="AA17" s="99"/>
      <c r="AB17" s="115">
        <v>13</v>
      </c>
      <c r="AC17" s="128">
        <v>54</v>
      </c>
      <c r="AD17" s="124">
        <v>0.432</v>
      </c>
      <c r="AE17" s="134">
        <v>28</v>
      </c>
      <c r="AF17" s="129">
        <v>28.4</v>
      </c>
      <c r="AG17" s="132">
        <v>29</v>
      </c>
      <c r="AH17" s="133">
        <v>29</v>
      </c>
      <c r="AI17" s="72"/>
      <c r="AJ17" s="79"/>
      <c r="AK17" s="72"/>
    </row>
    <row r="18" spans="1:37" ht="32.25" customHeight="1" thickBot="1" x14ac:dyDescent="0.25">
      <c r="A18" s="5"/>
      <c r="B18" s="7">
        <f t="shared" si="6"/>
        <v>43808</v>
      </c>
      <c r="C18" s="8"/>
      <c r="D18" s="110">
        <f>'Suivi EAU-ELEC'!C23</f>
        <v>310</v>
      </c>
      <c r="E18" s="112"/>
      <c r="F18" s="148">
        <f t="shared" si="2"/>
        <v>3927.7</v>
      </c>
      <c r="G18" s="148"/>
      <c r="H18" s="149"/>
      <c r="I18" s="94"/>
      <c r="J18" s="117">
        <f>'Suivi EAU-ELEC'!E23</f>
        <v>4074</v>
      </c>
      <c r="K18" s="118">
        <f>'Suivi EAU-ELEC'!G23</f>
        <v>6756</v>
      </c>
      <c r="L18" s="118">
        <f>'Suivi EAU-ELEC'!I23</f>
        <v>2923</v>
      </c>
      <c r="M18" s="119">
        <f t="shared" si="3"/>
        <v>13753</v>
      </c>
      <c r="N18" s="93"/>
      <c r="O18" s="96">
        <f t="shared" si="4"/>
        <v>13780.505999999999</v>
      </c>
      <c r="P18" s="92"/>
      <c r="Q18" s="91"/>
      <c r="R18" s="90"/>
      <c r="S18" s="91"/>
      <c r="T18" s="98"/>
      <c r="U18" s="97">
        <f>'Suvi Gaz'!O18</f>
        <v>1966.3000000000002</v>
      </c>
      <c r="V18" s="94"/>
      <c r="W18" s="96">
        <f t="shared" si="5"/>
        <v>17310.911940000002</v>
      </c>
      <c r="X18" s="135">
        <v>12220.15</v>
      </c>
      <c r="Y18" s="290">
        <f t="shared" si="0"/>
        <v>11.430000000000291</v>
      </c>
      <c r="Z18" s="100">
        <f t="shared" si="1"/>
        <v>9601.2000000002445</v>
      </c>
      <c r="AA18" s="99"/>
      <c r="AB18" s="115">
        <v>14</v>
      </c>
      <c r="AC18" s="128">
        <v>56</v>
      </c>
      <c r="AD18" s="124">
        <v>0.4516</v>
      </c>
      <c r="AE18" s="134">
        <v>27.3</v>
      </c>
      <c r="AF18" s="129">
        <v>28</v>
      </c>
      <c r="AG18" s="132">
        <v>28</v>
      </c>
      <c r="AH18" s="133">
        <v>27</v>
      </c>
      <c r="AI18" s="72"/>
      <c r="AJ18" s="79"/>
      <c r="AK18" s="72"/>
    </row>
    <row r="19" spans="1:37" ht="32.25" customHeight="1" thickBot="1" x14ac:dyDescent="0.25">
      <c r="A19" s="5"/>
      <c r="B19" s="7">
        <f t="shared" si="6"/>
        <v>43809</v>
      </c>
      <c r="C19" s="8"/>
      <c r="D19" s="110">
        <f>'Suivi EAU-ELEC'!C24</f>
        <v>270</v>
      </c>
      <c r="E19" s="112"/>
      <c r="F19" s="148">
        <f t="shared" si="2"/>
        <v>3420.9</v>
      </c>
      <c r="G19" s="148"/>
      <c r="H19" s="149"/>
      <c r="I19" s="94"/>
      <c r="J19" s="117">
        <f>'Suivi EAU-ELEC'!E24</f>
        <v>4129</v>
      </c>
      <c r="K19" s="118">
        <f>'Suivi EAU-ELEC'!G24</f>
        <v>6480</v>
      </c>
      <c r="L19" s="118">
        <f>'Suivi EAU-ELEC'!I24</f>
        <v>2935</v>
      </c>
      <c r="M19" s="119">
        <f t="shared" si="3"/>
        <v>13544</v>
      </c>
      <c r="N19" s="93"/>
      <c r="O19" s="96">
        <f t="shared" si="4"/>
        <v>13571.088</v>
      </c>
      <c r="P19" s="92"/>
      <c r="Q19" s="91"/>
      <c r="R19" s="90"/>
      <c r="S19" s="91"/>
      <c r="T19" s="98"/>
      <c r="U19" s="97">
        <f>'Suvi Gaz'!O19</f>
        <v>1409.8000000000002</v>
      </c>
      <c r="V19" s="94"/>
      <c r="W19" s="96">
        <f t="shared" si="5"/>
        <v>12411.597240000003</v>
      </c>
      <c r="X19" s="135">
        <v>12231.58</v>
      </c>
      <c r="Y19" s="290">
        <f t="shared" si="0"/>
        <v>10.190000000000509</v>
      </c>
      <c r="Z19" s="100">
        <f t="shared" si="1"/>
        <v>8559.6000000004278</v>
      </c>
      <c r="AA19" s="99"/>
      <c r="AB19" s="115">
        <v>13</v>
      </c>
      <c r="AC19" s="128">
        <v>59</v>
      </c>
      <c r="AD19" s="124">
        <v>0.47199999999999998</v>
      </c>
      <c r="AE19" s="134">
        <v>27</v>
      </c>
      <c r="AF19" s="129">
        <v>28</v>
      </c>
      <c r="AG19" s="132">
        <v>27</v>
      </c>
      <c r="AH19" s="133">
        <v>28</v>
      </c>
      <c r="AI19" s="72"/>
      <c r="AJ19" s="79"/>
      <c r="AK19" s="72"/>
    </row>
    <row r="20" spans="1:37" ht="32.25" customHeight="1" thickBot="1" x14ac:dyDescent="0.25">
      <c r="A20" s="5"/>
      <c r="B20" s="7">
        <f>B19+1</f>
        <v>43810</v>
      </c>
      <c r="C20" s="8"/>
      <c r="D20" s="110">
        <f>'Suivi EAU-ELEC'!C25</f>
        <v>300</v>
      </c>
      <c r="E20" s="112"/>
      <c r="F20" s="148">
        <f t="shared" si="2"/>
        <v>3801</v>
      </c>
      <c r="G20" s="148"/>
      <c r="H20" s="149"/>
      <c r="I20" s="94"/>
      <c r="J20" s="117">
        <f>'Suivi EAU-ELEC'!E25</f>
        <v>4099</v>
      </c>
      <c r="K20" s="118">
        <f>'Suivi EAU-ELEC'!G25</f>
        <v>6541</v>
      </c>
      <c r="L20" s="118">
        <f>'Suivi EAU-ELEC'!I25</f>
        <v>3003</v>
      </c>
      <c r="M20" s="119">
        <f t="shared" si="3"/>
        <v>13643</v>
      </c>
      <c r="N20" s="93"/>
      <c r="O20" s="96">
        <f t="shared" si="4"/>
        <v>13670.286</v>
      </c>
      <c r="P20" s="92"/>
      <c r="Q20" s="91"/>
      <c r="R20" s="90"/>
      <c r="S20" s="91"/>
      <c r="T20" s="98"/>
      <c r="U20" s="97">
        <f>'Suvi Gaz'!O20</f>
        <v>2040.5</v>
      </c>
      <c r="V20" s="94"/>
      <c r="W20" s="96">
        <f t="shared" si="5"/>
        <v>17964.153900000001</v>
      </c>
      <c r="X20" s="135">
        <v>12241.77</v>
      </c>
      <c r="Y20" s="290">
        <f t="shared" si="0"/>
        <v>11.159999999999854</v>
      </c>
      <c r="Z20" s="100">
        <f t="shared" si="1"/>
        <v>9374.3999999998778</v>
      </c>
      <c r="AA20" s="99">
        <v>14</v>
      </c>
      <c r="AB20" s="115">
        <v>13</v>
      </c>
      <c r="AC20" s="128">
        <v>95</v>
      </c>
      <c r="AD20" s="124">
        <v>0.77239999999999998</v>
      </c>
      <c r="AE20" s="134">
        <v>28</v>
      </c>
      <c r="AF20" s="129">
        <v>28.5</v>
      </c>
      <c r="AG20" s="132">
        <v>28</v>
      </c>
      <c r="AH20" s="133">
        <v>25.5</v>
      </c>
      <c r="AI20" s="72"/>
      <c r="AJ20" s="79"/>
      <c r="AK20" s="72"/>
    </row>
    <row r="21" spans="1:37" ht="32.25" customHeight="1" thickBot="1" x14ac:dyDescent="0.25">
      <c r="A21" s="5"/>
      <c r="B21" s="7">
        <f t="shared" si="6"/>
        <v>43811</v>
      </c>
      <c r="C21" s="8"/>
      <c r="D21" s="110">
        <f>'Suivi EAU-ELEC'!C26</f>
        <v>310</v>
      </c>
      <c r="E21" s="112"/>
      <c r="F21" s="148">
        <f t="shared" si="2"/>
        <v>3927.7</v>
      </c>
      <c r="G21" s="148"/>
      <c r="H21" s="149"/>
      <c r="I21" s="94"/>
      <c r="J21" s="117">
        <f>'Suivi EAU-ELEC'!E26</f>
        <v>4222</v>
      </c>
      <c r="K21" s="118">
        <f>'Suivi EAU-ELEC'!G26</f>
        <v>6595</v>
      </c>
      <c r="L21" s="118">
        <f>'Suivi EAU-ELEC'!I26</f>
        <v>3118</v>
      </c>
      <c r="M21" s="119">
        <f t="shared" si="3"/>
        <v>13935</v>
      </c>
      <c r="N21" s="93"/>
      <c r="O21" s="96">
        <f t="shared" si="4"/>
        <v>13962.87</v>
      </c>
      <c r="P21" s="92"/>
      <c r="Q21" s="91"/>
      <c r="R21" s="90"/>
      <c r="S21" s="91"/>
      <c r="T21" s="98"/>
      <c r="U21" s="97">
        <f>'Suvi Gaz'!O21</f>
        <v>1558.2</v>
      </c>
      <c r="V21" s="94"/>
      <c r="W21" s="96">
        <f t="shared" si="5"/>
        <v>13718.081160000002</v>
      </c>
      <c r="X21" s="135">
        <v>12252.93</v>
      </c>
      <c r="Y21" s="290">
        <f t="shared" si="0"/>
        <v>12.119999999998981</v>
      </c>
      <c r="Z21" s="100">
        <f t="shared" si="1"/>
        <v>10180.799999999143</v>
      </c>
      <c r="AA21" s="99">
        <v>14</v>
      </c>
      <c r="AB21" s="115">
        <v>14</v>
      </c>
      <c r="AC21" s="128">
        <v>62</v>
      </c>
      <c r="AD21" s="124">
        <v>0.51239999999999997</v>
      </c>
      <c r="AE21" s="134">
        <v>28</v>
      </c>
      <c r="AF21" s="129">
        <v>28</v>
      </c>
      <c r="AG21" s="132">
        <v>28</v>
      </c>
      <c r="AH21" s="133">
        <v>28</v>
      </c>
      <c r="AI21" s="72"/>
      <c r="AJ21" s="79"/>
      <c r="AK21" s="72"/>
    </row>
    <row r="22" spans="1:37" ht="32.25" customHeight="1" thickBot="1" x14ac:dyDescent="0.25">
      <c r="A22" s="5"/>
      <c r="B22" s="7">
        <f t="shared" si="6"/>
        <v>43812</v>
      </c>
      <c r="C22" s="8"/>
      <c r="D22" s="110">
        <f>'Suivi EAU-ELEC'!C27</f>
        <v>320</v>
      </c>
      <c r="E22" s="112"/>
      <c r="F22" s="148">
        <f t="shared" si="2"/>
        <v>4054.4</v>
      </c>
      <c r="G22" s="148"/>
      <c r="H22" s="149"/>
      <c r="I22" s="94"/>
      <c r="J22" s="117">
        <f>'Suivi EAU-ELEC'!E27</f>
        <v>4314</v>
      </c>
      <c r="K22" s="118">
        <f>'Suivi EAU-ELEC'!G27</f>
        <v>6859</v>
      </c>
      <c r="L22" s="118">
        <f>'Suivi EAU-ELEC'!I27</f>
        <v>3081</v>
      </c>
      <c r="M22" s="119">
        <f t="shared" si="3"/>
        <v>14254</v>
      </c>
      <c r="N22" s="93"/>
      <c r="O22" s="96">
        <f t="shared" si="4"/>
        <v>14282.508</v>
      </c>
      <c r="P22" s="92"/>
      <c r="Q22" s="91"/>
      <c r="R22" s="90"/>
      <c r="S22" s="91"/>
      <c r="T22" s="98"/>
      <c r="U22" s="97">
        <f>'Suvi Gaz'!O22</f>
        <v>1372.7</v>
      </c>
      <c r="V22" s="94"/>
      <c r="W22" s="96">
        <f t="shared" si="5"/>
        <v>12084.976260000001</v>
      </c>
      <c r="X22" s="135">
        <v>12265.05</v>
      </c>
      <c r="Y22" s="290">
        <f t="shared" si="0"/>
        <v>14.590000000000146</v>
      </c>
      <c r="Z22" s="100">
        <f t="shared" si="1"/>
        <v>12255.600000000122</v>
      </c>
      <c r="AA22" s="94"/>
      <c r="AB22" s="115">
        <v>14</v>
      </c>
      <c r="AC22" s="128">
        <v>34</v>
      </c>
      <c r="AD22" s="124">
        <v>0.2742</v>
      </c>
      <c r="AE22" s="134">
        <v>28</v>
      </c>
      <c r="AF22" s="129">
        <v>28</v>
      </c>
      <c r="AG22" s="132">
        <v>28</v>
      </c>
      <c r="AH22" s="133">
        <v>28.5</v>
      </c>
      <c r="AI22" s="72"/>
      <c r="AJ22" s="79"/>
      <c r="AK22" s="72"/>
    </row>
    <row r="23" spans="1:37" ht="32.25" customHeight="1" thickBot="1" x14ac:dyDescent="0.25">
      <c r="A23" s="5"/>
      <c r="B23" s="7">
        <f>B22+1</f>
        <v>43813</v>
      </c>
      <c r="C23" s="8"/>
      <c r="D23" s="110">
        <f>'Suivi EAU-ELEC'!C28</f>
        <v>330</v>
      </c>
      <c r="E23" s="112"/>
      <c r="F23" s="148">
        <f t="shared" si="2"/>
        <v>4181.1000000000004</v>
      </c>
      <c r="G23" s="148"/>
      <c r="H23" s="149"/>
      <c r="I23" s="94"/>
      <c r="J23" s="117">
        <f>'Suivi EAU-ELEC'!E28</f>
        <v>4563</v>
      </c>
      <c r="K23" s="118">
        <f>'Suivi EAU-ELEC'!G28</f>
        <v>6847</v>
      </c>
      <c r="L23" s="118">
        <f>'Suivi EAU-ELEC'!I28</f>
        <v>3367</v>
      </c>
      <c r="M23" s="119">
        <f t="shared" si="3"/>
        <v>14777</v>
      </c>
      <c r="N23" s="93"/>
      <c r="O23" s="96">
        <f t="shared" si="4"/>
        <v>14806.554</v>
      </c>
      <c r="P23" s="92"/>
      <c r="Q23" s="91"/>
      <c r="R23" s="90"/>
      <c r="S23" s="91"/>
      <c r="T23" s="98"/>
      <c r="U23" s="97">
        <f>'Suvi Gaz'!O23</f>
        <v>1855</v>
      </c>
      <c r="V23" s="94"/>
      <c r="W23" s="96">
        <f t="shared" si="5"/>
        <v>16331.049000000001</v>
      </c>
      <c r="X23" s="135">
        <v>12279.64</v>
      </c>
      <c r="Y23" s="290">
        <f t="shared" si="0"/>
        <v>14.390000000001237</v>
      </c>
      <c r="Z23" s="100">
        <f t="shared" si="1"/>
        <v>12087.600000001039</v>
      </c>
      <c r="AA23" s="94"/>
      <c r="AB23" s="115">
        <v>14</v>
      </c>
      <c r="AC23" s="128">
        <v>93</v>
      </c>
      <c r="AD23" s="124">
        <v>0.67879999999999996</v>
      </c>
      <c r="AE23" s="134">
        <v>28</v>
      </c>
      <c r="AF23" s="129">
        <v>28.5</v>
      </c>
      <c r="AG23" s="132">
        <v>28</v>
      </c>
      <c r="AH23" s="133">
        <v>28.5</v>
      </c>
      <c r="AI23" s="72"/>
      <c r="AJ23" s="79"/>
      <c r="AK23" s="72"/>
    </row>
    <row r="24" spans="1:37" ht="32.25" customHeight="1" thickBot="1" x14ac:dyDescent="0.25">
      <c r="A24" s="5"/>
      <c r="B24" s="7">
        <f t="shared" si="6"/>
        <v>43814</v>
      </c>
      <c r="C24" s="8"/>
      <c r="D24" s="110">
        <f>'Suivi EAU-ELEC'!C29</f>
        <v>340</v>
      </c>
      <c r="E24" s="112"/>
      <c r="F24" s="148">
        <f t="shared" si="2"/>
        <v>4307.8</v>
      </c>
      <c r="G24" s="148"/>
      <c r="H24" s="149"/>
      <c r="I24" s="94"/>
      <c r="J24" s="117">
        <f>'Suivi EAU-ELEC'!E29</f>
        <v>4961</v>
      </c>
      <c r="K24" s="118">
        <f>'Suivi EAU-ELEC'!G29</f>
        <v>7337</v>
      </c>
      <c r="L24" s="118">
        <f>'Suivi EAU-ELEC'!I29</f>
        <v>3320</v>
      </c>
      <c r="M24" s="119">
        <f t="shared" si="3"/>
        <v>15618</v>
      </c>
      <c r="N24" s="93"/>
      <c r="O24" s="96">
        <f t="shared" si="4"/>
        <v>15649.236000000001</v>
      </c>
      <c r="P24" s="92"/>
      <c r="Q24" s="91"/>
      <c r="R24" s="90"/>
      <c r="S24" s="91"/>
      <c r="T24" s="98"/>
      <c r="U24" s="97">
        <f>'Suvi Gaz'!O24</f>
        <v>1706.6000000000001</v>
      </c>
      <c r="V24" s="94"/>
      <c r="W24" s="96">
        <f t="shared" si="5"/>
        <v>15024.565080000002</v>
      </c>
      <c r="X24" s="135">
        <v>12294.03</v>
      </c>
      <c r="Y24" s="290">
        <f t="shared" si="0"/>
        <v>18.43999999999869</v>
      </c>
      <c r="Z24" s="100">
        <f t="shared" si="1"/>
        <v>15489.5999999989</v>
      </c>
      <c r="AA24" s="94"/>
      <c r="AB24" s="115">
        <v>13</v>
      </c>
      <c r="AC24" s="128">
        <v>125</v>
      </c>
      <c r="AD24" s="124">
        <v>0.91239999999999999</v>
      </c>
      <c r="AE24" s="134">
        <v>28</v>
      </c>
      <c r="AF24" s="129">
        <v>29</v>
      </c>
      <c r="AG24" s="132">
        <v>28</v>
      </c>
      <c r="AH24" s="133">
        <v>29</v>
      </c>
      <c r="AI24" s="72"/>
      <c r="AJ24" s="79"/>
      <c r="AK24" s="72"/>
    </row>
    <row r="25" spans="1:37" ht="32.25" customHeight="1" thickBot="1" x14ac:dyDescent="0.25">
      <c r="A25" s="5"/>
      <c r="B25" s="7">
        <f t="shared" si="6"/>
        <v>43815</v>
      </c>
      <c r="C25" s="8"/>
      <c r="D25" s="110">
        <f>'Suivi EAU-ELEC'!C30</f>
        <v>300</v>
      </c>
      <c r="E25" s="112"/>
      <c r="F25" s="148">
        <f t="shared" si="2"/>
        <v>3801</v>
      </c>
      <c r="G25" s="148"/>
      <c r="H25" s="149"/>
      <c r="I25" s="94"/>
      <c r="J25" s="117">
        <f>'Suivi EAU-ELEC'!E30</f>
        <v>4990</v>
      </c>
      <c r="K25" s="118">
        <f>'Suivi EAU-ELEC'!G30</f>
        <v>7519</v>
      </c>
      <c r="L25" s="118">
        <f>'Suivi EAU-ELEC'!I30</f>
        <v>3433</v>
      </c>
      <c r="M25" s="119">
        <f t="shared" si="3"/>
        <v>15942</v>
      </c>
      <c r="N25" s="93"/>
      <c r="O25" s="96">
        <f t="shared" si="4"/>
        <v>15973.884</v>
      </c>
      <c r="P25" s="92"/>
      <c r="Q25" s="91"/>
      <c r="R25" s="90"/>
      <c r="S25" s="91"/>
      <c r="T25" s="98"/>
      <c r="U25" s="97">
        <f>'Suvi Gaz'!O25</f>
        <v>1075.9000000000001</v>
      </c>
      <c r="V25" s="94"/>
      <c r="W25" s="96">
        <f t="shared" si="5"/>
        <v>9472.0084200000019</v>
      </c>
      <c r="X25" s="135">
        <v>12312.47</v>
      </c>
      <c r="Y25" s="290">
        <f t="shared" si="0"/>
        <v>15.920000000000073</v>
      </c>
      <c r="Z25" s="100">
        <f t="shared" si="1"/>
        <v>13372.800000000059</v>
      </c>
      <c r="AA25" s="94"/>
      <c r="AB25" s="115">
        <v>12</v>
      </c>
      <c r="AC25" s="128">
        <v>130</v>
      </c>
      <c r="AD25" s="124">
        <v>0.98480000000000001</v>
      </c>
      <c r="AE25" s="134">
        <v>28</v>
      </c>
      <c r="AF25" s="129">
        <v>29</v>
      </c>
      <c r="AG25" s="132">
        <v>29</v>
      </c>
      <c r="AH25" s="133">
        <v>29</v>
      </c>
      <c r="AI25" s="72"/>
      <c r="AJ25" s="79"/>
      <c r="AK25" s="72"/>
    </row>
    <row r="26" spans="1:37" ht="32.25" customHeight="1" thickBot="1" x14ac:dyDescent="0.25">
      <c r="A26" s="5"/>
      <c r="B26" s="7">
        <f t="shared" si="6"/>
        <v>43816</v>
      </c>
      <c r="C26" s="8"/>
      <c r="D26" s="110">
        <f>'Suivi EAU-ELEC'!C31</f>
        <v>300</v>
      </c>
      <c r="E26" s="113"/>
      <c r="F26" s="148">
        <f t="shared" si="2"/>
        <v>3801</v>
      </c>
      <c r="G26" s="148"/>
      <c r="H26" s="149"/>
      <c r="I26" s="94"/>
      <c r="J26" s="117">
        <f>'Suivi EAU-ELEC'!E31</f>
        <v>4730</v>
      </c>
      <c r="K26" s="118">
        <f>'Suivi EAU-ELEC'!G31</f>
        <v>7447</v>
      </c>
      <c r="L26" s="118">
        <f>'Suivi EAU-ELEC'!I31</f>
        <v>3330</v>
      </c>
      <c r="M26" s="119">
        <f t="shared" si="3"/>
        <v>15507</v>
      </c>
      <c r="N26" s="93"/>
      <c r="O26" s="96">
        <f t="shared" si="4"/>
        <v>15538.013999999999</v>
      </c>
      <c r="P26" s="92"/>
      <c r="Q26" s="91"/>
      <c r="R26" s="90"/>
      <c r="S26" s="91"/>
      <c r="T26" s="98"/>
      <c r="U26" s="97">
        <f>'Suvi Gaz'!O26</f>
        <v>1484</v>
      </c>
      <c r="V26" s="95"/>
      <c r="W26" s="96">
        <f t="shared" si="5"/>
        <v>13064.8392</v>
      </c>
      <c r="X26" s="135">
        <v>12328.39</v>
      </c>
      <c r="Y26" s="290">
        <f t="shared" si="0"/>
        <v>13.610000000000582</v>
      </c>
      <c r="Z26" s="100">
        <f t="shared" si="1"/>
        <v>11432.400000000487</v>
      </c>
      <c r="AA26" s="95"/>
      <c r="AB26" s="115">
        <v>13</v>
      </c>
      <c r="AC26" s="128">
        <v>110</v>
      </c>
      <c r="AD26" s="124">
        <v>0.85940000000000005</v>
      </c>
      <c r="AE26" s="134">
        <v>28</v>
      </c>
      <c r="AF26" s="129">
        <v>28.5</v>
      </c>
      <c r="AG26" s="132">
        <v>28.5</v>
      </c>
      <c r="AH26" s="133">
        <v>29</v>
      </c>
      <c r="AI26" s="72"/>
      <c r="AJ26" s="79"/>
      <c r="AK26" s="72"/>
    </row>
    <row r="27" spans="1:37" ht="32.25" customHeight="1" thickBot="1" x14ac:dyDescent="0.25">
      <c r="A27" s="5"/>
      <c r="B27" s="7">
        <f>B26+1</f>
        <v>43817</v>
      </c>
      <c r="C27" s="8"/>
      <c r="D27" s="110">
        <f>'Suivi EAU-ELEC'!C32</f>
        <v>330</v>
      </c>
      <c r="E27" s="113"/>
      <c r="F27" s="148">
        <f t="shared" si="2"/>
        <v>4181.1000000000004</v>
      </c>
      <c r="G27" s="148"/>
      <c r="H27" s="149"/>
      <c r="I27" s="94"/>
      <c r="J27" s="117">
        <f>'Suivi EAU-ELEC'!E32</f>
        <v>4740</v>
      </c>
      <c r="K27" s="118">
        <f>'Suivi EAU-ELEC'!G32</f>
        <v>7543</v>
      </c>
      <c r="L27" s="118">
        <f>'Suivi EAU-ELEC'!I32</f>
        <v>3363</v>
      </c>
      <c r="M27" s="119">
        <f t="shared" si="3"/>
        <v>15646</v>
      </c>
      <c r="N27" s="93"/>
      <c r="O27" s="96">
        <f>M27*1.002</f>
        <v>15677.291999999999</v>
      </c>
      <c r="P27" s="92"/>
      <c r="Q27" s="91"/>
      <c r="R27" s="90"/>
      <c r="S27" s="91"/>
      <c r="T27" s="98"/>
      <c r="U27" s="97">
        <f>'Suvi Gaz'!O27</f>
        <v>1632.4</v>
      </c>
      <c r="V27" s="95"/>
      <c r="W27" s="96">
        <f t="shared" si="5"/>
        <v>14371.323120000003</v>
      </c>
      <c r="X27" s="135">
        <v>12342</v>
      </c>
      <c r="Y27" s="290">
        <f t="shared" si="0"/>
        <v>13.850000000000364</v>
      </c>
      <c r="Z27" s="100">
        <f t="shared" si="1"/>
        <v>11634.000000000306</v>
      </c>
      <c r="AA27" s="95"/>
      <c r="AB27" s="115">
        <v>12</v>
      </c>
      <c r="AC27" s="128">
        <v>118</v>
      </c>
      <c r="AD27" s="124">
        <v>0.86939999999999995</v>
      </c>
      <c r="AE27" s="134">
        <v>28.5</v>
      </c>
      <c r="AF27" s="129">
        <v>29</v>
      </c>
      <c r="AG27" s="132">
        <v>29</v>
      </c>
      <c r="AH27" s="133">
        <v>30</v>
      </c>
      <c r="AI27" s="72"/>
      <c r="AJ27" s="79"/>
      <c r="AK27" s="72"/>
    </row>
    <row r="28" spans="1:37" ht="32.25" customHeight="1" thickBot="1" x14ac:dyDescent="0.25">
      <c r="A28" s="5"/>
      <c r="B28" s="7">
        <f t="shared" si="6"/>
        <v>43818</v>
      </c>
      <c r="C28" s="8"/>
      <c r="D28" s="110">
        <f>'Suivi EAU-ELEC'!C33</f>
        <v>350</v>
      </c>
      <c r="E28" s="113"/>
      <c r="F28" s="148">
        <f t="shared" si="2"/>
        <v>4434.5</v>
      </c>
      <c r="G28" s="148"/>
      <c r="H28" s="149"/>
      <c r="I28" s="95"/>
      <c r="J28" s="117">
        <f>'Suivi EAU-ELEC'!E33</f>
        <v>4788</v>
      </c>
      <c r="K28" s="118">
        <f>'Suivi EAU-ELEC'!G33</f>
        <v>7043</v>
      </c>
      <c r="L28" s="118">
        <f>'Suivi EAU-ELEC'!I33</f>
        <v>3245</v>
      </c>
      <c r="M28" s="119">
        <f t="shared" si="3"/>
        <v>15076</v>
      </c>
      <c r="N28" s="93"/>
      <c r="O28" s="96">
        <f t="shared" si="4"/>
        <v>15106.152</v>
      </c>
      <c r="P28" s="92"/>
      <c r="Q28" s="91"/>
      <c r="R28" s="90"/>
      <c r="S28" s="91"/>
      <c r="T28" s="98"/>
      <c r="U28" s="97">
        <f>'Suvi Gaz'!O28</f>
        <v>1521.1000000000001</v>
      </c>
      <c r="V28" s="95"/>
      <c r="W28" s="96">
        <f t="shared" si="5"/>
        <v>13391.460180000002</v>
      </c>
      <c r="X28" s="135">
        <v>12355.85</v>
      </c>
      <c r="Y28" s="290">
        <f t="shared" si="0"/>
        <v>13.260000000000218</v>
      </c>
      <c r="Z28" s="100">
        <f t="shared" si="1"/>
        <v>11138.400000000183</v>
      </c>
      <c r="AA28" s="95"/>
      <c r="AB28" s="115">
        <v>14</v>
      </c>
      <c r="AC28" s="128">
        <v>129</v>
      </c>
      <c r="AD28" s="124">
        <v>0.93479999999999996</v>
      </c>
      <c r="AE28" s="134">
        <v>28.5</v>
      </c>
      <c r="AF28" s="129">
        <v>29</v>
      </c>
      <c r="AG28" s="132">
        <v>29</v>
      </c>
      <c r="AH28" s="133">
        <v>30</v>
      </c>
      <c r="AI28" s="72"/>
      <c r="AJ28" s="79"/>
      <c r="AK28" s="72"/>
    </row>
    <row r="29" spans="1:37" ht="32.25" customHeight="1" thickBot="1" x14ac:dyDescent="0.25">
      <c r="A29" s="5"/>
      <c r="B29" s="7">
        <f t="shared" si="6"/>
        <v>43819</v>
      </c>
      <c r="C29" s="8"/>
      <c r="D29" s="110">
        <f>'Suivi EAU-ELEC'!C34</f>
        <v>360</v>
      </c>
      <c r="E29" s="113"/>
      <c r="F29" s="148">
        <f t="shared" si="2"/>
        <v>4561.2</v>
      </c>
      <c r="G29" s="148"/>
      <c r="H29" s="149"/>
      <c r="I29" s="95"/>
      <c r="J29" s="117">
        <f>'Suivi EAU-ELEC'!E34</f>
        <v>4431</v>
      </c>
      <c r="K29" s="118">
        <f>'Suivi EAU-ELEC'!G34</f>
        <v>6886</v>
      </c>
      <c r="L29" s="118">
        <f>'Suivi EAU-ELEC'!I34</f>
        <v>3194</v>
      </c>
      <c r="M29" s="119">
        <f t="shared" si="3"/>
        <v>14511</v>
      </c>
      <c r="N29" s="93"/>
      <c r="O29" s="96">
        <f t="shared" si="4"/>
        <v>14540.022000000001</v>
      </c>
      <c r="P29" s="92"/>
      <c r="Q29" s="91"/>
      <c r="R29" s="90"/>
      <c r="S29" s="91"/>
      <c r="T29" s="98"/>
      <c r="U29" s="97">
        <f>'Suvi Gaz'!O29</f>
        <v>1075.9000000000001</v>
      </c>
      <c r="V29" s="95"/>
      <c r="W29" s="96">
        <f t="shared" si="5"/>
        <v>9472.0084200000019</v>
      </c>
      <c r="X29" s="135">
        <v>12369.11</v>
      </c>
      <c r="Y29" s="290">
        <f t="shared" si="0"/>
        <v>11.769999999998618</v>
      </c>
      <c r="Z29" s="100">
        <f t="shared" si="1"/>
        <v>9886.7999999988388</v>
      </c>
      <c r="AA29" s="95"/>
      <c r="AB29" s="115">
        <v>14</v>
      </c>
      <c r="AC29" s="128">
        <v>77</v>
      </c>
      <c r="AD29" s="124">
        <v>0.59230000000000005</v>
      </c>
      <c r="AE29" s="134">
        <v>29</v>
      </c>
      <c r="AF29" s="129">
        <v>29</v>
      </c>
      <c r="AG29" s="132">
        <v>29</v>
      </c>
      <c r="AH29" s="133">
        <v>30</v>
      </c>
      <c r="AI29" s="72"/>
      <c r="AJ29" s="79"/>
      <c r="AK29" s="72"/>
    </row>
    <row r="30" spans="1:37" s="68" customFormat="1" ht="32.25" customHeight="1" thickBot="1" x14ac:dyDescent="0.25">
      <c r="A30" s="65"/>
      <c r="B30" s="66">
        <f t="shared" si="6"/>
        <v>43820</v>
      </c>
      <c r="C30" s="67"/>
      <c r="D30" s="110">
        <f>'Suivi EAU-ELEC'!C35</f>
        <v>300</v>
      </c>
      <c r="E30" s="113"/>
      <c r="F30" s="148">
        <f t="shared" si="2"/>
        <v>3801</v>
      </c>
      <c r="G30" s="148"/>
      <c r="H30" s="149"/>
      <c r="I30" s="95"/>
      <c r="J30" s="117">
        <f>'Suivi EAU-ELEC'!E35</f>
        <v>4393</v>
      </c>
      <c r="K30" s="118">
        <f>'Suivi EAU-ELEC'!G35</f>
        <v>6817</v>
      </c>
      <c r="L30" s="118">
        <f>'Suivi EAU-ELEC'!I35</f>
        <v>3029</v>
      </c>
      <c r="M30" s="119">
        <f t="shared" si="3"/>
        <v>14239</v>
      </c>
      <c r="N30" s="93"/>
      <c r="O30" s="96">
        <f t="shared" si="4"/>
        <v>14267.477999999999</v>
      </c>
      <c r="P30" s="92"/>
      <c r="Q30" s="91"/>
      <c r="R30" s="90"/>
      <c r="S30" s="91"/>
      <c r="T30" s="98"/>
      <c r="U30" s="97">
        <f>'Suvi Gaz'!O30</f>
        <v>1113</v>
      </c>
      <c r="V30" s="95"/>
      <c r="W30" s="96">
        <f t="shared" si="5"/>
        <v>9798.6294000000016</v>
      </c>
      <c r="X30" s="135">
        <v>12380.88</v>
      </c>
      <c r="Y30" s="290">
        <f t="shared" si="0"/>
        <v>11.510000000000218</v>
      </c>
      <c r="Z30" s="100">
        <f t="shared" si="1"/>
        <v>9668.4000000001834</v>
      </c>
      <c r="AA30" s="95"/>
      <c r="AB30" s="115">
        <v>12</v>
      </c>
      <c r="AC30" s="128">
        <v>115</v>
      </c>
      <c r="AD30" s="124">
        <v>0.89149999999999996</v>
      </c>
      <c r="AE30" s="134">
        <v>29.5</v>
      </c>
      <c r="AF30" s="129">
        <v>30</v>
      </c>
      <c r="AG30" s="132">
        <v>29</v>
      </c>
      <c r="AH30" s="133">
        <v>30</v>
      </c>
      <c r="AI30" s="72"/>
      <c r="AJ30" s="79"/>
      <c r="AK30" s="72"/>
    </row>
    <row r="31" spans="1:37" ht="32.25" customHeight="1" thickBot="1" x14ac:dyDescent="0.25">
      <c r="A31" s="5"/>
      <c r="B31" s="64">
        <f t="shared" si="6"/>
        <v>43821</v>
      </c>
      <c r="C31" s="8"/>
      <c r="D31" s="110">
        <f>'Suivi EAU-ELEC'!C36</f>
        <v>310</v>
      </c>
      <c r="E31" s="90"/>
      <c r="F31" s="148">
        <f t="shared" si="2"/>
        <v>3927.7</v>
      </c>
      <c r="G31" s="148"/>
      <c r="H31" s="149"/>
      <c r="I31" s="93"/>
      <c r="J31" s="117">
        <f>'Suivi EAU-ELEC'!E36</f>
        <v>4652</v>
      </c>
      <c r="K31" s="118">
        <f>'Suivi EAU-ELEC'!G36</f>
        <v>7061</v>
      </c>
      <c r="L31" s="118">
        <f>'Suivi EAU-ELEC'!I36</f>
        <v>3141</v>
      </c>
      <c r="M31" s="119">
        <f t="shared" si="3"/>
        <v>14854</v>
      </c>
      <c r="N31" s="93"/>
      <c r="O31" s="96">
        <f t="shared" si="4"/>
        <v>14883.708000000001</v>
      </c>
      <c r="P31" s="92"/>
      <c r="Q31" s="91"/>
      <c r="R31" s="90"/>
      <c r="S31" s="91"/>
      <c r="T31" s="98"/>
      <c r="U31" s="97">
        <f>'Suvi Gaz'!O31</f>
        <v>1001.7</v>
      </c>
      <c r="V31" s="93"/>
      <c r="W31" s="96">
        <f t="shared" si="5"/>
        <v>8818.7664600000007</v>
      </c>
      <c r="X31" s="135">
        <v>12392.39</v>
      </c>
      <c r="Y31" s="290">
        <f t="shared" si="0"/>
        <v>15.940000000000509</v>
      </c>
      <c r="Z31" s="100">
        <f t="shared" si="1"/>
        <v>13389.600000000428</v>
      </c>
      <c r="AA31" s="93"/>
      <c r="AB31" s="115">
        <v>12</v>
      </c>
      <c r="AC31" s="128">
        <v>103</v>
      </c>
      <c r="AD31" s="124">
        <v>0.78029999999999999</v>
      </c>
      <c r="AE31" s="134">
        <v>28.8</v>
      </c>
      <c r="AF31" s="129">
        <v>30</v>
      </c>
      <c r="AG31" s="132">
        <v>28.8</v>
      </c>
      <c r="AH31" s="133">
        <v>30</v>
      </c>
      <c r="AI31" s="72"/>
      <c r="AJ31" s="79"/>
      <c r="AK31" s="72"/>
    </row>
    <row r="32" spans="1:37" ht="32.25" customHeight="1" thickBot="1" x14ac:dyDescent="0.25">
      <c r="A32" s="5"/>
      <c r="B32" s="7">
        <f t="shared" si="6"/>
        <v>43822</v>
      </c>
      <c r="C32" s="8"/>
      <c r="D32" s="110">
        <f>'Suivi EAU-ELEC'!C37</f>
        <v>360</v>
      </c>
      <c r="E32" s="90"/>
      <c r="F32" s="148">
        <f t="shared" si="2"/>
        <v>4561.2</v>
      </c>
      <c r="G32" s="148"/>
      <c r="H32" s="149"/>
      <c r="I32" s="93"/>
      <c r="J32" s="117">
        <f>'Suivi EAU-ELEC'!E37</f>
        <v>4637</v>
      </c>
      <c r="K32" s="118">
        <f>'Suivi EAU-ELEC'!G37</f>
        <v>7211</v>
      </c>
      <c r="L32" s="118">
        <f>'Suivi EAU-ELEC'!I37</f>
        <v>3187</v>
      </c>
      <c r="M32" s="119">
        <f t="shared" si="3"/>
        <v>15035</v>
      </c>
      <c r="N32" s="93"/>
      <c r="O32" s="96">
        <f t="shared" si="4"/>
        <v>15065.07</v>
      </c>
      <c r="P32" s="92"/>
      <c r="Q32" s="91"/>
      <c r="R32" s="90"/>
      <c r="S32" s="91"/>
      <c r="T32" s="98"/>
      <c r="U32" s="97">
        <f>'Suvi Gaz'!O32</f>
        <v>742</v>
      </c>
      <c r="V32" s="93"/>
      <c r="W32" s="96">
        <f t="shared" si="5"/>
        <v>6532.4196000000002</v>
      </c>
      <c r="X32" s="135">
        <v>12408.33</v>
      </c>
      <c r="Y32" s="290">
        <f t="shared" si="0"/>
        <v>18.350000000000364</v>
      </c>
      <c r="Z32" s="100">
        <f t="shared" si="1"/>
        <v>15414.000000000306</v>
      </c>
      <c r="AA32" s="93"/>
      <c r="AB32" s="115">
        <v>13</v>
      </c>
      <c r="AC32" s="128">
        <v>105</v>
      </c>
      <c r="AD32" s="124">
        <v>0.80769999999999997</v>
      </c>
      <c r="AE32" s="146">
        <v>28</v>
      </c>
      <c r="AF32" s="147">
        <v>29</v>
      </c>
      <c r="AG32" s="132">
        <v>28</v>
      </c>
      <c r="AH32" s="133">
        <v>29</v>
      </c>
      <c r="AI32" s="72"/>
      <c r="AJ32" s="79"/>
      <c r="AK32" s="72"/>
    </row>
    <row r="33" spans="1:37" ht="32.25" customHeight="1" thickBot="1" x14ac:dyDescent="0.25">
      <c r="A33" s="5"/>
      <c r="B33" s="7">
        <f t="shared" si="6"/>
        <v>43823</v>
      </c>
      <c r="C33" s="8"/>
      <c r="D33" s="110">
        <f>'Suivi EAU-ELEC'!C38</f>
        <v>310</v>
      </c>
      <c r="E33" s="90"/>
      <c r="F33" s="148">
        <f t="shared" si="2"/>
        <v>3927.7</v>
      </c>
      <c r="G33" s="148"/>
      <c r="H33" s="149"/>
      <c r="I33" s="93"/>
      <c r="J33" s="117">
        <f>'Suivi EAU-ELEC'!E38</f>
        <v>4450</v>
      </c>
      <c r="K33" s="118">
        <f>'Suivi EAU-ELEC'!G38</f>
        <v>7066</v>
      </c>
      <c r="L33" s="118">
        <f>'Suivi EAU-ELEC'!I38</f>
        <v>3216</v>
      </c>
      <c r="M33" s="119">
        <f t="shared" si="3"/>
        <v>14732</v>
      </c>
      <c r="N33" s="93"/>
      <c r="O33" s="96">
        <f t="shared" si="4"/>
        <v>14761.464</v>
      </c>
      <c r="P33" s="92"/>
      <c r="Q33" s="91"/>
      <c r="R33" s="90"/>
      <c r="S33" s="91"/>
      <c r="T33" s="98"/>
      <c r="U33" s="97">
        <f>'Suvi Gaz'!O33</f>
        <v>1113</v>
      </c>
      <c r="V33" s="93"/>
      <c r="W33" s="96">
        <f t="shared" si="5"/>
        <v>9798.6294000000016</v>
      </c>
      <c r="X33" s="135">
        <v>12426.68</v>
      </c>
      <c r="Y33" s="290">
        <f t="shared" si="0"/>
        <v>15.25</v>
      </c>
      <c r="Z33" s="100">
        <f t="shared" si="1"/>
        <v>12809.999999999998</v>
      </c>
      <c r="AA33" s="93"/>
      <c r="AB33" s="115">
        <v>15</v>
      </c>
      <c r="AC33" s="128">
        <v>92</v>
      </c>
      <c r="AD33" s="124">
        <v>0.70230000000000004</v>
      </c>
      <c r="AE33" s="146">
        <v>28.5</v>
      </c>
      <c r="AF33" s="147">
        <v>28</v>
      </c>
      <c r="AG33" s="132">
        <v>28</v>
      </c>
      <c r="AH33" s="133">
        <v>27</v>
      </c>
      <c r="AI33" s="72"/>
      <c r="AJ33" s="79"/>
      <c r="AK33" s="72"/>
    </row>
    <row r="34" spans="1:37" ht="32.25" customHeight="1" thickBot="1" x14ac:dyDescent="0.25">
      <c r="A34" s="70"/>
      <c r="B34" s="7">
        <f t="shared" si="6"/>
        <v>43824</v>
      </c>
      <c r="C34" s="8"/>
      <c r="D34" s="110">
        <f>'Suivi EAU-ELEC'!C39</f>
        <v>330</v>
      </c>
      <c r="E34" s="90"/>
      <c r="F34" s="148">
        <f t="shared" si="2"/>
        <v>4181.1000000000004</v>
      </c>
      <c r="G34" s="148"/>
      <c r="H34" s="149"/>
      <c r="I34" s="93"/>
      <c r="J34" s="117">
        <f>'Suivi EAU-ELEC'!E39</f>
        <v>4301</v>
      </c>
      <c r="K34" s="118">
        <f>'Suivi EAU-ELEC'!G39</f>
        <v>6724</v>
      </c>
      <c r="L34" s="118">
        <f>'Suivi EAU-ELEC'!I39</f>
        <v>3105</v>
      </c>
      <c r="M34" s="119">
        <f t="shared" si="3"/>
        <v>14130</v>
      </c>
      <c r="N34" s="93"/>
      <c r="O34" s="96">
        <f t="shared" si="4"/>
        <v>14158.26</v>
      </c>
      <c r="P34" s="92"/>
      <c r="Q34" s="91"/>
      <c r="R34" s="90"/>
      <c r="S34" s="91"/>
      <c r="T34" s="98"/>
      <c r="U34" s="97">
        <f>'Suvi Gaz'!O34</f>
        <v>742</v>
      </c>
      <c r="V34" s="93"/>
      <c r="W34" s="96">
        <f t="shared" si="5"/>
        <v>6532.4196000000002</v>
      </c>
      <c r="X34" s="135">
        <v>12441.93</v>
      </c>
      <c r="Y34" s="290">
        <f t="shared" si="0"/>
        <v>13.289999999999054</v>
      </c>
      <c r="Z34" s="100">
        <f t="shared" si="1"/>
        <v>11163.599999999205</v>
      </c>
      <c r="AA34" s="93"/>
      <c r="AB34" s="115">
        <v>15</v>
      </c>
      <c r="AC34" s="128">
        <v>58</v>
      </c>
      <c r="AD34" s="124">
        <v>0.45669999999999999</v>
      </c>
      <c r="AE34" s="146">
        <v>28.5</v>
      </c>
      <c r="AF34" s="147">
        <v>28</v>
      </c>
      <c r="AG34" s="132">
        <v>28</v>
      </c>
      <c r="AH34" s="133">
        <v>27</v>
      </c>
      <c r="AI34" s="72"/>
      <c r="AJ34" s="79"/>
      <c r="AK34" s="72"/>
    </row>
    <row r="35" spans="1:37" ht="32.25" customHeight="1" thickBot="1" x14ac:dyDescent="0.25">
      <c r="A35" s="5"/>
      <c r="B35" s="7">
        <f t="shared" si="6"/>
        <v>43825</v>
      </c>
      <c r="C35" s="8"/>
      <c r="D35" s="110">
        <f>'Suivi EAU-ELEC'!C40</f>
        <v>320</v>
      </c>
      <c r="E35" s="90"/>
      <c r="F35" s="148">
        <f t="shared" si="2"/>
        <v>4054.4</v>
      </c>
      <c r="G35" s="148"/>
      <c r="H35" s="149"/>
      <c r="I35" s="93"/>
      <c r="J35" s="117">
        <f>'Suivi EAU-ELEC'!E40</f>
        <v>3786</v>
      </c>
      <c r="K35" s="118">
        <f>'Suivi EAU-ELEC'!G40</f>
        <v>6799</v>
      </c>
      <c r="L35" s="118">
        <f>'Suivi EAU-ELEC'!I40</f>
        <v>2912</v>
      </c>
      <c r="M35" s="119">
        <f t="shared" si="3"/>
        <v>13497</v>
      </c>
      <c r="N35" s="93"/>
      <c r="O35" s="96">
        <f t="shared" si="4"/>
        <v>13523.994000000001</v>
      </c>
      <c r="P35" s="92"/>
      <c r="Q35" s="91"/>
      <c r="R35" s="90"/>
      <c r="S35" s="91"/>
      <c r="T35" s="98"/>
      <c r="U35" s="97">
        <f>'Suvi Gaz'!O35</f>
        <v>779.1</v>
      </c>
      <c r="V35" s="93"/>
      <c r="W35" s="96">
        <f t="shared" si="5"/>
        <v>6859.0405800000008</v>
      </c>
      <c r="X35" s="135">
        <v>12455.22</v>
      </c>
      <c r="Y35" s="290">
        <f t="shared" si="0"/>
        <v>11.420000000000073</v>
      </c>
      <c r="Z35" s="100">
        <f t="shared" si="1"/>
        <v>9592.8000000000611</v>
      </c>
      <c r="AA35" s="93"/>
      <c r="AB35" s="115">
        <v>20</v>
      </c>
      <c r="AC35" s="128">
        <v>71</v>
      </c>
      <c r="AD35" s="124">
        <v>0.54200000000000004</v>
      </c>
      <c r="AE35" s="146">
        <v>28.3</v>
      </c>
      <c r="AF35" s="147">
        <v>28</v>
      </c>
      <c r="AG35" s="132">
        <v>28</v>
      </c>
      <c r="AH35" s="133">
        <v>28</v>
      </c>
      <c r="AI35" s="72"/>
      <c r="AJ35" s="79"/>
      <c r="AK35" s="72"/>
    </row>
    <row r="36" spans="1:37" ht="32.25" customHeight="1" thickBot="1" x14ac:dyDescent="0.25">
      <c r="A36" s="5"/>
      <c r="B36" s="7">
        <f t="shared" si="6"/>
        <v>43826</v>
      </c>
      <c r="C36" s="8"/>
      <c r="D36" s="110">
        <f>'Suivi EAU-ELEC'!C41</f>
        <v>310</v>
      </c>
      <c r="E36" s="90"/>
      <c r="F36" s="148">
        <f t="shared" si="2"/>
        <v>3927.7</v>
      </c>
      <c r="G36" s="148"/>
      <c r="H36" s="149"/>
      <c r="I36" s="93"/>
      <c r="J36" s="117">
        <f>'Suivi EAU-ELEC'!E41</f>
        <v>4098</v>
      </c>
      <c r="K36" s="118">
        <f>'Suivi EAU-ELEC'!G41</f>
        <v>6046</v>
      </c>
      <c r="L36" s="118">
        <f>'Suivi EAU-ELEC'!I41</f>
        <v>2763</v>
      </c>
      <c r="M36" s="119">
        <f t="shared" si="3"/>
        <v>12907</v>
      </c>
      <c r="N36" s="93"/>
      <c r="O36" s="96">
        <f t="shared" si="4"/>
        <v>12932.814</v>
      </c>
      <c r="P36" s="92"/>
      <c r="Q36" s="91"/>
      <c r="R36" s="90"/>
      <c r="S36" s="91"/>
      <c r="T36" s="98"/>
      <c r="U36" s="97">
        <f>'Suvi Gaz'!O36</f>
        <v>704.90000000000009</v>
      </c>
      <c r="V36" s="93"/>
      <c r="W36" s="96">
        <f t="shared" si="5"/>
        <v>6205.7986200000014</v>
      </c>
      <c r="X36" s="135">
        <v>12466.64</v>
      </c>
      <c r="Y36" s="290">
        <f t="shared" si="0"/>
        <v>11.319999999999709</v>
      </c>
      <c r="Z36" s="100">
        <f t="shared" si="1"/>
        <v>9508.7999999997555</v>
      </c>
      <c r="AA36" s="93"/>
      <c r="AB36" s="115">
        <v>20</v>
      </c>
      <c r="AC36" s="128">
        <v>76</v>
      </c>
      <c r="AD36" s="124">
        <v>0.6129</v>
      </c>
      <c r="AE36" s="134">
        <v>29</v>
      </c>
      <c r="AF36" s="129">
        <v>29</v>
      </c>
      <c r="AG36" s="132">
        <v>29</v>
      </c>
      <c r="AH36" s="133">
        <v>29.5</v>
      </c>
      <c r="AI36" s="72"/>
      <c r="AJ36" s="79"/>
      <c r="AK36" s="72"/>
    </row>
    <row r="37" spans="1:37" ht="32.25" customHeight="1" thickBot="1" x14ac:dyDescent="0.25">
      <c r="A37" s="5"/>
      <c r="B37" s="7">
        <f t="shared" si="6"/>
        <v>43827</v>
      </c>
      <c r="C37" s="8"/>
      <c r="D37" s="110">
        <f>'Suivi EAU-ELEC'!C42</f>
        <v>300</v>
      </c>
      <c r="E37" s="90"/>
      <c r="F37" s="148">
        <f t="shared" si="2"/>
        <v>3801</v>
      </c>
      <c r="G37" s="148"/>
      <c r="H37" s="149"/>
      <c r="I37" s="93"/>
      <c r="J37" s="117">
        <f>'Suivi EAU-ELEC'!E42</f>
        <v>3972</v>
      </c>
      <c r="K37" s="118">
        <f>'Suivi EAU-ELEC'!G42</f>
        <v>6075</v>
      </c>
      <c r="L37" s="118">
        <f>'Suivi EAU-ELEC'!I42</f>
        <v>2636</v>
      </c>
      <c r="M37" s="119">
        <f t="shared" si="3"/>
        <v>12683</v>
      </c>
      <c r="N37" s="93"/>
      <c r="O37" s="96">
        <f t="shared" si="4"/>
        <v>12708.366</v>
      </c>
      <c r="P37" s="92"/>
      <c r="Q37" s="91"/>
      <c r="R37" s="90"/>
      <c r="S37" s="91"/>
      <c r="T37" s="98"/>
      <c r="U37" s="97">
        <f>'Suvi Gaz'!O37</f>
        <v>890.40000000000009</v>
      </c>
      <c r="V37" s="93"/>
      <c r="W37" s="96">
        <f t="shared" si="5"/>
        <v>7838.9035200000017</v>
      </c>
      <c r="X37" s="135">
        <v>12477.96</v>
      </c>
      <c r="Y37" s="290">
        <f t="shared" si="0"/>
        <v>15.31000000000131</v>
      </c>
      <c r="Z37" s="100">
        <f t="shared" si="1"/>
        <v>12860.4000000011</v>
      </c>
      <c r="AA37" s="93"/>
      <c r="AB37" s="115">
        <v>13</v>
      </c>
      <c r="AC37" s="128">
        <v>55</v>
      </c>
      <c r="AD37" s="124">
        <v>0.4365</v>
      </c>
      <c r="AE37" s="134">
        <v>30</v>
      </c>
      <c r="AF37" s="129">
        <v>30</v>
      </c>
      <c r="AG37" s="132">
        <v>30</v>
      </c>
      <c r="AH37" s="133">
        <v>30</v>
      </c>
      <c r="AI37" s="72"/>
      <c r="AJ37" s="79"/>
      <c r="AK37" s="72"/>
    </row>
    <row r="38" spans="1:37" ht="32.25" customHeight="1" thickBot="1" x14ac:dyDescent="0.25">
      <c r="A38" s="5"/>
      <c r="B38" s="7">
        <f t="shared" si="6"/>
        <v>43828</v>
      </c>
      <c r="C38" s="8"/>
      <c r="D38" s="110">
        <f>'Suivi EAU-ELEC'!C43</f>
        <v>340</v>
      </c>
      <c r="E38" s="90"/>
      <c r="F38" s="148">
        <f t="shared" si="2"/>
        <v>4307.8</v>
      </c>
      <c r="G38" s="148"/>
      <c r="H38" s="149"/>
      <c r="I38" s="93"/>
      <c r="J38" s="117">
        <f>'Suivi EAU-ELEC'!E43</f>
        <v>4606</v>
      </c>
      <c r="K38" s="118">
        <f>'Suivi EAU-ELEC'!G43</f>
        <v>6072</v>
      </c>
      <c r="L38" s="118">
        <f>'Suivi EAU-ELEC'!I43</f>
        <v>2642</v>
      </c>
      <c r="M38" s="119">
        <f t="shared" si="3"/>
        <v>13320</v>
      </c>
      <c r="N38" s="93"/>
      <c r="O38" s="96">
        <f t="shared" si="4"/>
        <v>13346.64</v>
      </c>
      <c r="P38" s="92"/>
      <c r="Q38" s="91"/>
      <c r="R38" s="90"/>
      <c r="S38" s="91"/>
      <c r="T38" s="98"/>
      <c r="U38" s="97">
        <f>'Suvi Gaz'!O38</f>
        <v>890.40000000000009</v>
      </c>
      <c r="V38" s="93"/>
      <c r="W38" s="96">
        <f t="shared" si="5"/>
        <v>7838.9035200000017</v>
      </c>
      <c r="X38" s="135">
        <v>12493.27</v>
      </c>
      <c r="Y38" s="290">
        <f t="shared" si="0"/>
        <v>13.309999999999491</v>
      </c>
      <c r="Z38" s="100">
        <f t="shared" si="1"/>
        <v>11180.399999999572</v>
      </c>
      <c r="AA38" s="93"/>
      <c r="AB38" s="115">
        <v>15</v>
      </c>
      <c r="AC38" s="128">
        <v>56</v>
      </c>
      <c r="AD38" s="124">
        <v>0.46279999999999999</v>
      </c>
      <c r="AE38" s="134">
        <v>29.6</v>
      </c>
      <c r="AF38" s="126">
        <v>29.4</v>
      </c>
      <c r="AG38" s="132">
        <v>29.2</v>
      </c>
      <c r="AH38" s="133">
        <v>29.8</v>
      </c>
      <c r="AI38" s="72"/>
      <c r="AJ38" s="79"/>
      <c r="AK38" s="72"/>
    </row>
    <row r="39" spans="1:37" ht="32.25" customHeight="1" thickBot="1" x14ac:dyDescent="0.25">
      <c r="A39" s="5"/>
      <c r="B39" s="7">
        <f t="shared" si="6"/>
        <v>43829</v>
      </c>
      <c r="C39" s="8"/>
      <c r="D39" s="110">
        <f>'Suivi EAU-ELEC'!C44</f>
        <v>300</v>
      </c>
      <c r="E39" s="90"/>
      <c r="F39" s="148">
        <f t="shared" si="2"/>
        <v>3801</v>
      </c>
      <c r="G39" s="148"/>
      <c r="H39" s="149"/>
      <c r="I39" s="93"/>
      <c r="J39" s="117">
        <f>'Suivi EAU-ELEC'!E44</f>
        <v>3534</v>
      </c>
      <c r="K39" s="118">
        <f>'Suivi EAU-ELEC'!G44</f>
        <v>5963</v>
      </c>
      <c r="L39" s="118">
        <f>'Suivi EAU-ELEC'!I44</f>
        <v>2763</v>
      </c>
      <c r="M39" s="119">
        <f t="shared" si="3"/>
        <v>12260</v>
      </c>
      <c r="N39" s="93"/>
      <c r="O39" s="96">
        <f t="shared" si="4"/>
        <v>12284.52</v>
      </c>
      <c r="P39" s="92"/>
      <c r="Q39" s="91"/>
      <c r="R39" s="90"/>
      <c r="S39" s="91"/>
      <c r="T39" s="98"/>
      <c r="U39" s="97">
        <f>'Suvi Gaz'!O39</f>
        <v>779.1</v>
      </c>
      <c r="V39" s="93"/>
      <c r="W39" s="96">
        <f t="shared" si="5"/>
        <v>6859.0405800000008</v>
      </c>
      <c r="X39" s="135">
        <v>12506.58</v>
      </c>
      <c r="Y39" s="290">
        <f t="shared" si="0"/>
        <v>10.989999999999782</v>
      </c>
      <c r="Z39" s="100">
        <f t="shared" si="1"/>
        <v>9231.5999999998148</v>
      </c>
      <c r="AA39" s="93"/>
      <c r="AB39" s="115">
        <v>13</v>
      </c>
      <c r="AC39" s="128">
        <v>50</v>
      </c>
      <c r="AD39" s="124">
        <v>0.4032</v>
      </c>
      <c r="AE39" s="134">
        <v>28.8</v>
      </c>
      <c r="AF39" s="129">
        <v>28.2</v>
      </c>
      <c r="AG39" s="132">
        <v>29.8</v>
      </c>
      <c r="AH39" s="133">
        <v>29.2</v>
      </c>
      <c r="AI39" s="72"/>
      <c r="AJ39" s="79"/>
      <c r="AK39" s="72"/>
    </row>
    <row r="40" spans="1:37" ht="32.25" customHeight="1" thickBot="1" x14ac:dyDescent="0.25">
      <c r="A40" s="5"/>
      <c r="B40" s="7">
        <f t="shared" si="6"/>
        <v>43830</v>
      </c>
      <c r="C40" s="8"/>
      <c r="D40" s="110">
        <f>'Suivi EAU-ELEC'!C45</f>
        <v>300</v>
      </c>
      <c r="E40" s="114"/>
      <c r="F40" s="148">
        <f t="shared" si="2"/>
        <v>3801</v>
      </c>
      <c r="G40" s="148"/>
      <c r="H40" s="149"/>
      <c r="I40" s="93"/>
      <c r="J40" s="117">
        <f>'Suivi EAU-ELEC'!E45</f>
        <v>3365</v>
      </c>
      <c r="K40" s="118">
        <f>'Suivi EAU-ELEC'!G45</f>
        <v>6122</v>
      </c>
      <c r="L40" s="118">
        <f>'Suivi EAU-ELEC'!I45</f>
        <v>2740</v>
      </c>
      <c r="M40" s="119">
        <f t="shared" si="3"/>
        <v>12227</v>
      </c>
      <c r="N40" s="93"/>
      <c r="O40" s="96">
        <f t="shared" si="4"/>
        <v>12251.454</v>
      </c>
      <c r="P40" s="92"/>
      <c r="Q40" s="91"/>
      <c r="R40" s="90"/>
      <c r="S40" s="91"/>
      <c r="T40" s="98"/>
      <c r="U40" s="97">
        <f>'Suvi Gaz'!O40</f>
        <v>890.40000000000009</v>
      </c>
      <c r="V40" s="93"/>
      <c r="W40" s="96">
        <f t="shared" si="5"/>
        <v>7838.9035200000017</v>
      </c>
      <c r="X40" s="131">
        <v>12517.57</v>
      </c>
      <c r="Y40" s="291">
        <f t="shared" si="0"/>
        <v>16.030000000000655</v>
      </c>
      <c r="Z40" s="100">
        <f t="shared" si="1"/>
        <v>13465.20000000055</v>
      </c>
      <c r="AA40" s="93"/>
      <c r="AB40" s="122">
        <v>14</v>
      </c>
      <c r="AC40" s="123">
        <v>54</v>
      </c>
      <c r="AD40" s="124">
        <v>0.4355</v>
      </c>
      <c r="AE40" s="141">
        <v>28</v>
      </c>
      <c r="AF40" s="144">
        <v>28</v>
      </c>
      <c r="AG40" s="125">
        <v>29</v>
      </c>
      <c r="AH40" s="145">
        <v>29</v>
      </c>
      <c r="AI40" s="72"/>
      <c r="AJ40" s="79"/>
      <c r="AK40" s="72"/>
    </row>
    <row r="41" spans="1:37" ht="44.25" customHeight="1" thickBot="1" x14ac:dyDescent="0.25">
      <c r="A41" s="5"/>
      <c r="B41" s="60"/>
      <c r="C41" s="15"/>
      <c r="D41" s="88">
        <f>SUM(D10:D39)</f>
        <v>9900</v>
      </c>
      <c r="E41" s="1"/>
      <c r="F41" s="165">
        <f>SUM(F10:H40)</f>
        <v>129234</v>
      </c>
      <c r="G41" s="166"/>
      <c r="H41" s="167"/>
      <c r="I41" s="1"/>
      <c r="J41" s="88">
        <f>SUM(J10:J40)</f>
        <v>135468</v>
      </c>
      <c r="K41" s="88">
        <f t="shared" ref="K41:M41" si="7">SUM(K10:K40)</f>
        <v>208547</v>
      </c>
      <c r="L41" s="88">
        <f t="shared" si="7"/>
        <v>95080</v>
      </c>
      <c r="M41" s="88">
        <f t="shared" si="7"/>
        <v>439095</v>
      </c>
      <c r="N41" s="28"/>
      <c r="O41" s="165">
        <f>SUM(O10:Q40)</f>
        <v>439973.18999999994</v>
      </c>
      <c r="P41" s="166"/>
      <c r="Q41" s="167"/>
      <c r="R41" s="28"/>
      <c r="S41" s="89">
        <f>SUM(S10:S40)</f>
        <v>0</v>
      </c>
      <c r="T41" s="28"/>
      <c r="U41" s="88">
        <f>SUM(U10:U40)</f>
        <v>39659.900000000009</v>
      </c>
      <c r="V41" s="28"/>
      <c r="W41" s="88">
        <f>SUM(W10:W40)</f>
        <v>349157.82762000005</v>
      </c>
      <c r="X41" s="127">
        <v>12533.6</v>
      </c>
      <c r="Y41" s="88">
        <f>SUM(Y10:Y40)</f>
        <v>396.06999999999971</v>
      </c>
      <c r="Z41" s="88">
        <f>SUM(Z10:Z40)</f>
        <v>332698.79999999976</v>
      </c>
      <c r="AA41" s="1"/>
      <c r="AB41" s="279"/>
      <c r="AC41" s="281"/>
      <c r="AD41" s="280"/>
      <c r="AE41" s="278"/>
      <c r="AF41" s="278"/>
      <c r="AG41" s="282"/>
      <c r="AH41" s="283"/>
      <c r="AI41" s="143"/>
      <c r="AJ41" s="73"/>
      <c r="AK41" s="73"/>
    </row>
    <row r="42" spans="1:37" s="13" customFormat="1" ht="30.75" customHeight="1" thickBot="1" x14ac:dyDescent="0.25">
      <c r="A42" s="2"/>
      <c r="B42" s="2"/>
      <c r="C42" s="2"/>
      <c r="D42" s="2"/>
      <c r="E42" s="2"/>
      <c r="F42" s="161"/>
      <c r="G42" s="161"/>
      <c r="H42" s="16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4"/>
      <c r="AJ42" s="74"/>
      <c r="AK42" s="74"/>
    </row>
    <row r="43" spans="1:37" s="22" customFormat="1" ht="36.75" customHeight="1" thickBot="1" x14ac:dyDescent="0.25">
      <c r="A43" s="168" t="s">
        <v>10</v>
      </c>
      <c r="B43" s="169"/>
      <c r="C43" s="170"/>
      <c r="D43" s="19" t="s">
        <v>7</v>
      </c>
      <c r="E43" s="53"/>
      <c r="F43" s="20">
        <v>1.002</v>
      </c>
      <c r="G43" s="150">
        <f>J41</f>
        <v>135468</v>
      </c>
      <c r="H43" s="151"/>
      <c r="I43" s="152"/>
      <c r="J43" s="159">
        <f>G43*F43</f>
        <v>135738.93599999999</v>
      </c>
      <c r="K43" s="160"/>
      <c r="L43" s="189">
        <f>J43+J44+J45</f>
        <v>439973.19000000006</v>
      </c>
      <c r="M43" s="190"/>
      <c r="N43" s="190"/>
      <c r="O43" s="190"/>
      <c r="P43" s="190"/>
      <c r="Q43" s="190"/>
      <c r="R43" s="190"/>
      <c r="S43" s="190"/>
      <c r="T43" s="190"/>
      <c r="U43" s="19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7"/>
      <c r="AK43" s="77"/>
    </row>
    <row r="44" spans="1:37" s="22" customFormat="1" ht="36.75" customHeight="1" thickBot="1" x14ac:dyDescent="0.25">
      <c r="A44" s="171"/>
      <c r="B44" s="172"/>
      <c r="C44" s="173"/>
      <c r="D44" s="17" t="s">
        <v>8</v>
      </c>
      <c r="E44" s="53"/>
      <c r="F44" s="20">
        <v>1.002</v>
      </c>
      <c r="G44" s="150">
        <f>K41</f>
        <v>208547</v>
      </c>
      <c r="H44" s="151"/>
      <c r="I44" s="152"/>
      <c r="J44" s="159">
        <f>G44*F44</f>
        <v>208964.09400000001</v>
      </c>
      <c r="K44" s="160"/>
      <c r="L44" s="192"/>
      <c r="M44" s="193"/>
      <c r="N44" s="193"/>
      <c r="O44" s="193"/>
      <c r="P44" s="193"/>
      <c r="Q44" s="193"/>
      <c r="R44" s="193"/>
      <c r="S44" s="193"/>
      <c r="T44" s="193"/>
      <c r="U44" s="19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7"/>
    </row>
    <row r="45" spans="1:37" s="22" customFormat="1" ht="36.75" customHeight="1" thickBot="1" x14ac:dyDescent="0.25">
      <c r="A45" s="171"/>
      <c r="B45" s="172"/>
      <c r="C45" s="173"/>
      <c r="D45" s="23" t="s">
        <v>9</v>
      </c>
      <c r="E45" s="54"/>
      <c r="F45" s="20">
        <v>1.002</v>
      </c>
      <c r="G45" s="150">
        <f>L41</f>
        <v>95080</v>
      </c>
      <c r="H45" s="151"/>
      <c r="I45" s="152"/>
      <c r="J45" s="159">
        <f>G45*F45</f>
        <v>95270.16</v>
      </c>
      <c r="K45" s="160"/>
      <c r="L45" s="195"/>
      <c r="M45" s="196"/>
      <c r="N45" s="196"/>
      <c r="O45" s="196"/>
      <c r="P45" s="196"/>
      <c r="Q45" s="196"/>
      <c r="R45" s="196"/>
      <c r="S45" s="196"/>
      <c r="T45" s="196"/>
      <c r="U45" s="19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7"/>
    </row>
    <row r="46" spans="1:37" s="25" customFormat="1" ht="59.25" customHeight="1" thickBot="1" x14ac:dyDescent="0.25">
      <c r="A46" s="162" t="s">
        <v>11</v>
      </c>
      <c r="B46" s="163"/>
      <c r="C46" s="163"/>
      <c r="D46" s="164"/>
      <c r="E46" s="53"/>
      <c r="F46" s="24">
        <v>12.67</v>
      </c>
      <c r="G46" s="162">
        <f>D41</f>
        <v>9900</v>
      </c>
      <c r="H46" s="163"/>
      <c r="I46" s="164"/>
      <c r="J46" s="175">
        <f>G46*F46</f>
        <v>125433</v>
      </c>
      <c r="K46" s="176"/>
      <c r="L46" s="183">
        <f>J46</f>
        <v>125433</v>
      </c>
      <c r="M46" s="184"/>
      <c r="N46" s="184"/>
      <c r="O46" s="184"/>
      <c r="P46" s="184"/>
      <c r="Q46" s="184"/>
      <c r="R46" s="184"/>
      <c r="S46" s="184"/>
      <c r="T46" s="184"/>
      <c r="U46" s="18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8"/>
    </row>
    <row r="47" spans="1:37" s="25" customFormat="1" ht="69.75" customHeight="1" thickBot="1" x14ac:dyDescent="0.25">
      <c r="A47" s="180" t="s">
        <v>13</v>
      </c>
      <c r="B47" s="181"/>
      <c r="C47" s="181"/>
      <c r="D47" s="182"/>
      <c r="E47" s="53"/>
      <c r="F47" s="26">
        <v>9.65</v>
      </c>
      <c r="G47" s="177">
        <f>U41</f>
        <v>39659.900000000009</v>
      </c>
      <c r="H47" s="178"/>
      <c r="I47" s="179"/>
      <c r="J47" s="177">
        <f>G47*F47</f>
        <v>382718.03500000009</v>
      </c>
      <c r="K47" s="179"/>
      <c r="L47" s="186">
        <f>J47</f>
        <v>382718.03500000009</v>
      </c>
      <c r="M47" s="187"/>
      <c r="N47" s="187"/>
      <c r="O47" s="187"/>
      <c r="P47" s="187"/>
      <c r="Q47" s="187"/>
      <c r="R47" s="187"/>
      <c r="S47" s="187"/>
      <c r="T47" s="187"/>
      <c r="U47" s="18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8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4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5"/>
    </row>
    <row r="52" spans="2:37" x14ac:dyDescent="0.2">
      <c r="AH52" s="13"/>
      <c r="AK52" s="75"/>
    </row>
    <row r="53" spans="2:37" x14ac:dyDescent="0.2">
      <c r="AK53" s="75"/>
    </row>
    <row r="54" spans="2:37" x14ac:dyDescent="0.2">
      <c r="AK54" s="75"/>
    </row>
    <row r="55" spans="2:37" ht="39" customHeight="1" x14ac:dyDescent="0.2"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K55" s="75"/>
    </row>
    <row r="56" spans="2:37" x14ac:dyDescent="0.2">
      <c r="AK56" s="75"/>
    </row>
    <row r="57" spans="2:37" x14ac:dyDescent="0.2">
      <c r="AK57" s="75"/>
    </row>
    <row r="58" spans="2:37" x14ac:dyDescent="0.2">
      <c r="AK58" s="75"/>
    </row>
    <row r="59" spans="2:37" x14ac:dyDescent="0.2">
      <c r="AK59" s="75"/>
    </row>
    <row r="60" spans="2:37" x14ac:dyDescent="0.2">
      <c r="AK60" s="75"/>
    </row>
    <row r="61" spans="2:37" x14ac:dyDescent="0.2">
      <c r="AK61" s="75"/>
    </row>
    <row r="62" spans="2:37" x14ac:dyDescent="0.2">
      <c r="AK62" s="75"/>
    </row>
    <row r="63" spans="2:37" x14ac:dyDescent="0.2">
      <c r="AK63" s="75"/>
    </row>
    <row r="64" spans="2:37" x14ac:dyDescent="0.2">
      <c r="AK64" s="75"/>
    </row>
    <row r="65" spans="37:37" x14ac:dyDescent="0.2">
      <c r="AK65" s="75"/>
    </row>
    <row r="66" spans="37:37" x14ac:dyDescent="0.2">
      <c r="AK66" s="75"/>
    </row>
    <row r="67" spans="37:37" x14ac:dyDescent="0.2">
      <c r="AK67" s="75"/>
    </row>
    <row r="68" spans="37:37" x14ac:dyDescent="0.2">
      <c r="AK68" s="75"/>
    </row>
    <row r="69" spans="37:37" x14ac:dyDescent="0.2">
      <c r="AK69" s="75"/>
    </row>
    <row r="70" spans="37:37" x14ac:dyDescent="0.2">
      <c r="AK70" s="75"/>
    </row>
    <row r="71" spans="37:37" x14ac:dyDescent="0.2">
      <c r="AK71" s="75"/>
    </row>
    <row r="72" spans="37:37" x14ac:dyDescent="0.2">
      <c r="AK72" s="75"/>
    </row>
    <row r="73" spans="37:37" x14ac:dyDescent="0.2">
      <c r="AK73" s="75"/>
    </row>
    <row r="74" spans="37:37" x14ac:dyDescent="0.2">
      <c r="AK74" s="75"/>
    </row>
    <row r="75" spans="37:37" x14ac:dyDescent="0.2">
      <c r="AK75" s="75"/>
    </row>
    <row r="76" spans="37:37" x14ac:dyDescent="0.2">
      <c r="AK76" s="75"/>
    </row>
    <row r="77" spans="37:37" x14ac:dyDescent="0.2">
      <c r="AK77" s="75"/>
    </row>
    <row r="78" spans="37:37" x14ac:dyDescent="0.2">
      <c r="AK78" s="75"/>
    </row>
    <row r="79" spans="37:37" x14ac:dyDescent="0.2">
      <c r="AK79" s="75"/>
    </row>
    <row r="80" spans="37:37" x14ac:dyDescent="0.2">
      <c r="AK80" s="75"/>
    </row>
    <row r="81" spans="37:37" x14ac:dyDescent="0.2">
      <c r="AK81" s="75"/>
    </row>
    <row r="82" spans="37:37" x14ac:dyDescent="0.2">
      <c r="AK82" s="75"/>
    </row>
    <row r="83" spans="37:37" x14ac:dyDescent="0.2">
      <c r="AK83" s="75"/>
    </row>
    <row r="84" spans="37:37" x14ac:dyDescent="0.2">
      <c r="AK84" s="75"/>
    </row>
    <row r="85" spans="37:37" x14ac:dyDescent="0.2">
      <c r="AK85" s="75"/>
    </row>
    <row r="86" spans="37:37" x14ac:dyDescent="0.2">
      <c r="AK86" s="75"/>
    </row>
    <row r="87" spans="37:37" x14ac:dyDescent="0.2">
      <c r="AK87" s="75"/>
    </row>
    <row r="88" spans="37:37" x14ac:dyDescent="0.2">
      <c r="AK88" s="75"/>
    </row>
    <row r="89" spans="37:37" x14ac:dyDescent="0.2">
      <c r="AK89" s="75"/>
    </row>
    <row r="90" spans="37:37" x14ac:dyDescent="0.2">
      <c r="AK90" s="75"/>
    </row>
    <row r="91" spans="37:37" x14ac:dyDescent="0.2">
      <c r="AK91" s="75"/>
    </row>
    <row r="92" spans="37:37" x14ac:dyDescent="0.2">
      <c r="AK92" s="75"/>
    </row>
    <row r="93" spans="37:37" x14ac:dyDescent="0.2">
      <c r="AK93" s="75"/>
    </row>
    <row r="94" spans="37:37" x14ac:dyDescent="0.2">
      <c r="AK94" s="75"/>
    </row>
    <row r="95" spans="37:37" x14ac:dyDescent="0.2">
      <c r="AK95" s="75"/>
    </row>
    <row r="96" spans="37:37" x14ac:dyDescent="0.2">
      <c r="AK96" s="75"/>
    </row>
    <row r="97" spans="37:37" x14ac:dyDescent="0.2">
      <c r="AK97" s="75"/>
    </row>
    <row r="98" spans="37:37" x14ac:dyDescent="0.2">
      <c r="AK98" s="75"/>
    </row>
    <row r="99" spans="37:37" x14ac:dyDescent="0.2">
      <c r="AK99" s="75"/>
    </row>
    <row r="100" spans="37:37" x14ac:dyDescent="0.2">
      <c r="AK100" s="75"/>
    </row>
    <row r="101" spans="37:37" x14ac:dyDescent="0.2">
      <c r="AK101" s="75"/>
    </row>
    <row r="102" spans="37:37" x14ac:dyDescent="0.2">
      <c r="AK102" s="75"/>
    </row>
    <row r="103" spans="37:37" x14ac:dyDescent="0.2">
      <c r="AK103" s="75"/>
    </row>
    <row r="104" spans="37:37" x14ac:dyDescent="0.2">
      <c r="AK104" s="75"/>
    </row>
    <row r="105" spans="37:37" x14ac:dyDescent="0.2">
      <c r="AK105" s="75"/>
    </row>
    <row r="106" spans="37:37" x14ac:dyDescent="0.2">
      <c r="AK106" s="75"/>
    </row>
    <row r="107" spans="37:37" x14ac:dyDescent="0.2">
      <c r="AK107" s="75"/>
    </row>
    <row r="108" spans="37:37" x14ac:dyDescent="0.2">
      <c r="AK108" s="75"/>
    </row>
    <row r="109" spans="37:37" x14ac:dyDescent="0.2">
      <c r="AK109" s="75"/>
    </row>
    <row r="110" spans="37:37" x14ac:dyDescent="0.2">
      <c r="AK110" s="75"/>
    </row>
    <row r="111" spans="37:37" x14ac:dyDescent="0.2">
      <c r="AK111" s="75"/>
    </row>
    <row r="112" spans="37:37" x14ac:dyDescent="0.2">
      <c r="AK112" s="75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0" activePane="bottomRight" state="frozen"/>
      <selection pane="topRight" activeCell="B1" sqref="B1"/>
      <selection pane="bottomLeft" activeCell="A4" sqref="A4"/>
      <selection pane="bottomRight" activeCell="M49" sqref="M49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26" t="s">
        <v>0</v>
      </c>
      <c r="B1" s="226"/>
      <c r="C1" s="227"/>
      <c r="D1" s="228" t="s">
        <v>57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30"/>
      <c r="AA1" s="231"/>
      <c r="AB1" s="232"/>
      <c r="AC1" s="232"/>
    </row>
    <row r="2" spans="1:31" ht="41.25" customHeight="1" thickBot="1" x14ac:dyDescent="0.4">
      <c r="A2" s="80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6"/>
      <c r="Q2" s="233">
        <v>803</v>
      </c>
      <c r="R2" s="234"/>
      <c r="S2" s="234"/>
      <c r="T2" s="234">
        <v>519</v>
      </c>
      <c r="U2" s="234"/>
      <c r="V2" s="234"/>
      <c r="W2" s="234">
        <v>800</v>
      </c>
      <c r="X2" s="234"/>
      <c r="Y2" s="234"/>
      <c r="Z2" s="234">
        <v>802</v>
      </c>
      <c r="AA2" s="234"/>
      <c r="AB2" s="23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4" t="s">
        <v>31</v>
      </c>
      <c r="AD3" s="83" t="s">
        <v>32</v>
      </c>
      <c r="AE3" s="82" t="s">
        <v>33</v>
      </c>
    </row>
    <row r="4" spans="1:31" ht="32.25" customHeight="1" x14ac:dyDescent="0.3">
      <c r="A4" s="36">
        <v>43824</v>
      </c>
      <c r="B4" s="136">
        <v>39</v>
      </c>
      <c r="C4" s="137">
        <f>IF(AC4&gt;0,((B4-R4)+(S4-B5)),IF(B5=0, ,(B4-B5)))</f>
        <v>12</v>
      </c>
      <c r="D4" s="136">
        <v>40</v>
      </c>
      <c r="E4" s="137">
        <f>IF(AC4&gt;0,((D4-U4)+(V4-D5)),IF(D5=0, ,(D4-D5)))</f>
        <v>8</v>
      </c>
      <c r="F4" s="136">
        <v>35</v>
      </c>
      <c r="G4" s="137">
        <f>IF(AC4&gt;0,((F4-X4)+(Y4-F5)),IF(F5=0, ,(F4-F5)))</f>
        <v>13</v>
      </c>
      <c r="H4" s="136">
        <v>39</v>
      </c>
      <c r="I4" s="137">
        <f t="shared" ref="I4:I42" si="0">IF(AC4&gt;0,((H4-AA4)+(AB4-H5)),IF(H5=0, ,(H4-H5)))</f>
        <v>12</v>
      </c>
      <c r="J4" s="137">
        <f t="shared" ref="J4:J42" si="1">B4+D4+F4+H4</f>
        <v>153</v>
      </c>
      <c r="K4" s="137">
        <f t="shared" ref="K4:K11" si="2">J4/4</f>
        <v>38.25</v>
      </c>
      <c r="L4" s="137">
        <f t="shared" ref="L4:L42" si="3">IF(AC4&gt;0,((K4-AD4)+(AE4-K5)),IF(K5=0, ,(K4-K5)))</f>
        <v>11.25</v>
      </c>
      <c r="M4" s="137">
        <f t="shared" ref="M4:M11" si="4">7000*4</f>
        <v>28000</v>
      </c>
      <c r="N4" s="137">
        <f t="shared" ref="N4:N42" si="5">L4*M4/100</f>
        <v>3150</v>
      </c>
      <c r="O4" s="137">
        <f t="shared" ref="O4:O42" si="6">N4*0.53</f>
        <v>1669.5</v>
      </c>
      <c r="P4" s="38">
        <f>O4*9.65</f>
        <v>16110.675000000001</v>
      </c>
      <c r="Q4" s="137">
        <v>4181</v>
      </c>
      <c r="R4" s="137">
        <v>37</v>
      </c>
      <c r="S4" s="137">
        <v>85</v>
      </c>
      <c r="T4" s="137">
        <v>3938</v>
      </c>
      <c r="U4" s="137">
        <v>40</v>
      </c>
      <c r="V4" s="137">
        <v>85</v>
      </c>
      <c r="W4" s="137">
        <v>4495</v>
      </c>
      <c r="X4" s="137">
        <v>33</v>
      </c>
      <c r="Y4" s="137">
        <v>85</v>
      </c>
      <c r="Z4" s="137">
        <v>4101</v>
      </c>
      <c r="AA4" s="137">
        <v>38</v>
      </c>
      <c r="AB4" s="137">
        <v>85</v>
      </c>
      <c r="AC4" s="35">
        <f>Q4+T4+W4+Z4</f>
        <v>16715</v>
      </c>
      <c r="AD4" s="81">
        <f t="shared" ref="AD4:AE7" si="7">(R4+U4+X4+AA4)/4</f>
        <v>37</v>
      </c>
      <c r="AE4" s="81">
        <f t="shared" si="7"/>
        <v>85</v>
      </c>
    </row>
    <row r="5" spans="1:31" ht="32.25" customHeight="1" x14ac:dyDescent="0.3">
      <c r="A5" s="36">
        <f>(A4+1)</f>
        <v>43825</v>
      </c>
      <c r="B5" s="136">
        <v>75</v>
      </c>
      <c r="C5" s="137">
        <f t="shared" ref="C5:C42" si="8">IF(AC5&gt;0,((B5-R5)+(S5-B6)),IF(B6=0, ,(B5-B6)))</f>
        <v>6</v>
      </c>
      <c r="D5" s="136">
        <v>77</v>
      </c>
      <c r="E5" s="137">
        <f>IF(AC5&gt;0,((D5-U5)+(V5-D6)),IF(D6=0, ,(D5-D6)))</f>
        <v>5</v>
      </c>
      <c r="F5" s="136">
        <v>74</v>
      </c>
      <c r="G5" s="137">
        <f>IF(AC5&gt;0,((F5-X5)+(Y5-F6)),IF(F6=0, ,(F5-F6)))</f>
        <v>8</v>
      </c>
      <c r="H5" s="136">
        <v>74</v>
      </c>
      <c r="I5" s="137">
        <f t="shared" si="0"/>
        <v>6</v>
      </c>
      <c r="J5" s="137">
        <f t="shared" si="1"/>
        <v>300</v>
      </c>
      <c r="K5" s="137">
        <f t="shared" si="2"/>
        <v>75</v>
      </c>
      <c r="L5" s="137">
        <f t="shared" si="3"/>
        <v>6.25</v>
      </c>
      <c r="M5" s="137">
        <f t="shared" si="4"/>
        <v>28000</v>
      </c>
      <c r="N5" s="137">
        <f t="shared" si="5"/>
        <v>1750</v>
      </c>
      <c r="O5" s="137">
        <f t="shared" si="6"/>
        <v>927.5</v>
      </c>
      <c r="P5" s="38">
        <f t="shared" ref="P5:P42" si="9">O5*9.65</f>
        <v>8950.375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1">
        <f t="shared" si="7"/>
        <v>0</v>
      </c>
      <c r="AE5" s="81">
        <f t="shared" si="7"/>
        <v>0</v>
      </c>
    </row>
    <row r="6" spans="1:31" ht="32.25" customHeight="1" x14ac:dyDescent="0.3">
      <c r="A6" s="36">
        <f t="shared" ref="A6:A42" si="10">(A5+1)</f>
        <v>43826</v>
      </c>
      <c r="B6" s="136">
        <v>69</v>
      </c>
      <c r="C6" s="137">
        <f t="shared" si="8"/>
        <v>10</v>
      </c>
      <c r="D6" s="136">
        <v>72</v>
      </c>
      <c r="E6" s="137">
        <f>IF(AC6&gt;0,((D6-U6)+(V6-D7)),IF(D7=0, ,(D6-D7)))</f>
        <v>11</v>
      </c>
      <c r="F6" s="136">
        <v>66</v>
      </c>
      <c r="G6" s="137">
        <f>IF(AC6&gt;0,((F6-X6)+(Y6-F7)),IF(F7=0, ,(F6-F7)))</f>
        <v>11</v>
      </c>
      <c r="H6" s="136">
        <v>68</v>
      </c>
      <c r="I6" s="137">
        <f t="shared" si="0"/>
        <v>11</v>
      </c>
      <c r="J6" s="137">
        <f t="shared" si="1"/>
        <v>275</v>
      </c>
      <c r="K6" s="137">
        <f t="shared" si="2"/>
        <v>68.75</v>
      </c>
      <c r="L6" s="137">
        <f t="shared" si="3"/>
        <v>10.75</v>
      </c>
      <c r="M6" s="137">
        <f t="shared" si="4"/>
        <v>28000</v>
      </c>
      <c r="N6" s="137">
        <f t="shared" si="5"/>
        <v>3010</v>
      </c>
      <c r="O6" s="137">
        <f t="shared" si="6"/>
        <v>1595.3000000000002</v>
      </c>
      <c r="P6" s="38">
        <f t="shared" si="9"/>
        <v>15394.645000000002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1">
        <f t="shared" si="7"/>
        <v>0</v>
      </c>
      <c r="AE6" s="81">
        <f t="shared" si="7"/>
        <v>0</v>
      </c>
    </row>
    <row r="7" spans="1:31" ht="32.25" customHeight="1" x14ac:dyDescent="0.3">
      <c r="A7" s="36">
        <f t="shared" si="10"/>
        <v>43827</v>
      </c>
      <c r="B7" s="136">
        <v>59</v>
      </c>
      <c r="C7" s="137">
        <f t="shared" si="8"/>
        <v>12</v>
      </c>
      <c r="D7" s="136">
        <v>61</v>
      </c>
      <c r="E7" s="137">
        <f t="shared" ref="E7:E42" si="11">IF(AC7&gt;0,((D7-U7)+(V7-D8)),IF(D8=0, ,(D7-D8)))</f>
        <v>12</v>
      </c>
      <c r="F7" s="136">
        <v>55</v>
      </c>
      <c r="G7" s="137">
        <f t="shared" ref="G7:G42" si="12">IF(AC7&gt;0,((F7-X7)+(Y7-F8)),IF(F8=0, ,(F7-F8)))</f>
        <v>12</v>
      </c>
      <c r="H7" s="136">
        <v>57</v>
      </c>
      <c r="I7" s="137">
        <f t="shared" si="0"/>
        <v>13</v>
      </c>
      <c r="J7" s="137">
        <f t="shared" si="1"/>
        <v>232</v>
      </c>
      <c r="K7" s="137">
        <f t="shared" si="2"/>
        <v>58</v>
      </c>
      <c r="L7" s="137">
        <f t="shared" si="3"/>
        <v>12.25</v>
      </c>
      <c r="M7" s="137">
        <f t="shared" si="4"/>
        <v>28000</v>
      </c>
      <c r="N7" s="137">
        <f t="shared" si="5"/>
        <v>3430</v>
      </c>
      <c r="O7" s="137">
        <f t="shared" si="6"/>
        <v>1817.9</v>
      </c>
      <c r="P7" s="38">
        <f t="shared" si="9"/>
        <v>17542.735000000001</v>
      </c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35">
        <f>Q7+T7+W7+Z7</f>
        <v>0</v>
      </c>
      <c r="AD7" s="81">
        <f t="shared" si="7"/>
        <v>0</v>
      </c>
      <c r="AE7" s="81">
        <f t="shared" si="7"/>
        <v>0</v>
      </c>
    </row>
    <row r="8" spans="1:31" ht="32.25" customHeight="1" x14ac:dyDescent="0.3">
      <c r="A8" s="36">
        <f t="shared" si="10"/>
        <v>43828</v>
      </c>
      <c r="B8" s="136">
        <v>47</v>
      </c>
      <c r="C8" s="137">
        <f t="shared" si="8"/>
        <v>7</v>
      </c>
      <c r="D8" s="136">
        <v>49</v>
      </c>
      <c r="E8" s="137">
        <f t="shared" si="11"/>
        <v>3</v>
      </c>
      <c r="F8" s="136">
        <v>43</v>
      </c>
      <c r="G8" s="137">
        <f t="shared" si="12"/>
        <v>9</v>
      </c>
      <c r="H8" s="136">
        <v>44</v>
      </c>
      <c r="I8" s="137">
        <f t="shared" si="0"/>
        <v>3</v>
      </c>
      <c r="J8" s="137">
        <f t="shared" si="1"/>
        <v>183</v>
      </c>
      <c r="K8" s="137">
        <v>45.75</v>
      </c>
      <c r="L8" s="137">
        <f t="shared" si="3"/>
        <v>5.5</v>
      </c>
      <c r="M8" s="137">
        <v>28000</v>
      </c>
      <c r="N8" s="137">
        <f t="shared" si="5"/>
        <v>1540</v>
      </c>
      <c r="O8" s="137">
        <f t="shared" si="6"/>
        <v>816.2</v>
      </c>
      <c r="P8" s="38">
        <f t="shared" si="9"/>
        <v>7876.3300000000008</v>
      </c>
      <c r="Q8" s="137">
        <v>3207</v>
      </c>
      <c r="R8" s="137">
        <v>46</v>
      </c>
      <c r="S8" s="137">
        <v>86</v>
      </c>
      <c r="T8" s="137">
        <v>3023</v>
      </c>
      <c r="U8" s="137">
        <v>50</v>
      </c>
      <c r="V8" s="137">
        <v>86</v>
      </c>
      <c r="W8" s="137">
        <v>3410</v>
      </c>
      <c r="X8" s="137">
        <v>42</v>
      </c>
      <c r="Y8" s="137">
        <v>86</v>
      </c>
      <c r="Z8" s="137">
        <v>3415</v>
      </c>
      <c r="AA8" s="137">
        <v>45</v>
      </c>
      <c r="AB8" s="137">
        <v>87</v>
      </c>
      <c r="AC8" s="35">
        <f t="shared" ref="AC8:AC42" si="13">Q8+T8+W8+Z8</f>
        <v>13055</v>
      </c>
      <c r="AD8" s="81">
        <f t="shared" ref="AD8:AD42" si="14">(R8+U8+X8+AA8)/4</f>
        <v>45.75</v>
      </c>
      <c r="AE8" s="81">
        <f t="shared" ref="AE8:AE42" si="15">(S8+V8+Y8+AB8)/4</f>
        <v>86.25</v>
      </c>
    </row>
    <row r="9" spans="1:31" ht="32.25" customHeight="1" x14ac:dyDescent="0.3">
      <c r="A9" s="36">
        <f t="shared" si="10"/>
        <v>43829</v>
      </c>
      <c r="B9" s="136">
        <v>80</v>
      </c>
      <c r="C9" s="137">
        <f t="shared" si="8"/>
        <v>10</v>
      </c>
      <c r="D9" s="136">
        <v>82</v>
      </c>
      <c r="E9" s="137">
        <f t="shared" si="11"/>
        <v>10</v>
      </c>
      <c r="F9" s="136">
        <v>78</v>
      </c>
      <c r="G9" s="137">
        <f t="shared" si="12"/>
        <v>13</v>
      </c>
      <c r="H9" s="136">
        <v>83</v>
      </c>
      <c r="I9" s="137">
        <f t="shared" si="0"/>
        <v>15</v>
      </c>
      <c r="J9" s="137">
        <f t="shared" si="1"/>
        <v>323</v>
      </c>
      <c r="K9" s="137">
        <v>80.75</v>
      </c>
      <c r="L9" s="137">
        <f t="shared" si="3"/>
        <v>12</v>
      </c>
      <c r="M9" s="137">
        <v>28000</v>
      </c>
      <c r="N9" s="137">
        <f t="shared" si="5"/>
        <v>3360</v>
      </c>
      <c r="O9" s="137">
        <f t="shared" si="6"/>
        <v>1780.8000000000002</v>
      </c>
      <c r="P9" s="38">
        <f t="shared" si="9"/>
        <v>17184.72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1">
        <f t="shared" si="14"/>
        <v>0</v>
      </c>
      <c r="AE9" s="81">
        <f t="shared" si="15"/>
        <v>0</v>
      </c>
    </row>
    <row r="10" spans="1:31" ht="32.25" customHeight="1" x14ac:dyDescent="0.3">
      <c r="A10" s="36">
        <f t="shared" si="10"/>
        <v>43830</v>
      </c>
      <c r="B10" s="136">
        <v>70</v>
      </c>
      <c r="C10" s="137">
        <f t="shared" si="8"/>
        <v>10</v>
      </c>
      <c r="D10" s="136">
        <v>72</v>
      </c>
      <c r="E10" s="137">
        <f t="shared" si="11"/>
        <v>10</v>
      </c>
      <c r="F10" s="136">
        <v>65</v>
      </c>
      <c r="G10" s="137">
        <f t="shared" si="12"/>
        <v>9</v>
      </c>
      <c r="H10" s="136">
        <v>68</v>
      </c>
      <c r="I10" s="137">
        <f t="shared" si="0"/>
        <v>13</v>
      </c>
      <c r="J10" s="137">
        <f t="shared" si="1"/>
        <v>275</v>
      </c>
      <c r="K10" s="137">
        <v>68.75</v>
      </c>
      <c r="L10" s="137">
        <f t="shared" si="3"/>
        <v>10.5</v>
      </c>
      <c r="M10" s="137">
        <v>28000</v>
      </c>
      <c r="N10" s="137">
        <f t="shared" si="5"/>
        <v>2940</v>
      </c>
      <c r="O10" s="137">
        <f t="shared" si="6"/>
        <v>1558.2</v>
      </c>
      <c r="P10" s="38">
        <f t="shared" si="9"/>
        <v>15036.630000000001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1">
        <f t="shared" si="14"/>
        <v>0</v>
      </c>
      <c r="AE10" s="81">
        <f t="shared" si="15"/>
        <v>0</v>
      </c>
    </row>
    <row r="11" spans="1:31" ht="32.25" customHeight="1" x14ac:dyDescent="0.3">
      <c r="A11" s="36">
        <f t="shared" si="10"/>
        <v>43831</v>
      </c>
      <c r="B11" s="136">
        <v>60</v>
      </c>
      <c r="C11" s="137">
        <f t="shared" si="8"/>
        <v>7</v>
      </c>
      <c r="D11" s="136">
        <v>62</v>
      </c>
      <c r="E11" s="137">
        <f t="shared" si="11"/>
        <v>5</v>
      </c>
      <c r="F11" s="136">
        <v>56</v>
      </c>
      <c r="G11" s="137">
        <f t="shared" si="12"/>
        <v>10</v>
      </c>
      <c r="H11" s="136">
        <v>55</v>
      </c>
      <c r="I11" s="137">
        <f t="shared" si="0"/>
        <v>1</v>
      </c>
      <c r="J11" s="137">
        <f t="shared" si="1"/>
        <v>233</v>
      </c>
      <c r="K11" s="137">
        <f t="shared" si="2"/>
        <v>58.25</v>
      </c>
      <c r="L11" s="137">
        <f t="shared" si="3"/>
        <v>5.75</v>
      </c>
      <c r="M11" s="137">
        <f t="shared" si="4"/>
        <v>28000</v>
      </c>
      <c r="N11" s="137">
        <f t="shared" si="5"/>
        <v>1610</v>
      </c>
      <c r="O11" s="137">
        <f t="shared" si="6"/>
        <v>853.30000000000007</v>
      </c>
      <c r="P11" s="38">
        <f t="shared" si="9"/>
        <v>8234.3450000000012</v>
      </c>
      <c r="Q11" s="137">
        <v>2701</v>
      </c>
      <c r="R11" s="137">
        <v>55</v>
      </c>
      <c r="S11" s="137">
        <v>86</v>
      </c>
      <c r="T11" s="137">
        <v>2315</v>
      </c>
      <c r="U11" s="137">
        <v>58</v>
      </c>
      <c r="V11" s="137">
        <v>86</v>
      </c>
      <c r="W11" s="137">
        <v>2819</v>
      </c>
      <c r="X11" s="137">
        <v>50</v>
      </c>
      <c r="Y11" s="137">
        <v>85</v>
      </c>
      <c r="Z11" s="137">
        <v>2847</v>
      </c>
      <c r="AA11" s="137">
        <v>55</v>
      </c>
      <c r="AB11" s="137">
        <v>86</v>
      </c>
      <c r="AC11" s="35">
        <f t="shared" si="13"/>
        <v>10682</v>
      </c>
      <c r="AD11" s="81">
        <f t="shared" si="14"/>
        <v>54.5</v>
      </c>
      <c r="AE11" s="81">
        <f t="shared" si="15"/>
        <v>85.75</v>
      </c>
    </row>
    <row r="12" spans="1:31" ht="32.25" customHeight="1" x14ac:dyDescent="0.3">
      <c r="A12" s="36">
        <f t="shared" si="10"/>
        <v>43832</v>
      </c>
      <c r="B12" s="136">
        <v>84</v>
      </c>
      <c r="C12" s="137">
        <f t="shared" si="8"/>
        <v>12</v>
      </c>
      <c r="D12" s="136">
        <v>85</v>
      </c>
      <c r="E12" s="137">
        <f t="shared" si="11"/>
        <v>10</v>
      </c>
      <c r="F12" s="136">
        <v>81</v>
      </c>
      <c r="G12" s="137">
        <f t="shared" si="12"/>
        <v>13</v>
      </c>
      <c r="H12" s="136">
        <v>85</v>
      </c>
      <c r="I12" s="137">
        <f t="shared" si="0"/>
        <v>14</v>
      </c>
      <c r="J12" s="137">
        <f t="shared" si="1"/>
        <v>335</v>
      </c>
      <c r="K12" s="137">
        <f>J12/4</f>
        <v>83.75</v>
      </c>
      <c r="L12" s="137">
        <f t="shared" si="3"/>
        <v>12.25</v>
      </c>
      <c r="M12" s="137">
        <f>7000*4</f>
        <v>28000</v>
      </c>
      <c r="N12" s="137">
        <f t="shared" si="5"/>
        <v>3430</v>
      </c>
      <c r="O12" s="137">
        <f t="shared" si="6"/>
        <v>1817.9</v>
      </c>
      <c r="P12" s="38">
        <f t="shared" si="9"/>
        <v>17542.735000000001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1">
        <f t="shared" si="14"/>
        <v>0</v>
      </c>
      <c r="AE12" s="81">
        <f t="shared" si="15"/>
        <v>0</v>
      </c>
    </row>
    <row r="13" spans="1:31" ht="32.25" customHeight="1" x14ac:dyDescent="0.3">
      <c r="A13" s="36">
        <f t="shared" si="10"/>
        <v>43833</v>
      </c>
      <c r="B13" s="136">
        <v>72</v>
      </c>
      <c r="C13" s="137">
        <f t="shared" si="8"/>
        <v>12</v>
      </c>
      <c r="D13" s="136">
        <v>75</v>
      </c>
      <c r="E13" s="137">
        <f t="shared" si="11"/>
        <v>11</v>
      </c>
      <c r="F13" s="136">
        <v>68</v>
      </c>
      <c r="G13" s="137">
        <f t="shared" si="12"/>
        <v>12</v>
      </c>
      <c r="H13" s="136">
        <v>71</v>
      </c>
      <c r="I13" s="137">
        <f t="shared" si="0"/>
        <v>10</v>
      </c>
      <c r="J13" s="137">
        <f t="shared" si="1"/>
        <v>286</v>
      </c>
      <c r="K13" s="137">
        <f t="shared" ref="K13:K42" si="16">J13/4</f>
        <v>71.5</v>
      </c>
      <c r="L13" s="137">
        <f t="shared" si="3"/>
        <v>11.25</v>
      </c>
      <c r="M13" s="137">
        <f t="shared" ref="M13:M42" si="17">7000*4</f>
        <v>28000</v>
      </c>
      <c r="N13" s="137">
        <f t="shared" si="5"/>
        <v>3150</v>
      </c>
      <c r="O13" s="137">
        <f t="shared" si="6"/>
        <v>1669.5</v>
      </c>
      <c r="P13" s="38">
        <f t="shared" si="9"/>
        <v>16110.675000000001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1">
        <f t="shared" si="14"/>
        <v>0</v>
      </c>
      <c r="AE13" s="81">
        <f t="shared" si="15"/>
        <v>0</v>
      </c>
    </row>
    <row r="14" spans="1:31" ht="32.25" customHeight="1" x14ac:dyDescent="0.3">
      <c r="A14" s="36">
        <f t="shared" si="10"/>
        <v>43834</v>
      </c>
      <c r="B14" s="136">
        <v>60</v>
      </c>
      <c r="C14" s="137">
        <f t="shared" si="8"/>
        <v>12</v>
      </c>
      <c r="D14" s="136">
        <v>64</v>
      </c>
      <c r="E14" s="137">
        <f t="shared" si="11"/>
        <v>14</v>
      </c>
      <c r="F14" s="136">
        <v>56</v>
      </c>
      <c r="G14" s="137">
        <f t="shared" si="12"/>
        <v>13</v>
      </c>
      <c r="H14" s="136">
        <v>61</v>
      </c>
      <c r="I14" s="137">
        <f t="shared" si="0"/>
        <v>12</v>
      </c>
      <c r="J14" s="137">
        <f t="shared" si="1"/>
        <v>241</v>
      </c>
      <c r="K14" s="137">
        <f t="shared" si="16"/>
        <v>60.25</v>
      </c>
      <c r="L14" s="137">
        <f t="shared" si="3"/>
        <v>12.75</v>
      </c>
      <c r="M14" s="137">
        <f t="shared" si="17"/>
        <v>28000</v>
      </c>
      <c r="N14" s="137">
        <f t="shared" si="5"/>
        <v>3570</v>
      </c>
      <c r="O14" s="137">
        <f t="shared" si="6"/>
        <v>1892.1000000000001</v>
      </c>
      <c r="P14" s="38">
        <f t="shared" si="9"/>
        <v>18258.765000000003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35">
        <f t="shared" si="13"/>
        <v>0</v>
      </c>
      <c r="AD14" s="81">
        <f t="shared" si="14"/>
        <v>0</v>
      </c>
      <c r="AE14" s="81">
        <f t="shared" si="15"/>
        <v>0</v>
      </c>
    </row>
    <row r="15" spans="1:31" ht="32.25" customHeight="1" x14ac:dyDescent="0.3">
      <c r="A15" s="36">
        <f t="shared" si="10"/>
        <v>43835</v>
      </c>
      <c r="B15" s="136">
        <v>48</v>
      </c>
      <c r="C15" s="137">
        <f t="shared" si="8"/>
        <v>8</v>
      </c>
      <c r="D15" s="136">
        <v>50</v>
      </c>
      <c r="E15" s="137">
        <f t="shared" si="11"/>
        <v>7</v>
      </c>
      <c r="F15" s="136">
        <v>43</v>
      </c>
      <c r="G15" s="137">
        <f t="shared" si="12"/>
        <v>8</v>
      </c>
      <c r="H15" s="136">
        <v>49</v>
      </c>
      <c r="I15" s="137">
        <f t="shared" si="0"/>
        <v>13</v>
      </c>
      <c r="J15" s="137">
        <f t="shared" si="1"/>
        <v>190</v>
      </c>
      <c r="K15" s="137">
        <f t="shared" si="16"/>
        <v>47.5</v>
      </c>
      <c r="L15" s="137">
        <f t="shared" si="3"/>
        <v>9</v>
      </c>
      <c r="M15" s="137">
        <f t="shared" si="17"/>
        <v>28000</v>
      </c>
      <c r="N15" s="137">
        <f t="shared" si="5"/>
        <v>2520</v>
      </c>
      <c r="O15" s="137">
        <f t="shared" si="6"/>
        <v>1335.6000000000001</v>
      </c>
      <c r="P15" s="38">
        <f t="shared" si="9"/>
        <v>12888.540000000003</v>
      </c>
      <c r="Q15" s="137">
        <v>1591</v>
      </c>
      <c r="R15" s="137">
        <v>45</v>
      </c>
      <c r="S15" s="137">
        <v>85</v>
      </c>
      <c r="T15" s="137">
        <v>1532</v>
      </c>
      <c r="U15" s="137">
        <v>48</v>
      </c>
      <c r="V15" s="137">
        <v>85</v>
      </c>
      <c r="W15" s="137">
        <v>1690</v>
      </c>
      <c r="X15" s="137">
        <v>42</v>
      </c>
      <c r="Y15" s="137">
        <v>85</v>
      </c>
      <c r="Z15" s="137">
        <v>1623</v>
      </c>
      <c r="AA15" s="137">
        <v>42</v>
      </c>
      <c r="AB15" s="137">
        <v>85</v>
      </c>
      <c r="AC15" s="35">
        <f t="shared" si="13"/>
        <v>6436</v>
      </c>
      <c r="AD15" s="81">
        <f t="shared" si="14"/>
        <v>44.25</v>
      </c>
      <c r="AE15" s="81">
        <f t="shared" si="15"/>
        <v>85</v>
      </c>
    </row>
    <row r="16" spans="1:31" ht="32.25" customHeight="1" x14ac:dyDescent="0.3">
      <c r="A16" s="36">
        <f t="shared" si="10"/>
        <v>43836</v>
      </c>
      <c r="B16" s="136">
        <v>80</v>
      </c>
      <c r="C16" s="137">
        <f t="shared" si="8"/>
        <v>10</v>
      </c>
      <c r="D16" s="136">
        <v>80</v>
      </c>
      <c r="E16" s="137">
        <f t="shared" si="11"/>
        <v>10</v>
      </c>
      <c r="F16" s="136">
        <v>78</v>
      </c>
      <c r="G16" s="137">
        <f t="shared" si="12"/>
        <v>11</v>
      </c>
      <c r="H16" s="136">
        <v>79</v>
      </c>
      <c r="I16" s="137">
        <f t="shared" si="0"/>
        <v>12</v>
      </c>
      <c r="J16" s="137">
        <f t="shared" si="1"/>
        <v>317</v>
      </c>
      <c r="K16" s="137">
        <f t="shared" si="16"/>
        <v>79.25</v>
      </c>
      <c r="L16" s="137">
        <f t="shared" si="3"/>
        <v>10.75</v>
      </c>
      <c r="M16" s="137">
        <f t="shared" si="17"/>
        <v>28000</v>
      </c>
      <c r="N16" s="137">
        <f t="shared" si="5"/>
        <v>3010</v>
      </c>
      <c r="O16" s="137">
        <f t="shared" si="6"/>
        <v>1595.3000000000002</v>
      </c>
      <c r="P16" s="38">
        <f t="shared" si="9"/>
        <v>15394.645000000002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1">
        <f t="shared" si="14"/>
        <v>0</v>
      </c>
      <c r="AE16" s="81">
        <f t="shared" si="15"/>
        <v>0</v>
      </c>
    </row>
    <row r="17" spans="1:31" ht="32.25" customHeight="1" x14ac:dyDescent="0.3">
      <c r="A17" s="36">
        <f t="shared" si="10"/>
        <v>43837</v>
      </c>
      <c r="B17" s="136">
        <v>70</v>
      </c>
      <c r="C17" s="137">
        <f t="shared" si="8"/>
        <v>10</v>
      </c>
      <c r="D17" s="136">
        <v>70</v>
      </c>
      <c r="E17" s="137">
        <f t="shared" si="11"/>
        <v>8</v>
      </c>
      <c r="F17" s="136">
        <v>67</v>
      </c>
      <c r="G17" s="137">
        <f t="shared" si="12"/>
        <v>9</v>
      </c>
      <c r="H17" s="136">
        <v>67</v>
      </c>
      <c r="I17" s="137">
        <f t="shared" si="0"/>
        <v>8</v>
      </c>
      <c r="J17" s="137">
        <f t="shared" si="1"/>
        <v>274</v>
      </c>
      <c r="K17" s="137">
        <f t="shared" si="16"/>
        <v>68.5</v>
      </c>
      <c r="L17" s="137">
        <f t="shared" si="3"/>
        <v>8.75</v>
      </c>
      <c r="M17" s="137">
        <f t="shared" si="17"/>
        <v>28000</v>
      </c>
      <c r="N17" s="137">
        <f t="shared" si="5"/>
        <v>2450</v>
      </c>
      <c r="O17" s="137">
        <f t="shared" si="6"/>
        <v>1298.5</v>
      </c>
      <c r="P17" s="38">
        <f t="shared" si="9"/>
        <v>12530.525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1">
        <f t="shared" si="14"/>
        <v>0</v>
      </c>
      <c r="AE17" s="81">
        <f t="shared" si="15"/>
        <v>0</v>
      </c>
    </row>
    <row r="18" spans="1:31" ht="32.25" customHeight="1" x14ac:dyDescent="0.3">
      <c r="A18" s="36">
        <f t="shared" si="10"/>
        <v>43838</v>
      </c>
      <c r="B18" s="136">
        <v>60</v>
      </c>
      <c r="C18" s="137">
        <f t="shared" si="8"/>
        <v>11</v>
      </c>
      <c r="D18" s="136">
        <v>62</v>
      </c>
      <c r="E18" s="137">
        <f t="shared" si="11"/>
        <v>12</v>
      </c>
      <c r="F18" s="136">
        <v>58</v>
      </c>
      <c r="G18" s="137">
        <f t="shared" si="12"/>
        <v>16</v>
      </c>
      <c r="H18" s="136">
        <v>59</v>
      </c>
      <c r="I18" s="137">
        <f t="shared" si="0"/>
        <v>14</v>
      </c>
      <c r="J18" s="137">
        <f t="shared" si="1"/>
        <v>239</v>
      </c>
      <c r="K18" s="137">
        <f t="shared" si="16"/>
        <v>59.75</v>
      </c>
      <c r="L18" s="137">
        <f t="shared" si="3"/>
        <v>13.25</v>
      </c>
      <c r="M18" s="137">
        <f t="shared" si="17"/>
        <v>28000</v>
      </c>
      <c r="N18" s="137">
        <f t="shared" si="5"/>
        <v>3710</v>
      </c>
      <c r="O18" s="137">
        <f t="shared" si="6"/>
        <v>1966.3000000000002</v>
      </c>
      <c r="P18" s="38">
        <f t="shared" si="9"/>
        <v>18974.795000000002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1">
        <f t="shared" si="14"/>
        <v>0</v>
      </c>
      <c r="AE18" s="81">
        <f t="shared" si="15"/>
        <v>0</v>
      </c>
    </row>
    <row r="19" spans="1:31" ht="32.25" customHeight="1" x14ac:dyDescent="0.3">
      <c r="A19" s="36">
        <f t="shared" si="10"/>
        <v>43839</v>
      </c>
      <c r="B19" s="136">
        <v>49</v>
      </c>
      <c r="C19" s="137">
        <f t="shared" si="8"/>
        <v>11</v>
      </c>
      <c r="D19" s="136">
        <v>50</v>
      </c>
      <c r="E19" s="137">
        <f t="shared" si="11"/>
        <v>11</v>
      </c>
      <c r="F19" s="136">
        <v>42</v>
      </c>
      <c r="G19" s="137">
        <f t="shared" si="12"/>
        <v>7</v>
      </c>
      <c r="H19" s="136">
        <v>45</v>
      </c>
      <c r="I19" s="137">
        <f t="shared" si="0"/>
        <v>9</v>
      </c>
      <c r="J19" s="137">
        <f t="shared" si="1"/>
        <v>186</v>
      </c>
      <c r="K19" s="137">
        <f t="shared" si="16"/>
        <v>46.5</v>
      </c>
      <c r="L19" s="137">
        <f t="shared" si="3"/>
        <v>9.5</v>
      </c>
      <c r="M19" s="137">
        <f t="shared" si="17"/>
        <v>28000</v>
      </c>
      <c r="N19" s="137">
        <f t="shared" si="5"/>
        <v>2660</v>
      </c>
      <c r="O19" s="137">
        <f t="shared" si="6"/>
        <v>1409.8000000000002</v>
      </c>
      <c r="P19" s="38">
        <f t="shared" si="9"/>
        <v>13604.570000000002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1">
        <f t="shared" si="14"/>
        <v>0</v>
      </c>
      <c r="AE19" s="81">
        <f t="shared" si="15"/>
        <v>0</v>
      </c>
    </row>
    <row r="20" spans="1:31" ht="32.25" customHeight="1" x14ac:dyDescent="0.3">
      <c r="A20" s="36">
        <f t="shared" si="10"/>
        <v>43840</v>
      </c>
      <c r="B20" s="136">
        <v>38</v>
      </c>
      <c r="C20" s="137">
        <f t="shared" si="8"/>
        <v>13</v>
      </c>
      <c r="D20" s="136">
        <v>39</v>
      </c>
      <c r="E20" s="137">
        <f t="shared" si="11"/>
        <v>12</v>
      </c>
      <c r="F20" s="136">
        <v>35</v>
      </c>
      <c r="G20" s="137">
        <f t="shared" si="12"/>
        <v>15</v>
      </c>
      <c r="H20" s="136">
        <v>36</v>
      </c>
      <c r="I20" s="137">
        <f t="shared" si="0"/>
        <v>15</v>
      </c>
      <c r="J20" s="137">
        <f t="shared" si="1"/>
        <v>148</v>
      </c>
      <c r="K20" s="137">
        <f t="shared" si="16"/>
        <v>37</v>
      </c>
      <c r="L20" s="137">
        <f t="shared" si="3"/>
        <v>13.75</v>
      </c>
      <c r="M20" s="137">
        <f t="shared" si="17"/>
        <v>28000</v>
      </c>
      <c r="N20" s="137">
        <f t="shared" si="5"/>
        <v>3850</v>
      </c>
      <c r="O20" s="137">
        <f t="shared" si="6"/>
        <v>2040.5</v>
      </c>
      <c r="P20" s="38">
        <f t="shared" si="9"/>
        <v>19690.825000000001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1">
        <f t="shared" si="14"/>
        <v>0</v>
      </c>
      <c r="AE20" s="81">
        <f t="shared" si="15"/>
        <v>0</v>
      </c>
    </row>
    <row r="21" spans="1:31" ht="32.25" customHeight="1" x14ac:dyDescent="0.3">
      <c r="A21" s="36">
        <f t="shared" si="10"/>
        <v>43841</v>
      </c>
      <c r="B21" s="136">
        <v>25</v>
      </c>
      <c r="C21" s="137">
        <f t="shared" si="8"/>
        <v>17</v>
      </c>
      <c r="D21" s="136">
        <v>27</v>
      </c>
      <c r="E21" s="137">
        <f t="shared" si="11"/>
        <v>16</v>
      </c>
      <c r="F21" s="136">
        <v>20</v>
      </c>
      <c r="G21" s="137">
        <f t="shared" si="12"/>
        <v>15</v>
      </c>
      <c r="H21" s="136">
        <v>21</v>
      </c>
      <c r="I21" s="137">
        <f t="shared" si="0"/>
        <v>-6</v>
      </c>
      <c r="J21" s="137">
        <f t="shared" si="1"/>
        <v>93</v>
      </c>
      <c r="K21" s="137">
        <f t="shared" si="16"/>
        <v>23.25</v>
      </c>
      <c r="L21" s="137">
        <f t="shared" si="3"/>
        <v>10.5</v>
      </c>
      <c r="M21" s="137">
        <f t="shared" si="17"/>
        <v>28000</v>
      </c>
      <c r="N21" s="137">
        <f t="shared" si="5"/>
        <v>2940</v>
      </c>
      <c r="O21" s="137">
        <f t="shared" si="6"/>
        <v>1558.2</v>
      </c>
      <c r="P21" s="38">
        <f t="shared" si="9"/>
        <v>15036.630000000001</v>
      </c>
      <c r="Q21" s="137">
        <v>2504</v>
      </c>
      <c r="R21" s="137">
        <v>23</v>
      </c>
      <c r="S21" s="137">
        <v>85</v>
      </c>
      <c r="T21" s="137">
        <v>2434</v>
      </c>
      <c r="U21" s="137">
        <v>25</v>
      </c>
      <c r="V21" s="137">
        <v>85</v>
      </c>
      <c r="W21" s="137">
        <v>2494</v>
      </c>
      <c r="X21" s="137">
        <v>22</v>
      </c>
      <c r="Y21" s="137">
        <v>85</v>
      </c>
      <c r="Z21" s="137">
        <v>1595</v>
      </c>
      <c r="AA21" s="137">
        <v>20</v>
      </c>
      <c r="AB21" s="137">
        <v>62</v>
      </c>
      <c r="AC21" s="35">
        <f t="shared" si="13"/>
        <v>9027</v>
      </c>
      <c r="AD21" s="81">
        <f t="shared" si="14"/>
        <v>22.5</v>
      </c>
      <c r="AE21" s="81">
        <f t="shared" si="15"/>
        <v>79.25</v>
      </c>
    </row>
    <row r="22" spans="1:31" ht="32.25" customHeight="1" x14ac:dyDescent="0.3">
      <c r="A22" s="36">
        <f t="shared" si="10"/>
        <v>43842</v>
      </c>
      <c r="B22" s="136">
        <v>70</v>
      </c>
      <c r="C22" s="137">
        <f t="shared" si="8"/>
        <v>10</v>
      </c>
      <c r="D22" s="136">
        <v>71</v>
      </c>
      <c r="E22" s="137">
        <f t="shared" si="11"/>
        <v>9</v>
      </c>
      <c r="F22" s="136">
        <v>68</v>
      </c>
      <c r="G22" s="137">
        <f t="shared" si="12"/>
        <v>9</v>
      </c>
      <c r="H22" s="136">
        <v>69</v>
      </c>
      <c r="I22" s="137">
        <f t="shared" si="0"/>
        <v>9</v>
      </c>
      <c r="J22" s="137">
        <f t="shared" si="1"/>
        <v>278</v>
      </c>
      <c r="K22" s="137">
        <f t="shared" si="16"/>
        <v>69.5</v>
      </c>
      <c r="L22" s="137">
        <f t="shared" si="3"/>
        <v>9.25</v>
      </c>
      <c r="M22" s="137">
        <f t="shared" si="17"/>
        <v>28000</v>
      </c>
      <c r="N22" s="137">
        <f t="shared" si="5"/>
        <v>2590</v>
      </c>
      <c r="O22" s="137">
        <f t="shared" si="6"/>
        <v>1372.7</v>
      </c>
      <c r="P22" s="38">
        <f t="shared" si="9"/>
        <v>13246.555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1">
        <f t="shared" si="14"/>
        <v>0</v>
      </c>
      <c r="AE22" s="81">
        <f t="shared" si="15"/>
        <v>0</v>
      </c>
    </row>
    <row r="23" spans="1:31" ht="32.25" customHeight="1" x14ac:dyDescent="0.3">
      <c r="A23" s="36">
        <f t="shared" si="10"/>
        <v>43843</v>
      </c>
      <c r="B23" s="136">
        <v>60</v>
      </c>
      <c r="C23" s="137">
        <f t="shared" si="8"/>
        <v>13</v>
      </c>
      <c r="D23" s="136">
        <v>62</v>
      </c>
      <c r="E23" s="137">
        <f t="shared" si="11"/>
        <v>10</v>
      </c>
      <c r="F23" s="136">
        <v>59</v>
      </c>
      <c r="G23" s="137">
        <f t="shared" si="12"/>
        <v>15</v>
      </c>
      <c r="H23" s="136">
        <v>60</v>
      </c>
      <c r="I23" s="137">
        <f t="shared" si="0"/>
        <v>12</v>
      </c>
      <c r="J23" s="137">
        <f t="shared" si="1"/>
        <v>241</v>
      </c>
      <c r="K23" s="137">
        <f t="shared" si="16"/>
        <v>60.25</v>
      </c>
      <c r="L23" s="137">
        <f t="shared" si="3"/>
        <v>12.5</v>
      </c>
      <c r="M23" s="137">
        <f t="shared" si="17"/>
        <v>28000</v>
      </c>
      <c r="N23" s="137">
        <f t="shared" si="5"/>
        <v>3500</v>
      </c>
      <c r="O23" s="137">
        <f t="shared" si="6"/>
        <v>1855</v>
      </c>
      <c r="P23" s="38">
        <f t="shared" si="9"/>
        <v>17900.75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1">
        <f t="shared" si="14"/>
        <v>0</v>
      </c>
      <c r="AE23" s="81">
        <f t="shared" si="15"/>
        <v>0</v>
      </c>
    </row>
    <row r="24" spans="1:31" ht="32.25" customHeight="1" x14ac:dyDescent="0.3">
      <c r="A24" s="36">
        <f t="shared" si="10"/>
        <v>43844</v>
      </c>
      <c r="B24" s="136">
        <v>47</v>
      </c>
      <c r="C24" s="137">
        <f t="shared" si="8"/>
        <v>11</v>
      </c>
      <c r="D24" s="136">
        <v>52</v>
      </c>
      <c r="E24" s="137">
        <f t="shared" si="11"/>
        <v>14</v>
      </c>
      <c r="F24" s="136">
        <v>44</v>
      </c>
      <c r="G24" s="137">
        <f t="shared" si="12"/>
        <v>12</v>
      </c>
      <c r="H24" s="136">
        <v>48</v>
      </c>
      <c r="I24" s="137">
        <f t="shared" si="0"/>
        <v>9</v>
      </c>
      <c r="J24" s="137">
        <f t="shared" si="1"/>
        <v>191</v>
      </c>
      <c r="K24" s="137">
        <f t="shared" si="16"/>
        <v>47.75</v>
      </c>
      <c r="L24" s="137">
        <f t="shared" si="3"/>
        <v>11.5</v>
      </c>
      <c r="M24" s="137">
        <f t="shared" si="17"/>
        <v>28000</v>
      </c>
      <c r="N24" s="137">
        <f t="shared" si="5"/>
        <v>3220</v>
      </c>
      <c r="O24" s="137">
        <f t="shared" si="6"/>
        <v>1706.6000000000001</v>
      </c>
      <c r="P24" s="38">
        <f t="shared" si="9"/>
        <v>16468.690000000002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1">
        <f t="shared" si="14"/>
        <v>0</v>
      </c>
      <c r="AE24" s="81">
        <f t="shared" si="15"/>
        <v>0</v>
      </c>
    </row>
    <row r="25" spans="1:31" ht="32.25" customHeight="1" x14ac:dyDescent="0.3">
      <c r="A25" s="36">
        <f t="shared" si="10"/>
        <v>43845</v>
      </c>
      <c r="B25" s="136">
        <v>36</v>
      </c>
      <c r="C25" s="137">
        <f t="shared" si="8"/>
        <v>7</v>
      </c>
      <c r="D25" s="136">
        <v>38</v>
      </c>
      <c r="E25" s="137">
        <f t="shared" si="11"/>
        <v>8</v>
      </c>
      <c r="F25" s="136">
        <v>32</v>
      </c>
      <c r="G25" s="137">
        <f t="shared" si="12"/>
        <v>7</v>
      </c>
      <c r="H25" s="136">
        <v>39</v>
      </c>
      <c r="I25" s="137">
        <f t="shared" si="0"/>
        <v>7</v>
      </c>
      <c r="J25" s="137">
        <f t="shared" si="1"/>
        <v>145</v>
      </c>
      <c r="K25" s="137">
        <f t="shared" si="16"/>
        <v>36.25</v>
      </c>
      <c r="L25" s="137">
        <f t="shared" si="3"/>
        <v>7.25</v>
      </c>
      <c r="M25" s="137">
        <f t="shared" si="17"/>
        <v>28000</v>
      </c>
      <c r="N25" s="137">
        <f t="shared" si="5"/>
        <v>2030</v>
      </c>
      <c r="O25" s="137">
        <f t="shared" si="6"/>
        <v>1075.9000000000001</v>
      </c>
      <c r="P25" s="38">
        <f t="shared" si="9"/>
        <v>10382.435000000001</v>
      </c>
      <c r="Q25" s="137">
        <v>3501</v>
      </c>
      <c r="R25" s="137">
        <v>35</v>
      </c>
      <c r="S25" s="137">
        <v>81</v>
      </c>
      <c r="T25" s="137">
        <v>3500</v>
      </c>
      <c r="U25" s="137">
        <v>38</v>
      </c>
      <c r="V25" s="137">
        <v>85</v>
      </c>
      <c r="W25" s="137">
        <v>3501</v>
      </c>
      <c r="X25" s="137">
        <v>32</v>
      </c>
      <c r="Y25" s="137">
        <v>80</v>
      </c>
      <c r="Z25" s="137">
        <v>3303</v>
      </c>
      <c r="AA25" s="137">
        <v>38</v>
      </c>
      <c r="AB25" s="137">
        <v>80</v>
      </c>
      <c r="AC25" s="35">
        <f t="shared" si="13"/>
        <v>13805</v>
      </c>
      <c r="AD25" s="81">
        <f t="shared" si="14"/>
        <v>35.75</v>
      </c>
      <c r="AE25" s="81">
        <f t="shared" si="15"/>
        <v>81.5</v>
      </c>
    </row>
    <row r="26" spans="1:31" ht="32.25" customHeight="1" x14ac:dyDescent="0.3">
      <c r="A26" s="36">
        <f t="shared" si="10"/>
        <v>43846</v>
      </c>
      <c r="B26" s="136">
        <v>75</v>
      </c>
      <c r="C26" s="137">
        <f t="shared" si="8"/>
        <v>10</v>
      </c>
      <c r="D26" s="136">
        <v>77</v>
      </c>
      <c r="E26" s="137">
        <f t="shared" si="11"/>
        <v>10</v>
      </c>
      <c r="F26" s="136">
        <v>73</v>
      </c>
      <c r="G26" s="137">
        <f t="shared" si="12"/>
        <v>11</v>
      </c>
      <c r="H26" s="136">
        <v>74</v>
      </c>
      <c r="I26" s="137">
        <f t="shared" si="0"/>
        <v>9</v>
      </c>
      <c r="J26" s="137">
        <f t="shared" si="1"/>
        <v>299</v>
      </c>
      <c r="K26" s="137">
        <f t="shared" si="16"/>
        <v>74.75</v>
      </c>
      <c r="L26" s="137">
        <f t="shared" si="3"/>
        <v>10</v>
      </c>
      <c r="M26" s="137">
        <f t="shared" si="17"/>
        <v>28000</v>
      </c>
      <c r="N26" s="137">
        <f t="shared" si="5"/>
        <v>2800</v>
      </c>
      <c r="O26" s="137">
        <f t="shared" si="6"/>
        <v>1484</v>
      </c>
      <c r="P26" s="38">
        <f t="shared" si="9"/>
        <v>14320.6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1">
        <f t="shared" si="14"/>
        <v>0</v>
      </c>
      <c r="AE26" s="81">
        <f t="shared" si="15"/>
        <v>0</v>
      </c>
    </row>
    <row r="27" spans="1:31" ht="32.25" customHeight="1" x14ac:dyDescent="0.3">
      <c r="A27" s="36">
        <f t="shared" si="10"/>
        <v>43847</v>
      </c>
      <c r="B27" s="136">
        <v>65</v>
      </c>
      <c r="C27" s="137">
        <f t="shared" si="8"/>
        <v>11</v>
      </c>
      <c r="D27" s="136">
        <v>67</v>
      </c>
      <c r="E27" s="137">
        <f t="shared" si="11"/>
        <v>10</v>
      </c>
      <c r="F27" s="136">
        <v>62</v>
      </c>
      <c r="G27" s="137">
        <f t="shared" si="12"/>
        <v>11</v>
      </c>
      <c r="H27" s="136">
        <v>65</v>
      </c>
      <c r="I27" s="137">
        <f t="shared" si="0"/>
        <v>12</v>
      </c>
      <c r="J27" s="137">
        <f t="shared" si="1"/>
        <v>259</v>
      </c>
      <c r="K27" s="137">
        <f t="shared" si="16"/>
        <v>64.75</v>
      </c>
      <c r="L27" s="137">
        <f t="shared" si="3"/>
        <v>11</v>
      </c>
      <c r="M27" s="137">
        <f t="shared" si="17"/>
        <v>28000</v>
      </c>
      <c r="N27" s="137">
        <f t="shared" si="5"/>
        <v>3080</v>
      </c>
      <c r="O27" s="137">
        <f t="shared" si="6"/>
        <v>1632.4</v>
      </c>
      <c r="P27" s="38">
        <f t="shared" si="9"/>
        <v>15752.660000000002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1">
        <f t="shared" si="14"/>
        <v>0</v>
      </c>
      <c r="AE27" s="81">
        <f t="shared" si="15"/>
        <v>0</v>
      </c>
    </row>
    <row r="28" spans="1:31" ht="32.25" customHeight="1" x14ac:dyDescent="0.3">
      <c r="A28" s="36">
        <f t="shared" si="10"/>
        <v>43848</v>
      </c>
      <c r="B28" s="136">
        <v>54</v>
      </c>
      <c r="C28" s="137">
        <f t="shared" si="8"/>
        <v>11</v>
      </c>
      <c r="D28" s="136">
        <v>57</v>
      </c>
      <c r="E28" s="137">
        <f t="shared" si="11"/>
        <v>10</v>
      </c>
      <c r="F28" s="136">
        <v>51</v>
      </c>
      <c r="G28" s="137">
        <f t="shared" si="12"/>
        <v>10</v>
      </c>
      <c r="H28" s="136">
        <v>53</v>
      </c>
      <c r="I28" s="137">
        <f t="shared" si="0"/>
        <v>10</v>
      </c>
      <c r="J28" s="137">
        <f t="shared" si="1"/>
        <v>215</v>
      </c>
      <c r="K28" s="137">
        <f t="shared" si="16"/>
        <v>53.75</v>
      </c>
      <c r="L28" s="137">
        <f t="shared" si="3"/>
        <v>10.25</v>
      </c>
      <c r="M28" s="137">
        <f t="shared" si="17"/>
        <v>28000</v>
      </c>
      <c r="N28" s="137">
        <f t="shared" si="5"/>
        <v>2870</v>
      </c>
      <c r="O28" s="137">
        <f t="shared" si="6"/>
        <v>1521.1000000000001</v>
      </c>
      <c r="P28" s="38">
        <f t="shared" si="9"/>
        <v>14678.615000000002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1">
        <f t="shared" si="14"/>
        <v>0</v>
      </c>
      <c r="AE28" s="81">
        <f t="shared" si="15"/>
        <v>0</v>
      </c>
    </row>
    <row r="29" spans="1:31" ht="32.25" customHeight="1" x14ac:dyDescent="0.3">
      <c r="A29" s="36">
        <f t="shared" si="10"/>
        <v>43849</v>
      </c>
      <c r="B29" s="136">
        <v>43</v>
      </c>
      <c r="C29" s="137">
        <f t="shared" si="8"/>
        <v>9</v>
      </c>
      <c r="D29" s="136">
        <v>47</v>
      </c>
      <c r="E29" s="137">
        <f t="shared" si="11"/>
        <v>8</v>
      </c>
      <c r="F29" s="136">
        <v>41</v>
      </c>
      <c r="G29" s="137">
        <f t="shared" si="12"/>
        <v>9</v>
      </c>
      <c r="H29" s="136">
        <v>43</v>
      </c>
      <c r="I29" s="137">
        <f t="shared" si="0"/>
        <v>3</v>
      </c>
      <c r="J29" s="137">
        <f t="shared" si="1"/>
        <v>174</v>
      </c>
      <c r="K29" s="137">
        <f t="shared" si="16"/>
        <v>43.5</v>
      </c>
      <c r="L29" s="137">
        <f t="shared" si="3"/>
        <v>7.25</v>
      </c>
      <c r="M29" s="137">
        <f t="shared" si="17"/>
        <v>28000</v>
      </c>
      <c r="N29" s="137">
        <f t="shared" si="5"/>
        <v>2030</v>
      </c>
      <c r="O29" s="137">
        <f t="shared" si="6"/>
        <v>1075.9000000000001</v>
      </c>
      <c r="P29" s="38">
        <f t="shared" si="9"/>
        <v>10382.435000000001</v>
      </c>
      <c r="Q29" s="137">
        <v>2227</v>
      </c>
      <c r="R29" s="137">
        <v>39</v>
      </c>
      <c r="S29" s="137">
        <v>80</v>
      </c>
      <c r="T29" s="137">
        <v>1787</v>
      </c>
      <c r="U29" s="137">
        <v>45</v>
      </c>
      <c r="V29" s="137">
        <v>85</v>
      </c>
      <c r="W29" s="137">
        <v>1537</v>
      </c>
      <c r="X29" s="137">
        <v>42</v>
      </c>
      <c r="Y29" s="137">
        <v>83</v>
      </c>
      <c r="Z29" s="137">
        <v>1062</v>
      </c>
      <c r="AA29" s="137">
        <v>43</v>
      </c>
      <c r="AB29" s="137">
        <v>76</v>
      </c>
      <c r="AC29" s="35">
        <f t="shared" si="13"/>
        <v>6613</v>
      </c>
      <c r="AD29" s="81">
        <f t="shared" si="14"/>
        <v>42.25</v>
      </c>
      <c r="AE29" s="81">
        <f t="shared" si="15"/>
        <v>81</v>
      </c>
    </row>
    <row r="30" spans="1:31" ht="32.25" customHeight="1" x14ac:dyDescent="0.3">
      <c r="A30" s="36">
        <f t="shared" si="10"/>
        <v>43850</v>
      </c>
      <c r="B30" s="136">
        <v>75</v>
      </c>
      <c r="C30" s="137">
        <f t="shared" si="8"/>
        <v>7</v>
      </c>
      <c r="D30" s="136">
        <v>79</v>
      </c>
      <c r="E30" s="137">
        <f t="shared" si="11"/>
        <v>9</v>
      </c>
      <c r="F30" s="136">
        <v>73</v>
      </c>
      <c r="G30" s="137">
        <f t="shared" si="12"/>
        <v>8</v>
      </c>
      <c r="H30" s="136">
        <v>73</v>
      </c>
      <c r="I30" s="137">
        <f t="shared" si="0"/>
        <v>6</v>
      </c>
      <c r="J30" s="137">
        <f t="shared" si="1"/>
        <v>300</v>
      </c>
      <c r="K30" s="137">
        <f t="shared" si="16"/>
        <v>75</v>
      </c>
      <c r="L30" s="137">
        <f t="shared" si="3"/>
        <v>7.5</v>
      </c>
      <c r="M30" s="137">
        <f t="shared" si="17"/>
        <v>28000</v>
      </c>
      <c r="N30" s="137">
        <f t="shared" si="5"/>
        <v>2100</v>
      </c>
      <c r="O30" s="137">
        <f t="shared" si="6"/>
        <v>1113</v>
      </c>
      <c r="P30" s="38">
        <f t="shared" si="9"/>
        <v>10740.45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1">
        <f t="shared" si="14"/>
        <v>0</v>
      </c>
      <c r="AE30" s="81">
        <f t="shared" si="15"/>
        <v>0</v>
      </c>
    </row>
    <row r="31" spans="1:31" ht="32.25" customHeight="1" x14ac:dyDescent="0.3">
      <c r="A31" s="36">
        <f t="shared" si="10"/>
        <v>43851</v>
      </c>
      <c r="B31" s="136">
        <v>68</v>
      </c>
      <c r="C31" s="137">
        <f t="shared" si="8"/>
        <v>7</v>
      </c>
      <c r="D31" s="136">
        <v>70</v>
      </c>
      <c r="E31" s="137">
        <f t="shared" si="11"/>
        <v>7</v>
      </c>
      <c r="F31" s="136">
        <v>65</v>
      </c>
      <c r="G31" s="137">
        <f t="shared" si="12"/>
        <v>7</v>
      </c>
      <c r="H31" s="136">
        <v>67</v>
      </c>
      <c r="I31" s="137">
        <f t="shared" si="0"/>
        <v>6</v>
      </c>
      <c r="J31" s="137">
        <f t="shared" si="1"/>
        <v>270</v>
      </c>
      <c r="K31" s="137">
        <f t="shared" si="16"/>
        <v>67.5</v>
      </c>
      <c r="L31" s="137">
        <f t="shared" si="3"/>
        <v>6.75</v>
      </c>
      <c r="M31" s="137">
        <f t="shared" si="17"/>
        <v>28000</v>
      </c>
      <c r="N31" s="137">
        <f t="shared" si="5"/>
        <v>1890</v>
      </c>
      <c r="O31" s="137">
        <f t="shared" si="6"/>
        <v>1001.7</v>
      </c>
      <c r="P31" s="38">
        <f t="shared" si="9"/>
        <v>9666.4050000000007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1">
        <f t="shared" si="14"/>
        <v>0</v>
      </c>
      <c r="AE31" s="81">
        <f t="shared" si="15"/>
        <v>0</v>
      </c>
    </row>
    <row r="32" spans="1:31" ht="32.25" customHeight="1" x14ac:dyDescent="0.3">
      <c r="A32" s="36">
        <f t="shared" si="10"/>
        <v>43852</v>
      </c>
      <c r="B32" s="136">
        <v>61</v>
      </c>
      <c r="C32" s="137">
        <f t="shared" si="8"/>
        <v>4</v>
      </c>
      <c r="D32" s="136">
        <v>63</v>
      </c>
      <c r="E32" s="137">
        <f t="shared" si="11"/>
        <v>3</v>
      </c>
      <c r="F32" s="136">
        <v>58</v>
      </c>
      <c r="G32" s="137">
        <f t="shared" si="12"/>
        <v>7</v>
      </c>
      <c r="H32" s="136">
        <v>61</v>
      </c>
      <c r="I32" s="137">
        <f t="shared" si="0"/>
        <v>6</v>
      </c>
      <c r="J32" s="137">
        <f t="shared" si="1"/>
        <v>243</v>
      </c>
      <c r="K32" s="137">
        <f t="shared" si="16"/>
        <v>60.75</v>
      </c>
      <c r="L32" s="137">
        <f t="shared" si="3"/>
        <v>5</v>
      </c>
      <c r="M32" s="137">
        <f t="shared" si="17"/>
        <v>28000</v>
      </c>
      <c r="N32" s="137">
        <f t="shared" si="5"/>
        <v>1400</v>
      </c>
      <c r="O32" s="137">
        <f t="shared" si="6"/>
        <v>742</v>
      </c>
      <c r="P32" s="38">
        <f t="shared" si="9"/>
        <v>7160.3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1">
        <f t="shared" si="14"/>
        <v>0</v>
      </c>
      <c r="AE32" s="81">
        <f t="shared" si="15"/>
        <v>0</v>
      </c>
    </row>
    <row r="33" spans="1:31" ht="32.25" customHeight="1" x14ac:dyDescent="0.3">
      <c r="A33" s="36">
        <f t="shared" si="10"/>
        <v>43853</v>
      </c>
      <c r="B33" s="136">
        <v>57</v>
      </c>
      <c r="C33" s="137">
        <f t="shared" si="8"/>
        <v>9</v>
      </c>
      <c r="D33" s="136">
        <v>60</v>
      </c>
      <c r="E33" s="137">
        <f t="shared" si="11"/>
        <v>8</v>
      </c>
      <c r="F33" s="136">
        <v>51</v>
      </c>
      <c r="G33" s="137">
        <f t="shared" si="12"/>
        <v>5</v>
      </c>
      <c r="H33" s="136">
        <v>55</v>
      </c>
      <c r="I33" s="137">
        <f t="shared" si="0"/>
        <v>8</v>
      </c>
      <c r="J33" s="137">
        <f t="shared" si="1"/>
        <v>223</v>
      </c>
      <c r="K33" s="137">
        <f t="shared" si="16"/>
        <v>55.75</v>
      </c>
      <c r="L33" s="137">
        <f t="shared" si="3"/>
        <v>7.5</v>
      </c>
      <c r="M33" s="137">
        <f t="shared" si="17"/>
        <v>28000</v>
      </c>
      <c r="N33" s="137">
        <f t="shared" si="5"/>
        <v>2100</v>
      </c>
      <c r="O33" s="137">
        <f t="shared" si="6"/>
        <v>1113</v>
      </c>
      <c r="P33" s="38">
        <f t="shared" si="9"/>
        <v>10740.45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1">
        <f t="shared" si="14"/>
        <v>0</v>
      </c>
      <c r="AE33" s="81">
        <f t="shared" si="15"/>
        <v>0</v>
      </c>
    </row>
    <row r="34" spans="1:31" ht="32.25" customHeight="1" x14ac:dyDescent="0.3">
      <c r="A34" s="36">
        <f t="shared" si="10"/>
        <v>43854</v>
      </c>
      <c r="B34" s="136">
        <v>48</v>
      </c>
      <c r="C34" s="137">
        <f t="shared" si="8"/>
        <v>5</v>
      </c>
      <c r="D34" s="136">
        <v>52</v>
      </c>
      <c r="E34" s="137">
        <f t="shared" si="11"/>
        <v>5</v>
      </c>
      <c r="F34" s="136">
        <v>46</v>
      </c>
      <c r="G34" s="137">
        <f t="shared" si="12"/>
        <v>5</v>
      </c>
      <c r="H34" s="136">
        <v>47</v>
      </c>
      <c r="I34" s="137">
        <f t="shared" si="0"/>
        <v>5</v>
      </c>
      <c r="J34" s="137">
        <f t="shared" si="1"/>
        <v>193</v>
      </c>
      <c r="K34" s="137">
        <f t="shared" si="16"/>
        <v>48.25</v>
      </c>
      <c r="L34" s="137">
        <f t="shared" si="3"/>
        <v>5</v>
      </c>
      <c r="M34" s="137">
        <f t="shared" si="17"/>
        <v>28000</v>
      </c>
      <c r="N34" s="137">
        <f t="shared" si="5"/>
        <v>1400</v>
      </c>
      <c r="O34" s="137">
        <f t="shared" si="6"/>
        <v>742</v>
      </c>
      <c r="P34" s="38">
        <f t="shared" si="9"/>
        <v>7160.3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1">
        <f t="shared" si="14"/>
        <v>0</v>
      </c>
      <c r="AE34" s="81">
        <f t="shared" si="15"/>
        <v>0</v>
      </c>
    </row>
    <row r="35" spans="1:31" ht="32.25" customHeight="1" x14ac:dyDescent="0.3">
      <c r="A35" s="36">
        <f t="shared" si="10"/>
        <v>43855</v>
      </c>
      <c r="B35" s="136">
        <v>43</v>
      </c>
      <c r="C35" s="137">
        <f t="shared" si="8"/>
        <v>6</v>
      </c>
      <c r="D35" s="136">
        <v>47</v>
      </c>
      <c r="E35" s="137">
        <f t="shared" si="11"/>
        <v>7</v>
      </c>
      <c r="F35" s="136">
        <v>41</v>
      </c>
      <c r="G35" s="137">
        <f t="shared" si="12"/>
        <v>6</v>
      </c>
      <c r="H35" s="136">
        <v>42</v>
      </c>
      <c r="I35" s="137">
        <f t="shared" si="0"/>
        <v>2</v>
      </c>
      <c r="J35" s="137">
        <f t="shared" si="1"/>
        <v>173</v>
      </c>
      <c r="K35" s="137">
        <f t="shared" si="16"/>
        <v>43.25</v>
      </c>
      <c r="L35" s="137">
        <f t="shared" si="3"/>
        <v>5.25</v>
      </c>
      <c r="M35" s="137">
        <f t="shared" si="17"/>
        <v>28000</v>
      </c>
      <c r="N35" s="137">
        <f t="shared" si="5"/>
        <v>1470</v>
      </c>
      <c r="O35" s="137">
        <f t="shared" si="6"/>
        <v>779.1</v>
      </c>
      <c r="P35" s="38">
        <f t="shared" si="9"/>
        <v>7518.3150000000005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1">
        <f t="shared" si="14"/>
        <v>0</v>
      </c>
      <c r="AE35" s="81">
        <f t="shared" si="15"/>
        <v>0</v>
      </c>
    </row>
    <row r="36" spans="1:31" ht="32.25" customHeight="1" x14ac:dyDescent="0.3">
      <c r="A36" s="36">
        <f t="shared" si="10"/>
        <v>43856</v>
      </c>
      <c r="B36" s="136">
        <v>37</v>
      </c>
      <c r="C36" s="137">
        <f t="shared" si="8"/>
        <v>3</v>
      </c>
      <c r="D36" s="136">
        <v>40</v>
      </c>
      <c r="E36" s="137">
        <f t="shared" si="11"/>
        <v>5</v>
      </c>
      <c r="F36" s="136">
        <v>35</v>
      </c>
      <c r="G36" s="137">
        <f t="shared" si="12"/>
        <v>3</v>
      </c>
      <c r="H36" s="136">
        <v>40</v>
      </c>
      <c r="I36" s="137">
        <f t="shared" si="0"/>
        <v>8</v>
      </c>
      <c r="J36" s="137">
        <f t="shared" si="1"/>
        <v>152</v>
      </c>
      <c r="K36" s="137">
        <f t="shared" si="16"/>
        <v>38</v>
      </c>
      <c r="L36" s="137">
        <f t="shared" si="3"/>
        <v>4.75</v>
      </c>
      <c r="M36" s="137">
        <f t="shared" si="17"/>
        <v>28000</v>
      </c>
      <c r="N36" s="137">
        <f t="shared" si="5"/>
        <v>1330</v>
      </c>
      <c r="O36" s="137">
        <f t="shared" si="6"/>
        <v>704.90000000000009</v>
      </c>
      <c r="P36" s="38">
        <f t="shared" si="9"/>
        <v>6802.2850000000008</v>
      </c>
      <c r="Q36" s="137">
        <v>2626</v>
      </c>
      <c r="R36" s="137">
        <v>34</v>
      </c>
      <c r="S36" s="137">
        <v>65</v>
      </c>
      <c r="T36" s="137">
        <v>2620</v>
      </c>
      <c r="U36" s="137">
        <v>33</v>
      </c>
      <c r="V36" s="137">
        <v>63</v>
      </c>
      <c r="W36" s="137">
        <v>2599</v>
      </c>
      <c r="X36" s="137">
        <v>38</v>
      </c>
      <c r="Y36" s="137">
        <v>68</v>
      </c>
      <c r="Z36" s="137">
        <v>2606</v>
      </c>
      <c r="AA36" s="137">
        <v>35</v>
      </c>
      <c r="AB36" s="137">
        <v>65</v>
      </c>
      <c r="AC36" s="35">
        <f t="shared" si="13"/>
        <v>10451</v>
      </c>
      <c r="AD36" s="81">
        <f t="shared" si="14"/>
        <v>35</v>
      </c>
      <c r="AE36" s="81">
        <f t="shared" si="15"/>
        <v>65.25</v>
      </c>
    </row>
    <row r="37" spans="1:31" ht="32.25" customHeight="1" x14ac:dyDescent="0.3">
      <c r="A37" s="36">
        <f t="shared" si="10"/>
        <v>43857</v>
      </c>
      <c r="B37" s="136">
        <v>65</v>
      </c>
      <c r="C37" s="137">
        <f t="shared" si="8"/>
        <v>7</v>
      </c>
      <c r="D37" s="136">
        <v>65</v>
      </c>
      <c r="E37" s="137">
        <f t="shared" si="11"/>
        <v>4</v>
      </c>
      <c r="F37" s="136">
        <v>62</v>
      </c>
      <c r="G37" s="137">
        <f t="shared" si="12"/>
        <v>7</v>
      </c>
      <c r="H37" s="136">
        <v>62</v>
      </c>
      <c r="I37" s="137">
        <f t="shared" si="0"/>
        <v>6</v>
      </c>
      <c r="J37" s="137">
        <f t="shared" si="1"/>
        <v>254</v>
      </c>
      <c r="K37" s="137">
        <f t="shared" si="16"/>
        <v>63.5</v>
      </c>
      <c r="L37" s="137">
        <f t="shared" si="3"/>
        <v>6</v>
      </c>
      <c r="M37" s="137">
        <f t="shared" si="17"/>
        <v>28000</v>
      </c>
      <c r="N37" s="137">
        <f t="shared" si="5"/>
        <v>1680</v>
      </c>
      <c r="O37" s="137">
        <f t="shared" si="6"/>
        <v>890.40000000000009</v>
      </c>
      <c r="P37" s="38">
        <f t="shared" si="9"/>
        <v>8592.36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1">
        <f t="shared" si="14"/>
        <v>0</v>
      </c>
      <c r="AE37" s="81">
        <f t="shared" si="15"/>
        <v>0</v>
      </c>
    </row>
    <row r="38" spans="1:31" ht="32.25" customHeight="1" x14ac:dyDescent="0.3">
      <c r="A38" s="36">
        <f t="shared" si="10"/>
        <v>43858</v>
      </c>
      <c r="B38" s="136">
        <v>58</v>
      </c>
      <c r="C38" s="137">
        <f t="shared" si="8"/>
        <v>6</v>
      </c>
      <c r="D38" s="136">
        <v>61</v>
      </c>
      <c r="E38" s="137">
        <f t="shared" si="11"/>
        <v>6</v>
      </c>
      <c r="F38" s="136">
        <v>55</v>
      </c>
      <c r="G38" s="137">
        <f t="shared" si="12"/>
        <v>6</v>
      </c>
      <c r="H38" s="136">
        <v>56</v>
      </c>
      <c r="I38" s="137">
        <f t="shared" si="0"/>
        <v>6</v>
      </c>
      <c r="J38" s="137">
        <f t="shared" si="1"/>
        <v>230</v>
      </c>
      <c r="K38" s="137">
        <f t="shared" si="16"/>
        <v>57.5</v>
      </c>
      <c r="L38" s="137">
        <f t="shared" si="3"/>
        <v>6</v>
      </c>
      <c r="M38" s="137">
        <f t="shared" si="17"/>
        <v>28000</v>
      </c>
      <c r="N38" s="137">
        <f t="shared" si="5"/>
        <v>1680</v>
      </c>
      <c r="O38" s="137">
        <f t="shared" si="6"/>
        <v>890.40000000000009</v>
      </c>
      <c r="P38" s="38">
        <f t="shared" si="9"/>
        <v>8592.36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1">
        <f t="shared" si="14"/>
        <v>0</v>
      </c>
      <c r="AE38" s="81">
        <f t="shared" si="15"/>
        <v>0</v>
      </c>
    </row>
    <row r="39" spans="1:31" ht="32.25" customHeight="1" x14ac:dyDescent="0.3">
      <c r="A39" s="36">
        <f t="shared" si="10"/>
        <v>43859</v>
      </c>
      <c r="B39" s="136">
        <v>52</v>
      </c>
      <c r="C39" s="137">
        <f t="shared" si="8"/>
        <v>6</v>
      </c>
      <c r="D39" s="136">
        <v>55</v>
      </c>
      <c r="E39" s="137">
        <f t="shared" si="11"/>
        <v>5</v>
      </c>
      <c r="F39" s="136">
        <v>49</v>
      </c>
      <c r="G39" s="137">
        <f t="shared" si="12"/>
        <v>5</v>
      </c>
      <c r="H39" s="136">
        <v>50</v>
      </c>
      <c r="I39" s="137">
        <f t="shared" si="0"/>
        <v>5</v>
      </c>
      <c r="J39" s="137">
        <f t="shared" si="1"/>
        <v>206</v>
      </c>
      <c r="K39" s="137">
        <f t="shared" si="16"/>
        <v>51.5</v>
      </c>
      <c r="L39" s="137">
        <f t="shared" si="3"/>
        <v>5.25</v>
      </c>
      <c r="M39" s="137">
        <f t="shared" si="17"/>
        <v>28000</v>
      </c>
      <c r="N39" s="137">
        <f t="shared" si="5"/>
        <v>1470</v>
      </c>
      <c r="O39" s="137">
        <f t="shared" si="6"/>
        <v>779.1</v>
      </c>
      <c r="P39" s="38">
        <f t="shared" si="9"/>
        <v>7518.3150000000005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1">
        <f t="shared" si="14"/>
        <v>0</v>
      </c>
      <c r="AE39" s="81">
        <f t="shared" si="15"/>
        <v>0</v>
      </c>
    </row>
    <row r="40" spans="1:31" ht="32.25" customHeight="1" x14ac:dyDescent="0.3">
      <c r="A40" s="36">
        <f t="shared" si="10"/>
        <v>43860</v>
      </c>
      <c r="B40" s="136">
        <v>46</v>
      </c>
      <c r="C40" s="137">
        <f t="shared" si="8"/>
        <v>3</v>
      </c>
      <c r="D40" s="136">
        <v>50</v>
      </c>
      <c r="E40" s="137">
        <f t="shared" si="11"/>
        <v>5</v>
      </c>
      <c r="F40" s="136">
        <v>44</v>
      </c>
      <c r="G40" s="137">
        <f t="shared" si="12"/>
        <v>9</v>
      </c>
      <c r="H40" s="136">
        <v>45</v>
      </c>
      <c r="I40" s="137">
        <f t="shared" si="0"/>
        <v>7</v>
      </c>
      <c r="J40" s="137">
        <f t="shared" si="1"/>
        <v>185</v>
      </c>
      <c r="K40" s="137">
        <f t="shared" si="16"/>
        <v>46.25</v>
      </c>
      <c r="L40" s="137">
        <f t="shared" si="3"/>
        <v>6</v>
      </c>
      <c r="M40" s="137">
        <f t="shared" si="17"/>
        <v>28000</v>
      </c>
      <c r="N40" s="137">
        <f t="shared" si="5"/>
        <v>1680</v>
      </c>
      <c r="O40" s="137">
        <f t="shared" si="6"/>
        <v>890.40000000000009</v>
      </c>
      <c r="P40" s="38">
        <f t="shared" si="9"/>
        <v>8592.36</v>
      </c>
      <c r="Q40" s="137">
        <v>3299</v>
      </c>
      <c r="R40" s="137">
        <v>45</v>
      </c>
      <c r="S40" s="137">
        <v>85</v>
      </c>
      <c r="T40" s="137">
        <v>3205</v>
      </c>
      <c r="U40" s="137">
        <v>45</v>
      </c>
      <c r="V40" s="137">
        <v>85</v>
      </c>
      <c r="W40" s="137">
        <v>3405</v>
      </c>
      <c r="X40" s="137">
        <v>40</v>
      </c>
      <c r="Y40" s="137">
        <v>85</v>
      </c>
      <c r="Z40" s="137">
        <v>3403</v>
      </c>
      <c r="AA40" s="137">
        <v>42</v>
      </c>
      <c r="AB40" s="137">
        <v>85</v>
      </c>
      <c r="AC40" s="35">
        <f t="shared" si="13"/>
        <v>13312</v>
      </c>
      <c r="AD40" s="81">
        <f t="shared" si="14"/>
        <v>43</v>
      </c>
      <c r="AE40" s="81">
        <f t="shared" si="15"/>
        <v>85</v>
      </c>
    </row>
    <row r="41" spans="1:31" ht="32.25" customHeight="1" x14ac:dyDescent="0.3">
      <c r="A41" s="36">
        <f t="shared" si="10"/>
        <v>43861</v>
      </c>
      <c r="B41" s="136">
        <v>83</v>
      </c>
      <c r="C41" s="137">
        <f t="shared" si="8"/>
        <v>3</v>
      </c>
      <c r="D41" s="136">
        <v>85</v>
      </c>
      <c r="E41" s="137">
        <f t="shared" si="11"/>
        <v>5</v>
      </c>
      <c r="F41" s="136">
        <v>80</v>
      </c>
      <c r="G41" s="137">
        <f t="shared" si="12"/>
        <v>2</v>
      </c>
      <c r="H41" s="136">
        <v>81</v>
      </c>
      <c r="I41" s="137">
        <f t="shared" si="0"/>
        <v>3</v>
      </c>
      <c r="J41" s="137">
        <f t="shared" si="1"/>
        <v>329</v>
      </c>
      <c r="K41" s="137">
        <f t="shared" si="16"/>
        <v>82.25</v>
      </c>
      <c r="L41" s="137">
        <f t="shared" si="3"/>
        <v>3.25</v>
      </c>
      <c r="M41" s="137">
        <f t="shared" si="17"/>
        <v>28000</v>
      </c>
      <c r="N41" s="137">
        <f t="shared" si="5"/>
        <v>910</v>
      </c>
      <c r="O41" s="137">
        <f t="shared" si="6"/>
        <v>482.3</v>
      </c>
      <c r="P41" s="38">
        <f t="shared" si="9"/>
        <v>4654.1950000000006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1">
        <f t="shared" si="14"/>
        <v>0</v>
      </c>
      <c r="AE41" s="81">
        <f t="shared" si="15"/>
        <v>0</v>
      </c>
    </row>
    <row r="42" spans="1:31" ht="32.25" customHeight="1" x14ac:dyDescent="0.3">
      <c r="A42" s="36">
        <f t="shared" si="10"/>
        <v>43862</v>
      </c>
      <c r="B42" s="136">
        <v>80</v>
      </c>
      <c r="C42" s="137">
        <f t="shared" si="8"/>
        <v>0</v>
      </c>
      <c r="D42" s="136">
        <v>80</v>
      </c>
      <c r="E42" s="137">
        <f t="shared" si="11"/>
        <v>0</v>
      </c>
      <c r="F42" s="136">
        <v>78</v>
      </c>
      <c r="G42" s="137">
        <f t="shared" si="12"/>
        <v>0</v>
      </c>
      <c r="H42" s="136">
        <v>78</v>
      </c>
      <c r="I42" s="137">
        <f t="shared" si="0"/>
        <v>0</v>
      </c>
      <c r="J42" s="137">
        <f t="shared" si="1"/>
        <v>316</v>
      </c>
      <c r="K42" s="137">
        <f t="shared" si="16"/>
        <v>79</v>
      </c>
      <c r="L42" s="137">
        <f t="shared" si="3"/>
        <v>0</v>
      </c>
      <c r="M42" s="137">
        <f t="shared" si="17"/>
        <v>28000</v>
      </c>
      <c r="N42" s="137">
        <f t="shared" si="5"/>
        <v>0</v>
      </c>
      <c r="O42" s="137">
        <f t="shared" si="6"/>
        <v>0</v>
      </c>
      <c r="P42" s="38">
        <f t="shared" si="9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1">
        <f t="shared" si="14"/>
        <v>0</v>
      </c>
      <c r="AE42" s="81">
        <f t="shared" si="15"/>
        <v>0</v>
      </c>
    </row>
    <row r="43" spans="1:31" ht="32.25" customHeight="1" thickBot="1" x14ac:dyDescent="0.35">
      <c r="B43" s="37"/>
      <c r="C43" s="35">
        <f>SUM(C11:C41)</f>
        <v>271</v>
      </c>
      <c r="D43" s="37"/>
      <c r="E43" s="137">
        <f>SUM(E11:E41)</f>
        <v>264</v>
      </c>
      <c r="F43" s="37"/>
      <c r="G43" s="137">
        <f>SUM(G11:G41)</f>
        <v>283</v>
      </c>
      <c r="H43" s="37"/>
      <c r="I43" s="137">
        <f>SUM(I11:I41)</f>
        <v>241</v>
      </c>
      <c r="J43" s="33"/>
      <c r="K43" s="33"/>
      <c r="L43" s="33"/>
      <c r="M43" s="33"/>
      <c r="N43" s="137">
        <f>SUM(N11:N41)</f>
        <v>74130</v>
      </c>
      <c r="O43" s="35">
        <f>N43*0.53</f>
        <v>39288.9</v>
      </c>
      <c r="P43" s="38">
        <f>O43*9.65</f>
        <v>379137.88500000001</v>
      </c>
      <c r="Q43" s="241">
        <f>SUM(Q11:Q41)</f>
        <v>18449</v>
      </c>
      <c r="R43" s="242"/>
      <c r="S43" s="243"/>
      <c r="T43" s="244">
        <f>SUM(T11:T41)</f>
        <v>17393</v>
      </c>
      <c r="U43" s="242"/>
      <c r="V43" s="243"/>
      <c r="W43" s="244">
        <f>SUM(W11:W41)</f>
        <v>18045</v>
      </c>
      <c r="X43" s="242"/>
      <c r="Y43" s="243"/>
      <c r="Z43" s="244">
        <f>SUM(Z11:Z41)</f>
        <v>16439</v>
      </c>
      <c r="AA43" s="242"/>
      <c r="AB43" s="243"/>
      <c r="AC43" s="35">
        <f>SUM(AC11:AC41)</f>
        <v>70326</v>
      </c>
      <c r="AD43" s="33"/>
      <c r="AE43" s="33"/>
    </row>
    <row r="44" spans="1:31" ht="35.25" customHeight="1" thickBot="1" x14ac:dyDescent="0.35">
      <c r="B44" s="245"/>
      <c r="C44" s="246"/>
      <c r="D44" s="246"/>
      <c r="E44" s="246"/>
      <c r="F44" s="246"/>
      <c r="G44" s="246"/>
      <c r="H44" s="246"/>
      <c r="I44" s="247"/>
      <c r="J44" s="33"/>
      <c r="K44" s="33"/>
      <c r="L44" s="33"/>
      <c r="M44" s="33"/>
      <c r="N44" s="33"/>
      <c r="O44" s="33"/>
      <c r="P44" s="33"/>
      <c r="Q44" s="248">
        <f>Q43+T43+W43+Z43</f>
        <v>70326</v>
      </c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50"/>
      <c r="AC44" s="35">
        <f>Q43+T43+W43+Z43</f>
        <v>70326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1" t="s">
        <v>37</v>
      </c>
      <c r="I47" s="252"/>
      <c r="J47" s="253"/>
      <c r="K47" s="45">
        <f>N43</f>
        <v>74130</v>
      </c>
      <c r="L47" s="46">
        <f>O43</f>
        <v>39288.9</v>
      </c>
      <c r="M47" s="46">
        <f>P43</f>
        <v>379137.88500000001</v>
      </c>
    </row>
    <row r="48" spans="1:31" ht="54.75" customHeight="1" thickBot="1" x14ac:dyDescent="0.35">
      <c r="H48" s="238" t="s">
        <v>38</v>
      </c>
      <c r="I48" s="239"/>
      <c r="J48" s="240"/>
      <c r="K48" s="43">
        <f>AC43</f>
        <v>70326</v>
      </c>
      <c r="L48" s="44">
        <f>K48*0.53</f>
        <v>37272.78</v>
      </c>
      <c r="M48" s="44">
        <f>L48*9.65</f>
        <v>359682.32699999999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10" sqref="A10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2"/>
      <c r="B1" s="273"/>
      <c r="C1" s="255" t="s">
        <v>58</v>
      </c>
      <c r="D1" s="256"/>
      <c r="E1" s="256"/>
      <c r="F1" s="256"/>
      <c r="G1" s="257"/>
      <c r="H1" s="264"/>
      <c r="I1" s="265"/>
      <c r="J1" s="50"/>
      <c r="K1" s="48"/>
      <c r="L1" s="48"/>
    </row>
    <row r="2" spans="1:20" ht="16.5" customHeight="1" x14ac:dyDescent="0.2">
      <c r="A2" s="274"/>
      <c r="B2" s="275"/>
      <c r="C2" s="258"/>
      <c r="D2" s="259"/>
      <c r="E2" s="259"/>
      <c r="F2" s="259"/>
      <c r="G2" s="260"/>
      <c r="H2" s="266"/>
      <c r="I2" s="267"/>
      <c r="J2" s="50"/>
      <c r="K2" s="48"/>
      <c r="L2" s="48"/>
    </row>
    <row r="3" spans="1:20" ht="48" customHeight="1" thickBot="1" x14ac:dyDescent="0.25">
      <c r="A3" s="276"/>
      <c r="B3" s="277"/>
      <c r="C3" s="261"/>
      <c r="D3" s="262"/>
      <c r="E3" s="262"/>
      <c r="F3" s="262"/>
      <c r="G3" s="263"/>
      <c r="H3" s="268"/>
      <c r="I3" s="269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4" t="s">
        <v>1</v>
      </c>
      <c r="B7" s="270" t="s">
        <v>42</v>
      </c>
      <c r="C7" s="270"/>
      <c r="D7" s="271" t="s">
        <v>43</v>
      </c>
      <c r="E7" s="271"/>
      <c r="F7" s="271"/>
      <c r="G7" s="271"/>
      <c r="H7" s="271"/>
      <c r="I7" s="271"/>
    </row>
    <row r="8" spans="1:20" s="27" customFormat="1" ht="28.5" customHeight="1" thickTop="1" thickBot="1" x14ac:dyDescent="0.25">
      <c r="A8" s="254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38">
        <v>100567</v>
      </c>
      <c r="C9" s="139">
        <f>IF(B10&lt;B9,0,B10-B9)*10</f>
        <v>340</v>
      </c>
      <c r="D9" s="140">
        <v>15905064</v>
      </c>
      <c r="E9" s="139">
        <f>IF(D10&lt;D9,0,D10-D9)</f>
        <v>4393</v>
      </c>
      <c r="F9" s="140">
        <v>28752557</v>
      </c>
      <c r="G9" s="139">
        <f>IF(F10&lt;F9,0,F10-F9)</f>
        <v>6820</v>
      </c>
      <c r="H9" s="140">
        <v>12781536</v>
      </c>
      <c r="I9" s="139">
        <f t="shared" ref="I9:I46" si="0">IF(H10&lt;H9,0,H10-H9)</f>
        <v>3745</v>
      </c>
    </row>
    <row r="10" spans="1:20" ht="21" thickTop="1" thickBot="1" x14ac:dyDescent="0.35">
      <c r="A10" s="59">
        <f>A9+1</f>
        <v>43825</v>
      </c>
      <c r="B10" s="138">
        <v>100601</v>
      </c>
      <c r="C10" s="139">
        <f>IF(B11&lt;B10,0,B11-B10)*10</f>
        <v>370</v>
      </c>
      <c r="D10" s="140">
        <v>15909457</v>
      </c>
      <c r="E10" s="139">
        <f>IF(D11&lt;D10,0,D11-D10)</f>
        <v>4070</v>
      </c>
      <c r="F10" s="140">
        <v>28759377</v>
      </c>
      <c r="G10" s="139">
        <f>IF(F11&lt;F10,0,F11-F10)</f>
        <v>6676</v>
      </c>
      <c r="H10" s="140">
        <v>12785281</v>
      </c>
      <c r="I10" s="139">
        <f t="shared" si="0"/>
        <v>3146</v>
      </c>
    </row>
    <row r="11" spans="1:20" ht="21" thickTop="1" thickBot="1" x14ac:dyDescent="0.35">
      <c r="A11" s="59">
        <f t="shared" ref="A11:A47" si="1">A10+1</f>
        <v>43826</v>
      </c>
      <c r="B11" s="138">
        <v>100638</v>
      </c>
      <c r="C11" s="139">
        <f>IF(B12&lt;B11,0,B12-B11)*10</f>
        <v>360</v>
      </c>
      <c r="D11" s="140">
        <v>15913527</v>
      </c>
      <c r="E11" s="139">
        <f>IF(D12&lt;D11,0,D12-D11)</f>
        <v>5510</v>
      </c>
      <c r="F11" s="140">
        <v>28766053</v>
      </c>
      <c r="G11" s="139">
        <f>IF(F12&lt;F11,0,F12-F11)</f>
        <v>6445</v>
      </c>
      <c r="H11" s="140">
        <v>12788427</v>
      </c>
      <c r="I11" s="139">
        <f t="shared" si="0"/>
        <v>3175</v>
      </c>
    </row>
    <row r="12" spans="1:20" ht="21" thickTop="1" thickBot="1" x14ac:dyDescent="0.35">
      <c r="A12" s="59">
        <f t="shared" si="1"/>
        <v>43827</v>
      </c>
      <c r="B12" s="138">
        <v>100674</v>
      </c>
      <c r="C12" s="139">
        <f>IF(B13&lt;B12,0,B13-B12)*10</f>
        <v>370</v>
      </c>
      <c r="D12" s="140">
        <v>15919037</v>
      </c>
      <c r="E12" s="139">
        <f>IF(D13&lt;D12,0,D13-D12)</f>
        <v>5495</v>
      </c>
      <c r="F12" s="140">
        <v>28772498</v>
      </c>
      <c r="G12" s="139">
        <f>IF(F13&lt;F12,0,F13-F12)</f>
        <v>7417</v>
      </c>
      <c r="H12" s="140">
        <v>12791602</v>
      </c>
      <c r="I12" s="139">
        <f t="shared" si="0"/>
        <v>3561</v>
      </c>
    </row>
    <row r="13" spans="1:20" ht="21" thickTop="1" thickBot="1" x14ac:dyDescent="0.35">
      <c r="A13" s="59">
        <f t="shared" si="1"/>
        <v>43828</v>
      </c>
      <c r="B13" s="138">
        <v>100711</v>
      </c>
      <c r="C13" s="139">
        <f>IF(B14&lt;B13,0,B14-B13)*10</f>
        <v>390</v>
      </c>
      <c r="D13" s="140">
        <v>15924532</v>
      </c>
      <c r="E13" s="139">
        <f>IF(D14&lt;D13,0,D14-D13)</f>
        <v>4276</v>
      </c>
      <c r="F13" s="140">
        <v>28779915</v>
      </c>
      <c r="G13" s="139">
        <f>IF(F14&lt;F13,0,F14-F13)</f>
        <v>8054</v>
      </c>
      <c r="H13" s="140">
        <v>12795163</v>
      </c>
      <c r="I13" s="139">
        <f t="shared" si="0"/>
        <v>3419</v>
      </c>
    </row>
    <row r="14" spans="1:20" ht="21" thickTop="1" thickBot="1" x14ac:dyDescent="0.35">
      <c r="A14" s="59">
        <f t="shared" si="1"/>
        <v>43829</v>
      </c>
      <c r="B14" s="138">
        <v>100750</v>
      </c>
      <c r="C14" s="139">
        <f t="shared" ref="C14:C43" si="2">IF(B15&lt;B14,0,B15-B14)*10</f>
        <v>400</v>
      </c>
      <c r="D14" s="140">
        <v>15928808</v>
      </c>
      <c r="E14" s="139">
        <f t="shared" ref="E14:E43" si="3">IF(D15&lt;D14,0,D15-D14)</f>
        <v>4107</v>
      </c>
      <c r="F14" s="140">
        <v>28787969</v>
      </c>
      <c r="G14" s="139">
        <f t="shared" ref="G14:G43" si="4">IF(F15&lt;F14,0,F15-F14)</f>
        <v>6633</v>
      </c>
      <c r="H14" s="140">
        <v>12798582</v>
      </c>
      <c r="I14" s="139">
        <f t="shared" si="0"/>
        <v>3347</v>
      </c>
    </row>
    <row r="15" spans="1:20" ht="21" thickTop="1" thickBot="1" x14ac:dyDescent="0.35">
      <c r="A15" s="59">
        <f t="shared" si="1"/>
        <v>43830</v>
      </c>
      <c r="B15" s="138">
        <v>100790</v>
      </c>
      <c r="C15" s="139">
        <f t="shared" si="2"/>
        <v>380</v>
      </c>
      <c r="D15" s="140">
        <v>15932915</v>
      </c>
      <c r="E15" s="139">
        <f t="shared" si="3"/>
        <v>5589</v>
      </c>
      <c r="F15" s="140">
        <v>28794602</v>
      </c>
      <c r="G15" s="139">
        <f t="shared" si="4"/>
        <v>6916</v>
      </c>
      <c r="H15" s="140">
        <v>12801929</v>
      </c>
      <c r="I15" s="139">
        <f t="shared" si="0"/>
        <v>3385</v>
      </c>
    </row>
    <row r="16" spans="1:20" ht="21" thickTop="1" thickBot="1" x14ac:dyDescent="0.35">
      <c r="A16" s="59">
        <f t="shared" si="1"/>
        <v>43831</v>
      </c>
      <c r="B16" s="138">
        <v>100828</v>
      </c>
      <c r="C16" s="139">
        <f t="shared" si="2"/>
        <v>370</v>
      </c>
      <c r="D16" s="140">
        <v>15938504</v>
      </c>
      <c r="E16" s="139">
        <f t="shared" si="3"/>
        <v>4606</v>
      </c>
      <c r="F16" s="140">
        <v>28801518</v>
      </c>
      <c r="G16" s="139">
        <f t="shared" si="4"/>
        <v>6701</v>
      </c>
      <c r="H16" s="140">
        <v>12805314</v>
      </c>
      <c r="I16" s="139">
        <f t="shared" si="0"/>
        <v>3142</v>
      </c>
    </row>
    <row r="17" spans="1:9" ht="21" thickTop="1" thickBot="1" x14ac:dyDescent="0.35">
      <c r="A17" s="59">
        <f t="shared" si="1"/>
        <v>43832</v>
      </c>
      <c r="B17" s="138">
        <v>100865</v>
      </c>
      <c r="C17" s="139">
        <f t="shared" si="2"/>
        <v>350</v>
      </c>
      <c r="D17" s="140">
        <v>15943110</v>
      </c>
      <c r="E17" s="139">
        <f t="shared" si="3"/>
        <v>4289</v>
      </c>
      <c r="F17" s="140">
        <v>28808219</v>
      </c>
      <c r="G17" s="139">
        <f t="shared" si="4"/>
        <v>6866</v>
      </c>
      <c r="H17" s="140">
        <v>12808456</v>
      </c>
      <c r="I17" s="139">
        <f t="shared" si="0"/>
        <v>3145</v>
      </c>
    </row>
    <row r="18" spans="1:9" ht="21" thickTop="1" thickBot="1" x14ac:dyDescent="0.35">
      <c r="A18" s="59">
        <f t="shared" si="1"/>
        <v>43833</v>
      </c>
      <c r="B18" s="138">
        <v>100900</v>
      </c>
      <c r="C18" s="139">
        <f t="shared" si="2"/>
        <v>360</v>
      </c>
      <c r="D18" s="140">
        <v>15947399</v>
      </c>
      <c r="E18" s="139">
        <f t="shared" si="3"/>
        <v>4218</v>
      </c>
      <c r="F18" s="140">
        <v>28815085</v>
      </c>
      <c r="G18" s="139">
        <f t="shared" si="4"/>
        <v>6555</v>
      </c>
      <c r="H18" s="140">
        <v>12811601</v>
      </c>
      <c r="I18" s="139">
        <f t="shared" si="0"/>
        <v>3007</v>
      </c>
    </row>
    <row r="19" spans="1:9" ht="21" thickTop="1" thickBot="1" x14ac:dyDescent="0.35">
      <c r="A19" s="59">
        <f t="shared" si="1"/>
        <v>43834</v>
      </c>
      <c r="B19" s="138">
        <v>100936</v>
      </c>
      <c r="C19" s="139">
        <f t="shared" si="2"/>
        <v>410</v>
      </c>
      <c r="D19" s="140">
        <v>15951617</v>
      </c>
      <c r="E19" s="139">
        <f t="shared" si="3"/>
        <v>4290</v>
      </c>
      <c r="F19" s="140">
        <v>28821640</v>
      </c>
      <c r="G19" s="139">
        <f t="shared" si="4"/>
        <v>6732</v>
      </c>
      <c r="H19" s="140">
        <v>12814608</v>
      </c>
      <c r="I19" s="139">
        <f t="shared" si="0"/>
        <v>3045</v>
      </c>
    </row>
    <row r="20" spans="1:9" ht="21" thickTop="1" thickBot="1" x14ac:dyDescent="0.35">
      <c r="A20" s="59">
        <f t="shared" si="1"/>
        <v>43835</v>
      </c>
      <c r="B20" s="138">
        <v>100977</v>
      </c>
      <c r="C20" s="139">
        <f t="shared" si="2"/>
        <v>350</v>
      </c>
      <c r="D20" s="140">
        <v>15955907</v>
      </c>
      <c r="E20" s="139">
        <f t="shared" si="3"/>
        <v>4138</v>
      </c>
      <c r="F20" s="140">
        <v>28828372</v>
      </c>
      <c r="G20" s="139">
        <f t="shared" si="4"/>
        <v>6398</v>
      </c>
      <c r="H20" s="140">
        <v>12817653</v>
      </c>
      <c r="I20" s="139">
        <f t="shared" si="0"/>
        <v>2973</v>
      </c>
    </row>
    <row r="21" spans="1:9" ht="21" thickTop="1" thickBot="1" x14ac:dyDescent="0.35">
      <c r="A21" s="59">
        <f t="shared" si="1"/>
        <v>43836</v>
      </c>
      <c r="B21" s="138">
        <v>101012</v>
      </c>
      <c r="C21" s="139">
        <f t="shared" si="2"/>
        <v>330</v>
      </c>
      <c r="D21" s="140">
        <v>15960045</v>
      </c>
      <c r="E21" s="139">
        <f t="shared" si="3"/>
        <v>4186</v>
      </c>
      <c r="F21" s="140">
        <v>28834770</v>
      </c>
      <c r="G21" s="139">
        <f t="shared" si="4"/>
        <v>6125</v>
      </c>
      <c r="H21" s="140">
        <v>12820626</v>
      </c>
      <c r="I21" s="139">
        <f t="shared" si="0"/>
        <v>2906</v>
      </c>
    </row>
    <row r="22" spans="1:9" ht="21" thickTop="1" thickBot="1" x14ac:dyDescent="0.35">
      <c r="A22" s="59">
        <f t="shared" si="1"/>
        <v>43837</v>
      </c>
      <c r="B22" s="138">
        <v>101045</v>
      </c>
      <c r="C22" s="139">
        <f t="shared" si="2"/>
        <v>350</v>
      </c>
      <c r="D22" s="140">
        <v>15964231</v>
      </c>
      <c r="E22" s="139">
        <f t="shared" si="3"/>
        <v>4317</v>
      </c>
      <c r="F22" s="140">
        <v>28840895</v>
      </c>
      <c r="G22" s="139">
        <f t="shared" si="4"/>
        <v>6445</v>
      </c>
      <c r="H22" s="140">
        <v>12823532</v>
      </c>
      <c r="I22" s="139">
        <f t="shared" si="0"/>
        <v>3031</v>
      </c>
    </row>
    <row r="23" spans="1:9" ht="21" thickTop="1" thickBot="1" x14ac:dyDescent="0.35">
      <c r="A23" s="59">
        <f t="shared" si="1"/>
        <v>43838</v>
      </c>
      <c r="B23" s="138">
        <v>101080</v>
      </c>
      <c r="C23" s="139">
        <f t="shared" si="2"/>
        <v>310</v>
      </c>
      <c r="D23" s="140">
        <v>15968548</v>
      </c>
      <c r="E23" s="139">
        <f t="shared" si="3"/>
        <v>4074</v>
      </c>
      <c r="F23" s="140">
        <v>28847340</v>
      </c>
      <c r="G23" s="139">
        <f t="shared" si="4"/>
        <v>6756</v>
      </c>
      <c r="H23" s="140">
        <v>12826563</v>
      </c>
      <c r="I23" s="139">
        <f t="shared" si="0"/>
        <v>2923</v>
      </c>
    </row>
    <row r="24" spans="1:9" ht="21" thickTop="1" thickBot="1" x14ac:dyDescent="0.35">
      <c r="A24" s="59">
        <f t="shared" si="1"/>
        <v>43839</v>
      </c>
      <c r="B24" s="138">
        <v>101111</v>
      </c>
      <c r="C24" s="139">
        <f t="shared" si="2"/>
        <v>270</v>
      </c>
      <c r="D24" s="140">
        <v>15972622</v>
      </c>
      <c r="E24" s="139">
        <f t="shared" si="3"/>
        <v>4129</v>
      </c>
      <c r="F24" s="140">
        <v>28854096</v>
      </c>
      <c r="G24" s="139">
        <f t="shared" si="4"/>
        <v>6480</v>
      </c>
      <c r="H24" s="140">
        <v>12829486</v>
      </c>
      <c r="I24" s="139">
        <f t="shared" si="0"/>
        <v>2935</v>
      </c>
    </row>
    <row r="25" spans="1:9" ht="21" thickTop="1" thickBot="1" x14ac:dyDescent="0.35">
      <c r="A25" s="59">
        <f t="shared" si="1"/>
        <v>43840</v>
      </c>
      <c r="B25" s="138">
        <v>101138</v>
      </c>
      <c r="C25" s="139">
        <f t="shared" si="2"/>
        <v>300</v>
      </c>
      <c r="D25" s="140">
        <v>15976751</v>
      </c>
      <c r="E25" s="139">
        <f t="shared" si="3"/>
        <v>4099</v>
      </c>
      <c r="F25" s="140">
        <v>28860576</v>
      </c>
      <c r="G25" s="139">
        <f t="shared" si="4"/>
        <v>6541</v>
      </c>
      <c r="H25" s="140">
        <v>12832421</v>
      </c>
      <c r="I25" s="139">
        <f t="shared" si="0"/>
        <v>3003</v>
      </c>
    </row>
    <row r="26" spans="1:9" ht="21" thickTop="1" thickBot="1" x14ac:dyDescent="0.35">
      <c r="A26" s="59">
        <f t="shared" si="1"/>
        <v>43841</v>
      </c>
      <c r="B26" s="138">
        <v>101168</v>
      </c>
      <c r="C26" s="139">
        <f t="shared" si="2"/>
        <v>310</v>
      </c>
      <c r="D26" s="140">
        <v>15980850</v>
      </c>
      <c r="E26" s="139">
        <f t="shared" si="3"/>
        <v>4222</v>
      </c>
      <c r="F26" s="140">
        <v>28867117</v>
      </c>
      <c r="G26" s="139">
        <f t="shared" si="4"/>
        <v>6595</v>
      </c>
      <c r="H26" s="140">
        <v>12835424</v>
      </c>
      <c r="I26" s="139">
        <f t="shared" si="0"/>
        <v>3118</v>
      </c>
    </row>
    <row r="27" spans="1:9" ht="21" thickTop="1" thickBot="1" x14ac:dyDescent="0.35">
      <c r="A27" s="59">
        <f t="shared" si="1"/>
        <v>43842</v>
      </c>
      <c r="B27" s="138">
        <v>101199</v>
      </c>
      <c r="C27" s="139">
        <f t="shared" si="2"/>
        <v>320</v>
      </c>
      <c r="D27" s="140">
        <v>15985072</v>
      </c>
      <c r="E27" s="139">
        <f t="shared" si="3"/>
        <v>4314</v>
      </c>
      <c r="F27" s="140">
        <v>28873712</v>
      </c>
      <c r="G27" s="139">
        <f t="shared" si="4"/>
        <v>6859</v>
      </c>
      <c r="H27" s="140">
        <v>12838542</v>
      </c>
      <c r="I27" s="139">
        <f t="shared" si="0"/>
        <v>3081</v>
      </c>
    </row>
    <row r="28" spans="1:9" ht="21" thickTop="1" thickBot="1" x14ac:dyDescent="0.35">
      <c r="A28" s="59">
        <f t="shared" si="1"/>
        <v>43843</v>
      </c>
      <c r="B28" s="138">
        <v>101231</v>
      </c>
      <c r="C28" s="139">
        <f t="shared" si="2"/>
        <v>330</v>
      </c>
      <c r="D28" s="140">
        <v>15989386</v>
      </c>
      <c r="E28" s="139">
        <f t="shared" si="3"/>
        <v>4563</v>
      </c>
      <c r="F28" s="140">
        <v>28880571</v>
      </c>
      <c r="G28" s="139">
        <f t="shared" si="4"/>
        <v>6847</v>
      </c>
      <c r="H28" s="140">
        <v>12841623</v>
      </c>
      <c r="I28" s="139">
        <f t="shared" si="0"/>
        <v>3367</v>
      </c>
    </row>
    <row r="29" spans="1:9" ht="21" thickTop="1" thickBot="1" x14ac:dyDescent="0.35">
      <c r="A29" s="59">
        <f t="shared" si="1"/>
        <v>43844</v>
      </c>
      <c r="B29" s="138">
        <v>101264</v>
      </c>
      <c r="C29" s="139">
        <f t="shared" si="2"/>
        <v>340</v>
      </c>
      <c r="D29" s="140">
        <v>15993949</v>
      </c>
      <c r="E29" s="139">
        <f t="shared" si="3"/>
        <v>4961</v>
      </c>
      <c r="F29" s="140">
        <v>28887418</v>
      </c>
      <c r="G29" s="139">
        <f t="shared" si="4"/>
        <v>7337</v>
      </c>
      <c r="H29" s="140">
        <v>12844990</v>
      </c>
      <c r="I29" s="139">
        <f t="shared" si="0"/>
        <v>3320</v>
      </c>
    </row>
    <row r="30" spans="1:9" ht="21" thickTop="1" thickBot="1" x14ac:dyDescent="0.35">
      <c r="A30" s="59">
        <f t="shared" si="1"/>
        <v>43845</v>
      </c>
      <c r="B30" s="138">
        <v>101298</v>
      </c>
      <c r="C30" s="139">
        <f t="shared" si="2"/>
        <v>300</v>
      </c>
      <c r="D30" s="140">
        <v>15998910</v>
      </c>
      <c r="E30" s="139">
        <f t="shared" si="3"/>
        <v>4990</v>
      </c>
      <c r="F30" s="140">
        <v>28894755</v>
      </c>
      <c r="G30" s="139">
        <f t="shared" si="4"/>
        <v>7519</v>
      </c>
      <c r="H30" s="140">
        <v>12848310</v>
      </c>
      <c r="I30" s="139">
        <f t="shared" si="0"/>
        <v>3433</v>
      </c>
    </row>
    <row r="31" spans="1:9" ht="21" thickTop="1" thickBot="1" x14ac:dyDescent="0.35">
      <c r="A31" s="59">
        <f>A30+1</f>
        <v>43846</v>
      </c>
      <c r="B31" s="138">
        <v>101328</v>
      </c>
      <c r="C31" s="139">
        <f t="shared" si="2"/>
        <v>300</v>
      </c>
      <c r="D31" s="140">
        <v>16003900</v>
      </c>
      <c r="E31" s="139">
        <f t="shared" si="3"/>
        <v>4730</v>
      </c>
      <c r="F31" s="140">
        <v>28902274</v>
      </c>
      <c r="G31" s="139">
        <f t="shared" si="4"/>
        <v>7447</v>
      </c>
      <c r="H31" s="140">
        <v>12851743</v>
      </c>
      <c r="I31" s="139">
        <f t="shared" si="0"/>
        <v>3330</v>
      </c>
    </row>
    <row r="32" spans="1:9" ht="21" thickTop="1" thickBot="1" x14ac:dyDescent="0.35">
      <c r="A32" s="59">
        <f t="shared" si="1"/>
        <v>43847</v>
      </c>
      <c r="B32" s="138">
        <v>101358</v>
      </c>
      <c r="C32" s="139">
        <f t="shared" si="2"/>
        <v>330</v>
      </c>
      <c r="D32" s="140">
        <v>16008630</v>
      </c>
      <c r="E32" s="139">
        <f t="shared" si="3"/>
        <v>4740</v>
      </c>
      <c r="F32" s="140">
        <v>28909721</v>
      </c>
      <c r="G32" s="139">
        <f t="shared" si="4"/>
        <v>7543</v>
      </c>
      <c r="H32" s="140">
        <v>12855073</v>
      </c>
      <c r="I32" s="139">
        <f t="shared" si="0"/>
        <v>3363</v>
      </c>
    </row>
    <row r="33" spans="1:9" ht="21" thickTop="1" thickBot="1" x14ac:dyDescent="0.35">
      <c r="A33" s="59">
        <f t="shared" si="1"/>
        <v>43848</v>
      </c>
      <c r="B33" s="138">
        <v>101391</v>
      </c>
      <c r="C33" s="139">
        <f t="shared" si="2"/>
        <v>350</v>
      </c>
      <c r="D33" s="140">
        <v>16013370</v>
      </c>
      <c r="E33" s="139">
        <f t="shared" si="3"/>
        <v>4788</v>
      </c>
      <c r="F33" s="140">
        <v>28917264</v>
      </c>
      <c r="G33" s="139">
        <f t="shared" si="4"/>
        <v>7043</v>
      </c>
      <c r="H33" s="140">
        <v>12858436</v>
      </c>
      <c r="I33" s="139">
        <f t="shared" si="0"/>
        <v>3245</v>
      </c>
    </row>
    <row r="34" spans="1:9" ht="21" thickTop="1" thickBot="1" x14ac:dyDescent="0.35">
      <c r="A34" s="59">
        <f t="shared" si="1"/>
        <v>43849</v>
      </c>
      <c r="B34" s="138">
        <v>101426</v>
      </c>
      <c r="C34" s="139">
        <f t="shared" si="2"/>
        <v>360</v>
      </c>
      <c r="D34" s="140">
        <v>16018158</v>
      </c>
      <c r="E34" s="139">
        <f t="shared" si="3"/>
        <v>4431</v>
      </c>
      <c r="F34" s="140">
        <v>28924307</v>
      </c>
      <c r="G34" s="139">
        <f t="shared" si="4"/>
        <v>6886</v>
      </c>
      <c r="H34" s="140">
        <v>12861681</v>
      </c>
      <c r="I34" s="139">
        <f t="shared" si="0"/>
        <v>3194</v>
      </c>
    </row>
    <row r="35" spans="1:9" ht="21" thickTop="1" thickBot="1" x14ac:dyDescent="0.35">
      <c r="A35" s="59">
        <f t="shared" si="1"/>
        <v>43850</v>
      </c>
      <c r="B35" s="138">
        <v>101462</v>
      </c>
      <c r="C35" s="139">
        <f t="shared" si="2"/>
        <v>300</v>
      </c>
      <c r="D35" s="140">
        <v>16022589</v>
      </c>
      <c r="E35" s="139">
        <f t="shared" si="3"/>
        <v>4393</v>
      </c>
      <c r="F35" s="140">
        <v>28931193</v>
      </c>
      <c r="G35" s="139">
        <f t="shared" si="4"/>
        <v>6817</v>
      </c>
      <c r="H35" s="140">
        <v>12864875</v>
      </c>
      <c r="I35" s="139">
        <f t="shared" si="0"/>
        <v>3029</v>
      </c>
    </row>
    <row r="36" spans="1:9" ht="21" thickTop="1" thickBot="1" x14ac:dyDescent="0.35">
      <c r="A36" s="59">
        <f t="shared" si="1"/>
        <v>43851</v>
      </c>
      <c r="B36" s="138">
        <v>101492</v>
      </c>
      <c r="C36" s="139">
        <f t="shared" si="2"/>
        <v>310</v>
      </c>
      <c r="D36" s="140">
        <v>16026982</v>
      </c>
      <c r="E36" s="139">
        <f t="shared" si="3"/>
        <v>4652</v>
      </c>
      <c r="F36" s="140">
        <v>28938010</v>
      </c>
      <c r="G36" s="139">
        <f t="shared" si="4"/>
        <v>7061</v>
      </c>
      <c r="H36" s="140">
        <v>12867904</v>
      </c>
      <c r="I36" s="139">
        <f t="shared" si="0"/>
        <v>3141</v>
      </c>
    </row>
    <row r="37" spans="1:9" ht="21" thickTop="1" thickBot="1" x14ac:dyDescent="0.35">
      <c r="A37" s="59">
        <f t="shared" si="1"/>
        <v>43852</v>
      </c>
      <c r="B37" s="138">
        <v>101523</v>
      </c>
      <c r="C37" s="139">
        <f t="shared" si="2"/>
        <v>360</v>
      </c>
      <c r="D37" s="140">
        <v>16031634</v>
      </c>
      <c r="E37" s="139">
        <f t="shared" si="3"/>
        <v>4637</v>
      </c>
      <c r="F37" s="140">
        <v>28945071</v>
      </c>
      <c r="G37" s="139">
        <f t="shared" si="4"/>
        <v>7211</v>
      </c>
      <c r="H37" s="140">
        <v>12871045</v>
      </c>
      <c r="I37" s="139">
        <f t="shared" si="0"/>
        <v>3187</v>
      </c>
    </row>
    <row r="38" spans="1:9" ht="21" thickTop="1" thickBot="1" x14ac:dyDescent="0.35">
      <c r="A38" s="59">
        <f t="shared" si="1"/>
        <v>43853</v>
      </c>
      <c r="B38" s="138">
        <v>101559</v>
      </c>
      <c r="C38" s="139">
        <f t="shared" si="2"/>
        <v>310</v>
      </c>
      <c r="D38" s="140">
        <v>16036271</v>
      </c>
      <c r="E38" s="139">
        <f t="shared" si="3"/>
        <v>4450</v>
      </c>
      <c r="F38" s="140">
        <v>28952282</v>
      </c>
      <c r="G38" s="139">
        <f t="shared" si="4"/>
        <v>7066</v>
      </c>
      <c r="H38" s="140">
        <v>12874232</v>
      </c>
      <c r="I38" s="139">
        <f t="shared" si="0"/>
        <v>3216</v>
      </c>
    </row>
    <row r="39" spans="1:9" ht="21" thickTop="1" thickBot="1" x14ac:dyDescent="0.35">
      <c r="A39" s="59">
        <f t="shared" si="1"/>
        <v>43854</v>
      </c>
      <c r="B39" s="138">
        <v>101590</v>
      </c>
      <c r="C39" s="139">
        <f t="shared" si="2"/>
        <v>330</v>
      </c>
      <c r="D39" s="140">
        <v>16040721</v>
      </c>
      <c r="E39" s="139">
        <f t="shared" si="3"/>
        <v>4301</v>
      </c>
      <c r="F39" s="140">
        <v>28959348</v>
      </c>
      <c r="G39" s="139">
        <f t="shared" si="4"/>
        <v>6724</v>
      </c>
      <c r="H39" s="140">
        <v>12877448</v>
      </c>
      <c r="I39" s="139">
        <f t="shared" si="0"/>
        <v>3105</v>
      </c>
    </row>
    <row r="40" spans="1:9" ht="21" thickTop="1" thickBot="1" x14ac:dyDescent="0.35">
      <c r="A40" s="59">
        <f t="shared" si="1"/>
        <v>43855</v>
      </c>
      <c r="B40" s="138">
        <v>101623</v>
      </c>
      <c r="C40" s="139">
        <f t="shared" si="2"/>
        <v>320</v>
      </c>
      <c r="D40" s="140">
        <v>16045022</v>
      </c>
      <c r="E40" s="139">
        <f t="shared" si="3"/>
        <v>3786</v>
      </c>
      <c r="F40" s="140">
        <v>28966072</v>
      </c>
      <c r="G40" s="139">
        <f t="shared" si="4"/>
        <v>6799</v>
      </c>
      <c r="H40" s="140">
        <v>12880553</v>
      </c>
      <c r="I40" s="139">
        <f t="shared" si="0"/>
        <v>2912</v>
      </c>
    </row>
    <row r="41" spans="1:9" ht="21" thickTop="1" thickBot="1" x14ac:dyDescent="0.35">
      <c r="A41" s="59">
        <f t="shared" si="1"/>
        <v>43856</v>
      </c>
      <c r="B41" s="138">
        <v>101655</v>
      </c>
      <c r="C41" s="139">
        <f t="shared" si="2"/>
        <v>310</v>
      </c>
      <c r="D41" s="140">
        <v>16048808</v>
      </c>
      <c r="E41" s="139">
        <f t="shared" si="3"/>
        <v>4098</v>
      </c>
      <c r="F41" s="140">
        <v>28972871</v>
      </c>
      <c r="G41" s="139">
        <f t="shared" si="4"/>
        <v>6046</v>
      </c>
      <c r="H41" s="140">
        <v>12883465</v>
      </c>
      <c r="I41" s="139">
        <f t="shared" si="0"/>
        <v>2763</v>
      </c>
    </row>
    <row r="42" spans="1:9" ht="21" thickTop="1" thickBot="1" x14ac:dyDescent="0.35">
      <c r="A42" s="59">
        <f t="shared" si="1"/>
        <v>43857</v>
      </c>
      <c r="B42" s="138">
        <v>101686</v>
      </c>
      <c r="C42" s="139">
        <f t="shared" si="2"/>
        <v>300</v>
      </c>
      <c r="D42" s="140">
        <v>16052906</v>
      </c>
      <c r="E42" s="139">
        <f t="shared" si="3"/>
        <v>3972</v>
      </c>
      <c r="F42" s="140">
        <v>28978917</v>
      </c>
      <c r="G42" s="139">
        <f t="shared" si="4"/>
        <v>6075</v>
      </c>
      <c r="H42" s="140">
        <v>12886228</v>
      </c>
      <c r="I42" s="139">
        <f t="shared" si="0"/>
        <v>2636</v>
      </c>
    </row>
    <row r="43" spans="1:9" ht="21" thickTop="1" thickBot="1" x14ac:dyDescent="0.35">
      <c r="A43" s="59">
        <f t="shared" si="1"/>
        <v>43858</v>
      </c>
      <c r="B43" s="138">
        <v>101716</v>
      </c>
      <c r="C43" s="139">
        <f t="shared" si="2"/>
        <v>340</v>
      </c>
      <c r="D43" s="140">
        <v>16056878</v>
      </c>
      <c r="E43" s="139">
        <f t="shared" si="3"/>
        <v>4606</v>
      </c>
      <c r="F43" s="140">
        <v>28984992</v>
      </c>
      <c r="G43" s="139">
        <f t="shared" si="4"/>
        <v>6072</v>
      </c>
      <c r="H43" s="140">
        <v>12888864</v>
      </c>
      <c r="I43" s="139">
        <f t="shared" si="0"/>
        <v>2642</v>
      </c>
    </row>
    <row r="44" spans="1:9" ht="21" thickTop="1" thickBot="1" x14ac:dyDescent="0.35">
      <c r="A44" s="59">
        <f t="shared" si="1"/>
        <v>43859</v>
      </c>
      <c r="B44" s="138">
        <v>101750</v>
      </c>
      <c r="C44" s="139">
        <f>IF(B45&lt;B44,0,B45-B44)*10</f>
        <v>300</v>
      </c>
      <c r="D44" s="140">
        <v>16061484</v>
      </c>
      <c r="E44" s="139">
        <f>IF(D45&lt;D44,0,D45-D44)</f>
        <v>3534</v>
      </c>
      <c r="F44" s="140">
        <v>28991064</v>
      </c>
      <c r="G44" s="139">
        <f>IF(F45&lt;F44,0,F45-F44)</f>
        <v>5963</v>
      </c>
      <c r="H44" s="140">
        <v>12891506</v>
      </c>
      <c r="I44" s="139">
        <f t="shared" si="0"/>
        <v>2763</v>
      </c>
    </row>
    <row r="45" spans="1:9" ht="21" thickTop="1" thickBot="1" x14ac:dyDescent="0.35">
      <c r="A45" s="59">
        <f t="shared" si="1"/>
        <v>43860</v>
      </c>
      <c r="B45" s="138">
        <v>101780</v>
      </c>
      <c r="C45" s="139">
        <f>IF(B46&lt;B45,0,B46-B45)*10</f>
        <v>300</v>
      </c>
      <c r="D45" s="140">
        <v>16065018</v>
      </c>
      <c r="E45" s="139">
        <f>IF(D46&lt;D45,0,D46-D45)</f>
        <v>3365</v>
      </c>
      <c r="F45" s="140">
        <v>28997027</v>
      </c>
      <c r="G45" s="139">
        <f>IF(F46&lt;F45,0,F46-F45)</f>
        <v>6122</v>
      </c>
      <c r="H45" s="140">
        <v>12894269</v>
      </c>
      <c r="I45" s="139">
        <f t="shared" si="0"/>
        <v>2740</v>
      </c>
    </row>
    <row r="46" spans="1:9" ht="21" thickTop="1" thickBot="1" x14ac:dyDescent="0.35">
      <c r="A46" s="59">
        <f t="shared" si="1"/>
        <v>43861</v>
      </c>
      <c r="B46" s="138">
        <v>101810</v>
      </c>
      <c r="C46" s="139">
        <f>IF(B47&lt;B46,0,B47-B46)*10</f>
        <v>310</v>
      </c>
      <c r="D46" s="140">
        <v>16068383</v>
      </c>
      <c r="E46" s="139">
        <f>IF(D47&lt;D46,0,D47-D46)</f>
        <v>3857</v>
      </c>
      <c r="F46" s="140">
        <v>29003149</v>
      </c>
      <c r="G46" s="139">
        <f>IF(F47&lt;F46,0,F47-F46)</f>
        <v>6317</v>
      </c>
      <c r="H46" s="140">
        <v>12897009</v>
      </c>
      <c r="I46" s="139">
        <f t="shared" si="0"/>
        <v>2820</v>
      </c>
    </row>
    <row r="47" spans="1:9" ht="21" thickTop="1" thickBot="1" x14ac:dyDescent="0.35">
      <c r="A47" s="59">
        <f t="shared" si="1"/>
        <v>43862</v>
      </c>
      <c r="B47" s="138">
        <v>101841</v>
      </c>
      <c r="C47" s="139">
        <f>IF(B48&lt;B47,0,B48-B47)*10</f>
        <v>0</v>
      </c>
      <c r="D47" s="140">
        <v>16072240</v>
      </c>
      <c r="E47" s="139">
        <f>IF(D48&lt;D47,0,D48-D47)</f>
        <v>0</v>
      </c>
      <c r="F47" s="140">
        <v>29009466</v>
      </c>
      <c r="G47" s="139">
        <f>IF(F48&lt;F47,0,F48-F47)</f>
        <v>0</v>
      </c>
      <c r="H47" s="140">
        <v>12899829</v>
      </c>
      <c r="I47" s="139">
        <f>IF(H48&lt;H47,0,H48-H47)</f>
        <v>0</v>
      </c>
    </row>
    <row r="48" spans="1:9" ht="21.75" customHeight="1" thickTop="1" thickBot="1" x14ac:dyDescent="0.35">
      <c r="A48" s="61"/>
      <c r="C48" s="69">
        <f>SUM(C16:C46)</f>
        <v>10130</v>
      </c>
      <c r="E48" s="69">
        <f>SUM(E16:E46)</f>
        <v>133736</v>
      </c>
      <c r="G48" s="284">
        <f>SUM(G16:G46)</f>
        <v>207948</v>
      </c>
      <c r="I48" s="69">
        <f>SUM(I16:I46)</f>
        <v>94515</v>
      </c>
    </row>
    <row r="49" spans="1:8" ht="24" customHeight="1" thickTop="1" x14ac:dyDescent="0.3">
      <c r="A49" s="61"/>
      <c r="F49" s="85"/>
      <c r="G49" s="86"/>
      <c r="H49" s="85"/>
    </row>
    <row r="50" spans="1:8" ht="19.5" x14ac:dyDescent="0.2">
      <c r="A50" s="49"/>
      <c r="F50" s="85"/>
      <c r="G50" s="86"/>
      <c r="H50" s="85"/>
    </row>
    <row r="51" spans="1:8" ht="19.5" x14ac:dyDescent="0.2">
      <c r="A51" s="49"/>
      <c r="F51" s="85"/>
      <c r="G51" s="86"/>
      <c r="H51" s="85"/>
    </row>
    <row r="52" spans="1:8" ht="19.5" x14ac:dyDescent="0.2">
      <c r="F52" s="85"/>
      <c r="G52" s="86"/>
      <c r="H52" s="85"/>
    </row>
    <row r="53" spans="1:8" ht="19.5" x14ac:dyDescent="0.2">
      <c r="F53" s="85"/>
      <c r="G53" s="86"/>
      <c r="H53" s="85"/>
    </row>
    <row r="54" spans="1:8" ht="19.5" x14ac:dyDescent="0.2">
      <c r="F54" s="85"/>
      <c r="G54" s="86"/>
      <c r="H54" s="85"/>
    </row>
    <row r="55" spans="1:8" ht="19.5" x14ac:dyDescent="0.2">
      <c r="F55" s="85"/>
      <c r="G55" s="86"/>
      <c r="H55" s="85"/>
    </row>
    <row r="56" spans="1:8" ht="19.5" x14ac:dyDescent="0.2">
      <c r="F56" s="85"/>
      <c r="G56" s="86"/>
      <c r="H56" s="85"/>
    </row>
    <row r="57" spans="1:8" ht="19.5" x14ac:dyDescent="0.2">
      <c r="F57" s="85"/>
      <c r="G57" s="86"/>
      <c r="H57" s="85"/>
    </row>
    <row r="58" spans="1:8" ht="19.5" x14ac:dyDescent="0.2">
      <c r="F58" s="85"/>
      <c r="G58" s="86">
        <f>IF(F59&lt;F58,0,F59-F58)</f>
        <v>0</v>
      </c>
      <c r="H58" s="85"/>
    </row>
    <row r="59" spans="1:8" x14ac:dyDescent="0.2">
      <c r="F59" s="85"/>
      <c r="G59" s="85"/>
      <c r="H59" s="85"/>
    </row>
    <row r="60" spans="1:8" x14ac:dyDescent="0.2">
      <c r="F60" s="85"/>
      <c r="G60" s="85"/>
      <c r="H60" s="85"/>
    </row>
    <row r="61" spans="1:8" x14ac:dyDescent="0.2">
      <c r="F61" s="85"/>
      <c r="G61" s="85"/>
      <c r="H61" s="85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78" priority="2933" stopIfTrue="1" operator="lessThanOrEqual">
      <formula>0</formula>
    </cfRule>
  </conditionalFormatting>
  <conditionalFormatting sqref="C48">
    <cfRule type="cellIs" dxfId="61" priority="31" stopIfTrue="1" operator="lessThanOrEqual">
      <formula>0</formula>
    </cfRule>
  </conditionalFormatting>
  <conditionalFormatting sqref="I48">
    <cfRule type="cellIs" dxfId="59" priority="30" stopIfTrue="1" operator="lessThanOrEqual">
      <formula>0</formula>
    </cfRule>
  </conditionalFormatting>
  <conditionalFormatting sqref="C48">
    <cfRule type="cellIs" dxfId="57" priority="29" stopIfTrue="1" operator="lessThanOrEqual">
      <formula>0</formula>
    </cfRule>
  </conditionalFormatting>
  <conditionalFormatting sqref="C48">
    <cfRule type="cellIs" dxfId="55" priority="28" stopIfTrue="1" operator="lessThanOrEqual">
      <formula>0</formula>
    </cfRule>
  </conditionalFormatting>
  <conditionalFormatting sqref="G48">
    <cfRule type="cellIs" dxfId="53" priority="27" stopIfTrue="1" operator="lessThanOrEqual">
      <formula>0</formula>
    </cfRule>
  </conditionalFormatting>
  <conditionalFormatting sqref="E48">
    <cfRule type="cellIs" dxfId="51" priority="26" stopIfTrue="1" operator="lessThanOrEqual">
      <formula>0</formula>
    </cfRule>
  </conditionalFormatting>
  <conditionalFormatting sqref="C48">
    <cfRule type="cellIs" dxfId="49" priority="25" stopIfTrue="1" operator="lessThanOrEqual">
      <formula>0</formula>
    </cfRule>
  </conditionalFormatting>
  <conditionalFormatting sqref="C45:C47">
    <cfRule type="cellIs" dxfId="47" priority="24" stopIfTrue="1" operator="lessThanOrEqual">
      <formula>0</formula>
    </cfRule>
  </conditionalFormatting>
  <conditionalFormatting sqref="C45:C47">
    <cfRule type="cellIs" dxfId="45" priority="23" stopIfTrue="1" operator="lessThanOrEqual">
      <formula>0</formula>
    </cfRule>
  </conditionalFormatting>
  <conditionalFormatting sqref="C45:C47">
    <cfRule type="cellIs" dxfId="43" priority="22" stopIfTrue="1" operator="lessThanOrEqual">
      <formula>0</formula>
    </cfRule>
  </conditionalFormatting>
  <conditionalFormatting sqref="C45:C47">
    <cfRule type="cellIs" dxfId="41" priority="21" stopIfTrue="1" operator="lessThanOrEqual">
      <formula>0</formula>
    </cfRule>
  </conditionalFormatting>
  <conditionalFormatting sqref="C9:C24 C30:C36 C38:C42">
    <cfRule type="cellIs" dxfId="39" priority="20" stopIfTrue="1" operator="lessThanOrEqual">
      <formula>0</formula>
    </cfRule>
  </conditionalFormatting>
  <conditionalFormatting sqref="C9:C24 C30:C36 C38:C42">
    <cfRule type="cellIs" dxfId="37" priority="19" stopIfTrue="1" operator="lessThanOrEqual">
      <formula>0</formula>
    </cfRule>
  </conditionalFormatting>
  <conditionalFormatting sqref="C9:C24 C30:C36 C38:C42">
    <cfRule type="cellIs" dxfId="35" priority="18" stopIfTrue="1" operator="lessThanOrEqual">
      <formula>0</formula>
    </cfRule>
  </conditionalFormatting>
  <conditionalFormatting sqref="C9:C24 C30:C36 C38:C42">
    <cfRule type="cellIs" dxfId="33" priority="17" stopIfTrue="1" operator="lessThanOrEqual">
      <formula>0</formula>
    </cfRule>
  </conditionalFormatting>
  <conditionalFormatting sqref="C25:C29">
    <cfRule type="cellIs" dxfId="31" priority="16" stopIfTrue="1" operator="lessThanOrEqual">
      <formula>0</formula>
    </cfRule>
  </conditionalFormatting>
  <conditionalFormatting sqref="C25:C29">
    <cfRule type="cellIs" dxfId="29" priority="15" stopIfTrue="1" operator="lessThanOrEqual">
      <formula>0</formula>
    </cfRule>
  </conditionalFormatting>
  <conditionalFormatting sqref="C25:C29">
    <cfRule type="cellIs" dxfId="27" priority="14" stopIfTrue="1" operator="lessThanOrEqual">
      <formula>0</formula>
    </cfRule>
  </conditionalFormatting>
  <conditionalFormatting sqref="C25:C29">
    <cfRule type="cellIs" dxfId="25" priority="13" stopIfTrue="1" operator="lessThanOrEqual">
      <formula>0</formula>
    </cfRule>
  </conditionalFormatting>
  <conditionalFormatting sqref="C37">
    <cfRule type="cellIs" dxfId="23" priority="12" stopIfTrue="1" operator="lessThanOrEqual">
      <formula>0</formula>
    </cfRule>
  </conditionalFormatting>
  <conditionalFormatting sqref="C37">
    <cfRule type="cellIs" dxfId="21" priority="11" stopIfTrue="1" operator="lessThanOrEqual">
      <formula>0</formula>
    </cfRule>
  </conditionalFormatting>
  <conditionalFormatting sqref="C37">
    <cfRule type="cellIs" dxfId="19" priority="10" stopIfTrue="1" operator="lessThanOrEqual">
      <formula>0</formula>
    </cfRule>
  </conditionalFormatting>
  <conditionalFormatting sqref="C37">
    <cfRule type="cellIs" dxfId="17" priority="9" stopIfTrue="1" operator="lessThanOrEqual">
      <formula>0</formula>
    </cfRule>
  </conditionalFormatting>
  <conditionalFormatting sqref="C44">
    <cfRule type="cellIs" dxfId="15" priority="8" stopIfTrue="1" operator="lessThanOrEqual">
      <formula>0</formula>
    </cfRule>
  </conditionalFormatting>
  <conditionalFormatting sqref="C44">
    <cfRule type="cellIs" dxfId="13" priority="7" stopIfTrue="1" operator="lessThanOrEqual">
      <formula>0</formula>
    </cfRule>
  </conditionalFormatting>
  <conditionalFormatting sqref="C44">
    <cfRule type="cellIs" dxfId="11" priority="6" stopIfTrue="1" operator="lessThanOrEqual">
      <formula>0</formula>
    </cfRule>
  </conditionalFormatting>
  <conditionalFormatting sqref="C44">
    <cfRule type="cellIs" dxfId="9" priority="5" stopIfTrue="1" operator="lessThanOrEqual">
      <formula>0</formula>
    </cfRule>
  </conditionalFormatting>
  <conditionalFormatting sqref="C43">
    <cfRule type="cellIs" dxfId="7" priority="4" stopIfTrue="1" operator="lessThanOrEqual">
      <formula>0</formula>
    </cfRule>
  </conditionalFormatting>
  <conditionalFormatting sqref="C43">
    <cfRule type="cellIs" dxfId="5" priority="3" stopIfTrue="1" operator="lessThanOrEqual">
      <formula>0</formula>
    </cfRule>
  </conditionalFormatting>
  <conditionalFormatting sqref="C43">
    <cfRule type="cellIs" dxfId="3" priority="2" stopIfTrue="1" operator="lessThanOrEqual">
      <formula>0</formula>
    </cfRule>
  </conditionalFormatting>
  <conditionalFormatting sqref="C4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2020-01-01T12:51:24Z</dcterms:modified>
</cp:coreProperties>
</file>