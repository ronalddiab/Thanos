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7640" tabRatio="598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2" l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D19" i="2" l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T19" i="2" l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14" i="2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N14" i="2"/>
  <c r="L14" i="2"/>
  <c r="J14" i="2"/>
  <c r="H14" i="2"/>
  <c r="M26" i="2" l="1"/>
  <c r="R13" i="2"/>
  <c r="J13" i="2"/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AC31" i="8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G15" i="2"/>
  <c r="Q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<sst xmlns="http://schemas.openxmlformats.org/spreadsheetml/2006/main" count="445" uniqueCount="150">
  <si>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</si>
  <si>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</si>
  <si>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</si>
  <si>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</si>
  <si>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</si>
  <si>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</si>
  <si>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</si>
  <si>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</si>
  <si>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</si>
  <si>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</si>
  <si>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</si>
  <si>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</si>
  <si>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</si>
  <si>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</si>
  <si>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</si>
  <si>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</si>
  <si>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</si>
  <si>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</si>
  <si>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</si>
  <si>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</si>
  <si>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</si>
  <si>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</si>
  <si>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</si>
  <si>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</si>
  <si>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</si>
  <si>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</si>
  <si>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</si>
  <si>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</si>
  <si>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</si>
  <si>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</si>
  <si>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</si>
  <si>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</si>
  <si>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</si>
  <si>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</si>
  <si>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</si>
  <si>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</si>
  <si>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</si>
  <si>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</si>
  <si>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</si>
  <si>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</si>
  <si>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</si>
  <si>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</si>
  <si>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</si>
  <si>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</si>
  <si>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</si>
  <si>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</si>
  <si>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</si>
  <si>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</si>
  <si>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</si>
  <si>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</si>
  <si>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</si>
  <si>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</si>
  <si>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</si>
  <si>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</si>
  <si>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</si>
  <si>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</si>
  <si>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</si>
  <si>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</si>
  <si>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</si>
  <si>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</si>
  <si>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</si>
  <si>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</si>
  <si>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</si>
  <si>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</si>
  <si>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</si>
  <si>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</si>
  <si>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</si>
  <si>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</si>
  <si>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</si>
  <si>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</si>
  <si>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</si>
  <si>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</si>
  <si>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</si>
  <si>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</si>
  <si>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</si>
  <si>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</si>
  <si>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</si>
  <si>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</si>
  <si>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</si>
  <si>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</si>
  <si>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</si>
  <si>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</si>
  <si>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</si>
  <si>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</si>
  <si>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</si>
  <si>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</si>
  <si>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</si>
  <si>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</si>
  <si>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</si>
  <si>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</si>
  <si>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</si>
  <si>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</si>
  <si>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</si>
  <si>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</si>
  <si>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</si>
  <si>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</si>
  <si>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</si>
  <si>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</si>
  <si>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</si>
  <si>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</si>
  <si>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</si>
  <si>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</si>
  <si>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</si>
  <si>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</si>
  <si>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</si>
  <si>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</si>
  <si>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</si>
  <si>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</si>
  <si>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</si>
  <si>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</si>
  <si>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</si>
  <si>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</si>
  <si>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</si>
  <si>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</si>
  <si>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</si>
  <si>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</si>
  <si>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</si>
  <si>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</si>
  <si>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</si>
  <si>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</si>
  <si>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</si>
  <si>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</si>
  <si>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</si>
  <si>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</si>
  <si>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</si>
  <si>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</si>
  <si>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</si>
  <si>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</si>
  <si>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</si>
  <si>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</si>
  <si>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</si>
  <si>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</si>
  <si>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</si>
  <si>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</si>
  <si>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</si>
  <si>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</si>
  <si>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</si>
  <si>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</si>
  <si>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</si>
  <si>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</si>
  <si>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</si>
  <si>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</si>
  <si>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</si>
  <si>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</si>
  <si>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</si>
  <si>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</si>
  <si>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</si>
  <si>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</si>
  <si>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</si>
  <si>
    <t>Energy Monthly Statement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</si>
</sst>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C35" sqref="C35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9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9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9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48001.162227999994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9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67258.54722800001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9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9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9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64139.256304000002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167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9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90553.188407999987</v>
      </c>
      <c r="F10" s="146">
        <v>1.27</v>
      </c>
      <c r="G10" s="42">
        <f>Gas!C11*0.9147</f>
        <v>1838.547</v>
      </c>
      <c r="H10" s="147">
        <v>3.65</v>
      </c>
      <c r="I10" s="149">
        <f>Submetering!H10+Submetering!AD10+Submetering!AE10</f>
        <v>846</v>
      </c>
      <c r="J10" s="149">
        <v>10.029999999999999</v>
      </c>
      <c r="K10" s="42">
        <f>ELECT.!B11</f>
        <v>200</v>
      </c>
    </row>
    <row r="11" spans="1:14" x14ac:dyDescent="0.2">
      <c r="A11" s="53" t="s">
        <v>53</v>
      </c>
      <c r="B11" s="58">
        <f t="shared" si="0"/>
        <v>10</v>
      </c>
      <c r="C11" s="58">
        <v>9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70032.419624000002</v>
      </c>
      <c r="F11" s="146">
        <v>1.27</v>
      </c>
      <c r="G11" s="42">
        <f>Gas!C12*0.9147</f>
        <v>1909.8935999999999</v>
      </c>
      <c r="H11" s="147">
        <v>3.65</v>
      </c>
      <c r="I11" s="149">
        <f>Submetering!H11+Submetering!AD11+Submetering!AE11</f>
        <v>846</v>
      </c>
      <c r="J11" s="149">
        <v>10.029999999999999</v>
      </c>
      <c r="K11" s="42">
        <f>ELECT.!B12</f>
        <v>220</v>
      </c>
    </row>
    <row r="12" spans="1:14" x14ac:dyDescent="0.2">
      <c r="A12" s="53" t="s">
        <v>53</v>
      </c>
      <c r="B12" s="58">
        <f t="shared" si="0"/>
        <v>11</v>
      </c>
      <c r="C12" s="58">
        <v>9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71341.768108000004</v>
      </c>
      <c r="F12" s="146">
        <v>1.27</v>
      </c>
      <c r="G12" s="42">
        <f>Gas!C13*0.9147</f>
        <v>2452.3107</v>
      </c>
      <c r="H12" s="147">
        <v>3.65</v>
      </c>
      <c r="I12" s="149">
        <f>Submetering!H12+Submetering!AD12+Submetering!AE12</f>
        <v>596</v>
      </c>
      <c r="J12" s="149">
        <v>10.029999999999999</v>
      </c>
      <c r="K12" s="42">
        <f>ELECT.!B13</f>
        <v>147</v>
      </c>
    </row>
    <row r="13" spans="1:14" x14ac:dyDescent="0.2">
      <c r="A13" s="53" t="s">
        <v>53</v>
      </c>
      <c r="B13" s="58">
        <f t="shared" si="0"/>
        <v>12</v>
      </c>
      <c r="C13" s="58">
        <v>9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43504.085191999999</v>
      </c>
      <c r="F13" s="146">
        <v>1.27</v>
      </c>
      <c r="G13" s="42">
        <f>Gas!C14*0.9147</f>
        <v>1998.6195</v>
      </c>
      <c r="H13" s="147">
        <v>3.65</v>
      </c>
      <c r="I13" s="149">
        <f>Submetering!H13+Submetering!AD13+Submetering!AE13</f>
        <v>1116</v>
      </c>
      <c r="J13" s="149">
        <v>10.029999999999999</v>
      </c>
      <c r="K13" s="42">
        <f>ELECT.!B14</f>
        <v>150</v>
      </c>
    </row>
    <row r="14" spans="1:14" x14ac:dyDescent="0.2">
      <c r="A14" s="53" t="s">
        <v>53</v>
      </c>
      <c r="B14" s="58">
        <f t="shared" si="0"/>
        <v>13</v>
      </c>
      <c r="C14" s="58">
        <v>9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80717.927903999996</v>
      </c>
      <c r="F14" s="146">
        <v>1.27</v>
      </c>
      <c r="G14" s="42">
        <f>Gas!C15*0.9147</f>
        <v>2022.4016999999999</v>
      </c>
      <c r="H14" s="147">
        <v>3.65</v>
      </c>
      <c r="I14" s="149">
        <f>Submetering!H14+Submetering!AD14+Submetering!AE14</f>
        <v>876</v>
      </c>
      <c r="J14" s="149">
        <v>10.029999999999999</v>
      </c>
      <c r="K14" s="42">
        <f>ELECT.!B15</f>
        <v>182</v>
      </c>
    </row>
    <row r="15" spans="1:14" x14ac:dyDescent="0.2">
      <c r="A15" s="53" t="s">
        <v>53</v>
      </c>
      <c r="B15" s="58">
        <f t="shared" si="0"/>
        <v>14</v>
      </c>
      <c r="C15" s="58">
        <v>9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56576.422567999994</v>
      </c>
      <c r="F15" s="146">
        <v>1.27</v>
      </c>
      <c r="G15" s="42">
        <f>Gas!C16*0.9147</f>
        <v>2015.0840999999998</v>
      </c>
      <c r="H15" s="147">
        <v>3.65</v>
      </c>
      <c r="I15" s="149">
        <f>Submetering!H15+Submetering!AD15+Submetering!AE15</f>
        <v>806</v>
      </c>
      <c r="J15" s="149">
        <v>10.029999999999999</v>
      </c>
      <c r="K15" s="42">
        <f>ELECT.!B16</f>
        <v>202</v>
      </c>
    </row>
    <row r="16" spans="1:14" x14ac:dyDescent="0.2">
      <c r="A16" s="53" t="s">
        <v>53</v>
      </c>
      <c r="B16" s="58">
        <f t="shared" si="0"/>
        <v>15</v>
      </c>
      <c r="C16" s="58">
        <v>9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59759.852443999996</v>
      </c>
      <c r="F16" s="146">
        <v>1.27</v>
      </c>
      <c r="G16" s="42">
        <f>Gas!C17*0.9147</f>
        <v>1968.4343999999999</v>
      </c>
      <c r="H16" s="147">
        <v>3.65</v>
      </c>
      <c r="I16" s="149">
        <f>Submetering!H16+Submetering!AD16+Submetering!AE16</f>
        <v>806</v>
      </c>
      <c r="J16" s="149">
        <v>10.029999999999999</v>
      </c>
      <c r="K16" s="42">
        <f>ELECT.!B17</f>
        <v>255</v>
      </c>
    </row>
    <row r="17" spans="1:13" x14ac:dyDescent="0.2">
      <c r="A17" s="53" t="s">
        <v>53</v>
      </c>
      <c r="B17" s="58">
        <f t="shared" si="0"/>
        <v>16</v>
      </c>
      <c r="C17" s="58">
        <v>9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86322.101556000009</v>
      </c>
      <c r="F17" s="146">
        <v>1.27</v>
      </c>
      <c r="G17" s="42">
        <f>Gas!C18*0.9147</f>
        <v>2025.1458</v>
      </c>
      <c r="H17" s="147">
        <v>3.65</v>
      </c>
      <c r="I17" s="149">
        <f>Submetering!H17+Submetering!AD17+Submetering!AE17</f>
        <v>886.00000000000011</v>
      </c>
      <c r="J17" s="149">
        <v>10.029999999999999</v>
      </c>
      <c r="K17" s="42">
        <f>ELECT.!B18</f>
        <v>274</v>
      </c>
    </row>
    <row r="18" spans="1:13" x14ac:dyDescent="0.2">
      <c r="A18" s="53" t="s">
        <v>53</v>
      </c>
      <c r="B18" s="58">
        <f t="shared" si="0"/>
        <v>17</v>
      </c>
      <c r="C18" s="58">
        <v>9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9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9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9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9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9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9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9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9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9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9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9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9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C39" sqref="C39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9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9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9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9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9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0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9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9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9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>
        <f>ELECT.!F10</f>
        <v>14902</v>
      </c>
      <c r="J9" s="42">
        <f>ELECT.!H10</f>
        <v>52395</v>
      </c>
      <c r="K9" s="42">
        <f>ELECT.!K10</f>
        <v>6603</v>
      </c>
      <c r="L9" s="42">
        <f>ELECT.!M10</f>
        <v>4848</v>
      </c>
      <c r="M9" s="42">
        <f>ELECT.!O10</f>
        <v>1890</v>
      </c>
      <c r="N9" s="42">
        <f>ELECT.!Q10</f>
        <v>12046</v>
      </c>
      <c r="O9" s="42">
        <f>ELECT.!S10</f>
        <v>10192</v>
      </c>
      <c r="P9" s="42">
        <f>ELECT.!W10*2</f>
        <v>22764</v>
      </c>
      <c r="Q9" s="42">
        <f>ELECT.!D10</f>
        <v>800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167</v>
      </c>
      <c r="Y9" s="40">
        <f t="shared" si="0"/>
        <v>8954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9</v>
      </c>
      <c r="D10" s="58">
        <v>2021</v>
      </c>
      <c r="E10" s="42">
        <f>Water!C11</f>
        <v>1040</v>
      </c>
      <c r="F10" s="42">
        <f>Water!E11</f>
        <v>0</v>
      </c>
      <c r="G10" s="42">
        <f>Water!G11</f>
        <v>515.70000000000005</v>
      </c>
      <c r="H10" s="42">
        <f>Water!I11</f>
        <v>4.1040000000000001</v>
      </c>
      <c r="I10" s="42">
        <f>ELECT.!F11</f>
        <v>21083</v>
      </c>
      <c r="J10" s="42">
        <f>ELECT.!H11</f>
        <v>73078</v>
      </c>
      <c r="K10" s="42">
        <f>ELECT.!K11</f>
        <v>7507</v>
      </c>
      <c r="L10" s="42">
        <f>ELECT.!M11</f>
        <v>6845</v>
      </c>
      <c r="M10" s="42">
        <f>ELECT.!O11</f>
        <v>12018</v>
      </c>
      <c r="N10" s="42">
        <f>ELECT.!Q11</f>
        <v>17242</v>
      </c>
      <c r="O10" s="42">
        <f>ELECT.!S11</f>
        <v>14518</v>
      </c>
      <c r="P10" s="42">
        <f>ELECT.!W11*2</f>
        <v>30944</v>
      </c>
      <c r="Q10" s="42">
        <f>ELECT.!D11</f>
        <v>960</v>
      </c>
      <c r="R10" s="43">
        <f>BTU!C11</f>
        <v>14.138999999999214</v>
      </c>
      <c r="S10" s="43">
        <f>BTU!F11</f>
        <v>3.2950000000000728</v>
      </c>
      <c r="T10" s="43">
        <f>BTU!I11</f>
        <v>10</v>
      </c>
      <c r="U10" s="43">
        <f>BTU!O11</f>
        <v>1.9919999999997344</v>
      </c>
      <c r="V10" s="43">
        <f>BTU!L11</f>
        <v>1.9400000000005093</v>
      </c>
      <c r="W10" s="43">
        <f>BTU!R11</f>
        <v>2.3900000000003274</v>
      </c>
      <c r="X10" s="40">
        <f>ELECT.!B11</f>
        <v>200</v>
      </c>
      <c r="Y10" s="40">
        <f t="shared" si="0"/>
        <v>5087</v>
      </c>
      <c r="Z10">
        <f>'Mall, Citadel, Rotana'!C11+'Mall, Citadel, Rotana'!E11+'Mall, Citadel, Rotana'!G11+'Mall, Citadel, Rotana'!I11</f>
        <v>1562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110.9618928</v>
      </c>
      <c r="AE10" s="40">
        <f t="shared" si="2"/>
        <v>730.93410719999997</v>
      </c>
    </row>
    <row r="11" spans="1:31" x14ac:dyDescent="0.2">
      <c r="A11" s="53" t="s">
        <v>53</v>
      </c>
      <c r="B11" s="58">
        <f t="shared" si="3"/>
        <v>10</v>
      </c>
      <c r="C11" s="58">
        <v>9</v>
      </c>
      <c r="D11" s="58">
        <v>2021</v>
      </c>
      <c r="E11" s="42">
        <f>Water!C12</f>
        <v>1040</v>
      </c>
      <c r="F11" s="42">
        <f>Water!E12</f>
        <v>0</v>
      </c>
      <c r="G11" s="42">
        <f>Water!G12</f>
        <v>499.5</v>
      </c>
      <c r="H11" s="42">
        <f>Water!I12</f>
        <v>4.2119999999999997</v>
      </c>
      <c r="I11" s="42">
        <f>ELECT.!F12</f>
        <v>16340</v>
      </c>
      <c r="J11" s="42">
        <f>ELECT.!H12</f>
        <v>56440</v>
      </c>
      <c r="K11" s="42">
        <f>ELECT.!K12</f>
        <v>5623</v>
      </c>
      <c r="L11" s="42">
        <f>ELECT.!M12</f>
        <v>5250</v>
      </c>
      <c r="M11" s="42">
        <f>ELECT.!O12</f>
        <v>10848</v>
      </c>
      <c r="N11" s="42">
        <f>ELECT.!Q12</f>
        <v>12942</v>
      </c>
      <c r="O11" s="42">
        <f>ELECT.!S12</f>
        <v>11484</v>
      </c>
      <c r="P11" s="42">
        <f>ELECT.!W12*2</f>
        <v>24502</v>
      </c>
      <c r="Q11" s="42">
        <f>ELECT.!D12</f>
        <v>960</v>
      </c>
      <c r="R11" s="43">
        <f>BTU!C12</f>
        <v>15.042000000001281</v>
      </c>
      <c r="S11" s="43">
        <f>BTU!F12</f>
        <v>2.3949999999999818</v>
      </c>
      <c r="T11" s="43">
        <f>BTU!I12</f>
        <v>8</v>
      </c>
      <c r="U11" s="43">
        <f>BTU!O12</f>
        <v>1.8650000000002365</v>
      </c>
      <c r="V11" s="43">
        <f>BTU!L12</f>
        <v>2.2600000000002183</v>
      </c>
      <c r="W11" s="43">
        <f>BTU!R12</f>
        <v>2.1099999999996726</v>
      </c>
      <c r="X11" s="40">
        <f>ELECT.!B12</f>
        <v>220</v>
      </c>
      <c r="Y11" s="40">
        <f t="shared" si="0"/>
        <v>2131</v>
      </c>
      <c r="Z11">
        <f>'Mall, Citadel, Rotana'!C12+'Mall, Citadel, Rotana'!E12+'Mall, Citadel, Rotana'!G12+'Mall, Citadel, Rotana'!I12</f>
        <v>1226</v>
      </c>
      <c r="AA11">
        <f>'Mall, Citadel, Rotana'!K12+'Mall, Citadel, Rotana'!M12</f>
        <v>480</v>
      </c>
      <c r="AB11">
        <f>'Mall, Citadel, Rotana'!O12</f>
        <v>3</v>
      </c>
      <c r="AC11">
        <f>'Mall, Citadel, Rotana'!Q12+'Mall, Citadel, Rotana'!S12</f>
        <v>0</v>
      </c>
      <c r="AD11" s="40">
        <f t="shared" si="1"/>
        <v>110.94765840000001</v>
      </c>
      <c r="AE11" s="40">
        <f t="shared" si="2"/>
        <v>730.84034159999999</v>
      </c>
    </row>
    <row r="12" spans="1:31" x14ac:dyDescent="0.2">
      <c r="A12" s="53" t="s">
        <v>53</v>
      </c>
      <c r="B12" s="58">
        <f t="shared" si="3"/>
        <v>11</v>
      </c>
      <c r="C12" s="58">
        <v>9</v>
      </c>
      <c r="D12" s="58">
        <v>2021</v>
      </c>
      <c r="E12" s="42">
        <f>Water!C13</f>
        <v>790</v>
      </c>
      <c r="F12" s="42">
        <f>Water!E13</f>
        <v>0</v>
      </c>
      <c r="G12" s="42">
        <f>Water!G13</f>
        <v>448.2</v>
      </c>
      <c r="H12" s="42">
        <f>Water!I13</f>
        <v>4.2119999999999997</v>
      </c>
      <c r="I12" s="42">
        <f>ELECT.!F13</f>
        <v>12026</v>
      </c>
      <c r="J12" s="42">
        <f>ELECT.!H13</f>
        <v>62709</v>
      </c>
      <c r="K12" s="42">
        <f>ELECT.!K13</f>
        <v>4616</v>
      </c>
      <c r="L12" s="42">
        <f>ELECT.!M13</f>
        <v>3879</v>
      </c>
      <c r="M12" s="42">
        <f>ELECT.!O13</f>
        <v>8040</v>
      </c>
      <c r="N12" s="42">
        <f>ELECT.!Q13</f>
        <v>9500</v>
      </c>
      <c r="O12" s="42">
        <f>ELECT.!S13</f>
        <v>8823</v>
      </c>
      <c r="P12" s="42">
        <f>ELECT.!W13*2</f>
        <v>18614</v>
      </c>
      <c r="Q12" s="42">
        <f>ELECT.!D13</f>
        <v>1120</v>
      </c>
      <c r="R12" s="43">
        <f>BTU!C13</f>
        <v>13.772000000000844</v>
      </c>
      <c r="S12" s="43">
        <f>BTU!F13</f>
        <v>2.456000000000131</v>
      </c>
      <c r="T12" s="43">
        <f>BTU!I13</f>
        <v>8</v>
      </c>
      <c r="U12" s="43">
        <f>BTU!O13</f>
        <v>1.7639999999996689</v>
      </c>
      <c r="V12" s="43">
        <f>BTU!L13</f>
        <v>2.819999999999709</v>
      </c>
      <c r="W12" s="43">
        <f>BTU!R13</f>
        <v>2.2200000000002547</v>
      </c>
      <c r="X12" s="40">
        <f>ELECT.!B13</f>
        <v>147</v>
      </c>
      <c r="Y12" s="40">
        <f t="shared" si="0"/>
        <v>21263</v>
      </c>
      <c r="Z12">
        <f>'Mall, Citadel, Rotana'!C13+'Mall, Citadel, Rotana'!E13+'Mall, Citadel, Rotana'!G13+'Mall, Citadel, Rotana'!I13</f>
        <v>1543</v>
      </c>
      <c r="AA12">
        <f>'Mall, Citadel, Rotana'!K13+'Mall, Citadel, Rotana'!M13</f>
        <v>480</v>
      </c>
      <c r="AB12">
        <f>'Mall, Citadel, Rotana'!O13</f>
        <v>4</v>
      </c>
      <c r="AC12">
        <f>'Mall, Citadel, Rotana'!Q13+'Mall, Citadel, Rotana'!S13</f>
        <v>0</v>
      </c>
      <c r="AD12" s="40">
        <f t="shared" si="1"/>
        <v>77.997658400000006</v>
      </c>
      <c r="AE12" s="40">
        <f t="shared" si="2"/>
        <v>513.79034160000003</v>
      </c>
    </row>
    <row r="13" spans="1:31" x14ac:dyDescent="0.2">
      <c r="A13" s="53" t="s">
        <v>53</v>
      </c>
      <c r="B13" s="58">
        <f t="shared" si="3"/>
        <v>12</v>
      </c>
      <c r="C13" s="58">
        <v>9</v>
      </c>
      <c r="D13" s="58">
        <v>2021</v>
      </c>
      <c r="E13" s="42">
        <f>Water!C14</f>
        <v>1310</v>
      </c>
      <c r="F13" s="42">
        <f>Water!E14</f>
        <v>0</v>
      </c>
      <c r="G13" s="42">
        <f>Water!G14</f>
        <v>202</v>
      </c>
      <c r="H13" s="42">
        <f>Water!I14</f>
        <v>5.8049999999999997</v>
      </c>
      <c r="I13" s="42">
        <f>ELECT.!F14</f>
        <v>14674</v>
      </c>
      <c r="J13" s="42">
        <f>ELECT.!H14</f>
        <v>31186</v>
      </c>
      <c r="K13" s="42">
        <f>ELECT.!K14</f>
        <v>5646</v>
      </c>
      <c r="L13" s="42">
        <f>ELECT.!M14</f>
        <v>4868</v>
      </c>
      <c r="M13" s="42">
        <f>ELECT.!O14</f>
        <v>9648</v>
      </c>
      <c r="N13" s="42">
        <f>ELECT.!Q14</f>
        <v>11586</v>
      </c>
      <c r="O13" s="42">
        <f>ELECT.!S14</f>
        <v>9980</v>
      </c>
      <c r="P13" s="42">
        <f>ELECT.!W14*2</f>
        <v>22458</v>
      </c>
      <c r="Q13" s="42">
        <f>ELECT.!D14</f>
        <v>960</v>
      </c>
      <c r="R13" s="43">
        <f>BTU!C14</f>
        <v>11.236999999997352</v>
      </c>
      <c r="S13" s="43">
        <f>BTU!F14</f>
        <v>3.1230000000000473</v>
      </c>
      <c r="T13" s="43">
        <f>BTU!I14</f>
        <v>7</v>
      </c>
      <c r="U13" s="43">
        <f>BTU!O14</f>
        <v>1.5440000000003238</v>
      </c>
      <c r="V13" s="43">
        <f>BTU!L14</f>
        <v>2.0599999999994907</v>
      </c>
      <c r="W13" s="43">
        <f>BTU!R14</f>
        <v>2.8800000000001091</v>
      </c>
      <c r="X13" s="40">
        <f>ELECT.!B14</f>
        <v>150</v>
      </c>
      <c r="Y13" s="40">
        <f t="shared" si="0"/>
        <v>-18326</v>
      </c>
      <c r="Z13">
        <f>'Mall, Citadel, Rotana'!C14+'Mall, Citadel, Rotana'!E14+'Mall, Citadel, Rotana'!G14+'Mall, Citadel, Rotana'!I14</f>
        <v>1470</v>
      </c>
      <c r="AA13">
        <f>'Mall, Citadel, Rotana'!K14+'Mall, Citadel, Rotana'!M14</f>
        <v>640</v>
      </c>
      <c r="AB13">
        <f>'Mall, Citadel, Rotana'!O14</f>
        <v>3</v>
      </c>
      <c r="AC13">
        <f>'Mall, Citadel, Rotana'!Q14+'Mall, Citadel, Rotana'!S14</f>
        <v>0</v>
      </c>
      <c r="AD13" s="40">
        <f t="shared" si="1"/>
        <v>146.323701</v>
      </c>
      <c r="AE13" s="40">
        <f t="shared" si="2"/>
        <v>963.87129899999991</v>
      </c>
    </row>
    <row r="14" spans="1:31" x14ac:dyDescent="0.2">
      <c r="A14" s="53" t="s">
        <v>53</v>
      </c>
      <c r="B14" s="58">
        <f t="shared" si="3"/>
        <v>13</v>
      </c>
      <c r="C14" s="58">
        <v>9</v>
      </c>
      <c r="D14" s="58">
        <v>2021</v>
      </c>
      <c r="E14" s="42">
        <f>Water!C15</f>
        <v>1070</v>
      </c>
      <c r="F14" s="42">
        <f>Water!E15</f>
        <v>0</v>
      </c>
      <c r="G14" s="42">
        <f>Water!G15</f>
        <v>456.3</v>
      </c>
      <c r="H14" s="42">
        <f>Water!I15</f>
        <v>4.8600000000000003</v>
      </c>
      <c r="I14" s="42">
        <f>ELECT.!F15</f>
        <v>19369</v>
      </c>
      <c r="J14" s="42">
        <f>ELECT.!H15</f>
        <v>66719</v>
      </c>
      <c r="K14" s="42">
        <f>ELECT.!K15</f>
        <v>7318</v>
      </c>
      <c r="L14" s="42">
        <f>ELECT.!M15</f>
        <v>6344</v>
      </c>
      <c r="M14" s="42">
        <f>ELECT.!O15</f>
        <v>12820</v>
      </c>
      <c r="N14" s="42">
        <f>ELECT.!Q15</f>
        <v>15639</v>
      </c>
      <c r="O14" s="42">
        <f>ELECT.!S15</f>
        <v>12798</v>
      </c>
      <c r="P14" s="42">
        <f>ELECT.!W15*2</f>
        <v>29058</v>
      </c>
      <c r="Q14" s="42">
        <f>ELECT.!D15</f>
        <v>800</v>
      </c>
      <c r="R14" s="43">
        <f>BTU!C15</f>
        <v>11.816000000002532</v>
      </c>
      <c r="S14" s="43">
        <f>BTU!F15</f>
        <v>3.0289999999999964</v>
      </c>
      <c r="T14" s="43">
        <f>BTU!I15</f>
        <v>8</v>
      </c>
      <c r="U14" s="43">
        <f>BTU!O15</f>
        <v>1.7880000000000109</v>
      </c>
      <c r="V14" s="43">
        <f>BTU!L15</f>
        <v>1.9200000000000728</v>
      </c>
      <c r="W14" s="43">
        <f>BTU!R15</f>
        <v>4.569999999999709</v>
      </c>
      <c r="X14" s="40">
        <f>ELECT.!B15</f>
        <v>182</v>
      </c>
      <c r="Y14" s="40">
        <f t="shared" si="0"/>
        <v>2111</v>
      </c>
      <c r="Z14">
        <f>'Mall, Citadel, Rotana'!C15+'Mall, Citadel, Rotana'!E15+'Mall, Citadel, Rotana'!G15+'Mall, Citadel, Rotana'!I15</f>
        <v>1500</v>
      </c>
      <c r="AA14">
        <f>'Mall, Citadel, Rotana'!K15+'Mall, Citadel, Rotana'!M15</f>
        <v>640</v>
      </c>
      <c r="AB14">
        <f>'Mall, Citadel, Rotana'!O15</f>
        <v>3</v>
      </c>
      <c r="AC14">
        <f>'Mall, Citadel, Rotana'!Q15+'Mall, Citadel, Rotana'!S15</f>
        <v>1958</v>
      </c>
      <c r="AD14" s="40">
        <f t="shared" si="1"/>
        <v>114.81625200000002</v>
      </c>
      <c r="AE14" s="40">
        <f t="shared" si="2"/>
        <v>756.32374800000002</v>
      </c>
    </row>
    <row r="15" spans="1:31" x14ac:dyDescent="0.2">
      <c r="A15" s="53" t="s">
        <v>53</v>
      </c>
      <c r="B15" s="58">
        <f t="shared" si="3"/>
        <v>14</v>
      </c>
      <c r="C15" s="58">
        <v>9</v>
      </c>
      <c r="D15" s="58">
        <v>2021</v>
      </c>
      <c r="E15" s="42">
        <f>Water!C16</f>
        <v>1000</v>
      </c>
      <c r="F15" s="42">
        <f>Water!E16</f>
        <v>0</v>
      </c>
      <c r="G15" s="42">
        <f>Water!G16</f>
        <v>480.6</v>
      </c>
      <c r="H15" s="42">
        <f>Water!I16</f>
        <v>4.5090000000000003</v>
      </c>
      <c r="I15" s="42">
        <f>ELECT.!F16</f>
        <v>13233</v>
      </c>
      <c r="J15" s="42">
        <f>ELECT.!H16</f>
        <v>46306</v>
      </c>
      <c r="K15" s="42">
        <f>ELECT.!K16</f>
        <v>5315</v>
      </c>
      <c r="L15" s="42">
        <f>ELECT.!M16</f>
        <v>4336</v>
      </c>
      <c r="M15" s="42">
        <f>ELECT.!O16</f>
        <v>8732</v>
      </c>
      <c r="N15" s="42">
        <f>ELECT.!Q16</f>
        <v>10811</v>
      </c>
      <c r="O15" s="42">
        <f>ELECT.!S16</f>
        <v>8794</v>
      </c>
      <c r="P15" s="42">
        <f>ELECT.!W16*2</f>
        <v>20108</v>
      </c>
      <c r="Q15" s="42">
        <f>ELECT.!D16</f>
        <v>960</v>
      </c>
      <c r="R15" s="43">
        <f>BTU!C16</f>
        <v>12.68999999999869</v>
      </c>
      <c r="S15" s="43">
        <f>BTU!F16</f>
        <v>3.0990000000001601</v>
      </c>
      <c r="T15" s="43">
        <f>BTU!I16</f>
        <v>7</v>
      </c>
      <c r="U15" s="43">
        <f>BTU!O16</f>
        <v>1.8669999999997344</v>
      </c>
      <c r="V15" s="43">
        <f>BTU!L16</f>
        <v>1.75</v>
      </c>
      <c r="W15" s="43">
        <f>BTU!R16</f>
        <v>2.3599999999996726</v>
      </c>
      <c r="X15" s="40">
        <f>ELECT.!B16</f>
        <v>202</v>
      </c>
      <c r="Y15" s="40">
        <f t="shared" si="0"/>
        <v>1443</v>
      </c>
      <c r="Z15">
        <f>'Mall, Citadel, Rotana'!C16+'Mall, Citadel, Rotana'!E16+'Mall, Citadel, Rotana'!G16+'Mall, Citadel, Rotana'!I16</f>
        <v>1389</v>
      </c>
      <c r="AA15">
        <f>'Mall, Citadel, Rotana'!K16+'Mall, Citadel, Rotana'!M16</f>
        <v>640</v>
      </c>
      <c r="AB15">
        <f>'Mall, Citadel, Rotana'!O16</f>
        <v>3</v>
      </c>
      <c r="AC15">
        <f>'Mall, Citadel, Rotana'!Q16+'Mall, Citadel, Rotana'!S16</f>
        <v>119</v>
      </c>
      <c r="AD15" s="40">
        <f t="shared" si="1"/>
        <v>105.6365138</v>
      </c>
      <c r="AE15" s="40">
        <f t="shared" si="2"/>
        <v>695.8544862</v>
      </c>
    </row>
    <row r="16" spans="1:31" x14ac:dyDescent="0.2">
      <c r="A16" s="53" t="s">
        <v>53</v>
      </c>
      <c r="B16" s="58">
        <f t="shared" si="3"/>
        <v>15</v>
      </c>
      <c r="C16" s="58">
        <v>9</v>
      </c>
      <c r="D16" s="58">
        <v>2021</v>
      </c>
      <c r="E16" s="42">
        <f>Water!C17</f>
        <v>1000</v>
      </c>
      <c r="F16" s="42">
        <f>Water!E17</f>
        <v>0</v>
      </c>
      <c r="G16" s="42">
        <f>Water!G17</f>
        <v>496.8</v>
      </c>
      <c r="H16" s="42">
        <f>Water!I17</f>
        <v>4.9950000000000001</v>
      </c>
      <c r="I16" s="42">
        <f>ELECT.!F17</f>
        <v>13991</v>
      </c>
      <c r="J16" s="42">
        <f>ELECT.!H17</f>
        <v>48781</v>
      </c>
      <c r="K16" s="42">
        <f>ELECT.!K17</f>
        <v>5100</v>
      </c>
      <c r="L16" s="42">
        <f>ELECT.!M17</f>
        <v>4636</v>
      </c>
      <c r="M16" s="42">
        <f>ELECT.!O17</f>
        <v>9194</v>
      </c>
      <c r="N16" s="42">
        <f>ELECT.!Q17</f>
        <v>11319</v>
      </c>
      <c r="O16" s="42">
        <f>ELECT.!S17</f>
        <v>9601</v>
      </c>
      <c r="P16" s="42">
        <f>ELECT.!W17*2</f>
        <v>21440</v>
      </c>
      <c r="Q16" s="42">
        <f>ELECT.!D17</f>
        <v>960</v>
      </c>
      <c r="R16" s="43">
        <f>BTU!C17</f>
        <v>10.745999999999185</v>
      </c>
      <c r="S16" s="43">
        <f>BTU!F17</f>
        <v>2.668999999999869</v>
      </c>
      <c r="T16" s="43">
        <f>BTU!I17</f>
        <v>7</v>
      </c>
      <c r="U16" s="43">
        <f>BTU!O17</f>
        <v>1.5370000000002619</v>
      </c>
      <c r="V16" s="43">
        <f>BTU!L17</f>
        <v>1.3299999999999272</v>
      </c>
      <c r="W16" s="43">
        <f>BTU!R17</f>
        <v>3.5</v>
      </c>
      <c r="X16" s="40">
        <f>ELECT.!B17</f>
        <v>255</v>
      </c>
      <c r="Y16" s="40">
        <f t="shared" si="0"/>
        <v>1482</v>
      </c>
      <c r="Z16">
        <f>'Mall, Citadel, Rotana'!C17+'Mall, Citadel, Rotana'!E17+'Mall, Citadel, Rotana'!G17+'Mall, Citadel, Rotana'!I17</f>
        <v>1380</v>
      </c>
      <c r="AA16">
        <f>'Mall, Citadel, Rotana'!K17+'Mall, Citadel, Rotana'!M17</f>
        <v>640</v>
      </c>
      <c r="AB16">
        <f>'Mall, Citadel, Rotana'!O17</f>
        <v>3</v>
      </c>
      <c r="AC16">
        <f>'Mall, Citadel, Rotana'!Q17+'Mall, Citadel, Rotana'!S17</f>
        <v>125</v>
      </c>
      <c r="AD16" s="40">
        <f t="shared" si="1"/>
        <v>105.57245899999999</v>
      </c>
      <c r="AE16" s="40">
        <f t="shared" si="2"/>
        <v>695.43254100000001</v>
      </c>
    </row>
    <row r="17" spans="1:31" x14ac:dyDescent="0.2">
      <c r="A17" s="53" t="s">
        <v>53</v>
      </c>
      <c r="B17" s="58">
        <f t="shared" si="3"/>
        <v>16</v>
      </c>
      <c r="C17" s="58">
        <v>9</v>
      </c>
      <c r="D17" s="58">
        <v>2021</v>
      </c>
      <c r="E17" s="42">
        <f>Water!C18</f>
        <v>1080</v>
      </c>
      <c r="F17" s="42">
        <f>Water!E18</f>
        <v>0</v>
      </c>
      <c r="G17" s="42">
        <f>Water!G18</f>
        <v>526.5</v>
      </c>
      <c r="H17" s="42">
        <f>Water!I18</f>
        <v>5.157</v>
      </c>
      <c r="I17" s="42">
        <f>ELECT.!F18</f>
        <v>20257</v>
      </c>
      <c r="J17" s="42">
        <f>ELECT.!H18</f>
        <v>69662</v>
      </c>
      <c r="K17" s="42">
        <f>ELECT.!K18</f>
        <v>7923</v>
      </c>
      <c r="L17" s="42">
        <f>ELECT.!M18</f>
        <v>7023</v>
      </c>
      <c r="M17" s="42">
        <f>ELECT.!O18</f>
        <v>13026</v>
      </c>
      <c r="N17" s="42">
        <f>ELECT.!Q18</f>
        <v>15595</v>
      </c>
      <c r="O17" s="42">
        <f>ELECT.!S18</f>
        <v>13537</v>
      </c>
      <c r="P17" s="42">
        <f>ELECT.!W18*2</f>
        <v>30622</v>
      </c>
      <c r="Q17" s="42">
        <f>ELECT.!D18</f>
        <v>960</v>
      </c>
      <c r="R17" s="43">
        <f>BTU!C18</f>
        <v>10.729999999999563</v>
      </c>
      <c r="S17" s="43">
        <f>BTU!F18</f>
        <v>2.6700000000000728</v>
      </c>
      <c r="T17" s="43">
        <f>BTU!I18</f>
        <v>7</v>
      </c>
      <c r="U17" s="43">
        <f>BTU!O18</f>
        <v>1.6140000000000327</v>
      </c>
      <c r="V17" s="43">
        <f>BTU!L18</f>
        <v>1.5</v>
      </c>
      <c r="W17" s="43">
        <f>BTU!R18</f>
        <v>2.5900000000001455</v>
      </c>
      <c r="X17" s="40">
        <f>ELECT.!B18</f>
        <v>274</v>
      </c>
      <c r="Y17" s="40">
        <f t="shared" si="0"/>
        <v>2193</v>
      </c>
      <c r="Z17">
        <f>'Mall, Citadel, Rotana'!C18+'Mall, Citadel, Rotana'!E18+'Mall, Citadel, Rotana'!G18+'Mall, Citadel, Rotana'!I18</f>
        <v>1563</v>
      </c>
      <c r="AA17">
        <f>'Mall, Citadel, Rotana'!K18+'Mall, Citadel, Rotana'!M18</f>
        <v>640</v>
      </c>
      <c r="AB17">
        <f>'Mall, Citadel, Rotana'!O18</f>
        <v>3</v>
      </c>
      <c r="AC17">
        <f>'Mall, Citadel, Rotana'!Q18+'Mall, Citadel, Rotana'!S18</f>
        <v>117</v>
      </c>
      <c r="AD17" s="40">
        <f t="shared" si="1"/>
        <v>116.0951074</v>
      </c>
      <c r="AE17" s="40">
        <f t="shared" si="2"/>
        <v>764.74789260000011</v>
      </c>
    </row>
    <row r="18" spans="1:31" x14ac:dyDescent="0.2">
      <c r="A18" s="53" t="s">
        <v>53</v>
      </c>
      <c r="B18" s="58">
        <f t="shared" si="3"/>
        <v>17</v>
      </c>
      <c r="C18" s="58">
        <v>9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 t="str">
        <f>ELECT.!F19</f>
        <v>0</v>
      </c>
      <c r="J18" s="42" t="str">
        <f>ELECT.!H19</f>
        <v>0</v>
      </c>
      <c r="K18" s="42" t="str">
        <f>ELECT.!K19</f>
        <v>0</v>
      </c>
      <c r="L18" s="42" t="str">
        <f>ELECT.!M19</f>
        <v>0</v>
      </c>
      <c r="M18" s="42">
        <f>ELECT.!O19</f>
        <v>0</v>
      </c>
      <c r="N18" s="42" t="str">
        <f>ELECT.!Q19</f>
        <v>0</v>
      </c>
      <c r="O18" s="42" t="str">
        <f>ELECT.!S19</f>
        <v>0</v>
      </c>
      <c r="P18" s="42">
        <f>ELECT.!W19*2</f>
        <v>0</v>
      </c>
      <c r="Q18" s="42">
        <f>ELECT.!D19</f>
        <v>0</v>
      </c>
      <c r="R18" s="43" t="str">
        <f>BTU!C19</f>
        <v>0</v>
      </c>
      <c r="S18" s="43" t="str">
        <f>BTU!F19</f>
        <v>0</v>
      </c>
      <c r="T18" s="43" t="str">
        <f>BTU!I19</f>
        <v>0</v>
      </c>
      <c r="U18" s="43" t="str">
        <f>BTU!O19</f>
        <v>0</v>
      </c>
      <c r="V18" s="43" t="str">
        <f>BTU!L19</f>
        <v>0</v>
      </c>
      <c r="W18" s="43" t="str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9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9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9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9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9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9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9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9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9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9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9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9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9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9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1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v>0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>
        <v>120493</v>
      </c>
      <c r="Q7" s="16">
        <v>0</v>
      </c>
      <c r="R7" s="1">
        <v>55047</v>
      </c>
      <c r="S7" s="16">
        <v>0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>
        <v>120493</v>
      </c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>
        <v>120493</v>
      </c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>
        <v>120493</v>
      </c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>
        <v>45875</v>
      </c>
      <c r="C11" s="16">
        <f t="shared" si="0"/>
        <v>800</v>
      </c>
      <c r="D11" s="37">
        <v>39832</v>
      </c>
      <c r="E11" s="16">
        <f t="shared" si="1"/>
        <v>640</v>
      </c>
      <c r="F11" s="37">
        <v>20767</v>
      </c>
      <c r="G11" s="16">
        <f t="shared" si="2"/>
        <v>60</v>
      </c>
      <c r="H11" s="37">
        <v>248039</v>
      </c>
      <c r="I11" s="16">
        <f t="shared" si="3"/>
        <v>62</v>
      </c>
      <c r="J11" s="37">
        <v>303517</v>
      </c>
      <c r="K11" s="16">
        <f t="shared" si="4"/>
        <v>0</v>
      </c>
      <c r="L11" s="37">
        <v>25355</v>
      </c>
      <c r="M11" s="16">
        <f t="shared" si="5"/>
        <v>640</v>
      </c>
      <c r="N11" s="37">
        <v>215865</v>
      </c>
      <c r="O11" s="16">
        <f t="shared" si="6"/>
        <v>3</v>
      </c>
      <c r="P11" s="37">
        <v>120493</v>
      </c>
      <c r="Q11" s="16">
        <f t="shared" si="7"/>
        <v>0</v>
      </c>
      <c r="R11" s="1">
        <v>55047</v>
      </c>
      <c r="S11" s="16">
        <f t="shared" si="8"/>
        <v>0</v>
      </c>
      <c r="T11" s="37">
        <v>3766</v>
      </c>
      <c r="U11" s="16">
        <f t="shared" si="9"/>
        <v>320</v>
      </c>
    </row>
    <row r="12" spans="1:24" ht="13.5" thickBot="1" x14ac:dyDescent="0.25">
      <c r="A12" s="10">
        <v>44449</v>
      </c>
      <c r="B12" s="37">
        <v>45880</v>
      </c>
      <c r="C12" s="16">
        <f t="shared" si="0"/>
        <v>800</v>
      </c>
      <c r="D12" s="37">
        <v>39834</v>
      </c>
      <c r="E12" s="16">
        <f t="shared" si="1"/>
        <v>320</v>
      </c>
      <c r="F12" s="37">
        <v>20771</v>
      </c>
      <c r="G12" s="16">
        <f t="shared" si="2"/>
        <v>80</v>
      </c>
      <c r="H12" s="37">
        <v>248065</v>
      </c>
      <c r="I12" s="16">
        <f t="shared" si="3"/>
        <v>26</v>
      </c>
      <c r="J12" s="37">
        <v>303517</v>
      </c>
      <c r="K12" s="16">
        <f t="shared" si="4"/>
        <v>0</v>
      </c>
      <c r="L12" s="37">
        <v>25358</v>
      </c>
      <c r="M12" s="16">
        <f t="shared" si="5"/>
        <v>480</v>
      </c>
      <c r="N12" s="37">
        <v>215868</v>
      </c>
      <c r="O12" s="16">
        <f t="shared" si="6"/>
        <v>3</v>
      </c>
      <c r="P12" s="37">
        <v>120493</v>
      </c>
      <c r="Q12" s="16">
        <f t="shared" si="7"/>
        <v>0</v>
      </c>
      <c r="R12" s="1">
        <v>55047</v>
      </c>
      <c r="S12" s="16">
        <f t="shared" si="8"/>
        <v>0</v>
      </c>
      <c r="T12" s="37">
        <v>3766</v>
      </c>
      <c r="U12" s="16">
        <f t="shared" si="9"/>
        <v>0</v>
      </c>
    </row>
    <row r="13" spans="1:24" ht="13.5" thickBot="1" x14ac:dyDescent="0.25">
      <c r="A13" s="10">
        <v>44450</v>
      </c>
      <c r="B13" s="37">
        <v>45886</v>
      </c>
      <c r="C13" s="16">
        <f t="shared" si="0"/>
        <v>960</v>
      </c>
      <c r="D13" s="37">
        <v>39837</v>
      </c>
      <c r="E13" s="16">
        <f t="shared" si="1"/>
        <v>480</v>
      </c>
      <c r="F13" s="37">
        <v>20774</v>
      </c>
      <c r="G13" s="16">
        <f t="shared" si="2"/>
        <v>60</v>
      </c>
      <c r="H13" s="37">
        <v>248108</v>
      </c>
      <c r="I13" s="16">
        <f t="shared" si="3"/>
        <v>43</v>
      </c>
      <c r="J13" s="37">
        <f>J12</f>
        <v>303517</v>
      </c>
      <c r="K13" s="16">
        <f t="shared" si="4"/>
        <v>0</v>
      </c>
      <c r="L13" s="37">
        <v>25361</v>
      </c>
      <c r="M13" s="16">
        <f t="shared" si="5"/>
        <v>480</v>
      </c>
      <c r="N13" s="37">
        <v>215872</v>
      </c>
      <c r="O13" s="16">
        <f t="shared" si="6"/>
        <v>4</v>
      </c>
      <c r="P13" s="37">
        <v>120493</v>
      </c>
      <c r="Q13" s="16">
        <f t="shared" si="7"/>
        <v>0</v>
      </c>
      <c r="R13" s="1">
        <f>R12</f>
        <v>55047</v>
      </c>
      <c r="S13" s="16">
        <f t="shared" si="8"/>
        <v>0</v>
      </c>
      <c r="T13" s="37">
        <v>3767</v>
      </c>
      <c r="U13" s="16">
        <f t="shared" si="9"/>
        <v>160</v>
      </c>
    </row>
    <row r="14" spans="1:24" ht="13.5" thickBot="1" x14ac:dyDescent="0.25">
      <c r="A14" s="10">
        <v>44451</v>
      </c>
      <c r="B14" s="37">
        <v>45886</v>
      </c>
      <c r="C14" s="16">
        <v>880</v>
      </c>
      <c r="D14" s="37">
        <v>39849</v>
      </c>
      <c r="E14" s="16">
        <v>480</v>
      </c>
      <c r="F14" s="37">
        <v>20777</v>
      </c>
      <c r="G14" s="16">
        <v>60</v>
      </c>
      <c r="H14" s="37">
        <f>H13</f>
        <v>248108</v>
      </c>
      <c r="I14" s="16">
        <v>50</v>
      </c>
      <c r="J14" s="37">
        <f>J13</f>
        <v>303517</v>
      </c>
      <c r="K14" s="16">
        <v>0</v>
      </c>
      <c r="L14" s="37">
        <f>L13</f>
        <v>25361</v>
      </c>
      <c r="M14" s="16">
        <v>640</v>
      </c>
      <c r="N14" s="37">
        <f>N13</f>
        <v>215872</v>
      </c>
      <c r="O14" s="16">
        <v>3</v>
      </c>
      <c r="P14" s="37">
        <v>120493</v>
      </c>
      <c r="Q14" s="16">
        <f t="shared" si="7"/>
        <v>0</v>
      </c>
      <c r="R14" s="1">
        <f t="shared" ref="R14:R33" si="10">R13</f>
        <v>55047</v>
      </c>
      <c r="S14" s="16">
        <v>0</v>
      </c>
      <c r="T14" s="37">
        <v>3769</v>
      </c>
      <c r="U14" s="16">
        <v>320</v>
      </c>
    </row>
    <row r="15" spans="1:24" ht="13.5" thickBot="1" x14ac:dyDescent="0.25">
      <c r="A15" s="10">
        <v>44452</v>
      </c>
      <c r="B15" s="37">
        <v>45897</v>
      </c>
      <c r="C15" s="16">
        <v>880</v>
      </c>
      <c r="D15" s="37">
        <v>39843</v>
      </c>
      <c r="E15" s="16">
        <v>480</v>
      </c>
      <c r="F15" s="37">
        <v>20781</v>
      </c>
      <c r="G15" s="16">
        <f t="shared" si="2"/>
        <v>80</v>
      </c>
      <c r="H15" s="37">
        <v>248218</v>
      </c>
      <c r="I15" s="16">
        <v>60</v>
      </c>
      <c r="J15" s="37">
        <f t="shared" ref="J15:J33" si="11">J14</f>
        <v>303517</v>
      </c>
      <c r="K15" s="16">
        <f t="shared" si="4"/>
        <v>0</v>
      </c>
      <c r="L15" s="37">
        <v>25369</v>
      </c>
      <c r="M15" s="16">
        <v>640</v>
      </c>
      <c r="N15" s="37">
        <v>215878</v>
      </c>
      <c r="O15" s="16">
        <v>3</v>
      </c>
      <c r="P15" s="37">
        <v>122451</v>
      </c>
      <c r="Q15" s="16">
        <f t="shared" si="7"/>
        <v>1958</v>
      </c>
      <c r="R15" s="1">
        <f t="shared" si="10"/>
        <v>55047</v>
      </c>
      <c r="S15" s="16">
        <f t="shared" si="8"/>
        <v>0</v>
      </c>
      <c r="T15" s="37">
        <v>3770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44453</v>
      </c>
      <c r="B16" s="37">
        <v>45902</v>
      </c>
      <c r="C16" s="16">
        <f t="shared" si="0"/>
        <v>800</v>
      </c>
      <c r="D16" s="37">
        <v>39846</v>
      </c>
      <c r="E16" s="16">
        <f t="shared" si="1"/>
        <v>480</v>
      </c>
      <c r="F16" s="37">
        <v>20785</v>
      </c>
      <c r="G16" s="16">
        <f t="shared" si="2"/>
        <v>80</v>
      </c>
      <c r="H16" s="37">
        <v>248247</v>
      </c>
      <c r="I16" s="16">
        <f t="shared" si="3"/>
        <v>29</v>
      </c>
      <c r="J16" s="37">
        <f t="shared" si="11"/>
        <v>303517</v>
      </c>
      <c r="K16" s="16">
        <f t="shared" si="4"/>
        <v>0</v>
      </c>
      <c r="L16" s="37">
        <v>25373</v>
      </c>
      <c r="M16" s="16">
        <f t="shared" si="5"/>
        <v>640</v>
      </c>
      <c r="N16" s="37">
        <v>215881</v>
      </c>
      <c r="O16" s="16">
        <f t="shared" si="6"/>
        <v>3</v>
      </c>
      <c r="P16" s="37">
        <v>122570</v>
      </c>
      <c r="Q16" s="16">
        <f t="shared" si="7"/>
        <v>119</v>
      </c>
      <c r="R16" s="1">
        <f t="shared" si="10"/>
        <v>55047</v>
      </c>
      <c r="S16" s="16">
        <f t="shared" si="8"/>
        <v>0</v>
      </c>
      <c r="T16" s="37">
        <v>3771</v>
      </c>
      <c r="U16" s="16">
        <f t="shared" si="9"/>
        <v>160</v>
      </c>
      <c r="W16" t="s">
        <v>12</v>
      </c>
    </row>
    <row r="17" spans="1:23" ht="13.5" thickBot="1" x14ac:dyDescent="0.25">
      <c r="A17" s="10">
        <v>44454</v>
      </c>
      <c r="B17" s="37">
        <v>45907</v>
      </c>
      <c r="C17" s="16">
        <f t="shared" si="0"/>
        <v>800</v>
      </c>
      <c r="D17" s="37">
        <v>39849</v>
      </c>
      <c r="E17" s="16">
        <f t="shared" si="1"/>
        <v>480</v>
      </c>
      <c r="F17" s="37">
        <v>20788</v>
      </c>
      <c r="G17" s="16">
        <f t="shared" si="2"/>
        <v>60</v>
      </c>
      <c r="H17" s="37">
        <v>248287</v>
      </c>
      <c r="I17" s="16">
        <f t="shared" si="3"/>
        <v>40</v>
      </c>
      <c r="J17" s="37">
        <f t="shared" si="11"/>
        <v>303517</v>
      </c>
      <c r="K17" s="16">
        <f t="shared" si="4"/>
        <v>0</v>
      </c>
      <c r="L17" s="37">
        <v>25377</v>
      </c>
      <c r="M17" s="16">
        <f t="shared" si="5"/>
        <v>640</v>
      </c>
      <c r="N17" s="37">
        <v>215884</v>
      </c>
      <c r="O17" s="16">
        <f t="shared" si="6"/>
        <v>3</v>
      </c>
      <c r="P17" s="37">
        <v>122695</v>
      </c>
      <c r="Q17" s="16">
        <f t="shared" si="7"/>
        <v>125</v>
      </c>
      <c r="R17" s="1">
        <f t="shared" si="10"/>
        <v>55047</v>
      </c>
      <c r="S17" s="16">
        <f>S16</f>
        <v>0</v>
      </c>
      <c r="T17" s="37">
        <v>3772</v>
      </c>
      <c r="U17" s="16">
        <f t="shared" si="9"/>
        <v>160</v>
      </c>
    </row>
    <row r="18" spans="1:23" ht="13.5" thickBot="1" x14ac:dyDescent="0.25">
      <c r="A18" s="10">
        <v>44455</v>
      </c>
      <c r="B18" s="37">
        <v>45913</v>
      </c>
      <c r="C18" s="16">
        <f t="shared" si="0"/>
        <v>960</v>
      </c>
      <c r="D18" s="37">
        <v>39852</v>
      </c>
      <c r="E18" s="16">
        <f t="shared" si="1"/>
        <v>480</v>
      </c>
      <c r="F18" s="37">
        <v>20792</v>
      </c>
      <c r="G18" s="16">
        <f t="shared" si="2"/>
        <v>80</v>
      </c>
      <c r="H18" s="37">
        <v>248330</v>
      </c>
      <c r="I18" s="16">
        <f t="shared" si="3"/>
        <v>43</v>
      </c>
      <c r="J18" s="37">
        <f t="shared" si="11"/>
        <v>303517</v>
      </c>
      <c r="K18" s="16">
        <f t="shared" si="4"/>
        <v>0</v>
      </c>
      <c r="L18" s="37">
        <v>25381</v>
      </c>
      <c r="M18" s="16">
        <f t="shared" si="5"/>
        <v>640</v>
      </c>
      <c r="N18" s="37">
        <v>215887</v>
      </c>
      <c r="O18" s="16">
        <f t="shared" si="6"/>
        <v>3</v>
      </c>
      <c r="P18" s="37">
        <v>122812</v>
      </c>
      <c r="Q18" s="16">
        <f t="shared" si="7"/>
        <v>117</v>
      </c>
      <c r="R18" s="1">
        <f t="shared" si="10"/>
        <v>55047</v>
      </c>
      <c r="S18" s="16">
        <f t="shared" si="8"/>
        <v>0</v>
      </c>
      <c r="T18" s="37">
        <v>3773</v>
      </c>
      <c r="U18" s="16">
        <f t="shared" si="9"/>
        <v>160</v>
      </c>
    </row>
    <row r="19" spans="1:23" ht="13.5" thickBot="1" x14ac:dyDescent="0.25">
      <c r="A19" s="10">
        <v>44456</v>
      </c>
      <c r="B19" s="37">
        <f t="shared" ref="B18:B33" si="12">B18</f>
        <v>45913</v>
      </c>
      <c r="C19" s="16">
        <f t="shared" si="0"/>
        <v>0</v>
      </c>
      <c r="D19" s="37">
        <f t="shared" ref="D18:D33" si="13">D18</f>
        <v>39852</v>
      </c>
      <c r="E19" s="16">
        <f t="shared" si="1"/>
        <v>0</v>
      </c>
      <c r="F19" s="37">
        <f t="shared" ref="F18:F33" si="14">F18</f>
        <v>20792</v>
      </c>
      <c r="G19" s="16">
        <f t="shared" si="2"/>
        <v>0</v>
      </c>
      <c r="H19" s="37">
        <f t="shared" ref="H18:H33" si="15">H18</f>
        <v>248330</v>
      </c>
      <c r="I19" s="16">
        <f t="shared" si="3"/>
        <v>0</v>
      </c>
      <c r="J19" s="37">
        <f t="shared" si="11"/>
        <v>303517</v>
      </c>
      <c r="K19" s="16">
        <f t="shared" si="4"/>
        <v>0</v>
      </c>
      <c r="L19" s="37">
        <f t="shared" ref="L18:L33" si="16">L18</f>
        <v>25381</v>
      </c>
      <c r="M19" s="16">
        <f t="shared" si="5"/>
        <v>0</v>
      </c>
      <c r="N19" s="37">
        <f t="shared" ref="N18:N33" si="17">N18</f>
        <v>215887</v>
      </c>
      <c r="O19" s="16">
        <f t="shared" si="6"/>
        <v>0</v>
      </c>
      <c r="P19" s="37">
        <f t="shared" ref="P18:P33" si="18">P18</f>
        <v>122812</v>
      </c>
      <c r="Q19" s="16">
        <f t="shared" si="7"/>
        <v>0</v>
      </c>
      <c r="R19" s="1">
        <f t="shared" si="10"/>
        <v>55047</v>
      </c>
      <c r="S19" s="16">
        <f t="shared" si="8"/>
        <v>0</v>
      </c>
      <c r="T19" s="37">
        <f t="shared" ref="T18:T33" si="19">T18</f>
        <v>3773</v>
      </c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>
        <f t="shared" si="12"/>
        <v>45913</v>
      </c>
      <c r="C20" s="16">
        <f t="shared" si="0"/>
        <v>0</v>
      </c>
      <c r="D20" s="37">
        <f t="shared" si="13"/>
        <v>39852</v>
      </c>
      <c r="E20" s="16">
        <f t="shared" si="1"/>
        <v>0</v>
      </c>
      <c r="F20" s="37">
        <f t="shared" si="14"/>
        <v>20792</v>
      </c>
      <c r="G20" s="16">
        <f t="shared" si="2"/>
        <v>0</v>
      </c>
      <c r="H20" s="37">
        <f t="shared" si="15"/>
        <v>248330</v>
      </c>
      <c r="I20" s="16">
        <f t="shared" si="3"/>
        <v>0</v>
      </c>
      <c r="J20" s="37">
        <f t="shared" si="11"/>
        <v>303517</v>
      </c>
      <c r="K20" s="16">
        <v>0</v>
      </c>
      <c r="L20" s="37">
        <f t="shared" si="16"/>
        <v>25381</v>
      </c>
      <c r="M20" s="16">
        <f t="shared" si="5"/>
        <v>0</v>
      </c>
      <c r="N20" s="37">
        <f t="shared" si="17"/>
        <v>215887</v>
      </c>
      <c r="O20" s="16">
        <f t="shared" si="6"/>
        <v>0</v>
      </c>
      <c r="P20" s="37">
        <f t="shared" si="18"/>
        <v>122812</v>
      </c>
      <c r="Q20" s="16">
        <f>P20-P19</f>
        <v>0</v>
      </c>
      <c r="R20" s="1">
        <f t="shared" si="10"/>
        <v>55047</v>
      </c>
      <c r="S20" s="16">
        <f t="shared" si="8"/>
        <v>0</v>
      </c>
      <c r="T20" s="37">
        <f t="shared" si="19"/>
        <v>3773</v>
      </c>
      <c r="U20" s="16">
        <f t="shared" si="9"/>
        <v>0</v>
      </c>
    </row>
    <row r="21" spans="1:23" ht="13.5" thickBot="1" x14ac:dyDescent="0.25">
      <c r="A21" s="10">
        <v>44458</v>
      </c>
      <c r="B21" s="37">
        <f t="shared" si="12"/>
        <v>45913</v>
      </c>
      <c r="C21" s="16">
        <f t="shared" si="0"/>
        <v>0</v>
      </c>
      <c r="D21" s="37">
        <f t="shared" si="13"/>
        <v>39852</v>
      </c>
      <c r="E21" s="16">
        <f t="shared" si="1"/>
        <v>0</v>
      </c>
      <c r="F21" s="37">
        <f t="shared" si="14"/>
        <v>20792</v>
      </c>
      <c r="G21" s="16">
        <f t="shared" si="2"/>
        <v>0</v>
      </c>
      <c r="H21" s="37">
        <f t="shared" si="15"/>
        <v>248330</v>
      </c>
      <c r="I21" s="16">
        <f t="shared" si="3"/>
        <v>0</v>
      </c>
      <c r="J21" s="37">
        <f t="shared" si="11"/>
        <v>303517</v>
      </c>
      <c r="K21" s="16">
        <f t="shared" si="4"/>
        <v>0</v>
      </c>
      <c r="L21" s="37">
        <f t="shared" si="16"/>
        <v>25381</v>
      </c>
      <c r="M21" s="16">
        <f t="shared" si="5"/>
        <v>0</v>
      </c>
      <c r="N21" s="37">
        <f t="shared" si="17"/>
        <v>215887</v>
      </c>
      <c r="O21" s="16">
        <f t="shared" si="6"/>
        <v>0</v>
      </c>
      <c r="P21" s="37">
        <f t="shared" si="18"/>
        <v>122812</v>
      </c>
      <c r="Q21" s="16">
        <f t="shared" si="7"/>
        <v>0</v>
      </c>
      <c r="R21" s="1">
        <f t="shared" si="10"/>
        <v>55047</v>
      </c>
      <c r="S21" s="16">
        <f t="shared" si="8"/>
        <v>0</v>
      </c>
      <c r="T21" s="37">
        <f t="shared" si="19"/>
        <v>3773</v>
      </c>
      <c r="U21" s="16">
        <f t="shared" si="9"/>
        <v>0</v>
      </c>
    </row>
    <row r="22" spans="1:23" ht="13.5" thickBot="1" x14ac:dyDescent="0.25">
      <c r="A22" s="10">
        <v>44459</v>
      </c>
      <c r="B22" s="37">
        <f t="shared" si="12"/>
        <v>45913</v>
      </c>
      <c r="C22" s="16">
        <f t="shared" si="0"/>
        <v>0</v>
      </c>
      <c r="D22" s="37">
        <f t="shared" si="13"/>
        <v>39852</v>
      </c>
      <c r="E22" s="16">
        <f t="shared" si="1"/>
        <v>0</v>
      </c>
      <c r="F22" s="37">
        <f t="shared" si="14"/>
        <v>20792</v>
      </c>
      <c r="G22" s="16">
        <f t="shared" si="2"/>
        <v>0</v>
      </c>
      <c r="H22" s="37">
        <f t="shared" si="15"/>
        <v>248330</v>
      </c>
      <c r="I22" s="16">
        <f t="shared" si="3"/>
        <v>0</v>
      </c>
      <c r="J22" s="37">
        <f t="shared" si="11"/>
        <v>303517</v>
      </c>
      <c r="K22" s="16">
        <f t="shared" si="4"/>
        <v>0</v>
      </c>
      <c r="L22" s="37">
        <f t="shared" si="16"/>
        <v>25381</v>
      </c>
      <c r="M22" s="16">
        <f t="shared" si="5"/>
        <v>0</v>
      </c>
      <c r="N22" s="37">
        <f t="shared" si="17"/>
        <v>215887</v>
      </c>
      <c r="O22" s="16">
        <f t="shared" si="6"/>
        <v>0</v>
      </c>
      <c r="P22" s="37">
        <f t="shared" si="18"/>
        <v>122812</v>
      </c>
      <c r="Q22" s="16">
        <f>P22-P21</f>
        <v>0</v>
      </c>
      <c r="R22" s="1">
        <f t="shared" si="10"/>
        <v>55047</v>
      </c>
      <c r="S22" s="16">
        <f t="shared" si="8"/>
        <v>0</v>
      </c>
      <c r="T22" s="37">
        <f t="shared" si="19"/>
        <v>3773</v>
      </c>
      <c r="U22" s="16">
        <f t="shared" si="9"/>
        <v>0</v>
      </c>
    </row>
    <row r="23" spans="1:23" ht="13.5" thickBot="1" x14ac:dyDescent="0.25">
      <c r="A23" s="10">
        <v>44460</v>
      </c>
      <c r="B23" s="37">
        <f t="shared" si="12"/>
        <v>45913</v>
      </c>
      <c r="C23" s="16">
        <f t="shared" si="0"/>
        <v>0</v>
      </c>
      <c r="D23" s="37">
        <f t="shared" si="13"/>
        <v>39852</v>
      </c>
      <c r="E23" s="16">
        <f t="shared" si="1"/>
        <v>0</v>
      </c>
      <c r="F23" s="37">
        <f t="shared" si="14"/>
        <v>20792</v>
      </c>
      <c r="G23" s="16">
        <f t="shared" si="2"/>
        <v>0</v>
      </c>
      <c r="H23" s="37">
        <f t="shared" si="15"/>
        <v>248330</v>
      </c>
      <c r="I23" s="16">
        <f t="shared" si="3"/>
        <v>0</v>
      </c>
      <c r="J23" s="37">
        <f t="shared" si="11"/>
        <v>303517</v>
      </c>
      <c r="K23" s="16">
        <f t="shared" si="4"/>
        <v>0</v>
      </c>
      <c r="L23" s="37">
        <f t="shared" si="16"/>
        <v>25381</v>
      </c>
      <c r="M23" s="16">
        <f t="shared" si="5"/>
        <v>0</v>
      </c>
      <c r="N23" s="37">
        <f t="shared" si="17"/>
        <v>215887</v>
      </c>
      <c r="O23" s="16">
        <f t="shared" si="6"/>
        <v>0</v>
      </c>
      <c r="P23" s="37">
        <f t="shared" si="18"/>
        <v>122812</v>
      </c>
      <c r="Q23" s="16">
        <f t="shared" si="7"/>
        <v>0</v>
      </c>
      <c r="R23" s="1">
        <f t="shared" si="10"/>
        <v>55047</v>
      </c>
      <c r="S23" s="16">
        <f t="shared" si="8"/>
        <v>0</v>
      </c>
      <c r="T23" s="37">
        <f t="shared" si="19"/>
        <v>3773</v>
      </c>
      <c r="U23" s="16">
        <f t="shared" si="9"/>
        <v>0</v>
      </c>
    </row>
    <row r="24" spans="1:23" s="138" customFormat="1" ht="13.5" thickBot="1" x14ac:dyDescent="0.25">
      <c r="A24" s="10">
        <v>44461</v>
      </c>
      <c r="B24" s="37">
        <f t="shared" si="12"/>
        <v>45913</v>
      </c>
      <c r="C24" s="16">
        <f t="shared" si="0"/>
        <v>0</v>
      </c>
      <c r="D24" s="37">
        <f t="shared" si="13"/>
        <v>39852</v>
      </c>
      <c r="E24" s="16">
        <f t="shared" si="1"/>
        <v>0</v>
      </c>
      <c r="F24" s="37">
        <f t="shared" si="14"/>
        <v>20792</v>
      </c>
      <c r="G24" s="16">
        <f t="shared" si="2"/>
        <v>0</v>
      </c>
      <c r="H24" s="37">
        <f t="shared" si="15"/>
        <v>248330</v>
      </c>
      <c r="I24" s="16">
        <f t="shared" si="3"/>
        <v>0</v>
      </c>
      <c r="J24" s="37">
        <f t="shared" si="11"/>
        <v>303517</v>
      </c>
      <c r="K24" s="16">
        <f t="shared" si="4"/>
        <v>0</v>
      </c>
      <c r="L24" s="37">
        <f t="shared" si="16"/>
        <v>25381</v>
      </c>
      <c r="M24" s="16">
        <f t="shared" si="5"/>
        <v>0</v>
      </c>
      <c r="N24" s="37">
        <f t="shared" si="17"/>
        <v>215887</v>
      </c>
      <c r="O24" s="16">
        <f t="shared" si="6"/>
        <v>0</v>
      </c>
      <c r="P24" s="37">
        <f t="shared" si="18"/>
        <v>122812</v>
      </c>
      <c r="Q24" s="16">
        <f t="shared" si="7"/>
        <v>0</v>
      </c>
      <c r="R24" s="1">
        <f t="shared" si="10"/>
        <v>55047</v>
      </c>
      <c r="S24" s="16">
        <f t="shared" si="8"/>
        <v>0</v>
      </c>
      <c r="T24" s="37">
        <f t="shared" si="19"/>
        <v>3773</v>
      </c>
      <c r="U24" s="16">
        <f t="shared" si="9"/>
        <v>0</v>
      </c>
    </row>
    <row r="25" spans="1:23" ht="13.5" thickBot="1" x14ac:dyDescent="0.25">
      <c r="A25" s="10">
        <v>44462</v>
      </c>
      <c r="B25" s="37">
        <f t="shared" si="12"/>
        <v>45913</v>
      </c>
      <c r="C25" s="16">
        <f t="shared" si="0"/>
        <v>0</v>
      </c>
      <c r="D25" s="37">
        <f t="shared" si="13"/>
        <v>39852</v>
      </c>
      <c r="E25" s="16">
        <f t="shared" si="1"/>
        <v>0</v>
      </c>
      <c r="F25" s="37">
        <f t="shared" si="14"/>
        <v>20792</v>
      </c>
      <c r="G25" s="16">
        <f t="shared" si="2"/>
        <v>0</v>
      </c>
      <c r="H25" s="37">
        <f t="shared" si="15"/>
        <v>248330</v>
      </c>
      <c r="I25" s="16">
        <f t="shared" si="3"/>
        <v>0</v>
      </c>
      <c r="J25" s="37">
        <f t="shared" si="11"/>
        <v>303517</v>
      </c>
      <c r="K25" s="16">
        <f t="shared" si="4"/>
        <v>0</v>
      </c>
      <c r="L25" s="37">
        <f t="shared" si="16"/>
        <v>25381</v>
      </c>
      <c r="M25" s="16">
        <f t="shared" si="5"/>
        <v>0</v>
      </c>
      <c r="N25" s="37">
        <f t="shared" si="17"/>
        <v>215887</v>
      </c>
      <c r="O25" s="16">
        <f t="shared" si="6"/>
        <v>0</v>
      </c>
      <c r="P25" s="37">
        <f t="shared" si="18"/>
        <v>122812</v>
      </c>
      <c r="Q25" s="16">
        <f t="shared" si="7"/>
        <v>0</v>
      </c>
      <c r="R25" s="1">
        <f t="shared" si="10"/>
        <v>55047</v>
      </c>
      <c r="S25" s="16">
        <f t="shared" si="8"/>
        <v>0</v>
      </c>
      <c r="T25" s="37">
        <f t="shared" si="19"/>
        <v>3773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>
        <f t="shared" si="12"/>
        <v>45913</v>
      </c>
      <c r="C26" s="16">
        <f t="shared" si="0"/>
        <v>0</v>
      </c>
      <c r="D26" s="37">
        <f t="shared" si="13"/>
        <v>39852</v>
      </c>
      <c r="E26" s="16">
        <f t="shared" si="1"/>
        <v>0</v>
      </c>
      <c r="F26" s="37">
        <f t="shared" si="14"/>
        <v>20792</v>
      </c>
      <c r="G26" s="16">
        <f t="shared" si="2"/>
        <v>0</v>
      </c>
      <c r="H26" s="37">
        <f t="shared" si="15"/>
        <v>248330</v>
      </c>
      <c r="I26" s="16">
        <f t="shared" si="3"/>
        <v>0</v>
      </c>
      <c r="J26" s="37">
        <f t="shared" si="11"/>
        <v>303517</v>
      </c>
      <c r="K26" s="16">
        <f t="shared" si="4"/>
        <v>0</v>
      </c>
      <c r="L26" s="37">
        <f t="shared" si="16"/>
        <v>25381</v>
      </c>
      <c r="M26" s="16">
        <f t="shared" si="5"/>
        <v>0</v>
      </c>
      <c r="N26" s="37">
        <f t="shared" si="17"/>
        <v>215887</v>
      </c>
      <c r="O26" s="16">
        <f t="shared" si="6"/>
        <v>0</v>
      </c>
      <c r="P26" s="37">
        <f t="shared" si="18"/>
        <v>122812</v>
      </c>
      <c r="Q26" s="16">
        <f t="shared" si="7"/>
        <v>0</v>
      </c>
      <c r="R26" s="1">
        <f t="shared" si="10"/>
        <v>55047</v>
      </c>
      <c r="S26" s="16">
        <f t="shared" si="8"/>
        <v>0</v>
      </c>
      <c r="T26" s="37">
        <f t="shared" si="19"/>
        <v>3773</v>
      </c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>
        <f t="shared" si="12"/>
        <v>45913</v>
      </c>
      <c r="C27" s="16">
        <f t="shared" si="0"/>
        <v>0</v>
      </c>
      <c r="D27" s="37">
        <f t="shared" si="13"/>
        <v>39852</v>
      </c>
      <c r="E27" s="16">
        <f t="shared" si="1"/>
        <v>0</v>
      </c>
      <c r="F27" s="37">
        <f t="shared" si="14"/>
        <v>20792</v>
      </c>
      <c r="G27" s="16">
        <f t="shared" si="2"/>
        <v>0</v>
      </c>
      <c r="H27" s="37">
        <f t="shared" si="15"/>
        <v>248330</v>
      </c>
      <c r="I27" s="16">
        <f t="shared" si="3"/>
        <v>0</v>
      </c>
      <c r="J27" s="37">
        <f t="shared" si="11"/>
        <v>303517</v>
      </c>
      <c r="K27" s="16">
        <f t="shared" si="4"/>
        <v>0</v>
      </c>
      <c r="L27" s="37">
        <f t="shared" si="16"/>
        <v>25381</v>
      </c>
      <c r="M27" s="16">
        <f t="shared" si="5"/>
        <v>0</v>
      </c>
      <c r="N27" s="37">
        <f t="shared" si="17"/>
        <v>215887</v>
      </c>
      <c r="O27" s="16">
        <f t="shared" si="6"/>
        <v>0</v>
      </c>
      <c r="P27" s="37">
        <f t="shared" si="18"/>
        <v>122812</v>
      </c>
      <c r="Q27" s="16">
        <f t="shared" si="7"/>
        <v>0</v>
      </c>
      <c r="R27" s="1">
        <f t="shared" si="10"/>
        <v>55047</v>
      </c>
      <c r="S27" s="16">
        <f t="shared" si="8"/>
        <v>0</v>
      </c>
      <c r="T27" s="37">
        <f t="shared" si="19"/>
        <v>3773</v>
      </c>
      <c r="U27" s="16">
        <f t="shared" si="9"/>
        <v>0</v>
      </c>
    </row>
    <row r="28" spans="1:23" ht="13.5" thickBot="1" x14ac:dyDescent="0.25">
      <c r="A28" s="10">
        <v>44465</v>
      </c>
      <c r="B28" s="37">
        <f t="shared" si="12"/>
        <v>45913</v>
      </c>
      <c r="C28" s="16">
        <f t="shared" si="0"/>
        <v>0</v>
      </c>
      <c r="D28" s="37">
        <f t="shared" si="13"/>
        <v>39852</v>
      </c>
      <c r="E28" s="16">
        <f t="shared" si="1"/>
        <v>0</v>
      </c>
      <c r="F28" s="37">
        <f t="shared" si="14"/>
        <v>20792</v>
      </c>
      <c r="G28" s="16">
        <f t="shared" si="2"/>
        <v>0</v>
      </c>
      <c r="H28" s="37">
        <f t="shared" si="15"/>
        <v>248330</v>
      </c>
      <c r="I28" s="16">
        <f t="shared" si="3"/>
        <v>0</v>
      </c>
      <c r="J28" s="37">
        <f t="shared" si="11"/>
        <v>303517</v>
      </c>
      <c r="K28" s="16">
        <f t="shared" si="4"/>
        <v>0</v>
      </c>
      <c r="L28" s="37">
        <f t="shared" si="16"/>
        <v>25381</v>
      </c>
      <c r="M28" s="16">
        <f t="shared" si="5"/>
        <v>0</v>
      </c>
      <c r="N28" s="37">
        <f t="shared" si="17"/>
        <v>215887</v>
      </c>
      <c r="O28" s="16">
        <f t="shared" si="6"/>
        <v>0</v>
      </c>
      <c r="P28" s="37">
        <f t="shared" si="18"/>
        <v>122812</v>
      </c>
      <c r="Q28" s="17">
        <f t="shared" si="7"/>
        <v>0</v>
      </c>
      <c r="R28" s="1">
        <f t="shared" si="10"/>
        <v>55047</v>
      </c>
      <c r="S28" s="17">
        <f t="shared" si="8"/>
        <v>0</v>
      </c>
      <c r="T28" s="37">
        <f t="shared" si="19"/>
        <v>3773</v>
      </c>
      <c r="U28" s="16">
        <f t="shared" si="9"/>
        <v>0</v>
      </c>
    </row>
    <row r="29" spans="1:23" ht="13.5" thickBot="1" x14ac:dyDescent="0.25">
      <c r="A29" s="10">
        <v>44466</v>
      </c>
      <c r="B29" s="37">
        <f t="shared" si="12"/>
        <v>45913</v>
      </c>
      <c r="C29" s="16">
        <f t="shared" si="0"/>
        <v>0</v>
      </c>
      <c r="D29" s="37">
        <f t="shared" si="13"/>
        <v>39852</v>
      </c>
      <c r="E29" s="16">
        <f t="shared" si="1"/>
        <v>0</v>
      </c>
      <c r="F29" s="37">
        <f t="shared" si="14"/>
        <v>20792</v>
      </c>
      <c r="G29" s="16">
        <f t="shared" si="2"/>
        <v>0</v>
      </c>
      <c r="H29" s="37">
        <f t="shared" si="15"/>
        <v>248330</v>
      </c>
      <c r="I29" s="16">
        <f t="shared" si="3"/>
        <v>0</v>
      </c>
      <c r="J29" s="37">
        <f t="shared" si="11"/>
        <v>303517</v>
      </c>
      <c r="K29" s="16">
        <f t="shared" si="4"/>
        <v>0</v>
      </c>
      <c r="L29" s="37">
        <f t="shared" si="16"/>
        <v>25381</v>
      </c>
      <c r="M29" s="16">
        <f t="shared" si="5"/>
        <v>0</v>
      </c>
      <c r="N29" s="37">
        <f t="shared" si="17"/>
        <v>215887</v>
      </c>
      <c r="O29" s="16">
        <f t="shared" si="6"/>
        <v>0</v>
      </c>
      <c r="P29" s="37">
        <f t="shared" si="18"/>
        <v>122812</v>
      </c>
      <c r="Q29" s="16">
        <f t="shared" si="7"/>
        <v>0</v>
      </c>
      <c r="R29" s="1">
        <f t="shared" si="10"/>
        <v>55047</v>
      </c>
      <c r="S29" s="16">
        <f t="shared" si="8"/>
        <v>0</v>
      </c>
      <c r="T29" s="37">
        <f t="shared" si="19"/>
        <v>3773</v>
      </c>
      <c r="U29" s="16">
        <f t="shared" si="9"/>
        <v>0</v>
      </c>
    </row>
    <row r="30" spans="1:23" ht="13.5" thickBot="1" x14ac:dyDescent="0.25">
      <c r="A30" s="10">
        <v>44467</v>
      </c>
      <c r="B30" s="37">
        <f t="shared" si="12"/>
        <v>45913</v>
      </c>
      <c r="C30" s="16">
        <f t="shared" si="0"/>
        <v>0</v>
      </c>
      <c r="D30" s="37">
        <f t="shared" si="13"/>
        <v>39852</v>
      </c>
      <c r="E30" s="16">
        <f t="shared" si="1"/>
        <v>0</v>
      </c>
      <c r="F30" s="37">
        <f t="shared" si="14"/>
        <v>20792</v>
      </c>
      <c r="G30" s="16">
        <f t="shared" si="2"/>
        <v>0</v>
      </c>
      <c r="H30" s="37">
        <f t="shared" si="15"/>
        <v>248330</v>
      </c>
      <c r="I30" s="16">
        <f t="shared" si="3"/>
        <v>0</v>
      </c>
      <c r="J30" s="37">
        <f t="shared" si="11"/>
        <v>303517</v>
      </c>
      <c r="K30" s="16">
        <f t="shared" si="4"/>
        <v>0</v>
      </c>
      <c r="L30" s="37">
        <f t="shared" si="16"/>
        <v>25381</v>
      </c>
      <c r="M30" s="16">
        <f t="shared" si="5"/>
        <v>0</v>
      </c>
      <c r="N30" s="37">
        <f t="shared" si="17"/>
        <v>215887</v>
      </c>
      <c r="O30" s="16">
        <f t="shared" si="6"/>
        <v>0</v>
      </c>
      <c r="P30" s="37">
        <f t="shared" si="18"/>
        <v>122812</v>
      </c>
      <c r="Q30" s="16">
        <f t="shared" si="7"/>
        <v>0</v>
      </c>
      <c r="R30" s="1">
        <f t="shared" si="10"/>
        <v>55047</v>
      </c>
      <c r="S30" s="16">
        <f t="shared" si="8"/>
        <v>0</v>
      </c>
      <c r="T30" s="37">
        <f t="shared" si="19"/>
        <v>3773</v>
      </c>
      <c r="U30" s="16">
        <f t="shared" si="9"/>
        <v>0</v>
      </c>
    </row>
    <row r="31" spans="1:23" ht="13.5" thickBot="1" x14ac:dyDescent="0.25">
      <c r="A31" s="10">
        <v>44468</v>
      </c>
      <c r="B31" s="37">
        <f t="shared" si="12"/>
        <v>45913</v>
      </c>
      <c r="C31" s="16">
        <f t="shared" si="0"/>
        <v>0</v>
      </c>
      <c r="D31" s="37">
        <f t="shared" si="13"/>
        <v>39852</v>
      </c>
      <c r="E31" s="16">
        <f t="shared" si="1"/>
        <v>0</v>
      </c>
      <c r="F31" s="37">
        <f t="shared" si="14"/>
        <v>20792</v>
      </c>
      <c r="G31" s="16">
        <f t="shared" si="2"/>
        <v>0</v>
      </c>
      <c r="H31" s="37">
        <f t="shared" si="15"/>
        <v>248330</v>
      </c>
      <c r="I31" s="16">
        <f t="shared" si="3"/>
        <v>0</v>
      </c>
      <c r="J31" s="37">
        <f t="shared" si="11"/>
        <v>303517</v>
      </c>
      <c r="K31" s="16">
        <f t="shared" si="4"/>
        <v>0</v>
      </c>
      <c r="L31" s="37">
        <f t="shared" si="16"/>
        <v>25381</v>
      </c>
      <c r="M31" s="16">
        <f t="shared" si="5"/>
        <v>0</v>
      </c>
      <c r="N31" s="37">
        <f t="shared" si="17"/>
        <v>215887</v>
      </c>
      <c r="O31" s="16">
        <f t="shared" si="6"/>
        <v>0</v>
      </c>
      <c r="P31" s="37">
        <f t="shared" si="18"/>
        <v>122812</v>
      </c>
      <c r="Q31" s="16">
        <f t="shared" si="7"/>
        <v>0</v>
      </c>
      <c r="R31" s="1">
        <f t="shared" si="10"/>
        <v>55047</v>
      </c>
      <c r="S31" s="16">
        <f t="shared" si="8"/>
        <v>0</v>
      </c>
      <c r="T31" s="37">
        <f t="shared" si="19"/>
        <v>3773</v>
      </c>
      <c r="U31" s="16">
        <f t="shared" si="9"/>
        <v>0</v>
      </c>
    </row>
    <row r="32" spans="1:23" ht="15" customHeight="1" thickBot="1" x14ac:dyDescent="0.25">
      <c r="A32" s="10">
        <v>44469</v>
      </c>
      <c r="B32" s="37">
        <f t="shared" si="12"/>
        <v>45913</v>
      </c>
      <c r="C32" s="16">
        <f t="shared" si="0"/>
        <v>0</v>
      </c>
      <c r="D32" s="37">
        <f t="shared" si="13"/>
        <v>39852</v>
      </c>
      <c r="E32" s="16">
        <f t="shared" si="1"/>
        <v>0</v>
      </c>
      <c r="F32" s="37">
        <f t="shared" si="14"/>
        <v>20792</v>
      </c>
      <c r="G32" s="16">
        <f t="shared" si="2"/>
        <v>0</v>
      </c>
      <c r="H32" s="37">
        <f t="shared" si="15"/>
        <v>248330</v>
      </c>
      <c r="I32" s="16">
        <f t="shared" si="3"/>
        <v>0</v>
      </c>
      <c r="J32" s="37">
        <f t="shared" si="11"/>
        <v>303517</v>
      </c>
      <c r="K32" s="16">
        <f t="shared" si="4"/>
        <v>0</v>
      </c>
      <c r="L32" s="37">
        <f t="shared" si="16"/>
        <v>25381</v>
      </c>
      <c r="M32" s="16">
        <f t="shared" si="5"/>
        <v>0</v>
      </c>
      <c r="N32" s="37">
        <f t="shared" si="17"/>
        <v>215887</v>
      </c>
      <c r="O32" s="16">
        <f t="shared" si="6"/>
        <v>0</v>
      </c>
      <c r="P32" s="37">
        <f t="shared" si="18"/>
        <v>122812</v>
      </c>
      <c r="Q32" s="16">
        <f t="shared" si="7"/>
        <v>0</v>
      </c>
      <c r="R32" s="1">
        <f t="shared" si="10"/>
        <v>55047</v>
      </c>
      <c r="S32" s="16">
        <v>0</v>
      </c>
      <c r="T32" s="37">
        <f>T31</f>
        <v>3773</v>
      </c>
      <c r="U32" s="16">
        <f t="shared" si="9"/>
        <v>0</v>
      </c>
      <c r="V32" t="s">
        <v>12</v>
      </c>
    </row>
    <row r="33" spans="1:21" ht="13.5" thickBot="1" x14ac:dyDescent="0.25">
      <c r="A33" s="10"/>
      <c r="B33" s="37">
        <f t="shared" si="12"/>
        <v>45913</v>
      </c>
      <c r="C33" s="16">
        <f t="shared" si="0"/>
        <v>0</v>
      </c>
      <c r="D33" s="37">
        <f t="shared" si="13"/>
        <v>39852</v>
      </c>
      <c r="E33" s="16">
        <f t="shared" si="1"/>
        <v>0</v>
      </c>
      <c r="F33" s="37">
        <f t="shared" si="14"/>
        <v>20792</v>
      </c>
      <c r="G33" s="16">
        <f t="shared" si="2"/>
        <v>0</v>
      </c>
      <c r="H33" s="37">
        <f t="shared" si="15"/>
        <v>248330</v>
      </c>
      <c r="I33" s="16">
        <f t="shared" si="3"/>
        <v>0</v>
      </c>
      <c r="J33" s="37">
        <f t="shared" si="11"/>
        <v>303517</v>
      </c>
      <c r="K33" s="16">
        <f t="shared" si="4"/>
        <v>0</v>
      </c>
      <c r="L33" s="37">
        <f t="shared" si="16"/>
        <v>25381</v>
      </c>
      <c r="M33" s="16">
        <f t="shared" si="5"/>
        <v>0</v>
      </c>
      <c r="N33" s="37">
        <f t="shared" si="17"/>
        <v>215887</v>
      </c>
      <c r="O33" s="16">
        <f t="shared" si="6"/>
        <v>0</v>
      </c>
      <c r="P33" s="37">
        <f t="shared" si="18"/>
        <v>122812</v>
      </c>
      <c r="Q33" s="16">
        <f t="shared" si="7"/>
        <v>0</v>
      </c>
      <c r="R33" s="1">
        <f t="shared" si="10"/>
        <v>55047</v>
      </c>
      <c r="S33" s="16">
        <v>0</v>
      </c>
      <c r="T33" s="37">
        <f t="shared" si="19"/>
        <v>3773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13760</v>
      </c>
      <c r="D34" s="13"/>
      <c r="E34" s="11">
        <f>SUM(E3:E33)</f>
        <v>7520</v>
      </c>
      <c r="F34" s="13"/>
      <c r="G34" s="11">
        <f>SUM(G3:G33)</f>
        <v>1140</v>
      </c>
      <c r="H34" s="13"/>
      <c r="I34" s="11">
        <f>SUM(I3:I33)</f>
        <v>600</v>
      </c>
      <c r="J34" s="13"/>
      <c r="K34" s="11">
        <f>SUM(K3:K33)</f>
        <v>0</v>
      </c>
      <c r="L34" s="13"/>
      <c r="M34" s="11">
        <f>SUM(M3:M33)</f>
        <v>9600</v>
      </c>
      <c r="N34" s="38"/>
      <c r="O34" s="11">
        <f>SUM(O3:O33)</f>
        <v>51</v>
      </c>
      <c r="P34" s="13"/>
      <c r="Q34" s="11">
        <f>SUM(Q3:Q33)</f>
        <v>2319</v>
      </c>
      <c r="R34" s="1"/>
      <c r="S34" s="11">
        <f>SUM(S3:S33)</f>
        <v>0</v>
      </c>
      <c r="T34" s="1"/>
      <c r="U34" s="11">
        <f>SUM(U3:U33)</f>
        <v>2720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tabSelected="1" zoomScaleNormal="100" zoomScaleSheetLayoutView="110" workbookViewId="0">
      <pane ySplit="1" topLeftCell="A2" activePane="bottomLeft" state="frozen"/>
      <selection pane="bottomLeft" activeCell="A18" sqref="A18:XFD18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>
        <v>167</v>
      </c>
      <c r="C10" s="152">
        <v>18798</v>
      </c>
      <c r="D10" s="44">
        <f t="shared" si="0"/>
        <v>800</v>
      </c>
      <c r="E10" s="153">
        <v>27841722</v>
      </c>
      <c r="F10" s="44">
        <f t="shared" si="1"/>
        <v>14902</v>
      </c>
      <c r="G10" s="154">
        <v>88030861</v>
      </c>
      <c r="H10" s="44">
        <f t="shared" si="2"/>
        <v>52395</v>
      </c>
      <c r="I10" s="155">
        <f t="shared" si="3"/>
        <v>67297</v>
      </c>
      <c r="J10" s="153">
        <v>8651028</v>
      </c>
      <c r="K10" s="44">
        <f t="shared" si="4"/>
        <v>6603</v>
      </c>
      <c r="L10" s="156">
        <v>8615428</v>
      </c>
      <c r="M10" s="44">
        <f t="shared" si="5"/>
        <v>4848</v>
      </c>
      <c r="N10" s="153">
        <v>5779297</v>
      </c>
      <c r="O10" s="44">
        <f t="shared" si="12"/>
        <v>1890</v>
      </c>
      <c r="P10" s="156">
        <v>4790296</v>
      </c>
      <c r="Q10" s="44">
        <f t="shared" si="6"/>
        <v>12046</v>
      </c>
      <c r="R10" s="153">
        <v>18592624</v>
      </c>
      <c r="S10" s="44">
        <f t="shared" si="7"/>
        <v>10192</v>
      </c>
      <c r="T10" s="153">
        <v>0</v>
      </c>
      <c r="U10" s="157"/>
      <c r="V10" s="153">
        <v>6372492</v>
      </c>
      <c r="W10" s="44">
        <f t="shared" si="8"/>
        <v>11382</v>
      </c>
      <c r="X10" s="22">
        <f t="shared" si="9"/>
        <v>46961</v>
      </c>
      <c r="Y10" s="158">
        <f t="shared" si="10"/>
        <v>20336</v>
      </c>
      <c r="Z10" s="3">
        <f t="shared" si="11"/>
        <v>7253.8245728000002</v>
      </c>
      <c r="AA10" s="3">
        <f t="shared" si="13"/>
        <v>35303.809486400001</v>
      </c>
    </row>
    <row r="11" spans="1:27" ht="15.75" customHeight="1" thickBot="1" x14ac:dyDescent="0.3">
      <c r="A11" s="10">
        <v>44448</v>
      </c>
      <c r="B11" s="44">
        <v>200</v>
      </c>
      <c r="C11" s="152">
        <v>18804</v>
      </c>
      <c r="D11" s="44">
        <f t="shared" si="0"/>
        <v>960</v>
      </c>
      <c r="E11" s="153">
        <v>27862805</v>
      </c>
      <c r="F11" s="44">
        <f t="shared" si="1"/>
        <v>21083</v>
      </c>
      <c r="G11" s="154">
        <v>88103939</v>
      </c>
      <c r="H11" s="44">
        <f t="shared" si="2"/>
        <v>73078</v>
      </c>
      <c r="I11" s="155">
        <f t="shared" si="3"/>
        <v>94161</v>
      </c>
      <c r="J11" s="153">
        <v>8658535</v>
      </c>
      <c r="K11" s="44">
        <f t="shared" si="4"/>
        <v>7507</v>
      </c>
      <c r="L11" s="156">
        <v>8622273</v>
      </c>
      <c r="M11" s="44">
        <f t="shared" si="5"/>
        <v>6845</v>
      </c>
      <c r="N11" s="153">
        <v>5785306</v>
      </c>
      <c r="O11" s="44">
        <f t="shared" si="12"/>
        <v>12018</v>
      </c>
      <c r="P11" s="156">
        <v>4807538</v>
      </c>
      <c r="Q11" s="44">
        <f t="shared" si="6"/>
        <v>17242</v>
      </c>
      <c r="R11" s="153">
        <v>18607142</v>
      </c>
      <c r="S11" s="44">
        <f t="shared" si="7"/>
        <v>14518</v>
      </c>
      <c r="T11" s="153">
        <v>0</v>
      </c>
      <c r="U11" s="157"/>
      <c r="V11" s="153">
        <v>6387964</v>
      </c>
      <c r="W11" s="44">
        <f t="shared" si="8"/>
        <v>15472</v>
      </c>
      <c r="X11" s="22">
        <f t="shared" si="9"/>
        <v>73602</v>
      </c>
      <c r="Y11" s="158">
        <f t="shared" si="10"/>
        <v>20559</v>
      </c>
      <c r="Z11" s="3">
        <f t="shared" si="11"/>
        <v>11514.940527999999</v>
      </c>
      <c r="AA11" s="3">
        <f t="shared" si="13"/>
        <v>35479.415358400001</v>
      </c>
    </row>
    <row r="12" spans="1:27" ht="16.5" thickBot="1" x14ac:dyDescent="0.3">
      <c r="A12" s="10">
        <v>44449</v>
      </c>
      <c r="B12" s="44">
        <v>220</v>
      </c>
      <c r="C12" s="152">
        <v>18810</v>
      </c>
      <c r="D12" s="44">
        <f t="shared" si="0"/>
        <v>960</v>
      </c>
      <c r="E12" s="153">
        <v>27879145</v>
      </c>
      <c r="F12" s="44">
        <f t="shared" si="1"/>
        <v>16340</v>
      </c>
      <c r="G12" s="154">
        <v>88160379</v>
      </c>
      <c r="H12" s="44">
        <f t="shared" si="2"/>
        <v>56440</v>
      </c>
      <c r="I12" s="155">
        <f t="shared" si="3"/>
        <v>72780</v>
      </c>
      <c r="J12" s="153">
        <v>8664158</v>
      </c>
      <c r="K12" s="44">
        <f t="shared" si="4"/>
        <v>5623</v>
      </c>
      <c r="L12" s="156">
        <v>8627523</v>
      </c>
      <c r="M12" s="44">
        <f t="shared" si="5"/>
        <v>5250</v>
      </c>
      <c r="N12" s="153">
        <v>5790730</v>
      </c>
      <c r="O12" s="44">
        <f t="shared" si="12"/>
        <v>10848</v>
      </c>
      <c r="P12" s="156">
        <v>4820480</v>
      </c>
      <c r="Q12" s="44">
        <f t="shared" si="6"/>
        <v>12942</v>
      </c>
      <c r="R12" s="153">
        <v>18618626</v>
      </c>
      <c r="S12" s="44">
        <f t="shared" si="7"/>
        <v>11484</v>
      </c>
      <c r="T12" s="153">
        <v>0</v>
      </c>
      <c r="U12" s="157"/>
      <c r="V12" s="153">
        <v>6400215</v>
      </c>
      <c r="W12" s="44">
        <f t="shared" si="8"/>
        <v>12251</v>
      </c>
      <c r="X12" s="22">
        <f t="shared" si="9"/>
        <v>58398</v>
      </c>
      <c r="Y12" s="158">
        <f t="shared" si="10"/>
        <v>14382</v>
      </c>
      <c r="Z12" s="3">
        <f t="shared" si="11"/>
        <v>9204.8759920000011</v>
      </c>
      <c r="AA12" s="3">
        <f t="shared" si="13"/>
        <v>36339.078048000003</v>
      </c>
    </row>
    <row r="13" spans="1:27" ht="16.5" thickBot="1" x14ac:dyDescent="0.3">
      <c r="A13" s="10">
        <v>44450</v>
      </c>
      <c r="B13" s="44">
        <v>147</v>
      </c>
      <c r="C13" s="152">
        <v>18817</v>
      </c>
      <c r="D13" s="44">
        <f t="shared" si="0"/>
        <v>1120</v>
      </c>
      <c r="E13" s="153">
        <v>27891171</v>
      </c>
      <c r="F13" s="44">
        <f t="shared" si="1"/>
        <v>12026</v>
      </c>
      <c r="G13" s="154">
        <v>88223088</v>
      </c>
      <c r="H13" s="44">
        <f t="shared" si="2"/>
        <v>62709</v>
      </c>
      <c r="I13" s="155">
        <f t="shared" si="3"/>
        <v>74735</v>
      </c>
      <c r="J13" s="153">
        <v>8668774</v>
      </c>
      <c r="K13" s="44">
        <f t="shared" si="4"/>
        <v>4616</v>
      </c>
      <c r="L13" s="156">
        <v>8631402</v>
      </c>
      <c r="M13" s="44">
        <f t="shared" si="5"/>
        <v>3879</v>
      </c>
      <c r="N13" s="153">
        <v>5794750</v>
      </c>
      <c r="O13" s="44">
        <f t="shared" si="12"/>
        <v>8040</v>
      </c>
      <c r="P13" s="156">
        <v>4829980</v>
      </c>
      <c r="Q13" s="44">
        <f t="shared" si="6"/>
        <v>9500</v>
      </c>
      <c r="R13" s="153">
        <v>18627449</v>
      </c>
      <c r="S13" s="44">
        <f>IF((R13-R12)&lt;0,"0",(R13-R12))</f>
        <v>8823</v>
      </c>
      <c r="T13" s="153">
        <v>0</v>
      </c>
      <c r="U13" s="157"/>
      <c r="V13" s="153">
        <v>6409522</v>
      </c>
      <c r="W13" s="44">
        <f t="shared" si="8"/>
        <v>9307</v>
      </c>
      <c r="X13" s="22">
        <f t="shared" si="9"/>
        <v>44165</v>
      </c>
      <c r="Y13" s="158">
        <f t="shared" si="10"/>
        <v>30570</v>
      </c>
      <c r="Z13" s="3">
        <f t="shared" si="11"/>
        <v>6939.6572960000003</v>
      </c>
      <c r="AA13" s="3">
        <f t="shared" si="13"/>
        <v>34913.298388800002</v>
      </c>
    </row>
    <row r="14" spans="1:27" ht="16.5" thickBot="1" x14ac:dyDescent="0.3">
      <c r="A14" s="10">
        <v>44451</v>
      </c>
      <c r="B14" s="44">
        <v>150</v>
      </c>
      <c r="C14" s="152">
        <v>18823</v>
      </c>
      <c r="D14" s="44">
        <f t="shared" si="0"/>
        <v>960</v>
      </c>
      <c r="E14" s="153">
        <v>27905845</v>
      </c>
      <c r="F14" s="44">
        <f t="shared" si="1"/>
        <v>14674</v>
      </c>
      <c r="G14" s="154">
        <v>88254274</v>
      </c>
      <c r="H14" s="44">
        <f t="shared" si="2"/>
        <v>31186</v>
      </c>
      <c r="I14" s="155">
        <f t="shared" si="3"/>
        <v>45860</v>
      </c>
      <c r="J14" s="153">
        <v>8674420</v>
      </c>
      <c r="K14" s="44">
        <f t="shared" si="4"/>
        <v>5646</v>
      </c>
      <c r="L14" s="156">
        <v>8636270</v>
      </c>
      <c r="M14" s="44">
        <f t="shared" si="5"/>
        <v>4868</v>
      </c>
      <c r="N14" s="153">
        <v>5799574</v>
      </c>
      <c r="O14" s="44">
        <f t="shared" si="12"/>
        <v>9648</v>
      </c>
      <c r="P14" s="156">
        <v>4841566</v>
      </c>
      <c r="Q14" s="44">
        <f t="shared" si="6"/>
        <v>11586</v>
      </c>
      <c r="R14" s="153">
        <v>18637429</v>
      </c>
      <c r="S14" s="44">
        <f>IF((R14-R13)&lt;0,"0",(R14-R13))</f>
        <v>9980</v>
      </c>
      <c r="T14" s="153">
        <v>0</v>
      </c>
      <c r="U14" s="157"/>
      <c r="V14" s="153">
        <v>6420751</v>
      </c>
      <c r="W14" s="44">
        <f t="shared" si="8"/>
        <v>11229</v>
      </c>
      <c r="X14" s="22">
        <f t="shared" si="9"/>
        <v>52957</v>
      </c>
      <c r="Y14" s="158">
        <f t="shared" si="10"/>
        <v>-7097</v>
      </c>
      <c r="Z14" s="3">
        <f t="shared" si="11"/>
        <v>8221.7503887999992</v>
      </c>
      <c r="AA14" s="3">
        <f t="shared" si="13"/>
        <v>35881.224204800004</v>
      </c>
    </row>
    <row r="15" spans="1:27" ht="16.5" thickBot="1" x14ac:dyDescent="0.3">
      <c r="A15" s="10">
        <v>44452</v>
      </c>
      <c r="B15" s="44">
        <v>182</v>
      </c>
      <c r="C15" s="152">
        <v>18828</v>
      </c>
      <c r="D15" s="44">
        <f t="shared" si="0"/>
        <v>800</v>
      </c>
      <c r="E15" s="153">
        <v>27925214</v>
      </c>
      <c r="F15" s="44">
        <f t="shared" si="1"/>
        <v>19369</v>
      </c>
      <c r="G15" s="154">
        <v>88320993</v>
      </c>
      <c r="H15" s="44">
        <f t="shared" si="2"/>
        <v>66719</v>
      </c>
      <c r="I15" s="155">
        <f t="shared" si="3"/>
        <v>86088</v>
      </c>
      <c r="J15" s="153">
        <v>8681738</v>
      </c>
      <c r="K15" s="44">
        <f t="shared" si="4"/>
        <v>7318</v>
      </c>
      <c r="L15" s="156">
        <v>8642614</v>
      </c>
      <c r="M15" s="44">
        <f t="shared" si="5"/>
        <v>6344</v>
      </c>
      <c r="N15" s="153">
        <v>5805984</v>
      </c>
      <c r="O15" s="44">
        <f t="shared" si="12"/>
        <v>12820</v>
      </c>
      <c r="P15" s="156">
        <v>4857205</v>
      </c>
      <c r="Q15" s="44">
        <f t="shared" si="6"/>
        <v>15639</v>
      </c>
      <c r="R15" s="153">
        <v>18650227</v>
      </c>
      <c r="S15" s="44">
        <f>IF((R15-R14)&lt;0,"0",(R15-R14))</f>
        <v>12798</v>
      </c>
      <c r="T15" s="153">
        <v>0</v>
      </c>
      <c r="U15" s="157"/>
      <c r="V15" s="153">
        <v>6435280</v>
      </c>
      <c r="W15" s="44">
        <f t="shared" si="8"/>
        <v>14529</v>
      </c>
      <c r="X15" s="22">
        <f t="shared" si="9"/>
        <v>69448</v>
      </c>
      <c r="Y15" s="158">
        <f t="shared" si="10"/>
        <v>16640</v>
      </c>
      <c r="Z15" s="3">
        <f t="shared" si="11"/>
        <v>10752.6307824</v>
      </c>
      <c r="AA15" s="3">
        <f t="shared" si="13"/>
        <v>35118.914459200001</v>
      </c>
    </row>
    <row r="16" spans="1:27" ht="16.5" thickBot="1" x14ac:dyDescent="0.3">
      <c r="A16" s="10">
        <v>44453</v>
      </c>
      <c r="B16" s="44">
        <v>202</v>
      </c>
      <c r="C16" s="152">
        <v>18834</v>
      </c>
      <c r="D16" s="44">
        <f t="shared" si="0"/>
        <v>960</v>
      </c>
      <c r="E16" s="153">
        <v>27938447</v>
      </c>
      <c r="F16" s="44">
        <f t="shared" si="1"/>
        <v>13233</v>
      </c>
      <c r="G16" s="154">
        <v>88367299</v>
      </c>
      <c r="H16" s="44">
        <f t="shared" si="2"/>
        <v>46306</v>
      </c>
      <c r="I16" s="155">
        <f t="shared" si="3"/>
        <v>59539</v>
      </c>
      <c r="J16" s="153">
        <v>8687053</v>
      </c>
      <c r="K16" s="44">
        <f t="shared" si="4"/>
        <v>5315</v>
      </c>
      <c r="L16" s="156">
        <v>8646950</v>
      </c>
      <c r="M16" s="44">
        <f t="shared" si="5"/>
        <v>4336</v>
      </c>
      <c r="N16" s="153">
        <v>5810350</v>
      </c>
      <c r="O16" s="44">
        <f t="shared" si="12"/>
        <v>8732</v>
      </c>
      <c r="P16" s="156">
        <v>4868016</v>
      </c>
      <c r="Q16" s="44">
        <f t="shared" si="6"/>
        <v>10811</v>
      </c>
      <c r="R16" s="153">
        <v>18659021</v>
      </c>
      <c r="S16" s="44">
        <f t="shared" si="7"/>
        <v>8794</v>
      </c>
      <c r="T16" s="153">
        <v>0</v>
      </c>
      <c r="U16" s="157"/>
      <c r="V16" s="153">
        <v>6445334</v>
      </c>
      <c r="W16" s="44">
        <f t="shared" si="8"/>
        <v>10054</v>
      </c>
      <c r="X16" s="22">
        <f t="shared" si="9"/>
        <v>48042</v>
      </c>
      <c r="Y16" s="158">
        <f t="shared" si="10"/>
        <v>11497</v>
      </c>
      <c r="Z16" s="3">
        <f t="shared" si="11"/>
        <v>7403.8971136</v>
      </c>
      <c r="AA16" s="3">
        <f t="shared" si="13"/>
        <v>33317.935580799996</v>
      </c>
    </row>
    <row r="17" spans="1:27" s="136" customFormat="1" ht="16.5" thickBot="1" x14ac:dyDescent="0.3">
      <c r="A17" s="10">
        <v>44454</v>
      </c>
      <c r="B17" s="135">
        <v>255</v>
      </c>
      <c r="C17" s="152">
        <v>18840</v>
      </c>
      <c r="D17" s="44">
        <f t="shared" si="0"/>
        <v>960</v>
      </c>
      <c r="E17" s="153">
        <v>27952438</v>
      </c>
      <c r="F17" s="44">
        <f t="shared" si="1"/>
        <v>13991</v>
      </c>
      <c r="G17" s="154">
        <v>88416080</v>
      </c>
      <c r="H17" s="44">
        <f t="shared" si="2"/>
        <v>48781</v>
      </c>
      <c r="I17" s="159">
        <f t="shared" si="3"/>
        <v>62772</v>
      </c>
      <c r="J17" s="153">
        <v>8692153</v>
      </c>
      <c r="K17" s="44">
        <f t="shared" si="4"/>
        <v>5100</v>
      </c>
      <c r="L17" s="156">
        <v>8651586</v>
      </c>
      <c r="M17" s="135">
        <f t="shared" si="5"/>
        <v>4636</v>
      </c>
      <c r="N17" s="153">
        <v>5814947</v>
      </c>
      <c r="O17" s="135">
        <f t="shared" si="12"/>
        <v>9194</v>
      </c>
      <c r="P17" s="156">
        <v>4879335</v>
      </c>
      <c r="Q17" s="135">
        <f t="shared" si="6"/>
        <v>11319</v>
      </c>
      <c r="R17" s="153">
        <v>18668622</v>
      </c>
      <c r="S17" s="135">
        <f t="shared" si="7"/>
        <v>9601</v>
      </c>
      <c r="T17" s="160">
        <v>0</v>
      </c>
      <c r="U17" s="157"/>
      <c r="V17" s="153">
        <v>6456054</v>
      </c>
      <c r="W17" s="135">
        <f t="shared" si="8"/>
        <v>10720</v>
      </c>
      <c r="X17" s="22">
        <f t="shared" si="9"/>
        <v>50570</v>
      </c>
      <c r="Y17" s="161">
        <f t="shared" si="10"/>
        <v>12202</v>
      </c>
      <c r="Z17" s="162">
        <f t="shared" si="11"/>
        <v>7901.8415632000006</v>
      </c>
      <c r="AA17" s="162">
        <f t="shared" si="13"/>
        <v>34280.119848000002</v>
      </c>
    </row>
    <row r="18" spans="1:27" s="136" customFormat="1" ht="16.5" thickBot="1" x14ac:dyDescent="0.3">
      <c r="A18" s="10">
        <v>44455</v>
      </c>
      <c r="B18" s="135">
        <v>274</v>
      </c>
      <c r="C18" s="152">
        <v>18846</v>
      </c>
      <c r="D18" s="44">
        <f t="shared" si="0"/>
        <v>960</v>
      </c>
      <c r="E18" s="153">
        <v>27972695</v>
      </c>
      <c r="F18" s="44">
        <f t="shared" si="1"/>
        <v>20257</v>
      </c>
      <c r="G18" s="154">
        <v>88485742</v>
      </c>
      <c r="H18" s="44">
        <f t="shared" si="2"/>
        <v>69662</v>
      </c>
      <c r="I18" s="159">
        <f t="shared" si="3"/>
        <v>89919</v>
      </c>
      <c r="J18" s="153">
        <v>8700076</v>
      </c>
      <c r="K18" s="44">
        <f t="shared" si="4"/>
        <v>7923</v>
      </c>
      <c r="L18" s="156">
        <v>8658609</v>
      </c>
      <c r="M18" s="135">
        <f t="shared" si="5"/>
        <v>7023</v>
      </c>
      <c r="N18" s="153">
        <v>5821460</v>
      </c>
      <c r="O18" s="135">
        <f t="shared" si="12"/>
        <v>13026</v>
      </c>
      <c r="P18" s="156">
        <v>4894930</v>
      </c>
      <c r="Q18" s="135">
        <f t="shared" si="6"/>
        <v>15595</v>
      </c>
      <c r="R18" s="153">
        <v>18682159</v>
      </c>
      <c r="S18" s="135">
        <f t="shared" si="7"/>
        <v>13537</v>
      </c>
      <c r="T18" s="160">
        <v>0</v>
      </c>
      <c r="U18" s="157"/>
      <c r="V18" s="153">
        <v>6471365</v>
      </c>
      <c r="W18" s="135">
        <f t="shared" si="8"/>
        <v>15311</v>
      </c>
      <c r="X18" s="22">
        <f t="shared" si="9"/>
        <v>72415</v>
      </c>
      <c r="Y18" s="161">
        <f t="shared" si="10"/>
        <v>17504</v>
      </c>
      <c r="Z18" s="162">
        <f t="shared" si="11"/>
        <v>11145.2530176</v>
      </c>
      <c r="AA18" s="162">
        <f t="shared" si="13"/>
        <v>37203.622476799996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 t="str">
        <f t="shared" si="1"/>
        <v>0</v>
      </c>
      <c r="G19" s="154"/>
      <c r="H19" s="44" t="str">
        <f t="shared" si="2"/>
        <v>0</v>
      </c>
      <c r="I19" s="159">
        <f t="shared" si="3"/>
        <v>0</v>
      </c>
      <c r="J19" s="153"/>
      <c r="K19" s="44" t="str">
        <f t="shared" si="4"/>
        <v>0</v>
      </c>
      <c r="L19" s="156"/>
      <c r="M19" s="135" t="str">
        <f t="shared" si="5"/>
        <v>0</v>
      </c>
      <c r="N19" s="153"/>
      <c r="O19" s="135">
        <f t="shared" si="12"/>
        <v>0</v>
      </c>
      <c r="P19" s="156"/>
      <c r="Q19" s="135" t="str">
        <f t="shared" si="6"/>
        <v>0</v>
      </c>
      <c r="R19" s="153"/>
      <c r="S19" s="135" t="str">
        <f t="shared" si="7"/>
        <v>0</v>
      </c>
      <c r="T19" s="160">
        <v>0</v>
      </c>
      <c r="U19" s="157"/>
      <c r="V19" s="153"/>
      <c r="W19" s="135" t="str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26450.9916944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19047.0945808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11145.2530176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/>
      <c r="H33" s="44">
        <f t="shared" si="2"/>
        <v>0</v>
      </c>
      <c r="I33" s="22">
        <f>F33+H33</f>
        <v>0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0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2779</v>
      </c>
      <c r="C34" s="144"/>
      <c r="D34" s="144">
        <f>SUM(D2:D33)</f>
        <v>16000</v>
      </c>
      <c r="E34" s="61">
        <v>0</v>
      </c>
      <c r="F34" s="61">
        <f>SUM(F2:F33)</f>
        <v>267007</v>
      </c>
      <c r="G34" s="61">
        <v>0</v>
      </c>
      <c r="H34" s="61">
        <f>SUM(H2:H33)</f>
        <v>886900</v>
      </c>
      <c r="I34" s="61">
        <f>SUM(I5:I33)</f>
        <v>989668</v>
      </c>
      <c r="J34" s="61">
        <v>0</v>
      </c>
      <c r="K34" s="61">
        <f>SUM(K2:K33)</f>
        <v>91957</v>
      </c>
      <c r="L34" s="61">
        <v>0</v>
      </c>
      <c r="M34" s="61">
        <f>SUM(M2:M33)</f>
        <v>88857</v>
      </c>
      <c r="N34" s="61">
        <v>0</v>
      </c>
      <c r="O34" s="61">
        <f>SUM(O2:O33)</f>
        <v>175234</v>
      </c>
      <c r="P34" s="61">
        <v>0</v>
      </c>
      <c r="Q34" s="61">
        <f>SUM(Q2:Q33)</f>
        <v>208339</v>
      </c>
      <c r="R34" s="61">
        <v>0</v>
      </c>
      <c r="S34" s="61">
        <f>SUM(S2:S33)</f>
        <v>173955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193677</v>
      </c>
      <c r="X34" s="61">
        <f>SUM(X5:X33)</f>
        <v>797352</v>
      </c>
      <c r="Y34" s="61">
        <f>SUM(Y2:Y33)</f>
        <v>221888</v>
      </c>
      <c r="Z34" s="61">
        <f>SUM(Z2:Z33)</f>
        <v>144758.9704704</v>
      </c>
      <c r="AA34" s="61">
        <f>SUM(AA2:AA33)</f>
        <v>569121.16695200012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>
        <v>424333</v>
      </c>
      <c r="C11" s="44">
        <f t="shared" si="6"/>
        <v>1040</v>
      </c>
      <c r="D11" s="3">
        <v>4377000</v>
      </c>
      <c r="E11" s="44">
        <f t="shared" si="1"/>
        <v>0</v>
      </c>
      <c r="F11" s="3">
        <v>5372600</v>
      </c>
      <c r="G11" s="44">
        <f t="shared" si="4"/>
        <v>515.70000000000005</v>
      </c>
      <c r="H11" s="3">
        <v>746268</v>
      </c>
      <c r="I11" s="49">
        <f t="shared" si="5"/>
        <v>4.1040000000000001</v>
      </c>
      <c r="J11" s="22">
        <f t="shared" si="2"/>
        <v>1559.8040000000001</v>
      </c>
      <c r="K11" s="23">
        <f t="shared" si="3"/>
        <v>9140.4514400000007</v>
      </c>
      <c r="N11" t="s">
        <v>12</v>
      </c>
    </row>
    <row r="12" spans="1:14" ht="16.5" thickBot="1" x14ac:dyDescent="0.3">
      <c r="A12" s="10">
        <v>44449</v>
      </c>
      <c r="B12" s="3">
        <v>424437</v>
      </c>
      <c r="C12" s="44">
        <f t="shared" si="6"/>
        <v>1040</v>
      </c>
      <c r="D12" s="3">
        <v>4377000</v>
      </c>
      <c r="E12" s="44">
        <f t="shared" si="1"/>
        <v>0</v>
      </c>
      <c r="F12" s="3">
        <v>5391100</v>
      </c>
      <c r="G12" s="44">
        <f t="shared" si="4"/>
        <v>499.5</v>
      </c>
      <c r="H12" s="3">
        <v>746424</v>
      </c>
      <c r="I12" s="49">
        <f t="shared" si="5"/>
        <v>4.2119999999999997</v>
      </c>
      <c r="J12" s="22">
        <f t="shared" si="2"/>
        <v>1543.712</v>
      </c>
      <c r="K12" s="23">
        <f t="shared" si="3"/>
        <v>9046.1523200000011</v>
      </c>
    </row>
    <row r="13" spans="1:14" ht="16.5" thickBot="1" x14ac:dyDescent="0.3">
      <c r="A13" s="10">
        <v>44450</v>
      </c>
      <c r="B13" s="3">
        <v>424516</v>
      </c>
      <c r="C13" s="44">
        <f t="shared" si="6"/>
        <v>790</v>
      </c>
      <c r="D13" s="3">
        <v>4377000</v>
      </c>
      <c r="E13" s="44">
        <f t="shared" si="1"/>
        <v>0</v>
      </c>
      <c r="F13" s="3">
        <v>5407700</v>
      </c>
      <c r="G13" s="44">
        <f t="shared" si="4"/>
        <v>448.2</v>
      </c>
      <c r="H13" s="3">
        <v>746580</v>
      </c>
      <c r="I13" s="49">
        <f t="shared" si="5"/>
        <v>4.2119999999999997</v>
      </c>
      <c r="J13" s="22">
        <f t="shared" si="2"/>
        <v>1242.412</v>
      </c>
      <c r="K13" s="23">
        <f t="shared" si="3"/>
        <v>7280.5343200000007</v>
      </c>
    </row>
    <row r="14" spans="1:14" ht="16.5" thickBot="1" x14ac:dyDescent="0.3">
      <c r="A14" s="10">
        <v>44451</v>
      </c>
      <c r="B14" s="3">
        <v>424647</v>
      </c>
      <c r="C14" s="44">
        <f t="shared" si="6"/>
        <v>1310</v>
      </c>
      <c r="D14" s="3">
        <v>4377000</v>
      </c>
      <c r="E14" s="44">
        <f t="shared" si="1"/>
        <v>0</v>
      </c>
      <c r="F14" s="3">
        <v>5427900</v>
      </c>
      <c r="G14" s="44">
        <v>202</v>
      </c>
      <c r="H14" s="3">
        <v>746795</v>
      </c>
      <c r="I14" s="49">
        <f t="shared" si="5"/>
        <v>5.8049999999999997</v>
      </c>
      <c r="J14" s="22">
        <f t="shared" si="2"/>
        <v>1517.8050000000001</v>
      </c>
      <c r="K14" s="23">
        <f t="shared" si="3"/>
        <v>8894.3373000000011</v>
      </c>
    </row>
    <row r="15" spans="1:14" ht="16.5" thickBot="1" x14ac:dyDescent="0.3">
      <c r="A15" s="10">
        <v>44452</v>
      </c>
      <c r="B15" s="3">
        <v>424754</v>
      </c>
      <c r="C15" s="44">
        <f t="shared" si="6"/>
        <v>1070</v>
      </c>
      <c r="D15" s="3">
        <v>4377000</v>
      </c>
      <c r="E15" s="44">
        <f t="shared" si="1"/>
        <v>0</v>
      </c>
      <c r="F15" s="3">
        <v>5444800</v>
      </c>
      <c r="G15" s="44">
        <f t="shared" si="4"/>
        <v>456.3</v>
      </c>
      <c r="H15" s="3">
        <v>746975</v>
      </c>
      <c r="I15" s="49">
        <f t="shared" si="5"/>
        <v>4.8600000000000003</v>
      </c>
      <c r="J15" s="22">
        <f t="shared" si="2"/>
        <v>1531.1599999999999</v>
      </c>
      <c r="K15" s="23">
        <f t="shared" si="3"/>
        <v>8972.5975999999991</v>
      </c>
    </row>
    <row r="16" spans="1:14" ht="16.5" thickBot="1" x14ac:dyDescent="0.3">
      <c r="A16" s="10">
        <v>44453</v>
      </c>
      <c r="B16" s="3">
        <v>424854</v>
      </c>
      <c r="C16" s="44">
        <f t="shared" si="6"/>
        <v>1000</v>
      </c>
      <c r="D16" s="3">
        <v>4377000</v>
      </c>
      <c r="E16" s="44">
        <f t="shared" si="1"/>
        <v>0</v>
      </c>
      <c r="F16" s="3">
        <v>5462600</v>
      </c>
      <c r="G16" s="44">
        <f t="shared" si="4"/>
        <v>480.6</v>
      </c>
      <c r="H16" s="3">
        <v>747142</v>
      </c>
      <c r="I16" s="49">
        <f t="shared" si="5"/>
        <v>4.5090000000000003</v>
      </c>
      <c r="J16" s="22">
        <f t="shared" si="2"/>
        <v>1485.1089999999999</v>
      </c>
      <c r="K16" s="23">
        <f t="shared" si="3"/>
        <v>8702.7387400000007</v>
      </c>
    </row>
    <row r="17" spans="1:25" ht="16.5" thickBot="1" x14ac:dyDescent="0.3">
      <c r="A17" s="10">
        <v>44454</v>
      </c>
      <c r="B17" s="3">
        <v>424954</v>
      </c>
      <c r="C17" s="44">
        <f t="shared" si="6"/>
        <v>1000</v>
      </c>
      <c r="D17" s="3">
        <v>4377000</v>
      </c>
      <c r="E17" s="44">
        <f t="shared" si="1"/>
        <v>0</v>
      </c>
      <c r="F17" s="3">
        <v>5481000</v>
      </c>
      <c r="G17" s="44">
        <f t="shared" si="4"/>
        <v>496.8</v>
      </c>
      <c r="H17" s="3">
        <v>747327</v>
      </c>
      <c r="I17" s="49">
        <f t="shared" si="5"/>
        <v>4.9950000000000001</v>
      </c>
      <c r="J17" s="22">
        <f t="shared" si="2"/>
        <v>1501.7949999999998</v>
      </c>
      <c r="K17" s="23">
        <f t="shared" si="3"/>
        <v>8800.5186999999987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>
        <v>425062</v>
      </c>
      <c r="C18" s="44">
        <f t="shared" si="6"/>
        <v>1080</v>
      </c>
      <c r="D18" s="3">
        <v>4377000</v>
      </c>
      <c r="E18" s="44">
        <f t="shared" si="1"/>
        <v>0</v>
      </c>
      <c r="F18" s="3">
        <v>5500500</v>
      </c>
      <c r="G18" s="44">
        <f t="shared" si="4"/>
        <v>526.5</v>
      </c>
      <c r="H18" s="3">
        <v>747518</v>
      </c>
      <c r="I18" s="49">
        <f t="shared" si="5"/>
        <v>5.157</v>
      </c>
      <c r="J18" s="22">
        <f t="shared" si="2"/>
        <v>1611.6569999999999</v>
      </c>
      <c r="K18" s="23">
        <f t="shared" si="3"/>
        <v>9444.3100200000008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16620</v>
      </c>
      <c r="D34" s="3"/>
      <c r="E34" s="61">
        <f>SUM(E3:E33)</f>
        <v>0</v>
      </c>
      <c r="F34" s="3"/>
      <c r="G34" s="61">
        <f>SUM(G3:G33)</f>
        <v>7897</v>
      </c>
      <c r="H34" s="3"/>
      <c r="I34" s="61">
        <f>SUM(I3:I33)</f>
        <v>71.414999999999992</v>
      </c>
      <c r="J34" s="61">
        <f>SUM(J3:J33)</f>
        <v>24588.414999999997</v>
      </c>
      <c r="K34" s="61">
        <f>SUM(K3:K33)</f>
        <v>144088.11189999999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8" sqref="A18:XFD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>
        <v>17590600</v>
      </c>
      <c r="C11" s="50">
        <f>IF((B11-B10)&lt;0,"0",(B11-B10))</f>
        <v>2010</v>
      </c>
    </row>
    <row r="12" spans="1:9" ht="24" thickBot="1" x14ac:dyDescent="0.4">
      <c r="A12" s="10">
        <v>44449</v>
      </c>
      <c r="B12" s="139">
        <v>17592688</v>
      </c>
      <c r="C12" s="50">
        <f t="shared" si="0"/>
        <v>2088</v>
      </c>
    </row>
    <row r="13" spans="1:9" ht="24" thickBot="1" x14ac:dyDescent="0.4">
      <c r="A13" s="10">
        <v>44450</v>
      </c>
      <c r="B13" s="139">
        <v>17595369</v>
      </c>
      <c r="C13" s="50">
        <f t="shared" si="0"/>
        <v>2681</v>
      </c>
    </row>
    <row r="14" spans="1:9" ht="24" thickBot="1" x14ac:dyDescent="0.4">
      <c r="A14" s="10">
        <v>44451</v>
      </c>
      <c r="B14" s="139">
        <v>17597554</v>
      </c>
      <c r="C14" s="50">
        <f t="shared" si="0"/>
        <v>2185</v>
      </c>
    </row>
    <row r="15" spans="1:9" ht="24" thickBot="1" x14ac:dyDescent="0.4">
      <c r="A15" s="10">
        <v>44452</v>
      </c>
      <c r="B15" s="139">
        <v>17599765</v>
      </c>
      <c r="C15" s="50">
        <f t="shared" si="0"/>
        <v>2211</v>
      </c>
      <c r="I15" t="s">
        <v>12</v>
      </c>
    </row>
    <row r="16" spans="1:9" ht="26.25" customHeight="1" thickBot="1" x14ac:dyDescent="0.4">
      <c r="A16" s="10">
        <v>44453</v>
      </c>
      <c r="B16" s="139">
        <v>17601968</v>
      </c>
      <c r="C16" s="50">
        <f t="shared" si="0"/>
        <v>2203</v>
      </c>
    </row>
    <row r="17" spans="1:9" ht="25.5" customHeight="1" thickBot="1" x14ac:dyDescent="0.4">
      <c r="A17" s="10">
        <v>44454</v>
      </c>
      <c r="B17" s="139">
        <v>17604120</v>
      </c>
      <c r="C17" s="50">
        <f t="shared" si="0"/>
        <v>2152</v>
      </c>
      <c r="F17" s="137"/>
    </row>
    <row r="18" spans="1:9" ht="24" thickBot="1" x14ac:dyDescent="0.4">
      <c r="A18" s="10">
        <v>44455</v>
      </c>
      <c r="B18" s="139">
        <v>17606334</v>
      </c>
      <c r="C18" s="50">
        <f t="shared" si="0"/>
        <v>2214</v>
      </c>
    </row>
    <row r="19" spans="1:9" ht="24" thickBot="1" x14ac:dyDescent="0.4">
      <c r="A19" s="10">
        <v>44456</v>
      </c>
      <c r="B19" s="139"/>
      <c r="C19" s="50" t="str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35545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146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145</v>
      </c>
      <c r="X2" s="167" t="s">
        <v>143</v>
      </c>
      <c r="Y2" s="167" t="s">
        <v>147</v>
      </c>
      <c r="Z2" s="167" t="s">
        <v>144</v>
      </c>
      <c r="AA2" s="167" t="s">
        <v>147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143130</v>
      </c>
      <c r="Y10" s="167">
        <f t="shared" si="13"/>
        <v>13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>
        <v>22111.210999999999</v>
      </c>
      <c r="C11" s="49">
        <f t="shared" si="11"/>
        <v>14.138999999999214</v>
      </c>
      <c r="D11" s="33">
        <f t="shared" si="0"/>
        <v>26864.099999998503</v>
      </c>
      <c r="E11" s="1">
        <v>3896.4949999999999</v>
      </c>
      <c r="F11" s="49">
        <f t="shared" si="1"/>
        <v>3.2950000000000728</v>
      </c>
      <c r="G11" s="33">
        <f t="shared" si="2"/>
        <v>6260.5000000001382</v>
      </c>
      <c r="H11" s="1">
        <v>3982</v>
      </c>
      <c r="I11" s="49">
        <f t="shared" si="3"/>
        <v>10</v>
      </c>
      <c r="J11" s="33">
        <f t="shared" si="4"/>
        <v>19000</v>
      </c>
      <c r="K11" s="7">
        <v>13691.52</v>
      </c>
      <c r="L11" s="49">
        <f t="shared" si="5"/>
        <v>1.9400000000005093</v>
      </c>
      <c r="M11" s="33">
        <f t="shared" si="6"/>
        <v>3686.0000000009677</v>
      </c>
      <c r="N11" s="7">
        <v>3208.5709999999999</v>
      </c>
      <c r="O11" s="49">
        <f t="shared" si="7"/>
        <v>1.9919999999997344</v>
      </c>
      <c r="P11" s="33">
        <f t="shared" si="8"/>
        <v>3784.7999999994954</v>
      </c>
      <c r="Q11" s="7">
        <v>5118.09</v>
      </c>
      <c r="R11" s="49">
        <f t="shared" si="9"/>
        <v>2.3900000000003274</v>
      </c>
      <c r="S11" s="33">
        <f t="shared" si="10"/>
        <v>4541.0000000006221</v>
      </c>
      <c r="T11" s="8">
        <f t="shared" si="15"/>
        <v>33.755999999999858</v>
      </c>
      <c r="U11" s="35">
        <f t="shared" si="12"/>
        <v>64136.399999999725</v>
      </c>
      <c r="W11" s="166">
        <v>44448</v>
      </c>
      <c r="X11" s="167">
        <v>143254</v>
      </c>
      <c r="Y11" s="167">
        <f t="shared" si="13"/>
        <v>124</v>
      </c>
      <c r="Z11" s="167">
        <v>7238</v>
      </c>
      <c r="AA11" s="167">
        <f t="shared" si="14"/>
        <v>11</v>
      </c>
    </row>
    <row r="12" spans="1:27" ht="16.5" thickBot="1" x14ac:dyDescent="0.25">
      <c r="A12" s="10">
        <v>44449</v>
      </c>
      <c r="B12" s="170">
        <v>22126.253000000001</v>
      </c>
      <c r="C12" s="49">
        <f t="shared" si="11"/>
        <v>15.042000000001281</v>
      </c>
      <c r="D12" s="33">
        <f t="shared" si="0"/>
        <v>28579.800000002433</v>
      </c>
      <c r="E12" s="1">
        <v>3898.89</v>
      </c>
      <c r="F12" s="49">
        <f t="shared" si="1"/>
        <v>2.3949999999999818</v>
      </c>
      <c r="G12" s="33">
        <f t="shared" si="2"/>
        <v>4550.4999999999645</v>
      </c>
      <c r="H12" s="1">
        <v>3990</v>
      </c>
      <c r="I12" s="49">
        <f t="shared" si="3"/>
        <v>8</v>
      </c>
      <c r="J12" s="33">
        <f t="shared" si="4"/>
        <v>15200</v>
      </c>
      <c r="K12" s="7">
        <v>13693.78</v>
      </c>
      <c r="L12" s="49">
        <f t="shared" si="5"/>
        <v>2.2600000000002183</v>
      </c>
      <c r="M12" s="33">
        <f t="shared" si="6"/>
        <v>4294.0000000004147</v>
      </c>
      <c r="N12" s="7">
        <v>3210.4360000000001</v>
      </c>
      <c r="O12" s="49">
        <f t="shared" si="7"/>
        <v>1.8650000000002365</v>
      </c>
      <c r="P12" s="33">
        <f t="shared" si="8"/>
        <v>3543.5000000004493</v>
      </c>
      <c r="Q12" s="7">
        <v>5120.2</v>
      </c>
      <c r="R12" s="49">
        <f t="shared" si="9"/>
        <v>2.1099999999996726</v>
      </c>
      <c r="S12" s="33">
        <f t="shared" si="10"/>
        <v>4008.9999999993779</v>
      </c>
      <c r="T12" s="8">
        <f t="shared" si="15"/>
        <v>31.67200000000139</v>
      </c>
      <c r="U12" s="35">
        <f t="shared" si="12"/>
        <v>60176.800000002637</v>
      </c>
      <c r="W12" s="166">
        <v>44449</v>
      </c>
      <c r="X12" s="167">
        <v>143475</v>
      </c>
      <c r="Y12" s="167">
        <f t="shared" si="13"/>
        <v>221</v>
      </c>
      <c r="Z12" s="167">
        <v>7248</v>
      </c>
      <c r="AA12" s="167">
        <f t="shared" si="14"/>
        <v>10</v>
      </c>
    </row>
    <row r="13" spans="1:27" ht="16.5" thickBot="1" x14ac:dyDescent="0.25">
      <c r="A13" s="10">
        <v>44450</v>
      </c>
      <c r="B13" s="170">
        <v>22140.025000000001</v>
      </c>
      <c r="C13" s="49">
        <f t="shared" si="11"/>
        <v>13.772000000000844</v>
      </c>
      <c r="D13" s="33">
        <f t="shared" si="0"/>
        <v>26166.8000000016</v>
      </c>
      <c r="E13" s="1">
        <v>3901.346</v>
      </c>
      <c r="F13" s="49">
        <f t="shared" si="1"/>
        <v>2.456000000000131</v>
      </c>
      <c r="G13" s="33">
        <f t="shared" si="2"/>
        <v>4666.4000000002488</v>
      </c>
      <c r="H13" s="1">
        <v>3998</v>
      </c>
      <c r="I13" s="49">
        <f t="shared" si="3"/>
        <v>8</v>
      </c>
      <c r="J13" s="33">
        <f t="shared" si="4"/>
        <v>15200</v>
      </c>
      <c r="K13" s="7">
        <v>13696.6</v>
      </c>
      <c r="L13" s="49">
        <f t="shared" si="5"/>
        <v>2.819999999999709</v>
      </c>
      <c r="M13" s="33">
        <f t="shared" si="6"/>
        <v>5357.999999999447</v>
      </c>
      <c r="N13" s="7">
        <v>3212.2</v>
      </c>
      <c r="O13" s="49">
        <f t="shared" si="7"/>
        <v>1.7639999999996689</v>
      </c>
      <c r="P13" s="33">
        <f t="shared" si="8"/>
        <v>3351.5999999993705</v>
      </c>
      <c r="Q13" s="7">
        <v>5122.42</v>
      </c>
      <c r="R13" s="49">
        <f t="shared" si="9"/>
        <v>2.2200000000002547</v>
      </c>
      <c r="S13" s="33">
        <f t="shared" si="10"/>
        <v>4218.0000000004839</v>
      </c>
      <c r="T13" s="8">
        <f t="shared" si="15"/>
        <v>31.032000000000608</v>
      </c>
      <c r="U13" s="35">
        <f t="shared" si="12"/>
        <v>58960.800000001153</v>
      </c>
      <c r="W13" s="166">
        <v>44450</v>
      </c>
      <c r="X13" s="167"/>
      <c r="Y13" s="167">
        <f t="shared" si="13"/>
        <v>-143475</v>
      </c>
      <c r="Z13" s="167"/>
      <c r="AA13" s="167">
        <f t="shared" si="14"/>
        <v>-7248</v>
      </c>
    </row>
    <row r="14" spans="1:27" ht="16.5" thickBot="1" x14ac:dyDescent="0.25">
      <c r="A14" s="10">
        <v>44451</v>
      </c>
      <c r="B14" s="170">
        <v>22151.261999999999</v>
      </c>
      <c r="C14" s="49">
        <f t="shared" si="11"/>
        <v>11.236999999997352</v>
      </c>
      <c r="D14" s="33">
        <f t="shared" si="0"/>
        <v>21350.299999994968</v>
      </c>
      <c r="E14" s="1">
        <v>3904.4690000000001</v>
      </c>
      <c r="F14" s="49">
        <f t="shared" si="1"/>
        <v>3.1230000000000473</v>
      </c>
      <c r="G14" s="33">
        <f t="shared" si="2"/>
        <v>5933.7000000000899</v>
      </c>
      <c r="H14" s="1">
        <v>4005</v>
      </c>
      <c r="I14" s="49">
        <f t="shared" si="3"/>
        <v>7</v>
      </c>
      <c r="J14" s="33">
        <f t="shared" si="4"/>
        <v>13299.999999999998</v>
      </c>
      <c r="K14" s="7">
        <v>13698.66</v>
      </c>
      <c r="L14" s="49">
        <f t="shared" si="5"/>
        <v>2.0599999999994907</v>
      </c>
      <c r="M14" s="33">
        <f t="shared" si="6"/>
        <v>3913.9999999990318</v>
      </c>
      <c r="N14" s="7">
        <v>3213.7440000000001</v>
      </c>
      <c r="O14" s="49">
        <f t="shared" si="7"/>
        <v>1.5440000000003238</v>
      </c>
      <c r="P14" s="33">
        <f t="shared" si="8"/>
        <v>2933.6000000006147</v>
      </c>
      <c r="Q14" s="7">
        <v>5125.3</v>
      </c>
      <c r="R14" s="49">
        <f t="shared" si="9"/>
        <v>2.8800000000001091</v>
      </c>
      <c r="S14" s="33">
        <f t="shared" si="10"/>
        <v>5472.0000000002074</v>
      </c>
      <c r="T14" s="8">
        <f t="shared" si="15"/>
        <v>27.843999999997322</v>
      </c>
      <c r="U14" s="35">
        <f t="shared" si="12"/>
        <v>52903.599999994913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>
        <v>22163.078000000001</v>
      </c>
      <c r="C15" s="49">
        <f t="shared" si="11"/>
        <v>11.816000000002532</v>
      </c>
      <c r="D15" s="33">
        <f t="shared" si="0"/>
        <v>22450.400000004807</v>
      </c>
      <c r="E15" s="1">
        <v>3907.498</v>
      </c>
      <c r="F15" s="49">
        <f t="shared" si="1"/>
        <v>3.0289999999999964</v>
      </c>
      <c r="G15" s="33">
        <f t="shared" si="2"/>
        <v>5755.0999999999922</v>
      </c>
      <c r="H15" s="1">
        <v>4013</v>
      </c>
      <c r="I15" s="49">
        <f t="shared" si="3"/>
        <v>8</v>
      </c>
      <c r="J15" s="33">
        <f t="shared" si="4"/>
        <v>15200</v>
      </c>
      <c r="K15" s="7">
        <v>13700.58</v>
      </c>
      <c r="L15" s="49">
        <f t="shared" si="5"/>
        <v>1.9200000000000728</v>
      </c>
      <c r="M15" s="33">
        <f t="shared" si="6"/>
        <v>3648.0000000001382</v>
      </c>
      <c r="N15" s="7">
        <v>3215.5320000000002</v>
      </c>
      <c r="O15" s="49">
        <f t="shared" si="7"/>
        <v>1.7880000000000109</v>
      </c>
      <c r="P15" s="33">
        <f t="shared" si="8"/>
        <v>3397.2000000000207</v>
      </c>
      <c r="Q15" s="7">
        <v>5129.87</v>
      </c>
      <c r="R15" s="49">
        <f t="shared" si="9"/>
        <v>4.569999999999709</v>
      </c>
      <c r="S15" s="33">
        <f t="shared" si="10"/>
        <v>8682.999999999447</v>
      </c>
      <c r="T15" s="8">
        <f t="shared" si="15"/>
        <v>31.123000000002321</v>
      </c>
      <c r="U15" s="35">
        <f t="shared" si="12"/>
        <v>59133.700000004406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>
        <v>22175.768</v>
      </c>
      <c r="C16" s="49">
        <f t="shared" si="11"/>
        <v>12.68999999999869</v>
      </c>
      <c r="D16" s="33">
        <f t="shared" si="0"/>
        <v>24110.999999997512</v>
      </c>
      <c r="E16" s="1">
        <v>3910.5970000000002</v>
      </c>
      <c r="F16" s="49">
        <f t="shared" si="1"/>
        <v>3.0990000000001601</v>
      </c>
      <c r="G16" s="33">
        <f t="shared" si="2"/>
        <v>5888.1000000003032</v>
      </c>
      <c r="H16" s="1">
        <v>4020</v>
      </c>
      <c r="I16" s="49">
        <f t="shared" si="3"/>
        <v>7</v>
      </c>
      <c r="J16" s="33">
        <f t="shared" si="4"/>
        <v>13299.999999999998</v>
      </c>
      <c r="K16" s="7">
        <v>13702.33</v>
      </c>
      <c r="L16" s="49">
        <f t="shared" si="5"/>
        <v>1.75</v>
      </c>
      <c r="M16" s="33">
        <f t="shared" si="6"/>
        <v>3324.9999999999995</v>
      </c>
      <c r="N16" s="7">
        <v>3217.3989999999999</v>
      </c>
      <c r="O16" s="49">
        <f t="shared" si="7"/>
        <v>1.8669999999997344</v>
      </c>
      <c r="P16" s="33">
        <f t="shared" si="8"/>
        <v>3547.2999999994954</v>
      </c>
      <c r="Q16" s="7">
        <v>5132.2299999999996</v>
      </c>
      <c r="R16" s="49">
        <f t="shared" si="9"/>
        <v>2.3599999999996726</v>
      </c>
      <c r="S16" s="33">
        <f t="shared" si="10"/>
        <v>4483.999999999377</v>
      </c>
      <c r="T16" s="8">
        <f t="shared" si="15"/>
        <v>28.765999999998257</v>
      </c>
      <c r="U16" s="35">
        <f t="shared" si="12"/>
        <v>54655.399999996691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>
        <v>22186.513999999999</v>
      </c>
      <c r="C17" s="49">
        <f t="shared" si="11"/>
        <v>10.745999999999185</v>
      </c>
      <c r="D17" s="33">
        <f t="shared" si="0"/>
        <v>20417.399999998452</v>
      </c>
      <c r="E17" s="1">
        <v>3913.2660000000001</v>
      </c>
      <c r="F17" s="49">
        <f t="shared" si="1"/>
        <v>2.668999999999869</v>
      </c>
      <c r="G17" s="33">
        <f t="shared" si="2"/>
        <v>5071.0999999997512</v>
      </c>
      <c r="H17" s="1">
        <v>4027</v>
      </c>
      <c r="I17" s="49">
        <f t="shared" si="3"/>
        <v>7</v>
      </c>
      <c r="J17" s="33">
        <f t="shared" si="4"/>
        <v>13299.999999999998</v>
      </c>
      <c r="K17" s="7">
        <v>13703.66</v>
      </c>
      <c r="L17" s="49">
        <f t="shared" si="5"/>
        <v>1.3299999999999272</v>
      </c>
      <c r="M17" s="33">
        <f t="shared" si="6"/>
        <v>2526.9999999998618</v>
      </c>
      <c r="N17" s="7">
        <v>3218.9360000000001</v>
      </c>
      <c r="O17" s="49">
        <f t="shared" si="7"/>
        <v>1.5370000000002619</v>
      </c>
      <c r="P17" s="33">
        <f t="shared" si="8"/>
        <v>2920.3000000004977</v>
      </c>
      <c r="Q17" s="7">
        <v>5135.7299999999996</v>
      </c>
      <c r="R17" s="49">
        <f t="shared" si="9"/>
        <v>3.5</v>
      </c>
      <c r="S17" s="33">
        <f t="shared" si="10"/>
        <v>6649.9999999999991</v>
      </c>
      <c r="T17" s="8">
        <f t="shared" si="15"/>
        <v>26.781999999999243</v>
      </c>
      <c r="U17" s="35">
        <f t="shared" si="12"/>
        <v>50885.799999998562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>
        <v>22197.243999999999</v>
      </c>
      <c r="C18" s="49">
        <f t="shared" si="11"/>
        <v>10.729999999999563</v>
      </c>
      <c r="D18" s="33">
        <f t="shared" si="0"/>
        <v>20386.999999999171</v>
      </c>
      <c r="E18" s="1">
        <v>3915.9360000000001</v>
      </c>
      <c r="F18" s="49">
        <f t="shared" si="1"/>
        <v>2.6700000000000728</v>
      </c>
      <c r="G18" s="33">
        <f t="shared" si="2"/>
        <v>5073.0000000001382</v>
      </c>
      <c r="H18" s="1">
        <v>4034</v>
      </c>
      <c r="I18" s="49">
        <f t="shared" si="3"/>
        <v>7</v>
      </c>
      <c r="J18" s="33">
        <f t="shared" si="4"/>
        <v>13299.999999999998</v>
      </c>
      <c r="K18" s="7">
        <v>13705.16</v>
      </c>
      <c r="L18" s="49">
        <f t="shared" si="5"/>
        <v>1.5</v>
      </c>
      <c r="M18" s="33">
        <f t="shared" si="6"/>
        <v>2849.9999999999995</v>
      </c>
      <c r="N18" s="7">
        <v>3220.55</v>
      </c>
      <c r="O18" s="49">
        <f t="shared" si="7"/>
        <v>1.6140000000000327</v>
      </c>
      <c r="P18" s="33">
        <f t="shared" si="8"/>
        <v>3066.6000000000618</v>
      </c>
      <c r="Q18" s="7">
        <v>5138.32</v>
      </c>
      <c r="R18" s="49">
        <f t="shared" si="9"/>
        <v>2.5900000000001455</v>
      </c>
      <c r="S18" s="33">
        <f t="shared" si="10"/>
        <v>4921.0000000002765</v>
      </c>
      <c r="T18" s="8">
        <f t="shared" si="15"/>
        <v>26.103999999999814</v>
      </c>
      <c r="U18" s="35">
        <f t="shared" si="12"/>
        <v>49597.599999999642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 t="str">
        <f t="shared" si="11"/>
        <v>0</v>
      </c>
      <c r="D19" s="33">
        <f t="shared" si="0"/>
        <v>0</v>
      </c>
      <c r="E19" s="1"/>
      <c r="F19" s="49" t="str">
        <f t="shared" si="1"/>
        <v>0</v>
      </c>
      <c r="G19" s="33">
        <f t="shared" si="2"/>
        <v>0</v>
      </c>
      <c r="H19" s="1"/>
      <c r="I19" s="49" t="str">
        <f t="shared" si="3"/>
        <v>0</v>
      </c>
      <c r="J19" s="33">
        <f t="shared" si="4"/>
        <v>0</v>
      </c>
      <c r="K19" s="7"/>
      <c r="L19" s="49" t="str">
        <f t="shared" si="5"/>
        <v>0</v>
      </c>
      <c r="M19" s="33">
        <f t="shared" si="6"/>
        <v>0</v>
      </c>
      <c r="N19" s="7"/>
      <c r="O19" s="49" t="str">
        <f t="shared" si="7"/>
        <v>0</v>
      </c>
      <c r="P19" s="33">
        <f t="shared" si="8"/>
        <v>0</v>
      </c>
      <c r="Q19" s="7"/>
      <c r="R19" s="49" t="str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206.14199999999983</v>
      </c>
      <c r="D34" s="144">
        <f>SUM(D2:D33)</f>
        <v>391669.79999999964</v>
      </c>
      <c r="E34" s="144">
        <v>0</v>
      </c>
      <c r="F34" s="144">
        <f>SUM(F2:F33)</f>
        <v>44.672000000000025</v>
      </c>
      <c r="G34" s="144">
        <f>SUM(G2:G33)</f>
        <v>84876.800000000047</v>
      </c>
      <c r="H34" s="144"/>
      <c r="I34" s="144">
        <f>SUM(I2:I33)</f>
        <v>130</v>
      </c>
      <c r="J34" s="144">
        <f>SUM(J2:J33)</f>
        <v>247000</v>
      </c>
      <c r="K34" s="144"/>
      <c r="L34" s="144">
        <f>SUM(L2:L33)</f>
        <v>30.539999999999054</v>
      </c>
      <c r="M34" s="144">
        <f>SUM(M2:M33)</f>
        <v>58025.999999998203</v>
      </c>
      <c r="N34" s="144"/>
      <c r="O34" s="144">
        <f>SUM(O2:O33)</f>
        <v>26.092000000000098</v>
      </c>
      <c r="P34" s="144">
        <f>SUM(P2:P33)</f>
        <v>49574.800000000185</v>
      </c>
      <c r="Q34" s="144"/>
      <c r="R34" s="144">
        <f>SUM(R2:R33)</f>
        <v>43.199999999999818</v>
      </c>
      <c r="S34" s="144">
        <f>SUM(S2:S33)</f>
        <v>82079.999999999636</v>
      </c>
      <c r="T34" s="144">
        <f>SUM(T2:T33)</f>
        <v>480.64599999999882</v>
      </c>
      <c r="U34" s="144">
        <f>SUM(U2:U33)</f>
        <v>913227.39999999769</v>
      </c>
      <c r="V34"/>
      <c r="W34" s="168" t="s">
        <v>148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G4" sqref="G4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-67063087</v>
      </c>
      <c r="D2" s="102">
        <f>C2*1.27</f>
        <v>-85170120.489999995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0</v>
      </c>
      <c r="K4" s="97">
        <f>J4-I4</f>
        <v>-87598842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-115304530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-14212773</v>
      </c>
      <c r="D7" s="110">
        <f t="shared" si="0"/>
        <v>-18050221.710000001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19580</v>
      </c>
      <c r="D8" s="110">
        <f t="shared" si="0"/>
        <v>24866.6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2771</v>
      </c>
      <c r="D9" s="110">
        <f t="shared" si="0"/>
        <v>3519.17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9600</v>
      </c>
      <c r="D10" s="110">
        <f t="shared" si="0"/>
        <v>12192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2319</v>
      </c>
      <c r="D11" s="110">
        <f t="shared" si="0"/>
        <v>2945.13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-50908810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3773</v>
      </c>
      <c r="K16" s="99">
        <f>(J16-I16)*160</f>
        <v>2720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25381</v>
      </c>
      <c r="K18" s="99">
        <f>(J18-I18)*160</f>
        <v>9600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122812</v>
      </c>
      <c r="K19" s="99">
        <f>J19-I19</f>
        <v>2319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45913</v>
      </c>
      <c r="K21" s="99">
        <f>(J21-I21)*120</f>
        <v>10320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39852</v>
      </c>
      <c r="K22" s="99">
        <f>(J22-I22)*160</f>
        <v>7520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20792</v>
      </c>
      <c r="K23" s="99">
        <f>(J23-I23)*20</f>
        <v>1140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248330</v>
      </c>
      <c r="K24" s="99">
        <f>J24-I24</f>
        <v>600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215887</v>
      </c>
      <c r="K25" s="99">
        <f>J25-I25</f>
        <v>51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88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8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96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96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9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9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8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8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96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96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9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9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8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8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9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9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9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9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8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8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9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9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9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9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8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8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9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9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9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9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8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8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96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96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9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9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8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8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96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96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9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9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8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8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9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9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96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96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9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9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96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96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8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8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96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96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9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9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8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8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96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96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9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9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8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8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96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96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8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8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96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96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9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9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8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8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96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96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96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96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8">
        <v>23</v>
      </c>
      <c r="D49" s="66" t="s">
        <v>83</v>
      </c>
      <c r="E49" s="81"/>
      <c r="F49" s="81"/>
      <c r="G49" s="68">
        <f t="shared" si="0"/>
        <v>0</v>
      </c>
      <c r="H49" s="69"/>
      <c r="J49" s="18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96"/>
      <c r="D50" s="66" t="s">
        <v>82</v>
      </c>
      <c r="E50" s="81"/>
      <c r="F50" s="81"/>
      <c r="G50" s="68">
        <f t="shared" si="0"/>
        <v>0</v>
      </c>
      <c r="H50" s="69"/>
      <c r="J50" s="19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97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97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98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98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9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9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8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8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9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9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8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8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9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9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8">
        <v>28</v>
      </c>
      <c r="D62" s="183" t="s">
        <v>86</v>
      </c>
      <c r="E62" s="67"/>
      <c r="F62" s="67"/>
      <c r="G62" s="68"/>
      <c r="H62" s="185" t="s">
        <v>87</v>
      </c>
      <c r="I62" s="72"/>
      <c r="J62" s="188">
        <v>28</v>
      </c>
      <c r="K62" s="183" t="s">
        <v>86</v>
      </c>
      <c r="L62" s="67"/>
      <c r="M62" s="67"/>
      <c r="N62" s="68"/>
      <c r="O62" s="185" t="s">
        <v>87</v>
      </c>
    </row>
    <row r="63" spans="1:15" ht="15" x14ac:dyDescent="0.2">
      <c r="A63" s="72"/>
      <c r="B63" s="62"/>
      <c r="C63" s="189"/>
      <c r="D63" s="184"/>
      <c r="E63" s="67"/>
      <c r="F63" s="67"/>
      <c r="G63" s="68"/>
      <c r="H63" s="186"/>
      <c r="I63" s="72"/>
      <c r="J63" s="189"/>
      <c r="K63" s="184"/>
      <c r="L63" s="67"/>
      <c r="M63" s="67"/>
      <c r="N63" s="68"/>
      <c r="O63" s="186"/>
    </row>
    <row r="64" spans="1:15" x14ac:dyDescent="0.2">
      <c r="A64" s="72"/>
      <c r="B64" s="62"/>
      <c r="C64" s="187" t="s">
        <v>88</v>
      </c>
      <c r="D64" s="187"/>
      <c r="E64" s="187"/>
      <c r="F64" s="187"/>
      <c r="G64" s="86">
        <f>SUM(G2:G63)</f>
        <v>27078</v>
      </c>
      <c r="H64" s="87"/>
      <c r="I64" s="72"/>
      <c r="J64" s="187" t="s">
        <v>88</v>
      </c>
      <c r="K64" s="187"/>
      <c r="L64" s="187"/>
      <c r="M64" s="187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0">
        <v>44378</v>
      </c>
      <c r="C69" s="191"/>
      <c r="D69" s="191"/>
      <c r="E69" s="192"/>
      <c r="F69" s="90"/>
      <c r="G69" s="193">
        <v>44409</v>
      </c>
      <c r="H69" s="194"/>
      <c r="I69" s="194"/>
      <c r="J69" s="195"/>
      <c r="K69" s="90"/>
      <c r="L69" s="180" t="s">
        <v>25</v>
      </c>
      <c r="M69" s="181"/>
      <c r="N69" s="181"/>
      <c r="O69" s="182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2021-09-17T01:17:54Z</dcterms:modified>
</cp:coreProperties>
</file>